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filterPrivacy="1"/>
  <xr:revisionPtr revIDLastSave="0" documentId="13_ncr:1_{C8872B33-1522-4B6C-B6D2-DA51DB52D5B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PUBLIC" sheetId="2" r:id="rId1"/>
    <sheet name="Private Company" sheetId="4" r:id="rId2"/>
    <sheet name="Tax Exempted Fund" sheetId="1" r:id="rId3"/>
    <sheet name="Summary" sheetId="3" r:id="rId4"/>
  </sheets>
  <definedNames>
    <definedName name="_xlnm._FilterDatabase" localSheetId="1" hidden="1">'Private Company'!$A$7:$N$7</definedName>
    <definedName name="_xlnm._FilterDatabase" localSheetId="0" hidden="1">PUBLIC!$N$1:$N$3181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5" i="3" l="1"/>
  <c r="S15" i="1"/>
  <c r="AF3134" i="2"/>
  <c r="AF3135" i="2"/>
  <c r="Y3181" i="2"/>
  <c r="I22" i="1"/>
  <c r="D22" i="1"/>
  <c r="H5" i="3"/>
  <c r="G5" i="3"/>
  <c r="F5" i="3"/>
  <c r="E5" i="3"/>
  <c r="D5" i="3"/>
  <c r="C5" i="3"/>
  <c r="B5" i="3"/>
  <c r="E10" i="1" l="1"/>
  <c r="F10" i="1" s="1"/>
  <c r="G10" i="1" s="1"/>
  <c r="H10" i="1" s="1"/>
  <c r="J10" i="1" l="1"/>
  <c r="S10" i="1" s="1"/>
  <c r="E13" i="1"/>
  <c r="F13" i="1" s="1"/>
  <c r="G13" i="1" s="1"/>
  <c r="H13" i="1" s="1"/>
  <c r="J13" i="1" s="1"/>
  <c r="S13" i="1" s="1"/>
  <c r="E7" i="1"/>
  <c r="F7" i="1" s="1"/>
  <c r="G7" i="1" s="1"/>
  <c r="H7" i="1" s="1"/>
  <c r="J7" i="1" s="1"/>
  <c r="S7" i="1" s="1"/>
  <c r="M5" i="4"/>
  <c r="M3" i="2" l="1"/>
  <c r="G3" i="1" l="1"/>
  <c r="F6" i="1"/>
  <c r="G6" i="1" s="1"/>
  <c r="H6" i="1" s="1"/>
  <c r="J6" i="1" s="1"/>
  <c r="S6" i="1" s="1"/>
  <c r="E20" i="1" l="1"/>
  <c r="F20" i="1" s="1"/>
  <c r="G20" i="1" s="1"/>
  <c r="H20" i="1" s="1"/>
  <c r="J20" i="1" s="1"/>
  <c r="S20" i="1" s="1"/>
  <c r="I1001" i="2"/>
  <c r="J1001" i="2" s="1"/>
  <c r="K1001" i="2" s="1"/>
  <c r="L1001" i="2" s="1"/>
  <c r="I6" i="2"/>
  <c r="J6" i="2" s="1"/>
  <c r="K6" i="2" s="1"/>
  <c r="L6" i="2" s="1"/>
  <c r="I1386" i="2"/>
  <c r="J1386" i="2" s="1"/>
  <c r="K1386" i="2" s="1"/>
  <c r="L1386" i="2" s="1"/>
  <c r="I2752" i="2"/>
  <c r="J2752" i="2" s="1"/>
  <c r="K2752" i="2" s="1"/>
  <c r="L2752" i="2" s="1"/>
  <c r="I547" i="2"/>
  <c r="J547" i="2" s="1"/>
  <c r="K547" i="2" s="1"/>
  <c r="L547" i="2" s="1"/>
  <c r="I2431" i="2"/>
  <c r="J2431" i="2" s="1"/>
  <c r="K2431" i="2" s="1"/>
  <c r="L2431" i="2" s="1"/>
  <c r="I1851" i="2"/>
  <c r="J1851" i="2" s="1"/>
  <c r="K1851" i="2" s="1"/>
  <c r="L1851" i="2" s="1"/>
  <c r="I2912" i="2"/>
  <c r="J2912" i="2" s="1"/>
  <c r="K2912" i="2" s="1"/>
  <c r="L2912" i="2" s="1"/>
  <c r="I7" i="2"/>
  <c r="J7" i="2" s="1"/>
  <c r="K7" i="2" s="1"/>
  <c r="L7" i="2" s="1"/>
  <c r="I548" i="2"/>
  <c r="J548" i="2" s="1"/>
  <c r="K548" i="2" s="1"/>
  <c r="L548" i="2" s="1"/>
  <c r="I549" i="2"/>
  <c r="J549" i="2" s="1"/>
  <c r="K549" i="2" s="1"/>
  <c r="L549" i="2" s="1"/>
  <c r="I2070" i="2"/>
  <c r="J2070" i="2" s="1"/>
  <c r="K2070" i="2" s="1"/>
  <c r="L2070" i="2" s="1"/>
  <c r="I2753" i="2"/>
  <c r="J2753" i="2" s="1"/>
  <c r="K2753" i="2" s="1"/>
  <c r="L2753" i="2" s="1"/>
  <c r="I1852" i="2"/>
  <c r="J1852" i="2" s="1"/>
  <c r="K1852" i="2" s="1"/>
  <c r="L1852" i="2" s="1"/>
  <c r="I1853" i="2"/>
  <c r="J1853" i="2" s="1"/>
  <c r="K1853" i="2" s="1"/>
  <c r="L1853" i="2" s="1"/>
  <c r="I274" i="2"/>
  <c r="I1081" i="2"/>
  <c r="J1081" i="2" s="1"/>
  <c r="K1081" i="2" s="1"/>
  <c r="L1081" i="2" s="1"/>
  <c r="I1213" i="2"/>
  <c r="J1213" i="2" s="1"/>
  <c r="K1213" i="2" s="1"/>
  <c r="L1213" i="2" s="1"/>
  <c r="I2802" i="2"/>
  <c r="J2802" i="2" s="1"/>
  <c r="K2802" i="2" s="1"/>
  <c r="L2802" i="2" s="1"/>
  <c r="I2913" i="2"/>
  <c r="J2913" i="2" s="1"/>
  <c r="K2913" i="2" s="1"/>
  <c r="L2913" i="2" s="1"/>
  <c r="I2094" i="2"/>
  <c r="J2094" i="2" s="1"/>
  <c r="K2094" i="2" s="1"/>
  <c r="L2094" i="2" s="1"/>
  <c r="I8" i="2"/>
  <c r="J8" i="2" s="1"/>
  <c r="K8" i="2" s="1"/>
  <c r="L8" i="2" s="1"/>
  <c r="I550" i="2"/>
  <c r="J550" i="2" s="1"/>
  <c r="K550" i="2" s="1"/>
  <c r="L550" i="2" s="1"/>
  <c r="I275" i="2"/>
  <c r="J275" i="2" s="1"/>
  <c r="K275" i="2" s="1"/>
  <c r="L275" i="2" s="1"/>
  <c r="I1399" i="2"/>
  <c r="J1399" i="2" s="1"/>
  <c r="K1399" i="2" s="1"/>
  <c r="L1399" i="2" s="1"/>
  <c r="I2095" i="2"/>
  <c r="J2095" i="2" s="1"/>
  <c r="K2095" i="2" s="1"/>
  <c r="L2095" i="2" s="1"/>
  <c r="I1002" i="2"/>
  <c r="J1002" i="2" s="1"/>
  <c r="K1002" i="2" s="1"/>
  <c r="L1002" i="2" s="1"/>
  <c r="I2594" i="2"/>
  <c r="J2594" i="2" s="1"/>
  <c r="K2594" i="2" s="1"/>
  <c r="L2594" i="2" s="1"/>
  <c r="I2595" i="2"/>
  <c r="J2595" i="2" s="1"/>
  <c r="K2595" i="2" s="1"/>
  <c r="L2595" i="2" s="1"/>
  <c r="I9" i="2"/>
  <c r="J9" i="2" s="1"/>
  <c r="K9" i="2" s="1"/>
  <c r="L9" i="2" s="1"/>
  <c r="I1117" i="2"/>
  <c r="J1117" i="2" s="1"/>
  <c r="K1117" i="2" s="1"/>
  <c r="L1117" i="2" s="1"/>
  <c r="I1003" i="2"/>
  <c r="J1003" i="2" s="1"/>
  <c r="K1003" i="2" s="1"/>
  <c r="L1003" i="2" s="1"/>
  <c r="I3154" i="2"/>
  <c r="J3154" i="2" s="1"/>
  <c r="K3154" i="2" s="1"/>
  <c r="L3154" i="2" s="1"/>
  <c r="I2914" i="2"/>
  <c r="J2914" i="2" s="1"/>
  <c r="K2914" i="2" s="1"/>
  <c r="L2914" i="2" s="1"/>
  <c r="I2915" i="2"/>
  <c r="J2915" i="2" s="1"/>
  <c r="K2915" i="2" s="1"/>
  <c r="L2915" i="2" s="1"/>
  <c r="I1540" i="2"/>
  <c r="J1540" i="2" s="1"/>
  <c r="K1540" i="2" s="1"/>
  <c r="L1540" i="2" s="1"/>
  <c r="I1541" i="2"/>
  <c r="J1541" i="2" s="1"/>
  <c r="K1541" i="2" s="1"/>
  <c r="L1541" i="2" s="1"/>
  <c r="I2916" i="2"/>
  <c r="J2916" i="2" s="1"/>
  <c r="K2916" i="2" s="1"/>
  <c r="L2916" i="2" s="1"/>
  <c r="I10" i="2"/>
  <c r="J10" i="2" s="1"/>
  <c r="K10" i="2" s="1"/>
  <c r="L10" i="2" s="1"/>
  <c r="I551" i="2"/>
  <c r="J551" i="2" s="1"/>
  <c r="K551" i="2" s="1"/>
  <c r="L551" i="2" s="1"/>
  <c r="I2596" i="2"/>
  <c r="J2596" i="2" s="1"/>
  <c r="K2596" i="2" s="1"/>
  <c r="L2596" i="2" s="1"/>
  <c r="I2597" i="2"/>
  <c r="J2597" i="2" s="1"/>
  <c r="K2597" i="2" s="1"/>
  <c r="L2597" i="2" s="1"/>
  <c r="I2432" i="2"/>
  <c r="J2432" i="2" s="1"/>
  <c r="K2432" i="2" s="1"/>
  <c r="L2432" i="2" s="1"/>
  <c r="I2433" i="2"/>
  <c r="J2433" i="2" s="1"/>
  <c r="K2433" i="2" s="1"/>
  <c r="L2433" i="2" s="1"/>
  <c r="I552" i="2"/>
  <c r="J552" i="2" s="1"/>
  <c r="K552" i="2" s="1"/>
  <c r="L552" i="2" s="1"/>
  <c r="I553" i="2"/>
  <c r="J553" i="2" s="1"/>
  <c r="K553" i="2" s="1"/>
  <c r="L553" i="2" s="1"/>
  <c r="I11" i="2"/>
  <c r="J11" i="2" s="1"/>
  <c r="K11" i="2" s="1"/>
  <c r="L11" i="2" s="1"/>
  <c r="I2096" i="2"/>
  <c r="J2096" i="2" s="1"/>
  <c r="K2096" i="2" s="1"/>
  <c r="L2096" i="2" s="1"/>
  <c r="I1542" i="2"/>
  <c r="J1542" i="2" s="1"/>
  <c r="K1542" i="2" s="1"/>
  <c r="L1542" i="2" s="1"/>
  <c r="I1543" i="2"/>
  <c r="J1543" i="2" s="1"/>
  <c r="K1543" i="2" s="1"/>
  <c r="L1543" i="2" s="1"/>
  <c r="I12" i="2"/>
  <c r="J12" i="2" s="1"/>
  <c r="K12" i="2" s="1"/>
  <c r="L12" i="2" s="1"/>
  <c r="I1004" i="2"/>
  <c r="J1004" i="2" s="1"/>
  <c r="K1004" i="2" s="1"/>
  <c r="L1004" i="2" s="1"/>
  <c r="I2097" i="2"/>
  <c r="J2097" i="2" s="1"/>
  <c r="K2097" i="2" s="1"/>
  <c r="L2097" i="2" s="1"/>
  <c r="I2803" i="2"/>
  <c r="J2803" i="2" s="1"/>
  <c r="K2803" i="2" s="1"/>
  <c r="L2803" i="2" s="1"/>
  <c r="I2598" i="2"/>
  <c r="J2598" i="2" s="1"/>
  <c r="K2598" i="2" s="1"/>
  <c r="L2598" i="2" s="1"/>
  <c r="I13" i="2"/>
  <c r="J13" i="2" s="1"/>
  <c r="K13" i="2" s="1"/>
  <c r="L13" i="2" s="1"/>
  <c r="I14" i="2"/>
  <c r="J14" i="2" s="1"/>
  <c r="K14" i="2" s="1"/>
  <c r="L14" i="2" s="1"/>
  <c r="I2917" i="2"/>
  <c r="J2917" i="2" s="1"/>
  <c r="K2917" i="2" s="1"/>
  <c r="L2917" i="2" s="1"/>
  <c r="I1118" i="2"/>
  <c r="J1118" i="2" s="1"/>
  <c r="K1118" i="2" s="1"/>
  <c r="L1118" i="2" s="1"/>
  <c r="I2098" i="2"/>
  <c r="J2098" i="2" s="1"/>
  <c r="K2098" i="2" s="1"/>
  <c r="L2098" i="2" s="1"/>
  <c r="I1400" i="2"/>
  <c r="J1400" i="2" s="1"/>
  <c r="K1400" i="2" s="1"/>
  <c r="L1400" i="2" s="1"/>
  <c r="I276" i="2"/>
  <c r="J276" i="2" s="1"/>
  <c r="K276" i="2" s="1"/>
  <c r="L276" i="2" s="1"/>
  <c r="I554" i="2"/>
  <c r="J554" i="2" s="1"/>
  <c r="K554" i="2" s="1"/>
  <c r="L554" i="2" s="1"/>
  <c r="I340" i="2"/>
  <c r="J340" i="2" s="1"/>
  <c r="K340" i="2" s="1"/>
  <c r="L340" i="2" s="1"/>
  <c r="I2599" i="2"/>
  <c r="J2599" i="2" s="1"/>
  <c r="K2599" i="2" s="1"/>
  <c r="L2599" i="2" s="1"/>
  <c r="I1854" i="2"/>
  <c r="J1854" i="2" s="1"/>
  <c r="K1854" i="2" s="1"/>
  <c r="L1854" i="2" s="1"/>
  <c r="I432" i="2"/>
  <c r="J432" i="2" s="1"/>
  <c r="K432" i="2" s="1"/>
  <c r="L432" i="2" s="1"/>
  <c r="I1855" i="2"/>
  <c r="J1855" i="2" s="1"/>
  <c r="K1855" i="2" s="1"/>
  <c r="L1855" i="2" s="1"/>
  <c r="I555" i="2"/>
  <c r="J555" i="2" s="1"/>
  <c r="K555" i="2" s="1"/>
  <c r="L555" i="2" s="1"/>
  <c r="I2434" i="2"/>
  <c r="J2434" i="2" s="1"/>
  <c r="K2434" i="2" s="1"/>
  <c r="L2434" i="2" s="1"/>
  <c r="I556" i="2"/>
  <c r="J556" i="2" s="1"/>
  <c r="K556" i="2" s="1"/>
  <c r="L556" i="2" s="1"/>
  <c r="I1783" i="2"/>
  <c r="J1783" i="2" s="1"/>
  <c r="K1783" i="2" s="1"/>
  <c r="L1783" i="2" s="1"/>
  <c r="I2099" i="2"/>
  <c r="J2099" i="2" s="1"/>
  <c r="K2099" i="2" s="1"/>
  <c r="L2099" i="2" s="1"/>
  <c r="I557" i="2"/>
  <c r="J557" i="2" s="1"/>
  <c r="K557" i="2" s="1"/>
  <c r="L557" i="2" s="1"/>
  <c r="I2100" i="2"/>
  <c r="J2100" i="2" s="1"/>
  <c r="K2100" i="2" s="1"/>
  <c r="L2100" i="2" s="1"/>
  <c r="I15" i="2"/>
  <c r="J15" i="2" s="1"/>
  <c r="K15" i="2" s="1"/>
  <c r="L15" i="2" s="1"/>
  <c r="I2101" i="2"/>
  <c r="J2101" i="2" s="1"/>
  <c r="K2101" i="2" s="1"/>
  <c r="L2101" i="2" s="1"/>
  <c r="I2600" i="2"/>
  <c r="J2600" i="2" s="1"/>
  <c r="K2600" i="2" s="1"/>
  <c r="L2600" i="2" s="1"/>
  <c r="I558" i="2"/>
  <c r="J558" i="2" s="1"/>
  <c r="K558" i="2" s="1"/>
  <c r="L558" i="2" s="1"/>
  <c r="I1214" i="2"/>
  <c r="J1214" i="2" s="1"/>
  <c r="K1214" i="2" s="1"/>
  <c r="L1214" i="2" s="1"/>
  <c r="I2918" i="2"/>
  <c r="J2918" i="2" s="1"/>
  <c r="K2918" i="2" s="1"/>
  <c r="L2918" i="2" s="1"/>
  <c r="I2919" i="2"/>
  <c r="J2919" i="2" s="1"/>
  <c r="K2919" i="2" s="1"/>
  <c r="L2919" i="2" s="1"/>
  <c r="I341" i="2"/>
  <c r="J341" i="2" s="1"/>
  <c r="K341" i="2" s="1"/>
  <c r="L341" i="2" s="1"/>
  <c r="I2920" i="2"/>
  <c r="J2920" i="2" s="1"/>
  <c r="K2920" i="2" s="1"/>
  <c r="L2920" i="2" s="1"/>
  <c r="I1511" i="2"/>
  <c r="J1511" i="2" s="1"/>
  <c r="K1511" i="2" s="1"/>
  <c r="L1511" i="2" s="1"/>
  <c r="I559" i="2"/>
  <c r="J559" i="2" s="1"/>
  <c r="K559" i="2" s="1"/>
  <c r="L559" i="2" s="1"/>
  <c r="I16" i="2"/>
  <c r="J16" i="2" s="1"/>
  <c r="K16" i="2" s="1"/>
  <c r="L16" i="2" s="1"/>
  <c r="I560" i="2"/>
  <c r="J560" i="2" s="1"/>
  <c r="K560" i="2" s="1"/>
  <c r="L560" i="2" s="1"/>
  <c r="I2102" i="2"/>
  <c r="J2102" i="2" s="1"/>
  <c r="K2102" i="2" s="1"/>
  <c r="L2102" i="2" s="1"/>
  <c r="I433" i="2"/>
  <c r="J433" i="2" s="1"/>
  <c r="K433" i="2" s="1"/>
  <c r="L433" i="2" s="1"/>
  <c r="I1544" i="2"/>
  <c r="J1544" i="2" s="1"/>
  <c r="K1544" i="2" s="1"/>
  <c r="L1544" i="2" s="1"/>
  <c r="I561" i="2"/>
  <c r="J561" i="2" s="1"/>
  <c r="K561" i="2" s="1"/>
  <c r="L561" i="2" s="1"/>
  <c r="I1401" i="2"/>
  <c r="J1401" i="2" s="1"/>
  <c r="K1401" i="2" s="1"/>
  <c r="L1401" i="2" s="1"/>
  <c r="I520" i="2"/>
  <c r="J520" i="2" s="1"/>
  <c r="K520" i="2" s="1"/>
  <c r="L520" i="2" s="1"/>
  <c r="I2103" i="2"/>
  <c r="J2103" i="2" s="1"/>
  <c r="K2103" i="2" s="1"/>
  <c r="L2103" i="2" s="1"/>
  <c r="I1215" i="2"/>
  <c r="J1215" i="2" s="1"/>
  <c r="K1215" i="2" s="1"/>
  <c r="L1215" i="2" s="1"/>
  <c r="I562" i="2"/>
  <c r="J562" i="2" s="1"/>
  <c r="K562" i="2" s="1"/>
  <c r="L562" i="2" s="1"/>
  <c r="I563" i="2"/>
  <c r="J563" i="2" s="1"/>
  <c r="K563" i="2" s="1"/>
  <c r="L563" i="2" s="1"/>
  <c r="I1856" i="2"/>
  <c r="J1856" i="2" s="1"/>
  <c r="K1856" i="2" s="1"/>
  <c r="L1856" i="2" s="1"/>
  <c r="I1857" i="2"/>
  <c r="J1857" i="2" s="1"/>
  <c r="K1857" i="2" s="1"/>
  <c r="L1857" i="2" s="1"/>
  <c r="I2104" i="2"/>
  <c r="J2104" i="2" s="1"/>
  <c r="K2104" i="2" s="1"/>
  <c r="L2104" i="2" s="1"/>
  <c r="I1784" i="2"/>
  <c r="J1784" i="2" s="1"/>
  <c r="K1784" i="2" s="1"/>
  <c r="L1784" i="2" s="1"/>
  <c r="I434" i="2"/>
  <c r="J434" i="2" s="1"/>
  <c r="K434" i="2" s="1"/>
  <c r="L434" i="2" s="1"/>
  <c r="I1858" i="2"/>
  <c r="J1858" i="2" s="1"/>
  <c r="K1858" i="2" s="1"/>
  <c r="L1858" i="2" s="1"/>
  <c r="I3143" i="2"/>
  <c r="J3143" i="2" s="1"/>
  <c r="K3143" i="2" s="1"/>
  <c r="L3143" i="2" s="1"/>
  <c r="I2804" i="2"/>
  <c r="J2804" i="2" s="1"/>
  <c r="K2804" i="2" s="1"/>
  <c r="L2804" i="2" s="1"/>
  <c r="I564" i="2"/>
  <c r="J564" i="2" s="1"/>
  <c r="K564" i="2" s="1"/>
  <c r="L564" i="2" s="1"/>
  <c r="I2601" i="2"/>
  <c r="J2601" i="2" s="1"/>
  <c r="K2601" i="2" s="1"/>
  <c r="L2601" i="2" s="1"/>
  <c r="I342" i="2"/>
  <c r="J342" i="2" s="1"/>
  <c r="K342" i="2" s="1"/>
  <c r="L342" i="2" s="1"/>
  <c r="I2921" i="2"/>
  <c r="J2921" i="2" s="1"/>
  <c r="K2921" i="2" s="1"/>
  <c r="L2921" i="2" s="1"/>
  <c r="I1859" i="2"/>
  <c r="J1859" i="2" s="1"/>
  <c r="K1859" i="2" s="1"/>
  <c r="L1859" i="2" s="1"/>
  <c r="I993" i="2"/>
  <c r="J993" i="2" s="1"/>
  <c r="K993" i="2" s="1"/>
  <c r="L993" i="2" s="1"/>
  <c r="I2754" i="2"/>
  <c r="J2754" i="2" s="1"/>
  <c r="K2754" i="2" s="1"/>
  <c r="L2754" i="2" s="1"/>
  <c r="I2071" i="2"/>
  <c r="J2071" i="2" s="1"/>
  <c r="K2071" i="2" s="1"/>
  <c r="L2071" i="2" s="1"/>
  <c r="I565" i="2"/>
  <c r="J565" i="2" s="1"/>
  <c r="K565" i="2" s="1"/>
  <c r="L565" i="2" s="1"/>
  <c r="I343" i="2"/>
  <c r="J343" i="2" s="1"/>
  <c r="K343" i="2" s="1"/>
  <c r="L343" i="2" s="1"/>
  <c r="I1119" i="2"/>
  <c r="J1119" i="2" s="1"/>
  <c r="K1119" i="2" s="1"/>
  <c r="L1119" i="2" s="1"/>
  <c r="I2105" i="2"/>
  <c r="J2105" i="2" s="1"/>
  <c r="K2105" i="2" s="1"/>
  <c r="L2105" i="2" s="1"/>
  <c r="I1082" i="2"/>
  <c r="J1082" i="2" s="1"/>
  <c r="K1082" i="2" s="1"/>
  <c r="L1082" i="2" s="1"/>
  <c r="I2072" i="2"/>
  <c r="J2072" i="2" s="1"/>
  <c r="K2072" i="2" s="1"/>
  <c r="L2072" i="2" s="1"/>
  <c r="I2922" i="2"/>
  <c r="J2922" i="2" s="1"/>
  <c r="K2922" i="2" s="1"/>
  <c r="L2922" i="2" s="1"/>
  <c r="I17" i="2"/>
  <c r="J17" i="2" s="1"/>
  <c r="K17" i="2" s="1"/>
  <c r="L17" i="2" s="1"/>
  <c r="I566" i="2"/>
  <c r="J566" i="2" s="1"/>
  <c r="K566" i="2" s="1"/>
  <c r="L566" i="2" s="1"/>
  <c r="I1785" i="2"/>
  <c r="J1785" i="2" s="1"/>
  <c r="K1785" i="2" s="1"/>
  <c r="L1785" i="2" s="1"/>
  <c r="I18" i="2"/>
  <c r="J18" i="2" s="1"/>
  <c r="K18" i="2" s="1"/>
  <c r="L18" i="2" s="1"/>
  <c r="I1512" i="2"/>
  <c r="J1512" i="2" s="1"/>
  <c r="K1512" i="2" s="1"/>
  <c r="L1512" i="2" s="1"/>
  <c r="I2435" i="2"/>
  <c r="J2435" i="2" s="1"/>
  <c r="K2435" i="2" s="1"/>
  <c r="L2435" i="2" s="1"/>
  <c r="I1216" i="2"/>
  <c r="J1216" i="2" s="1"/>
  <c r="K1216" i="2" s="1"/>
  <c r="L1216" i="2" s="1"/>
  <c r="I2755" i="2"/>
  <c r="J2755" i="2" s="1"/>
  <c r="K2755" i="2" s="1"/>
  <c r="L2755" i="2" s="1"/>
  <c r="I2805" i="2"/>
  <c r="J2805" i="2" s="1"/>
  <c r="K2805" i="2" s="1"/>
  <c r="L2805" i="2" s="1"/>
  <c r="I2896" i="2"/>
  <c r="J2896" i="2" s="1"/>
  <c r="K2896" i="2" s="1"/>
  <c r="L2896" i="2" s="1"/>
  <c r="I2073" i="2"/>
  <c r="J2073" i="2" s="1"/>
  <c r="K2073" i="2" s="1"/>
  <c r="L2073" i="2" s="1"/>
  <c r="I2436" i="2"/>
  <c r="J2436" i="2" s="1"/>
  <c r="K2436" i="2" s="1"/>
  <c r="L2436" i="2" s="1"/>
  <c r="I2437" i="2"/>
  <c r="J2437" i="2" s="1"/>
  <c r="K2437" i="2" s="1"/>
  <c r="L2437" i="2" s="1"/>
  <c r="I1545" i="2"/>
  <c r="J1545" i="2" s="1"/>
  <c r="K1545" i="2" s="1"/>
  <c r="L1545" i="2" s="1"/>
  <c r="I1402" i="2"/>
  <c r="J1402" i="2" s="1"/>
  <c r="K1402" i="2" s="1"/>
  <c r="L1402" i="2" s="1"/>
  <c r="I2106" i="2"/>
  <c r="J2106" i="2" s="1"/>
  <c r="K2106" i="2" s="1"/>
  <c r="L2106" i="2" s="1"/>
  <c r="I521" i="2"/>
  <c r="J521" i="2" s="1"/>
  <c r="K521" i="2" s="1"/>
  <c r="L521" i="2" s="1"/>
  <c r="I2438" i="2"/>
  <c r="J2438" i="2" s="1"/>
  <c r="K2438" i="2" s="1"/>
  <c r="L2438" i="2" s="1"/>
  <c r="I2888" i="2"/>
  <c r="J2888" i="2" s="1"/>
  <c r="K2888" i="2" s="1"/>
  <c r="L2888" i="2" s="1"/>
  <c r="I1786" i="2"/>
  <c r="J1786" i="2" s="1"/>
  <c r="K1786" i="2" s="1"/>
  <c r="L1786" i="2" s="1"/>
  <c r="I344" i="2"/>
  <c r="J344" i="2" s="1"/>
  <c r="K344" i="2" s="1"/>
  <c r="L344" i="2" s="1"/>
  <c r="I2756" i="2"/>
  <c r="J2756" i="2" s="1"/>
  <c r="K2756" i="2" s="1"/>
  <c r="L2756" i="2" s="1"/>
  <c r="I1403" i="2"/>
  <c r="J1403" i="2" s="1"/>
  <c r="K1403" i="2" s="1"/>
  <c r="L1403" i="2" s="1"/>
  <c r="I19" i="2"/>
  <c r="J19" i="2" s="1"/>
  <c r="K19" i="2" s="1"/>
  <c r="L19" i="2" s="1"/>
  <c r="I1005" i="2"/>
  <c r="J1005" i="2" s="1"/>
  <c r="K1005" i="2" s="1"/>
  <c r="L1005" i="2" s="1"/>
  <c r="I2074" i="2"/>
  <c r="J2074" i="2" s="1"/>
  <c r="K2074" i="2" s="1"/>
  <c r="L2074" i="2" s="1"/>
  <c r="I1006" i="2"/>
  <c r="J1006" i="2" s="1"/>
  <c r="K1006" i="2" s="1"/>
  <c r="L1006" i="2" s="1"/>
  <c r="I1860" i="2"/>
  <c r="J1860" i="2" s="1"/>
  <c r="K1860" i="2" s="1"/>
  <c r="L1860" i="2" s="1"/>
  <c r="I1070" i="2"/>
  <c r="J1070" i="2" s="1"/>
  <c r="K1070" i="2" s="1"/>
  <c r="L1070" i="2" s="1"/>
  <c r="I1217" i="2"/>
  <c r="J1217" i="2" s="1"/>
  <c r="K1217" i="2" s="1"/>
  <c r="L1217" i="2" s="1"/>
  <c r="I2439" i="2"/>
  <c r="J2439" i="2" s="1"/>
  <c r="K2439" i="2" s="1"/>
  <c r="L2439" i="2" s="1"/>
  <c r="I2602" i="2"/>
  <c r="J2602" i="2" s="1"/>
  <c r="K2602" i="2" s="1"/>
  <c r="L2602" i="2" s="1"/>
  <c r="I2603" i="2"/>
  <c r="J2603" i="2" s="1"/>
  <c r="K2603" i="2" s="1"/>
  <c r="L2603" i="2" s="1"/>
  <c r="I1546" i="2"/>
  <c r="J1546" i="2" s="1"/>
  <c r="K1546" i="2" s="1"/>
  <c r="L1546" i="2" s="1"/>
  <c r="I567" i="2"/>
  <c r="J567" i="2" s="1"/>
  <c r="K567" i="2" s="1"/>
  <c r="L567" i="2" s="1"/>
  <c r="I1120" i="2"/>
  <c r="J1120" i="2" s="1"/>
  <c r="K1120" i="2" s="1"/>
  <c r="L1120" i="2" s="1"/>
  <c r="I568" i="2"/>
  <c r="J568" i="2" s="1"/>
  <c r="K568" i="2" s="1"/>
  <c r="L568" i="2" s="1"/>
  <c r="I569" i="2"/>
  <c r="J569" i="2" s="1"/>
  <c r="K569" i="2" s="1"/>
  <c r="L569" i="2" s="1"/>
  <c r="I2757" i="2"/>
  <c r="J2757" i="2" s="1"/>
  <c r="K2757" i="2" s="1"/>
  <c r="L2757" i="2" s="1"/>
  <c r="I20" i="2"/>
  <c r="J20" i="2" s="1"/>
  <c r="K20" i="2" s="1"/>
  <c r="L20" i="2" s="1"/>
  <c r="I570" i="2"/>
  <c r="J570" i="2" s="1"/>
  <c r="K570" i="2" s="1"/>
  <c r="L570" i="2" s="1"/>
  <c r="I571" i="2"/>
  <c r="J571" i="2" s="1"/>
  <c r="K571" i="2" s="1"/>
  <c r="L571" i="2" s="1"/>
  <c r="I572" i="2"/>
  <c r="J572" i="2" s="1"/>
  <c r="K572" i="2" s="1"/>
  <c r="L572" i="2" s="1"/>
  <c r="I21" i="2"/>
  <c r="J21" i="2" s="1"/>
  <c r="K21" i="2" s="1"/>
  <c r="L21" i="2" s="1"/>
  <c r="I2758" i="2"/>
  <c r="J2758" i="2" s="1"/>
  <c r="K2758" i="2" s="1"/>
  <c r="L2758" i="2" s="1"/>
  <c r="I2604" i="2"/>
  <c r="J2604" i="2" s="1"/>
  <c r="K2604" i="2" s="1"/>
  <c r="L2604" i="2" s="1"/>
  <c r="I2923" i="2"/>
  <c r="J2923" i="2" s="1"/>
  <c r="K2923" i="2" s="1"/>
  <c r="L2923" i="2" s="1"/>
  <c r="I345" i="2"/>
  <c r="J345" i="2" s="1"/>
  <c r="K345" i="2" s="1"/>
  <c r="L345" i="2" s="1"/>
  <c r="I573" i="2"/>
  <c r="J573" i="2" s="1"/>
  <c r="K573" i="2" s="1"/>
  <c r="L573" i="2" s="1"/>
  <c r="I3126" i="2"/>
  <c r="J3126" i="2" s="1"/>
  <c r="K3126" i="2" s="1"/>
  <c r="L3126" i="2" s="1"/>
  <c r="I2605" i="2"/>
  <c r="J2605" i="2" s="1"/>
  <c r="K2605" i="2" s="1"/>
  <c r="L2605" i="2" s="1"/>
  <c r="I1007" i="2"/>
  <c r="J1007" i="2" s="1"/>
  <c r="K1007" i="2" s="1"/>
  <c r="L1007" i="2" s="1"/>
  <c r="I22" i="2"/>
  <c r="J22" i="2" s="1"/>
  <c r="K22" i="2" s="1"/>
  <c r="L22" i="2" s="1"/>
  <c r="I574" i="2"/>
  <c r="J574" i="2" s="1"/>
  <c r="K574" i="2" s="1"/>
  <c r="L574" i="2" s="1"/>
  <c r="I1404" i="2"/>
  <c r="J1404" i="2" s="1"/>
  <c r="K1404" i="2" s="1"/>
  <c r="L1404" i="2" s="1"/>
  <c r="I2440" i="2"/>
  <c r="J2440" i="2" s="1"/>
  <c r="K2440" i="2" s="1"/>
  <c r="L2440" i="2" s="1"/>
  <c r="I2107" i="2"/>
  <c r="J2107" i="2" s="1"/>
  <c r="K2107" i="2" s="1"/>
  <c r="L2107" i="2" s="1"/>
  <c r="I2924" i="2"/>
  <c r="J2924" i="2" s="1"/>
  <c r="K2924" i="2" s="1"/>
  <c r="L2924" i="2" s="1"/>
  <c r="I1405" i="2"/>
  <c r="J1405" i="2" s="1"/>
  <c r="K1405" i="2" s="1"/>
  <c r="L1405" i="2" s="1"/>
  <c r="I435" i="2"/>
  <c r="J435" i="2" s="1"/>
  <c r="K435" i="2" s="1"/>
  <c r="L435" i="2" s="1"/>
  <c r="I1861" i="2"/>
  <c r="J1861" i="2" s="1"/>
  <c r="K1861" i="2" s="1"/>
  <c r="L1861" i="2" s="1"/>
  <c r="I346" i="2"/>
  <c r="J346" i="2" s="1"/>
  <c r="K346" i="2" s="1"/>
  <c r="L346" i="2" s="1"/>
  <c r="I575" i="2"/>
  <c r="J575" i="2" s="1"/>
  <c r="K575" i="2" s="1"/>
  <c r="L575" i="2" s="1"/>
  <c r="I2441" i="2"/>
  <c r="J2441" i="2" s="1"/>
  <c r="K2441" i="2" s="1"/>
  <c r="L2441" i="2" s="1"/>
  <c r="I1547" i="2"/>
  <c r="J1547" i="2" s="1"/>
  <c r="K1547" i="2" s="1"/>
  <c r="L1547" i="2" s="1"/>
  <c r="I1548" i="2"/>
  <c r="J1548" i="2" s="1"/>
  <c r="K1548" i="2" s="1"/>
  <c r="L1548" i="2" s="1"/>
  <c r="I576" i="2"/>
  <c r="J576" i="2" s="1"/>
  <c r="K576" i="2" s="1"/>
  <c r="L576" i="2" s="1"/>
  <c r="I2897" i="2"/>
  <c r="J2897" i="2" s="1"/>
  <c r="K2897" i="2" s="1"/>
  <c r="L2897" i="2" s="1"/>
  <c r="I1862" i="2"/>
  <c r="J1862" i="2" s="1"/>
  <c r="K1862" i="2" s="1"/>
  <c r="L1862" i="2" s="1"/>
  <c r="I577" i="2"/>
  <c r="J577" i="2" s="1"/>
  <c r="K577" i="2" s="1"/>
  <c r="L577" i="2" s="1"/>
  <c r="I1863" i="2"/>
  <c r="J1863" i="2" s="1"/>
  <c r="K1863" i="2" s="1"/>
  <c r="L1863" i="2" s="1"/>
  <c r="I2925" i="2"/>
  <c r="J2925" i="2" s="1"/>
  <c r="K2925" i="2" s="1"/>
  <c r="L2925" i="2" s="1"/>
  <c r="I2108" i="2"/>
  <c r="J2108" i="2" s="1"/>
  <c r="K2108" i="2" s="1"/>
  <c r="L2108" i="2" s="1"/>
  <c r="I578" i="2"/>
  <c r="J578" i="2" s="1"/>
  <c r="K578" i="2" s="1"/>
  <c r="L578" i="2" s="1"/>
  <c r="I2109" i="2"/>
  <c r="J2109" i="2" s="1"/>
  <c r="K2109" i="2" s="1"/>
  <c r="L2109" i="2" s="1"/>
  <c r="I579" i="2"/>
  <c r="J579" i="2" s="1"/>
  <c r="K579" i="2" s="1"/>
  <c r="L579" i="2" s="1"/>
  <c r="I23" i="2"/>
  <c r="J23" i="2" s="1"/>
  <c r="K23" i="2" s="1"/>
  <c r="L23" i="2" s="1"/>
  <c r="I1549" i="2"/>
  <c r="J1549" i="2" s="1"/>
  <c r="K1549" i="2" s="1"/>
  <c r="L1549" i="2" s="1"/>
  <c r="I1121" i="2"/>
  <c r="J1121" i="2" s="1"/>
  <c r="K1121" i="2" s="1"/>
  <c r="L1121" i="2" s="1"/>
  <c r="I1550" i="2"/>
  <c r="J1550" i="2" s="1"/>
  <c r="K1550" i="2" s="1"/>
  <c r="L1550" i="2" s="1"/>
  <c r="I277" i="2"/>
  <c r="J277" i="2" s="1"/>
  <c r="K277" i="2" s="1"/>
  <c r="L277" i="2" s="1"/>
  <c r="I2926" i="2"/>
  <c r="J2926" i="2" s="1"/>
  <c r="K2926" i="2" s="1"/>
  <c r="L2926" i="2" s="1"/>
  <c r="I2442" i="2"/>
  <c r="J2442" i="2" s="1"/>
  <c r="K2442" i="2" s="1"/>
  <c r="L2442" i="2" s="1"/>
  <c r="I580" i="2"/>
  <c r="J580" i="2" s="1"/>
  <c r="K580" i="2" s="1"/>
  <c r="L580" i="2" s="1"/>
  <c r="I2606" i="2"/>
  <c r="J2606" i="2" s="1"/>
  <c r="K2606" i="2" s="1"/>
  <c r="L2606" i="2" s="1"/>
  <c r="I1218" i="2"/>
  <c r="J1218" i="2" s="1"/>
  <c r="K1218" i="2" s="1"/>
  <c r="L1218" i="2" s="1"/>
  <c r="I581" i="2"/>
  <c r="J581" i="2" s="1"/>
  <c r="K581" i="2" s="1"/>
  <c r="L581" i="2" s="1"/>
  <c r="I2806" i="2"/>
  <c r="J2806" i="2" s="1"/>
  <c r="K2806" i="2" s="1"/>
  <c r="L2806" i="2" s="1"/>
  <c r="I582" i="2"/>
  <c r="J582" i="2" s="1"/>
  <c r="K582" i="2" s="1"/>
  <c r="L582" i="2" s="1"/>
  <c r="I2110" i="2"/>
  <c r="J2110" i="2" s="1"/>
  <c r="K2110" i="2" s="1"/>
  <c r="L2110" i="2" s="1"/>
  <c r="I1219" i="2"/>
  <c r="J1219" i="2" s="1"/>
  <c r="K1219" i="2" s="1"/>
  <c r="L1219" i="2" s="1"/>
  <c r="I583" i="2"/>
  <c r="J583" i="2" s="1"/>
  <c r="K583" i="2" s="1"/>
  <c r="L583" i="2" s="1"/>
  <c r="I347" i="2"/>
  <c r="J347" i="2" s="1"/>
  <c r="K347" i="2" s="1"/>
  <c r="L347" i="2" s="1"/>
  <c r="I1513" i="2"/>
  <c r="J1513" i="2" s="1"/>
  <c r="K1513" i="2" s="1"/>
  <c r="L1513" i="2" s="1"/>
  <c r="I2111" i="2"/>
  <c r="J2111" i="2" s="1"/>
  <c r="K2111" i="2" s="1"/>
  <c r="L2111" i="2" s="1"/>
  <c r="I2443" i="2"/>
  <c r="J2443" i="2" s="1"/>
  <c r="K2443" i="2" s="1"/>
  <c r="L2443" i="2" s="1"/>
  <c r="I1008" i="2"/>
  <c r="J1008" i="2" s="1"/>
  <c r="K1008" i="2" s="1"/>
  <c r="L1008" i="2" s="1"/>
  <c r="I2807" i="2"/>
  <c r="J2807" i="2" s="1"/>
  <c r="K2807" i="2" s="1"/>
  <c r="L2807" i="2" s="1"/>
  <c r="I1864" i="2"/>
  <c r="J1864" i="2" s="1"/>
  <c r="K1864" i="2" s="1"/>
  <c r="L1864" i="2" s="1"/>
  <c r="I2808" i="2"/>
  <c r="J2808" i="2" s="1"/>
  <c r="K2808" i="2" s="1"/>
  <c r="L2808" i="2" s="1"/>
  <c r="I278" i="2"/>
  <c r="J278" i="2" s="1"/>
  <c r="K278" i="2" s="1"/>
  <c r="L278" i="2" s="1"/>
  <c r="I279" i="2"/>
  <c r="J279" i="2" s="1"/>
  <c r="K279" i="2" s="1"/>
  <c r="L279" i="2" s="1"/>
  <c r="I1787" i="2"/>
  <c r="J1787" i="2" s="1"/>
  <c r="K1787" i="2" s="1"/>
  <c r="L1787" i="2" s="1"/>
  <c r="I1122" i="2"/>
  <c r="J1122" i="2" s="1"/>
  <c r="K1122" i="2" s="1"/>
  <c r="L1122" i="2" s="1"/>
  <c r="I1551" i="2"/>
  <c r="J1551" i="2" s="1"/>
  <c r="K1551" i="2" s="1"/>
  <c r="L1551" i="2" s="1"/>
  <c r="I2444" i="2"/>
  <c r="J2444" i="2" s="1"/>
  <c r="K2444" i="2" s="1"/>
  <c r="L2444" i="2" s="1"/>
  <c r="I1220" i="2"/>
  <c r="J1220" i="2" s="1"/>
  <c r="K1220" i="2" s="1"/>
  <c r="L1220" i="2" s="1"/>
  <c r="I348" i="2"/>
  <c r="J348" i="2" s="1"/>
  <c r="K348" i="2" s="1"/>
  <c r="L348" i="2" s="1"/>
  <c r="I2112" i="2"/>
  <c r="J2112" i="2" s="1"/>
  <c r="K2112" i="2" s="1"/>
  <c r="L2112" i="2" s="1"/>
  <c r="I584" i="2"/>
  <c r="J584" i="2" s="1"/>
  <c r="K584" i="2" s="1"/>
  <c r="L584" i="2" s="1"/>
  <c r="I2445" i="2"/>
  <c r="J2445" i="2" s="1"/>
  <c r="K2445" i="2" s="1"/>
  <c r="L2445" i="2" s="1"/>
  <c r="I1406" i="2"/>
  <c r="J1406" i="2" s="1"/>
  <c r="K1406" i="2" s="1"/>
  <c r="L1406" i="2" s="1"/>
  <c r="I2113" i="2"/>
  <c r="J2113" i="2" s="1"/>
  <c r="K2113" i="2" s="1"/>
  <c r="L2113" i="2" s="1"/>
  <c r="I1221" i="2"/>
  <c r="J1221" i="2" s="1"/>
  <c r="K1221" i="2" s="1"/>
  <c r="L1221" i="2" s="1"/>
  <c r="I585" i="2"/>
  <c r="J585" i="2" s="1"/>
  <c r="K585" i="2" s="1"/>
  <c r="L585" i="2" s="1"/>
  <c r="I436" i="2"/>
  <c r="J436" i="2" s="1"/>
  <c r="K436" i="2" s="1"/>
  <c r="L436" i="2" s="1"/>
  <c r="I1865" i="2"/>
  <c r="J1865" i="2" s="1"/>
  <c r="K1865" i="2" s="1"/>
  <c r="L1865" i="2" s="1"/>
  <c r="I1509" i="2"/>
  <c r="J1509" i="2" s="1"/>
  <c r="K1509" i="2" s="1"/>
  <c r="L1509" i="2" s="1"/>
  <c r="I2114" i="2"/>
  <c r="J2114" i="2" s="1"/>
  <c r="K2114" i="2" s="1"/>
  <c r="L2114" i="2" s="1"/>
  <c r="I1788" i="2"/>
  <c r="J1788" i="2" s="1"/>
  <c r="K1788" i="2" s="1"/>
  <c r="L1788" i="2" s="1"/>
  <c r="I1866" i="2"/>
  <c r="J1866" i="2" s="1"/>
  <c r="K1866" i="2" s="1"/>
  <c r="L1866" i="2" s="1"/>
  <c r="I1552" i="2"/>
  <c r="J1552" i="2" s="1"/>
  <c r="K1552" i="2" s="1"/>
  <c r="L1552" i="2" s="1"/>
  <c r="I1009" i="2"/>
  <c r="J1009" i="2" s="1"/>
  <c r="K1009" i="2" s="1"/>
  <c r="L1009" i="2" s="1"/>
  <c r="I280" i="2"/>
  <c r="J280" i="2" s="1"/>
  <c r="K280" i="2" s="1"/>
  <c r="L280" i="2" s="1"/>
  <c r="I1123" i="2"/>
  <c r="J1123" i="2" s="1"/>
  <c r="K1123" i="2" s="1"/>
  <c r="L1123" i="2" s="1"/>
  <c r="I2889" i="2"/>
  <c r="J2889" i="2" s="1"/>
  <c r="K2889" i="2" s="1"/>
  <c r="L2889" i="2" s="1"/>
  <c r="I1124" i="2"/>
  <c r="J1124" i="2" s="1"/>
  <c r="K1124" i="2" s="1"/>
  <c r="L1124" i="2" s="1"/>
  <c r="I2927" i="2"/>
  <c r="J2927" i="2" s="1"/>
  <c r="K2927" i="2" s="1"/>
  <c r="L2927" i="2" s="1"/>
  <c r="I1125" i="2"/>
  <c r="J1125" i="2" s="1"/>
  <c r="K1125" i="2" s="1"/>
  <c r="L1125" i="2" s="1"/>
  <c r="I2928" i="2"/>
  <c r="J2928" i="2" s="1"/>
  <c r="K2928" i="2" s="1"/>
  <c r="L2928" i="2" s="1"/>
  <c r="I522" i="2"/>
  <c r="J522" i="2" s="1"/>
  <c r="K522" i="2" s="1"/>
  <c r="L522" i="2" s="1"/>
  <c r="I1789" i="2"/>
  <c r="J1789" i="2" s="1"/>
  <c r="K1789" i="2" s="1"/>
  <c r="L1789" i="2" s="1"/>
  <c r="I1083" i="2"/>
  <c r="J1083" i="2" s="1"/>
  <c r="K1083" i="2" s="1"/>
  <c r="L1083" i="2" s="1"/>
  <c r="I1222" i="2"/>
  <c r="J1222" i="2" s="1"/>
  <c r="K1222" i="2" s="1"/>
  <c r="L1222" i="2" s="1"/>
  <c r="I1071" i="2"/>
  <c r="J1071" i="2" s="1"/>
  <c r="K1071" i="2" s="1"/>
  <c r="L1071" i="2" s="1"/>
  <c r="I1223" i="2"/>
  <c r="J1223" i="2" s="1"/>
  <c r="K1223" i="2" s="1"/>
  <c r="L1223" i="2" s="1"/>
  <c r="I1553" i="2"/>
  <c r="J1553" i="2" s="1"/>
  <c r="K1553" i="2" s="1"/>
  <c r="L1553" i="2" s="1"/>
  <c r="I586" i="2"/>
  <c r="J586" i="2" s="1"/>
  <c r="K586" i="2" s="1"/>
  <c r="L586" i="2" s="1"/>
  <c r="I2929" i="2"/>
  <c r="J2929" i="2" s="1"/>
  <c r="K2929" i="2" s="1"/>
  <c r="L2929" i="2" s="1"/>
  <c r="I1224" i="2"/>
  <c r="J1224" i="2" s="1"/>
  <c r="K1224" i="2" s="1"/>
  <c r="L1224" i="2" s="1"/>
  <c r="I437" i="2"/>
  <c r="J437" i="2" s="1"/>
  <c r="K437" i="2" s="1"/>
  <c r="L437" i="2" s="1"/>
  <c r="I1554" i="2"/>
  <c r="J1554" i="2" s="1"/>
  <c r="K1554" i="2" s="1"/>
  <c r="L1554" i="2" s="1"/>
  <c r="I2115" i="2"/>
  <c r="J2115" i="2" s="1"/>
  <c r="K2115" i="2" s="1"/>
  <c r="L2115" i="2" s="1"/>
  <c r="I2607" i="2"/>
  <c r="J2607" i="2" s="1"/>
  <c r="K2607" i="2" s="1"/>
  <c r="L2607" i="2" s="1"/>
  <c r="I2930" i="2"/>
  <c r="J2930" i="2" s="1"/>
  <c r="K2930" i="2" s="1"/>
  <c r="L2930" i="2" s="1"/>
  <c r="I1555" i="2"/>
  <c r="J1555" i="2" s="1"/>
  <c r="K1555" i="2" s="1"/>
  <c r="L1555" i="2" s="1"/>
  <c r="I438" i="2"/>
  <c r="J438" i="2" s="1"/>
  <c r="K438" i="2" s="1"/>
  <c r="L438" i="2" s="1"/>
  <c r="I2116" i="2"/>
  <c r="J2116" i="2" s="1"/>
  <c r="K2116" i="2" s="1"/>
  <c r="L2116" i="2" s="1"/>
  <c r="I587" i="2"/>
  <c r="J587" i="2" s="1"/>
  <c r="K587" i="2" s="1"/>
  <c r="L587" i="2" s="1"/>
  <c r="I2117" i="2"/>
  <c r="J2117" i="2" s="1"/>
  <c r="K2117" i="2" s="1"/>
  <c r="L2117" i="2" s="1"/>
  <c r="I2608" i="2"/>
  <c r="J2608" i="2" s="1"/>
  <c r="K2608" i="2" s="1"/>
  <c r="L2608" i="2" s="1"/>
  <c r="I2759" i="2"/>
  <c r="J2759" i="2" s="1"/>
  <c r="K2759" i="2" s="1"/>
  <c r="L2759" i="2" s="1"/>
  <c r="I1556" i="2"/>
  <c r="J1556" i="2" s="1"/>
  <c r="K1556" i="2" s="1"/>
  <c r="L1556" i="2" s="1"/>
  <c r="I1867" i="2"/>
  <c r="J1867" i="2" s="1"/>
  <c r="K1867" i="2" s="1"/>
  <c r="L1867" i="2" s="1"/>
  <c r="I2118" i="2"/>
  <c r="J2118" i="2" s="1"/>
  <c r="K2118" i="2" s="1"/>
  <c r="L2118" i="2" s="1"/>
  <c r="I2446" i="2"/>
  <c r="J2446" i="2" s="1"/>
  <c r="K2446" i="2" s="1"/>
  <c r="L2446" i="2" s="1"/>
  <c r="I281" i="2"/>
  <c r="J281" i="2" s="1"/>
  <c r="K281" i="2" s="1"/>
  <c r="L281" i="2" s="1"/>
  <c r="I1407" i="2"/>
  <c r="J1407" i="2" s="1"/>
  <c r="K1407" i="2" s="1"/>
  <c r="L1407" i="2" s="1"/>
  <c r="I2809" i="2"/>
  <c r="J2809" i="2" s="1"/>
  <c r="K2809" i="2" s="1"/>
  <c r="L2809" i="2" s="1"/>
  <c r="I1126" i="2"/>
  <c r="J1126" i="2" s="1"/>
  <c r="K1126" i="2" s="1"/>
  <c r="L1126" i="2" s="1"/>
  <c r="I24" i="2"/>
  <c r="J24" i="2" s="1"/>
  <c r="K24" i="2" s="1"/>
  <c r="L24" i="2" s="1"/>
  <c r="I349" i="2"/>
  <c r="J349" i="2" s="1"/>
  <c r="K349" i="2" s="1"/>
  <c r="L349" i="2" s="1"/>
  <c r="I588" i="2"/>
  <c r="J588" i="2" s="1"/>
  <c r="K588" i="2" s="1"/>
  <c r="L588" i="2" s="1"/>
  <c r="I2119" i="2"/>
  <c r="J2119" i="2" s="1"/>
  <c r="K2119" i="2" s="1"/>
  <c r="L2119" i="2" s="1"/>
  <c r="I350" i="2"/>
  <c r="J350" i="2" s="1"/>
  <c r="K350" i="2" s="1"/>
  <c r="L350" i="2" s="1"/>
  <c r="I2120" i="2"/>
  <c r="J2120" i="2" s="1"/>
  <c r="K2120" i="2" s="1"/>
  <c r="L2120" i="2" s="1"/>
  <c r="I2931" i="2"/>
  <c r="J2931" i="2" s="1"/>
  <c r="K2931" i="2" s="1"/>
  <c r="L2931" i="2" s="1"/>
  <c r="I1225" i="2"/>
  <c r="J1225" i="2" s="1"/>
  <c r="K1225" i="2" s="1"/>
  <c r="L1225" i="2" s="1"/>
  <c r="I1557" i="2"/>
  <c r="J1557" i="2" s="1"/>
  <c r="K1557" i="2" s="1"/>
  <c r="L1557" i="2" s="1"/>
  <c r="I1558" i="2"/>
  <c r="J1558" i="2" s="1"/>
  <c r="K1558" i="2" s="1"/>
  <c r="L1558" i="2" s="1"/>
  <c r="I25" i="2"/>
  <c r="J25" i="2" s="1"/>
  <c r="K25" i="2" s="1"/>
  <c r="L25" i="2" s="1"/>
  <c r="I1868" i="2"/>
  <c r="J1868" i="2" s="1"/>
  <c r="K1868" i="2" s="1"/>
  <c r="L1868" i="2" s="1"/>
  <c r="I2447" i="2"/>
  <c r="J2447" i="2" s="1"/>
  <c r="K2447" i="2" s="1"/>
  <c r="L2447" i="2" s="1"/>
  <c r="I2121" i="2"/>
  <c r="J2121" i="2" s="1"/>
  <c r="K2121" i="2" s="1"/>
  <c r="L2121" i="2" s="1"/>
  <c r="I589" i="2"/>
  <c r="J589" i="2" s="1"/>
  <c r="K589" i="2" s="1"/>
  <c r="L589" i="2" s="1"/>
  <c r="I1010" i="2"/>
  <c r="J1010" i="2" s="1"/>
  <c r="K1010" i="2" s="1"/>
  <c r="L1010" i="2" s="1"/>
  <c r="I2122" i="2"/>
  <c r="J2122" i="2" s="1"/>
  <c r="K2122" i="2" s="1"/>
  <c r="L2122" i="2" s="1"/>
  <c r="I2123" i="2"/>
  <c r="J2123" i="2" s="1"/>
  <c r="K2123" i="2" s="1"/>
  <c r="L2123" i="2" s="1"/>
  <c r="I1559" i="2"/>
  <c r="J1559" i="2" s="1"/>
  <c r="K1559" i="2" s="1"/>
  <c r="L1559" i="2" s="1"/>
  <c r="I2760" i="2"/>
  <c r="J2760" i="2" s="1"/>
  <c r="K2760" i="2" s="1"/>
  <c r="L2760" i="2" s="1"/>
  <c r="I26" i="2"/>
  <c r="J26" i="2" s="1"/>
  <c r="K26" i="2" s="1"/>
  <c r="L26" i="2" s="1"/>
  <c r="I1560" i="2"/>
  <c r="J1560" i="2" s="1"/>
  <c r="K1560" i="2" s="1"/>
  <c r="L1560" i="2" s="1"/>
  <c r="I2609" i="2"/>
  <c r="J2609" i="2" s="1"/>
  <c r="K2609" i="2" s="1"/>
  <c r="L2609" i="2" s="1"/>
  <c r="I590" i="2"/>
  <c r="J590" i="2" s="1"/>
  <c r="K590" i="2" s="1"/>
  <c r="L590" i="2" s="1"/>
  <c r="I1226" i="2"/>
  <c r="J1226" i="2" s="1"/>
  <c r="K1226" i="2" s="1"/>
  <c r="L1226" i="2" s="1"/>
  <c r="I591" i="2"/>
  <c r="J591" i="2" s="1"/>
  <c r="K591" i="2" s="1"/>
  <c r="L591" i="2" s="1"/>
  <c r="I592" i="2"/>
  <c r="J592" i="2" s="1"/>
  <c r="K592" i="2" s="1"/>
  <c r="L592" i="2" s="1"/>
  <c r="I2124" i="2"/>
  <c r="J2124" i="2" s="1"/>
  <c r="K2124" i="2" s="1"/>
  <c r="L2124" i="2" s="1"/>
  <c r="I1127" i="2"/>
  <c r="J1127" i="2" s="1"/>
  <c r="K1127" i="2" s="1"/>
  <c r="L1127" i="2" s="1"/>
  <c r="I1561" i="2"/>
  <c r="J1561" i="2" s="1"/>
  <c r="K1561" i="2" s="1"/>
  <c r="L1561" i="2" s="1"/>
  <c r="I2125" i="2"/>
  <c r="J2125" i="2" s="1"/>
  <c r="K2125" i="2" s="1"/>
  <c r="L2125" i="2" s="1"/>
  <c r="I1790" i="2"/>
  <c r="J1790" i="2" s="1"/>
  <c r="K1790" i="2" s="1"/>
  <c r="L1790" i="2" s="1"/>
  <c r="I593" i="2"/>
  <c r="J593" i="2" s="1"/>
  <c r="K593" i="2" s="1"/>
  <c r="L593" i="2" s="1"/>
  <c r="I2448" i="2"/>
  <c r="J2448" i="2" s="1"/>
  <c r="K2448" i="2" s="1"/>
  <c r="L2448" i="2" s="1"/>
  <c r="I594" i="2"/>
  <c r="J594" i="2" s="1"/>
  <c r="K594" i="2" s="1"/>
  <c r="L594" i="2" s="1"/>
  <c r="I1011" i="2"/>
  <c r="J1011" i="2" s="1"/>
  <c r="K1011" i="2" s="1"/>
  <c r="L1011" i="2" s="1"/>
  <c r="I1227" i="2"/>
  <c r="J1227" i="2" s="1"/>
  <c r="K1227" i="2" s="1"/>
  <c r="L1227" i="2" s="1"/>
  <c r="I1869" i="2"/>
  <c r="J1869" i="2" s="1"/>
  <c r="K1869" i="2" s="1"/>
  <c r="L1869" i="2" s="1"/>
  <c r="I1870" i="2"/>
  <c r="J1870" i="2" s="1"/>
  <c r="K1870" i="2" s="1"/>
  <c r="L1870" i="2" s="1"/>
  <c r="I2610" i="2"/>
  <c r="J2610" i="2" s="1"/>
  <c r="K2610" i="2" s="1"/>
  <c r="L2610" i="2" s="1"/>
  <c r="I2932" i="2"/>
  <c r="J2932" i="2" s="1"/>
  <c r="K2932" i="2" s="1"/>
  <c r="L2932" i="2" s="1"/>
  <c r="I1562" i="2"/>
  <c r="J1562" i="2" s="1"/>
  <c r="K1562" i="2" s="1"/>
  <c r="L1562" i="2" s="1"/>
  <c r="I2126" i="2"/>
  <c r="J2126" i="2" s="1"/>
  <c r="K2126" i="2" s="1"/>
  <c r="L2126" i="2" s="1"/>
  <c r="I2127" i="2"/>
  <c r="J2127" i="2" s="1"/>
  <c r="K2127" i="2" s="1"/>
  <c r="L2127" i="2" s="1"/>
  <c r="I3168" i="2"/>
  <c r="J3168" i="2" s="1"/>
  <c r="K3168" i="2" s="1"/>
  <c r="L3168" i="2" s="1"/>
  <c r="I1563" i="2"/>
  <c r="J1563" i="2" s="1"/>
  <c r="K1563" i="2" s="1"/>
  <c r="L1563" i="2" s="1"/>
  <c r="I2128" i="2"/>
  <c r="J2128" i="2" s="1"/>
  <c r="K2128" i="2" s="1"/>
  <c r="L2128" i="2" s="1"/>
  <c r="I2129" i="2"/>
  <c r="J2129" i="2" s="1"/>
  <c r="K2129" i="2" s="1"/>
  <c r="L2129" i="2" s="1"/>
  <c r="I2130" i="2"/>
  <c r="J2130" i="2" s="1"/>
  <c r="K2130" i="2" s="1"/>
  <c r="L2130" i="2" s="1"/>
  <c r="I2933" i="2"/>
  <c r="J2933" i="2" s="1"/>
  <c r="K2933" i="2" s="1"/>
  <c r="L2933" i="2" s="1"/>
  <c r="I27" i="2"/>
  <c r="J27" i="2" s="1"/>
  <c r="K27" i="2" s="1"/>
  <c r="L27" i="2" s="1"/>
  <c r="I2449" i="2"/>
  <c r="J2449" i="2" s="1"/>
  <c r="K2449" i="2" s="1"/>
  <c r="L2449" i="2" s="1"/>
  <c r="I2450" i="2"/>
  <c r="J2450" i="2" s="1"/>
  <c r="K2450" i="2" s="1"/>
  <c r="L2450" i="2" s="1"/>
  <c r="I2451" i="2"/>
  <c r="J2451" i="2" s="1"/>
  <c r="K2451" i="2" s="1"/>
  <c r="L2451" i="2" s="1"/>
  <c r="I595" i="2"/>
  <c r="J595" i="2" s="1"/>
  <c r="K595" i="2" s="1"/>
  <c r="L595" i="2" s="1"/>
  <c r="I596" i="2"/>
  <c r="J596" i="2" s="1"/>
  <c r="K596" i="2" s="1"/>
  <c r="L596" i="2" s="1"/>
  <c r="I2131" i="2"/>
  <c r="J2131" i="2" s="1"/>
  <c r="K2131" i="2" s="1"/>
  <c r="L2131" i="2" s="1"/>
  <c r="I28" i="2"/>
  <c r="J28" i="2" s="1"/>
  <c r="K28" i="2" s="1"/>
  <c r="L28" i="2" s="1"/>
  <c r="I1564" i="2"/>
  <c r="J1564" i="2" s="1"/>
  <c r="K1564" i="2" s="1"/>
  <c r="L1564" i="2" s="1"/>
  <c r="I2132" i="2"/>
  <c r="J2132" i="2" s="1"/>
  <c r="K2132" i="2" s="1"/>
  <c r="L2132" i="2" s="1"/>
  <c r="I29" i="2"/>
  <c r="J29" i="2" s="1"/>
  <c r="K29" i="2" s="1"/>
  <c r="L29" i="2" s="1"/>
  <c r="I1565" i="2"/>
  <c r="J1565" i="2" s="1"/>
  <c r="K1565" i="2" s="1"/>
  <c r="L1565" i="2" s="1"/>
  <c r="I1566" i="2"/>
  <c r="J1566" i="2" s="1"/>
  <c r="K1566" i="2" s="1"/>
  <c r="L1566" i="2" s="1"/>
  <c r="I2133" i="2"/>
  <c r="J2133" i="2" s="1"/>
  <c r="K2133" i="2" s="1"/>
  <c r="L2133" i="2" s="1"/>
  <c r="I2611" i="2"/>
  <c r="J2611" i="2" s="1"/>
  <c r="K2611" i="2" s="1"/>
  <c r="L2611" i="2" s="1"/>
  <c r="I30" i="2"/>
  <c r="J30" i="2" s="1"/>
  <c r="K30" i="2" s="1"/>
  <c r="L30" i="2" s="1"/>
  <c r="I2612" i="2"/>
  <c r="J2612" i="2" s="1"/>
  <c r="K2612" i="2" s="1"/>
  <c r="L2612" i="2" s="1"/>
  <c r="I1567" i="2"/>
  <c r="J1567" i="2" s="1"/>
  <c r="K1567" i="2" s="1"/>
  <c r="L1567" i="2" s="1"/>
  <c r="I2613" i="2"/>
  <c r="J2613" i="2" s="1"/>
  <c r="K2613" i="2" s="1"/>
  <c r="L2613" i="2" s="1"/>
  <c r="I1568" i="2"/>
  <c r="J1568" i="2" s="1"/>
  <c r="K1568" i="2" s="1"/>
  <c r="L1568" i="2" s="1"/>
  <c r="I1228" i="2"/>
  <c r="J1228" i="2" s="1"/>
  <c r="K1228" i="2" s="1"/>
  <c r="L1228" i="2" s="1"/>
  <c r="I2134" i="2"/>
  <c r="J2134" i="2" s="1"/>
  <c r="K2134" i="2" s="1"/>
  <c r="L2134" i="2" s="1"/>
  <c r="I1408" i="2"/>
  <c r="J1408" i="2" s="1"/>
  <c r="K1408" i="2" s="1"/>
  <c r="L1408" i="2" s="1"/>
  <c r="I2810" i="2"/>
  <c r="J2810" i="2" s="1"/>
  <c r="K2810" i="2" s="1"/>
  <c r="L2810" i="2" s="1"/>
  <c r="I2934" i="2"/>
  <c r="J2934" i="2" s="1"/>
  <c r="K2934" i="2" s="1"/>
  <c r="L2934" i="2" s="1"/>
  <c r="I597" i="2"/>
  <c r="J597" i="2" s="1"/>
  <c r="K597" i="2" s="1"/>
  <c r="L597" i="2" s="1"/>
  <c r="I1871" i="2"/>
  <c r="J1871" i="2" s="1"/>
  <c r="K1871" i="2" s="1"/>
  <c r="L1871" i="2" s="1"/>
  <c r="I1569" i="2"/>
  <c r="J1569" i="2" s="1"/>
  <c r="K1569" i="2" s="1"/>
  <c r="L1569" i="2" s="1"/>
  <c r="I2935" i="2"/>
  <c r="J2935" i="2" s="1"/>
  <c r="K2935" i="2" s="1"/>
  <c r="L2935" i="2" s="1"/>
  <c r="I1872" i="2"/>
  <c r="J1872" i="2" s="1"/>
  <c r="K1872" i="2" s="1"/>
  <c r="L1872" i="2" s="1"/>
  <c r="I31" i="2"/>
  <c r="J31" i="2" s="1"/>
  <c r="K31" i="2" s="1"/>
  <c r="L31" i="2" s="1"/>
  <c r="I2936" i="2"/>
  <c r="J2936" i="2" s="1"/>
  <c r="K2936" i="2" s="1"/>
  <c r="L2936" i="2" s="1"/>
  <c r="I598" i="2"/>
  <c r="J598" i="2" s="1"/>
  <c r="K598" i="2" s="1"/>
  <c r="L598" i="2" s="1"/>
  <c r="I2937" i="2"/>
  <c r="J2937" i="2" s="1"/>
  <c r="K2937" i="2" s="1"/>
  <c r="L2937" i="2" s="1"/>
  <c r="I2452" i="2"/>
  <c r="J2452" i="2" s="1"/>
  <c r="K2452" i="2" s="1"/>
  <c r="L2452" i="2" s="1"/>
  <c r="I1873" i="2"/>
  <c r="J1873" i="2" s="1"/>
  <c r="K1873" i="2" s="1"/>
  <c r="L1873" i="2" s="1"/>
  <c r="I1229" i="2"/>
  <c r="J1229" i="2" s="1"/>
  <c r="K1229" i="2" s="1"/>
  <c r="L1229" i="2" s="1"/>
  <c r="I32" i="2"/>
  <c r="J32" i="2" s="1"/>
  <c r="K32" i="2" s="1"/>
  <c r="L32" i="2" s="1"/>
  <c r="I2135" i="2"/>
  <c r="J2135" i="2" s="1"/>
  <c r="K2135" i="2" s="1"/>
  <c r="L2135" i="2" s="1"/>
  <c r="I439" i="2"/>
  <c r="J439" i="2" s="1"/>
  <c r="K439" i="2" s="1"/>
  <c r="L439" i="2" s="1"/>
  <c r="I2136" i="2"/>
  <c r="J2136" i="2" s="1"/>
  <c r="K2136" i="2" s="1"/>
  <c r="L2136" i="2" s="1"/>
  <c r="I2938" i="2"/>
  <c r="J2938" i="2" s="1"/>
  <c r="K2938" i="2" s="1"/>
  <c r="L2938" i="2" s="1"/>
  <c r="I2453" i="2"/>
  <c r="J2453" i="2" s="1"/>
  <c r="K2453" i="2" s="1"/>
  <c r="L2453" i="2" s="1"/>
  <c r="I2811" i="2"/>
  <c r="J2811" i="2" s="1"/>
  <c r="K2811" i="2" s="1"/>
  <c r="L2811" i="2" s="1"/>
  <c r="I2075" i="2"/>
  <c r="J2075" i="2" s="1"/>
  <c r="K2075" i="2" s="1"/>
  <c r="L2075" i="2" s="1"/>
  <c r="I1072" i="2"/>
  <c r="J1072" i="2" s="1"/>
  <c r="K1072" i="2" s="1"/>
  <c r="L1072" i="2" s="1"/>
  <c r="I282" i="2"/>
  <c r="J282" i="2" s="1"/>
  <c r="K282" i="2" s="1"/>
  <c r="L282" i="2" s="1"/>
  <c r="I2137" i="2"/>
  <c r="J2137" i="2" s="1"/>
  <c r="K2137" i="2" s="1"/>
  <c r="L2137" i="2" s="1"/>
  <c r="I2138" i="2"/>
  <c r="J2138" i="2" s="1"/>
  <c r="K2138" i="2" s="1"/>
  <c r="L2138" i="2" s="1"/>
  <c r="I2139" i="2"/>
  <c r="J2139" i="2" s="1"/>
  <c r="K2139" i="2" s="1"/>
  <c r="L2139" i="2" s="1"/>
  <c r="I2939" i="2"/>
  <c r="J2939" i="2" s="1"/>
  <c r="K2939" i="2" s="1"/>
  <c r="L2939" i="2" s="1"/>
  <c r="I1230" i="2"/>
  <c r="J1230" i="2" s="1"/>
  <c r="K1230" i="2" s="1"/>
  <c r="L1230" i="2" s="1"/>
  <c r="I599" i="2"/>
  <c r="J599" i="2" s="1"/>
  <c r="K599" i="2" s="1"/>
  <c r="L599" i="2" s="1"/>
  <c r="I1570" i="2"/>
  <c r="J1570" i="2" s="1"/>
  <c r="K1570" i="2" s="1"/>
  <c r="L1570" i="2" s="1"/>
  <c r="I1571" i="2"/>
  <c r="J1571" i="2" s="1"/>
  <c r="K1571" i="2" s="1"/>
  <c r="L1571" i="2" s="1"/>
  <c r="I2454" i="2"/>
  <c r="J2454" i="2" s="1"/>
  <c r="K2454" i="2" s="1"/>
  <c r="L2454" i="2" s="1"/>
  <c r="I600" i="2"/>
  <c r="J600" i="2" s="1"/>
  <c r="K600" i="2" s="1"/>
  <c r="L600" i="2" s="1"/>
  <c r="I440" i="2"/>
  <c r="J440" i="2" s="1"/>
  <c r="K440" i="2" s="1"/>
  <c r="L440" i="2" s="1"/>
  <c r="I2940" i="2"/>
  <c r="J2940" i="2" s="1"/>
  <c r="K2940" i="2" s="1"/>
  <c r="L2940" i="2" s="1"/>
  <c r="I1409" i="2"/>
  <c r="J1409" i="2" s="1"/>
  <c r="K1409" i="2" s="1"/>
  <c r="L1409" i="2" s="1"/>
  <c r="I2455" i="2"/>
  <c r="J2455" i="2" s="1"/>
  <c r="K2455" i="2" s="1"/>
  <c r="L2455" i="2" s="1"/>
  <c r="I1874" i="2"/>
  <c r="J1874" i="2" s="1"/>
  <c r="K1874" i="2" s="1"/>
  <c r="L1874" i="2" s="1"/>
  <c r="I601" i="2"/>
  <c r="J601" i="2" s="1"/>
  <c r="K601" i="2" s="1"/>
  <c r="L601" i="2" s="1"/>
  <c r="I3116" i="2"/>
  <c r="J3116" i="2" s="1"/>
  <c r="K3116" i="2" s="1"/>
  <c r="L3116" i="2" s="1"/>
  <c r="I33" i="2"/>
  <c r="J33" i="2" s="1"/>
  <c r="K33" i="2" s="1"/>
  <c r="L33" i="2" s="1"/>
  <c r="I1572" i="2"/>
  <c r="J1572" i="2" s="1"/>
  <c r="K1572" i="2" s="1"/>
  <c r="L1572" i="2" s="1"/>
  <c r="I2614" i="2"/>
  <c r="J2614" i="2" s="1"/>
  <c r="K2614" i="2" s="1"/>
  <c r="L2614" i="2" s="1"/>
  <c r="I1875" i="2"/>
  <c r="J1875" i="2" s="1"/>
  <c r="K1875" i="2" s="1"/>
  <c r="L1875" i="2" s="1"/>
  <c r="I1410" i="2"/>
  <c r="J1410" i="2" s="1"/>
  <c r="K1410" i="2" s="1"/>
  <c r="L1410" i="2" s="1"/>
  <c r="I2140" i="2"/>
  <c r="J2140" i="2" s="1"/>
  <c r="K2140" i="2" s="1"/>
  <c r="L2140" i="2" s="1"/>
  <c r="I2141" i="2"/>
  <c r="J2141" i="2" s="1"/>
  <c r="K2141" i="2" s="1"/>
  <c r="L2141" i="2" s="1"/>
  <c r="I602" i="2"/>
  <c r="J602" i="2" s="1"/>
  <c r="K602" i="2" s="1"/>
  <c r="L602" i="2" s="1"/>
  <c r="I603" i="2"/>
  <c r="J603" i="2" s="1"/>
  <c r="K603" i="2" s="1"/>
  <c r="L603" i="2" s="1"/>
  <c r="I2615" i="2"/>
  <c r="J2615" i="2" s="1"/>
  <c r="K2615" i="2" s="1"/>
  <c r="L2615" i="2" s="1"/>
  <c r="I1231" i="2"/>
  <c r="J1231" i="2" s="1"/>
  <c r="K1231" i="2" s="1"/>
  <c r="L1231" i="2" s="1"/>
  <c r="I1573" i="2"/>
  <c r="J1573" i="2" s="1"/>
  <c r="K1573" i="2" s="1"/>
  <c r="L1573" i="2" s="1"/>
  <c r="I604" i="2"/>
  <c r="J604" i="2" s="1"/>
  <c r="K604" i="2" s="1"/>
  <c r="L604" i="2" s="1"/>
  <c r="I1876" i="2"/>
  <c r="J1876" i="2" s="1"/>
  <c r="K1876" i="2" s="1"/>
  <c r="L1876" i="2" s="1"/>
  <c r="I1411" i="2"/>
  <c r="J1411" i="2" s="1"/>
  <c r="K1411" i="2" s="1"/>
  <c r="L1411" i="2" s="1"/>
  <c r="I2761" i="2"/>
  <c r="J2761" i="2" s="1"/>
  <c r="K2761" i="2" s="1"/>
  <c r="L2761" i="2" s="1"/>
  <c r="I1574" i="2"/>
  <c r="J1574" i="2" s="1"/>
  <c r="K1574" i="2" s="1"/>
  <c r="L1574" i="2" s="1"/>
  <c r="I605" i="2"/>
  <c r="J605" i="2" s="1"/>
  <c r="K605" i="2" s="1"/>
  <c r="L605" i="2" s="1"/>
  <c r="I3151" i="2"/>
  <c r="J3151" i="2" s="1"/>
  <c r="K3151" i="2" s="1"/>
  <c r="L3151" i="2" s="1"/>
  <c r="I2142" i="2"/>
  <c r="J2142" i="2" s="1"/>
  <c r="K2142" i="2" s="1"/>
  <c r="L2142" i="2" s="1"/>
  <c r="I2762" i="2"/>
  <c r="J2762" i="2" s="1"/>
  <c r="K2762" i="2" s="1"/>
  <c r="L2762" i="2" s="1"/>
  <c r="I2616" i="2"/>
  <c r="J2616" i="2" s="1"/>
  <c r="K2616" i="2" s="1"/>
  <c r="L2616" i="2" s="1"/>
  <c r="I34" i="2"/>
  <c r="J34" i="2" s="1"/>
  <c r="K34" i="2" s="1"/>
  <c r="L34" i="2" s="1"/>
  <c r="I1012" i="2"/>
  <c r="J1012" i="2" s="1"/>
  <c r="K1012" i="2" s="1"/>
  <c r="L1012" i="2" s="1"/>
  <c r="I2617" i="2"/>
  <c r="J2617" i="2" s="1"/>
  <c r="K2617" i="2" s="1"/>
  <c r="L2617" i="2" s="1"/>
  <c r="I1232" i="2"/>
  <c r="J1232" i="2" s="1"/>
  <c r="K1232" i="2" s="1"/>
  <c r="L1232" i="2" s="1"/>
  <c r="I35" i="2"/>
  <c r="J35" i="2" s="1"/>
  <c r="K35" i="2" s="1"/>
  <c r="L35" i="2" s="1"/>
  <c r="I2143" i="2"/>
  <c r="J2143" i="2" s="1"/>
  <c r="K2143" i="2" s="1"/>
  <c r="L2143" i="2" s="1"/>
  <c r="I1791" i="2"/>
  <c r="J1791" i="2" s="1"/>
  <c r="K1791" i="2" s="1"/>
  <c r="L1791" i="2" s="1"/>
  <c r="I1233" i="2"/>
  <c r="J1233" i="2" s="1"/>
  <c r="K1233" i="2" s="1"/>
  <c r="L1233" i="2" s="1"/>
  <c r="I1013" i="2"/>
  <c r="J1013" i="2" s="1"/>
  <c r="K1013" i="2" s="1"/>
  <c r="L1013" i="2" s="1"/>
  <c r="I2456" i="2"/>
  <c r="J2456" i="2" s="1"/>
  <c r="K2456" i="2" s="1"/>
  <c r="L2456" i="2" s="1"/>
  <c r="I606" i="2"/>
  <c r="J606" i="2" s="1"/>
  <c r="K606" i="2" s="1"/>
  <c r="L606" i="2" s="1"/>
  <c r="I36" i="2"/>
  <c r="J36" i="2" s="1"/>
  <c r="K36" i="2" s="1"/>
  <c r="L36" i="2" s="1"/>
  <c r="I441" i="2"/>
  <c r="J441" i="2" s="1"/>
  <c r="K441" i="2" s="1"/>
  <c r="L441" i="2" s="1"/>
  <c r="I2144" i="2"/>
  <c r="J2144" i="2" s="1"/>
  <c r="K2144" i="2" s="1"/>
  <c r="L2144" i="2" s="1"/>
  <c r="I607" i="2"/>
  <c r="J607" i="2" s="1"/>
  <c r="K607" i="2" s="1"/>
  <c r="L607" i="2" s="1"/>
  <c r="I608" i="2"/>
  <c r="J608" i="2" s="1"/>
  <c r="K608" i="2" s="1"/>
  <c r="L608" i="2" s="1"/>
  <c r="I1503" i="2"/>
  <c r="J1503" i="2" s="1"/>
  <c r="K1503" i="2" s="1"/>
  <c r="L1503" i="2" s="1"/>
  <c r="I2145" i="2"/>
  <c r="J2145" i="2" s="1"/>
  <c r="K2145" i="2" s="1"/>
  <c r="L2145" i="2" s="1"/>
  <c r="I2146" i="2"/>
  <c r="J2146" i="2" s="1"/>
  <c r="K2146" i="2" s="1"/>
  <c r="L2146" i="2" s="1"/>
  <c r="I609" i="2"/>
  <c r="J609" i="2" s="1"/>
  <c r="K609" i="2" s="1"/>
  <c r="L609" i="2" s="1"/>
  <c r="I1877" i="2"/>
  <c r="J1877" i="2" s="1"/>
  <c r="K1877" i="2" s="1"/>
  <c r="L1877" i="2" s="1"/>
  <c r="I2147" i="2"/>
  <c r="J2147" i="2" s="1"/>
  <c r="K2147" i="2" s="1"/>
  <c r="L2147" i="2" s="1"/>
  <c r="I610" i="2"/>
  <c r="J610" i="2" s="1"/>
  <c r="K610" i="2" s="1"/>
  <c r="L610" i="2" s="1"/>
  <c r="I2812" i="2"/>
  <c r="J2812" i="2" s="1"/>
  <c r="K2812" i="2" s="1"/>
  <c r="L2812" i="2" s="1"/>
  <c r="I1412" i="2"/>
  <c r="J1412" i="2" s="1"/>
  <c r="K1412" i="2" s="1"/>
  <c r="L1412" i="2" s="1"/>
  <c r="I3152" i="2"/>
  <c r="J3152" i="2" s="1"/>
  <c r="K3152" i="2" s="1"/>
  <c r="L3152" i="2" s="1"/>
  <c r="I351" i="2"/>
  <c r="J351" i="2" s="1"/>
  <c r="K351" i="2" s="1"/>
  <c r="L351" i="2" s="1"/>
  <c r="I611" i="2"/>
  <c r="J611" i="2" s="1"/>
  <c r="K611" i="2" s="1"/>
  <c r="L611" i="2" s="1"/>
  <c r="I1413" i="2"/>
  <c r="J1413" i="2" s="1"/>
  <c r="K1413" i="2" s="1"/>
  <c r="L1413" i="2" s="1"/>
  <c r="I1414" i="2"/>
  <c r="J1414" i="2" s="1"/>
  <c r="K1414" i="2" s="1"/>
  <c r="L1414" i="2" s="1"/>
  <c r="I37" i="2"/>
  <c r="J37" i="2" s="1"/>
  <c r="K37" i="2" s="1"/>
  <c r="L37" i="2" s="1"/>
  <c r="I1575" i="2"/>
  <c r="J1575" i="2" s="1"/>
  <c r="K1575" i="2" s="1"/>
  <c r="L1575" i="2" s="1"/>
  <c r="I283" i="2"/>
  <c r="J283" i="2" s="1"/>
  <c r="K283" i="2" s="1"/>
  <c r="L283" i="2" s="1"/>
  <c r="I2148" i="2"/>
  <c r="J2148" i="2" s="1"/>
  <c r="K2148" i="2" s="1"/>
  <c r="L2148" i="2" s="1"/>
  <c r="I1387" i="2"/>
  <c r="J1387" i="2" s="1"/>
  <c r="K1387" i="2" s="1"/>
  <c r="L1387" i="2" s="1"/>
  <c r="I2941" i="2"/>
  <c r="J2941" i="2" s="1"/>
  <c r="K2941" i="2" s="1"/>
  <c r="L2941" i="2" s="1"/>
  <c r="I2149" i="2"/>
  <c r="J2149" i="2" s="1"/>
  <c r="K2149" i="2" s="1"/>
  <c r="L2149" i="2" s="1"/>
  <c r="I1576" i="2"/>
  <c r="J1576" i="2" s="1"/>
  <c r="K1576" i="2" s="1"/>
  <c r="L1576" i="2" s="1"/>
  <c r="I1577" i="2"/>
  <c r="J1577" i="2" s="1"/>
  <c r="K1577" i="2" s="1"/>
  <c r="L1577" i="2" s="1"/>
  <c r="I38" i="2"/>
  <c r="J38" i="2" s="1"/>
  <c r="K38" i="2" s="1"/>
  <c r="L38" i="2" s="1"/>
  <c r="I1514" i="2"/>
  <c r="J1514" i="2" s="1"/>
  <c r="K1514" i="2" s="1"/>
  <c r="L1514" i="2" s="1"/>
  <c r="I2150" i="2"/>
  <c r="J2150" i="2" s="1"/>
  <c r="K2150" i="2" s="1"/>
  <c r="L2150" i="2" s="1"/>
  <c r="I39" i="2"/>
  <c r="J39" i="2" s="1"/>
  <c r="K39" i="2" s="1"/>
  <c r="L39" i="2" s="1"/>
  <c r="I442" i="2"/>
  <c r="J442" i="2" s="1"/>
  <c r="K442" i="2" s="1"/>
  <c r="L442" i="2" s="1"/>
  <c r="I2618" i="2"/>
  <c r="J2618" i="2" s="1"/>
  <c r="K2618" i="2" s="1"/>
  <c r="L2618" i="2" s="1"/>
  <c r="I1878" i="2"/>
  <c r="J1878" i="2" s="1"/>
  <c r="K1878" i="2" s="1"/>
  <c r="L1878" i="2" s="1"/>
  <c r="I443" i="2"/>
  <c r="J443" i="2" s="1"/>
  <c r="K443" i="2" s="1"/>
  <c r="L443" i="2" s="1"/>
  <c r="I1014" i="2"/>
  <c r="J1014" i="2" s="1"/>
  <c r="K1014" i="2" s="1"/>
  <c r="L1014" i="2" s="1"/>
  <c r="I1879" i="2"/>
  <c r="J1879" i="2" s="1"/>
  <c r="K1879" i="2" s="1"/>
  <c r="L1879" i="2" s="1"/>
  <c r="I1578" i="2"/>
  <c r="J1578" i="2" s="1"/>
  <c r="K1578" i="2" s="1"/>
  <c r="L1578" i="2" s="1"/>
  <c r="I3134" i="2"/>
  <c r="J3134" i="2" s="1"/>
  <c r="K3134" i="2" s="1"/>
  <c r="L3134" i="2" s="1"/>
  <c r="I1579" i="2"/>
  <c r="J1579" i="2" s="1"/>
  <c r="K1579" i="2" s="1"/>
  <c r="L1579" i="2" s="1"/>
  <c r="I2151" i="2"/>
  <c r="J2151" i="2" s="1"/>
  <c r="K2151" i="2" s="1"/>
  <c r="L2151" i="2" s="1"/>
  <c r="I519" i="2"/>
  <c r="J519" i="2" s="1"/>
  <c r="K519" i="2" s="1"/>
  <c r="L519" i="2" s="1"/>
  <c r="I1880" i="2"/>
  <c r="J1880" i="2" s="1"/>
  <c r="K1880" i="2" s="1"/>
  <c r="L1880" i="2" s="1"/>
  <c r="I2152" i="2"/>
  <c r="J2152" i="2" s="1"/>
  <c r="K2152" i="2" s="1"/>
  <c r="L2152" i="2" s="1"/>
  <c r="I1580" i="2"/>
  <c r="J1580" i="2" s="1"/>
  <c r="K1580" i="2" s="1"/>
  <c r="L1580" i="2" s="1"/>
  <c r="I2619" i="2"/>
  <c r="J2619" i="2" s="1"/>
  <c r="K2619" i="2" s="1"/>
  <c r="L2619" i="2" s="1"/>
  <c r="I1581" i="2"/>
  <c r="J1581" i="2" s="1"/>
  <c r="K1581" i="2" s="1"/>
  <c r="L1581" i="2" s="1"/>
  <c r="I2153" i="2"/>
  <c r="J2153" i="2" s="1"/>
  <c r="K2153" i="2" s="1"/>
  <c r="L2153" i="2" s="1"/>
  <c r="I2813" i="2"/>
  <c r="J2813" i="2" s="1"/>
  <c r="K2813" i="2" s="1"/>
  <c r="L2813" i="2" s="1"/>
  <c r="I2457" i="2"/>
  <c r="J2457" i="2" s="1"/>
  <c r="K2457" i="2" s="1"/>
  <c r="L2457" i="2" s="1"/>
  <c r="I40" i="2"/>
  <c r="J40" i="2" s="1"/>
  <c r="K40" i="2" s="1"/>
  <c r="L40" i="2" s="1"/>
  <c r="I1415" i="2"/>
  <c r="J1415" i="2" s="1"/>
  <c r="K1415" i="2" s="1"/>
  <c r="L1415" i="2" s="1"/>
  <c r="I2458" i="2"/>
  <c r="J2458" i="2" s="1"/>
  <c r="K2458" i="2" s="1"/>
  <c r="L2458" i="2" s="1"/>
  <c r="I612" i="2"/>
  <c r="J612" i="2" s="1"/>
  <c r="K612" i="2" s="1"/>
  <c r="L612" i="2" s="1"/>
  <c r="I2620" i="2"/>
  <c r="J2620" i="2" s="1"/>
  <c r="K2620" i="2" s="1"/>
  <c r="L2620" i="2" s="1"/>
  <c r="I284" i="2"/>
  <c r="J284" i="2" s="1"/>
  <c r="K284" i="2" s="1"/>
  <c r="L284" i="2" s="1"/>
  <c r="I613" i="2"/>
  <c r="J613" i="2" s="1"/>
  <c r="K613" i="2" s="1"/>
  <c r="L613" i="2" s="1"/>
  <c r="I2621" i="2"/>
  <c r="J2621" i="2" s="1"/>
  <c r="K2621" i="2" s="1"/>
  <c r="L2621" i="2" s="1"/>
  <c r="I1792" i="2"/>
  <c r="J1792" i="2" s="1"/>
  <c r="K1792" i="2" s="1"/>
  <c r="L1792" i="2" s="1"/>
  <c r="I1793" i="2"/>
  <c r="J1793" i="2" s="1"/>
  <c r="K1793" i="2" s="1"/>
  <c r="L1793" i="2" s="1"/>
  <c r="I1582" i="2"/>
  <c r="J1582" i="2" s="1"/>
  <c r="K1582" i="2" s="1"/>
  <c r="L1582" i="2" s="1"/>
  <c r="I1794" i="2"/>
  <c r="J1794" i="2" s="1"/>
  <c r="K1794" i="2" s="1"/>
  <c r="L1794" i="2" s="1"/>
  <c r="I2942" i="2"/>
  <c r="J2942" i="2" s="1"/>
  <c r="K2942" i="2" s="1"/>
  <c r="L2942" i="2" s="1"/>
  <c r="I41" i="2"/>
  <c r="J41" i="2" s="1"/>
  <c r="K41" i="2" s="1"/>
  <c r="L41" i="2" s="1"/>
  <c r="I2622" i="2"/>
  <c r="J2622" i="2" s="1"/>
  <c r="K2622" i="2" s="1"/>
  <c r="L2622" i="2" s="1"/>
  <c r="I1583" i="2"/>
  <c r="J1583" i="2" s="1"/>
  <c r="K1583" i="2" s="1"/>
  <c r="L1583" i="2" s="1"/>
  <c r="I614" i="2"/>
  <c r="J614" i="2" s="1"/>
  <c r="K614" i="2" s="1"/>
  <c r="L614" i="2" s="1"/>
  <c r="I1584" i="2"/>
  <c r="J1584" i="2" s="1"/>
  <c r="K1584" i="2" s="1"/>
  <c r="L1584" i="2" s="1"/>
  <c r="I2814" i="2"/>
  <c r="J2814" i="2" s="1"/>
  <c r="K2814" i="2" s="1"/>
  <c r="L2814" i="2" s="1"/>
  <c r="I615" i="2"/>
  <c r="J615" i="2" s="1"/>
  <c r="K615" i="2" s="1"/>
  <c r="L615" i="2" s="1"/>
  <c r="I1881" i="2"/>
  <c r="J1881" i="2" s="1"/>
  <c r="K1881" i="2" s="1"/>
  <c r="L1881" i="2" s="1"/>
  <c r="I2154" i="2"/>
  <c r="J2154" i="2" s="1"/>
  <c r="K2154" i="2" s="1"/>
  <c r="L2154" i="2" s="1"/>
  <c r="I1795" i="2"/>
  <c r="J1795" i="2" s="1"/>
  <c r="K1795" i="2" s="1"/>
  <c r="L1795" i="2" s="1"/>
  <c r="I352" i="2"/>
  <c r="J352" i="2" s="1"/>
  <c r="K352" i="2" s="1"/>
  <c r="L352" i="2" s="1"/>
  <c r="I2459" i="2"/>
  <c r="J2459" i="2" s="1"/>
  <c r="K2459" i="2" s="1"/>
  <c r="L2459" i="2" s="1"/>
  <c r="I1585" i="2"/>
  <c r="J1585" i="2" s="1"/>
  <c r="K1585" i="2" s="1"/>
  <c r="L1585" i="2" s="1"/>
  <c r="I2943" i="2"/>
  <c r="J2943" i="2" s="1"/>
  <c r="K2943" i="2" s="1"/>
  <c r="L2943" i="2" s="1"/>
  <c r="I42" i="2"/>
  <c r="J42" i="2" s="1"/>
  <c r="K42" i="2" s="1"/>
  <c r="L42" i="2" s="1"/>
  <c r="I2155" i="2"/>
  <c r="J2155" i="2" s="1"/>
  <c r="K2155" i="2" s="1"/>
  <c r="L2155" i="2" s="1"/>
  <c r="I2944" i="2"/>
  <c r="J2944" i="2" s="1"/>
  <c r="K2944" i="2" s="1"/>
  <c r="L2944" i="2" s="1"/>
  <c r="I1796" i="2"/>
  <c r="J1796" i="2" s="1"/>
  <c r="K1796" i="2" s="1"/>
  <c r="L1796" i="2" s="1"/>
  <c r="I43" i="2"/>
  <c r="J43" i="2" s="1"/>
  <c r="K43" i="2" s="1"/>
  <c r="L43" i="2" s="1"/>
  <c r="I2945" i="2"/>
  <c r="J2945" i="2" s="1"/>
  <c r="K2945" i="2" s="1"/>
  <c r="L2945" i="2" s="1"/>
  <c r="I616" i="2"/>
  <c r="J616" i="2" s="1"/>
  <c r="K616" i="2" s="1"/>
  <c r="L616" i="2" s="1"/>
  <c r="I353" i="2"/>
  <c r="J353" i="2" s="1"/>
  <c r="K353" i="2" s="1"/>
  <c r="L353" i="2" s="1"/>
  <c r="I617" i="2"/>
  <c r="J617" i="2" s="1"/>
  <c r="K617" i="2" s="1"/>
  <c r="L617" i="2" s="1"/>
  <c r="I1128" i="2"/>
  <c r="J1128" i="2" s="1"/>
  <c r="K1128" i="2" s="1"/>
  <c r="L1128" i="2" s="1"/>
  <c r="I1586" i="2"/>
  <c r="J1586" i="2" s="1"/>
  <c r="K1586" i="2" s="1"/>
  <c r="L1586" i="2" s="1"/>
  <c r="I2898" i="2"/>
  <c r="J2898" i="2" s="1"/>
  <c r="K2898" i="2" s="1"/>
  <c r="L2898" i="2" s="1"/>
  <c r="I1084" i="2"/>
  <c r="J1084" i="2" s="1"/>
  <c r="K1084" i="2" s="1"/>
  <c r="L1084" i="2" s="1"/>
  <c r="I1416" i="2"/>
  <c r="J1416" i="2" s="1"/>
  <c r="K1416" i="2" s="1"/>
  <c r="L1416" i="2" s="1"/>
  <c r="I2623" i="2"/>
  <c r="J2623" i="2" s="1"/>
  <c r="K2623" i="2" s="1"/>
  <c r="L2623" i="2" s="1"/>
  <c r="I1797" i="2"/>
  <c r="J1797" i="2" s="1"/>
  <c r="K1797" i="2" s="1"/>
  <c r="L1797" i="2" s="1"/>
  <c r="I1587" i="2"/>
  <c r="J1587" i="2" s="1"/>
  <c r="K1587" i="2" s="1"/>
  <c r="L1587" i="2" s="1"/>
  <c r="I2156" i="2"/>
  <c r="J2156" i="2" s="1"/>
  <c r="K2156" i="2" s="1"/>
  <c r="L2156" i="2" s="1"/>
  <c r="I1882" i="2"/>
  <c r="J1882" i="2" s="1"/>
  <c r="K1882" i="2" s="1"/>
  <c r="L1882" i="2" s="1"/>
  <c r="I618" i="2"/>
  <c r="J618" i="2" s="1"/>
  <c r="K618" i="2" s="1"/>
  <c r="L618" i="2" s="1"/>
  <c r="I1234" i="2"/>
  <c r="J1234" i="2" s="1"/>
  <c r="K1234" i="2" s="1"/>
  <c r="L1234" i="2" s="1"/>
  <c r="I1235" i="2"/>
  <c r="J1235" i="2" s="1"/>
  <c r="K1235" i="2" s="1"/>
  <c r="L1235" i="2" s="1"/>
  <c r="I1085" i="2"/>
  <c r="J1085" i="2" s="1"/>
  <c r="K1085" i="2" s="1"/>
  <c r="L1085" i="2" s="1"/>
  <c r="I619" i="2"/>
  <c r="J619" i="2" s="1"/>
  <c r="K619" i="2" s="1"/>
  <c r="L619" i="2" s="1"/>
  <c r="I2624" i="2"/>
  <c r="J2624" i="2" s="1"/>
  <c r="K2624" i="2" s="1"/>
  <c r="L2624" i="2" s="1"/>
  <c r="I1798" i="2"/>
  <c r="J1798" i="2" s="1"/>
  <c r="K1798" i="2" s="1"/>
  <c r="L1798" i="2" s="1"/>
  <c r="I2460" i="2"/>
  <c r="J2460" i="2" s="1"/>
  <c r="K2460" i="2" s="1"/>
  <c r="L2460" i="2" s="1"/>
  <c r="I2461" i="2"/>
  <c r="J2461" i="2" s="1"/>
  <c r="K2461" i="2" s="1"/>
  <c r="L2461" i="2" s="1"/>
  <c r="I44" i="2"/>
  <c r="J44" i="2" s="1"/>
  <c r="K44" i="2" s="1"/>
  <c r="L44" i="2" s="1"/>
  <c r="I444" i="2"/>
  <c r="J444" i="2" s="1"/>
  <c r="K444" i="2" s="1"/>
  <c r="L444" i="2" s="1"/>
  <c r="I1086" i="2"/>
  <c r="J1086" i="2" s="1"/>
  <c r="K1086" i="2" s="1"/>
  <c r="L1086" i="2" s="1"/>
  <c r="I354" i="2"/>
  <c r="J354" i="2" s="1"/>
  <c r="K354" i="2" s="1"/>
  <c r="L354" i="2" s="1"/>
  <c r="I445" i="2"/>
  <c r="J445" i="2" s="1"/>
  <c r="K445" i="2" s="1"/>
  <c r="L445" i="2" s="1"/>
  <c r="I1236" i="2"/>
  <c r="J1236" i="2" s="1"/>
  <c r="K1236" i="2" s="1"/>
  <c r="L1236" i="2" s="1"/>
  <c r="I2815" i="2"/>
  <c r="J2815" i="2" s="1"/>
  <c r="K2815" i="2" s="1"/>
  <c r="L2815" i="2" s="1"/>
  <c r="I2157" i="2"/>
  <c r="J2157" i="2" s="1"/>
  <c r="K2157" i="2" s="1"/>
  <c r="L2157" i="2" s="1"/>
  <c r="I620" i="2"/>
  <c r="J620" i="2" s="1"/>
  <c r="K620" i="2" s="1"/>
  <c r="L620" i="2" s="1"/>
  <c r="I45" i="2"/>
  <c r="J45" i="2" s="1"/>
  <c r="K45" i="2" s="1"/>
  <c r="L45" i="2" s="1"/>
  <c r="I1129" i="2"/>
  <c r="J1129" i="2" s="1"/>
  <c r="K1129" i="2" s="1"/>
  <c r="L1129" i="2" s="1"/>
  <c r="I2625" i="2"/>
  <c r="J2625" i="2" s="1"/>
  <c r="K2625" i="2" s="1"/>
  <c r="L2625" i="2" s="1"/>
  <c r="I2763" i="2"/>
  <c r="J2763" i="2" s="1"/>
  <c r="K2763" i="2" s="1"/>
  <c r="L2763" i="2" s="1"/>
  <c r="I2158" i="2"/>
  <c r="J2158" i="2" s="1"/>
  <c r="K2158" i="2" s="1"/>
  <c r="L2158" i="2" s="1"/>
  <c r="I2159" i="2"/>
  <c r="J2159" i="2" s="1"/>
  <c r="K2159" i="2" s="1"/>
  <c r="L2159" i="2" s="1"/>
  <c r="I2816" i="2"/>
  <c r="J2816" i="2" s="1"/>
  <c r="K2816" i="2" s="1"/>
  <c r="L2816" i="2" s="1"/>
  <c r="I2817" i="2"/>
  <c r="J2817" i="2" s="1"/>
  <c r="K2817" i="2" s="1"/>
  <c r="L2817" i="2" s="1"/>
  <c r="I2462" i="2"/>
  <c r="J2462" i="2" s="1"/>
  <c r="K2462" i="2" s="1"/>
  <c r="L2462" i="2" s="1"/>
  <c r="I621" i="2"/>
  <c r="J621" i="2" s="1"/>
  <c r="K621" i="2" s="1"/>
  <c r="L621" i="2" s="1"/>
  <c r="I1883" i="2"/>
  <c r="J1883" i="2" s="1"/>
  <c r="K1883" i="2" s="1"/>
  <c r="L1883" i="2" s="1"/>
  <c r="I2946" i="2"/>
  <c r="J2946" i="2" s="1"/>
  <c r="K2946" i="2" s="1"/>
  <c r="L2946" i="2" s="1"/>
  <c r="I1884" i="2"/>
  <c r="J1884" i="2" s="1"/>
  <c r="K1884" i="2" s="1"/>
  <c r="L1884" i="2" s="1"/>
  <c r="I46" i="2"/>
  <c r="J46" i="2" s="1"/>
  <c r="K46" i="2" s="1"/>
  <c r="L46" i="2" s="1"/>
  <c r="I47" i="2"/>
  <c r="J47" i="2" s="1"/>
  <c r="K47" i="2" s="1"/>
  <c r="L47" i="2" s="1"/>
  <c r="I1885" i="2"/>
  <c r="J1885" i="2" s="1"/>
  <c r="K1885" i="2" s="1"/>
  <c r="L1885" i="2" s="1"/>
  <c r="I1588" i="2"/>
  <c r="J1588" i="2" s="1"/>
  <c r="K1588" i="2" s="1"/>
  <c r="L1588" i="2" s="1"/>
  <c r="I1237" i="2"/>
  <c r="J1237" i="2" s="1"/>
  <c r="K1237" i="2" s="1"/>
  <c r="L1237" i="2" s="1"/>
  <c r="I1238" i="2"/>
  <c r="J1238" i="2" s="1"/>
  <c r="K1238" i="2" s="1"/>
  <c r="L1238" i="2" s="1"/>
  <c r="I1886" i="2"/>
  <c r="J1886" i="2" s="1"/>
  <c r="K1886" i="2" s="1"/>
  <c r="L1886" i="2" s="1"/>
  <c r="I2947" i="2"/>
  <c r="J2947" i="2" s="1"/>
  <c r="K2947" i="2" s="1"/>
  <c r="L2947" i="2" s="1"/>
  <c r="I2463" i="2"/>
  <c r="J2463" i="2" s="1"/>
  <c r="K2463" i="2" s="1"/>
  <c r="L2463" i="2" s="1"/>
  <c r="I1417" i="2"/>
  <c r="J1417" i="2" s="1"/>
  <c r="K1417" i="2" s="1"/>
  <c r="L1417" i="2" s="1"/>
  <c r="I622" i="2"/>
  <c r="J622" i="2" s="1"/>
  <c r="K622" i="2" s="1"/>
  <c r="L622" i="2" s="1"/>
  <c r="I623" i="2"/>
  <c r="J623" i="2" s="1"/>
  <c r="K623" i="2" s="1"/>
  <c r="L623" i="2" s="1"/>
  <c r="I3157" i="2"/>
  <c r="J3157" i="2" s="1"/>
  <c r="K3157" i="2" s="1"/>
  <c r="L3157" i="2" s="1"/>
  <c r="I1073" i="2"/>
  <c r="J1073" i="2" s="1"/>
  <c r="K1073" i="2" s="1"/>
  <c r="L1073" i="2" s="1"/>
  <c r="I1074" i="2"/>
  <c r="J1074" i="2" s="1"/>
  <c r="K1074" i="2" s="1"/>
  <c r="L1074" i="2" s="1"/>
  <c r="I1239" i="2"/>
  <c r="J1239" i="2" s="1"/>
  <c r="K1239" i="2" s="1"/>
  <c r="L1239" i="2" s="1"/>
  <c r="I624" i="2"/>
  <c r="J624" i="2" s="1"/>
  <c r="K624" i="2" s="1"/>
  <c r="L624" i="2" s="1"/>
  <c r="I625" i="2"/>
  <c r="J625" i="2" s="1"/>
  <c r="K625" i="2" s="1"/>
  <c r="L625" i="2" s="1"/>
  <c r="I626" i="2"/>
  <c r="J626" i="2" s="1"/>
  <c r="K626" i="2" s="1"/>
  <c r="L626" i="2" s="1"/>
  <c r="I2948" i="2"/>
  <c r="J2948" i="2" s="1"/>
  <c r="K2948" i="2" s="1"/>
  <c r="L2948" i="2" s="1"/>
  <c r="I1799" i="2"/>
  <c r="J1799" i="2" s="1"/>
  <c r="K1799" i="2" s="1"/>
  <c r="L1799" i="2" s="1"/>
  <c r="I2949" i="2"/>
  <c r="J2949" i="2" s="1"/>
  <c r="K2949" i="2" s="1"/>
  <c r="L2949" i="2" s="1"/>
  <c r="I627" i="2"/>
  <c r="J627" i="2" s="1"/>
  <c r="K627" i="2" s="1"/>
  <c r="L627" i="2" s="1"/>
  <c r="I2626" i="2"/>
  <c r="J2626" i="2" s="1"/>
  <c r="K2626" i="2" s="1"/>
  <c r="L2626" i="2" s="1"/>
  <c r="I2464" i="2"/>
  <c r="J2464" i="2" s="1"/>
  <c r="K2464" i="2" s="1"/>
  <c r="L2464" i="2" s="1"/>
  <c r="I1240" i="2"/>
  <c r="J1240" i="2" s="1"/>
  <c r="K1240" i="2" s="1"/>
  <c r="L1240" i="2" s="1"/>
  <c r="I1388" i="2"/>
  <c r="J1388" i="2" s="1"/>
  <c r="K1388" i="2" s="1"/>
  <c r="L1388" i="2" s="1"/>
  <c r="I1887" i="2"/>
  <c r="J1887" i="2" s="1"/>
  <c r="K1887" i="2" s="1"/>
  <c r="L1887" i="2" s="1"/>
  <c r="I628" i="2"/>
  <c r="J628" i="2" s="1"/>
  <c r="K628" i="2" s="1"/>
  <c r="L628" i="2" s="1"/>
  <c r="I1515" i="2"/>
  <c r="J1515" i="2" s="1"/>
  <c r="K1515" i="2" s="1"/>
  <c r="L1515" i="2" s="1"/>
  <c r="I446" i="2"/>
  <c r="J446" i="2" s="1"/>
  <c r="K446" i="2" s="1"/>
  <c r="L446" i="2" s="1"/>
  <c r="I2627" i="2"/>
  <c r="J2627" i="2" s="1"/>
  <c r="K2627" i="2" s="1"/>
  <c r="L2627" i="2" s="1"/>
  <c r="I1418" i="2"/>
  <c r="J1418" i="2" s="1"/>
  <c r="K1418" i="2" s="1"/>
  <c r="L1418" i="2" s="1"/>
  <c r="I48" i="2"/>
  <c r="J48" i="2" s="1"/>
  <c r="K48" i="2" s="1"/>
  <c r="L48" i="2" s="1"/>
  <c r="I629" i="2"/>
  <c r="J629" i="2" s="1"/>
  <c r="K629" i="2" s="1"/>
  <c r="L629" i="2" s="1"/>
  <c r="I1589" i="2"/>
  <c r="J1589" i="2" s="1"/>
  <c r="K1589" i="2" s="1"/>
  <c r="L1589" i="2" s="1"/>
  <c r="I630" i="2"/>
  <c r="J630" i="2" s="1"/>
  <c r="K630" i="2" s="1"/>
  <c r="L630" i="2" s="1"/>
  <c r="I1590" i="2"/>
  <c r="J1590" i="2" s="1"/>
  <c r="K1590" i="2" s="1"/>
  <c r="L1590" i="2" s="1"/>
  <c r="I523" i="2"/>
  <c r="J523" i="2" s="1"/>
  <c r="K523" i="2" s="1"/>
  <c r="L523" i="2" s="1"/>
  <c r="I1087" i="2"/>
  <c r="J1087" i="2" s="1"/>
  <c r="K1087" i="2" s="1"/>
  <c r="L1087" i="2" s="1"/>
  <c r="I49" i="2"/>
  <c r="J49" i="2" s="1"/>
  <c r="K49" i="2" s="1"/>
  <c r="L49" i="2" s="1"/>
  <c r="I524" i="2"/>
  <c r="J524" i="2" s="1"/>
  <c r="K524" i="2" s="1"/>
  <c r="L524" i="2" s="1"/>
  <c r="I2160" i="2"/>
  <c r="J2160" i="2" s="1"/>
  <c r="K2160" i="2" s="1"/>
  <c r="L2160" i="2" s="1"/>
  <c r="I50" i="2"/>
  <c r="J50" i="2" s="1"/>
  <c r="K50" i="2" s="1"/>
  <c r="L50" i="2" s="1"/>
  <c r="I1888" i="2"/>
  <c r="J1888" i="2" s="1"/>
  <c r="K1888" i="2" s="1"/>
  <c r="L1888" i="2" s="1"/>
  <c r="I2950" i="2"/>
  <c r="J2950" i="2" s="1"/>
  <c r="K2950" i="2" s="1"/>
  <c r="L2950" i="2" s="1"/>
  <c r="I1591" i="2"/>
  <c r="J1591" i="2" s="1"/>
  <c r="K1591" i="2" s="1"/>
  <c r="L1591" i="2" s="1"/>
  <c r="I2628" i="2"/>
  <c r="J2628" i="2" s="1"/>
  <c r="K2628" i="2" s="1"/>
  <c r="L2628" i="2" s="1"/>
  <c r="I1889" i="2"/>
  <c r="J1889" i="2" s="1"/>
  <c r="K1889" i="2" s="1"/>
  <c r="L1889" i="2" s="1"/>
  <c r="I525" i="2"/>
  <c r="J525" i="2" s="1"/>
  <c r="K525" i="2" s="1"/>
  <c r="L525" i="2" s="1"/>
  <c r="I1890" i="2"/>
  <c r="J1890" i="2" s="1"/>
  <c r="K1890" i="2" s="1"/>
  <c r="L1890" i="2" s="1"/>
  <c r="I1891" i="2"/>
  <c r="J1891" i="2" s="1"/>
  <c r="K1891" i="2" s="1"/>
  <c r="L1891" i="2" s="1"/>
  <c r="I1015" i="2"/>
  <c r="J1015" i="2" s="1"/>
  <c r="K1015" i="2" s="1"/>
  <c r="L1015" i="2" s="1"/>
  <c r="I1892" i="2"/>
  <c r="J1892" i="2" s="1"/>
  <c r="K1892" i="2" s="1"/>
  <c r="L1892" i="2" s="1"/>
  <c r="I1893" i="2"/>
  <c r="J1893" i="2" s="1"/>
  <c r="K1893" i="2" s="1"/>
  <c r="L1893" i="2" s="1"/>
  <c r="I2161" i="2"/>
  <c r="J2161" i="2" s="1"/>
  <c r="K2161" i="2" s="1"/>
  <c r="L2161" i="2" s="1"/>
  <c r="I2764" i="2"/>
  <c r="J2764" i="2" s="1"/>
  <c r="K2764" i="2" s="1"/>
  <c r="L2764" i="2" s="1"/>
  <c r="I2162" i="2"/>
  <c r="J2162" i="2" s="1"/>
  <c r="K2162" i="2" s="1"/>
  <c r="L2162" i="2" s="1"/>
  <c r="I1592" i="2"/>
  <c r="J1592" i="2" s="1"/>
  <c r="K1592" i="2" s="1"/>
  <c r="L1592" i="2" s="1"/>
  <c r="I1516" i="2"/>
  <c r="J1516" i="2" s="1"/>
  <c r="K1516" i="2" s="1"/>
  <c r="L1516" i="2" s="1"/>
  <c r="I51" i="2"/>
  <c r="J51" i="2" s="1"/>
  <c r="K51" i="2" s="1"/>
  <c r="L51" i="2" s="1"/>
  <c r="I52" i="2"/>
  <c r="J52" i="2" s="1"/>
  <c r="K52" i="2" s="1"/>
  <c r="L52" i="2" s="1"/>
  <c r="I53" i="2"/>
  <c r="J53" i="2" s="1"/>
  <c r="K53" i="2" s="1"/>
  <c r="L53" i="2" s="1"/>
  <c r="I631" i="2"/>
  <c r="J631" i="2" s="1"/>
  <c r="K631" i="2" s="1"/>
  <c r="L631" i="2" s="1"/>
  <c r="I1894" i="2"/>
  <c r="J1894" i="2" s="1"/>
  <c r="K1894" i="2" s="1"/>
  <c r="L1894" i="2" s="1"/>
  <c r="I2163" i="2"/>
  <c r="J2163" i="2" s="1"/>
  <c r="K2163" i="2" s="1"/>
  <c r="L2163" i="2" s="1"/>
  <c r="I447" i="2"/>
  <c r="J447" i="2" s="1"/>
  <c r="K447" i="2" s="1"/>
  <c r="L447" i="2" s="1"/>
  <c r="I54" i="2"/>
  <c r="J54" i="2" s="1"/>
  <c r="K54" i="2" s="1"/>
  <c r="L54" i="2" s="1"/>
  <c r="I2818" i="2"/>
  <c r="J2818" i="2" s="1"/>
  <c r="K2818" i="2" s="1"/>
  <c r="L2818" i="2" s="1"/>
  <c r="I2629" i="2"/>
  <c r="J2629" i="2" s="1"/>
  <c r="K2629" i="2" s="1"/>
  <c r="L2629" i="2" s="1"/>
  <c r="I1593" i="2"/>
  <c r="J1593" i="2" s="1"/>
  <c r="K1593" i="2" s="1"/>
  <c r="L1593" i="2" s="1"/>
  <c r="I1594" i="2"/>
  <c r="J1594" i="2" s="1"/>
  <c r="K1594" i="2" s="1"/>
  <c r="L1594" i="2" s="1"/>
  <c r="I1895" i="2"/>
  <c r="J1895" i="2" s="1"/>
  <c r="K1895" i="2" s="1"/>
  <c r="L1895" i="2" s="1"/>
  <c r="I2819" i="2"/>
  <c r="J2819" i="2" s="1"/>
  <c r="K2819" i="2" s="1"/>
  <c r="L2819" i="2" s="1"/>
  <c r="I632" i="2"/>
  <c r="J632" i="2" s="1"/>
  <c r="K632" i="2" s="1"/>
  <c r="L632" i="2" s="1"/>
  <c r="I355" i="2"/>
  <c r="J355" i="2" s="1"/>
  <c r="K355" i="2" s="1"/>
  <c r="L355" i="2" s="1"/>
  <c r="I2630" i="2"/>
  <c r="J2630" i="2" s="1"/>
  <c r="K2630" i="2" s="1"/>
  <c r="L2630" i="2" s="1"/>
  <c r="I269" i="2"/>
  <c r="J269" i="2" s="1"/>
  <c r="K269" i="2" s="1"/>
  <c r="L269" i="2" s="1"/>
  <c r="I1130" i="2"/>
  <c r="J1130" i="2" s="1"/>
  <c r="K1130" i="2" s="1"/>
  <c r="L1130" i="2" s="1"/>
  <c r="I55" i="2"/>
  <c r="J55" i="2" s="1"/>
  <c r="K55" i="2" s="1"/>
  <c r="L55" i="2" s="1"/>
  <c r="I633" i="2"/>
  <c r="J633" i="2" s="1"/>
  <c r="K633" i="2" s="1"/>
  <c r="L633" i="2" s="1"/>
  <c r="I56" i="2"/>
  <c r="J56" i="2" s="1"/>
  <c r="K56" i="2" s="1"/>
  <c r="L56" i="2" s="1"/>
  <c r="I1131" i="2"/>
  <c r="J1131" i="2" s="1"/>
  <c r="K1131" i="2" s="1"/>
  <c r="L1131" i="2" s="1"/>
  <c r="I2164" i="2"/>
  <c r="J2164" i="2" s="1"/>
  <c r="K2164" i="2" s="1"/>
  <c r="L2164" i="2" s="1"/>
  <c r="I2631" i="2"/>
  <c r="J2631" i="2" s="1"/>
  <c r="K2631" i="2" s="1"/>
  <c r="L2631" i="2" s="1"/>
  <c r="I261" i="2"/>
  <c r="J261" i="2" s="1"/>
  <c r="K261" i="2" s="1"/>
  <c r="L261" i="2" s="1"/>
  <c r="I57" i="2"/>
  <c r="J57" i="2" s="1"/>
  <c r="K57" i="2" s="1"/>
  <c r="L57" i="2" s="1"/>
  <c r="I58" i="2"/>
  <c r="J58" i="2" s="1"/>
  <c r="K58" i="2" s="1"/>
  <c r="L58" i="2" s="1"/>
  <c r="I1595" i="2"/>
  <c r="J1595" i="2" s="1"/>
  <c r="K1595" i="2" s="1"/>
  <c r="L1595" i="2" s="1"/>
  <c r="I1896" i="2"/>
  <c r="J1896" i="2" s="1"/>
  <c r="K1896" i="2" s="1"/>
  <c r="L1896" i="2" s="1"/>
  <c r="I2165" i="2"/>
  <c r="J2165" i="2" s="1"/>
  <c r="K2165" i="2" s="1"/>
  <c r="L2165" i="2" s="1"/>
  <c r="I1132" i="2"/>
  <c r="J1132" i="2" s="1"/>
  <c r="K1132" i="2" s="1"/>
  <c r="L1132" i="2" s="1"/>
  <c r="I1596" i="2"/>
  <c r="J1596" i="2" s="1"/>
  <c r="K1596" i="2" s="1"/>
  <c r="L1596" i="2" s="1"/>
  <c r="I2632" i="2"/>
  <c r="J2632" i="2" s="1"/>
  <c r="K2632" i="2" s="1"/>
  <c r="L2632" i="2" s="1"/>
  <c r="I1241" i="2"/>
  <c r="J1241" i="2" s="1"/>
  <c r="K1241" i="2" s="1"/>
  <c r="L1241" i="2" s="1"/>
  <c r="I59" i="2"/>
  <c r="J59" i="2" s="1"/>
  <c r="K59" i="2" s="1"/>
  <c r="L59" i="2" s="1"/>
  <c r="I2166" i="2"/>
  <c r="J2166" i="2" s="1"/>
  <c r="K2166" i="2" s="1"/>
  <c r="L2166" i="2" s="1"/>
  <c r="I448" i="2"/>
  <c r="J448" i="2" s="1"/>
  <c r="K448" i="2" s="1"/>
  <c r="L448" i="2" s="1"/>
  <c r="I2465" i="2"/>
  <c r="J2465" i="2" s="1"/>
  <c r="K2465" i="2" s="1"/>
  <c r="L2465" i="2" s="1"/>
  <c r="I1242" i="2"/>
  <c r="J1242" i="2" s="1"/>
  <c r="K1242" i="2" s="1"/>
  <c r="L1242" i="2" s="1"/>
  <c r="I1597" i="2"/>
  <c r="J1597" i="2" s="1"/>
  <c r="K1597" i="2" s="1"/>
  <c r="L1597" i="2" s="1"/>
  <c r="I2167" i="2"/>
  <c r="J2167" i="2" s="1"/>
  <c r="K2167" i="2" s="1"/>
  <c r="L2167" i="2" s="1"/>
  <c r="I2168" i="2"/>
  <c r="J2168" i="2" s="1"/>
  <c r="K2168" i="2" s="1"/>
  <c r="L2168" i="2" s="1"/>
  <c r="I1897" i="2"/>
  <c r="J1897" i="2" s="1"/>
  <c r="K1897" i="2" s="1"/>
  <c r="L1897" i="2" s="1"/>
  <c r="I1243" i="2"/>
  <c r="J1243" i="2" s="1"/>
  <c r="K1243" i="2" s="1"/>
  <c r="L1243" i="2" s="1"/>
  <c r="I1898" i="2"/>
  <c r="J1898" i="2" s="1"/>
  <c r="K1898" i="2" s="1"/>
  <c r="L1898" i="2" s="1"/>
  <c r="I1598" i="2"/>
  <c r="J1598" i="2" s="1"/>
  <c r="K1598" i="2" s="1"/>
  <c r="L1598" i="2" s="1"/>
  <c r="I634" i="2"/>
  <c r="J634" i="2" s="1"/>
  <c r="K634" i="2" s="1"/>
  <c r="L634" i="2" s="1"/>
  <c r="I2466" i="2"/>
  <c r="J2466" i="2" s="1"/>
  <c r="K2466" i="2" s="1"/>
  <c r="L2466" i="2" s="1"/>
  <c r="I356" i="2"/>
  <c r="J356" i="2" s="1"/>
  <c r="K356" i="2" s="1"/>
  <c r="L356" i="2" s="1"/>
  <c r="I2467" i="2"/>
  <c r="J2467" i="2" s="1"/>
  <c r="K2467" i="2" s="1"/>
  <c r="L2467" i="2" s="1"/>
  <c r="I2765" i="2"/>
  <c r="J2765" i="2" s="1"/>
  <c r="K2765" i="2" s="1"/>
  <c r="L2765" i="2" s="1"/>
  <c r="I2951" i="2"/>
  <c r="J2951" i="2" s="1"/>
  <c r="K2951" i="2" s="1"/>
  <c r="L2951" i="2" s="1"/>
  <c r="I635" i="2"/>
  <c r="J635" i="2" s="1"/>
  <c r="K635" i="2" s="1"/>
  <c r="L635" i="2" s="1"/>
  <c r="I1244" i="2"/>
  <c r="J1244" i="2" s="1"/>
  <c r="K1244" i="2" s="1"/>
  <c r="L1244" i="2" s="1"/>
  <c r="I2169" i="2"/>
  <c r="J2169" i="2" s="1"/>
  <c r="K2169" i="2" s="1"/>
  <c r="L2169" i="2" s="1"/>
  <c r="I2170" i="2"/>
  <c r="J2170" i="2" s="1"/>
  <c r="K2170" i="2" s="1"/>
  <c r="L2170" i="2" s="1"/>
  <c r="I636" i="2"/>
  <c r="J636" i="2" s="1"/>
  <c r="K636" i="2" s="1"/>
  <c r="L636" i="2" s="1"/>
  <c r="I1133" i="2"/>
  <c r="J1133" i="2" s="1"/>
  <c r="K1133" i="2" s="1"/>
  <c r="L1133" i="2" s="1"/>
  <c r="I2952" i="2"/>
  <c r="J2952" i="2" s="1"/>
  <c r="K2952" i="2" s="1"/>
  <c r="L2952" i="2" s="1"/>
  <c r="I1419" i="2"/>
  <c r="J1419" i="2" s="1"/>
  <c r="K1419" i="2" s="1"/>
  <c r="L1419" i="2" s="1"/>
  <c r="I1420" i="2"/>
  <c r="J1420" i="2" s="1"/>
  <c r="K1420" i="2" s="1"/>
  <c r="L1420" i="2" s="1"/>
  <c r="I637" i="2"/>
  <c r="J637" i="2" s="1"/>
  <c r="K637" i="2" s="1"/>
  <c r="L637" i="2" s="1"/>
  <c r="I2171" i="2"/>
  <c r="J2171" i="2" s="1"/>
  <c r="K2171" i="2" s="1"/>
  <c r="L2171" i="2" s="1"/>
  <c r="I2820" i="2"/>
  <c r="J2820" i="2" s="1"/>
  <c r="K2820" i="2" s="1"/>
  <c r="L2820" i="2" s="1"/>
  <c r="I1800" i="2"/>
  <c r="J1800" i="2" s="1"/>
  <c r="K1800" i="2" s="1"/>
  <c r="L1800" i="2" s="1"/>
  <c r="I1016" i="2"/>
  <c r="J1016" i="2" s="1"/>
  <c r="K1016" i="2" s="1"/>
  <c r="L1016" i="2" s="1"/>
  <c r="I2172" i="2"/>
  <c r="J2172" i="2" s="1"/>
  <c r="K2172" i="2" s="1"/>
  <c r="L2172" i="2" s="1"/>
  <c r="I1899" i="2"/>
  <c r="J1899" i="2" s="1"/>
  <c r="K1899" i="2" s="1"/>
  <c r="L1899" i="2" s="1"/>
  <c r="I638" i="2"/>
  <c r="J638" i="2" s="1"/>
  <c r="K638" i="2" s="1"/>
  <c r="L638" i="2" s="1"/>
  <c r="I1245" i="2"/>
  <c r="J1245" i="2" s="1"/>
  <c r="K1245" i="2" s="1"/>
  <c r="L1245" i="2" s="1"/>
  <c r="I526" i="2"/>
  <c r="J526" i="2" s="1"/>
  <c r="K526" i="2" s="1"/>
  <c r="L526" i="2" s="1"/>
  <c r="I449" i="2"/>
  <c r="J449" i="2" s="1"/>
  <c r="K449" i="2" s="1"/>
  <c r="L449" i="2" s="1"/>
  <c r="I1599" i="2"/>
  <c r="J1599" i="2" s="1"/>
  <c r="K1599" i="2" s="1"/>
  <c r="L1599" i="2" s="1"/>
  <c r="I2953" i="2"/>
  <c r="J2953" i="2" s="1"/>
  <c r="K2953" i="2" s="1"/>
  <c r="L2953" i="2" s="1"/>
  <c r="I639" i="2"/>
  <c r="J639" i="2" s="1"/>
  <c r="K639" i="2" s="1"/>
  <c r="L639" i="2" s="1"/>
  <c r="I1075" i="2"/>
  <c r="J1075" i="2" s="1"/>
  <c r="K1075" i="2" s="1"/>
  <c r="L1075" i="2" s="1"/>
  <c r="I1600" i="2"/>
  <c r="J1600" i="2" s="1"/>
  <c r="K1600" i="2" s="1"/>
  <c r="L1600" i="2" s="1"/>
  <c r="I1517" i="2"/>
  <c r="J1517" i="2" s="1"/>
  <c r="K1517" i="2" s="1"/>
  <c r="L1517" i="2" s="1"/>
  <c r="I1421" i="2"/>
  <c r="J1421" i="2" s="1"/>
  <c r="K1421" i="2" s="1"/>
  <c r="L1421" i="2" s="1"/>
  <c r="I450" i="2"/>
  <c r="J450" i="2" s="1"/>
  <c r="K450" i="2" s="1"/>
  <c r="L450" i="2" s="1"/>
  <c r="I1900" i="2"/>
  <c r="J1900" i="2" s="1"/>
  <c r="K1900" i="2" s="1"/>
  <c r="L1900" i="2" s="1"/>
  <c r="I60" i="2"/>
  <c r="J60" i="2" s="1"/>
  <c r="K60" i="2" s="1"/>
  <c r="L60" i="2" s="1"/>
  <c r="I1601" i="2"/>
  <c r="J1601" i="2" s="1"/>
  <c r="K1601" i="2" s="1"/>
  <c r="L1601" i="2" s="1"/>
  <c r="I1901" i="2"/>
  <c r="J1901" i="2" s="1"/>
  <c r="K1901" i="2" s="1"/>
  <c r="L1901" i="2" s="1"/>
  <c r="I2468" i="2"/>
  <c r="J2468" i="2" s="1"/>
  <c r="K2468" i="2" s="1"/>
  <c r="L2468" i="2" s="1"/>
  <c r="I640" i="2"/>
  <c r="J640" i="2" s="1"/>
  <c r="K640" i="2" s="1"/>
  <c r="L640" i="2" s="1"/>
  <c r="I641" i="2"/>
  <c r="J641" i="2" s="1"/>
  <c r="K641" i="2" s="1"/>
  <c r="L641" i="2" s="1"/>
  <c r="I2173" i="2"/>
  <c r="J2173" i="2" s="1"/>
  <c r="K2173" i="2" s="1"/>
  <c r="L2173" i="2" s="1"/>
  <c r="I1246" i="2"/>
  <c r="J1246" i="2" s="1"/>
  <c r="K1246" i="2" s="1"/>
  <c r="L1246" i="2" s="1"/>
  <c r="I2954" i="2"/>
  <c r="J2954" i="2" s="1"/>
  <c r="K2954" i="2" s="1"/>
  <c r="L2954" i="2" s="1"/>
  <c r="I2174" i="2"/>
  <c r="J2174" i="2" s="1"/>
  <c r="K2174" i="2" s="1"/>
  <c r="L2174" i="2" s="1"/>
  <c r="I1602" i="2"/>
  <c r="J1602" i="2" s="1"/>
  <c r="K1602" i="2" s="1"/>
  <c r="L1602" i="2" s="1"/>
  <c r="I2175" i="2"/>
  <c r="J2175" i="2" s="1"/>
  <c r="K2175" i="2" s="1"/>
  <c r="L2175" i="2" s="1"/>
  <c r="I2955" i="2"/>
  <c r="J2955" i="2" s="1"/>
  <c r="K2955" i="2" s="1"/>
  <c r="L2955" i="2" s="1"/>
  <c r="I61" i="2"/>
  <c r="J61" i="2" s="1"/>
  <c r="K61" i="2" s="1"/>
  <c r="L61" i="2" s="1"/>
  <c r="I1603" i="2"/>
  <c r="J1603" i="2" s="1"/>
  <c r="K1603" i="2" s="1"/>
  <c r="L1603" i="2" s="1"/>
  <c r="I285" i="2"/>
  <c r="J285" i="2" s="1"/>
  <c r="K285" i="2" s="1"/>
  <c r="L285" i="2" s="1"/>
  <c r="I1604" i="2"/>
  <c r="J1604" i="2" s="1"/>
  <c r="K1604" i="2" s="1"/>
  <c r="L1604" i="2" s="1"/>
  <c r="I642" i="2"/>
  <c r="J642" i="2" s="1"/>
  <c r="K642" i="2" s="1"/>
  <c r="L642" i="2" s="1"/>
  <c r="I2176" i="2"/>
  <c r="J2176" i="2" s="1"/>
  <c r="K2176" i="2" s="1"/>
  <c r="L2176" i="2" s="1"/>
  <c r="I1247" i="2"/>
  <c r="J1247" i="2" s="1"/>
  <c r="K1247" i="2" s="1"/>
  <c r="L1247" i="2" s="1"/>
  <c r="I62" i="2"/>
  <c r="J62" i="2" s="1"/>
  <c r="K62" i="2" s="1"/>
  <c r="L62" i="2" s="1"/>
  <c r="I2633" i="2"/>
  <c r="J2633" i="2" s="1"/>
  <c r="K2633" i="2" s="1"/>
  <c r="L2633" i="2" s="1"/>
  <c r="I643" i="2"/>
  <c r="J643" i="2" s="1"/>
  <c r="K643" i="2" s="1"/>
  <c r="L643" i="2" s="1"/>
  <c r="I1504" i="2"/>
  <c r="J1504" i="2" s="1"/>
  <c r="K1504" i="2" s="1"/>
  <c r="L1504" i="2" s="1"/>
  <c r="I644" i="2"/>
  <c r="J644" i="2" s="1"/>
  <c r="K644" i="2" s="1"/>
  <c r="L644" i="2" s="1"/>
  <c r="I2956" i="2"/>
  <c r="J2956" i="2" s="1"/>
  <c r="K2956" i="2" s="1"/>
  <c r="L2956" i="2" s="1"/>
  <c r="I357" i="2"/>
  <c r="J357" i="2" s="1"/>
  <c r="K357" i="2" s="1"/>
  <c r="L357" i="2" s="1"/>
  <c r="I2177" i="2"/>
  <c r="J2177" i="2" s="1"/>
  <c r="K2177" i="2" s="1"/>
  <c r="L2177" i="2" s="1"/>
  <c r="I2178" i="2"/>
  <c r="J2178" i="2" s="1"/>
  <c r="K2178" i="2" s="1"/>
  <c r="L2178" i="2" s="1"/>
  <c r="I645" i="2"/>
  <c r="J645" i="2" s="1"/>
  <c r="K645" i="2" s="1"/>
  <c r="L645" i="2" s="1"/>
  <c r="I1422" i="2"/>
  <c r="J1422" i="2" s="1"/>
  <c r="K1422" i="2" s="1"/>
  <c r="L1422" i="2" s="1"/>
  <c r="I2179" i="2"/>
  <c r="J2179" i="2" s="1"/>
  <c r="K2179" i="2" s="1"/>
  <c r="L2179" i="2" s="1"/>
  <c r="I2634" i="2"/>
  <c r="J2634" i="2" s="1"/>
  <c r="K2634" i="2" s="1"/>
  <c r="L2634" i="2" s="1"/>
  <c r="I2766" i="2"/>
  <c r="J2766" i="2" s="1"/>
  <c r="K2766" i="2" s="1"/>
  <c r="L2766" i="2" s="1"/>
  <c r="I2957" i="2"/>
  <c r="J2957" i="2" s="1"/>
  <c r="K2957" i="2" s="1"/>
  <c r="L2957" i="2" s="1"/>
  <c r="I63" i="2"/>
  <c r="J63" i="2" s="1"/>
  <c r="K63" i="2" s="1"/>
  <c r="L63" i="2" s="1"/>
  <c r="I2469" i="2"/>
  <c r="J2469" i="2" s="1"/>
  <c r="K2469" i="2" s="1"/>
  <c r="L2469" i="2" s="1"/>
  <c r="I646" i="2"/>
  <c r="J646" i="2" s="1"/>
  <c r="K646" i="2" s="1"/>
  <c r="L646" i="2" s="1"/>
  <c r="I2180" i="2"/>
  <c r="J2180" i="2" s="1"/>
  <c r="K2180" i="2" s="1"/>
  <c r="L2180" i="2" s="1"/>
  <c r="I2958" i="2"/>
  <c r="J2958" i="2" s="1"/>
  <c r="K2958" i="2" s="1"/>
  <c r="L2958" i="2" s="1"/>
  <c r="I1902" i="2"/>
  <c r="J1902" i="2" s="1"/>
  <c r="K1902" i="2" s="1"/>
  <c r="L1902" i="2" s="1"/>
  <c r="I2181" i="2"/>
  <c r="J2181" i="2" s="1"/>
  <c r="K2181" i="2" s="1"/>
  <c r="L2181" i="2" s="1"/>
  <c r="I2076" i="2"/>
  <c r="J2076" i="2" s="1"/>
  <c r="K2076" i="2" s="1"/>
  <c r="L2076" i="2" s="1"/>
  <c r="I647" i="2"/>
  <c r="J647" i="2" s="1"/>
  <c r="K647" i="2" s="1"/>
  <c r="L647" i="2" s="1"/>
  <c r="I358" i="2"/>
  <c r="J358" i="2" s="1"/>
  <c r="K358" i="2" s="1"/>
  <c r="L358" i="2" s="1"/>
  <c r="I648" i="2"/>
  <c r="J648" i="2" s="1"/>
  <c r="K648" i="2" s="1"/>
  <c r="L648" i="2" s="1"/>
  <c r="I359" i="2"/>
  <c r="J359" i="2" s="1"/>
  <c r="K359" i="2" s="1"/>
  <c r="L359" i="2" s="1"/>
  <c r="I649" i="2"/>
  <c r="J649" i="2" s="1"/>
  <c r="K649" i="2" s="1"/>
  <c r="L649" i="2" s="1"/>
  <c r="I1903" i="2"/>
  <c r="J1903" i="2" s="1"/>
  <c r="K1903" i="2" s="1"/>
  <c r="L1903" i="2" s="1"/>
  <c r="I2821" i="2"/>
  <c r="J2821" i="2" s="1"/>
  <c r="K2821" i="2" s="1"/>
  <c r="L2821" i="2" s="1"/>
  <c r="I1605" i="2"/>
  <c r="J1605" i="2" s="1"/>
  <c r="K1605" i="2" s="1"/>
  <c r="L1605" i="2" s="1"/>
  <c r="I2959" i="2"/>
  <c r="J2959" i="2" s="1"/>
  <c r="K2959" i="2" s="1"/>
  <c r="L2959" i="2" s="1"/>
  <c r="I650" i="2"/>
  <c r="J650" i="2" s="1"/>
  <c r="K650" i="2" s="1"/>
  <c r="L650" i="2" s="1"/>
  <c r="I64" i="2"/>
  <c r="J64" i="2" s="1"/>
  <c r="K64" i="2" s="1"/>
  <c r="L64" i="2" s="1"/>
  <c r="I651" i="2"/>
  <c r="J651" i="2" s="1"/>
  <c r="K651" i="2" s="1"/>
  <c r="L651" i="2" s="1"/>
  <c r="I2182" i="2"/>
  <c r="J2182" i="2" s="1"/>
  <c r="K2182" i="2" s="1"/>
  <c r="L2182" i="2" s="1"/>
  <c r="I286" i="2"/>
  <c r="J286" i="2" s="1"/>
  <c r="K286" i="2" s="1"/>
  <c r="L286" i="2" s="1"/>
  <c r="I2183" i="2"/>
  <c r="J2183" i="2" s="1"/>
  <c r="K2183" i="2" s="1"/>
  <c r="L2183" i="2" s="1"/>
  <c r="I2184" i="2"/>
  <c r="J2184" i="2" s="1"/>
  <c r="K2184" i="2" s="1"/>
  <c r="L2184" i="2" s="1"/>
  <c r="I2822" i="2"/>
  <c r="J2822" i="2" s="1"/>
  <c r="K2822" i="2" s="1"/>
  <c r="L2822" i="2" s="1"/>
  <c r="I1248" i="2"/>
  <c r="J1248" i="2" s="1"/>
  <c r="K1248" i="2" s="1"/>
  <c r="L1248" i="2" s="1"/>
  <c r="I2185" i="2"/>
  <c r="J2185" i="2" s="1"/>
  <c r="K2185" i="2" s="1"/>
  <c r="L2185" i="2" s="1"/>
  <c r="I1134" i="2"/>
  <c r="J1134" i="2" s="1"/>
  <c r="K1134" i="2" s="1"/>
  <c r="L1134" i="2" s="1"/>
  <c r="I652" i="2"/>
  <c r="J652" i="2" s="1"/>
  <c r="K652" i="2" s="1"/>
  <c r="L652" i="2" s="1"/>
  <c r="I1249" i="2"/>
  <c r="J1249" i="2" s="1"/>
  <c r="K1249" i="2" s="1"/>
  <c r="L1249" i="2" s="1"/>
  <c r="I1250" i="2"/>
  <c r="J1250" i="2" s="1"/>
  <c r="K1250" i="2" s="1"/>
  <c r="L1250" i="2" s="1"/>
  <c r="I2470" i="2"/>
  <c r="J2470" i="2" s="1"/>
  <c r="K2470" i="2" s="1"/>
  <c r="L2470" i="2" s="1"/>
  <c r="I2471" i="2"/>
  <c r="J2471" i="2" s="1"/>
  <c r="K2471" i="2" s="1"/>
  <c r="L2471" i="2" s="1"/>
  <c r="I360" i="2"/>
  <c r="J360" i="2" s="1"/>
  <c r="K360" i="2" s="1"/>
  <c r="L360" i="2" s="1"/>
  <c r="I65" i="2"/>
  <c r="J65" i="2" s="1"/>
  <c r="K65" i="2" s="1"/>
  <c r="L65" i="2" s="1"/>
  <c r="I287" i="2"/>
  <c r="J287" i="2" s="1"/>
  <c r="K287" i="2" s="1"/>
  <c r="L287" i="2" s="1"/>
  <c r="I2472" i="2"/>
  <c r="J2472" i="2" s="1"/>
  <c r="K2472" i="2" s="1"/>
  <c r="L2472" i="2" s="1"/>
  <c r="I1423" i="2"/>
  <c r="J1423" i="2" s="1"/>
  <c r="K1423" i="2" s="1"/>
  <c r="L1423" i="2" s="1"/>
  <c r="I361" i="2"/>
  <c r="J361" i="2" s="1"/>
  <c r="K361" i="2" s="1"/>
  <c r="L361" i="2" s="1"/>
  <c r="I1606" i="2"/>
  <c r="J1606" i="2" s="1"/>
  <c r="K1606" i="2" s="1"/>
  <c r="L1606" i="2" s="1"/>
  <c r="I2473" i="2"/>
  <c r="J2473" i="2" s="1"/>
  <c r="K2473" i="2" s="1"/>
  <c r="L2473" i="2" s="1"/>
  <c r="I2186" i="2"/>
  <c r="J2186" i="2" s="1"/>
  <c r="K2186" i="2" s="1"/>
  <c r="L2186" i="2" s="1"/>
  <c r="I999" i="2"/>
  <c r="J999" i="2" s="1"/>
  <c r="K999" i="2" s="1"/>
  <c r="L999" i="2" s="1"/>
  <c r="I2823" i="2"/>
  <c r="J2823" i="2" s="1"/>
  <c r="K2823" i="2" s="1"/>
  <c r="L2823" i="2" s="1"/>
  <c r="I2960" i="2"/>
  <c r="J2960" i="2" s="1"/>
  <c r="K2960" i="2" s="1"/>
  <c r="L2960" i="2" s="1"/>
  <c r="I653" i="2"/>
  <c r="J653" i="2" s="1"/>
  <c r="K653" i="2" s="1"/>
  <c r="L653" i="2" s="1"/>
  <c r="I3178" i="2"/>
  <c r="J3178" i="2" s="1"/>
  <c r="K3178" i="2" s="1"/>
  <c r="L3178" i="2" s="1"/>
  <c r="I1000" i="2"/>
  <c r="J1000" i="2" s="1"/>
  <c r="K1000" i="2" s="1"/>
  <c r="L1000" i="2" s="1"/>
  <c r="I66" i="2"/>
  <c r="J66" i="2" s="1"/>
  <c r="K66" i="2" s="1"/>
  <c r="L66" i="2" s="1"/>
  <c r="I1801" i="2"/>
  <c r="J1801" i="2" s="1"/>
  <c r="K1801" i="2" s="1"/>
  <c r="L1801" i="2" s="1"/>
  <c r="I2187" i="2"/>
  <c r="J2187" i="2" s="1"/>
  <c r="K2187" i="2" s="1"/>
  <c r="L2187" i="2" s="1"/>
  <c r="I2635" i="2"/>
  <c r="J2635" i="2" s="1"/>
  <c r="K2635" i="2" s="1"/>
  <c r="L2635" i="2" s="1"/>
  <c r="I2474" i="2"/>
  <c r="J2474" i="2" s="1"/>
  <c r="K2474" i="2" s="1"/>
  <c r="L2474" i="2" s="1"/>
  <c r="I2188" i="2"/>
  <c r="J2188" i="2" s="1"/>
  <c r="K2188" i="2" s="1"/>
  <c r="L2188" i="2" s="1"/>
  <c r="I288" i="2"/>
  <c r="J288" i="2" s="1"/>
  <c r="K288" i="2" s="1"/>
  <c r="L288" i="2" s="1"/>
  <c r="I362" i="2"/>
  <c r="J362" i="2" s="1"/>
  <c r="K362" i="2" s="1"/>
  <c r="L362" i="2" s="1"/>
  <c r="I654" i="2"/>
  <c r="J654" i="2" s="1"/>
  <c r="K654" i="2" s="1"/>
  <c r="L654" i="2" s="1"/>
  <c r="I1135" i="2"/>
  <c r="J1135" i="2" s="1"/>
  <c r="K1135" i="2" s="1"/>
  <c r="L1135" i="2" s="1"/>
  <c r="I655" i="2"/>
  <c r="J655" i="2" s="1"/>
  <c r="K655" i="2" s="1"/>
  <c r="L655" i="2" s="1"/>
  <c r="I1088" i="2"/>
  <c r="J1088" i="2" s="1"/>
  <c r="K1088" i="2" s="1"/>
  <c r="L1088" i="2" s="1"/>
  <c r="I1904" i="2"/>
  <c r="J1904" i="2" s="1"/>
  <c r="K1904" i="2" s="1"/>
  <c r="L1904" i="2" s="1"/>
  <c r="I2475" i="2"/>
  <c r="J2475" i="2" s="1"/>
  <c r="K2475" i="2" s="1"/>
  <c r="L2475" i="2" s="1"/>
  <c r="I656" i="2"/>
  <c r="J656" i="2" s="1"/>
  <c r="K656" i="2" s="1"/>
  <c r="L656" i="2" s="1"/>
  <c r="I2476" i="2"/>
  <c r="J2476" i="2" s="1"/>
  <c r="K2476" i="2" s="1"/>
  <c r="L2476" i="2" s="1"/>
  <c r="I1251" i="2"/>
  <c r="J1251" i="2" s="1"/>
  <c r="K1251" i="2" s="1"/>
  <c r="L1251" i="2" s="1"/>
  <c r="I2189" i="2"/>
  <c r="J2189" i="2" s="1"/>
  <c r="K2189" i="2" s="1"/>
  <c r="L2189" i="2" s="1"/>
  <c r="I1424" i="2"/>
  <c r="J1424" i="2" s="1"/>
  <c r="K1424" i="2" s="1"/>
  <c r="L1424" i="2" s="1"/>
  <c r="I2477" i="2"/>
  <c r="J2477" i="2" s="1"/>
  <c r="K2477" i="2" s="1"/>
  <c r="L2477" i="2" s="1"/>
  <c r="I657" i="2"/>
  <c r="J657" i="2" s="1"/>
  <c r="K657" i="2" s="1"/>
  <c r="L657" i="2" s="1"/>
  <c r="I1607" i="2"/>
  <c r="J1607" i="2" s="1"/>
  <c r="K1607" i="2" s="1"/>
  <c r="L1607" i="2" s="1"/>
  <c r="I1608" i="2"/>
  <c r="J1608" i="2" s="1"/>
  <c r="K1608" i="2" s="1"/>
  <c r="L1608" i="2" s="1"/>
  <c r="I2478" i="2"/>
  <c r="J2478" i="2" s="1"/>
  <c r="K2478" i="2" s="1"/>
  <c r="L2478" i="2" s="1"/>
  <c r="I2767" i="2"/>
  <c r="J2767" i="2" s="1"/>
  <c r="K2767" i="2" s="1"/>
  <c r="L2767" i="2" s="1"/>
  <c r="I2961" i="2"/>
  <c r="J2961" i="2" s="1"/>
  <c r="K2961" i="2" s="1"/>
  <c r="L2961" i="2" s="1"/>
  <c r="I2768" i="2"/>
  <c r="J2768" i="2" s="1"/>
  <c r="K2768" i="2" s="1"/>
  <c r="L2768" i="2" s="1"/>
  <c r="I2190" i="2"/>
  <c r="J2190" i="2" s="1"/>
  <c r="K2190" i="2" s="1"/>
  <c r="L2190" i="2" s="1"/>
  <c r="I2479" i="2"/>
  <c r="J2479" i="2" s="1"/>
  <c r="K2479" i="2" s="1"/>
  <c r="L2479" i="2" s="1"/>
  <c r="I1802" i="2"/>
  <c r="J1802" i="2" s="1"/>
  <c r="K1802" i="2" s="1"/>
  <c r="L1802" i="2" s="1"/>
  <c r="I2191" i="2"/>
  <c r="J2191" i="2" s="1"/>
  <c r="K2191" i="2" s="1"/>
  <c r="L2191" i="2" s="1"/>
  <c r="I1803" i="2"/>
  <c r="J1803" i="2" s="1"/>
  <c r="K1803" i="2" s="1"/>
  <c r="L1803" i="2" s="1"/>
  <c r="I2962" i="2"/>
  <c r="J2962" i="2" s="1"/>
  <c r="K2962" i="2" s="1"/>
  <c r="L2962" i="2" s="1"/>
  <c r="I1017" i="2"/>
  <c r="J1017" i="2" s="1"/>
  <c r="K1017" i="2" s="1"/>
  <c r="L1017" i="2" s="1"/>
  <c r="I67" i="2"/>
  <c r="J67" i="2" s="1"/>
  <c r="K67" i="2" s="1"/>
  <c r="L67" i="2" s="1"/>
  <c r="I1089" i="2"/>
  <c r="J1089" i="2" s="1"/>
  <c r="K1089" i="2" s="1"/>
  <c r="L1089" i="2" s="1"/>
  <c r="I2636" i="2"/>
  <c r="J2636" i="2" s="1"/>
  <c r="K2636" i="2" s="1"/>
  <c r="L2636" i="2" s="1"/>
  <c r="I1905" i="2"/>
  <c r="J1905" i="2" s="1"/>
  <c r="K1905" i="2" s="1"/>
  <c r="L1905" i="2" s="1"/>
  <c r="I1906" i="2"/>
  <c r="J1906" i="2" s="1"/>
  <c r="K1906" i="2" s="1"/>
  <c r="L1906" i="2" s="1"/>
  <c r="I2637" i="2"/>
  <c r="J2637" i="2" s="1"/>
  <c r="K2637" i="2" s="1"/>
  <c r="L2637" i="2" s="1"/>
  <c r="I68" i="2"/>
  <c r="J68" i="2" s="1"/>
  <c r="K68" i="2" s="1"/>
  <c r="L68" i="2" s="1"/>
  <c r="I363" i="2"/>
  <c r="J363" i="2" s="1"/>
  <c r="K363" i="2" s="1"/>
  <c r="L363" i="2" s="1"/>
  <c r="I1907" i="2"/>
  <c r="J1907" i="2" s="1"/>
  <c r="K1907" i="2" s="1"/>
  <c r="L1907" i="2" s="1"/>
  <c r="I1908" i="2"/>
  <c r="J1908" i="2" s="1"/>
  <c r="K1908" i="2" s="1"/>
  <c r="L1908" i="2" s="1"/>
  <c r="I2480" i="2"/>
  <c r="J2480" i="2" s="1"/>
  <c r="K2480" i="2" s="1"/>
  <c r="L2480" i="2" s="1"/>
  <c r="I69" i="2"/>
  <c r="J69" i="2" s="1"/>
  <c r="K69" i="2" s="1"/>
  <c r="L69" i="2" s="1"/>
  <c r="I1425" i="2"/>
  <c r="J1425" i="2" s="1"/>
  <c r="K1425" i="2" s="1"/>
  <c r="L1425" i="2" s="1"/>
  <c r="I1252" i="2"/>
  <c r="J1252" i="2" s="1"/>
  <c r="K1252" i="2" s="1"/>
  <c r="L1252" i="2" s="1"/>
  <c r="I2192" i="2"/>
  <c r="J2192" i="2" s="1"/>
  <c r="K2192" i="2" s="1"/>
  <c r="L2192" i="2" s="1"/>
  <c r="I1909" i="2"/>
  <c r="J1909" i="2" s="1"/>
  <c r="K1909" i="2" s="1"/>
  <c r="L1909" i="2" s="1"/>
  <c r="I2963" i="2"/>
  <c r="J2963" i="2" s="1"/>
  <c r="K2963" i="2" s="1"/>
  <c r="L2963" i="2" s="1"/>
  <c r="I364" i="2"/>
  <c r="J364" i="2" s="1"/>
  <c r="K364" i="2" s="1"/>
  <c r="L364" i="2" s="1"/>
  <c r="I451" i="2"/>
  <c r="J451" i="2" s="1"/>
  <c r="K451" i="2" s="1"/>
  <c r="L451" i="2" s="1"/>
  <c r="I2193" i="2"/>
  <c r="J2193" i="2" s="1"/>
  <c r="K2193" i="2" s="1"/>
  <c r="L2193" i="2" s="1"/>
  <c r="I70" i="2"/>
  <c r="J70" i="2" s="1"/>
  <c r="K70" i="2" s="1"/>
  <c r="L70" i="2" s="1"/>
  <c r="I1109" i="2"/>
  <c r="J1109" i="2" s="1"/>
  <c r="K1109" i="2" s="1"/>
  <c r="L1109" i="2" s="1"/>
  <c r="I527" i="2"/>
  <c r="J527" i="2" s="1"/>
  <c r="K527" i="2" s="1"/>
  <c r="L527" i="2" s="1"/>
  <c r="I528" i="2"/>
  <c r="J528" i="2" s="1"/>
  <c r="K528" i="2" s="1"/>
  <c r="L528" i="2" s="1"/>
  <c r="I1426" i="2"/>
  <c r="J1426" i="2" s="1"/>
  <c r="K1426" i="2" s="1"/>
  <c r="L1426" i="2" s="1"/>
  <c r="I2194" i="2"/>
  <c r="J2194" i="2" s="1"/>
  <c r="K2194" i="2" s="1"/>
  <c r="L2194" i="2" s="1"/>
  <c r="I2195" i="2"/>
  <c r="J2195" i="2" s="1"/>
  <c r="K2195" i="2" s="1"/>
  <c r="L2195" i="2" s="1"/>
  <c r="I1427" i="2"/>
  <c r="J1427" i="2" s="1"/>
  <c r="K1427" i="2" s="1"/>
  <c r="L1427" i="2" s="1"/>
  <c r="I1428" i="2"/>
  <c r="J1428" i="2" s="1"/>
  <c r="K1428" i="2" s="1"/>
  <c r="L1428" i="2" s="1"/>
  <c r="I2769" i="2"/>
  <c r="J2769" i="2" s="1"/>
  <c r="K2769" i="2" s="1"/>
  <c r="L2769" i="2" s="1"/>
  <c r="I2196" i="2"/>
  <c r="J2196" i="2" s="1"/>
  <c r="K2196" i="2" s="1"/>
  <c r="L2196" i="2" s="1"/>
  <c r="I1609" i="2"/>
  <c r="J1609" i="2" s="1"/>
  <c r="K1609" i="2" s="1"/>
  <c r="L1609" i="2" s="1"/>
  <c r="I2824" i="2"/>
  <c r="J2824" i="2" s="1"/>
  <c r="K2824" i="2" s="1"/>
  <c r="L2824" i="2" s="1"/>
  <c r="I658" i="2"/>
  <c r="J658" i="2" s="1"/>
  <c r="K658" i="2" s="1"/>
  <c r="L658" i="2" s="1"/>
  <c r="I1610" i="2"/>
  <c r="J1610" i="2" s="1"/>
  <c r="K1610" i="2" s="1"/>
  <c r="L1610" i="2" s="1"/>
  <c r="I2825" i="2"/>
  <c r="J2825" i="2" s="1"/>
  <c r="K2825" i="2" s="1"/>
  <c r="L2825" i="2" s="1"/>
  <c r="I2197" i="2"/>
  <c r="J2197" i="2" s="1"/>
  <c r="K2197" i="2" s="1"/>
  <c r="L2197" i="2" s="1"/>
  <c r="I2198" i="2"/>
  <c r="J2198" i="2" s="1"/>
  <c r="K2198" i="2" s="1"/>
  <c r="L2198" i="2" s="1"/>
  <c r="I1910" i="2"/>
  <c r="J1910" i="2" s="1"/>
  <c r="K1910" i="2" s="1"/>
  <c r="L1910" i="2" s="1"/>
  <c r="I2964" i="2"/>
  <c r="J2964" i="2" s="1"/>
  <c r="K2964" i="2" s="1"/>
  <c r="L2964" i="2" s="1"/>
  <c r="I2199" i="2"/>
  <c r="J2199" i="2" s="1"/>
  <c r="K2199" i="2" s="1"/>
  <c r="L2199" i="2" s="1"/>
  <c r="I2481" i="2"/>
  <c r="J2481" i="2" s="1"/>
  <c r="K2481" i="2" s="1"/>
  <c r="L2481" i="2" s="1"/>
  <c r="I2826" i="2"/>
  <c r="J2826" i="2" s="1"/>
  <c r="K2826" i="2" s="1"/>
  <c r="L2826" i="2" s="1"/>
  <c r="I1911" i="2"/>
  <c r="J1911" i="2" s="1"/>
  <c r="K1911" i="2" s="1"/>
  <c r="L1911" i="2" s="1"/>
  <c r="I1611" i="2"/>
  <c r="J1611" i="2" s="1"/>
  <c r="K1611" i="2" s="1"/>
  <c r="L1611" i="2" s="1"/>
  <c r="I71" i="2"/>
  <c r="J71" i="2" s="1"/>
  <c r="K71" i="2" s="1"/>
  <c r="L71" i="2" s="1"/>
  <c r="I2200" i="2"/>
  <c r="J2200" i="2" s="1"/>
  <c r="K2200" i="2" s="1"/>
  <c r="L2200" i="2" s="1"/>
  <c r="I2638" i="2"/>
  <c r="J2638" i="2" s="1"/>
  <c r="K2638" i="2" s="1"/>
  <c r="L2638" i="2" s="1"/>
  <c r="I72" i="2"/>
  <c r="J72" i="2" s="1"/>
  <c r="K72" i="2" s="1"/>
  <c r="L72" i="2" s="1"/>
  <c r="I659" i="2"/>
  <c r="J659" i="2" s="1"/>
  <c r="K659" i="2" s="1"/>
  <c r="L659" i="2" s="1"/>
  <c r="I2965" i="2"/>
  <c r="J2965" i="2" s="1"/>
  <c r="K2965" i="2" s="1"/>
  <c r="L2965" i="2" s="1"/>
  <c r="I660" i="2"/>
  <c r="J660" i="2" s="1"/>
  <c r="K660" i="2" s="1"/>
  <c r="L660" i="2" s="1"/>
  <c r="I1612" i="2"/>
  <c r="J1612" i="2" s="1"/>
  <c r="K1612" i="2" s="1"/>
  <c r="L1612" i="2" s="1"/>
  <c r="I1136" i="2"/>
  <c r="J1136" i="2" s="1"/>
  <c r="K1136" i="2" s="1"/>
  <c r="L1136" i="2" s="1"/>
  <c r="I365" i="2"/>
  <c r="J365" i="2" s="1"/>
  <c r="K365" i="2" s="1"/>
  <c r="L365" i="2" s="1"/>
  <c r="I2639" i="2"/>
  <c r="J2639" i="2" s="1"/>
  <c r="K2639" i="2" s="1"/>
  <c r="L2639" i="2" s="1"/>
  <c r="I661" i="2"/>
  <c r="J661" i="2" s="1"/>
  <c r="K661" i="2" s="1"/>
  <c r="L661" i="2" s="1"/>
  <c r="I2201" i="2"/>
  <c r="J2201" i="2" s="1"/>
  <c r="K2201" i="2" s="1"/>
  <c r="L2201" i="2" s="1"/>
  <c r="I2202" i="2"/>
  <c r="J2202" i="2" s="1"/>
  <c r="K2202" i="2" s="1"/>
  <c r="L2202" i="2" s="1"/>
  <c r="I1137" i="2"/>
  <c r="J1137" i="2" s="1"/>
  <c r="K1137" i="2" s="1"/>
  <c r="L1137" i="2" s="1"/>
  <c r="I662" i="2"/>
  <c r="J662" i="2" s="1"/>
  <c r="K662" i="2" s="1"/>
  <c r="L662" i="2" s="1"/>
  <c r="I2077" i="2"/>
  <c r="J2077" i="2" s="1"/>
  <c r="K2077" i="2" s="1"/>
  <c r="L2077" i="2" s="1"/>
  <c r="I1613" i="2"/>
  <c r="J1613" i="2" s="1"/>
  <c r="K1613" i="2" s="1"/>
  <c r="L1613" i="2" s="1"/>
  <c r="I2827" i="2"/>
  <c r="J2827" i="2" s="1"/>
  <c r="K2827" i="2" s="1"/>
  <c r="L2827" i="2" s="1"/>
  <c r="I663" i="2"/>
  <c r="J663" i="2" s="1"/>
  <c r="K663" i="2" s="1"/>
  <c r="L663" i="2" s="1"/>
  <c r="I2966" i="2"/>
  <c r="J2966" i="2" s="1"/>
  <c r="K2966" i="2" s="1"/>
  <c r="L2966" i="2" s="1"/>
  <c r="I2640" i="2"/>
  <c r="J2640" i="2" s="1"/>
  <c r="K2640" i="2" s="1"/>
  <c r="L2640" i="2" s="1"/>
  <c r="I1912" i="2"/>
  <c r="J1912" i="2" s="1"/>
  <c r="K1912" i="2" s="1"/>
  <c r="L1912" i="2" s="1"/>
  <c r="I1614" i="2"/>
  <c r="J1614" i="2" s="1"/>
  <c r="K1614" i="2" s="1"/>
  <c r="L1614" i="2" s="1"/>
  <c r="I1253" i="2"/>
  <c r="J1253" i="2" s="1"/>
  <c r="K1253" i="2" s="1"/>
  <c r="L1253" i="2" s="1"/>
  <c r="I1913" i="2"/>
  <c r="J1913" i="2" s="1"/>
  <c r="K1913" i="2" s="1"/>
  <c r="L1913" i="2" s="1"/>
  <c r="I1429" i="2"/>
  <c r="J1429" i="2" s="1"/>
  <c r="K1429" i="2" s="1"/>
  <c r="L1429" i="2" s="1"/>
  <c r="I73" i="2"/>
  <c r="J73" i="2" s="1"/>
  <c r="K73" i="2" s="1"/>
  <c r="L73" i="2" s="1"/>
  <c r="I1018" i="2"/>
  <c r="J1018" i="2" s="1"/>
  <c r="K1018" i="2" s="1"/>
  <c r="L1018" i="2" s="1"/>
  <c r="I366" i="2"/>
  <c r="J366" i="2" s="1"/>
  <c r="K366" i="2" s="1"/>
  <c r="L366" i="2" s="1"/>
  <c r="I2482" i="2"/>
  <c r="J2482" i="2" s="1"/>
  <c r="K2482" i="2" s="1"/>
  <c r="L2482" i="2" s="1"/>
  <c r="I2967" i="2"/>
  <c r="J2967" i="2" s="1"/>
  <c r="K2967" i="2" s="1"/>
  <c r="L2967" i="2" s="1"/>
  <c r="I2203" i="2"/>
  <c r="J2203" i="2" s="1"/>
  <c r="K2203" i="2" s="1"/>
  <c r="L2203" i="2" s="1"/>
  <c r="I1914" i="2"/>
  <c r="J1914" i="2" s="1"/>
  <c r="K1914" i="2" s="1"/>
  <c r="L1914" i="2" s="1"/>
  <c r="I664" i="2"/>
  <c r="J664" i="2" s="1"/>
  <c r="K664" i="2" s="1"/>
  <c r="L664" i="2" s="1"/>
  <c r="I1915" i="2"/>
  <c r="J1915" i="2" s="1"/>
  <c r="K1915" i="2" s="1"/>
  <c r="L1915" i="2" s="1"/>
  <c r="I2641" i="2"/>
  <c r="J2641" i="2" s="1"/>
  <c r="K2641" i="2" s="1"/>
  <c r="L2641" i="2" s="1"/>
  <c r="I1254" i="2"/>
  <c r="J1254" i="2" s="1"/>
  <c r="K1254" i="2" s="1"/>
  <c r="L1254" i="2" s="1"/>
  <c r="I2770" i="2"/>
  <c r="J2770" i="2" s="1"/>
  <c r="K2770" i="2" s="1"/>
  <c r="L2770" i="2" s="1"/>
  <c r="I367" i="2"/>
  <c r="J367" i="2" s="1"/>
  <c r="K367" i="2" s="1"/>
  <c r="L367" i="2" s="1"/>
  <c r="I1019" i="2"/>
  <c r="J1019" i="2" s="1"/>
  <c r="K1019" i="2" s="1"/>
  <c r="L1019" i="2" s="1"/>
  <c r="I2642" i="2"/>
  <c r="J2642" i="2" s="1"/>
  <c r="K2642" i="2" s="1"/>
  <c r="L2642" i="2" s="1"/>
  <c r="I1615" i="2"/>
  <c r="J1615" i="2" s="1"/>
  <c r="K1615" i="2" s="1"/>
  <c r="L1615" i="2" s="1"/>
  <c r="I1916" i="2"/>
  <c r="J1916" i="2" s="1"/>
  <c r="K1916" i="2" s="1"/>
  <c r="L1916" i="2" s="1"/>
  <c r="I1616" i="2"/>
  <c r="J1616" i="2" s="1"/>
  <c r="K1616" i="2" s="1"/>
  <c r="L1616" i="2" s="1"/>
  <c r="I2828" i="2"/>
  <c r="J2828" i="2" s="1"/>
  <c r="K2828" i="2" s="1"/>
  <c r="L2828" i="2" s="1"/>
  <c r="I1430" i="2"/>
  <c r="J1430" i="2" s="1"/>
  <c r="K1430" i="2" s="1"/>
  <c r="L1430" i="2" s="1"/>
  <c r="I2483" i="2"/>
  <c r="J2483" i="2" s="1"/>
  <c r="K2483" i="2" s="1"/>
  <c r="L2483" i="2" s="1"/>
  <c r="I1255" i="2"/>
  <c r="J1255" i="2" s="1"/>
  <c r="K1255" i="2" s="1"/>
  <c r="L1255" i="2" s="1"/>
  <c r="I529" i="2"/>
  <c r="J529" i="2" s="1"/>
  <c r="K529" i="2" s="1"/>
  <c r="L529" i="2" s="1"/>
  <c r="I665" i="2"/>
  <c r="J665" i="2" s="1"/>
  <c r="K665" i="2" s="1"/>
  <c r="L665" i="2" s="1"/>
  <c r="I1917" i="2"/>
  <c r="J1917" i="2" s="1"/>
  <c r="K1917" i="2" s="1"/>
  <c r="L1917" i="2" s="1"/>
  <c r="I74" i="2"/>
  <c r="J74" i="2" s="1"/>
  <c r="K74" i="2" s="1"/>
  <c r="L74" i="2" s="1"/>
  <c r="I2968" i="2"/>
  <c r="J2968" i="2" s="1"/>
  <c r="K2968" i="2" s="1"/>
  <c r="L2968" i="2" s="1"/>
  <c r="I75" i="2"/>
  <c r="J75" i="2" s="1"/>
  <c r="K75" i="2" s="1"/>
  <c r="L75" i="2" s="1"/>
  <c r="I1256" i="2"/>
  <c r="J1256" i="2" s="1"/>
  <c r="K1256" i="2" s="1"/>
  <c r="L1256" i="2" s="1"/>
  <c r="I1138" i="2"/>
  <c r="J1138" i="2" s="1"/>
  <c r="K1138" i="2" s="1"/>
  <c r="L1138" i="2" s="1"/>
  <c r="I666" i="2"/>
  <c r="J666" i="2" s="1"/>
  <c r="K666" i="2" s="1"/>
  <c r="L666" i="2" s="1"/>
  <c r="I1918" i="2"/>
  <c r="J1918" i="2" s="1"/>
  <c r="K1918" i="2" s="1"/>
  <c r="L1918" i="2" s="1"/>
  <c r="I667" i="2"/>
  <c r="J667" i="2" s="1"/>
  <c r="K667" i="2" s="1"/>
  <c r="L667" i="2" s="1"/>
  <c r="I2484" i="2"/>
  <c r="J2484" i="2" s="1"/>
  <c r="K2484" i="2" s="1"/>
  <c r="L2484" i="2" s="1"/>
  <c r="I2204" i="2"/>
  <c r="J2204" i="2" s="1"/>
  <c r="K2204" i="2" s="1"/>
  <c r="L2204" i="2" s="1"/>
  <c r="I289" i="2"/>
  <c r="J289" i="2" s="1"/>
  <c r="K289" i="2" s="1"/>
  <c r="L289" i="2" s="1"/>
  <c r="I1617" i="2"/>
  <c r="J1617" i="2" s="1"/>
  <c r="K1617" i="2" s="1"/>
  <c r="L1617" i="2" s="1"/>
  <c r="I668" i="2"/>
  <c r="J668" i="2" s="1"/>
  <c r="K668" i="2" s="1"/>
  <c r="L668" i="2" s="1"/>
  <c r="I1257" i="2"/>
  <c r="J1257" i="2" s="1"/>
  <c r="K1257" i="2" s="1"/>
  <c r="L1257" i="2" s="1"/>
  <c r="I669" i="2"/>
  <c r="J669" i="2" s="1"/>
  <c r="K669" i="2" s="1"/>
  <c r="L669" i="2" s="1"/>
  <c r="I76" i="2"/>
  <c r="J76" i="2" s="1"/>
  <c r="K76" i="2" s="1"/>
  <c r="L76" i="2" s="1"/>
  <c r="I1258" i="2"/>
  <c r="J1258" i="2" s="1"/>
  <c r="K1258" i="2" s="1"/>
  <c r="L1258" i="2" s="1"/>
  <c r="I77" i="2"/>
  <c r="J77" i="2" s="1"/>
  <c r="K77" i="2" s="1"/>
  <c r="L77" i="2" s="1"/>
  <c r="I1259" i="2"/>
  <c r="J1259" i="2" s="1"/>
  <c r="K1259" i="2" s="1"/>
  <c r="L1259" i="2" s="1"/>
  <c r="I2485" i="2"/>
  <c r="J2485" i="2" s="1"/>
  <c r="K2485" i="2" s="1"/>
  <c r="L2485" i="2" s="1"/>
  <c r="I670" i="2"/>
  <c r="J670" i="2" s="1"/>
  <c r="K670" i="2" s="1"/>
  <c r="L670" i="2" s="1"/>
  <c r="I1919" i="2"/>
  <c r="J1919" i="2" s="1"/>
  <c r="K1919" i="2" s="1"/>
  <c r="L1919" i="2" s="1"/>
  <c r="I1431" i="2"/>
  <c r="J1431" i="2" s="1"/>
  <c r="K1431" i="2" s="1"/>
  <c r="L1431" i="2" s="1"/>
  <c r="I1920" i="2"/>
  <c r="J1920" i="2" s="1"/>
  <c r="K1920" i="2" s="1"/>
  <c r="L1920" i="2" s="1"/>
  <c r="I1139" i="2"/>
  <c r="J1139" i="2" s="1"/>
  <c r="K1139" i="2" s="1"/>
  <c r="L1139" i="2" s="1"/>
  <c r="I290" i="2"/>
  <c r="J290" i="2" s="1"/>
  <c r="K290" i="2" s="1"/>
  <c r="L290" i="2" s="1"/>
  <c r="I1260" i="2"/>
  <c r="J1260" i="2" s="1"/>
  <c r="K1260" i="2" s="1"/>
  <c r="L1260" i="2" s="1"/>
  <c r="I1261" i="2"/>
  <c r="J1261" i="2" s="1"/>
  <c r="K1261" i="2" s="1"/>
  <c r="L1261" i="2" s="1"/>
  <c r="I2205" i="2"/>
  <c r="J2205" i="2" s="1"/>
  <c r="K2205" i="2" s="1"/>
  <c r="L2205" i="2" s="1"/>
  <c r="I2643" i="2"/>
  <c r="J2643" i="2" s="1"/>
  <c r="K2643" i="2" s="1"/>
  <c r="L2643" i="2" s="1"/>
  <c r="I3140" i="2"/>
  <c r="J3140" i="2" s="1"/>
  <c r="K3140" i="2" s="1"/>
  <c r="L3140" i="2" s="1"/>
  <c r="I1618" i="2"/>
  <c r="J1618" i="2" s="1"/>
  <c r="K1618" i="2" s="1"/>
  <c r="L1618" i="2" s="1"/>
  <c r="I2486" i="2"/>
  <c r="J2486" i="2" s="1"/>
  <c r="K2486" i="2" s="1"/>
  <c r="L2486" i="2" s="1"/>
  <c r="I1262" i="2"/>
  <c r="J1262" i="2" s="1"/>
  <c r="K1262" i="2" s="1"/>
  <c r="L1262" i="2" s="1"/>
  <c r="I1432" i="2"/>
  <c r="J1432" i="2" s="1"/>
  <c r="K1432" i="2" s="1"/>
  <c r="L1432" i="2" s="1"/>
  <c r="I2206" i="2"/>
  <c r="J2206" i="2" s="1"/>
  <c r="K2206" i="2" s="1"/>
  <c r="L2206" i="2" s="1"/>
  <c r="I1140" i="2"/>
  <c r="J1140" i="2" s="1"/>
  <c r="K1140" i="2" s="1"/>
  <c r="L1140" i="2" s="1"/>
  <c r="I2207" i="2"/>
  <c r="J2207" i="2" s="1"/>
  <c r="K2207" i="2" s="1"/>
  <c r="L2207" i="2" s="1"/>
  <c r="I671" i="2"/>
  <c r="J671" i="2" s="1"/>
  <c r="K671" i="2" s="1"/>
  <c r="L671" i="2" s="1"/>
  <c r="I1619" i="2"/>
  <c r="J1619" i="2" s="1"/>
  <c r="K1619" i="2" s="1"/>
  <c r="L1619" i="2" s="1"/>
  <c r="I1141" i="2"/>
  <c r="J1141" i="2" s="1"/>
  <c r="K1141" i="2" s="1"/>
  <c r="L1141" i="2" s="1"/>
  <c r="I672" i="2"/>
  <c r="J672" i="2" s="1"/>
  <c r="K672" i="2" s="1"/>
  <c r="L672" i="2" s="1"/>
  <c r="I3172" i="2"/>
  <c r="J3172" i="2" s="1"/>
  <c r="K3172" i="2" s="1"/>
  <c r="L3172" i="2" s="1"/>
  <c r="I2969" i="2"/>
  <c r="J2969" i="2" s="1"/>
  <c r="K2969" i="2" s="1"/>
  <c r="L2969" i="2" s="1"/>
  <c r="I1921" i="2"/>
  <c r="J1921" i="2" s="1"/>
  <c r="K1921" i="2" s="1"/>
  <c r="L1921" i="2" s="1"/>
  <c r="I2771" i="2"/>
  <c r="J2771" i="2" s="1"/>
  <c r="K2771" i="2" s="1"/>
  <c r="L2771" i="2" s="1"/>
  <c r="I2644" i="2"/>
  <c r="J2644" i="2" s="1"/>
  <c r="K2644" i="2" s="1"/>
  <c r="L2644" i="2" s="1"/>
  <c r="I673" i="2"/>
  <c r="J673" i="2" s="1"/>
  <c r="K673" i="2" s="1"/>
  <c r="L673" i="2" s="1"/>
  <c r="I1804" i="2"/>
  <c r="J1804" i="2" s="1"/>
  <c r="K1804" i="2" s="1"/>
  <c r="L1804" i="2" s="1"/>
  <c r="I674" i="2"/>
  <c r="J674" i="2" s="1"/>
  <c r="K674" i="2" s="1"/>
  <c r="L674" i="2" s="1"/>
  <c r="I1620" i="2"/>
  <c r="J1620" i="2" s="1"/>
  <c r="K1620" i="2" s="1"/>
  <c r="L1620" i="2" s="1"/>
  <c r="I2970" i="2"/>
  <c r="J2970" i="2" s="1"/>
  <c r="K2970" i="2" s="1"/>
  <c r="L2970" i="2" s="1"/>
  <c r="I2971" i="2"/>
  <c r="J2971" i="2" s="1"/>
  <c r="K2971" i="2" s="1"/>
  <c r="L2971" i="2" s="1"/>
  <c r="I1621" i="2"/>
  <c r="J1621" i="2" s="1"/>
  <c r="K1621" i="2" s="1"/>
  <c r="L1621" i="2" s="1"/>
  <c r="I1922" i="2"/>
  <c r="J1922" i="2" s="1"/>
  <c r="K1922" i="2" s="1"/>
  <c r="L1922" i="2" s="1"/>
  <c r="I368" i="2"/>
  <c r="J368" i="2" s="1"/>
  <c r="K368" i="2" s="1"/>
  <c r="L368" i="2" s="1"/>
  <c r="I675" i="2"/>
  <c r="J675" i="2" s="1"/>
  <c r="K675" i="2" s="1"/>
  <c r="L675" i="2" s="1"/>
  <c r="I1389" i="2"/>
  <c r="J1389" i="2" s="1"/>
  <c r="K1389" i="2" s="1"/>
  <c r="L1389" i="2" s="1"/>
  <c r="I1390" i="2"/>
  <c r="J1390" i="2" s="1"/>
  <c r="K1390" i="2" s="1"/>
  <c r="L1390" i="2" s="1"/>
  <c r="I1020" i="2"/>
  <c r="J1020" i="2" s="1"/>
  <c r="K1020" i="2" s="1"/>
  <c r="L1020" i="2" s="1"/>
  <c r="I2487" i="2"/>
  <c r="J2487" i="2" s="1"/>
  <c r="K2487" i="2" s="1"/>
  <c r="L2487" i="2" s="1"/>
  <c r="I1142" i="2"/>
  <c r="J1142" i="2" s="1"/>
  <c r="K1142" i="2" s="1"/>
  <c r="L1142" i="2" s="1"/>
  <c r="I676" i="2"/>
  <c r="J676" i="2" s="1"/>
  <c r="K676" i="2" s="1"/>
  <c r="L676" i="2" s="1"/>
  <c r="I1622" i="2"/>
  <c r="J1622" i="2" s="1"/>
  <c r="K1622" i="2" s="1"/>
  <c r="L1622" i="2" s="1"/>
  <c r="I291" i="2"/>
  <c r="J291" i="2" s="1"/>
  <c r="K291" i="2" s="1"/>
  <c r="L291" i="2" s="1"/>
  <c r="I78" i="2"/>
  <c r="J78" i="2" s="1"/>
  <c r="K78" i="2" s="1"/>
  <c r="L78" i="2" s="1"/>
  <c r="I292" i="2"/>
  <c r="J292" i="2" s="1"/>
  <c r="K292" i="2" s="1"/>
  <c r="L292" i="2" s="1"/>
  <c r="I293" i="2"/>
  <c r="J293" i="2" s="1"/>
  <c r="K293" i="2" s="1"/>
  <c r="L293" i="2" s="1"/>
  <c r="I2972" i="2"/>
  <c r="J2972" i="2" s="1"/>
  <c r="K2972" i="2" s="1"/>
  <c r="L2972" i="2" s="1"/>
  <c r="I452" i="2"/>
  <c r="J452" i="2" s="1"/>
  <c r="K452" i="2" s="1"/>
  <c r="L452" i="2" s="1"/>
  <c r="I1623" i="2"/>
  <c r="J1623" i="2" s="1"/>
  <c r="K1623" i="2" s="1"/>
  <c r="L1623" i="2" s="1"/>
  <c r="I79" i="2"/>
  <c r="J79" i="2" s="1"/>
  <c r="K79" i="2" s="1"/>
  <c r="L79" i="2" s="1"/>
  <c r="I2488" i="2"/>
  <c r="J2488" i="2" s="1"/>
  <c r="K2488" i="2" s="1"/>
  <c r="L2488" i="2" s="1"/>
  <c r="I2489" i="2"/>
  <c r="J2489" i="2" s="1"/>
  <c r="K2489" i="2" s="1"/>
  <c r="L2489" i="2" s="1"/>
  <c r="I80" i="2"/>
  <c r="J80" i="2" s="1"/>
  <c r="K80" i="2" s="1"/>
  <c r="L80" i="2" s="1"/>
  <c r="I1518" i="2"/>
  <c r="J1518" i="2" s="1"/>
  <c r="K1518" i="2" s="1"/>
  <c r="L1518" i="2" s="1"/>
  <c r="I2829" i="2"/>
  <c r="J2829" i="2" s="1"/>
  <c r="K2829" i="2" s="1"/>
  <c r="L2829" i="2" s="1"/>
  <c r="I1624" i="2"/>
  <c r="J1624" i="2" s="1"/>
  <c r="K1624" i="2" s="1"/>
  <c r="L1624" i="2" s="1"/>
  <c r="I1625" i="2"/>
  <c r="J1625" i="2" s="1"/>
  <c r="K1625" i="2" s="1"/>
  <c r="L1625" i="2" s="1"/>
  <c r="I2208" i="2"/>
  <c r="J2208" i="2" s="1"/>
  <c r="K2208" i="2" s="1"/>
  <c r="L2208" i="2" s="1"/>
  <c r="I81" i="2"/>
  <c r="J81" i="2" s="1"/>
  <c r="K81" i="2" s="1"/>
  <c r="L81" i="2" s="1"/>
  <c r="I2490" i="2"/>
  <c r="J2490" i="2" s="1"/>
  <c r="K2490" i="2" s="1"/>
  <c r="L2490" i="2" s="1"/>
  <c r="I2209" i="2"/>
  <c r="J2209" i="2" s="1"/>
  <c r="K2209" i="2" s="1"/>
  <c r="L2209" i="2" s="1"/>
  <c r="I82" i="2"/>
  <c r="J82" i="2" s="1"/>
  <c r="K82" i="2" s="1"/>
  <c r="L82" i="2" s="1"/>
  <c r="I1923" i="2"/>
  <c r="J1923" i="2" s="1"/>
  <c r="K1923" i="2" s="1"/>
  <c r="L1923" i="2" s="1"/>
  <c r="I1924" i="2"/>
  <c r="J1924" i="2" s="1"/>
  <c r="K1924" i="2" s="1"/>
  <c r="L1924" i="2" s="1"/>
  <c r="I2890" i="2"/>
  <c r="J2890" i="2" s="1"/>
  <c r="K2890" i="2" s="1"/>
  <c r="L2890" i="2" s="1"/>
  <c r="I1433" i="2"/>
  <c r="J1433" i="2" s="1"/>
  <c r="K1433" i="2" s="1"/>
  <c r="L1433" i="2" s="1"/>
  <c r="I1434" i="2"/>
  <c r="J1434" i="2" s="1"/>
  <c r="K1434" i="2" s="1"/>
  <c r="L1434" i="2" s="1"/>
  <c r="I1021" i="2"/>
  <c r="J1021" i="2" s="1"/>
  <c r="K1021" i="2" s="1"/>
  <c r="L1021" i="2" s="1"/>
  <c r="I1022" i="2"/>
  <c r="J1022" i="2" s="1"/>
  <c r="K1022" i="2" s="1"/>
  <c r="L1022" i="2" s="1"/>
  <c r="I2210" i="2"/>
  <c r="J2210" i="2" s="1"/>
  <c r="K2210" i="2" s="1"/>
  <c r="L2210" i="2" s="1"/>
  <c r="I1925" i="2"/>
  <c r="J1925" i="2" s="1"/>
  <c r="K1925" i="2" s="1"/>
  <c r="L1925" i="2" s="1"/>
  <c r="I2211" i="2"/>
  <c r="J2211" i="2" s="1"/>
  <c r="K2211" i="2" s="1"/>
  <c r="L2211" i="2" s="1"/>
  <c r="I2212" i="2"/>
  <c r="J2212" i="2" s="1"/>
  <c r="K2212" i="2" s="1"/>
  <c r="L2212" i="2" s="1"/>
  <c r="I2213" i="2"/>
  <c r="J2213" i="2" s="1"/>
  <c r="K2213" i="2" s="1"/>
  <c r="L2213" i="2" s="1"/>
  <c r="I2973" i="2"/>
  <c r="J2973" i="2" s="1"/>
  <c r="K2973" i="2" s="1"/>
  <c r="L2973" i="2" s="1"/>
  <c r="I2491" i="2"/>
  <c r="J2491" i="2" s="1"/>
  <c r="K2491" i="2" s="1"/>
  <c r="L2491" i="2" s="1"/>
  <c r="I1435" i="2"/>
  <c r="J1435" i="2" s="1"/>
  <c r="K1435" i="2" s="1"/>
  <c r="L1435" i="2" s="1"/>
  <c r="I1143" i="2"/>
  <c r="J1143" i="2" s="1"/>
  <c r="K1143" i="2" s="1"/>
  <c r="L1143" i="2" s="1"/>
  <c r="I2974" i="2"/>
  <c r="J2974" i="2" s="1"/>
  <c r="K2974" i="2" s="1"/>
  <c r="L2974" i="2" s="1"/>
  <c r="I83" i="2"/>
  <c r="J83" i="2" s="1"/>
  <c r="K83" i="2" s="1"/>
  <c r="L83" i="2" s="1"/>
  <c r="I1926" i="2"/>
  <c r="J1926" i="2" s="1"/>
  <c r="K1926" i="2" s="1"/>
  <c r="L1926" i="2" s="1"/>
  <c r="I1805" i="2"/>
  <c r="J1805" i="2" s="1"/>
  <c r="K1805" i="2" s="1"/>
  <c r="L1805" i="2" s="1"/>
  <c r="I2830" i="2"/>
  <c r="J2830" i="2" s="1"/>
  <c r="K2830" i="2" s="1"/>
  <c r="L2830" i="2" s="1"/>
  <c r="I2214" i="2"/>
  <c r="J2214" i="2" s="1"/>
  <c r="K2214" i="2" s="1"/>
  <c r="L2214" i="2" s="1"/>
  <c r="I2492" i="2"/>
  <c r="J2492" i="2" s="1"/>
  <c r="K2492" i="2" s="1"/>
  <c r="L2492" i="2" s="1"/>
  <c r="I2215" i="2"/>
  <c r="J2215" i="2" s="1"/>
  <c r="K2215" i="2" s="1"/>
  <c r="L2215" i="2" s="1"/>
  <c r="I677" i="2"/>
  <c r="J677" i="2" s="1"/>
  <c r="K677" i="2" s="1"/>
  <c r="L677" i="2" s="1"/>
  <c r="I1263" i="2"/>
  <c r="J1263" i="2" s="1"/>
  <c r="K1263" i="2" s="1"/>
  <c r="L1263" i="2" s="1"/>
  <c r="I1519" i="2"/>
  <c r="J1519" i="2" s="1"/>
  <c r="K1519" i="2" s="1"/>
  <c r="L1519" i="2" s="1"/>
  <c r="I2975" i="2"/>
  <c r="J2975" i="2" s="1"/>
  <c r="K2975" i="2" s="1"/>
  <c r="L2975" i="2" s="1"/>
  <c r="I294" i="2"/>
  <c r="J294" i="2" s="1"/>
  <c r="K294" i="2" s="1"/>
  <c r="L294" i="2" s="1"/>
  <c r="I530" i="2"/>
  <c r="J530" i="2" s="1"/>
  <c r="K530" i="2" s="1"/>
  <c r="L530" i="2" s="1"/>
  <c r="I678" i="2"/>
  <c r="J678" i="2" s="1"/>
  <c r="K678" i="2" s="1"/>
  <c r="L678" i="2" s="1"/>
  <c r="I679" i="2"/>
  <c r="J679" i="2" s="1"/>
  <c r="K679" i="2" s="1"/>
  <c r="L679" i="2" s="1"/>
  <c r="I2645" i="2"/>
  <c r="J2645" i="2" s="1"/>
  <c r="K2645" i="2" s="1"/>
  <c r="L2645" i="2" s="1"/>
  <c r="I295" i="2"/>
  <c r="J295" i="2" s="1"/>
  <c r="K295" i="2" s="1"/>
  <c r="L295" i="2" s="1"/>
  <c r="I680" i="2"/>
  <c r="J680" i="2" s="1"/>
  <c r="K680" i="2" s="1"/>
  <c r="L680" i="2" s="1"/>
  <c r="I369" i="2"/>
  <c r="J369" i="2" s="1"/>
  <c r="K369" i="2" s="1"/>
  <c r="L369" i="2" s="1"/>
  <c r="I681" i="2"/>
  <c r="J681" i="2" s="1"/>
  <c r="K681" i="2" s="1"/>
  <c r="L681" i="2" s="1"/>
  <c r="I682" i="2"/>
  <c r="J682" i="2" s="1"/>
  <c r="K682" i="2" s="1"/>
  <c r="L682" i="2" s="1"/>
  <c r="I2646" i="2"/>
  <c r="J2646" i="2" s="1"/>
  <c r="K2646" i="2" s="1"/>
  <c r="L2646" i="2" s="1"/>
  <c r="I2976" i="2"/>
  <c r="J2976" i="2" s="1"/>
  <c r="K2976" i="2" s="1"/>
  <c r="L2976" i="2" s="1"/>
  <c r="I2493" i="2"/>
  <c r="J2493" i="2" s="1"/>
  <c r="K2493" i="2" s="1"/>
  <c r="L2493" i="2" s="1"/>
  <c r="I2647" i="2"/>
  <c r="J2647" i="2" s="1"/>
  <c r="K2647" i="2" s="1"/>
  <c r="L2647" i="2" s="1"/>
  <c r="I84" i="2"/>
  <c r="J84" i="2" s="1"/>
  <c r="K84" i="2" s="1"/>
  <c r="L84" i="2" s="1"/>
  <c r="I1927" i="2"/>
  <c r="J1927" i="2" s="1"/>
  <c r="K1927" i="2" s="1"/>
  <c r="L1927" i="2" s="1"/>
  <c r="I1626" i="2"/>
  <c r="J1626" i="2" s="1"/>
  <c r="K1626" i="2" s="1"/>
  <c r="L1626" i="2" s="1"/>
  <c r="I1264" i="2"/>
  <c r="J1264" i="2" s="1"/>
  <c r="K1264" i="2" s="1"/>
  <c r="L1264" i="2" s="1"/>
  <c r="I1265" i="2"/>
  <c r="J1265" i="2" s="1"/>
  <c r="K1265" i="2" s="1"/>
  <c r="L1265" i="2" s="1"/>
  <c r="I370" i="2"/>
  <c r="J370" i="2" s="1"/>
  <c r="K370" i="2" s="1"/>
  <c r="L370" i="2" s="1"/>
  <c r="I2977" i="2"/>
  <c r="J2977" i="2" s="1"/>
  <c r="K2977" i="2" s="1"/>
  <c r="L2977" i="2" s="1"/>
  <c r="I1266" i="2"/>
  <c r="J1266" i="2" s="1"/>
  <c r="K1266" i="2" s="1"/>
  <c r="L1266" i="2" s="1"/>
  <c r="I1267" i="2"/>
  <c r="J1267" i="2" s="1"/>
  <c r="K1267" i="2" s="1"/>
  <c r="L1267" i="2" s="1"/>
  <c r="I2216" i="2"/>
  <c r="J2216" i="2" s="1"/>
  <c r="K2216" i="2" s="1"/>
  <c r="L2216" i="2" s="1"/>
  <c r="I2978" i="2"/>
  <c r="J2978" i="2" s="1"/>
  <c r="K2978" i="2" s="1"/>
  <c r="L2978" i="2" s="1"/>
  <c r="I683" i="2"/>
  <c r="J683" i="2" s="1"/>
  <c r="K683" i="2" s="1"/>
  <c r="L683" i="2" s="1"/>
  <c r="I684" i="2"/>
  <c r="J684" i="2" s="1"/>
  <c r="K684" i="2" s="1"/>
  <c r="L684" i="2" s="1"/>
  <c r="I2494" i="2"/>
  <c r="J2494" i="2" s="1"/>
  <c r="K2494" i="2" s="1"/>
  <c r="L2494" i="2" s="1"/>
  <c r="I1436" i="2"/>
  <c r="J1436" i="2" s="1"/>
  <c r="K1436" i="2" s="1"/>
  <c r="L1436" i="2" s="1"/>
  <c r="I85" i="2"/>
  <c r="J85" i="2" s="1"/>
  <c r="K85" i="2" s="1"/>
  <c r="L85" i="2" s="1"/>
  <c r="I2772" i="2"/>
  <c r="J2772" i="2" s="1"/>
  <c r="K2772" i="2" s="1"/>
  <c r="L2772" i="2" s="1"/>
  <c r="I1437" i="2"/>
  <c r="J1437" i="2" s="1"/>
  <c r="K1437" i="2" s="1"/>
  <c r="L1437" i="2" s="1"/>
  <c r="I1627" i="2"/>
  <c r="J1627" i="2" s="1"/>
  <c r="K1627" i="2" s="1"/>
  <c r="L1627" i="2" s="1"/>
  <c r="I531" i="2"/>
  <c r="J531" i="2" s="1"/>
  <c r="K531" i="2" s="1"/>
  <c r="L531" i="2" s="1"/>
  <c r="I86" i="2"/>
  <c r="J86" i="2" s="1"/>
  <c r="K86" i="2" s="1"/>
  <c r="L86" i="2" s="1"/>
  <c r="I994" i="2"/>
  <c r="J994" i="2" s="1"/>
  <c r="K994" i="2" s="1"/>
  <c r="L994" i="2" s="1"/>
  <c r="I2648" i="2"/>
  <c r="J2648" i="2" s="1"/>
  <c r="K2648" i="2" s="1"/>
  <c r="L2648" i="2" s="1"/>
  <c r="I296" i="2"/>
  <c r="J296" i="2" s="1"/>
  <c r="K296" i="2" s="1"/>
  <c r="L296" i="2" s="1"/>
  <c r="I1268" i="2"/>
  <c r="J1268" i="2" s="1"/>
  <c r="K1268" i="2" s="1"/>
  <c r="L1268" i="2" s="1"/>
  <c r="I1628" i="2"/>
  <c r="J1628" i="2" s="1"/>
  <c r="K1628" i="2" s="1"/>
  <c r="L1628" i="2" s="1"/>
  <c r="I1269" i="2"/>
  <c r="J1269" i="2" s="1"/>
  <c r="K1269" i="2" s="1"/>
  <c r="L1269" i="2" s="1"/>
  <c r="I1144" i="2"/>
  <c r="J1144" i="2" s="1"/>
  <c r="K1144" i="2" s="1"/>
  <c r="L1144" i="2" s="1"/>
  <c r="I1145" i="2"/>
  <c r="J1145" i="2" s="1"/>
  <c r="K1145" i="2" s="1"/>
  <c r="L1145" i="2" s="1"/>
  <c r="I1023" i="2"/>
  <c r="J1023" i="2" s="1"/>
  <c r="K1023" i="2" s="1"/>
  <c r="L1023" i="2" s="1"/>
  <c r="I2217" i="2"/>
  <c r="J2217" i="2" s="1"/>
  <c r="K2217" i="2" s="1"/>
  <c r="L2217" i="2" s="1"/>
  <c r="I297" i="2"/>
  <c r="J297" i="2" s="1"/>
  <c r="K297" i="2" s="1"/>
  <c r="L297" i="2" s="1"/>
  <c r="I1928" i="2"/>
  <c r="J1928" i="2" s="1"/>
  <c r="K1928" i="2" s="1"/>
  <c r="L1928" i="2" s="1"/>
  <c r="I1270" i="2"/>
  <c r="J1270" i="2" s="1"/>
  <c r="K1270" i="2" s="1"/>
  <c r="L1270" i="2" s="1"/>
  <c r="I1438" i="2"/>
  <c r="J1438" i="2" s="1"/>
  <c r="K1438" i="2" s="1"/>
  <c r="L1438" i="2" s="1"/>
  <c r="I2831" i="2"/>
  <c r="J2831" i="2" s="1"/>
  <c r="K2831" i="2" s="1"/>
  <c r="L2831" i="2" s="1"/>
  <c r="I685" i="2"/>
  <c r="J685" i="2" s="1"/>
  <c r="K685" i="2" s="1"/>
  <c r="L685" i="2" s="1"/>
  <c r="I2078" i="2"/>
  <c r="J2078" i="2" s="1"/>
  <c r="K2078" i="2" s="1"/>
  <c r="L2078" i="2" s="1"/>
  <c r="I1271" i="2"/>
  <c r="J1271" i="2" s="1"/>
  <c r="K1271" i="2" s="1"/>
  <c r="L1271" i="2" s="1"/>
  <c r="I2891" i="2"/>
  <c r="J2891" i="2" s="1"/>
  <c r="K2891" i="2" s="1"/>
  <c r="L2891" i="2" s="1"/>
  <c r="I2979" i="2"/>
  <c r="J2979" i="2" s="1"/>
  <c r="K2979" i="2" s="1"/>
  <c r="L2979" i="2" s="1"/>
  <c r="I87" i="2"/>
  <c r="J87" i="2" s="1"/>
  <c r="K87" i="2" s="1"/>
  <c r="L87" i="2" s="1"/>
  <c r="I2980" i="2"/>
  <c r="J2980" i="2" s="1"/>
  <c r="K2980" i="2" s="1"/>
  <c r="L2980" i="2" s="1"/>
  <c r="I2218" i="2"/>
  <c r="J2218" i="2" s="1"/>
  <c r="K2218" i="2" s="1"/>
  <c r="L2218" i="2" s="1"/>
  <c r="I1629" i="2"/>
  <c r="J1629" i="2" s="1"/>
  <c r="K1629" i="2" s="1"/>
  <c r="L1629" i="2" s="1"/>
  <c r="I1439" i="2"/>
  <c r="J1439" i="2" s="1"/>
  <c r="K1439" i="2" s="1"/>
  <c r="L1439" i="2" s="1"/>
  <c r="I1440" i="2"/>
  <c r="J1440" i="2" s="1"/>
  <c r="K1440" i="2" s="1"/>
  <c r="L1440" i="2" s="1"/>
  <c r="I686" i="2"/>
  <c r="J686" i="2" s="1"/>
  <c r="K686" i="2" s="1"/>
  <c r="L686" i="2" s="1"/>
  <c r="I2981" i="2"/>
  <c r="J2981" i="2" s="1"/>
  <c r="K2981" i="2" s="1"/>
  <c r="L2981" i="2" s="1"/>
  <c r="I2982" i="2"/>
  <c r="J2982" i="2" s="1"/>
  <c r="K2982" i="2" s="1"/>
  <c r="L2982" i="2" s="1"/>
  <c r="I1441" i="2"/>
  <c r="J1441" i="2" s="1"/>
  <c r="K1441" i="2" s="1"/>
  <c r="L1441" i="2" s="1"/>
  <c r="I88" i="2"/>
  <c r="J88" i="2" s="1"/>
  <c r="K88" i="2" s="1"/>
  <c r="L88" i="2" s="1"/>
  <c r="I453" i="2"/>
  <c r="J453" i="2" s="1"/>
  <c r="K453" i="2" s="1"/>
  <c r="L453" i="2" s="1"/>
  <c r="I1442" i="2"/>
  <c r="J1442" i="2" s="1"/>
  <c r="K1442" i="2" s="1"/>
  <c r="L1442" i="2" s="1"/>
  <c r="I1929" i="2"/>
  <c r="J1929" i="2" s="1"/>
  <c r="K1929" i="2" s="1"/>
  <c r="L1929" i="2" s="1"/>
  <c r="I2495" i="2"/>
  <c r="J2495" i="2" s="1"/>
  <c r="K2495" i="2" s="1"/>
  <c r="L2495" i="2" s="1"/>
  <c r="I687" i="2"/>
  <c r="J687" i="2" s="1"/>
  <c r="K687" i="2" s="1"/>
  <c r="L687" i="2" s="1"/>
  <c r="I89" i="2"/>
  <c r="J89" i="2" s="1"/>
  <c r="K89" i="2" s="1"/>
  <c r="L89" i="2" s="1"/>
  <c r="I90" i="2"/>
  <c r="J90" i="2" s="1"/>
  <c r="K90" i="2" s="1"/>
  <c r="L90" i="2" s="1"/>
  <c r="I688" i="2"/>
  <c r="J688" i="2" s="1"/>
  <c r="K688" i="2" s="1"/>
  <c r="L688" i="2" s="1"/>
  <c r="I2832" i="2"/>
  <c r="J2832" i="2" s="1"/>
  <c r="K2832" i="2" s="1"/>
  <c r="L2832" i="2" s="1"/>
  <c r="I2496" i="2"/>
  <c r="J2496" i="2" s="1"/>
  <c r="K2496" i="2" s="1"/>
  <c r="L2496" i="2" s="1"/>
  <c r="I2497" i="2"/>
  <c r="J2497" i="2" s="1"/>
  <c r="K2497" i="2" s="1"/>
  <c r="L2497" i="2" s="1"/>
  <c r="I1024" i="2"/>
  <c r="J1024" i="2" s="1"/>
  <c r="K1024" i="2" s="1"/>
  <c r="L1024" i="2" s="1"/>
  <c r="I689" i="2"/>
  <c r="J689" i="2" s="1"/>
  <c r="K689" i="2" s="1"/>
  <c r="L689" i="2" s="1"/>
  <c r="I690" i="2"/>
  <c r="J690" i="2" s="1"/>
  <c r="K690" i="2" s="1"/>
  <c r="L690" i="2" s="1"/>
  <c r="I1520" i="2"/>
  <c r="J1520" i="2" s="1"/>
  <c r="K1520" i="2" s="1"/>
  <c r="L1520" i="2" s="1"/>
  <c r="I1272" i="2"/>
  <c r="J1272" i="2" s="1"/>
  <c r="K1272" i="2" s="1"/>
  <c r="L1272" i="2" s="1"/>
  <c r="I2498" i="2"/>
  <c r="J2498" i="2" s="1"/>
  <c r="K2498" i="2" s="1"/>
  <c r="L2498" i="2" s="1"/>
  <c r="I691" i="2"/>
  <c r="J691" i="2" s="1"/>
  <c r="K691" i="2" s="1"/>
  <c r="L691" i="2" s="1"/>
  <c r="I2649" i="2"/>
  <c r="J2649" i="2" s="1"/>
  <c r="K2649" i="2" s="1"/>
  <c r="L2649" i="2" s="1"/>
  <c r="I2219" i="2"/>
  <c r="J2219" i="2" s="1"/>
  <c r="K2219" i="2" s="1"/>
  <c r="L2219" i="2" s="1"/>
  <c r="I1443" i="2"/>
  <c r="J1443" i="2" s="1"/>
  <c r="K1443" i="2" s="1"/>
  <c r="L1443" i="2" s="1"/>
  <c r="I371" i="2"/>
  <c r="J371" i="2" s="1"/>
  <c r="K371" i="2" s="1"/>
  <c r="L371" i="2" s="1"/>
  <c r="I692" i="2"/>
  <c r="J692" i="2" s="1"/>
  <c r="K692" i="2" s="1"/>
  <c r="L692" i="2" s="1"/>
  <c r="I693" i="2"/>
  <c r="J693" i="2" s="1"/>
  <c r="K693" i="2" s="1"/>
  <c r="L693" i="2" s="1"/>
  <c r="I2983" i="2"/>
  <c r="J2983" i="2" s="1"/>
  <c r="K2983" i="2" s="1"/>
  <c r="L2983" i="2" s="1"/>
  <c r="I91" i="2"/>
  <c r="J91" i="2" s="1"/>
  <c r="K91" i="2" s="1"/>
  <c r="L91" i="2" s="1"/>
  <c r="I92" i="2"/>
  <c r="J92" i="2" s="1"/>
  <c r="K92" i="2" s="1"/>
  <c r="L92" i="2" s="1"/>
  <c r="I2833" i="2"/>
  <c r="J2833" i="2" s="1"/>
  <c r="K2833" i="2" s="1"/>
  <c r="L2833" i="2" s="1"/>
  <c r="I2984" i="2"/>
  <c r="J2984" i="2" s="1"/>
  <c r="K2984" i="2" s="1"/>
  <c r="L2984" i="2" s="1"/>
  <c r="I1930" i="2"/>
  <c r="J1930" i="2" s="1"/>
  <c r="K1930" i="2" s="1"/>
  <c r="L1930" i="2" s="1"/>
  <c r="I1090" i="2"/>
  <c r="J1090" i="2" s="1"/>
  <c r="K1090" i="2" s="1"/>
  <c r="L1090" i="2" s="1"/>
  <c r="I1931" i="2"/>
  <c r="J1931" i="2" s="1"/>
  <c r="K1931" i="2" s="1"/>
  <c r="L1931" i="2" s="1"/>
  <c r="I1273" i="2"/>
  <c r="J1273" i="2" s="1"/>
  <c r="K1273" i="2" s="1"/>
  <c r="L1273" i="2" s="1"/>
  <c r="I2985" i="2"/>
  <c r="J2985" i="2" s="1"/>
  <c r="K2985" i="2" s="1"/>
  <c r="L2985" i="2" s="1"/>
  <c r="I1274" i="2"/>
  <c r="J1274" i="2" s="1"/>
  <c r="K1274" i="2" s="1"/>
  <c r="L1274" i="2" s="1"/>
  <c r="I93" i="2"/>
  <c r="J93" i="2" s="1"/>
  <c r="K93" i="2" s="1"/>
  <c r="L93" i="2" s="1"/>
  <c r="I2834" i="2"/>
  <c r="J2834" i="2" s="1"/>
  <c r="K2834" i="2" s="1"/>
  <c r="L2834" i="2" s="1"/>
  <c r="I1630" i="2"/>
  <c r="J1630" i="2" s="1"/>
  <c r="K1630" i="2" s="1"/>
  <c r="L1630" i="2" s="1"/>
  <c r="I454" i="2"/>
  <c r="J454" i="2" s="1"/>
  <c r="K454" i="2" s="1"/>
  <c r="L454" i="2" s="1"/>
  <c r="I1631" i="2"/>
  <c r="J1631" i="2" s="1"/>
  <c r="K1631" i="2" s="1"/>
  <c r="L1631" i="2" s="1"/>
  <c r="I1632" i="2"/>
  <c r="J1632" i="2" s="1"/>
  <c r="K1632" i="2" s="1"/>
  <c r="L1632" i="2" s="1"/>
  <c r="I1633" i="2"/>
  <c r="J1633" i="2" s="1"/>
  <c r="K1633" i="2" s="1"/>
  <c r="L1633" i="2" s="1"/>
  <c r="I1275" i="2"/>
  <c r="J1275" i="2" s="1"/>
  <c r="K1275" i="2" s="1"/>
  <c r="L1275" i="2" s="1"/>
  <c r="I94" i="2"/>
  <c r="J94" i="2" s="1"/>
  <c r="K94" i="2" s="1"/>
  <c r="L94" i="2" s="1"/>
  <c r="I1932" i="2"/>
  <c r="J1932" i="2" s="1"/>
  <c r="K1932" i="2" s="1"/>
  <c r="L1932" i="2" s="1"/>
  <c r="I2650" i="2"/>
  <c r="J2650" i="2" s="1"/>
  <c r="K2650" i="2" s="1"/>
  <c r="L2650" i="2" s="1"/>
  <c r="I2220" i="2"/>
  <c r="J2220" i="2" s="1"/>
  <c r="K2220" i="2" s="1"/>
  <c r="L2220" i="2" s="1"/>
  <c r="I2221" i="2"/>
  <c r="J2221" i="2" s="1"/>
  <c r="K2221" i="2" s="1"/>
  <c r="L2221" i="2" s="1"/>
  <c r="I455" i="2"/>
  <c r="J455" i="2" s="1"/>
  <c r="K455" i="2" s="1"/>
  <c r="L455" i="2" s="1"/>
  <c r="I298" i="2"/>
  <c r="J298" i="2" s="1"/>
  <c r="K298" i="2" s="1"/>
  <c r="L298" i="2" s="1"/>
  <c r="I2986" i="2"/>
  <c r="J2986" i="2" s="1"/>
  <c r="K2986" i="2" s="1"/>
  <c r="L2986" i="2" s="1"/>
  <c r="I2222" i="2"/>
  <c r="J2222" i="2" s="1"/>
  <c r="K2222" i="2" s="1"/>
  <c r="L2222" i="2" s="1"/>
  <c r="I2499" i="2"/>
  <c r="J2499" i="2" s="1"/>
  <c r="K2499" i="2" s="1"/>
  <c r="L2499" i="2" s="1"/>
  <c r="I2835" i="2"/>
  <c r="J2835" i="2" s="1"/>
  <c r="K2835" i="2" s="1"/>
  <c r="L2835" i="2" s="1"/>
  <c r="I2500" i="2"/>
  <c r="J2500" i="2" s="1"/>
  <c r="K2500" i="2" s="1"/>
  <c r="L2500" i="2" s="1"/>
  <c r="I2836" i="2"/>
  <c r="J2836" i="2" s="1"/>
  <c r="K2836" i="2" s="1"/>
  <c r="L2836" i="2" s="1"/>
  <c r="I1933" i="2"/>
  <c r="J1933" i="2" s="1"/>
  <c r="K1933" i="2" s="1"/>
  <c r="L1933" i="2" s="1"/>
  <c r="I95" i="2"/>
  <c r="J95" i="2" s="1"/>
  <c r="K95" i="2" s="1"/>
  <c r="L95" i="2" s="1"/>
  <c r="I2223" i="2"/>
  <c r="J2223" i="2" s="1"/>
  <c r="K2223" i="2" s="1"/>
  <c r="L2223" i="2" s="1"/>
  <c r="I1276" i="2"/>
  <c r="J1276" i="2" s="1"/>
  <c r="K1276" i="2" s="1"/>
  <c r="L1276" i="2" s="1"/>
  <c r="I2224" i="2"/>
  <c r="J2224" i="2" s="1"/>
  <c r="K2224" i="2" s="1"/>
  <c r="L2224" i="2" s="1"/>
  <c r="I2651" i="2"/>
  <c r="J2651" i="2" s="1"/>
  <c r="K2651" i="2" s="1"/>
  <c r="L2651" i="2" s="1"/>
  <c r="I2987" i="2"/>
  <c r="J2987" i="2" s="1"/>
  <c r="K2987" i="2" s="1"/>
  <c r="L2987" i="2" s="1"/>
  <c r="I694" i="2"/>
  <c r="J694" i="2" s="1"/>
  <c r="K694" i="2" s="1"/>
  <c r="L694" i="2" s="1"/>
  <c r="I2652" i="2"/>
  <c r="J2652" i="2" s="1"/>
  <c r="K2652" i="2" s="1"/>
  <c r="L2652" i="2" s="1"/>
  <c r="I2653" i="2"/>
  <c r="J2653" i="2" s="1"/>
  <c r="K2653" i="2" s="1"/>
  <c r="L2653" i="2" s="1"/>
  <c r="I1934" i="2"/>
  <c r="J1934" i="2" s="1"/>
  <c r="K1934" i="2" s="1"/>
  <c r="L1934" i="2" s="1"/>
  <c r="I1634" i="2"/>
  <c r="J1634" i="2" s="1"/>
  <c r="K1634" i="2" s="1"/>
  <c r="L1634" i="2" s="1"/>
  <c r="I1635" i="2"/>
  <c r="J1635" i="2" s="1"/>
  <c r="K1635" i="2" s="1"/>
  <c r="L1635" i="2" s="1"/>
  <c r="I2654" i="2"/>
  <c r="J2654" i="2" s="1"/>
  <c r="K2654" i="2" s="1"/>
  <c r="L2654" i="2" s="1"/>
  <c r="I2837" i="2"/>
  <c r="J2837" i="2" s="1"/>
  <c r="K2837" i="2" s="1"/>
  <c r="L2837" i="2" s="1"/>
  <c r="I2655" i="2"/>
  <c r="J2655" i="2" s="1"/>
  <c r="K2655" i="2" s="1"/>
  <c r="L2655" i="2" s="1"/>
  <c r="I2988" i="2"/>
  <c r="J2988" i="2" s="1"/>
  <c r="K2988" i="2" s="1"/>
  <c r="L2988" i="2" s="1"/>
  <c r="I96" i="2"/>
  <c r="J96" i="2" s="1"/>
  <c r="K96" i="2" s="1"/>
  <c r="L96" i="2" s="1"/>
  <c r="I2225" i="2"/>
  <c r="J2225" i="2" s="1"/>
  <c r="K2225" i="2" s="1"/>
  <c r="L2225" i="2" s="1"/>
  <c r="I2773" i="2"/>
  <c r="J2773" i="2" s="1"/>
  <c r="K2773" i="2" s="1"/>
  <c r="L2773" i="2" s="1"/>
  <c r="I2989" i="2"/>
  <c r="J2989" i="2" s="1"/>
  <c r="K2989" i="2" s="1"/>
  <c r="L2989" i="2" s="1"/>
  <c r="I695" i="2"/>
  <c r="J695" i="2" s="1"/>
  <c r="K695" i="2" s="1"/>
  <c r="L695" i="2" s="1"/>
  <c r="I696" i="2"/>
  <c r="J696" i="2" s="1"/>
  <c r="K696" i="2" s="1"/>
  <c r="L696" i="2" s="1"/>
  <c r="I1277" i="2"/>
  <c r="J1277" i="2" s="1"/>
  <c r="K1277" i="2" s="1"/>
  <c r="L1277" i="2" s="1"/>
  <c r="I697" i="2"/>
  <c r="J697" i="2" s="1"/>
  <c r="K697" i="2" s="1"/>
  <c r="L697" i="2" s="1"/>
  <c r="I1278" i="2"/>
  <c r="J1278" i="2" s="1"/>
  <c r="K1278" i="2" s="1"/>
  <c r="L1278" i="2" s="1"/>
  <c r="I456" i="2"/>
  <c r="J456" i="2" s="1"/>
  <c r="K456" i="2" s="1"/>
  <c r="L456" i="2" s="1"/>
  <c r="I698" i="2"/>
  <c r="J698" i="2" s="1"/>
  <c r="K698" i="2" s="1"/>
  <c r="L698" i="2" s="1"/>
  <c r="I1279" i="2"/>
  <c r="J1279" i="2" s="1"/>
  <c r="K1279" i="2" s="1"/>
  <c r="L1279" i="2" s="1"/>
  <c r="I2899" i="2"/>
  <c r="J2899" i="2" s="1"/>
  <c r="K2899" i="2" s="1"/>
  <c r="L2899" i="2" s="1"/>
  <c r="I3169" i="2"/>
  <c r="J3169" i="2" s="1"/>
  <c r="K3169" i="2" s="1"/>
  <c r="L3169" i="2" s="1"/>
  <c r="I1391" i="2"/>
  <c r="J1391" i="2" s="1"/>
  <c r="K1391" i="2" s="1"/>
  <c r="L1391" i="2" s="1"/>
  <c r="I1110" i="2"/>
  <c r="J1110" i="2" s="1"/>
  <c r="K1110" i="2" s="1"/>
  <c r="L1110" i="2" s="1"/>
  <c r="I2226" i="2"/>
  <c r="J2226" i="2" s="1"/>
  <c r="K2226" i="2" s="1"/>
  <c r="L2226" i="2" s="1"/>
  <c r="I97" i="2"/>
  <c r="J97" i="2" s="1"/>
  <c r="K97" i="2" s="1"/>
  <c r="L97" i="2" s="1"/>
  <c r="I699" i="2"/>
  <c r="J699" i="2" s="1"/>
  <c r="K699" i="2" s="1"/>
  <c r="L699" i="2" s="1"/>
  <c r="I700" i="2"/>
  <c r="J700" i="2" s="1"/>
  <c r="K700" i="2" s="1"/>
  <c r="L700" i="2" s="1"/>
  <c r="I1146" i="2"/>
  <c r="J1146" i="2" s="1"/>
  <c r="K1146" i="2" s="1"/>
  <c r="L1146" i="2" s="1"/>
  <c r="I457" i="2"/>
  <c r="J457" i="2" s="1"/>
  <c r="K457" i="2" s="1"/>
  <c r="L457" i="2" s="1"/>
  <c r="I2227" i="2"/>
  <c r="J2227" i="2" s="1"/>
  <c r="K2227" i="2" s="1"/>
  <c r="L2227" i="2" s="1"/>
  <c r="I2228" i="2"/>
  <c r="J2228" i="2" s="1"/>
  <c r="K2228" i="2" s="1"/>
  <c r="L2228" i="2" s="1"/>
  <c r="I2990" i="2"/>
  <c r="J2990" i="2" s="1"/>
  <c r="K2990" i="2" s="1"/>
  <c r="L2990" i="2" s="1"/>
  <c r="I2229" i="2"/>
  <c r="J2229" i="2" s="1"/>
  <c r="K2229" i="2" s="1"/>
  <c r="L2229" i="2" s="1"/>
  <c r="I2838" i="2"/>
  <c r="J2838" i="2" s="1"/>
  <c r="K2838" i="2" s="1"/>
  <c r="L2838" i="2" s="1"/>
  <c r="I458" i="2"/>
  <c r="J458" i="2" s="1"/>
  <c r="K458" i="2" s="1"/>
  <c r="L458" i="2" s="1"/>
  <c r="I2839" i="2"/>
  <c r="J2839" i="2" s="1"/>
  <c r="K2839" i="2" s="1"/>
  <c r="L2839" i="2" s="1"/>
  <c r="I1280" i="2"/>
  <c r="J1280" i="2" s="1"/>
  <c r="K1280" i="2" s="1"/>
  <c r="L1280" i="2" s="1"/>
  <c r="I1147" i="2"/>
  <c r="J1147" i="2" s="1"/>
  <c r="K1147" i="2" s="1"/>
  <c r="L1147" i="2" s="1"/>
  <c r="I2501" i="2"/>
  <c r="J2501" i="2" s="1"/>
  <c r="K2501" i="2" s="1"/>
  <c r="L2501" i="2" s="1"/>
  <c r="I1935" i="2"/>
  <c r="J1935" i="2" s="1"/>
  <c r="K1935" i="2" s="1"/>
  <c r="L1935" i="2" s="1"/>
  <c r="I459" i="2"/>
  <c r="J459" i="2" s="1"/>
  <c r="K459" i="2" s="1"/>
  <c r="L459" i="2" s="1"/>
  <c r="I299" i="2"/>
  <c r="J299" i="2" s="1"/>
  <c r="K299" i="2" s="1"/>
  <c r="L299" i="2" s="1"/>
  <c r="I1281" i="2"/>
  <c r="J1281" i="2" s="1"/>
  <c r="K1281" i="2" s="1"/>
  <c r="L1281" i="2" s="1"/>
  <c r="I98" i="2"/>
  <c r="J98" i="2" s="1"/>
  <c r="K98" i="2" s="1"/>
  <c r="L98" i="2" s="1"/>
  <c r="I2656" i="2"/>
  <c r="J2656" i="2" s="1"/>
  <c r="K2656" i="2" s="1"/>
  <c r="L2656" i="2" s="1"/>
  <c r="I701" i="2"/>
  <c r="J701" i="2" s="1"/>
  <c r="K701" i="2" s="1"/>
  <c r="L701" i="2" s="1"/>
  <c r="I300" i="2"/>
  <c r="J300" i="2" s="1"/>
  <c r="K300" i="2" s="1"/>
  <c r="L300" i="2" s="1"/>
  <c r="I702" i="2"/>
  <c r="J702" i="2" s="1"/>
  <c r="K702" i="2" s="1"/>
  <c r="L702" i="2" s="1"/>
  <c r="I1444" i="2"/>
  <c r="J1444" i="2" s="1"/>
  <c r="K1444" i="2" s="1"/>
  <c r="L1444" i="2" s="1"/>
  <c r="I703" i="2"/>
  <c r="J703" i="2" s="1"/>
  <c r="K703" i="2" s="1"/>
  <c r="L703" i="2" s="1"/>
  <c r="I1636" i="2"/>
  <c r="J1636" i="2" s="1"/>
  <c r="K1636" i="2" s="1"/>
  <c r="L1636" i="2" s="1"/>
  <c r="I2230" i="2"/>
  <c r="J2230" i="2" s="1"/>
  <c r="K2230" i="2" s="1"/>
  <c r="L2230" i="2" s="1"/>
  <c r="I372" i="2"/>
  <c r="J372" i="2" s="1"/>
  <c r="K372" i="2" s="1"/>
  <c r="L372" i="2" s="1"/>
  <c r="I2502" i="2"/>
  <c r="J2502" i="2" s="1"/>
  <c r="K2502" i="2" s="1"/>
  <c r="L2502" i="2" s="1"/>
  <c r="I704" i="2"/>
  <c r="J704" i="2" s="1"/>
  <c r="K704" i="2" s="1"/>
  <c r="L704" i="2" s="1"/>
  <c r="I705" i="2"/>
  <c r="J705" i="2" s="1"/>
  <c r="K705" i="2" s="1"/>
  <c r="L705" i="2" s="1"/>
  <c r="I1282" i="2"/>
  <c r="J1282" i="2" s="1"/>
  <c r="K1282" i="2" s="1"/>
  <c r="L1282" i="2" s="1"/>
  <c r="I1936" i="2"/>
  <c r="J1936" i="2" s="1"/>
  <c r="K1936" i="2" s="1"/>
  <c r="L1936" i="2" s="1"/>
  <c r="I706" i="2"/>
  <c r="J706" i="2" s="1"/>
  <c r="K706" i="2" s="1"/>
  <c r="L706" i="2" s="1"/>
  <c r="I2231" i="2"/>
  <c r="J2231" i="2" s="1"/>
  <c r="K2231" i="2" s="1"/>
  <c r="L2231" i="2" s="1"/>
  <c r="I460" i="2"/>
  <c r="J460" i="2" s="1"/>
  <c r="K460" i="2" s="1"/>
  <c r="L460" i="2" s="1"/>
  <c r="I2232" i="2"/>
  <c r="J2232" i="2" s="1"/>
  <c r="K2232" i="2" s="1"/>
  <c r="L2232" i="2" s="1"/>
  <c r="I1937" i="2"/>
  <c r="J1937" i="2" s="1"/>
  <c r="K1937" i="2" s="1"/>
  <c r="L1937" i="2" s="1"/>
  <c r="I461" i="2"/>
  <c r="J461" i="2" s="1"/>
  <c r="K461" i="2" s="1"/>
  <c r="L461" i="2" s="1"/>
  <c r="I1938" i="2"/>
  <c r="J1938" i="2" s="1"/>
  <c r="K1938" i="2" s="1"/>
  <c r="L1938" i="2" s="1"/>
  <c r="I2657" i="2"/>
  <c r="J2657" i="2" s="1"/>
  <c r="K2657" i="2" s="1"/>
  <c r="L2657" i="2" s="1"/>
  <c r="I707" i="2"/>
  <c r="J707" i="2" s="1"/>
  <c r="K707" i="2" s="1"/>
  <c r="L707" i="2" s="1"/>
  <c r="I1283" i="2"/>
  <c r="J1283" i="2" s="1"/>
  <c r="K1283" i="2" s="1"/>
  <c r="L1283" i="2" s="1"/>
  <c r="I1148" i="2"/>
  <c r="J1148" i="2" s="1"/>
  <c r="K1148" i="2" s="1"/>
  <c r="L1148" i="2" s="1"/>
  <c r="I99" i="2"/>
  <c r="J99" i="2" s="1"/>
  <c r="K99" i="2" s="1"/>
  <c r="L99" i="2" s="1"/>
  <c r="I2233" i="2"/>
  <c r="J2233" i="2" s="1"/>
  <c r="K2233" i="2" s="1"/>
  <c r="L2233" i="2" s="1"/>
  <c r="I2234" i="2"/>
  <c r="J2234" i="2" s="1"/>
  <c r="K2234" i="2" s="1"/>
  <c r="L2234" i="2" s="1"/>
  <c r="I1521" i="2"/>
  <c r="J1521" i="2" s="1"/>
  <c r="K1521" i="2" s="1"/>
  <c r="L1521" i="2" s="1"/>
  <c r="I301" i="2"/>
  <c r="J301" i="2" s="1"/>
  <c r="K301" i="2" s="1"/>
  <c r="L301" i="2" s="1"/>
  <c r="I2991" i="2"/>
  <c r="J2991" i="2" s="1"/>
  <c r="K2991" i="2" s="1"/>
  <c r="L2991" i="2" s="1"/>
  <c r="I1637" i="2"/>
  <c r="J1637" i="2" s="1"/>
  <c r="K1637" i="2" s="1"/>
  <c r="L1637" i="2" s="1"/>
  <c r="I1284" i="2"/>
  <c r="J1284" i="2" s="1"/>
  <c r="K1284" i="2" s="1"/>
  <c r="L1284" i="2" s="1"/>
  <c r="I1285" i="2"/>
  <c r="J1285" i="2" s="1"/>
  <c r="K1285" i="2" s="1"/>
  <c r="L1285" i="2" s="1"/>
  <c r="I1522" i="2"/>
  <c r="J1522" i="2" s="1"/>
  <c r="K1522" i="2" s="1"/>
  <c r="L1522" i="2" s="1"/>
  <c r="I1286" i="2"/>
  <c r="J1286" i="2" s="1"/>
  <c r="K1286" i="2" s="1"/>
  <c r="L1286" i="2" s="1"/>
  <c r="I708" i="2"/>
  <c r="J708" i="2" s="1"/>
  <c r="K708" i="2" s="1"/>
  <c r="L708" i="2" s="1"/>
  <c r="I2992" i="2"/>
  <c r="J2992" i="2" s="1"/>
  <c r="K2992" i="2" s="1"/>
  <c r="L2992" i="2" s="1"/>
  <c r="I1287" i="2"/>
  <c r="J1287" i="2" s="1"/>
  <c r="K1287" i="2" s="1"/>
  <c r="L1287" i="2" s="1"/>
  <c r="I2235" i="2"/>
  <c r="J2235" i="2" s="1"/>
  <c r="K2235" i="2" s="1"/>
  <c r="L2235" i="2" s="1"/>
  <c r="I709" i="2"/>
  <c r="J709" i="2" s="1"/>
  <c r="K709" i="2" s="1"/>
  <c r="L709" i="2" s="1"/>
  <c r="I2993" i="2"/>
  <c r="J2993" i="2" s="1"/>
  <c r="K2993" i="2" s="1"/>
  <c r="L2993" i="2" s="1"/>
  <c r="I710" i="2"/>
  <c r="J710" i="2" s="1"/>
  <c r="K710" i="2" s="1"/>
  <c r="L710" i="2" s="1"/>
  <c r="I2994" i="2"/>
  <c r="J2994" i="2" s="1"/>
  <c r="K2994" i="2" s="1"/>
  <c r="L2994" i="2" s="1"/>
  <c r="I462" i="2"/>
  <c r="J462" i="2" s="1"/>
  <c r="K462" i="2" s="1"/>
  <c r="L462" i="2" s="1"/>
  <c r="I2658" i="2"/>
  <c r="J2658" i="2" s="1"/>
  <c r="K2658" i="2" s="1"/>
  <c r="L2658" i="2" s="1"/>
  <c r="I2236" i="2"/>
  <c r="J2236" i="2" s="1"/>
  <c r="K2236" i="2" s="1"/>
  <c r="L2236" i="2" s="1"/>
  <c r="I2995" i="2"/>
  <c r="J2995" i="2" s="1"/>
  <c r="K2995" i="2" s="1"/>
  <c r="L2995" i="2" s="1"/>
  <c r="I711" i="2"/>
  <c r="J711" i="2" s="1"/>
  <c r="K711" i="2" s="1"/>
  <c r="L711" i="2" s="1"/>
  <c r="I712" i="2"/>
  <c r="J712" i="2" s="1"/>
  <c r="K712" i="2" s="1"/>
  <c r="L712" i="2" s="1"/>
  <c r="I713" i="2"/>
  <c r="J713" i="2" s="1"/>
  <c r="K713" i="2" s="1"/>
  <c r="L713" i="2" s="1"/>
  <c r="I1939" i="2"/>
  <c r="J1939" i="2" s="1"/>
  <c r="K1939" i="2" s="1"/>
  <c r="L1939" i="2" s="1"/>
  <c r="I100" i="2"/>
  <c r="J100" i="2" s="1"/>
  <c r="K100" i="2" s="1"/>
  <c r="L100" i="2" s="1"/>
  <c r="I1523" i="2"/>
  <c r="J1523" i="2" s="1"/>
  <c r="K1523" i="2" s="1"/>
  <c r="L1523" i="2" s="1"/>
  <c r="I101" i="2"/>
  <c r="J101" i="2" s="1"/>
  <c r="K101" i="2" s="1"/>
  <c r="L101" i="2" s="1"/>
  <c r="I102" i="2"/>
  <c r="J102" i="2" s="1"/>
  <c r="K102" i="2" s="1"/>
  <c r="L102" i="2" s="1"/>
  <c r="I2659" i="2"/>
  <c r="J2659" i="2" s="1"/>
  <c r="K2659" i="2" s="1"/>
  <c r="L2659" i="2" s="1"/>
  <c r="I2660" i="2"/>
  <c r="J2660" i="2" s="1"/>
  <c r="K2660" i="2" s="1"/>
  <c r="L2660" i="2" s="1"/>
  <c r="I2503" i="2"/>
  <c r="J2503" i="2" s="1"/>
  <c r="K2503" i="2" s="1"/>
  <c r="L2503" i="2" s="1"/>
  <c r="I2900" i="2"/>
  <c r="J2900" i="2" s="1"/>
  <c r="K2900" i="2" s="1"/>
  <c r="L2900" i="2" s="1"/>
  <c r="I2504" i="2"/>
  <c r="J2504" i="2" s="1"/>
  <c r="K2504" i="2" s="1"/>
  <c r="L2504" i="2" s="1"/>
  <c r="I1940" i="2"/>
  <c r="J1940" i="2" s="1"/>
  <c r="K1940" i="2" s="1"/>
  <c r="L1940" i="2" s="1"/>
  <c r="I2505" i="2"/>
  <c r="J2505" i="2" s="1"/>
  <c r="K2505" i="2" s="1"/>
  <c r="L2505" i="2" s="1"/>
  <c r="I463" i="2"/>
  <c r="J463" i="2" s="1"/>
  <c r="K463" i="2" s="1"/>
  <c r="L463" i="2" s="1"/>
  <c r="I1941" i="2"/>
  <c r="J1941" i="2" s="1"/>
  <c r="K1941" i="2" s="1"/>
  <c r="L1941" i="2" s="1"/>
  <c r="I2237" i="2"/>
  <c r="J2237" i="2" s="1"/>
  <c r="K2237" i="2" s="1"/>
  <c r="L2237" i="2" s="1"/>
  <c r="I2506" i="2"/>
  <c r="J2506" i="2" s="1"/>
  <c r="K2506" i="2" s="1"/>
  <c r="L2506" i="2" s="1"/>
  <c r="I1149" i="2"/>
  <c r="J1149" i="2" s="1"/>
  <c r="K1149" i="2" s="1"/>
  <c r="L1149" i="2" s="1"/>
  <c r="I1806" i="2"/>
  <c r="J1806" i="2" s="1"/>
  <c r="K1806" i="2" s="1"/>
  <c r="L1806" i="2" s="1"/>
  <c r="I2238" i="2"/>
  <c r="J2238" i="2" s="1"/>
  <c r="K2238" i="2" s="1"/>
  <c r="L2238" i="2" s="1"/>
  <c r="I2661" i="2"/>
  <c r="J2661" i="2" s="1"/>
  <c r="K2661" i="2" s="1"/>
  <c r="L2661" i="2" s="1"/>
  <c r="I1505" i="2"/>
  <c r="J1505" i="2" s="1"/>
  <c r="K1505" i="2" s="1"/>
  <c r="L1505" i="2" s="1"/>
  <c r="I373" i="2"/>
  <c r="J373" i="2" s="1"/>
  <c r="K373" i="2" s="1"/>
  <c r="L373" i="2" s="1"/>
  <c r="I532" i="2"/>
  <c r="J532" i="2" s="1"/>
  <c r="K532" i="2" s="1"/>
  <c r="L532" i="2" s="1"/>
  <c r="I2239" i="2"/>
  <c r="J2239" i="2" s="1"/>
  <c r="K2239" i="2" s="1"/>
  <c r="L2239" i="2" s="1"/>
  <c r="I2996" i="2"/>
  <c r="J2996" i="2" s="1"/>
  <c r="K2996" i="2" s="1"/>
  <c r="L2996" i="2" s="1"/>
  <c r="I1942" i="2"/>
  <c r="J1942" i="2" s="1"/>
  <c r="K1942" i="2" s="1"/>
  <c r="L1942" i="2" s="1"/>
  <c r="I1807" i="2"/>
  <c r="J1807" i="2" s="1"/>
  <c r="K1807" i="2" s="1"/>
  <c r="L1807" i="2" s="1"/>
  <c r="I1808" i="2"/>
  <c r="J1808" i="2" s="1"/>
  <c r="K1808" i="2" s="1"/>
  <c r="L1808" i="2" s="1"/>
  <c r="I714" i="2"/>
  <c r="J714" i="2" s="1"/>
  <c r="K714" i="2" s="1"/>
  <c r="L714" i="2" s="1"/>
  <c r="I1150" i="2"/>
  <c r="J1150" i="2" s="1"/>
  <c r="K1150" i="2" s="1"/>
  <c r="L1150" i="2" s="1"/>
  <c r="I715" i="2"/>
  <c r="J715" i="2" s="1"/>
  <c r="K715" i="2" s="1"/>
  <c r="L715" i="2" s="1"/>
  <c r="I2240" i="2"/>
  <c r="J2240" i="2" s="1"/>
  <c r="K2240" i="2" s="1"/>
  <c r="L2240" i="2" s="1"/>
  <c r="I2901" i="2"/>
  <c r="J2901" i="2" s="1"/>
  <c r="K2901" i="2" s="1"/>
  <c r="L2901" i="2" s="1"/>
  <c r="I2507" i="2"/>
  <c r="J2507" i="2" s="1"/>
  <c r="K2507" i="2" s="1"/>
  <c r="L2507" i="2" s="1"/>
  <c r="I1445" i="2"/>
  <c r="J1445" i="2" s="1"/>
  <c r="K1445" i="2" s="1"/>
  <c r="L1445" i="2" s="1"/>
  <c r="I103" i="2"/>
  <c r="J103" i="2" s="1"/>
  <c r="K103" i="2" s="1"/>
  <c r="L103" i="2" s="1"/>
  <c r="I2662" i="2"/>
  <c r="J2662" i="2" s="1"/>
  <c r="K2662" i="2" s="1"/>
  <c r="L2662" i="2" s="1"/>
  <c r="I104" i="2"/>
  <c r="J104" i="2" s="1"/>
  <c r="K104" i="2" s="1"/>
  <c r="L104" i="2" s="1"/>
  <c r="I374" i="2"/>
  <c r="J374" i="2" s="1"/>
  <c r="K374" i="2" s="1"/>
  <c r="L374" i="2" s="1"/>
  <c r="I2241" i="2"/>
  <c r="J2241" i="2" s="1"/>
  <c r="K2241" i="2" s="1"/>
  <c r="L2241" i="2" s="1"/>
  <c r="I1943" i="2"/>
  <c r="J1943" i="2" s="1"/>
  <c r="K1943" i="2" s="1"/>
  <c r="L1943" i="2" s="1"/>
  <c r="I1151" i="2"/>
  <c r="J1151" i="2" s="1"/>
  <c r="K1151" i="2" s="1"/>
  <c r="L1151" i="2" s="1"/>
  <c r="I716" i="2"/>
  <c r="J716" i="2" s="1"/>
  <c r="K716" i="2" s="1"/>
  <c r="L716" i="2" s="1"/>
  <c r="I1025" i="2"/>
  <c r="J1025" i="2" s="1"/>
  <c r="K1025" i="2" s="1"/>
  <c r="L1025" i="2" s="1"/>
  <c r="I1026" i="2"/>
  <c r="J1026" i="2" s="1"/>
  <c r="K1026" i="2" s="1"/>
  <c r="L1026" i="2" s="1"/>
  <c r="I717" i="2"/>
  <c r="J717" i="2" s="1"/>
  <c r="K717" i="2" s="1"/>
  <c r="L717" i="2" s="1"/>
  <c r="I1944" i="2"/>
  <c r="J1944" i="2" s="1"/>
  <c r="K1944" i="2" s="1"/>
  <c r="L1944" i="2" s="1"/>
  <c r="I3145" i="2"/>
  <c r="J3145" i="2" s="1"/>
  <c r="K3145" i="2" s="1"/>
  <c r="L3145" i="2" s="1"/>
  <c r="I2663" i="2"/>
  <c r="J2663" i="2" s="1"/>
  <c r="K2663" i="2" s="1"/>
  <c r="L2663" i="2" s="1"/>
  <c r="I718" i="2"/>
  <c r="J718" i="2" s="1"/>
  <c r="K718" i="2" s="1"/>
  <c r="L718" i="2" s="1"/>
  <c r="I719" i="2"/>
  <c r="J719" i="2" s="1"/>
  <c r="K719" i="2" s="1"/>
  <c r="L719" i="2" s="1"/>
  <c r="I720" i="2"/>
  <c r="J720" i="2" s="1"/>
  <c r="K720" i="2" s="1"/>
  <c r="L720" i="2" s="1"/>
  <c r="I1638" i="2"/>
  <c r="J1638" i="2" s="1"/>
  <c r="K1638" i="2" s="1"/>
  <c r="L1638" i="2" s="1"/>
  <c r="I2664" i="2"/>
  <c r="J2664" i="2" s="1"/>
  <c r="K2664" i="2" s="1"/>
  <c r="L2664" i="2" s="1"/>
  <c r="I1446" i="2"/>
  <c r="J1446" i="2" s="1"/>
  <c r="K1446" i="2" s="1"/>
  <c r="L1446" i="2" s="1"/>
  <c r="I105" i="2"/>
  <c r="J105" i="2" s="1"/>
  <c r="K105" i="2" s="1"/>
  <c r="L105" i="2" s="1"/>
  <c r="I106" i="2"/>
  <c r="J106" i="2" s="1"/>
  <c r="K106" i="2" s="1"/>
  <c r="L106" i="2" s="1"/>
  <c r="I1027" i="2"/>
  <c r="J1027" i="2" s="1"/>
  <c r="K1027" i="2" s="1"/>
  <c r="L1027" i="2" s="1"/>
  <c r="I1447" i="2"/>
  <c r="J1447" i="2" s="1"/>
  <c r="K1447" i="2" s="1"/>
  <c r="L1447" i="2" s="1"/>
  <c r="I1028" i="2"/>
  <c r="J1028" i="2" s="1"/>
  <c r="K1028" i="2" s="1"/>
  <c r="L1028" i="2" s="1"/>
  <c r="I2508" i="2"/>
  <c r="J2508" i="2" s="1"/>
  <c r="K2508" i="2" s="1"/>
  <c r="L2508" i="2" s="1"/>
  <c r="I1029" i="2"/>
  <c r="J1029" i="2" s="1"/>
  <c r="K1029" i="2" s="1"/>
  <c r="L1029" i="2" s="1"/>
  <c r="I2997" i="2"/>
  <c r="J2997" i="2" s="1"/>
  <c r="K2997" i="2" s="1"/>
  <c r="L2997" i="2" s="1"/>
  <c r="I1152" i="2"/>
  <c r="J1152" i="2" s="1"/>
  <c r="K1152" i="2" s="1"/>
  <c r="L1152" i="2" s="1"/>
  <c r="I375" i="2"/>
  <c r="J375" i="2" s="1"/>
  <c r="K375" i="2" s="1"/>
  <c r="L375" i="2" s="1"/>
  <c r="I721" i="2"/>
  <c r="J721" i="2" s="1"/>
  <c r="K721" i="2" s="1"/>
  <c r="L721" i="2" s="1"/>
  <c r="I1288" i="2"/>
  <c r="J1288" i="2" s="1"/>
  <c r="K1288" i="2" s="1"/>
  <c r="L1288" i="2" s="1"/>
  <c r="I1111" i="2"/>
  <c r="J1111" i="2" s="1"/>
  <c r="K1111" i="2" s="1"/>
  <c r="L1111" i="2" s="1"/>
  <c r="I2509" i="2"/>
  <c r="J2509" i="2" s="1"/>
  <c r="K2509" i="2" s="1"/>
  <c r="L2509" i="2" s="1"/>
  <c r="I2665" i="2"/>
  <c r="J2665" i="2" s="1"/>
  <c r="K2665" i="2" s="1"/>
  <c r="L2665" i="2" s="1"/>
  <c r="I302" i="2"/>
  <c r="J302" i="2" s="1"/>
  <c r="K302" i="2" s="1"/>
  <c r="L302" i="2" s="1"/>
  <c r="I2840" i="2"/>
  <c r="J2840" i="2" s="1"/>
  <c r="K2840" i="2" s="1"/>
  <c r="L2840" i="2" s="1"/>
  <c r="I1091" i="2"/>
  <c r="J1091" i="2" s="1"/>
  <c r="K1091" i="2" s="1"/>
  <c r="L1091" i="2" s="1"/>
  <c r="I2242" i="2"/>
  <c r="J2242" i="2" s="1"/>
  <c r="K2242" i="2" s="1"/>
  <c r="L2242" i="2" s="1"/>
  <c r="I1153" i="2"/>
  <c r="J1153" i="2" s="1"/>
  <c r="K1153" i="2" s="1"/>
  <c r="L1153" i="2" s="1"/>
  <c r="I1154" i="2"/>
  <c r="J1154" i="2" s="1"/>
  <c r="K1154" i="2" s="1"/>
  <c r="L1154" i="2" s="1"/>
  <c r="I2510" i="2"/>
  <c r="J2510" i="2" s="1"/>
  <c r="K2510" i="2" s="1"/>
  <c r="L2510" i="2" s="1"/>
  <c r="I1639" i="2"/>
  <c r="J1639" i="2" s="1"/>
  <c r="K1639" i="2" s="1"/>
  <c r="L1639" i="2" s="1"/>
  <c r="I2079" i="2"/>
  <c r="J2079" i="2" s="1"/>
  <c r="K2079" i="2" s="1"/>
  <c r="L2079" i="2" s="1"/>
  <c r="I1640" i="2"/>
  <c r="J1640" i="2" s="1"/>
  <c r="K1640" i="2" s="1"/>
  <c r="L1640" i="2" s="1"/>
  <c r="I464" i="2"/>
  <c r="J464" i="2" s="1"/>
  <c r="K464" i="2" s="1"/>
  <c r="L464" i="2" s="1"/>
  <c r="I376" i="2"/>
  <c r="J376" i="2" s="1"/>
  <c r="K376" i="2" s="1"/>
  <c r="L376" i="2" s="1"/>
  <c r="I337" i="2"/>
  <c r="J337" i="2" s="1"/>
  <c r="K337" i="2" s="1"/>
  <c r="L337" i="2" s="1"/>
  <c r="I1289" i="2"/>
  <c r="J1289" i="2" s="1"/>
  <c r="K1289" i="2" s="1"/>
  <c r="L1289" i="2" s="1"/>
  <c r="I2243" i="2"/>
  <c r="J2243" i="2" s="1"/>
  <c r="K2243" i="2" s="1"/>
  <c r="L2243" i="2" s="1"/>
  <c r="I722" i="2"/>
  <c r="J722" i="2" s="1"/>
  <c r="K722" i="2" s="1"/>
  <c r="L722" i="2" s="1"/>
  <c r="I1290" i="2"/>
  <c r="J1290" i="2" s="1"/>
  <c r="K1290" i="2" s="1"/>
  <c r="L1290" i="2" s="1"/>
  <c r="I465" i="2"/>
  <c r="J465" i="2" s="1"/>
  <c r="K465" i="2" s="1"/>
  <c r="L465" i="2" s="1"/>
  <c r="I1641" i="2"/>
  <c r="J1641" i="2" s="1"/>
  <c r="K1641" i="2" s="1"/>
  <c r="L1641" i="2" s="1"/>
  <c r="I1155" i="2"/>
  <c r="J1155" i="2" s="1"/>
  <c r="K1155" i="2" s="1"/>
  <c r="L1155" i="2" s="1"/>
  <c r="I2244" i="2"/>
  <c r="J2244" i="2" s="1"/>
  <c r="K2244" i="2" s="1"/>
  <c r="L2244" i="2" s="1"/>
  <c r="I1945" i="2"/>
  <c r="J1945" i="2" s="1"/>
  <c r="K1945" i="2" s="1"/>
  <c r="L1945" i="2" s="1"/>
  <c r="I107" i="2"/>
  <c r="J107" i="2" s="1"/>
  <c r="K107" i="2" s="1"/>
  <c r="L107" i="2" s="1"/>
  <c r="I2245" i="2"/>
  <c r="J2245" i="2" s="1"/>
  <c r="K2245" i="2" s="1"/>
  <c r="L2245" i="2" s="1"/>
  <c r="I1291" i="2"/>
  <c r="J1291" i="2" s="1"/>
  <c r="K1291" i="2" s="1"/>
  <c r="L1291" i="2" s="1"/>
  <c r="I377" i="2"/>
  <c r="J377" i="2" s="1"/>
  <c r="K377" i="2" s="1"/>
  <c r="L377" i="2" s="1"/>
  <c r="I723" i="2"/>
  <c r="J723" i="2" s="1"/>
  <c r="K723" i="2" s="1"/>
  <c r="L723" i="2" s="1"/>
  <c r="I724" i="2"/>
  <c r="J724" i="2" s="1"/>
  <c r="K724" i="2" s="1"/>
  <c r="L724" i="2" s="1"/>
  <c r="I1292" i="2"/>
  <c r="J1292" i="2" s="1"/>
  <c r="K1292" i="2" s="1"/>
  <c r="L1292" i="2" s="1"/>
  <c r="I2841" i="2"/>
  <c r="J2841" i="2" s="1"/>
  <c r="K2841" i="2" s="1"/>
  <c r="L2841" i="2" s="1"/>
  <c r="I1946" i="2"/>
  <c r="J1946" i="2" s="1"/>
  <c r="K1946" i="2" s="1"/>
  <c r="L1946" i="2" s="1"/>
  <c r="I1092" i="2"/>
  <c r="J1092" i="2" s="1"/>
  <c r="K1092" i="2" s="1"/>
  <c r="L1092" i="2" s="1"/>
  <c r="I2246" i="2"/>
  <c r="J2246" i="2" s="1"/>
  <c r="K2246" i="2" s="1"/>
  <c r="L2246" i="2" s="1"/>
  <c r="I1642" i="2"/>
  <c r="J1642" i="2" s="1"/>
  <c r="K1642" i="2" s="1"/>
  <c r="L1642" i="2" s="1"/>
  <c r="I2774" i="2"/>
  <c r="J2774" i="2" s="1"/>
  <c r="K2774" i="2" s="1"/>
  <c r="L2774" i="2" s="1"/>
  <c r="I1448" i="2"/>
  <c r="J1448" i="2" s="1"/>
  <c r="K1448" i="2" s="1"/>
  <c r="L1448" i="2" s="1"/>
  <c r="I2842" i="2"/>
  <c r="J2842" i="2" s="1"/>
  <c r="K2842" i="2" s="1"/>
  <c r="L2842" i="2" s="1"/>
  <c r="I2998" i="2"/>
  <c r="J2998" i="2" s="1"/>
  <c r="K2998" i="2" s="1"/>
  <c r="L2998" i="2" s="1"/>
  <c r="I1293" i="2"/>
  <c r="J1293" i="2" s="1"/>
  <c r="K1293" i="2" s="1"/>
  <c r="L1293" i="2" s="1"/>
  <c r="I2999" i="2"/>
  <c r="J2999" i="2" s="1"/>
  <c r="K2999" i="2" s="1"/>
  <c r="L2999" i="2" s="1"/>
  <c r="I1643" i="2"/>
  <c r="J1643" i="2" s="1"/>
  <c r="K1643" i="2" s="1"/>
  <c r="L1643" i="2" s="1"/>
  <c r="I2247" i="2"/>
  <c r="J2247" i="2" s="1"/>
  <c r="K2247" i="2" s="1"/>
  <c r="L2247" i="2" s="1"/>
  <c r="I1809" i="2"/>
  <c r="J1809" i="2" s="1"/>
  <c r="K1809" i="2" s="1"/>
  <c r="L1809" i="2" s="1"/>
  <c r="I2080" i="2"/>
  <c r="J2080" i="2" s="1"/>
  <c r="K2080" i="2" s="1"/>
  <c r="L2080" i="2" s="1"/>
  <c r="I108" i="2"/>
  <c r="J108" i="2" s="1"/>
  <c r="K108" i="2" s="1"/>
  <c r="L108" i="2" s="1"/>
  <c r="I2511" i="2"/>
  <c r="J2511" i="2" s="1"/>
  <c r="K2511" i="2" s="1"/>
  <c r="L2511" i="2" s="1"/>
  <c r="I109" i="2"/>
  <c r="J109" i="2" s="1"/>
  <c r="K109" i="2" s="1"/>
  <c r="L109" i="2" s="1"/>
  <c r="I2248" i="2"/>
  <c r="J2248" i="2" s="1"/>
  <c r="K2248" i="2" s="1"/>
  <c r="L2248" i="2" s="1"/>
  <c r="I110" i="2"/>
  <c r="J110" i="2" s="1"/>
  <c r="K110" i="2" s="1"/>
  <c r="L110" i="2" s="1"/>
  <c r="I1030" i="2"/>
  <c r="J1030" i="2" s="1"/>
  <c r="K1030" i="2" s="1"/>
  <c r="L1030" i="2" s="1"/>
  <c r="I111" i="2"/>
  <c r="J111" i="2" s="1"/>
  <c r="K111" i="2" s="1"/>
  <c r="L111" i="2" s="1"/>
  <c r="I2249" i="2"/>
  <c r="J2249" i="2" s="1"/>
  <c r="K2249" i="2" s="1"/>
  <c r="L2249" i="2" s="1"/>
  <c r="I3000" i="2"/>
  <c r="J3000" i="2" s="1"/>
  <c r="K3000" i="2" s="1"/>
  <c r="L3000" i="2" s="1"/>
  <c r="I2512" i="2"/>
  <c r="J2512" i="2" s="1"/>
  <c r="K2512" i="2" s="1"/>
  <c r="L2512" i="2" s="1"/>
  <c r="I2513" i="2"/>
  <c r="J2513" i="2" s="1"/>
  <c r="K2513" i="2" s="1"/>
  <c r="L2513" i="2" s="1"/>
  <c r="I725" i="2"/>
  <c r="J725" i="2" s="1"/>
  <c r="K725" i="2" s="1"/>
  <c r="L725" i="2" s="1"/>
  <c r="I2514" i="2"/>
  <c r="J2514" i="2" s="1"/>
  <c r="K2514" i="2" s="1"/>
  <c r="L2514" i="2" s="1"/>
  <c r="I1449" i="2"/>
  <c r="J1449" i="2" s="1"/>
  <c r="K1449" i="2" s="1"/>
  <c r="L1449" i="2" s="1"/>
  <c r="I726" i="2"/>
  <c r="J726" i="2" s="1"/>
  <c r="K726" i="2" s="1"/>
  <c r="L726" i="2" s="1"/>
  <c r="I2843" i="2"/>
  <c r="J2843" i="2" s="1"/>
  <c r="K2843" i="2" s="1"/>
  <c r="L2843" i="2" s="1"/>
  <c r="I1947" i="2"/>
  <c r="J1947" i="2" s="1"/>
  <c r="K1947" i="2" s="1"/>
  <c r="L1947" i="2" s="1"/>
  <c r="I1948" i="2"/>
  <c r="J1948" i="2" s="1"/>
  <c r="K1948" i="2" s="1"/>
  <c r="L1948" i="2" s="1"/>
  <c r="I2515" i="2"/>
  <c r="J2515" i="2" s="1"/>
  <c r="K2515" i="2" s="1"/>
  <c r="L2515" i="2" s="1"/>
  <c r="I2516" i="2"/>
  <c r="J2516" i="2" s="1"/>
  <c r="K2516" i="2" s="1"/>
  <c r="L2516" i="2" s="1"/>
  <c r="I727" i="2"/>
  <c r="J727" i="2" s="1"/>
  <c r="K727" i="2" s="1"/>
  <c r="L727" i="2" s="1"/>
  <c r="I1644" i="2"/>
  <c r="J1644" i="2" s="1"/>
  <c r="K1644" i="2" s="1"/>
  <c r="L1644" i="2" s="1"/>
  <c r="I303" i="2"/>
  <c r="J303" i="2" s="1"/>
  <c r="K303" i="2" s="1"/>
  <c r="L303" i="2" s="1"/>
  <c r="I728" i="2"/>
  <c r="J728" i="2" s="1"/>
  <c r="K728" i="2" s="1"/>
  <c r="L728" i="2" s="1"/>
  <c r="I1294" i="2"/>
  <c r="J1294" i="2" s="1"/>
  <c r="K1294" i="2" s="1"/>
  <c r="L1294" i="2" s="1"/>
  <c r="I1295" i="2"/>
  <c r="J1295" i="2" s="1"/>
  <c r="K1295" i="2" s="1"/>
  <c r="L1295" i="2" s="1"/>
  <c r="I3129" i="2"/>
  <c r="J3129" i="2" s="1"/>
  <c r="K3129" i="2" s="1"/>
  <c r="L3129" i="2" s="1"/>
  <c r="I1645" i="2"/>
  <c r="J1645" i="2" s="1"/>
  <c r="K1645" i="2" s="1"/>
  <c r="L1645" i="2" s="1"/>
  <c r="I1646" i="2"/>
  <c r="J1646" i="2" s="1"/>
  <c r="K1646" i="2" s="1"/>
  <c r="L1646" i="2" s="1"/>
  <c r="I1296" i="2"/>
  <c r="J1296" i="2" s="1"/>
  <c r="K1296" i="2" s="1"/>
  <c r="L1296" i="2" s="1"/>
  <c r="I304" i="2"/>
  <c r="J304" i="2" s="1"/>
  <c r="K304" i="2" s="1"/>
  <c r="L304" i="2" s="1"/>
  <c r="I466" i="2"/>
  <c r="J466" i="2" s="1"/>
  <c r="K466" i="2" s="1"/>
  <c r="L466" i="2" s="1"/>
  <c r="I2666" i="2"/>
  <c r="J2666" i="2" s="1"/>
  <c r="K2666" i="2" s="1"/>
  <c r="L2666" i="2" s="1"/>
  <c r="I1647" i="2"/>
  <c r="J1647" i="2" s="1"/>
  <c r="K1647" i="2" s="1"/>
  <c r="L1647" i="2" s="1"/>
  <c r="I2775" i="2"/>
  <c r="J2775" i="2" s="1"/>
  <c r="K2775" i="2" s="1"/>
  <c r="L2775" i="2" s="1"/>
  <c r="I729" i="2"/>
  <c r="J729" i="2" s="1"/>
  <c r="K729" i="2" s="1"/>
  <c r="L729" i="2" s="1"/>
  <c r="I2250" i="2"/>
  <c r="J2250" i="2" s="1"/>
  <c r="K2250" i="2" s="1"/>
  <c r="L2250" i="2" s="1"/>
  <c r="I1949" i="2"/>
  <c r="J1949" i="2" s="1"/>
  <c r="K1949" i="2" s="1"/>
  <c r="L1949" i="2" s="1"/>
  <c r="I3160" i="2"/>
  <c r="J3160" i="2" s="1"/>
  <c r="K3160" i="2" s="1"/>
  <c r="L3160" i="2" s="1"/>
  <c r="I1950" i="2"/>
  <c r="J1950" i="2" s="1"/>
  <c r="K1950" i="2" s="1"/>
  <c r="L1950" i="2" s="1"/>
  <c r="I1648" i="2"/>
  <c r="J1648" i="2" s="1"/>
  <c r="K1648" i="2" s="1"/>
  <c r="L1648" i="2" s="1"/>
  <c r="I1112" i="2"/>
  <c r="J1112" i="2" s="1"/>
  <c r="K1112" i="2" s="1"/>
  <c r="L1112" i="2" s="1"/>
  <c r="I730" i="2"/>
  <c r="J730" i="2" s="1"/>
  <c r="K730" i="2" s="1"/>
  <c r="L730" i="2" s="1"/>
  <c r="I2251" i="2"/>
  <c r="J2251" i="2" s="1"/>
  <c r="K2251" i="2" s="1"/>
  <c r="L2251" i="2" s="1"/>
  <c r="I1076" i="2"/>
  <c r="J1076" i="2" s="1"/>
  <c r="K1076" i="2" s="1"/>
  <c r="L1076" i="2" s="1"/>
  <c r="I1450" i="2"/>
  <c r="J1450" i="2" s="1"/>
  <c r="K1450" i="2" s="1"/>
  <c r="L1450" i="2" s="1"/>
  <c r="I1951" i="2"/>
  <c r="J1951" i="2" s="1"/>
  <c r="K1951" i="2" s="1"/>
  <c r="L1951" i="2" s="1"/>
  <c r="I3158" i="2"/>
  <c r="J3158" i="2" s="1"/>
  <c r="K3158" i="2" s="1"/>
  <c r="L3158" i="2" s="1"/>
  <c r="I2844" i="2"/>
  <c r="J2844" i="2" s="1"/>
  <c r="K2844" i="2" s="1"/>
  <c r="L2844" i="2" s="1"/>
  <c r="I467" i="2"/>
  <c r="J467" i="2" s="1"/>
  <c r="K467" i="2" s="1"/>
  <c r="L467" i="2" s="1"/>
  <c r="I2252" i="2"/>
  <c r="J2252" i="2" s="1"/>
  <c r="K2252" i="2" s="1"/>
  <c r="L2252" i="2" s="1"/>
  <c r="I1297" i="2"/>
  <c r="J1297" i="2" s="1"/>
  <c r="K1297" i="2" s="1"/>
  <c r="L1297" i="2" s="1"/>
  <c r="I1031" i="2"/>
  <c r="J1031" i="2" s="1"/>
  <c r="K1031" i="2" s="1"/>
  <c r="L1031" i="2" s="1"/>
  <c r="I2517" i="2"/>
  <c r="J2517" i="2" s="1"/>
  <c r="K2517" i="2" s="1"/>
  <c r="L2517" i="2" s="1"/>
  <c r="I1156" i="2"/>
  <c r="J1156" i="2" s="1"/>
  <c r="K1156" i="2" s="1"/>
  <c r="L1156" i="2" s="1"/>
  <c r="I2253" i="2"/>
  <c r="J2253" i="2" s="1"/>
  <c r="K2253" i="2" s="1"/>
  <c r="L2253" i="2" s="1"/>
  <c r="I2902" i="2"/>
  <c r="J2902" i="2" s="1"/>
  <c r="K2902" i="2" s="1"/>
  <c r="L2902" i="2" s="1"/>
  <c r="I731" i="2"/>
  <c r="J731" i="2" s="1"/>
  <c r="K731" i="2" s="1"/>
  <c r="L731" i="2" s="1"/>
  <c r="I2254" i="2"/>
  <c r="J2254" i="2" s="1"/>
  <c r="K2254" i="2" s="1"/>
  <c r="L2254" i="2" s="1"/>
  <c r="I468" i="2"/>
  <c r="J468" i="2" s="1"/>
  <c r="K468" i="2" s="1"/>
  <c r="L468" i="2" s="1"/>
  <c r="I469" i="2"/>
  <c r="J469" i="2" s="1"/>
  <c r="K469" i="2" s="1"/>
  <c r="L469" i="2" s="1"/>
  <c r="I3001" i="2"/>
  <c r="J3001" i="2" s="1"/>
  <c r="K3001" i="2" s="1"/>
  <c r="L3001" i="2" s="1"/>
  <c r="I2776" i="2"/>
  <c r="J2776" i="2" s="1"/>
  <c r="K2776" i="2" s="1"/>
  <c r="L2776" i="2" s="1"/>
  <c r="I1649" i="2"/>
  <c r="J1649" i="2" s="1"/>
  <c r="K1649" i="2" s="1"/>
  <c r="L1649" i="2" s="1"/>
  <c r="I732" i="2"/>
  <c r="J732" i="2" s="1"/>
  <c r="K732" i="2" s="1"/>
  <c r="L732" i="2" s="1"/>
  <c r="I112" i="2"/>
  <c r="J112" i="2" s="1"/>
  <c r="K112" i="2" s="1"/>
  <c r="L112" i="2" s="1"/>
  <c r="I1952" i="2"/>
  <c r="J1952" i="2" s="1"/>
  <c r="K1952" i="2" s="1"/>
  <c r="L1952" i="2" s="1"/>
  <c r="I2667" i="2"/>
  <c r="J2667" i="2" s="1"/>
  <c r="K2667" i="2" s="1"/>
  <c r="L2667" i="2" s="1"/>
  <c r="I733" i="2"/>
  <c r="J733" i="2" s="1"/>
  <c r="K733" i="2" s="1"/>
  <c r="L733" i="2" s="1"/>
  <c r="I1650" i="2"/>
  <c r="J1650" i="2" s="1"/>
  <c r="K1650" i="2" s="1"/>
  <c r="L1650" i="2" s="1"/>
  <c r="I734" i="2"/>
  <c r="J734" i="2" s="1"/>
  <c r="K734" i="2" s="1"/>
  <c r="L734" i="2" s="1"/>
  <c r="I735" i="2"/>
  <c r="J735" i="2" s="1"/>
  <c r="K735" i="2" s="1"/>
  <c r="L735" i="2" s="1"/>
  <c r="I1810" i="2"/>
  <c r="J1810" i="2" s="1"/>
  <c r="K1810" i="2" s="1"/>
  <c r="L1810" i="2" s="1"/>
  <c r="I736" i="2"/>
  <c r="J736" i="2" s="1"/>
  <c r="K736" i="2" s="1"/>
  <c r="L736" i="2" s="1"/>
  <c r="I1953" i="2"/>
  <c r="J1953" i="2" s="1"/>
  <c r="K1953" i="2" s="1"/>
  <c r="L1953" i="2" s="1"/>
  <c r="I1451" i="2"/>
  <c r="J1451" i="2" s="1"/>
  <c r="K1451" i="2" s="1"/>
  <c r="L1451" i="2" s="1"/>
  <c r="I1651" i="2"/>
  <c r="J1651" i="2" s="1"/>
  <c r="K1651" i="2" s="1"/>
  <c r="L1651" i="2" s="1"/>
  <c r="I2518" i="2"/>
  <c r="J2518" i="2" s="1"/>
  <c r="K2518" i="2" s="1"/>
  <c r="L2518" i="2" s="1"/>
  <c r="I470" i="2"/>
  <c r="J470" i="2" s="1"/>
  <c r="K470" i="2" s="1"/>
  <c r="L470" i="2" s="1"/>
  <c r="I2668" i="2"/>
  <c r="J2668" i="2" s="1"/>
  <c r="K2668" i="2" s="1"/>
  <c r="L2668" i="2" s="1"/>
  <c r="I1298" i="2"/>
  <c r="J1298" i="2" s="1"/>
  <c r="K1298" i="2" s="1"/>
  <c r="L1298" i="2" s="1"/>
  <c r="I3002" i="2"/>
  <c r="J3002" i="2" s="1"/>
  <c r="K3002" i="2" s="1"/>
  <c r="L3002" i="2" s="1"/>
  <c r="I378" i="2"/>
  <c r="J378" i="2" s="1"/>
  <c r="K378" i="2" s="1"/>
  <c r="L378" i="2" s="1"/>
  <c r="I2255" i="2"/>
  <c r="J2255" i="2" s="1"/>
  <c r="K2255" i="2" s="1"/>
  <c r="L2255" i="2" s="1"/>
  <c r="I1157" i="2"/>
  <c r="J1157" i="2" s="1"/>
  <c r="K1157" i="2" s="1"/>
  <c r="L1157" i="2" s="1"/>
  <c r="I3003" i="2"/>
  <c r="J3003" i="2" s="1"/>
  <c r="K3003" i="2" s="1"/>
  <c r="L3003" i="2" s="1"/>
  <c r="I2845" i="2"/>
  <c r="J2845" i="2" s="1"/>
  <c r="K2845" i="2" s="1"/>
  <c r="L2845" i="2" s="1"/>
  <c r="I1811" i="2"/>
  <c r="J1811" i="2" s="1"/>
  <c r="K1811" i="2" s="1"/>
  <c r="L1811" i="2" s="1"/>
  <c r="I737" i="2"/>
  <c r="J737" i="2" s="1"/>
  <c r="K737" i="2" s="1"/>
  <c r="L737" i="2" s="1"/>
  <c r="I1452" i="2"/>
  <c r="J1452" i="2" s="1"/>
  <c r="K1452" i="2" s="1"/>
  <c r="L1452" i="2" s="1"/>
  <c r="I1032" i="2"/>
  <c r="J1032" i="2" s="1"/>
  <c r="K1032" i="2" s="1"/>
  <c r="L1032" i="2" s="1"/>
  <c r="I1524" i="2"/>
  <c r="J1524" i="2" s="1"/>
  <c r="K1524" i="2" s="1"/>
  <c r="L1524" i="2" s="1"/>
  <c r="I1954" i="2"/>
  <c r="J1954" i="2" s="1"/>
  <c r="K1954" i="2" s="1"/>
  <c r="L1954" i="2" s="1"/>
  <c r="I1955" i="2"/>
  <c r="J1955" i="2" s="1"/>
  <c r="K1955" i="2" s="1"/>
  <c r="L1955" i="2" s="1"/>
  <c r="I1093" i="2"/>
  <c r="J1093" i="2" s="1"/>
  <c r="K1093" i="2" s="1"/>
  <c r="L1093" i="2" s="1"/>
  <c r="I2669" i="2"/>
  <c r="J2669" i="2" s="1"/>
  <c r="K2669" i="2" s="1"/>
  <c r="L2669" i="2" s="1"/>
  <c r="I3004" i="2"/>
  <c r="J3004" i="2" s="1"/>
  <c r="K3004" i="2" s="1"/>
  <c r="L3004" i="2" s="1"/>
  <c r="I1652" i="2"/>
  <c r="J1652" i="2" s="1"/>
  <c r="K1652" i="2" s="1"/>
  <c r="L1652" i="2" s="1"/>
  <c r="I1956" i="2"/>
  <c r="J1956" i="2" s="1"/>
  <c r="K1956" i="2" s="1"/>
  <c r="L1956" i="2" s="1"/>
  <c r="I2256" i="2"/>
  <c r="J2256" i="2" s="1"/>
  <c r="K2256" i="2" s="1"/>
  <c r="L2256" i="2" s="1"/>
  <c r="I1506" i="2"/>
  <c r="J1506" i="2" s="1"/>
  <c r="K1506" i="2" s="1"/>
  <c r="L1506" i="2" s="1"/>
  <c r="I1299" i="2"/>
  <c r="J1299" i="2" s="1"/>
  <c r="K1299" i="2" s="1"/>
  <c r="L1299" i="2" s="1"/>
  <c r="I2519" i="2"/>
  <c r="J2519" i="2" s="1"/>
  <c r="K2519" i="2" s="1"/>
  <c r="L2519" i="2" s="1"/>
  <c r="I2520" i="2"/>
  <c r="J2520" i="2" s="1"/>
  <c r="K2520" i="2" s="1"/>
  <c r="L2520" i="2" s="1"/>
  <c r="I3005" i="2"/>
  <c r="J3005" i="2" s="1"/>
  <c r="K3005" i="2" s="1"/>
  <c r="L3005" i="2" s="1"/>
  <c r="I1957" i="2"/>
  <c r="J1957" i="2" s="1"/>
  <c r="K1957" i="2" s="1"/>
  <c r="L1957" i="2" s="1"/>
  <c r="I1653" i="2"/>
  <c r="J1653" i="2" s="1"/>
  <c r="K1653" i="2" s="1"/>
  <c r="L1653" i="2" s="1"/>
  <c r="I2846" i="2"/>
  <c r="J2846" i="2" s="1"/>
  <c r="K2846" i="2" s="1"/>
  <c r="L2846" i="2" s="1"/>
  <c r="I2670" i="2"/>
  <c r="J2670" i="2" s="1"/>
  <c r="K2670" i="2" s="1"/>
  <c r="L2670" i="2" s="1"/>
  <c r="I2257" i="2"/>
  <c r="J2257" i="2" s="1"/>
  <c r="K2257" i="2" s="1"/>
  <c r="L2257" i="2" s="1"/>
  <c r="I1525" i="2"/>
  <c r="J1525" i="2" s="1"/>
  <c r="K1525" i="2" s="1"/>
  <c r="L1525" i="2" s="1"/>
  <c r="I3006" i="2"/>
  <c r="J3006" i="2" s="1"/>
  <c r="K3006" i="2" s="1"/>
  <c r="L3006" i="2" s="1"/>
  <c r="I738" i="2"/>
  <c r="J738" i="2" s="1"/>
  <c r="K738" i="2" s="1"/>
  <c r="L738" i="2" s="1"/>
  <c r="I3007" i="2"/>
  <c r="J3007" i="2" s="1"/>
  <c r="K3007" i="2" s="1"/>
  <c r="L3007" i="2" s="1"/>
  <c r="I1958" i="2"/>
  <c r="J1958" i="2" s="1"/>
  <c r="K1958" i="2" s="1"/>
  <c r="L1958" i="2" s="1"/>
  <c r="I1158" i="2"/>
  <c r="J1158" i="2" s="1"/>
  <c r="K1158" i="2" s="1"/>
  <c r="L1158" i="2" s="1"/>
  <c r="I1453" i="2"/>
  <c r="J1453" i="2" s="1"/>
  <c r="K1453" i="2" s="1"/>
  <c r="L1453" i="2" s="1"/>
  <c r="I1654" i="2"/>
  <c r="J1654" i="2" s="1"/>
  <c r="K1654" i="2" s="1"/>
  <c r="L1654" i="2" s="1"/>
  <c r="I1655" i="2"/>
  <c r="J1655" i="2" s="1"/>
  <c r="K1655" i="2" s="1"/>
  <c r="L1655" i="2" s="1"/>
  <c r="I2258" i="2"/>
  <c r="J2258" i="2" s="1"/>
  <c r="K2258" i="2" s="1"/>
  <c r="L2258" i="2" s="1"/>
  <c r="I739" i="2"/>
  <c r="J739" i="2" s="1"/>
  <c r="K739" i="2" s="1"/>
  <c r="L739" i="2" s="1"/>
  <c r="I305" i="2"/>
  <c r="J305" i="2" s="1"/>
  <c r="K305" i="2" s="1"/>
  <c r="L305" i="2" s="1"/>
  <c r="I2777" i="2"/>
  <c r="J2777" i="2" s="1"/>
  <c r="K2777" i="2" s="1"/>
  <c r="L2777" i="2" s="1"/>
  <c r="I306" i="2"/>
  <c r="J306" i="2" s="1"/>
  <c r="K306" i="2" s="1"/>
  <c r="L306" i="2" s="1"/>
  <c r="I1094" i="2"/>
  <c r="J1094" i="2" s="1"/>
  <c r="K1094" i="2" s="1"/>
  <c r="L1094" i="2" s="1"/>
  <c r="I2259" i="2"/>
  <c r="J2259" i="2" s="1"/>
  <c r="K2259" i="2" s="1"/>
  <c r="L2259" i="2" s="1"/>
  <c r="I379" i="2"/>
  <c r="J379" i="2" s="1"/>
  <c r="K379" i="2" s="1"/>
  <c r="L379" i="2" s="1"/>
  <c r="I533" i="2"/>
  <c r="J533" i="2" s="1"/>
  <c r="K533" i="2" s="1"/>
  <c r="L533" i="2" s="1"/>
  <c r="I2671" i="2"/>
  <c r="J2671" i="2" s="1"/>
  <c r="K2671" i="2" s="1"/>
  <c r="L2671" i="2" s="1"/>
  <c r="I380" i="2"/>
  <c r="J380" i="2" s="1"/>
  <c r="K380" i="2" s="1"/>
  <c r="L380" i="2" s="1"/>
  <c r="I307" i="2"/>
  <c r="J307" i="2" s="1"/>
  <c r="K307" i="2" s="1"/>
  <c r="L307" i="2" s="1"/>
  <c r="I3008" i="2"/>
  <c r="J3008" i="2" s="1"/>
  <c r="K3008" i="2" s="1"/>
  <c r="L3008" i="2" s="1"/>
  <c r="I1812" i="2"/>
  <c r="J1812" i="2" s="1"/>
  <c r="K1812" i="2" s="1"/>
  <c r="L1812" i="2" s="1"/>
  <c r="I113" i="2"/>
  <c r="J113" i="2" s="1"/>
  <c r="K113" i="2" s="1"/>
  <c r="L113" i="2" s="1"/>
  <c r="I114" i="2"/>
  <c r="J114" i="2" s="1"/>
  <c r="K114" i="2" s="1"/>
  <c r="L114" i="2" s="1"/>
  <c r="I1033" i="2"/>
  <c r="J1033" i="2" s="1"/>
  <c r="K1033" i="2" s="1"/>
  <c r="L1033" i="2" s="1"/>
  <c r="I471" i="2"/>
  <c r="J471" i="2" s="1"/>
  <c r="K471" i="2" s="1"/>
  <c r="L471" i="2" s="1"/>
  <c r="I1656" i="2"/>
  <c r="J1656" i="2" s="1"/>
  <c r="K1656" i="2" s="1"/>
  <c r="L1656" i="2" s="1"/>
  <c r="I1454" i="2"/>
  <c r="J1454" i="2" s="1"/>
  <c r="K1454" i="2" s="1"/>
  <c r="L1454" i="2" s="1"/>
  <c r="I740" i="2"/>
  <c r="J740" i="2" s="1"/>
  <c r="K740" i="2" s="1"/>
  <c r="L740" i="2" s="1"/>
  <c r="I115" i="2"/>
  <c r="J115" i="2" s="1"/>
  <c r="K115" i="2" s="1"/>
  <c r="L115" i="2" s="1"/>
  <c r="I1813" i="2"/>
  <c r="J1813" i="2" s="1"/>
  <c r="K1813" i="2" s="1"/>
  <c r="L1813" i="2" s="1"/>
  <c r="I2260" i="2"/>
  <c r="J2260" i="2" s="1"/>
  <c r="K2260" i="2" s="1"/>
  <c r="L2260" i="2" s="1"/>
  <c r="I2261" i="2"/>
  <c r="J2261" i="2" s="1"/>
  <c r="K2261" i="2" s="1"/>
  <c r="L2261" i="2" s="1"/>
  <c r="I2672" i="2"/>
  <c r="J2672" i="2" s="1"/>
  <c r="K2672" i="2" s="1"/>
  <c r="L2672" i="2" s="1"/>
  <c r="I1300" i="2"/>
  <c r="J1300" i="2" s="1"/>
  <c r="K1300" i="2" s="1"/>
  <c r="L1300" i="2" s="1"/>
  <c r="I338" i="2"/>
  <c r="J338" i="2" s="1"/>
  <c r="K338" i="2" s="1"/>
  <c r="L338" i="2" s="1"/>
  <c r="I116" i="2"/>
  <c r="J116" i="2" s="1"/>
  <c r="K116" i="2" s="1"/>
  <c r="L116" i="2" s="1"/>
  <c r="I1814" i="2"/>
  <c r="J1814" i="2" s="1"/>
  <c r="K1814" i="2" s="1"/>
  <c r="L1814" i="2" s="1"/>
  <c r="I741" i="2"/>
  <c r="J741" i="2" s="1"/>
  <c r="K741" i="2" s="1"/>
  <c r="L741" i="2" s="1"/>
  <c r="I2521" i="2"/>
  <c r="J2521" i="2" s="1"/>
  <c r="K2521" i="2" s="1"/>
  <c r="L2521" i="2" s="1"/>
  <c r="I2262" i="2"/>
  <c r="J2262" i="2" s="1"/>
  <c r="K2262" i="2" s="1"/>
  <c r="L2262" i="2" s="1"/>
  <c r="I2263" i="2"/>
  <c r="J2263" i="2" s="1"/>
  <c r="K2263" i="2" s="1"/>
  <c r="L2263" i="2" s="1"/>
  <c r="I3122" i="2"/>
  <c r="J3122" i="2" s="1"/>
  <c r="K3122" i="2" s="1"/>
  <c r="L3122" i="2" s="1"/>
  <c r="I742" i="2"/>
  <c r="J742" i="2" s="1"/>
  <c r="K742" i="2" s="1"/>
  <c r="L742" i="2" s="1"/>
  <c r="I117" i="2"/>
  <c r="J117" i="2" s="1"/>
  <c r="K117" i="2" s="1"/>
  <c r="L117" i="2" s="1"/>
  <c r="I118" i="2"/>
  <c r="J118" i="2" s="1"/>
  <c r="K118" i="2" s="1"/>
  <c r="L118" i="2" s="1"/>
  <c r="I2522" i="2"/>
  <c r="J2522" i="2" s="1"/>
  <c r="K2522" i="2" s="1"/>
  <c r="L2522" i="2" s="1"/>
  <c r="I1301" i="2"/>
  <c r="J1301" i="2" s="1"/>
  <c r="K1301" i="2" s="1"/>
  <c r="L1301" i="2" s="1"/>
  <c r="I3009" i="2"/>
  <c r="J3009" i="2" s="1"/>
  <c r="K3009" i="2" s="1"/>
  <c r="L3009" i="2" s="1"/>
  <c r="I1159" i="2"/>
  <c r="J1159" i="2" s="1"/>
  <c r="K1159" i="2" s="1"/>
  <c r="L1159" i="2" s="1"/>
  <c r="I1160" i="2"/>
  <c r="J1160" i="2" s="1"/>
  <c r="K1160" i="2" s="1"/>
  <c r="L1160" i="2" s="1"/>
  <c r="I3010" i="2"/>
  <c r="J3010" i="2" s="1"/>
  <c r="K3010" i="2" s="1"/>
  <c r="L3010" i="2" s="1"/>
  <c r="I743" i="2"/>
  <c r="J743" i="2" s="1"/>
  <c r="K743" i="2" s="1"/>
  <c r="L743" i="2" s="1"/>
  <c r="I2778" i="2"/>
  <c r="J2778" i="2" s="1"/>
  <c r="K2778" i="2" s="1"/>
  <c r="L2778" i="2" s="1"/>
  <c r="I1657" i="2"/>
  <c r="J1657" i="2" s="1"/>
  <c r="K1657" i="2" s="1"/>
  <c r="L1657" i="2" s="1"/>
  <c r="I2523" i="2"/>
  <c r="J2523" i="2" s="1"/>
  <c r="K2523" i="2" s="1"/>
  <c r="L2523" i="2" s="1"/>
  <c r="I2264" i="2"/>
  <c r="J2264" i="2" s="1"/>
  <c r="K2264" i="2" s="1"/>
  <c r="L2264" i="2" s="1"/>
  <c r="I744" i="2"/>
  <c r="J744" i="2" s="1"/>
  <c r="K744" i="2" s="1"/>
  <c r="L744" i="2" s="1"/>
  <c r="I1959" i="2"/>
  <c r="J1959" i="2" s="1"/>
  <c r="K1959" i="2" s="1"/>
  <c r="L1959" i="2" s="1"/>
  <c r="I472" i="2"/>
  <c r="J472" i="2" s="1"/>
  <c r="K472" i="2" s="1"/>
  <c r="L472" i="2" s="1"/>
  <c r="I1034" i="2"/>
  <c r="J1034" i="2" s="1"/>
  <c r="K1034" i="2" s="1"/>
  <c r="L1034" i="2" s="1"/>
  <c r="I2847" i="2"/>
  <c r="J2847" i="2" s="1"/>
  <c r="K2847" i="2" s="1"/>
  <c r="L2847" i="2" s="1"/>
  <c r="I2265" i="2"/>
  <c r="J2265" i="2" s="1"/>
  <c r="K2265" i="2" s="1"/>
  <c r="L2265" i="2" s="1"/>
  <c r="I1095" i="2"/>
  <c r="J1095" i="2" s="1"/>
  <c r="K1095" i="2" s="1"/>
  <c r="L1095" i="2" s="1"/>
  <c r="I1815" i="2"/>
  <c r="J1815" i="2" s="1"/>
  <c r="K1815" i="2" s="1"/>
  <c r="L1815" i="2" s="1"/>
  <c r="I2779" i="2"/>
  <c r="J2779" i="2" s="1"/>
  <c r="K2779" i="2" s="1"/>
  <c r="L2779" i="2" s="1"/>
  <c r="I745" i="2"/>
  <c r="J745" i="2" s="1"/>
  <c r="K745" i="2" s="1"/>
  <c r="L745" i="2" s="1"/>
  <c r="I2673" i="2"/>
  <c r="J2673" i="2" s="1"/>
  <c r="K2673" i="2" s="1"/>
  <c r="L2673" i="2" s="1"/>
  <c r="I1658" i="2"/>
  <c r="J1658" i="2" s="1"/>
  <c r="K1658" i="2" s="1"/>
  <c r="L1658" i="2" s="1"/>
  <c r="I1659" i="2"/>
  <c r="J1659" i="2" s="1"/>
  <c r="K1659" i="2" s="1"/>
  <c r="L1659" i="2" s="1"/>
  <c r="I2674" i="2"/>
  <c r="J2674" i="2" s="1"/>
  <c r="K2674" i="2" s="1"/>
  <c r="L2674" i="2" s="1"/>
  <c r="I2266" i="2"/>
  <c r="J2266" i="2" s="1"/>
  <c r="K2266" i="2" s="1"/>
  <c r="L2266" i="2" s="1"/>
  <c r="I746" i="2"/>
  <c r="J746" i="2" s="1"/>
  <c r="K746" i="2" s="1"/>
  <c r="L746" i="2" s="1"/>
  <c r="I1960" i="2"/>
  <c r="J1960" i="2" s="1"/>
  <c r="K1960" i="2" s="1"/>
  <c r="L1960" i="2" s="1"/>
  <c r="I747" i="2"/>
  <c r="J747" i="2" s="1"/>
  <c r="K747" i="2" s="1"/>
  <c r="L747" i="2" s="1"/>
  <c r="I748" i="2"/>
  <c r="J748" i="2" s="1"/>
  <c r="K748" i="2" s="1"/>
  <c r="L748" i="2" s="1"/>
  <c r="I473" i="2"/>
  <c r="J473" i="2" s="1"/>
  <c r="K473" i="2" s="1"/>
  <c r="L473" i="2" s="1"/>
  <c r="I2267" i="2"/>
  <c r="J2267" i="2" s="1"/>
  <c r="K2267" i="2" s="1"/>
  <c r="L2267" i="2" s="1"/>
  <c r="I2268" i="2"/>
  <c r="J2268" i="2" s="1"/>
  <c r="K2268" i="2" s="1"/>
  <c r="L2268" i="2" s="1"/>
  <c r="I1816" i="2"/>
  <c r="J1816" i="2" s="1"/>
  <c r="K1816" i="2" s="1"/>
  <c r="L1816" i="2" s="1"/>
  <c r="I119" i="2"/>
  <c r="J119" i="2" s="1"/>
  <c r="K119" i="2" s="1"/>
  <c r="L119" i="2" s="1"/>
  <c r="I1455" i="2"/>
  <c r="J1455" i="2" s="1"/>
  <c r="K1455" i="2" s="1"/>
  <c r="L1455" i="2" s="1"/>
  <c r="I2269" i="2"/>
  <c r="J2269" i="2" s="1"/>
  <c r="K2269" i="2" s="1"/>
  <c r="L2269" i="2" s="1"/>
  <c r="I3011" i="2"/>
  <c r="J3011" i="2" s="1"/>
  <c r="K3011" i="2" s="1"/>
  <c r="L3011" i="2" s="1"/>
  <c r="I1660" i="2"/>
  <c r="J1660" i="2" s="1"/>
  <c r="K1660" i="2" s="1"/>
  <c r="L1660" i="2" s="1"/>
  <c r="I1961" i="2"/>
  <c r="J1961" i="2" s="1"/>
  <c r="K1961" i="2" s="1"/>
  <c r="L1961" i="2" s="1"/>
  <c r="I339" i="2"/>
  <c r="J339" i="2" s="1"/>
  <c r="K339" i="2" s="1"/>
  <c r="L339" i="2" s="1"/>
  <c r="I1302" i="2"/>
  <c r="J1302" i="2" s="1"/>
  <c r="K1302" i="2" s="1"/>
  <c r="L1302" i="2" s="1"/>
  <c r="I120" i="2"/>
  <c r="J120" i="2" s="1"/>
  <c r="K120" i="2" s="1"/>
  <c r="L120" i="2" s="1"/>
  <c r="I2270" i="2"/>
  <c r="J2270" i="2" s="1"/>
  <c r="K2270" i="2" s="1"/>
  <c r="L2270" i="2" s="1"/>
  <c r="I749" i="2"/>
  <c r="J749" i="2" s="1"/>
  <c r="K749" i="2" s="1"/>
  <c r="L749" i="2" s="1"/>
  <c r="I1661" i="2"/>
  <c r="J1661" i="2" s="1"/>
  <c r="K1661" i="2" s="1"/>
  <c r="L1661" i="2" s="1"/>
  <c r="I121" i="2"/>
  <c r="J121" i="2" s="1"/>
  <c r="K121" i="2" s="1"/>
  <c r="L121" i="2" s="1"/>
  <c r="I2271" i="2"/>
  <c r="J2271" i="2" s="1"/>
  <c r="K2271" i="2" s="1"/>
  <c r="L2271" i="2" s="1"/>
  <c r="I381" i="2"/>
  <c r="J381" i="2" s="1"/>
  <c r="K381" i="2" s="1"/>
  <c r="L381" i="2" s="1"/>
  <c r="I2675" i="2"/>
  <c r="J2675" i="2" s="1"/>
  <c r="K2675" i="2" s="1"/>
  <c r="L2675" i="2" s="1"/>
  <c r="I2272" i="2"/>
  <c r="J2272" i="2" s="1"/>
  <c r="K2272" i="2" s="1"/>
  <c r="L2272" i="2" s="1"/>
  <c r="I1662" i="2"/>
  <c r="J1662" i="2" s="1"/>
  <c r="K1662" i="2" s="1"/>
  <c r="L1662" i="2" s="1"/>
  <c r="I2273" i="2"/>
  <c r="J2273" i="2" s="1"/>
  <c r="K2273" i="2" s="1"/>
  <c r="L2273" i="2" s="1"/>
  <c r="I1663" i="2"/>
  <c r="J1663" i="2" s="1"/>
  <c r="K1663" i="2" s="1"/>
  <c r="L1663" i="2" s="1"/>
  <c r="I3012" i="2"/>
  <c r="J3012" i="2" s="1"/>
  <c r="K3012" i="2" s="1"/>
  <c r="L3012" i="2" s="1"/>
  <c r="I2081" i="2"/>
  <c r="J2081" i="2" s="1"/>
  <c r="K2081" i="2" s="1"/>
  <c r="L2081" i="2" s="1"/>
  <c r="I3013" i="2"/>
  <c r="J3013" i="2" s="1"/>
  <c r="K3013" i="2" s="1"/>
  <c r="L3013" i="2" s="1"/>
  <c r="I3014" i="2"/>
  <c r="J3014" i="2" s="1"/>
  <c r="K3014" i="2" s="1"/>
  <c r="L3014" i="2" s="1"/>
  <c r="I1962" i="2"/>
  <c r="J1962" i="2" s="1"/>
  <c r="K1962" i="2" s="1"/>
  <c r="L1962" i="2" s="1"/>
  <c r="I122" i="2"/>
  <c r="J122" i="2" s="1"/>
  <c r="K122" i="2" s="1"/>
  <c r="L122" i="2" s="1"/>
  <c r="I123" i="2"/>
  <c r="J123" i="2" s="1"/>
  <c r="K123" i="2" s="1"/>
  <c r="L123" i="2" s="1"/>
  <c r="I1664" i="2"/>
  <c r="J1664" i="2" s="1"/>
  <c r="K1664" i="2" s="1"/>
  <c r="L1664" i="2" s="1"/>
  <c r="I2848" i="2"/>
  <c r="J2848" i="2" s="1"/>
  <c r="K2848" i="2" s="1"/>
  <c r="L2848" i="2" s="1"/>
  <c r="I1303" i="2"/>
  <c r="J1303" i="2" s="1"/>
  <c r="K1303" i="2" s="1"/>
  <c r="L1303" i="2" s="1"/>
  <c r="I750" i="2"/>
  <c r="J750" i="2" s="1"/>
  <c r="K750" i="2" s="1"/>
  <c r="L750" i="2" s="1"/>
  <c r="I2676" i="2"/>
  <c r="J2676" i="2" s="1"/>
  <c r="K2676" i="2" s="1"/>
  <c r="L2676" i="2" s="1"/>
  <c r="I1035" i="2"/>
  <c r="J1035" i="2" s="1"/>
  <c r="K1035" i="2" s="1"/>
  <c r="L1035" i="2" s="1"/>
  <c r="I124" i="2"/>
  <c r="J124" i="2" s="1"/>
  <c r="K124" i="2" s="1"/>
  <c r="L124" i="2" s="1"/>
  <c r="I3015" i="2"/>
  <c r="J3015" i="2" s="1"/>
  <c r="K3015" i="2" s="1"/>
  <c r="L3015" i="2" s="1"/>
  <c r="I751" i="2"/>
  <c r="J751" i="2" s="1"/>
  <c r="K751" i="2" s="1"/>
  <c r="L751" i="2" s="1"/>
  <c r="I1963" i="2"/>
  <c r="J1963" i="2" s="1"/>
  <c r="K1963" i="2" s="1"/>
  <c r="L1963" i="2" s="1"/>
  <c r="I2524" i="2"/>
  <c r="J2524" i="2" s="1"/>
  <c r="K2524" i="2" s="1"/>
  <c r="L2524" i="2" s="1"/>
  <c r="I752" i="2"/>
  <c r="J752" i="2" s="1"/>
  <c r="K752" i="2" s="1"/>
  <c r="L752" i="2" s="1"/>
  <c r="I1304" i="2"/>
  <c r="J1304" i="2" s="1"/>
  <c r="K1304" i="2" s="1"/>
  <c r="L1304" i="2" s="1"/>
  <c r="I2274" i="2"/>
  <c r="J2274" i="2" s="1"/>
  <c r="K2274" i="2" s="1"/>
  <c r="L2274" i="2" s="1"/>
  <c r="I3016" i="2"/>
  <c r="J3016" i="2" s="1"/>
  <c r="K3016" i="2" s="1"/>
  <c r="L3016" i="2" s="1"/>
  <c r="I125" i="2"/>
  <c r="J125" i="2" s="1"/>
  <c r="K125" i="2" s="1"/>
  <c r="L125" i="2" s="1"/>
  <c r="I1096" i="2"/>
  <c r="J1096" i="2" s="1"/>
  <c r="K1096" i="2" s="1"/>
  <c r="L1096" i="2" s="1"/>
  <c r="I3017" i="2"/>
  <c r="J3017" i="2" s="1"/>
  <c r="K3017" i="2" s="1"/>
  <c r="L3017" i="2" s="1"/>
  <c r="I126" i="2"/>
  <c r="J126" i="2" s="1"/>
  <c r="K126" i="2" s="1"/>
  <c r="L126" i="2" s="1"/>
  <c r="I1964" i="2"/>
  <c r="J1964" i="2" s="1"/>
  <c r="K1964" i="2" s="1"/>
  <c r="L1964" i="2" s="1"/>
  <c r="I127" i="2"/>
  <c r="J127" i="2" s="1"/>
  <c r="K127" i="2" s="1"/>
  <c r="L127" i="2" s="1"/>
  <c r="I753" i="2"/>
  <c r="J753" i="2" s="1"/>
  <c r="K753" i="2" s="1"/>
  <c r="L753" i="2" s="1"/>
  <c r="I1305" i="2"/>
  <c r="J1305" i="2" s="1"/>
  <c r="K1305" i="2" s="1"/>
  <c r="L1305" i="2" s="1"/>
  <c r="I1965" i="2"/>
  <c r="J1965" i="2" s="1"/>
  <c r="K1965" i="2" s="1"/>
  <c r="L1965" i="2" s="1"/>
  <c r="I382" i="2"/>
  <c r="J382" i="2" s="1"/>
  <c r="K382" i="2" s="1"/>
  <c r="L382" i="2" s="1"/>
  <c r="I2525" i="2"/>
  <c r="J2525" i="2" s="1"/>
  <c r="K2525" i="2" s="1"/>
  <c r="L2525" i="2" s="1"/>
  <c r="I1456" i="2"/>
  <c r="J1456" i="2" s="1"/>
  <c r="K1456" i="2" s="1"/>
  <c r="L1456" i="2" s="1"/>
  <c r="I2849" i="2"/>
  <c r="J2849" i="2" s="1"/>
  <c r="K2849" i="2" s="1"/>
  <c r="L2849" i="2" s="1"/>
  <c r="I1161" i="2"/>
  <c r="J1161" i="2" s="1"/>
  <c r="K1161" i="2" s="1"/>
  <c r="L1161" i="2" s="1"/>
  <c r="I1036" i="2"/>
  <c r="J1036" i="2" s="1"/>
  <c r="K1036" i="2" s="1"/>
  <c r="L1036" i="2" s="1"/>
  <c r="I1457" i="2"/>
  <c r="J1457" i="2" s="1"/>
  <c r="K1457" i="2" s="1"/>
  <c r="L1457" i="2" s="1"/>
  <c r="I754" i="2"/>
  <c r="J754" i="2" s="1"/>
  <c r="K754" i="2" s="1"/>
  <c r="L754" i="2" s="1"/>
  <c r="I1665" i="2"/>
  <c r="J1665" i="2" s="1"/>
  <c r="K1665" i="2" s="1"/>
  <c r="L1665" i="2" s="1"/>
  <c r="I3018" i="2"/>
  <c r="J3018" i="2" s="1"/>
  <c r="K3018" i="2" s="1"/>
  <c r="L3018" i="2" s="1"/>
  <c r="I2903" i="2"/>
  <c r="J2903" i="2" s="1"/>
  <c r="K2903" i="2" s="1"/>
  <c r="L2903" i="2" s="1"/>
  <c r="I755" i="2"/>
  <c r="J755" i="2" s="1"/>
  <c r="K755" i="2" s="1"/>
  <c r="L755" i="2" s="1"/>
  <c r="I1458" i="2"/>
  <c r="J1458" i="2" s="1"/>
  <c r="K1458" i="2" s="1"/>
  <c r="L1458" i="2" s="1"/>
  <c r="I756" i="2"/>
  <c r="J756" i="2" s="1"/>
  <c r="K756" i="2" s="1"/>
  <c r="L756" i="2" s="1"/>
  <c r="I2850" i="2"/>
  <c r="J2850" i="2" s="1"/>
  <c r="K2850" i="2" s="1"/>
  <c r="L2850" i="2" s="1"/>
  <c r="I2275" i="2"/>
  <c r="J2275" i="2" s="1"/>
  <c r="K2275" i="2" s="1"/>
  <c r="L2275" i="2" s="1"/>
  <c r="I2276" i="2"/>
  <c r="J2276" i="2" s="1"/>
  <c r="K2276" i="2" s="1"/>
  <c r="L2276" i="2" s="1"/>
  <c r="I1666" i="2"/>
  <c r="J1666" i="2" s="1"/>
  <c r="K1666" i="2" s="1"/>
  <c r="L1666" i="2" s="1"/>
  <c r="I2277" i="2"/>
  <c r="J2277" i="2" s="1"/>
  <c r="K2277" i="2" s="1"/>
  <c r="L2277" i="2" s="1"/>
  <c r="I534" i="2"/>
  <c r="J534" i="2" s="1"/>
  <c r="K534" i="2" s="1"/>
  <c r="L534" i="2" s="1"/>
  <c r="I474" i="2"/>
  <c r="J474" i="2" s="1"/>
  <c r="K474" i="2" s="1"/>
  <c r="L474" i="2" s="1"/>
  <c r="I1459" i="2"/>
  <c r="J1459" i="2" s="1"/>
  <c r="K1459" i="2" s="1"/>
  <c r="L1459" i="2" s="1"/>
  <c r="I128" i="2"/>
  <c r="J128" i="2" s="1"/>
  <c r="K128" i="2" s="1"/>
  <c r="L128" i="2" s="1"/>
  <c r="I2278" i="2"/>
  <c r="J2278" i="2" s="1"/>
  <c r="K2278" i="2" s="1"/>
  <c r="L2278" i="2" s="1"/>
  <c r="I1526" i="2"/>
  <c r="J1526" i="2" s="1"/>
  <c r="K1526" i="2" s="1"/>
  <c r="L1526" i="2" s="1"/>
  <c r="I475" i="2"/>
  <c r="J475" i="2" s="1"/>
  <c r="K475" i="2" s="1"/>
  <c r="L475" i="2" s="1"/>
  <c r="I1306" i="2"/>
  <c r="J1306" i="2" s="1"/>
  <c r="K1306" i="2" s="1"/>
  <c r="L1306" i="2" s="1"/>
  <c r="I1817" i="2"/>
  <c r="J1817" i="2" s="1"/>
  <c r="K1817" i="2" s="1"/>
  <c r="L1817" i="2" s="1"/>
  <c r="I2780" i="2"/>
  <c r="J2780" i="2" s="1"/>
  <c r="K2780" i="2" s="1"/>
  <c r="L2780" i="2" s="1"/>
  <c r="I535" i="2"/>
  <c r="J535" i="2" s="1"/>
  <c r="K535" i="2" s="1"/>
  <c r="L535" i="2" s="1"/>
  <c r="I129" i="2"/>
  <c r="J129" i="2" s="1"/>
  <c r="K129" i="2" s="1"/>
  <c r="L129" i="2" s="1"/>
  <c r="I1527" i="2"/>
  <c r="J1527" i="2" s="1"/>
  <c r="K1527" i="2" s="1"/>
  <c r="L1527" i="2" s="1"/>
  <c r="I1113" i="2"/>
  <c r="J1113" i="2" s="1"/>
  <c r="K1113" i="2" s="1"/>
  <c r="L1113" i="2" s="1"/>
  <c r="I3019" i="2"/>
  <c r="J3019" i="2" s="1"/>
  <c r="K3019" i="2" s="1"/>
  <c r="L3019" i="2" s="1"/>
  <c r="I130" i="2"/>
  <c r="J130" i="2" s="1"/>
  <c r="K130" i="2" s="1"/>
  <c r="L130" i="2" s="1"/>
  <c r="I2677" i="2"/>
  <c r="J2677" i="2" s="1"/>
  <c r="K2677" i="2" s="1"/>
  <c r="L2677" i="2" s="1"/>
  <c r="I3020" i="2"/>
  <c r="J3020" i="2" s="1"/>
  <c r="K3020" i="2" s="1"/>
  <c r="L3020" i="2" s="1"/>
  <c r="I757" i="2"/>
  <c r="J757" i="2" s="1"/>
  <c r="K757" i="2" s="1"/>
  <c r="L757" i="2" s="1"/>
  <c r="I758" i="2"/>
  <c r="J758" i="2" s="1"/>
  <c r="K758" i="2" s="1"/>
  <c r="L758" i="2" s="1"/>
  <c r="I3021" i="2"/>
  <c r="J3021" i="2" s="1"/>
  <c r="K3021" i="2" s="1"/>
  <c r="L3021" i="2" s="1"/>
  <c r="I2279" i="2"/>
  <c r="J2279" i="2" s="1"/>
  <c r="K2279" i="2" s="1"/>
  <c r="L2279" i="2" s="1"/>
  <c r="I3022" i="2"/>
  <c r="J3022" i="2" s="1"/>
  <c r="K3022" i="2" s="1"/>
  <c r="L3022" i="2" s="1"/>
  <c r="I2526" i="2"/>
  <c r="J2526" i="2" s="1"/>
  <c r="K2526" i="2" s="1"/>
  <c r="L2526" i="2" s="1"/>
  <c r="I383" i="2"/>
  <c r="J383" i="2" s="1"/>
  <c r="K383" i="2" s="1"/>
  <c r="L383" i="2" s="1"/>
  <c r="I384" i="2"/>
  <c r="J384" i="2" s="1"/>
  <c r="K384" i="2" s="1"/>
  <c r="L384" i="2" s="1"/>
  <c r="I759" i="2"/>
  <c r="J759" i="2" s="1"/>
  <c r="K759" i="2" s="1"/>
  <c r="L759" i="2" s="1"/>
  <c r="I3023" i="2"/>
  <c r="J3023" i="2" s="1"/>
  <c r="K3023" i="2" s="1"/>
  <c r="L3023" i="2" s="1"/>
  <c r="I1162" i="2"/>
  <c r="J1162" i="2" s="1"/>
  <c r="K1162" i="2" s="1"/>
  <c r="L1162" i="2" s="1"/>
  <c r="I760" i="2"/>
  <c r="J760" i="2" s="1"/>
  <c r="K760" i="2" s="1"/>
  <c r="L760" i="2" s="1"/>
  <c r="I1667" i="2"/>
  <c r="J1667" i="2" s="1"/>
  <c r="K1667" i="2" s="1"/>
  <c r="L1667" i="2" s="1"/>
  <c r="I131" i="2"/>
  <c r="J131" i="2" s="1"/>
  <c r="K131" i="2" s="1"/>
  <c r="L131" i="2" s="1"/>
  <c r="I1668" i="2"/>
  <c r="J1668" i="2" s="1"/>
  <c r="K1668" i="2" s="1"/>
  <c r="L1668" i="2" s="1"/>
  <c r="I2527" i="2"/>
  <c r="J2527" i="2" s="1"/>
  <c r="K2527" i="2" s="1"/>
  <c r="L2527" i="2" s="1"/>
  <c r="I761" i="2"/>
  <c r="J761" i="2" s="1"/>
  <c r="K761" i="2" s="1"/>
  <c r="L761" i="2" s="1"/>
  <c r="I1966" i="2"/>
  <c r="J1966" i="2" s="1"/>
  <c r="K1966" i="2" s="1"/>
  <c r="L1966" i="2" s="1"/>
  <c r="I1669" i="2"/>
  <c r="J1669" i="2" s="1"/>
  <c r="K1669" i="2" s="1"/>
  <c r="L1669" i="2" s="1"/>
  <c r="I1670" i="2"/>
  <c r="J1670" i="2" s="1"/>
  <c r="K1670" i="2" s="1"/>
  <c r="L1670" i="2" s="1"/>
  <c r="I1163" i="2"/>
  <c r="J1163" i="2" s="1"/>
  <c r="K1163" i="2" s="1"/>
  <c r="L1163" i="2" s="1"/>
  <c r="I1528" i="2"/>
  <c r="J1528" i="2" s="1"/>
  <c r="K1528" i="2" s="1"/>
  <c r="L1528" i="2" s="1"/>
  <c r="I762" i="2"/>
  <c r="J762" i="2" s="1"/>
  <c r="K762" i="2" s="1"/>
  <c r="L762" i="2" s="1"/>
  <c r="I763" i="2"/>
  <c r="J763" i="2" s="1"/>
  <c r="K763" i="2" s="1"/>
  <c r="L763" i="2" s="1"/>
  <c r="I764" i="2"/>
  <c r="J764" i="2" s="1"/>
  <c r="K764" i="2" s="1"/>
  <c r="L764" i="2" s="1"/>
  <c r="I2280" i="2"/>
  <c r="J2280" i="2" s="1"/>
  <c r="K2280" i="2" s="1"/>
  <c r="L2280" i="2" s="1"/>
  <c r="I2281" i="2"/>
  <c r="J2281" i="2" s="1"/>
  <c r="K2281" i="2" s="1"/>
  <c r="L2281" i="2" s="1"/>
  <c r="I1967" i="2"/>
  <c r="J1967" i="2" s="1"/>
  <c r="K1967" i="2" s="1"/>
  <c r="L1967" i="2" s="1"/>
  <c r="I1307" i="2"/>
  <c r="J1307" i="2" s="1"/>
  <c r="K1307" i="2" s="1"/>
  <c r="L1307" i="2" s="1"/>
  <c r="I308" i="2"/>
  <c r="J308" i="2" s="1"/>
  <c r="K308" i="2" s="1"/>
  <c r="L308" i="2" s="1"/>
  <c r="I1671" i="2"/>
  <c r="J1671" i="2" s="1"/>
  <c r="K1671" i="2" s="1"/>
  <c r="L1671" i="2" s="1"/>
  <c r="I3024" i="2"/>
  <c r="J3024" i="2" s="1"/>
  <c r="K3024" i="2" s="1"/>
  <c r="L3024" i="2" s="1"/>
  <c r="I2282" i="2"/>
  <c r="J2282" i="2" s="1"/>
  <c r="K2282" i="2" s="1"/>
  <c r="L2282" i="2" s="1"/>
  <c r="I1529" i="2"/>
  <c r="J1529" i="2" s="1"/>
  <c r="K1529" i="2" s="1"/>
  <c r="L1529" i="2" s="1"/>
  <c r="I3025" i="2"/>
  <c r="J3025" i="2" s="1"/>
  <c r="K3025" i="2" s="1"/>
  <c r="L3025" i="2" s="1"/>
  <c r="I309" i="2"/>
  <c r="J309" i="2" s="1"/>
  <c r="K309" i="2" s="1"/>
  <c r="L309" i="2" s="1"/>
  <c r="I1968" i="2"/>
  <c r="J1968" i="2" s="1"/>
  <c r="K1968" i="2" s="1"/>
  <c r="L1968" i="2" s="1"/>
  <c r="I1672" i="2"/>
  <c r="J1672" i="2" s="1"/>
  <c r="K1672" i="2" s="1"/>
  <c r="L1672" i="2" s="1"/>
  <c r="I310" i="2"/>
  <c r="J310" i="2" s="1"/>
  <c r="K310" i="2" s="1"/>
  <c r="L310" i="2" s="1"/>
  <c r="I1460" i="2"/>
  <c r="J1460" i="2" s="1"/>
  <c r="K1460" i="2" s="1"/>
  <c r="L1460" i="2" s="1"/>
  <c r="I1969" i="2"/>
  <c r="J1969" i="2" s="1"/>
  <c r="K1969" i="2" s="1"/>
  <c r="L1969" i="2" s="1"/>
  <c r="I2283" i="2"/>
  <c r="J2283" i="2" s="1"/>
  <c r="K2283" i="2" s="1"/>
  <c r="L2283" i="2" s="1"/>
  <c r="I2892" i="2"/>
  <c r="J2892" i="2" s="1"/>
  <c r="K2892" i="2" s="1"/>
  <c r="L2892" i="2" s="1"/>
  <c r="I132" i="2"/>
  <c r="J132" i="2" s="1"/>
  <c r="K132" i="2" s="1"/>
  <c r="L132" i="2" s="1"/>
  <c r="I2284" i="2"/>
  <c r="J2284" i="2" s="1"/>
  <c r="K2284" i="2" s="1"/>
  <c r="L2284" i="2" s="1"/>
  <c r="I2285" i="2"/>
  <c r="J2285" i="2" s="1"/>
  <c r="K2285" i="2" s="1"/>
  <c r="L2285" i="2" s="1"/>
  <c r="I1970" i="2"/>
  <c r="J1970" i="2" s="1"/>
  <c r="K1970" i="2" s="1"/>
  <c r="L1970" i="2" s="1"/>
  <c r="I1673" i="2"/>
  <c r="J1673" i="2" s="1"/>
  <c r="K1673" i="2" s="1"/>
  <c r="L1673" i="2" s="1"/>
  <c r="I765" i="2"/>
  <c r="J765" i="2" s="1"/>
  <c r="K765" i="2" s="1"/>
  <c r="L765" i="2" s="1"/>
  <c r="I1971" i="2"/>
  <c r="J1971" i="2" s="1"/>
  <c r="K1971" i="2" s="1"/>
  <c r="L1971" i="2" s="1"/>
  <c r="I1674" i="2"/>
  <c r="J1674" i="2" s="1"/>
  <c r="K1674" i="2" s="1"/>
  <c r="L1674" i="2" s="1"/>
  <c r="I766" i="2"/>
  <c r="J766" i="2" s="1"/>
  <c r="K766" i="2" s="1"/>
  <c r="L766" i="2" s="1"/>
  <c r="I3026" i="2"/>
  <c r="J3026" i="2" s="1"/>
  <c r="K3026" i="2" s="1"/>
  <c r="L3026" i="2" s="1"/>
  <c r="I767" i="2"/>
  <c r="J767" i="2" s="1"/>
  <c r="K767" i="2" s="1"/>
  <c r="L767" i="2" s="1"/>
  <c r="I1675" i="2"/>
  <c r="J1675" i="2" s="1"/>
  <c r="K1675" i="2" s="1"/>
  <c r="L1675" i="2" s="1"/>
  <c r="I2678" i="2"/>
  <c r="J2678" i="2" s="1"/>
  <c r="K2678" i="2" s="1"/>
  <c r="L2678" i="2" s="1"/>
  <c r="I133" i="2"/>
  <c r="J133" i="2" s="1"/>
  <c r="K133" i="2" s="1"/>
  <c r="L133" i="2" s="1"/>
  <c r="I1461" i="2"/>
  <c r="J1461" i="2" s="1"/>
  <c r="K1461" i="2" s="1"/>
  <c r="L1461" i="2" s="1"/>
  <c r="I768" i="2"/>
  <c r="J768" i="2" s="1"/>
  <c r="K768" i="2" s="1"/>
  <c r="L768" i="2" s="1"/>
  <c r="I2781" i="2"/>
  <c r="J2781" i="2" s="1"/>
  <c r="K2781" i="2" s="1"/>
  <c r="L2781" i="2" s="1"/>
  <c r="I769" i="2"/>
  <c r="J769" i="2" s="1"/>
  <c r="K769" i="2" s="1"/>
  <c r="L769" i="2" s="1"/>
  <c r="I2528" i="2"/>
  <c r="J2528" i="2" s="1"/>
  <c r="K2528" i="2" s="1"/>
  <c r="L2528" i="2" s="1"/>
  <c r="I2286" i="2"/>
  <c r="J2286" i="2" s="1"/>
  <c r="K2286" i="2" s="1"/>
  <c r="L2286" i="2" s="1"/>
  <c r="I1818" i="2"/>
  <c r="J1818" i="2" s="1"/>
  <c r="K1818" i="2" s="1"/>
  <c r="L1818" i="2" s="1"/>
  <c r="I2287" i="2"/>
  <c r="J2287" i="2" s="1"/>
  <c r="K2287" i="2" s="1"/>
  <c r="L2287" i="2" s="1"/>
  <c r="I1972" i="2"/>
  <c r="J1972" i="2" s="1"/>
  <c r="K1972" i="2" s="1"/>
  <c r="L1972" i="2" s="1"/>
  <c r="I2529" i="2"/>
  <c r="J2529" i="2" s="1"/>
  <c r="K2529" i="2" s="1"/>
  <c r="L2529" i="2" s="1"/>
  <c r="I770" i="2"/>
  <c r="J770" i="2" s="1"/>
  <c r="K770" i="2" s="1"/>
  <c r="L770" i="2" s="1"/>
  <c r="I2530" i="2"/>
  <c r="J2530" i="2" s="1"/>
  <c r="K2530" i="2" s="1"/>
  <c r="L2530" i="2" s="1"/>
  <c r="I1973" i="2"/>
  <c r="J1973" i="2" s="1"/>
  <c r="K1973" i="2" s="1"/>
  <c r="L1973" i="2" s="1"/>
  <c r="I3027" i="2"/>
  <c r="J3027" i="2" s="1"/>
  <c r="K3027" i="2" s="1"/>
  <c r="L3027" i="2" s="1"/>
  <c r="I3028" i="2"/>
  <c r="J3028" i="2" s="1"/>
  <c r="K3028" i="2" s="1"/>
  <c r="L3028" i="2" s="1"/>
  <c r="I1308" i="2"/>
  <c r="J1308" i="2" s="1"/>
  <c r="K1308" i="2" s="1"/>
  <c r="L1308" i="2" s="1"/>
  <c r="I771" i="2"/>
  <c r="J771" i="2" s="1"/>
  <c r="K771" i="2" s="1"/>
  <c r="L771" i="2" s="1"/>
  <c r="I134" i="2"/>
  <c r="J134" i="2" s="1"/>
  <c r="K134" i="2" s="1"/>
  <c r="L134" i="2" s="1"/>
  <c r="I3029" i="2"/>
  <c r="J3029" i="2" s="1"/>
  <c r="K3029" i="2" s="1"/>
  <c r="L3029" i="2" s="1"/>
  <c r="I772" i="2"/>
  <c r="J772" i="2" s="1"/>
  <c r="K772" i="2" s="1"/>
  <c r="L772" i="2" s="1"/>
  <c r="I773" i="2"/>
  <c r="J773" i="2" s="1"/>
  <c r="K773" i="2" s="1"/>
  <c r="L773" i="2" s="1"/>
  <c r="I774" i="2"/>
  <c r="J774" i="2" s="1"/>
  <c r="K774" i="2" s="1"/>
  <c r="L774" i="2" s="1"/>
  <c r="I1097" i="2"/>
  <c r="J1097" i="2" s="1"/>
  <c r="K1097" i="2" s="1"/>
  <c r="L1097" i="2" s="1"/>
  <c r="I1676" i="2"/>
  <c r="J1676" i="2" s="1"/>
  <c r="K1676" i="2" s="1"/>
  <c r="L1676" i="2" s="1"/>
  <c r="I2288" i="2"/>
  <c r="J2288" i="2" s="1"/>
  <c r="K2288" i="2" s="1"/>
  <c r="L2288" i="2" s="1"/>
  <c r="I2082" i="2"/>
  <c r="J2082" i="2" s="1"/>
  <c r="K2082" i="2" s="1"/>
  <c r="L2082" i="2" s="1"/>
  <c r="I2289" i="2"/>
  <c r="J2289" i="2" s="1"/>
  <c r="K2289" i="2" s="1"/>
  <c r="L2289" i="2" s="1"/>
  <c r="I2531" i="2"/>
  <c r="J2531" i="2" s="1"/>
  <c r="K2531" i="2" s="1"/>
  <c r="L2531" i="2" s="1"/>
  <c r="I2679" i="2"/>
  <c r="J2679" i="2" s="1"/>
  <c r="K2679" i="2" s="1"/>
  <c r="L2679" i="2" s="1"/>
  <c r="I2782" i="2"/>
  <c r="J2782" i="2" s="1"/>
  <c r="K2782" i="2" s="1"/>
  <c r="L2782" i="2" s="1"/>
  <c r="I3166" i="2"/>
  <c r="J3166" i="2" s="1"/>
  <c r="K3166" i="2" s="1"/>
  <c r="L3166" i="2" s="1"/>
  <c r="I1462" i="2"/>
  <c r="J1462" i="2" s="1"/>
  <c r="K1462" i="2" s="1"/>
  <c r="L1462" i="2" s="1"/>
  <c r="I1974" i="2"/>
  <c r="J1974" i="2" s="1"/>
  <c r="K1974" i="2" s="1"/>
  <c r="L1974" i="2" s="1"/>
  <c r="I135" i="2"/>
  <c r="J135" i="2" s="1"/>
  <c r="K135" i="2" s="1"/>
  <c r="L135" i="2" s="1"/>
  <c r="I2532" i="2"/>
  <c r="J2532" i="2" s="1"/>
  <c r="K2532" i="2" s="1"/>
  <c r="L2532" i="2" s="1"/>
  <c r="I1975" i="2"/>
  <c r="J1975" i="2" s="1"/>
  <c r="K1975" i="2" s="1"/>
  <c r="L1975" i="2" s="1"/>
  <c r="I1677" i="2"/>
  <c r="J1677" i="2" s="1"/>
  <c r="K1677" i="2" s="1"/>
  <c r="L1677" i="2" s="1"/>
  <c r="I1976" i="2"/>
  <c r="J1976" i="2" s="1"/>
  <c r="K1976" i="2" s="1"/>
  <c r="L1976" i="2" s="1"/>
  <c r="I2290" i="2"/>
  <c r="J2290" i="2" s="1"/>
  <c r="K2290" i="2" s="1"/>
  <c r="L2290" i="2" s="1"/>
  <c r="I775" i="2"/>
  <c r="J775" i="2" s="1"/>
  <c r="K775" i="2" s="1"/>
  <c r="L775" i="2" s="1"/>
  <c r="I3030" i="2"/>
  <c r="J3030" i="2" s="1"/>
  <c r="K3030" i="2" s="1"/>
  <c r="L3030" i="2" s="1"/>
  <c r="I476" i="2"/>
  <c r="J476" i="2" s="1"/>
  <c r="K476" i="2" s="1"/>
  <c r="L476" i="2" s="1"/>
  <c r="I385" i="2"/>
  <c r="J385" i="2" s="1"/>
  <c r="K385" i="2" s="1"/>
  <c r="L385" i="2" s="1"/>
  <c r="I776" i="2"/>
  <c r="J776" i="2" s="1"/>
  <c r="K776" i="2" s="1"/>
  <c r="L776" i="2" s="1"/>
  <c r="I777" i="2"/>
  <c r="J777" i="2" s="1"/>
  <c r="K777" i="2" s="1"/>
  <c r="L777" i="2" s="1"/>
  <c r="I1530" i="2"/>
  <c r="J1530" i="2" s="1"/>
  <c r="K1530" i="2" s="1"/>
  <c r="L1530" i="2" s="1"/>
  <c r="I2533" i="2"/>
  <c r="J2533" i="2" s="1"/>
  <c r="K2533" i="2" s="1"/>
  <c r="L2533" i="2" s="1"/>
  <c r="I778" i="2"/>
  <c r="J778" i="2" s="1"/>
  <c r="K778" i="2" s="1"/>
  <c r="L778" i="2" s="1"/>
  <c r="I779" i="2"/>
  <c r="J779" i="2" s="1"/>
  <c r="K779" i="2" s="1"/>
  <c r="L779" i="2" s="1"/>
  <c r="I1164" i="2"/>
  <c r="J1164" i="2" s="1"/>
  <c r="K1164" i="2" s="1"/>
  <c r="L1164" i="2" s="1"/>
  <c r="I1507" i="2"/>
  <c r="J1507" i="2" s="1"/>
  <c r="K1507" i="2" s="1"/>
  <c r="L1507" i="2" s="1"/>
  <c r="I1165" i="2"/>
  <c r="J1165" i="2" s="1"/>
  <c r="K1165" i="2" s="1"/>
  <c r="L1165" i="2" s="1"/>
  <c r="I136" i="2"/>
  <c r="J136" i="2" s="1"/>
  <c r="K136" i="2" s="1"/>
  <c r="L136" i="2" s="1"/>
  <c r="I137" i="2"/>
  <c r="J137" i="2" s="1"/>
  <c r="K137" i="2" s="1"/>
  <c r="L137" i="2" s="1"/>
  <c r="I3141" i="2"/>
  <c r="J3141" i="2" s="1"/>
  <c r="K3141" i="2" s="1"/>
  <c r="L3141" i="2" s="1"/>
  <c r="I1678" i="2"/>
  <c r="J1678" i="2" s="1"/>
  <c r="K1678" i="2" s="1"/>
  <c r="L1678" i="2" s="1"/>
  <c r="I3031" i="2"/>
  <c r="J3031" i="2" s="1"/>
  <c r="K3031" i="2" s="1"/>
  <c r="L3031" i="2" s="1"/>
  <c r="I2534" i="2"/>
  <c r="J2534" i="2" s="1"/>
  <c r="K2534" i="2" s="1"/>
  <c r="L2534" i="2" s="1"/>
  <c r="I2291" i="2"/>
  <c r="J2291" i="2" s="1"/>
  <c r="K2291" i="2" s="1"/>
  <c r="L2291" i="2" s="1"/>
  <c r="I1977" i="2"/>
  <c r="J1977" i="2" s="1"/>
  <c r="K1977" i="2" s="1"/>
  <c r="L1977" i="2" s="1"/>
  <c r="I477" i="2"/>
  <c r="J477" i="2" s="1"/>
  <c r="K477" i="2" s="1"/>
  <c r="L477" i="2" s="1"/>
  <c r="I138" i="2"/>
  <c r="J138" i="2" s="1"/>
  <c r="K138" i="2" s="1"/>
  <c r="L138" i="2" s="1"/>
  <c r="I386" i="2"/>
  <c r="J386" i="2" s="1"/>
  <c r="K386" i="2" s="1"/>
  <c r="L386" i="2" s="1"/>
  <c r="I1679" i="2"/>
  <c r="J1679" i="2" s="1"/>
  <c r="K1679" i="2" s="1"/>
  <c r="L1679" i="2" s="1"/>
  <c r="I2292" i="2"/>
  <c r="J2292" i="2" s="1"/>
  <c r="K2292" i="2" s="1"/>
  <c r="L2292" i="2" s="1"/>
  <c r="I2680" i="2"/>
  <c r="J2680" i="2" s="1"/>
  <c r="K2680" i="2" s="1"/>
  <c r="L2680" i="2" s="1"/>
  <c r="I1309" i="2"/>
  <c r="J1309" i="2" s="1"/>
  <c r="K1309" i="2" s="1"/>
  <c r="L1309" i="2" s="1"/>
  <c r="I2681" i="2"/>
  <c r="J2681" i="2" s="1"/>
  <c r="K2681" i="2" s="1"/>
  <c r="L2681" i="2" s="1"/>
  <c r="I1978" i="2"/>
  <c r="J1978" i="2" s="1"/>
  <c r="K1978" i="2" s="1"/>
  <c r="L1978" i="2" s="1"/>
  <c r="I1166" i="2"/>
  <c r="J1166" i="2" s="1"/>
  <c r="K1166" i="2" s="1"/>
  <c r="L1166" i="2" s="1"/>
  <c r="I2851" i="2"/>
  <c r="J2851" i="2" s="1"/>
  <c r="K2851" i="2" s="1"/>
  <c r="L2851" i="2" s="1"/>
  <c r="I1680" i="2"/>
  <c r="J1680" i="2" s="1"/>
  <c r="K1680" i="2" s="1"/>
  <c r="L1680" i="2" s="1"/>
  <c r="I387" i="2"/>
  <c r="J387" i="2" s="1"/>
  <c r="K387" i="2" s="1"/>
  <c r="L387" i="2" s="1"/>
  <c r="I1310" i="2"/>
  <c r="J1310" i="2" s="1"/>
  <c r="K1310" i="2" s="1"/>
  <c r="L1310" i="2" s="1"/>
  <c r="I2904" i="2"/>
  <c r="J2904" i="2" s="1"/>
  <c r="K2904" i="2" s="1"/>
  <c r="L2904" i="2" s="1"/>
  <c r="I1077" i="2"/>
  <c r="J1077" i="2" s="1"/>
  <c r="K1077" i="2" s="1"/>
  <c r="L1077" i="2" s="1"/>
  <c r="I1167" i="2"/>
  <c r="J1167" i="2" s="1"/>
  <c r="K1167" i="2" s="1"/>
  <c r="L1167" i="2" s="1"/>
  <c r="I1979" i="2"/>
  <c r="J1979" i="2" s="1"/>
  <c r="K1979" i="2" s="1"/>
  <c r="L1979" i="2" s="1"/>
  <c r="I1681" i="2"/>
  <c r="J1681" i="2" s="1"/>
  <c r="K1681" i="2" s="1"/>
  <c r="L1681" i="2" s="1"/>
  <c r="I780" i="2"/>
  <c r="J780" i="2" s="1"/>
  <c r="K780" i="2" s="1"/>
  <c r="L780" i="2" s="1"/>
  <c r="I2852" i="2"/>
  <c r="J2852" i="2" s="1"/>
  <c r="K2852" i="2" s="1"/>
  <c r="L2852" i="2" s="1"/>
  <c r="I1980" i="2"/>
  <c r="J1980" i="2" s="1"/>
  <c r="K1980" i="2" s="1"/>
  <c r="L1980" i="2" s="1"/>
  <c r="I2293" i="2"/>
  <c r="J2293" i="2" s="1"/>
  <c r="K2293" i="2" s="1"/>
  <c r="L2293" i="2" s="1"/>
  <c r="I781" i="2"/>
  <c r="J781" i="2" s="1"/>
  <c r="K781" i="2" s="1"/>
  <c r="L781" i="2" s="1"/>
  <c r="I782" i="2"/>
  <c r="J782" i="2" s="1"/>
  <c r="K782" i="2" s="1"/>
  <c r="L782" i="2" s="1"/>
  <c r="I1311" i="2"/>
  <c r="J1311" i="2" s="1"/>
  <c r="K1311" i="2" s="1"/>
  <c r="L1311" i="2" s="1"/>
  <c r="I2682" i="2"/>
  <c r="J2682" i="2" s="1"/>
  <c r="K2682" i="2" s="1"/>
  <c r="L2682" i="2" s="1"/>
  <c r="I783" i="2"/>
  <c r="J783" i="2" s="1"/>
  <c r="K783" i="2" s="1"/>
  <c r="L783" i="2" s="1"/>
  <c r="I784" i="2"/>
  <c r="J784" i="2" s="1"/>
  <c r="K784" i="2" s="1"/>
  <c r="L784" i="2" s="1"/>
  <c r="I1312" i="2"/>
  <c r="J1312" i="2" s="1"/>
  <c r="K1312" i="2" s="1"/>
  <c r="L1312" i="2" s="1"/>
  <c r="I785" i="2"/>
  <c r="J785" i="2" s="1"/>
  <c r="K785" i="2" s="1"/>
  <c r="L785" i="2" s="1"/>
  <c r="I1981" i="2"/>
  <c r="J1981" i="2" s="1"/>
  <c r="K1981" i="2" s="1"/>
  <c r="L1981" i="2" s="1"/>
  <c r="I2083" i="2"/>
  <c r="J2083" i="2" s="1"/>
  <c r="K2083" i="2" s="1"/>
  <c r="L2083" i="2" s="1"/>
  <c r="I2683" i="2"/>
  <c r="J2683" i="2" s="1"/>
  <c r="K2683" i="2" s="1"/>
  <c r="L2683" i="2" s="1"/>
  <c r="I2684" i="2"/>
  <c r="J2684" i="2" s="1"/>
  <c r="K2684" i="2" s="1"/>
  <c r="L2684" i="2" s="1"/>
  <c r="I2084" i="2"/>
  <c r="J2084" i="2" s="1"/>
  <c r="K2084" i="2" s="1"/>
  <c r="L2084" i="2" s="1"/>
  <c r="I786" i="2"/>
  <c r="J786" i="2" s="1"/>
  <c r="K786" i="2" s="1"/>
  <c r="L786" i="2" s="1"/>
  <c r="I1982" i="2"/>
  <c r="J1982" i="2" s="1"/>
  <c r="K1982" i="2" s="1"/>
  <c r="L1982" i="2" s="1"/>
  <c r="I787" i="2"/>
  <c r="J787" i="2" s="1"/>
  <c r="K787" i="2" s="1"/>
  <c r="L787" i="2" s="1"/>
  <c r="I1983" i="2"/>
  <c r="J1983" i="2" s="1"/>
  <c r="K1983" i="2" s="1"/>
  <c r="L1983" i="2" s="1"/>
  <c r="I1313" i="2"/>
  <c r="J1313" i="2" s="1"/>
  <c r="K1313" i="2" s="1"/>
  <c r="L1313" i="2" s="1"/>
  <c r="I1682" i="2"/>
  <c r="J1682" i="2" s="1"/>
  <c r="K1682" i="2" s="1"/>
  <c r="L1682" i="2" s="1"/>
  <c r="I2535" i="2"/>
  <c r="J2535" i="2" s="1"/>
  <c r="K2535" i="2" s="1"/>
  <c r="L2535" i="2" s="1"/>
  <c r="I536" i="2"/>
  <c r="J536" i="2" s="1"/>
  <c r="K536" i="2" s="1"/>
  <c r="L536" i="2" s="1"/>
  <c r="I2685" i="2"/>
  <c r="J2685" i="2" s="1"/>
  <c r="K2685" i="2" s="1"/>
  <c r="L2685" i="2" s="1"/>
  <c r="I2294" i="2"/>
  <c r="J2294" i="2" s="1"/>
  <c r="K2294" i="2" s="1"/>
  <c r="L2294" i="2" s="1"/>
  <c r="I3032" i="2"/>
  <c r="J3032" i="2" s="1"/>
  <c r="K3032" i="2" s="1"/>
  <c r="L3032" i="2" s="1"/>
  <c r="I788" i="2"/>
  <c r="J788" i="2" s="1"/>
  <c r="K788" i="2" s="1"/>
  <c r="L788" i="2" s="1"/>
  <c r="I3144" i="2"/>
  <c r="J3144" i="2" s="1"/>
  <c r="K3144" i="2" s="1"/>
  <c r="L3144" i="2" s="1"/>
  <c r="I789" i="2"/>
  <c r="J789" i="2" s="1"/>
  <c r="K789" i="2" s="1"/>
  <c r="L789" i="2" s="1"/>
  <c r="I139" i="2"/>
  <c r="J139" i="2" s="1"/>
  <c r="K139" i="2" s="1"/>
  <c r="L139" i="2" s="1"/>
  <c r="I790" i="2"/>
  <c r="J790" i="2" s="1"/>
  <c r="K790" i="2" s="1"/>
  <c r="L790" i="2" s="1"/>
  <c r="I1683" i="2"/>
  <c r="J1683" i="2" s="1"/>
  <c r="K1683" i="2" s="1"/>
  <c r="L1683" i="2" s="1"/>
  <c r="I791" i="2"/>
  <c r="J791" i="2" s="1"/>
  <c r="K791" i="2" s="1"/>
  <c r="L791" i="2" s="1"/>
  <c r="I1098" i="2"/>
  <c r="J1098" i="2" s="1"/>
  <c r="K1098" i="2" s="1"/>
  <c r="L1098" i="2" s="1"/>
  <c r="I3033" i="2"/>
  <c r="J3033" i="2" s="1"/>
  <c r="K3033" i="2" s="1"/>
  <c r="L3033" i="2" s="1"/>
  <c r="I1819" i="2"/>
  <c r="J1819" i="2" s="1"/>
  <c r="K1819" i="2" s="1"/>
  <c r="L1819" i="2" s="1"/>
  <c r="I140" i="2"/>
  <c r="J140" i="2" s="1"/>
  <c r="K140" i="2" s="1"/>
  <c r="L140" i="2" s="1"/>
  <c r="I1984" i="2"/>
  <c r="J1984" i="2" s="1"/>
  <c r="K1984" i="2" s="1"/>
  <c r="L1984" i="2" s="1"/>
  <c r="I3117" i="2"/>
  <c r="J3117" i="2" s="1"/>
  <c r="K3117" i="2" s="1"/>
  <c r="L3117" i="2" s="1"/>
  <c r="I2853" i="2"/>
  <c r="J2853" i="2" s="1"/>
  <c r="K2853" i="2" s="1"/>
  <c r="L2853" i="2" s="1"/>
  <c r="I1985" i="2"/>
  <c r="J1985" i="2" s="1"/>
  <c r="K1985" i="2" s="1"/>
  <c r="L1985" i="2" s="1"/>
  <c r="I792" i="2"/>
  <c r="J792" i="2" s="1"/>
  <c r="K792" i="2" s="1"/>
  <c r="L792" i="2" s="1"/>
  <c r="I793" i="2"/>
  <c r="J793" i="2" s="1"/>
  <c r="K793" i="2" s="1"/>
  <c r="L793" i="2" s="1"/>
  <c r="I3034" i="2"/>
  <c r="J3034" i="2" s="1"/>
  <c r="K3034" i="2" s="1"/>
  <c r="L3034" i="2" s="1"/>
  <c r="I794" i="2"/>
  <c r="J794" i="2" s="1"/>
  <c r="K794" i="2" s="1"/>
  <c r="L794" i="2" s="1"/>
  <c r="I1684" i="2"/>
  <c r="J1684" i="2" s="1"/>
  <c r="K1684" i="2" s="1"/>
  <c r="L1684" i="2" s="1"/>
  <c r="I1685" i="2"/>
  <c r="J1685" i="2" s="1"/>
  <c r="K1685" i="2" s="1"/>
  <c r="L1685" i="2" s="1"/>
  <c r="I1463" i="2"/>
  <c r="J1463" i="2" s="1"/>
  <c r="K1463" i="2" s="1"/>
  <c r="L1463" i="2" s="1"/>
  <c r="I1099" i="2"/>
  <c r="J1099" i="2" s="1"/>
  <c r="K1099" i="2" s="1"/>
  <c r="L1099" i="2" s="1"/>
  <c r="I3035" i="2"/>
  <c r="J3035" i="2" s="1"/>
  <c r="K3035" i="2" s="1"/>
  <c r="L3035" i="2" s="1"/>
  <c r="I2686" i="2"/>
  <c r="J2686" i="2" s="1"/>
  <c r="K2686" i="2" s="1"/>
  <c r="L2686" i="2" s="1"/>
  <c r="I3036" i="2"/>
  <c r="J3036" i="2" s="1"/>
  <c r="K3036" i="2" s="1"/>
  <c r="L3036" i="2" s="1"/>
  <c r="I3037" i="2"/>
  <c r="J3037" i="2" s="1"/>
  <c r="K3037" i="2" s="1"/>
  <c r="L3037" i="2" s="1"/>
  <c r="I3038" i="2"/>
  <c r="J3038" i="2" s="1"/>
  <c r="K3038" i="2" s="1"/>
  <c r="L3038" i="2" s="1"/>
  <c r="I1168" i="2"/>
  <c r="J1168" i="2" s="1"/>
  <c r="K1168" i="2" s="1"/>
  <c r="L1168" i="2" s="1"/>
  <c r="I2295" i="2"/>
  <c r="J2295" i="2" s="1"/>
  <c r="K2295" i="2" s="1"/>
  <c r="L2295" i="2" s="1"/>
  <c r="I2296" i="2"/>
  <c r="J2296" i="2" s="1"/>
  <c r="K2296" i="2" s="1"/>
  <c r="L2296" i="2" s="1"/>
  <c r="I1986" i="2"/>
  <c r="J1986" i="2" s="1"/>
  <c r="K1986" i="2" s="1"/>
  <c r="L1986" i="2" s="1"/>
  <c r="I1820" i="2"/>
  <c r="J1820" i="2" s="1"/>
  <c r="K1820" i="2" s="1"/>
  <c r="L1820" i="2" s="1"/>
  <c r="I1987" i="2"/>
  <c r="J1987" i="2" s="1"/>
  <c r="K1987" i="2" s="1"/>
  <c r="L1987" i="2" s="1"/>
  <c r="I1114" i="2"/>
  <c r="J1114" i="2" s="1"/>
  <c r="K1114" i="2" s="1"/>
  <c r="L1114" i="2" s="1"/>
  <c r="I2297" i="2"/>
  <c r="J2297" i="2" s="1"/>
  <c r="K2297" i="2" s="1"/>
  <c r="L2297" i="2" s="1"/>
  <c r="I795" i="2"/>
  <c r="J795" i="2" s="1"/>
  <c r="K795" i="2" s="1"/>
  <c r="L795" i="2" s="1"/>
  <c r="I796" i="2"/>
  <c r="J796" i="2" s="1"/>
  <c r="K796" i="2" s="1"/>
  <c r="L796" i="2" s="1"/>
  <c r="I797" i="2"/>
  <c r="J797" i="2" s="1"/>
  <c r="K797" i="2" s="1"/>
  <c r="L797" i="2" s="1"/>
  <c r="I798" i="2"/>
  <c r="J798" i="2" s="1"/>
  <c r="K798" i="2" s="1"/>
  <c r="L798" i="2" s="1"/>
  <c r="I2298" i="2"/>
  <c r="J2298" i="2" s="1"/>
  <c r="K2298" i="2" s="1"/>
  <c r="L2298" i="2" s="1"/>
  <c r="I2299" i="2"/>
  <c r="J2299" i="2" s="1"/>
  <c r="K2299" i="2" s="1"/>
  <c r="L2299" i="2" s="1"/>
  <c r="I388" i="2"/>
  <c r="J388" i="2" s="1"/>
  <c r="K388" i="2" s="1"/>
  <c r="L388" i="2" s="1"/>
  <c r="I1988" i="2"/>
  <c r="J1988" i="2" s="1"/>
  <c r="K1988" i="2" s="1"/>
  <c r="L1988" i="2" s="1"/>
  <c r="I799" i="2"/>
  <c r="J799" i="2" s="1"/>
  <c r="K799" i="2" s="1"/>
  <c r="L799" i="2" s="1"/>
  <c r="I1686" i="2"/>
  <c r="J1686" i="2" s="1"/>
  <c r="K1686" i="2" s="1"/>
  <c r="L1686" i="2" s="1"/>
  <c r="I1314" i="2"/>
  <c r="J1314" i="2" s="1"/>
  <c r="K1314" i="2" s="1"/>
  <c r="L1314" i="2" s="1"/>
  <c r="I1989" i="2"/>
  <c r="J1989" i="2" s="1"/>
  <c r="K1989" i="2" s="1"/>
  <c r="L1989" i="2" s="1"/>
  <c r="I1315" i="2"/>
  <c r="J1315" i="2" s="1"/>
  <c r="K1315" i="2" s="1"/>
  <c r="L1315" i="2" s="1"/>
  <c r="I1169" i="2"/>
  <c r="J1169" i="2" s="1"/>
  <c r="K1169" i="2" s="1"/>
  <c r="L1169" i="2" s="1"/>
  <c r="I1990" i="2"/>
  <c r="J1990" i="2" s="1"/>
  <c r="K1990" i="2" s="1"/>
  <c r="L1990" i="2" s="1"/>
  <c r="I1316" i="2"/>
  <c r="J1316" i="2" s="1"/>
  <c r="K1316" i="2" s="1"/>
  <c r="L1316" i="2" s="1"/>
  <c r="I3039" i="2"/>
  <c r="J3039" i="2" s="1"/>
  <c r="K3039" i="2" s="1"/>
  <c r="L3039" i="2" s="1"/>
  <c r="I1317" i="2"/>
  <c r="J1317" i="2" s="1"/>
  <c r="K1317" i="2" s="1"/>
  <c r="L1317" i="2" s="1"/>
  <c r="I800" i="2"/>
  <c r="J800" i="2" s="1"/>
  <c r="K800" i="2" s="1"/>
  <c r="L800" i="2" s="1"/>
  <c r="I1318" i="2"/>
  <c r="J1318" i="2" s="1"/>
  <c r="K1318" i="2" s="1"/>
  <c r="L1318" i="2" s="1"/>
  <c r="I801" i="2"/>
  <c r="J801" i="2" s="1"/>
  <c r="K801" i="2" s="1"/>
  <c r="L801" i="2" s="1"/>
  <c r="I2300" i="2"/>
  <c r="J2300" i="2" s="1"/>
  <c r="K2300" i="2" s="1"/>
  <c r="L2300" i="2" s="1"/>
  <c r="I1687" i="2"/>
  <c r="J1687" i="2" s="1"/>
  <c r="K1687" i="2" s="1"/>
  <c r="L1687" i="2" s="1"/>
  <c r="I1319" i="2"/>
  <c r="J1319" i="2" s="1"/>
  <c r="K1319" i="2" s="1"/>
  <c r="L1319" i="2" s="1"/>
  <c r="I1320" i="2"/>
  <c r="J1320" i="2" s="1"/>
  <c r="K1320" i="2" s="1"/>
  <c r="L1320" i="2" s="1"/>
  <c r="I3040" i="2"/>
  <c r="J3040" i="2" s="1"/>
  <c r="K3040" i="2" s="1"/>
  <c r="L3040" i="2" s="1"/>
  <c r="I1321" i="2"/>
  <c r="J1321" i="2" s="1"/>
  <c r="K1321" i="2" s="1"/>
  <c r="L1321" i="2" s="1"/>
  <c r="I1688" i="2"/>
  <c r="J1688" i="2" s="1"/>
  <c r="K1688" i="2" s="1"/>
  <c r="L1688" i="2" s="1"/>
  <c r="I2783" i="2"/>
  <c r="J2783" i="2" s="1"/>
  <c r="K2783" i="2" s="1"/>
  <c r="L2783" i="2" s="1"/>
  <c r="I1322" i="2"/>
  <c r="J1322" i="2" s="1"/>
  <c r="K1322" i="2" s="1"/>
  <c r="L1322" i="2" s="1"/>
  <c r="I1464" i="2"/>
  <c r="J1464" i="2" s="1"/>
  <c r="K1464" i="2" s="1"/>
  <c r="L1464" i="2" s="1"/>
  <c r="I311" i="2"/>
  <c r="J311" i="2" s="1"/>
  <c r="K311" i="2" s="1"/>
  <c r="L311" i="2" s="1"/>
  <c r="I2687" i="2"/>
  <c r="J2687" i="2" s="1"/>
  <c r="K2687" i="2" s="1"/>
  <c r="L2687" i="2" s="1"/>
  <c r="I2536" i="2"/>
  <c r="J2536" i="2" s="1"/>
  <c r="K2536" i="2" s="1"/>
  <c r="L2536" i="2" s="1"/>
  <c r="I2784" i="2"/>
  <c r="J2784" i="2" s="1"/>
  <c r="K2784" i="2" s="1"/>
  <c r="L2784" i="2" s="1"/>
  <c r="I802" i="2"/>
  <c r="J802" i="2" s="1"/>
  <c r="K802" i="2" s="1"/>
  <c r="L802" i="2" s="1"/>
  <c r="I2688" i="2"/>
  <c r="J2688" i="2" s="1"/>
  <c r="K2688" i="2" s="1"/>
  <c r="L2688" i="2" s="1"/>
  <c r="I1689" i="2"/>
  <c r="J1689" i="2" s="1"/>
  <c r="K1689" i="2" s="1"/>
  <c r="L1689" i="2" s="1"/>
  <c r="I141" i="2"/>
  <c r="J141" i="2" s="1"/>
  <c r="K141" i="2" s="1"/>
  <c r="L141" i="2" s="1"/>
  <c r="I1690" i="2"/>
  <c r="J1690" i="2" s="1"/>
  <c r="K1690" i="2" s="1"/>
  <c r="L1690" i="2" s="1"/>
  <c r="I2301" i="2"/>
  <c r="J2301" i="2" s="1"/>
  <c r="K2301" i="2" s="1"/>
  <c r="L2301" i="2" s="1"/>
  <c r="I3041" i="2"/>
  <c r="J3041" i="2" s="1"/>
  <c r="K3041" i="2" s="1"/>
  <c r="L3041" i="2" s="1"/>
  <c r="I803" i="2"/>
  <c r="J803" i="2" s="1"/>
  <c r="K803" i="2" s="1"/>
  <c r="L803" i="2" s="1"/>
  <c r="I1821" i="2"/>
  <c r="J1821" i="2" s="1"/>
  <c r="K1821" i="2" s="1"/>
  <c r="L1821" i="2" s="1"/>
  <c r="I804" i="2"/>
  <c r="J804" i="2" s="1"/>
  <c r="K804" i="2" s="1"/>
  <c r="L804" i="2" s="1"/>
  <c r="I805" i="2"/>
  <c r="J805" i="2" s="1"/>
  <c r="K805" i="2" s="1"/>
  <c r="L805" i="2" s="1"/>
  <c r="I142" i="2"/>
  <c r="J142" i="2" s="1"/>
  <c r="K142" i="2" s="1"/>
  <c r="L142" i="2" s="1"/>
  <c r="I806" i="2"/>
  <c r="J806" i="2" s="1"/>
  <c r="K806" i="2" s="1"/>
  <c r="L806" i="2" s="1"/>
  <c r="I143" i="2"/>
  <c r="J143" i="2" s="1"/>
  <c r="K143" i="2" s="1"/>
  <c r="L143" i="2" s="1"/>
  <c r="I807" i="2"/>
  <c r="J807" i="2" s="1"/>
  <c r="K807" i="2" s="1"/>
  <c r="L807" i="2" s="1"/>
  <c r="I1991" i="2"/>
  <c r="J1991" i="2" s="1"/>
  <c r="K1991" i="2" s="1"/>
  <c r="L1991" i="2" s="1"/>
  <c r="I1691" i="2"/>
  <c r="J1691" i="2" s="1"/>
  <c r="K1691" i="2" s="1"/>
  <c r="L1691" i="2" s="1"/>
  <c r="I3042" i="2"/>
  <c r="J3042" i="2" s="1"/>
  <c r="K3042" i="2" s="1"/>
  <c r="L3042" i="2" s="1"/>
  <c r="I2302" i="2"/>
  <c r="J2302" i="2" s="1"/>
  <c r="K2302" i="2" s="1"/>
  <c r="L2302" i="2" s="1"/>
  <c r="I808" i="2"/>
  <c r="J808" i="2" s="1"/>
  <c r="K808" i="2" s="1"/>
  <c r="L808" i="2" s="1"/>
  <c r="I809" i="2"/>
  <c r="J809" i="2" s="1"/>
  <c r="K809" i="2" s="1"/>
  <c r="L809" i="2" s="1"/>
  <c r="I1692" i="2"/>
  <c r="J1692" i="2" s="1"/>
  <c r="K1692" i="2" s="1"/>
  <c r="L1692" i="2" s="1"/>
  <c r="I2537" i="2"/>
  <c r="J2537" i="2" s="1"/>
  <c r="K2537" i="2" s="1"/>
  <c r="L2537" i="2" s="1"/>
  <c r="I1465" i="2"/>
  <c r="J1465" i="2" s="1"/>
  <c r="K1465" i="2" s="1"/>
  <c r="L1465" i="2" s="1"/>
  <c r="I2893" i="2"/>
  <c r="J2893" i="2" s="1"/>
  <c r="K2893" i="2" s="1"/>
  <c r="L2893" i="2" s="1"/>
  <c r="I478" i="2"/>
  <c r="J478" i="2" s="1"/>
  <c r="K478" i="2" s="1"/>
  <c r="L478" i="2" s="1"/>
  <c r="I3043" i="2"/>
  <c r="J3043" i="2" s="1"/>
  <c r="K3043" i="2" s="1"/>
  <c r="L3043" i="2" s="1"/>
  <c r="I1323" i="2"/>
  <c r="J1323" i="2" s="1"/>
  <c r="K1323" i="2" s="1"/>
  <c r="L1323" i="2" s="1"/>
  <c r="I810" i="2"/>
  <c r="J810" i="2" s="1"/>
  <c r="K810" i="2" s="1"/>
  <c r="L810" i="2" s="1"/>
  <c r="I1693" i="2"/>
  <c r="J1693" i="2" s="1"/>
  <c r="K1693" i="2" s="1"/>
  <c r="L1693" i="2" s="1"/>
  <c r="I2303" i="2"/>
  <c r="J2303" i="2" s="1"/>
  <c r="K2303" i="2" s="1"/>
  <c r="L2303" i="2" s="1"/>
  <c r="I811" i="2"/>
  <c r="J811" i="2" s="1"/>
  <c r="K811" i="2" s="1"/>
  <c r="L811" i="2" s="1"/>
  <c r="I1037" i="2"/>
  <c r="J1037" i="2" s="1"/>
  <c r="K1037" i="2" s="1"/>
  <c r="L1037" i="2" s="1"/>
  <c r="I3044" i="2"/>
  <c r="J3044" i="2" s="1"/>
  <c r="K3044" i="2" s="1"/>
  <c r="L3044" i="2" s="1"/>
  <c r="I144" i="2"/>
  <c r="J144" i="2" s="1"/>
  <c r="K144" i="2" s="1"/>
  <c r="L144" i="2" s="1"/>
  <c r="I1466" i="2"/>
  <c r="J1466" i="2" s="1"/>
  <c r="K1466" i="2" s="1"/>
  <c r="L1466" i="2" s="1"/>
  <c r="I812" i="2"/>
  <c r="J812" i="2" s="1"/>
  <c r="K812" i="2" s="1"/>
  <c r="L812" i="2" s="1"/>
  <c r="I1694" i="2"/>
  <c r="J1694" i="2" s="1"/>
  <c r="K1694" i="2" s="1"/>
  <c r="L1694" i="2" s="1"/>
  <c r="I813" i="2"/>
  <c r="J813" i="2" s="1"/>
  <c r="K813" i="2" s="1"/>
  <c r="L813" i="2" s="1"/>
  <c r="I2304" i="2"/>
  <c r="J2304" i="2" s="1"/>
  <c r="K2304" i="2" s="1"/>
  <c r="L2304" i="2" s="1"/>
  <c r="I2538" i="2"/>
  <c r="J2538" i="2" s="1"/>
  <c r="K2538" i="2" s="1"/>
  <c r="L2538" i="2" s="1"/>
  <c r="I1467" i="2"/>
  <c r="J1467" i="2" s="1"/>
  <c r="K1467" i="2" s="1"/>
  <c r="L1467" i="2" s="1"/>
  <c r="I1695" i="2"/>
  <c r="J1695" i="2" s="1"/>
  <c r="K1695" i="2" s="1"/>
  <c r="L1695" i="2" s="1"/>
  <c r="I2854" i="2"/>
  <c r="J2854" i="2" s="1"/>
  <c r="K2854" i="2" s="1"/>
  <c r="L2854" i="2" s="1"/>
  <c r="I1696" i="2"/>
  <c r="J1696" i="2" s="1"/>
  <c r="K1696" i="2" s="1"/>
  <c r="L1696" i="2" s="1"/>
  <c r="I2539" i="2"/>
  <c r="J2539" i="2" s="1"/>
  <c r="K2539" i="2" s="1"/>
  <c r="L2539" i="2" s="1"/>
  <c r="I2305" i="2"/>
  <c r="J2305" i="2" s="1"/>
  <c r="K2305" i="2" s="1"/>
  <c r="L2305" i="2" s="1"/>
  <c r="I145" i="2"/>
  <c r="J145" i="2" s="1"/>
  <c r="K145" i="2" s="1"/>
  <c r="L145" i="2" s="1"/>
  <c r="I814" i="2"/>
  <c r="J814" i="2" s="1"/>
  <c r="K814" i="2" s="1"/>
  <c r="L814" i="2" s="1"/>
  <c r="I479" i="2"/>
  <c r="J479" i="2" s="1"/>
  <c r="K479" i="2" s="1"/>
  <c r="L479" i="2" s="1"/>
  <c r="I1992" i="2"/>
  <c r="J1992" i="2" s="1"/>
  <c r="K1992" i="2" s="1"/>
  <c r="L1992" i="2" s="1"/>
  <c r="I2306" i="2"/>
  <c r="J2306" i="2" s="1"/>
  <c r="K2306" i="2" s="1"/>
  <c r="L2306" i="2" s="1"/>
  <c r="I389" i="2"/>
  <c r="J389" i="2" s="1"/>
  <c r="K389" i="2" s="1"/>
  <c r="L389" i="2" s="1"/>
  <c r="I815" i="2"/>
  <c r="J815" i="2" s="1"/>
  <c r="K815" i="2" s="1"/>
  <c r="L815" i="2" s="1"/>
  <c r="I2689" i="2"/>
  <c r="J2689" i="2" s="1"/>
  <c r="K2689" i="2" s="1"/>
  <c r="L2689" i="2" s="1"/>
  <c r="I3142" i="2"/>
  <c r="J3142" i="2" s="1"/>
  <c r="K3142" i="2" s="1"/>
  <c r="L3142" i="2" s="1"/>
  <c r="I816" i="2"/>
  <c r="J816" i="2" s="1"/>
  <c r="K816" i="2" s="1"/>
  <c r="L816" i="2" s="1"/>
  <c r="I1993" i="2"/>
  <c r="J1993" i="2" s="1"/>
  <c r="K1993" i="2" s="1"/>
  <c r="L1993" i="2" s="1"/>
  <c r="I1822" i="2"/>
  <c r="J1822" i="2" s="1"/>
  <c r="K1822" i="2" s="1"/>
  <c r="L1822" i="2" s="1"/>
  <c r="I3165" i="2"/>
  <c r="J3165" i="2" s="1"/>
  <c r="K3165" i="2" s="1"/>
  <c r="L3165" i="2" s="1"/>
  <c r="I390" i="2"/>
  <c r="J390" i="2" s="1"/>
  <c r="K390" i="2" s="1"/>
  <c r="L390" i="2" s="1"/>
  <c r="I1994" i="2"/>
  <c r="J1994" i="2" s="1"/>
  <c r="K1994" i="2" s="1"/>
  <c r="L1994" i="2" s="1"/>
  <c r="I3045" i="2"/>
  <c r="J3045" i="2" s="1"/>
  <c r="K3045" i="2" s="1"/>
  <c r="L3045" i="2" s="1"/>
  <c r="I1100" i="2"/>
  <c r="J1100" i="2" s="1"/>
  <c r="K1100" i="2" s="1"/>
  <c r="L1100" i="2" s="1"/>
  <c r="I2307" i="2"/>
  <c r="J2307" i="2" s="1"/>
  <c r="K2307" i="2" s="1"/>
  <c r="L2307" i="2" s="1"/>
  <c r="I817" i="2"/>
  <c r="J817" i="2" s="1"/>
  <c r="K817" i="2" s="1"/>
  <c r="L817" i="2" s="1"/>
  <c r="I2085" i="2"/>
  <c r="J2085" i="2" s="1"/>
  <c r="K2085" i="2" s="1"/>
  <c r="L2085" i="2" s="1"/>
  <c r="I1324" i="2"/>
  <c r="J1324" i="2" s="1"/>
  <c r="K1324" i="2" s="1"/>
  <c r="L1324" i="2" s="1"/>
  <c r="I146" i="2"/>
  <c r="J146" i="2" s="1"/>
  <c r="K146" i="2" s="1"/>
  <c r="L146" i="2" s="1"/>
  <c r="I537" i="2"/>
  <c r="J537" i="2" s="1"/>
  <c r="K537" i="2" s="1"/>
  <c r="L537" i="2" s="1"/>
  <c r="I1995" i="2"/>
  <c r="J1995" i="2" s="1"/>
  <c r="K1995" i="2" s="1"/>
  <c r="L1995" i="2" s="1"/>
  <c r="I2308" i="2"/>
  <c r="J2308" i="2" s="1"/>
  <c r="K2308" i="2" s="1"/>
  <c r="L2308" i="2" s="1"/>
  <c r="I2309" i="2"/>
  <c r="J2309" i="2" s="1"/>
  <c r="K2309" i="2" s="1"/>
  <c r="L2309" i="2" s="1"/>
  <c r="I2310" i="2"/>
  <c r="J2310" i="2" s="1"/>
  <c r="K2310" i="2" s="1"/>
  <c r="L2310" i="2" s="1"/>
  <c r="I480" i="2"/>
  <c r="J480" i="2" s="1"/>
  <c r="K480" i="2" s="1"/>
  <c r="L480" i="2" s="1"/>
  <c r="I1325" i="2"/>
  <c r="J1325" i="2" s="1"/>
  <c r="K1325" i="2" s="1"/>
  <c r="L1325" i="2" s="1"/>
  <c r="I2540" i="2"/>
  <c r="J2540" i="2" s="1"/>
  <c r="K2540" i="2" s="1"/>
  <c r="L2540" i="2" s="1"/>
  <c r="I997" i="2"/>
  <c r="J997" i="2" s="1"/>
  <c r="K997" i="2" s="1"/>
  <c r="L997" i="2" s="1"/>
  <c r="I1326" i="2"/>
  <c r="J1326" i="2" s="1"/>
  <c r="K1326" i="2" s="1"/>
  <c r="L1326" i="2" s="1"/>
  <c r="I818" i="2"/>
  <c r="J818" i="2" s="1"/>
  <c r="K818" i="2" s="1"/>
  <c r="L818" i="2" s="1"/>
  <c r="I1327" i="2"/>
  <c r="J1327" i="2" s="1"/>
  <c r="K1327" i="2" s="1"/>
  <c r="L1327" i="2" s="1"/>
  <c r="I1697" i="2"/>
  <c r="J1697" i="2" s="1"/>
  <c r="K1697" i="2" s="1"/>
  <c r="L1697" i="2" s="1"/>
  <c r="I1698" i="2"/>
  <c r="J1698" i="2" s="1"/>
  <c r="K1698" i="2" s="1"/>
  <c r="L1698" i="2" s="1"/>
  <c r="I2311" i="2"/>
  <c r="J2311" i="2" s="1"/>
  <c r="K2311" i="2" s="1"/>
  <c r="L2311" i="2" s="1"/>
  <c r="I2855" i="2"/>
  <c r="J2855" i="2" s="1"/>
  <c r="K2855" i="2" s="1"/>
  <c r="L2855" i="2" s="1"/>
  <c r="I147" i="2"/>
  <c r="J147" i="2" s="1"/>
  <c r="K147" i="2" s="1"/>
  <c r="L147" i="2" s="1"/>
  <c r="I819" i="2"/>
  <c r="J819" i="2" s="1"/>
  <c r="K819" i="2" s="1"/>
  <c r="L819" i="2" s="1"/>
  <c r="I2690" i="2"/>
  <c r="J2690" i="2" s="1"/>
  <c r="K2690" i="2" s="1"/>
  <c r="L2690" i="2" s="1"/>
  <c r="I481" i="2"/>
  <c r="J481" i="2" s="1"/>
  <c r="K481" i="2" s="1"/>
  <c r="L481" i="2" s="1"/>
  <c r="I2541" i="2"/>
  <c r="J2541" i="2" s="1"/>
  <c r="K2541" i="2" s="1"/>
  <c r="L2541" i="2" s="1"/>
  <c r="I3167" i="2"/>
  <c r="J3167" i="2" s="1"/>
  <c r="K3167" i="2" s="1"/>
  <c r="L3167" i="2" s="1"/>
  <c r="I258" i="2"/>
  <c r="J258" i="2" s="1"/>
  <c r="K258" i="2" s="1"/>
  <c r="L258" i="2" s="1"/>
  <c r="I1468" i="2"/>
  <c r="J1468" i="2" s="1"/>
  <c r="K1468" i="2" s="1"/>
  <c r="L1468" i="2" s="1"/>
  <c r="I1078" i="2"/>
  <c r="J1078" i="2" s="1"/>
  <c r="K1078" i="2" s="1"/>
  <c r="L1078" i="2" s="1"/>
  <c r="I148" i="2"/>
  <c r="J148" i="2" s="1"/>
  <c r="K148" i="2" s="1"/>
  <c r="L148" i="2" s="1"/>
  <c r="I2086" i="2"/>
  <c r="J2086" i="2" s="1"/>
  <c r="K2086" i="2" s="1"/>
  <c r="L2086" i="2" s="1"/>
  <c r="I1328" i="2"/>
  <c r="J1328" i="2" s="1"/>
  <c r="K1328" i="2" s="1"/>
  <c r="L1328" i="2" s="1"/>
  <c r="I1469" i="2"/>
  <c r="J1469" i="2" s="1"/>
  <c r="K1469" i="2" s="1"/>
  <c r="L1469" i="2" s="1"/>
  <c r="I3148" i="2"/>
  <c r="J3148" i="2" s="1"/>
  <c r="K3148" i="2" s="1"/>
  <c r="L3148" i="2" s="1"/>
  <c r="I1329" i="2"/>
  <c r="J1329" i="2" s="1"/>
  <c r="K1329" i="2" s="1"/>
  <c r="L1329" i="2" s="1"/>
  <c r="I2542" i="2"/>
  <c r="J2542" i="2" s="1"/>
  <c r="K2542" i="2" s="1"/>
  <c r="L2542" i="2" s="1"/>
  <c r="I1170" i="2"/>
  <c r="J1170" i="2" s="1"/>
  <c r="K1170" i="2" s="1"/>
  <c r="L1170" i="2" s="1"/>
  <c r="I482" i="2"/>
  <c r="J482" i="2" s="1"/>
  <c r="K482" i="2" s="1"/>
  <c r="L482" i="2" s="1"/>
  <c r="I2856" i="2"/>
  <c r="J2856" i="2" s="1"/>
  <c r="K2856" i="2" s="1"/>
  <c r="L2856" i="2" s="1"/>
  <c r="I3046" i="2"/>
  <c r="J3046" i="2" s="1"/>
  <c r="K3046" i="2" s="1"/>
  <c r="L3046" i="2" s="1"/>
  <c r="I820" i="2"/>
  <c r="J820" i="2" s="1"/>
  <c r="K820" i="2" s="1"/>
  <c r="L820" i="2" s="1"/>
  <c r="I1699" i="2"/>
  <c r="J1699" i="2" s="1"/>
  <c r="K1699" i="2" s="1"/>
  <c r="L1699" i="2" s="1"/>
  <c r="I1823" i="2"/>
  <c r="J1823" i="2" s="1"/>
  <c r="K1823" i="2" s="1"/>
  <c r="L1823" i="2" s="1"/>
  <c r="I821" i="2"/>
  <c r="J821" i="2" s="1"/>
  <c r="K821" i="2" s="1"/>
  <c r="L821" i="2" s="1"/>
  <c r="I149" i="2"/>
  <c r="J149" i="2" s="1"/>
  <c r="K149" i="2" s="1"/>
  <c r="L149" i="2" s="1"/>
  <c r="I483" i="2"/>
  <c r="J483" i="2" s="1"/>
  <c r="K483" i="2" s="1"/>
  <c r="L483" i="2" s="1"/>
  <c r="I822" i="2"/>
  <c r="J822" i="2" s="1"/>
  <c r="K822" i="2" s="1"/>
  <c r="L822" i="2" s="1"/>
  <c r="I1171" i="2"/>
  <c r="J1171" i="2" s="1"/>
  <c r="K1171" i="2" s="1"/>
  <c r="L1171" i="2" s="1"/>
  <c r="I1996" i="2"/>
  <c r="J1996" i="2" s="1"/>
  <c r="K1996" i="2" s="1"/>
  <c r="L1996" i="2" s="1"/>
  <c r="I150" i="2"/>
  <c r="J150" i="2" s="1"/>
  <c r="K150" i="2" s="1"/>
  <c r="L150" i="2" s="1"/>
  <c r="I1330" i="2"/>
  <c r="J1330" i="2" s="1"/>
  <c r="K1330" i="2" s="1"/>
  <c r="L1330" i="2" s="1"/>
  <c r="I1331" i="2"/>
  <c r="J1331" i="2" s="1"/>
  <c r="K1331" i="2" s="1"/>
  <c r="L1331" i="2" s="1"/>
  <c r="I3153" i="2"/>
  <c r="J3153" i="2" s="1"/>
  <c r="K3153" i="2" s="1"/>
  <c r="L3153" i="2" s="1"/>
  <c r="I3047" i="2"/>
  <c r="J3047" i="2" s="1"/>
  <c r="K3047" i="2" s="1"/>
  <c r="L3047" i="2" s="1"/>
  <c r="I823" i="2"/>
  <c r="J823" i="2" s="1"/>
  <c r="K823" i="2" s="1"/>
  <c r="L823" i="2" s="1"/>
  <c r="I1997" i="2"/>
  <c r="J1997" i="2" s="1"/>
  <c r="K1997" i="2" s="1"/>
  <c r="L1997" i="2" s="1"/>
  <c r="I3048" i="2"/>
  <c r="J3048" i="2" s="1"/>
  <c r="K3048" i="2" s="1"/>
  <c r="L3048" i="2" s="1"/>
  <c r="I484" i="2"/>
  <c r="J484" i="2" s="1"/>
  <c r="K484" i="2" s="1"/>
  <c r="L484" i="2" s="1"/>
  <c r="I1332" i="2"/>
  <c r="J1332" i="2" s="1"/>
  <c r="K1332" i="2" s="1"/>
  <c r="L1332" i="2" s="1"/>
  <c r="I1824" i="2"/>
  <c r="J1824" i="2" s="1"/>
  <c r="K1824" i="2" s="1"/>
  <c r="L1824" i="2" s="1"/>
  <c r="I151" i="2"/>
  <c r="J151" i="2" s="1"/>
  <c r="K151" i="2" s="1"/>
  <c r="L151" i="2" s="1"/>
  <c r="I485" i="2"/>
  <c r="J485" i="2" s="1"/>
  <c r="K485" i="2" s="1"/>
  <c r="L485" i="2" s="1"/>
  <c r="I2785" i="2"/>
  <c r="J2785" i="2" s="1"/>
  <c r="K2785" i="2" s="1"/>
  <c r="L2785" i="2" s="1"/>
  <c r="I1470" i="2"/>
  <c r="J1470" i="2" s="1"/>
  <c r="K1470" i="2" s="1"/>
  <c r="L1470" i="2" s="1"/>
  <c r="I2312" i="2"/>
  <c r="J2312" i="2" s="1"/>
  <c r="K2312" i="2" s="1"/>
  <c r="L2312" i="2" s="1"/>
  <c r="I2543" i="2"/>
  <c r="J2543" i="2" s="1"/>
  <c r="K2543" i="2" s="1"/>
  <c r="L2543" i="2" s="1"/>
  <c r="I312" i="2"/>
  <c r="J312" i="2" s="1"/>
  <c r="K312" i="2" s="1"/>
  <c r="L312" i="2" s="1"/>
  <c r="I1508" i="2"/>
  <c r="J1508" i="2" s="1"/>
  <c r="K1508" i="2" s="1"/>
  <c r="L1508" i="2" s="1"/>
  <c r="I538" i="2"/>
  <c r="J538" i="2" s="1"/>
  <c r="K538" i="2" s="1"/>
  <c r="L538" i="2" s="1"/>
  <c r="I3147" i="2"/>
  <c r="J3147" i="2" s="1"/>
  <c r="K3147" i="2" s="1"/>
  <c r="L3147" i="2" s="1"/>
  <c r="I313" i="2"/>
  <c r="J313" i="2" s="1"/>
  <c r="K313" i="2" s="1"/>
  <c r="L313" i="2" s="1"/>
  <c r="I152" i="2"/>
  <c r="J152" i="2" s="1"/>
  <c r="K152" i="2" s="1"/>
  <c r="L152" i="2" s="1"/>
  <c r="I2544" i="2"/>
  <c r="J2544" i="2" s="1"/>
  <c r="K2544" i="2" s="1"/>
  <c r="L2544" i="2" s="1"/>
  <c r="I1172" i="2"/>
  <c r="J1172" i="2" s="1"/>
  <c r="K1172" i="2" s="1"/>
  <c r="L1172" i="2" s="1"/>
  <c r="I153" i="2"/>
  <c r="J153" i="2" s="1"/>
  <c r="K153" i="2" s="1"/>
  <c r="L153" i="2" s="1"/>
  <c r="I1700" i="2"/>
  <c r="J1700" i="2" s="1"/>
  <c r="K1700" i="2" s="1"/>
  <c r="L1700" i="2" s="1"/>
  <c r="I2313" i="2"/>
  <c r="J2313" i="2" s="1"/>
  <c r="K2313" i="2" s="1"/>
  <c r="L2313" i="2" s="1"/>
  <c r="I1701" i="2"/>
  <c r="J1701" i="2" s="1"/>
  <c r="K1701" i="2" s="1"/>
  <c r="L1701" i="2" s="1"/>
  <c r="I824" i="2"/>
  <c r="J824" i="2" s="1"/>
  <c r="K824" i="2" s="1"/>
  <c r="L824" i="2" s="1"/>
  <c r="I2314" i="2"/>
  <c r="J2314" i="2" s="1"/>
  <c r="K2314" i="2" s="1"/>
  <c r="L2314" i="2" s="1"/>
  <c r="I825" i="2"/>
  <c r="J825" i="2" s="1"/>
  <c r="K825" i="2" s="1"/>
  <c r="L825" i="2" s="1"/>
  <c r="I1998" i="2"/>
  <c r="J1998" i="2" s="1"/>
  <c r="K1998" i="2" s="1"/>
  <c r="L1998" i="2" s="1"/>
  <c r="I1702" i="2"/>
  <c r="J1702" i="2" s="1"/>
  <c r="K1702" i="2" s="1"/>
  <c r="L1702" i="2" s="1"/>
  <c r="I1703" i="2"/>
  <c r="J1703" i="2" s="1"/>
  <c r="K1703" i="2" s="1"/>
  <c r="L1703" i="2" s="1"/>
  <c r="I826" i="2"/>
  <c r="J826" i="2" s="1"/>
  <c r="K826" i="2" s="1"/>
  <c r="L826" i="2" s="1"/>
  <c r="I3163" i="2"/>
  <c r="J3163" i="2" s="1"/>
  <c r="K3163" i="2" s="1"/>
  <c r="L3163" i="2" s="1"/>
  <c r="I827" i="2"/>
  <c r="J827" i="2" s="1"/>
  <c r="K827" i="2" s="1"/>
  <c r="L827" i="2" s="1"/>
  <c r="I1999" i="2"/>
  <c r="J1999" i="2" s="1"/>
  <c r="K1999" i="2" s="1"/>
  <c r="L1999" i="2" s="1"/>
  <c r="I1101" i="2"/>
  <c r="J1101" i="2" s="1"/>
  <c r="K1101" i="2" s="1"/>
  <c r="L1101" i="2" s="1"/>
  <c r="I2315" i="2"/>
  <c r="J2315" i="2" s="1"/>
  <c r="K2315" i="2" s="1"/>
  <c r="L2315" i="2" s="1"/>
  <c r="I154" i="2"/>
  <c r="J154" i="2" s="1"/>
  <c r="K154" i="2" s="1"/>
  <c r="L154" i="2" s="1"/>
  <c r="I2000" i="2"/>
  <c r="J2000" i="2" s="1"/>
  <c r="K2000" i="2" s="1"/>
  <c r="L2000" i="2" s="1"/>
  <c r="I828" i="2"/>
  <c r="J828" i="2" s="1"/>
  <c r="K828" i="2" s="1"/>
  <c r="L828" i="2" s="1"/>
  <c r="I3049" i="2"/>
  <c r="J3049" i="2" s="1"/>
  <c r="K3049" i="2" s="1"/>
  <c r="L3049" i="2" s="1"/>
  <c r="I2545" i="2"/>
  <c r="J2545" i="2" s="1"/>
  <c r="K2545" i="2" s="1"/>
  <c r="L2545" i="2" s="1"/>
  <c r="I829" i="2"/>
  <c r="J829" i="2" s="1"/>
  <c r="K829" i="2" s="1"/>
  <c r="L829" i="2" s="1"/>
  <c r="I2316" i="2"/>
  <c r="J2316" i="2" s="1"/>
  <c r="K2316" i="2" s="1"/>
  <c r="L2316" i="2" s="1"/>
  <c r="I2087" i="2"/>
  <c r="J2087" i="2" s="1"/>
  <c r="K2087" i="2" s="1"/>
  <c r="L2087" i="2" s="1"/>
  <c r="I2317" i="2"/>
  <c r="J2317" i="2" s="1"/>
  <c r="K2317" i="2" s="1"/>
  <c r="L2317" i="2" s="1"/>
  <c r="I1704" i="2"/>
  <c r="J1704" i="2" s="1"/>
  <c r="K1704" i="2" s="1"/>
  <c r="L1704" i="2" s="1"/>
  <c r="I2318" i="2"/>
  <c r="J2318" i="2" s="1"/>
  <c r="K2318" i="2" s="1"/>
  <c r="L2318" i="2" s="1"/>
  <c r="I2319" i="2"/>
  <c r="J2319" i="2" s="1"/>
  <c r="K2319" i="2" s="1"/>
  <c r="L2319" i="2" s="1"/>
  <c r="I2320" i="2"/>
  <c r="J2320" i="2" s="1"/>
  <c r="K2320" i="2" s="1"/>
  <c r="L2320" i="2" s="1"/>
  <c r="I2546" i="2"/>
  <c r="J2546" i="2" s="1"/>
  <c r="K2546" i="2" s="1"/>
  <c r="L2546" i="2" s="1"/>
  <c r="I2786" i="2"/>
  <c r="J2786" i="2" s="1"/>
  <c r="K2786" i="2" s="1"/>
  <c r="L2786" i="2" s="1"/>
  <c r="I2001" i="2"/>
  <c r="J2001" i="2" s="1"/>
  <c r="K2001" i="2" s="1"/>
  <c r="L2001" i="2" s="1"/>
  <c r="I2321" i="2"/>
  <c r="J2321" i="2" s="1"/>
  <c r="K2321" i="2" s="1"/>
  <c r="L2321" i="2" s="1"/>
  <c r="I2322" i="2"/>
  <c r="J2322" i="2" s="1"/>
  <c r="K2322" i="2" s="1"/>
  <c r="L2322" i="2" s="1"/>
  <c r="I2323" i="2"/>
  <c r="J2323" i="2" s="1"/>
  <c r="K2323" i="2" s="1"/>
  <c r="L2323" i="2" s="1"/>
  <c r="I830" i="2"/>
  <c r="J830" i="2" s="1"/>
  <c r="K830" i="2" s="1"/>
  <c r="L830" i="2" s="1"/>
  <c r="I1705" i="2"/>
  <c r="J1705" i="2" s="1"/>
  <c r="K1705" i="2" s="1"/>
  <c r="L1705" i="2" s="1"/>
  <c r="I2787" i="2"/>
  <c r="J2787" i="2" s="1"/>
  <c r="K2787" i="2" s="1"/>
  <c r="L2787" i="2" s="1"/>
  <c r="I2324" i="2"/>
  <c r="J2324" i="2" s="1"/>
  <c r="K2324" i="2" s="1"/>
  <c r="L2324" i="2" s="1"/>
  <c r="I486" i="2"/>
  <c r="J486" i="2" s="1"/>
  <c r="K486" i="2" s="1"/>
  <c r="L486" i="2" s="1"/>
  <c r="I3050" i="2"/>
  <c r="J3050" i="2" s="1"/>
  <c r="K3050" i="2" s="1"/>
  <c r="L3050" i="2" s="1"/>
  <c r="I2857" i="2"/>
  <c r="J2857" i="2" s="1"/>
  <c r="K2857" i="2" s="1"/>
  <c r="L2857" i="2" s="1"/>
  <c r="I1333" i="2"/>
  <c r="J1333" i="2" s="1"/>
  <c r="K1333" i="2" s="1"/>
  <c r="L1333" i="2" s="1"/>
  <c r="I1706" i="2"/>
  <c r="J1706" i="2" s="1"/>
  <c r="K1706" i="2" s="1"/>
  <c r="L1706" i="2" s="1"/>
  <c r="I1102" i="2"/>
  <c r="J1102" i="2" s="1"/>
  <c r="K1102" i="2" s="1"/>
  <c r="L1102" i="2" s="1"/>
  <c r="I155" i="2"/>
  <c r="J155" i="2" s="1"/>
  <c r="K155" i="2" s="1"/>
  <c r="L155" i="2" s="1"/>
  <c r="I156" i="2"/>
  <c r="J156" i="2" s="1"/>
  <c r="K156" i="2" s="1"/>
  <c r="L156" i="2" s="1"/>
  <c r="I831" i="2"/>
  <c r="J831" i="2" s="1"/>
  <c r="K831" i="2" s="1"/>
  <c r="L831" i="2" s="1"/>
  <c r="I487" i="2"/>
  <c r="J487" i="2" s="1"/>
  <c r="K487" i="2" s="1"/>
  <c r="L487" i="2" s="1"/>
  <c r="I1471" i="2"/>
  <c r="J1471" i="2" s="1"/>
  <c r="K1471" i="2" s="1"/>
  <c r="L1471" i="2" s="1"/>
  <c r="I832" i="2"/>
  <c r="J832" i="2" s="1"/>
  <c r="K832" i="2" s="1"/>
  <c r="L832" i="2" s="1"/>
  <c r="I1038" i="2"/>
  <c r="J1038" i="2" s="1"/>
  <c r="K1038" i="2" s="1"/>
  <c r="L1038" i="2" s="1"/>
  <c r="I2002" i="2"/>
  <c r="J2002" i="2" s="1"/>
  <c r="K2002" i="2" s="1"/>
  <c r="L2002" i="2" s="1"/>
  <c r="I1825" i="2"/>
  <c r="J1825" i="2" s="1"/>
  <c r="K1825" i="2" s="1"/>
  <c r="L1825" i="2" s="1"/>
  <c r="I391" i="2"/>
  <c r="J391" i="2" s="1"/>
  <c r="K391" i="2" s="1"/>
  <c r="L391" i="2" s="1"/>
  <c r="I3161" i="2"/>
  <c r="J3161" i="2" s="1"/>
  <c r="K3161" i="2" s="1"/>
  <c r="L3161" i="2" s="1"/>
  <c r="I539" i="2"/>
  <c r="J539" i="2" s="1"/>
  <c r="K539" i="2" s="1"/>
  <c r="L539" i="2" s="1"/>
  <c r="I833" i="2"/>
  <c r="J833" i="2" s="1"/>
  <c r="K833" i="2" s="1"/>
  <c r="L833" i="2" s="1"/>
  <c r="I1039" i="2"/>
  <c r="J1039" i="2" s="1"/>
  <c r="K1039" i="2" s="1"/>
  <c r="L1039" i="2" s="1"/>
  <c r="I2003" i="2"/>
  <c r="J2003" i="2" s="1"/>
  <c r="K2003" i="2" s="1"/>
  <c r="L2003" i="2" s="1"/>
  <c r="I1334" i="2"/>
  <c r="J1334" i="2" s="1"/>
  <c r="K1334" i="2" s="1"/>
  <c r="L1334" i="2" s="1"/>
  <c r="I2788" i="2"/>
  <c r="J2788" i="2" s="1"/>
  <c r="K2788" i="2" s="1"/>
  <c r="L2788" i="2" s="1"/>
  <c r="I1707" i="2"/>
  <c r="J1707" i="2" s="1"/>
  <c r="K1707" i="2" s="1"/>
  <c r="L1707" i="2" s="1"/>
  <c r="I2691" i="2"/>
  <c r="J2691" i="2" s="1"/>
  <c r="K2691" i="2" s="1"/>
  <c r="L2691" i="2" s="1"/>
  <c r="I2004" i="2"/>
  <c r="J2004" i="2" s="1"/>
  <c r="K2004" i="2" s="1"/>
  <c r="L2004" i="2" s="1"/>
  <c r="I3139" i="2"/>
  <c r="J3139" i="2" s="1"/>
  <c r="K3139" i="2" s="1"/>
  <c r="L3139" i="2" s="1"/>
  <c r="I834" i="2"/>
  <c r="J834" i="2" s="1"/>
  <c r="K834" i="2" s="1"/>
  <c r="L834" i="2" s="1"/>
  <c r="I3051" i="2"/>
  <c r="J3051" i="2" s="1"/>
  <c r="K3051" i="2" s="1"/>
  <c r="L3051" i="2" s="1"/>
  <c r="I2325" i="2"/>
  <c r="J2325" i="2" s="1"/>
  <c r="K2325" i="2" s="1"/>
  <c r="L2325" i="2" s="1"/>
  <c r="I157" i="2"/>
  <c r="J157" i="2" s="1"/>
  <c r="K157" i="2" s="1"/>
  <c r="L157" i="2" s="1"/>
  <c r="I1335" i="2"/>
  <c r="J1335" i="2" s="1"/>
  <c r="K1335" i="2" s="1"/>
  <c r="L1335" i="2" s="1"/>
  <c r="I1173" i="2"/>
  <c r="J1173" i="2" s="1"/>
  <c r="K1173" i="2" s="1"/>
  <c r="L1173" i="2" s="1"/>
  <c r="I2326" i="2"/>
  <c r="J2326" i="2" s="1"/>
  <c r="K2326" i="2" s="1"/>
  <c r="L2326" i="2" s="1"/>
  <c r="I392" i="2"/>
  <c r="J392" i="2" s="1"/>
  <c r="K392" i="2" s="1"/>
  <c r="L392" i="2" s="1"/>
  <c r="I835" i="2"/>
  <c r="J835" i="2" s="1"/>
  <c r="K835" i="2" s="1"/>
  <c r="L835" i="2" s="1"/>
  <c r="I2327" i="2"/>
  <c r="J2327" i="2" s="1"/>
  <c r="K2327" i="2" s="1"/>
  <c r="L2327" i="2" s="1"/>
  <c r="I1040" i="2"/>
  <c r="J1040" i="2" s="1"/>
  <c r="K1040" i="2" s="1"/>
  <c r="L1040" i="2" s="1"/>
  <c r="I1041" i="2"/>
  <c r="J1041" i="2" s="1"/>
  <c r="K1041" i="2" s="1"/>
  <c r="L1041" i="2" s="1"/>
  <c r="I2328" i="2"/>
  <c r="J2328" i="2" s="1"/>
  <c r="K2328" i="2" s="1"/>
  <c r="L2328" i="2" s="1"/>
  <c r="I158" i="2"/>
  <c r="J158" i="2" s="1"/>
  <c r="K158" i="2" s="1"/>
  <c r="L158" i="2" s="1"/>
  <c r="I2858" i="2"/>
  <c r="J2858" i="2" s="1"/>
  <c r="K2858" i="2" s="1"/>
  <c r="L2858" i="2" s="1"/>
  <c r="I1708" i="2"/>
  <c r="J1708" i="2" s="1"/>
  <c r="K1708" i="2" s="1"/>
  <c r="L1708" i="2" s="1"/>
  <c r="I2547" i="2"/>
  <c r="J2547" i="2" s="1"/>
  <c r="K2547" i="2" s="1"/>
  <c r="L2547" i="2" s="1"/>
  <c r="I159" i="2"/>
  <c r="J159" i="2" s="1"/>
  <c r="K159" i="2" s="1"/>
  <c r="L159" i="2" s="1"/>
  <c r="I836" i="2"/>
  <c r="J836" i="2" s="1"/>
  <c r="K836" i="2" s="1"/>
  <c r="L836" i="2" s="1"/>
  <c r="I837" i="2"/>
  <c r="J837" i="2" s="1"/>
  <c r="K837" i="2" s="1"/>
  <c r="L837" i="2" s="1"/>
  <c r="I1826" i="2"/>
  <c r="J1826" i="2" s="1"/>
  <c r="K1826" i="2" s="1"/>
  <c r="L1826" i="2" s="1"/>
  <c r="I1709" i="2"/>
  <c r="J1709" i="2" s="1"/>
  <c r="K1709" i="2" s="1"/>
  <c r="L1709" i="2" s="1"/>
  <c r="I2859" i="2"/>
  <c r="J2859" i="2" s="1"/>
  <c r="K2859" i="2" s="1"/>
  <c r="L2859" i="2" s="1"/>
  <c r="I2329" i="2"/>
  <c r="J2329" i="2" s="1"/>
  <c r="K2329" i="2" s="1"/>
  <c r="L2329" i="2" s="1"/>
  <c r="I2548" i="2"/>
  <c r="J2548" i="2" s="1"/>
  <c r="K2548" i="2" s="1"/>
  <c r="L2548" i="2" s="1"/>
  <c r="I393" i="2"/>
  <c r="J393" i="2" s="1"/>
  <c r="K393" i="2" s="1"/>
  <c r="L393" i="2" s="1"/>
  <c r="I2692" i="2"/>
  <c r="J2692" i="2" s="1"/>
  <c r="K2692" i="2" s="1"/>
  <c r="L2692" i="2" s="1"/>
  <c r="I160" i="2"/>
  <c r="J160" i="2" s="1"/>
  <c r="K160" i="2" s="1"/>
  <c r="L160" i="2" s="1"/>
  <c r="I394" i="2"/>
  <c r="J394" i="2" s="1"/>
  <c r="K394" i="2" s="1"/>
  <c r="L394" i="2" s="1"/>
  <c r="I1079" i="2"/>
  <c r="J1079" i="2" s="1"/>
  <c r="K1079" i="2" s="1"/>
  <c r="L1079" i="2" s="1"/>
  <c r="I395" i="2"/>
  <c r="J395" i="2" s="1"/>
  <c r="K395" i="2" s="1"/>
  <c r="L395" i="2" s="1"/>
  <c r="I2693" i="2"/>
  <c r="J2693" i="2" s="1"/>
  <c r="K2693" i="2" s="1"/>
  <c r="L2693" i="2" s="1"/>
  <c r="I161" i="2"/>
  <c r="J161" i="2" s="1"/>
  <c r="K161" i="2" s="1"/>
  <c r="L161" i="2" s="1"/>
  <c r="I2549" i="2"/>
  <c r="J2549" i="2" s="1"/>
  <c r="K2549" i="2" s="1"/>
  <c r="L2549" i="2" s="1"/>
  <c r="I1174" i="2"/>
  <c r="J1174" i="2" s="1"/>
  <c r="K1174" i="2" s="1"/>
  <c r="L1174" i="2" s="1"/>
  <c r="I396" i="2"/>
  <c r="J396" i="2" s="1"/>
  <c r="K396" i="2" s="1"/>
  <c r="L396" i="2" s="1"/>
  <c r="I838" i="2"/>
  <c r="J838" i="2" s="1"/>
  <c r="K838" i="2" s="1"/>
  <c r="L838" i="2" s="1"/>
  <c r="I2694" i="2"/>
  <c r="J2694" i="2" s="1"/>
  <c r="K2694" i="2" s="1"/>
  <c r="L2694" i="2" s="1"/>
  <c r="I3052" i="2"/>
  <c r="J3052" i="2" s="1"/>
  <c r="K3052" i="2" s="1"/>
  <c r="L3052" i="2" s="1"/>
  <c r="I2005" i="2"/>
  <c r="J2005" i="2" s="1"/>
  <c r="K2005" i="2" s="1"/>
  <c r="L2005" i="2" s="1"/>
  <c r="I839" i="2"/>
  <c r="J839" i="2" s="1"/>
  <c r="K839" i="2" s="1"/>
  <c r="L839" i="2" s="1"/>
  <c r="I2860" i="2"/>
  <c r="J2860" i="2" s="1"/>
  <c r="K2860" i="2" s="1"/>
  <c r="L2860" i="2" s="1"/>
  <c r="I1472" i="2"/>
  <c r="J1472" i="2" s="1"/>
  <c r="K1472" i="2" s="1"/>
  <c r="L1472" i="2" s="1"/>
  <c r="I162" i="2"/>
  <c r="J162" i="2" s="1"/>
  <c r="K162" i="2" s="1"/>
  <c r="L162" i="2" s="1"/>
  <c r="I397" i="2"/>
  <c r="J397" i="2" s="1"/>
  <c r="K397" i="2" s="1"/>
  <c r="L397" i="2" s="1"/>
  <c r="I398" i="2"/>
  <c r="J398" i="2" s="1"/>
  <c r="K398" i="2" s="1"/>
  <c r="L398" i="2" s="1"/>
  <c r="I3159" i="2"/>
  <c r="J3159" i="2" s="1"/>
  <c r="K3159" i="2" s="1"/>
  <c r="L3159" i="2" s="1"/>
  <c r="I1710" i="2"/>
  <c r="J1710" i="2" s="1"/>
  <c r="K1710" i="2" s="1"/>
  <c r="L1710" i="2" s="1"/>
  <c r="I2330" i="2"/>
  <c r="J2330" i="2" s="1"/>
  <c r="K2330" i="2" s="1"/>
  <c r="L2330" i="2" s="1"/>
  <c r="I2006" i="2"/>
  <c r="J2006" i="2" s="1"/>
  <c r="K2006" i="2" s="1"/>
  <c r="L2006" i="2" s="1"/>
  <c r="I1175" i="2"/>
  <c r="J1175" i="2" s="1"/>
  <c r="K1175" i="2" s="1"/>
  <c r="L1175" i="2" s="1"/>
  <c r="I1473" i="2"/>
  <c r="J1473" i="2" s="1"/>
  <c r="K1473" i="2" s="1"/>
  <c r="L1473" i="2" s="1"/>
  <c r="I1176" i="2"/>
  <c r="J1176" i="2" s="1"/>
  <c r="K1176" i="2" s="1"/>
  <c r="L1176" i="2" s="1"/>
  <c r="I2695" i="2"/>
  <c r="J2695" i="2" s="1"/>
  <c r="K2695" i="2" s="1"/>
  <c r="L2695" i="2" s="1"/>
  <c r="I2696" i="2"/>
  <c r="J2696" i="2" s="1"/>
  <c r="K2696" i="2" s="1"/>
  <c r="L2696" i="2" s="1"/>
  <c r="I399" i="2"/>
  <c r="J399" i="2" s="1"/>
  <c r="K399" i="2" s="1"/>
  <c r="L399" i="2" s="1"/>
  <c r="I2697" i="2"/>
  <c r="J2697" i="2" s="1"/>
  <c r="K2697" i="2" s="1"/>
  <c r="L2697" i="2" s="1"/>
  <c r="I163" i="2"/>
  <c r="J163" i="2" s="1"/>
  <c r="K163" i="2" s="1"/>
  <c r="L163" i="2" s="1"/>
  <c r="I314" i="2"/>
  <c r="J314" i="2" s="1"/>
  <c r="K314" i="2" s="1"/>
  <c r="L314" i="2" s="1"/>
  <c r="I164" i="2"/>
  <c r="J164" i="2" s="1"/>
  <c r="K164" i="2" s="1"/>
  <c r="L164" i="2" s="1"/>
  <c r="I3053" i="2"/>
  <c r="J3053" i="2" s="1"/>
  <c r="K3053" i="2" s="1"/>
  <c r="L3053" i="2" s="1"/>
  <c r="I3130" i="2"/>
  <c r="J3130" i="2" s="1"/>
  <c r="K3130" i="2" s="1"/>
  <c r="L3130" i="2" s="1"/>
  <c r="I1336" i="2"/>
  <c r="J1336" i="2" s="1"/>
  <c r="K1336" i="2" s="1"/>
  <c r="L1336" i="2" s="1"/>
  <c r="I2331" i="2"/>
  <c r="J2331" i="2" s="1"/>
  <c r="K2331" i="2" s="1"/>
  <c r="L2331" i="2" s="1"/>
  <c r="I2332" i="2"/>
  <c r="J2332" i="2" s="1"/>
  <c r="K2332" i="2" s="1"/>
  <c r="L2332" i="2" s="1"/>
  <c r="I1711" i="2"/>
  <c r="J1711" i="2" s="1"/>
  <c r="K1711" i="2" s="1"/>
  <c r="L1711" i="2" s="1"/>
  <c r="I3054" i="2"/>
  <c r="J3054" i="2" s="1"/>
  <c r="K3054" i="2" s="1"/>
  <c r="L3054" i="2" s="1"/>
  <c r="I840" i="2"/>
  <c r="J840" i="2" s="1"/>
  <c r="K840" i="2" s="1"/>
  <c r="L840" i="2" s="1"/>
  <c r="I315" i="2"/>
  <c r="J315" i="2" s="1"/>
  <c r="K315" i="2" s="1"/>
  <c r="L315" i="2" s="1"/>
  <c r="I3055" i="2"/>
  <c r="J3055" i="2" s="1"/>
  <c r="K3055" i="2" s="1"/>
  <c r="L3055" i="2" s="1"/>
  <c r="I165" i="2"/>
  <c r="J165" i="2" s="1"/>
  <c r="K165" i="2" s="1"/>
  <c r="L165" i="2" s="1"/>
  <c r="I2007" i="2"/>
  <c r="J2007" i="2" s="1"/>
  <c r="K2007" i="2" s="1"/>
  <c r="L2007" i="2" s="1"/>
  <c r="I1712" i="2"/>
  <c r="J1712" i="2" s="1"/>
  <c r="K1712" i="2" s="1"/>
  <c r="L1712" i="2" s="1"/>
  <c r="I841" i="2"/>
  <c r="J841" i="2" s="1"/>
  <c r="K841" i="2" s="1"/>
  <c r="L841" i="2" s="1"/>
  <c r="I166" i="2"/>
  <c r="J166" i="2" s="1"/>
  <c r="K166" i="2" s="1"/>
  <c r="L166" i="2" s="1"/>
  <c r="I1713" i="2"/>
  <c r="J1713" i="2" s="1"/>
  <c r="K1713" i="2" s="1"/>
  <c r="L1713" i="2" s="1"/>
  <c r="I2333" i="2"/>
  <c r="J2333" i="2" s="1"/>
  <c r="K2333" i="2" s="1"/>
  <c r="L2333" i="2" s="1"/>
  <c r="I263" i="2"/>
  <c r="J263" i="2" s="1"/>
  <c r="K263" i="2" s="1"/>
  <c r="L263" i="2" s="1"/>
  <c r="I2698" i="2"/>
  <c r="J2698" i="2" s="1"/>
  <c r="K2698" i="2" s="1"/>
  <c r="L2698" i="2" s="1"/>
  <c r="I2699" i="2"/>
  <c r="J2699" i="2" s="1"/>
  <c r="K2699" i="2" s="1"/>
  <c r="L2699" i="2" s="1"/>
  <c r="I167" i="2"/>
  <c r="J167" i="2" s="1"/>
  <c r="K167" i="2" s="1"/>
  <c r="L167" i="2" s="1"/>
  <c r="I540" i="2"/>
  <c r="J540" i="2" s="1"/>
  <c r="K540" i="2" s="1"/>
  <c r="L540" i="2" s="1"/>
  <c r="I2861" i="2"/>
  <c r="J2861" i="2" s="1"/>
  <c r="K2861" i="2" s="1"/>
  <c r="L2861" i="2" s="1"/>
  <c r="I3056" i="2"/>
  <c r="J3056" i="2" s="1"/>
  <c r="K3056" i="2" s="1"/>
  <c r="L3056" i="2" s="1"/>
  <c r="I842" i="2"/>
  <c r="J842" i="2" s="1"/>
  <c r="K842" i="2" s="1"/>
  <c r="L842" i="2" s="1"/>
  <c r="I843" i="2"/>
  <c r="J843" i="2" s="1"/>
  <c r="K843" i="2" s="1"/>
  <c r="L843" i="2" s="1"/>
  <c r="I844" i="2"/>
  <c r="J844" i="2" s="1"/>
  <c r="K844" i="2" s="1"/>
  <c r="L844" i="2" s="1"/>
  <c r="I2008" i="2"/>
  <c r="J2008" i="2" s="1"/>
  <c r="K2008" i="2" s="1"/>
  <c r="L2008" i="2" s="1"/>
  <c r="I1337" i="2"/>
  <c r="J1337" i="2" s="1"/>
  <c r="K1337" i="2" s="1"/>
  <c r="L1337" i="2" s="1"/>
  <c r="I845" i="2"/>
  <c r="J845" i="2" s="1"/>
  <c r="K845" i="2" s="1"/>
  <c r="L845" i="2" s="1"/>
  <c r="I846" i="2"/>
  <c r="J846" i="2" s="1"/>
  <c r="K846" i="2" s="1"/>
  <c r="L846" i="2" s="1"/>
  <c r="I488" i="2"/>
  <c r="J488" i="2" s="1"/>
  <c r="K488" i="2" s="1"/>
  <c r="L488" i="2" s="1"/>
  <c r="I400" i="2"/>
  <c r="J400" i="2" s="1"/>
  <c r="K400" i="2" s="1"/>
  <c r="L400" i="2" s="1"/>
  <c r="I1338" i="2"/>
  <c r="J1338" i="2" s="1"/>
  <c r="K1338" i="2" s="1"/>
  <c r="L1338" i="2" s="1"/>
  <c r="I1177" i="2"/>
  <c r="J1177" i="2" s="1"/>
  <c r="K1177" i="2" s="1"/>
  <c r="L1177" i="2" s="1"/>
  <c r="I2700" i="2"/>
  <c r="J2700" i="2" s="1"/>
  <c r="K2700" i="2" s="1"/>
  <c r="L2700" i="2" s="1"/>
  <c r="I847" i="2"/>
  <c r="J847" i="2" s="1"/>
  <c r="K847" i="2" s="1"/>
  <c r="L847" i="2" s="1"/>
  <c r="I848" i="2"/>
  <c r="J848" i="2" s="1"/>
  <c r="K848" i="2" s="1"/>
  <c r="L848" i="2" s="1"/>
  <c r="I2009" i="2"/>
  <c r="J2009" i="2" s="1"/>
  <c r="K2009" i="2" s="1"/>
  <c r="L2009" i="2" s="1"/>
  <c r="I2334" i="2"/>
  <c r="J2334" i="2" s="1"/>
  <c r="K2334" i="2" s="1"/>
  <c r="L2334" i="2" s="1"/>
  <c r="I2862" i="2"/>
  <c r="J2862" i="2" s="1"/>
  <c r="K2862" i="2" s="1"/>
  <c r="L2862" i="2" s="1"/>
  <c r="I1339" i="2"/>
  <c r="J1339" i="2" s="1"/>
  <c r="K1339" i="2" s="1"/>
  <c r="L1339" i="2" s="1"/>
  <c r="I401" i="2"/>
  <c r="J401" i="2" s="1"/>
  <c r="K401" i="2" s="1"/>
  <c r="L401" i="2" s="1"/>
  <c r="I168" i="2"/>
  <c r="J168" i="2" s="1"/>
  <c r="K168" i="2" s="1"/>
  <c r="L168" i="2" s="1"/>
  <c r="I1474" i="2"/>
  <c r="J1474" i="2" s="1"/>
  <c r="K1474" i="2" s="1"/>
  <c r="L1474" i="2" s="1"/>
  <c r="I1178" i="2"/>
  <c r="J1178" i="2" s="1"/>
  <c r="K1178" i="2" s="1"/>
  <c r="L1178" i="2" s="1"/>
  <c r="I1827" i="2"/>
  <c r="J1827" i="2" s="1"/>
  <c r="K1827" i="2" s="1"/>
  <c r="L1827" i="2" s="1"/>
  <c r="I489" i="2"/>
  <c r="J489" i="2" s="1"/>
  <c r="K489" i="2" s="1"/>
  <c r="L489" i="2" s="1"/>
  <c r="I1179" i="2"/>
  <c r="J1179" i="2" s="1"/>
  <c r="K1179" i="2" s="1"/>
  <c r="L1179" i="2" s="1"/>
  <c r="I2335" i="2"/>
  <c r="J2335" i="2" s="1"/>
  <c r="K2335" i="2" s="1"/>
  <c r="L2335" i="2" s="1"/>
  <c r="I1340" i="2"/>
  <c r="J1340" i="2" s="1"/>
  <c r="K1340" i="2" s="1"/>
  <c r="L1340" i="2" s="1"/>
  <c r="I849" i="2"/>
  <c r="J849" i="2" s="1"/>
  <c r="K849" i="2" s="1"/>
  <c r="L849" i="2" s="1"/>
  <c r="I2336" i="2"/>
  <c r="J2336" i="2" s="1"/>
  <c r="K2336" i="2" s="1"/>
  <c r="L2336" i="2" s="1"/>
  <c r="I850" i="2"/>
  <c r="J850" i="2" s="1"/>
  <c r="K850" i="2" s="1"/>
  <c r="L850" i="2" s="1"/>
  <c r="I851" i="2"/>
  <c r="J851" i="2" s="1"/>
  <c r="K851" i="2" s="1"/>
  <c r="L851" i="2" s="1"/>
  <c r="I490" i="2"/>
  <c r="J490" i="2" s="1"/>
  <c r="K490" i="2" s="1"/>
  <c r="L490" i="2" s="1"/>
  <c r="I2701" i="2"/>
  <c r="J2701" i="2" s="1"/>
  <c r="K2701" i="2" s="1"/>
  <c r="L2701" i="2" s="1"/>
  <c r="I491" i="2"/>
  <c r="J491" i="2" s="1"/>
  <c r="K491" i="2" s="1"/>
  <c r="L491" i="2" s="1"/>
  <c r="I1042" i="2"/>
  <c r="J1042" i="2" s="1"/>
  <c r="K1042" i="2" s="1"/>
  <c r="L1042" i="2" s="1"/>
  <c r="I2010" i="2"/>
  <c r="J2010" i="2" s="1"/>
  <c r="K2010" i="2" s="1"/>
  <c r="L2010" i="2" s="1"/>
  <c r="I169" i="2"/>
  <c r="J169" i="2" s="1"/>
  <c r="K169" i="2" s="1"/>
  <c r="L169" i="2" s="1"/>
  <c r="I2011" i="2"/>
  <c r="J2011" i="2" s="1"/>
  <c r="K2011" i="2" s="1"/>
  <c r="L2011" i="2" s="1"/>
  <c r="I1341" i="2"/>
  <c r="J1341" i="2" s="1"/>
  <c r="K1341" i="2" s="1"/>
  <c r="L1341" i="2" s="1"/>
  <c r="I2337" i="2"/>
  <c r="J2337" i="2" s="1"/>
  <c r="K2337" i="2" s="1"/>
  <c r="L2337" i="2" s="1"/>
  <c r="I852" i="2"/>
  <c r="J852" i="2" s="1"/>
  <c r="K852" i="2" s="1"/>
  <c r="L852" i="2" s="1"/>
  <c r="I1342" i="2"/>
  <c r="J1342" i="2" s="1"/>
  <c r="K1342" i="2" s="1"/>
  <c r="L1342" i="2" s="1"/>
  <c r="I1180" i="2"/>
  <c r="J1180" i="2" s="1"/>
  <c r="K1180" i="2" s="1"/>
  <c r="L1180" i="2" s="1"/>
  <c r="I1343" i="2"/>
  <c r="J1343" i="2" s="1"/>
  <c r="K1343" i="2" s="1"/>
  <c r="L1343" i="2" s="1"/>
  <c r="I3057" i="2"/>
  <c r="J3057" i="2" s="1"/>
  <c r="K3057" i="2" s="1"/>
  <c r="L3057" i="2" s="1"/>
  <c r="I541" i="2"/>
  <c r="J541" i="2" s="1"/>
  <c r="K541" i="2" s="1"/>
  <c r="L541" i="2" s="1"/>
  <c r="I2789" i="2"/>
  <c r="J2789" i="2" s="1"/>
  <c r="K2789" i="2" s="1"/>
  <c r="L2789" i="2" s="1"/>
  <c r="I2550" i="2"/>
  <c r="J2550" i="2" s="1"/>
  <c r="K2550" i="2" s="1"/>
  <c r="L2550" i="2" s="1"/>
  <c r="I170" i="2"/>
  <c r="J170" i="2" s="1"/>
  <c r="K170" i="2" s="1"/>
  <c r="L170" i="2" s="1"/>
  <c r="I2338" i="2"/>
  <c r="J2338" i="2" s="1"/>
  <c r="K2338" i="2" s="1"/>
  <c r="L2338" i="2" s="1"/>
  <c r="I853" i="2"/>
  <c r="J853" i="2" s="1"/>
  <c r="K853" i="2" s="1"/>
  <c r="L853" i="2" s="1"/>
  <c r="I272" i="2"/>
  <c r="J272" i="2" s="1"/>
  <c r="K272" i="2" s="1"/>
  <c r="L272" i="2" s="1"/>
  <c r="I492" i="2"/>
  <c r="J492" i="2" s="1"/>
  <c r="K492" i="2" s="1"/>
  <c r="L492" i="2" s="1"/>
  <c r="I2339" i="2"/>
  <c r="J2339" i="2" s="1"/>
  <c r="K2339" i="2" s="1"/>
  <c r="L2339" i="2" s="1"/>
  <c r="I402" i="2"/>
  <c r="J402" i="2" s="1"/>
  <c r="K402" i="2" s="1"/>
  <c r="L402" i="2" s="1"/>
  <c r="I2012" i="2"/>
  <c r="J2012" i="2" s="1"/>
  <c r="K2012" i="2" s="1"/>
  <c r="L2012" i="2" s="1"/>
  <c r="I2340" i="2"/>
  <c r="J2340" i="2" s="1"/>
  <c r="K2340" i="2" s="1"/>
  <c r="L2340" i="2" s="1"/>
  <c r="I1344" i="2"/>
  <c r="J1344" i="2" s="1"/>
  <c r="K1344" i="2" s="1"/>
  <c r="L1344" i="2" s="1"/>
  <c r="I3146" i="2"/>
  <c r="J3146" i="2" s="1"/>
  <c r="K3146" i="2" s="1"/>
  <c r="L3146" i="2" s="1"/>
  <c r="I1043" i="2"/>
  <c r="J1043" i="2" s="1"/>
  <c r="K1043" i="2" s="1"/>
  <c r="L1043" i="2" s="1"/>
  <c r="I2905" i="2"/>
  <c r="J2905" i="2" s="1"/>
  <c r="K2905" i="2" s="1"/>
  <c r="L2905" i="2" s="1"/>
  <c r="I1714" i="2"/>
  <c r="J1714" i="2" s="1"/>
  <c r="K1714" i="2" s="1"/>
  <c r="L1714" i="2" s="1"/>
  <c r="I2013" i="2"/>
  <c r="J2013" i="2" s="1"/>
  <c r="K2013" i="2" s="1"/>
  <c r="L2013" i="2" s="1"/>
  <c r="I1828" i="2"/>
  <c r="J1828" i="2" s="1"/>
  <c r="K1828" i="2" s="1"/>
  <c r="L1828" i="2" s="1"/>
  <c r="I854" i="2"/>
  <c r="J854" i="2" s="1"/>
  <c r="K854" i="2" s="1"/>
  <c r="L854" i="2" s="1"/>
  <c r="I855" i="2"/>
  <c r="J855" i="2" s="1"/>
  <c r="K855" i="2" s="1"/>
  <c r="L855" i="2" s="1"/>
  <c r="I856" i="2"/>
  <c r="J856" i="2" s="1"/>
  <c r="K856" i="2" s="1"/>
  <c r="L856" i="2" s="1"/>
  <c r="I857" i="2"/>
  <c r="J857" i="2" s="1"/>
  <c r="K857" i="2" s="1"/>
  <c r="L857" i="2" s="1"/>
  <c r="I2341" i="2"/>
  <c r="J2341" i="2" s="1"/>
  <c r="K2341" i="2" s="1"/>
  <c r="L2341" i="2" s="1"/>
  <c r="I2551" i="2"/>
  <c r="J2551" i="2" s="1"/>
  <c r="K2551" i="2" s="1"/>
  <c r="L2551" i="2" s="1"/>
  <c r="I493" i="2"/>
  <c r="J493" i="2" s="1"/>
  <c r="K493" i="2" s="1"/>
  <c r="L493" i="2" s="1"/>
  <c r="I1345" i="2"/>
  <c r="J1345" i="2" s="1"/>
  <c r="K1345" i="2" s="1"/>
  <c r="L1345" i="2" s="1"/>
  <c r="I171" i="2"/>
  <c r="J171" i="2" s="1"/>
  <c r="K171" i="2" s="1"/>
  <c r="L171" i="2" s="1"/>
  <c r="I403" i="2"/>
  <c r="J403" i="2" s="1"/>
  <c r="K403" i="2" s="1"/>
  <c r="L403" i="2" s="1"/>
  <c r="I2552" i="2"/>
  <c r="J2552" i="2" s="1"/>
  <c r="K2552" i="2" s="1"/>
  <c r="L2552" i="2" s="1"/>
  <c r="I2014" i="2"/>
  <c r="J2014" i="2" s="1"/>
  <c r="K2014" i="2" s="1"/>
  <c r="L2014" i="2" s="1"/>
  <c r="I858" i="2"/>
  <c r="J858" i="2" s="1"/>
  <c r="K858" i="2" s="1"/>
  <c r="L858" i="2" s="1"/>
  <c r="I859" i="2"/>
  <c r="J859" i="2" s="1"/>
  <c r="K859" i="2" s="1"/>
  <c r="L859" i="2" s="1"/>
  <c r="I2342" i="2"/>
  <c r="J2342" i="2" s="1"/>
  <c r="K2342" i="2" s="1"/>
  <c r="L2342" i="2" s="1"/>
  <c r="I172" i="2"/>
  <c r="J172" i="2" s="1"/>
  <c r="K172" i="2" s="1"/>
  <c r="L172" i="2" s="1"/>
  <c r="I1181" i="2"/>
  <c r="J1181" i="2" s="1"/>
  <c r="K1181" i="2" s="1"/>
  <c r="L1181" i="2" s="1"/>
  <c r="I2553" i="2"/>
  <c r="J2553" i="2" s="1"/>
  <c r="K2553" i="2" s="1"/>
  <c r="L2553" i="2" s="1"/>
  <c r="I1346" i="2"/>
  <c r="J1346" i="2" s="1"/>
  <c r="K1346" i="2" s="1"/>
  <c r="L1346" i="2" s="1"/>
  <c r="I2343" i="2"/>
  <c r="J2343" i="2" s="1"/>
  <c r="K2343" i="2" s="1"/>
  <c r="L2343" i="2" s="1"/>
  <c r="I860" i="2"/>
  <c r="J860" i="2" s="1"/>
  <c r="K860" i="2" s="1"/>
  <c r="L860" i="2" s="1"/>
  <c r="I2344" i="2"/>
  <c r="J2344" i="2" s="1"/>
  <c r="K2344" i="2" s="1"/>
  <c r="L2344" i="2" s="1"/>
  <c r="I1715" i="2"/>
  <c r="J1715" i="2" s="1"/>
  <c r="K1715" i="2" s="1"/>
  <c r="L1715" i="2" s="1"/>
  <c r="I1182" i="2"/>
  <c r="J1182" i="2" s="1"/>
  <c r="K1182" i="2" s="1"/>
  <c r="L1182" i="2" s="1"/>
  <c r="I2554" i="2"/>
  <c r="J2554" i="2" s="1"/>
  <c r="K2554" i="2" s="1"/>
  <c r="L2554" i="2" s="1"/>
  <c r="I2345" i="2"/>
  <c r="J2345" i="2" s="1"/>
  <c r="K2345" i="2" s="1"/>
  <c r="L2345" i="2" s="1"/>
  <c r="I2015" i="2"/>
  <c r="J2015" i="2" s="1"/>
  <c r="K2015" i="2" s="1"/>
  <c r="L2015" i="2" s="1"/>
  <c r="I262" i="2"/>
  <c r="J262" i="2" s="1"/>
  <c r="K262" i="2" s="1"/>
  <c r="L262" i="2" s="1"/>
  <c r="I1475" i="2"/>
  <c r="J1475" i="2" s="1"/>
  <c r="K1475" i="2" s="1"/>
  <c r="L1475" i="2" s="1"/>
  <c r="I1829" i="2"/>
  <c r="J1829" i="2" s="1"/>
  <c r="K1829" i="2" s="1"/>
  <c r="L1829" i="2" s="1"/>
  <c r="I2702" i="2"/>
  <c r="J2702" i="2" s="1"/>
  <c r="K2702" i="2" s="1"/>
  <c r="L2702" i="2" s="1"/>
  <c r="I316" i="2"/>
  <c r="J316" i="2" s="1"/>
  <c r="K316" i="2" s="1"/>
  <c r="L316" i="2" s="1"/>
  <c r="I2555" i="2"/>
  <c r="J2555" i="2" s="1"/>
  <c r="K2555" i="2" s="1"/>
  <c r="L2555" i="2" s="1"/>
  <c r="I173" i="2"/>
  <c r="J173" i="2" s="1"/>
  <c r="K173" i="2" s="1"/>
  <c r="L173" i="2" s="1"/>
  <c r="I861" i="2"/>
  <c r="J861" i="2" s="1"/>
  <c r="K861" i="2" s="1"/>
  <c r="L861" i="2" s="1"/>
  <c r="I2016" i="2"/>
  <c r="J2016" i="2" s="1"/>
  <c r="K2016" i="2" s="1"/>
  <c r="L2016" i="2" s="1"/>
  <c r="I1830" i="2"/>
  <c r="J1830" i="2" s="1"/>
  <c r="K1830" i="2" s="1"/>
  <c r="L1830" i="2" s="1"/>
  <c r="I2556" i="2"/>
  <c r="J2556" i="2" s="1"/>
  <c r="K2556" i="2" s="1"/>
  <c r="L2556" i="2" s="1"/>
  <c r="I2703" i="2"/>
  <c r="J2703" i="2" s="1"/>
  <c r="K2703" i="2" s="1"/>
  <c r="L2703" i="2" s="1"/>
  <c r="I174" i="2"/>
  <c r="J174" i="2" s="1"/>
  <c r="K174" i="2" s="1"/>
  <c r="L174" i="2" s="1"/>
  <c r="I862" i="2"/>
  <c r="J862" i="2" s="1"/>
  <c r="K862" i="2" s="1"/>
  <c r="L862" i="2" s="1"/>
  <c r="I3058" i="2"/>
  <c r="J3058" i="2" s="1"/>
  <c r="K3058" i="2" s="1"/>
  <c r="L3058" i="2" s="1"/>
  <c r="I2346" i="2"/>
  <c r="J2346" i="2" s="1"/>
  <c r="K2346" i="2" s="1"/>
  <c r="L2346" i="2" s="1"/>
  <c r="I1831" i="2"/>
  <c r="J1831" i="2" s="1"/>
  <c r="K1831" i="2" s="1"/>
  <c r="L1831" i="2" s="1"/>
  <c r="I1832" i="2"/>
  <c r="J1832" i="2" s="1"/>
  <c r="K1832" i="2" s="1"/>
  <c r="L1832" i="2" s="1"/>
  <c r="I175" i="2"/>
  <c r="J175" i="2" s="1"/>
  <c r="K175" i="2" s="1"/>
  <c r="L175" i="2" s="1"/>
  <c r="I176" i="2"/>
  <c r="J176" i="2" s="1"/>
  <c r="K176" i="2" s="1"/>
  <c r="L176" i="2" s="1"/>
  <c r="I3125" i="2"/>
  <c r="J3125" i="2" s="1"/>
  <c r="K3125" i="2" s="1"/>
  <c r="L3125" i="2" s="1"/>
  <c r="I2347" i="2"/>
  <c r="J2347" i="2" s="1"/>
  <c r="K2347" i="2" s="1"/>
  <c r="L2347" i="2" s="1"/>
  <c r="I177" i="2"/>
  <c r="J177" i="2" s="1"/>
  <c r="K177" i="2" s="1"/>
  <c r="L177" i="2" s="1"/>
  <c r="I863" i="2"/>
  <c r="J863" i="2" s="1"/>
  <c r="K863" i="2" s="1"/>
  <c r="L863" i="2" s="1"/>
  <c r="I2017" i="2"/>
  <c r="J2017" i="2" s="1"/>
  <c r="K2017" i="2" s="1"/>
  <c r="L2017" i="2" s="1"/>
  <c r="I2018" i="2"/>
  <c r="J2018" i="2" s="1"/>
  <c r="K2018" i="2" s="1"/>
  <c r="L2018" i="2" s="1"/>
  <c r="I2704" i="2"/>
  <c r="J2704" i="2" s="1"/>
  <c r="K2704" i="2" s="1"/>
  <c r="L2704" i="2" s="1"/>
  <c r="I1044" i="2"/>
  <c r="J1044" i="2" s="1"/>
  <c r="K1044" i="2" s="1"/>
  <c r="L1044" i="2" s="1"/>
  <c r="I1347" i="2"/>
  <c r="J1347" i="2" s="1"/>
  <c r="K1347" i="2" s="1"/>
  <c r="L1347" i="2" s="1"/>
  <c r="I864" i="2"/>
  <c r="J864" i="2" s="1"/>
  <c r="K864" i="2" s="1"/>
  <c r="L864" i="2" s="1"/>
  <c r="I2705" i="2"/>
  <c r="J2705" i="2" s="1"/>
  <c r="K2705" i="2" s="1"/>
  <c r="L2705" i="2" s="1"/>
  <c r="I2706" i="2"/>
  <c r="J2706" i="2" s="1"/>
  <c r="K2706" i="2" s="1"/>
  <c r="L2706" i="2" s="1"/>
  <c r="I2557" i="2"/>
  <c r="J2557" i="2" s="1"/>
  <c r="K2557" i="2" s="1"/>
  <c r="L2557" i="2" s="1"/>
  <c r="I1348" i="2"/>
  <c r="J1348" i="2" s="1"/>
  <c r="K1348" i="2" s="1"/>
  <c r="L1348" i="2" s="1"/>
  <c r="I2863" i="2"/>
  <c r="J2863" i="2" s="1"/>
  <c r="K2863" i="2" s="1"/>
  <c r="L2863" i="2" s="1"/>
  <c r="I3059" i="2"/>
  <c r="J3059" i="2" s="1"/>
  <c r="K3059" i="2" s="1"/>
  <c r="L3059" i="2" s="1"/>
  <c r="I178" i="2"/>
  <c r="J178" i="2" s="1"/>
  <c r="K178" i="2" s="1"/>
  <c r="L178" i="2" s="1"/>
  <c r="I865" i="2"/>
  <c r="J865" i="2" s="1"/>
  <c r="K865" i="2" s="1"/>
  <c r="L865" i="2" s="1"/>
  <c r="I866" i="2"/>
  <c r="J866" i="2" s="1"/>
  <c r="K866" i="2" s="1"/>
  <c r="L866" i="2" s="1"/>
  <c r="I867" i="2"/>
  <c r="J867" i="2" s="1"/>
  <c r="K867" i="2" s="1"/>
  <c r="L867" i="2" s="1"/>
  <c r="I2790" i="2"/>
  <c r="J2790" i="2" s="1"/>
  <c r="K2790" i="2" s="1"/>
  <c r="L2790" i="2" s="1"/>
  <c r="I3060" i="2"/>
  <c r="J3060" i="2" s="1"/>
  <c r="K3060" i="2" s="1"/>
  <c r="L3060" i="2" s="1"/>
  <c r="I179" i="2"/>
  <c r="J179" i="2" s="1"/>
  <c r="K179" i="2" s="1"/>
  <c r="L179" i="2" s="1"/>
  <c r="I1716" i="2"/>
  <c r="J1716" i="2" s="1"/>
  <c r="K1716" i="2" s="1"/>
  <c r="L1716" i="2" s="1"/>
  <c r="I2348" i="2"/>
  <c r="J2348" i="2" s="1"/>
  <c r="K2348" i="2" s="1"/>
  <c r="L2348" i="2" s="1"/>
  <c r="I1476" i="2"/>
  <c r="J1476" i="2" s="1"/>
  <c r="K1476" i="2" s="1"/>
  <c r="L1476" i="2" s="1"/>
  <c r="I180" i="2"/>
  <c r="J180" i="2" s="1"/>
  <c r="K180" i="2" s="1"/>
  <c r="L180" i="2" s="1"/>
  <c r="I2864" i="2"/>
  <c r="J2864" i="2" s="1"/>
  <c r="K2864" i="2" s="1"/>
  <c r="L2864" i="2" s="1"/>
  <c r="I3061" i="2"/>
  <c r="J3061" i="2" s="1"/>
  <c r="K3061" i="2" s="1"/>
  <c r="L3061" i="2" s="1"/>
  <c r="I494" i="2"/>
  <c r="J494" i="2" s="1"/>
  <c r="K494" i="2" s="1"/>
  <c r="L494" i="2" s="1"/>
  <c r="I868" i="2"/>
  <c r="J868" i="2" s="1"/>
  <c r="K868" i="2" s="1"/>
  <c r="L868" i="2" s="1"/>
  <c r="I404" i="2"/>
  <c r="J404" i="2" s="1"/>
  <c r="K404" i="2" s="1"/>
  <c r="L404" i="2" s="1"/>
  <c r="I869" i="2"/>
  <c r="J869" i="2" s="1"/>
  <c r="K869" i="2" s="1"/>
  <c r="L869" i="2" s="1"/>
  <c r="I1717" i="2"/>
  <c r="J1717" i="2" s="1"/>
  <c r="K1717" i="2" s="1"/>
  <c r="L1717" i="2" s="1"/>
  <c r="I2558" i="2"/>
  <c r="J2558" i="2" s="1"/>
  <c r="K2558" i="2" s="1"/>
  <c r="L2558" i="2" s="1"/>
  <c r="I2349" i="2"/>
  <c r="J2349" i="2" s="1"/>
  <c r="K2349" i="2" s="1"/>
  <c r="L2349" i="2" s="1"/>
  <c r="I2707" i="2"/>
  <c r="J2707" i="2" s="1"/>
  <c r="K2707" i="2" s="1"/>
  <c r="L2707" i="2" s="1"/>
  <c r="I2906" i="2"/>
  <c r="J2906" i="2" s="1"/>
  <c r="K2906" i="2" s="1"/>
  <c r="L2906" i="2" s="1"/>
  <c r="I1183" i="2"/>
  <c r="J1183" i="2" s="1"/>
  <c r="K1183" i="2" s="1"/>
  <c r="L1183" i="2" s="1"/>
  <c r="I2350" i="2"/>
  <c r="J2350" i="2" s="1"/>
  <c r="K2350" i="2" s="1"/>
  <c r="L2350" i="2" s="1"/>
  <c r="I181" i="2"/>
  <c r="J181" i="2" s="1"/>
  <c r="K181" i="2" s="1"/>
  <c r="L181" i="2" s="1"/>
  <c r="I2559" i="2"/>
  <c r="J2559" i="2" s="1"/>
  <c r="K2559" i="2" s="1"/>
  <c r="L2559" i="2" s="1"/>
  <c r="I2708" i="2"/>
  <c r="J2708" i="2" s="1"/>
  <c r="K2708" i="2" s="1"/>
  <c r="L2708" i="2" s="1"/>
  <c r="I2709" i="2"/>
  <c r="J2709" i="2" s="1"/>
  <c r="K2709" i="2" s="1"/>
  <c r="L2709" i="2" s="1"/>
  <c r="I2019" i="2"/>
  <c r="J2019" i="2" s="1"/>
  <c r="K2019" i="2" s="1"/>
  <c r="L2019" i="2" s="1"/>
  <c r="I1718" i="2"/>
  <c r="J1718" i="2" s="1"/>
  <c r="K1718" i="2" s="1"/>
  <c r="L1718" i="2" s="1"/>
  <c r="I2710" i="2"/>
  <c r="J2710" i="2" s="1"/>
  <c r="K2710" i="2" s="1"/>
  <c r="L2710" i="2" s="1"/>
  <c r="I1719" i="2"/>
  <c r="J1719" i="2" s="1"/>
  <c r="K1719" i="2" s="1"/>
  <c r="L1719" i="2" s="1"/>
  <c r="I2560" i="2"/>
  <c r="J2560" i="2" s="1"/>
  <c r="K2560" i="2" s="1"/>
  <c r="L2560" i="2" s="1"/>
  <c r="I2907" i="2"/>
  <c r="J2907" i="2" s="1"/>
  <c r="K2907" i="2" s="1"/>
  <c r="L2907" i="2" s="1"/>
  <c r="I3062" i="2"/>
  <c r="J3062" i="2" s="1"/>
  <c r="K3062" i="2" s="1"/>
  <c r="L3062" i="2" s="1"/>
  <c r="I317" i="2"/>
  <c r="J317" i="2" s="1"/>
  <c r="K317" i="2" s="1"/>
  <c r="L317" i="2" s="1"/>
  <c r="I2561" i="2"/>
  <c r="J2561" i="2" s="1"/>
  <c r="K2561" i="2" s="1"/>
  <c r="L2561" i="2" s="1"/>
  <c r="I265" i="2"/>
  <c r="J265" i="2" s="1"/>
  <c r="K265" i="2" s="1"/>
  <c r="L265" i="2" s="1"/>
  <c r="I182" i="2"/>
  <c r="J182" i="2" s="1"/>
  <c r="K182" i="2" s="1"/>
  <c r="L182" i="2" s="1"/>
  <c r="I1720" i="2"/>
  <c r="J1720" i="2" s="1"/>
  <c r="K1720" i="2" s="1"/>
  <c r="L1720" i="2" s="1"/>
  <c r="I2351" i="2"/>
  <c r="J2351" i="2" s="1"/>
  <c r="K2351" i="2" s="1"/>
  <c r="L2351" i="2" s="1"/>
  <c r="I1721" i="2"/>
  <c r="J1721" i="2" s="1"/>
  <c r="K1721" i="2" s="1"/>
  <c r="L1721" i="2" s="1"/>
  <c r="I2352" i="2"/>
  <c r="J2352" i="2" s="1"/>
  <c r="K2352" i="2" s="1"/>
  <c r="L2352" i="2" s="1"/>
  <c r="I2865" i="2"/>
  <c r="J2865" i="2" s="1"/>
  <c r="K2865" i="2" s="1"/>
  <c r="L2865" i="2" s="1"/>
  <c r="I183" i="2"/>
  <c r="J183" i="2" s="1"/>
  <c r="K183" i="2" s="1"/>
  <c r="L183" i="2" s="1"/>
  <c r="I1184" i="2"/>
  <c r="J1184" i="2" s="1"/>
  <c r="K1184" i="2" s="1"/>
  <c r="L1184" i="2" s="1"/>
  <c r="I870" i="2"/>
  <c r="J870" i="2" s="1"/>
  <c r="K870" i="2" s="1"/>
  <c r="L870" i="2" s="1"/>
  <c r="I871" i="2"/>
  <c r="J871" i="2" s="1"/>
  <c r="K871" i="2" s="1"/>
  <c r="L871" i="2" s="1"/>
  <c r="I495" i="2"/>
  <c r="J495" i="2" s="1"/>
  <c r="K495" i="2" s="1"/>
  <c r="L495" i="2" s="1"/>
  <c r="I184" i="2"/>
  <c r="J184" i="2" s="1"/>
  <c r="K184" i="2" s="1"/>
  <c r="L184" i="2" s="1"/>
  <c r="I405" i="2"/>
  <c r="J405" i="2" s="1"/>
  <c r="K405" i="2" s="1"/>
  <c r="L405" i="2" s="1"/>
  <c r="I872" i="2"/>
  <c r="J872" i="2" s="1"/>
  <c r="K872" i="2" s="1"/>
  <c r="L872" i="2" s="1"/>
  <c r="I1185" i="2"/>
  <c r="J1185" i="2" s="1"/>
  <c r="K1185" i="2" s="1"/>
  <c r="L1185" i="2" s="1"/>
  <c r="I1349" i="2"/>
  <c r="J1349" i="2" s="1"/>
  <c r="K1349" i="2" s="1"/>
  <c r="L1349" i="2" s="1"/>
  <c r="I1722" i="2"/>
  <c r="J1722" i="2" s="1"/>
  <c r="K1722" i="2" s="1"/>
  <c r="L1722" i="2" s="1"/>
  <c r="I3173" i="2"/>
  <c r="J3173" i="2" s="1"/>
  <c r="K3173" i="2" s="1"/>
  <c r="L3173" i="2" s="1"/>
  <c r="I873" i="2"/>
  <c r="J873" i="2" s="1"/>
  <c r="K873" i="2" s="1"/>
  <c r="L873" i="2" s="1"/>
  <c r="I874" i="2"/>
  <c r="J874" i="2" s="1"/>
  <c r="K874" i="2" s="1"/>
  <c r="L874" i="2" s="1"/>
  <c r="I3063" i="2"/>
  <c r="J3063" i="2" s="1"/>
  <c r="K3063" i="2" s="1"/>
  <c r="L3063" i="2" s="1"/>
  <c r="I2791" i="2"/>
  <c r="J2791" i="2" s="1"/>
  <c r="K2791" i="2" s="1"/>
  <c r="L2791" i="2" s="1"/>
  <c r="I2020" i="2"/>
  <c r="J2020" i="2" s="1"/>
  <c r="K2020" i="2" s="1"/>
  <c r="L2020" i="2" s="1"/>
  <c r="I2021" i="2"/>
  <c r="J2021" i="2" s="1"/>
  <c r="K2021" i="2" s="1"/>
  <c r="L2021" i="2" s="1"/>
  <c r="I2088" i="2"/>
  <c r="J2088" i="2" s="1"/>
  <c r="K2088" i="2" s="1"/>
  <c r="L2088" i="2" s="1"/>
  <c r="I185" i="2"/>
  <c r="J185" i="2" s="1"/>
  <c r="K185" i="2" s="1"/>
  <c r="L185" i="2" s="1"/>
  <c r="I1723" i="2"/>
  <c r="J1723" i="2" s="1"/>
  <c r="K1723" i="2" s="1"/>
  <c r="L1723" i="2" s="1"/>
  <c r="I3064" i="2"/>
  <c r="J3064" i="2" s="1"/>
  <c r="K3064" i="2" s="1"/>
  <c r="L3064" i="2" s="1"/>
  <c r="I1724" i="2"/>
  <c r="J1724" i="2" s="1"/>
  <c r="K1724" i="2" s="1"/>
  <c r="L1724" i="2" s="1"/>
  <c r="I875" i="2"/>
  <c r="J875" i="2" s="1"/>
  <c r="K875" i="2" s="1"/>
  <c r="L875" i="2" s="1"/>
  <c r="I186" i="2"/>
  <c r="J186" i="2" s="1"/>
  <c r="K186" i="2" s="1"/>
  <c r="L186" i="2" s="1"/>
  <c r="I2792" i="2"/>
  <c r="J2792" i="2" s="1"/>
  <c r="K2792" i="2" s="1"/>
  <c r="L2792" i="2" s="1"/>
  <c r="I876" i="2"/>
  <c r="J876" i="2" s="1"/>
  <c r="K876" i="2" s="1"/>
  <c r="L876" i="2" s="1"/>
  <c r="I877" i="2"/>
  <c r="J877" i="2" s="1"/>
  <c r="K877" i="2" s="1"/>
  <c r="L877" i="2" s="1"/>
  <c r="I1080" i="2"/>
  <c r="J1080" i="2" s="1"/>
  <c r="K1080" i="2" s="1"/>
  <c r="L1080" i="2" s="1"/>
  <c r="I1045" i="2"/>
  <c r="J1045" i="2" s="1"/>
  <c r="K1045" i="2" s="1"/>
  <c r="L1045" i="2" s="1"/>
  <c r="I2353" i="2"/>
  <c r="J2353" i="2" s="1"/>
  <c r="K2353" i="2" s="1"/>
  <c r="L2353" i="2" s="1"/>
  <c r="I2711" i="2"/>
  <c r="J2711" i="2" s="1"/>
  <c r="K2711" i="2" s="1"/>
  <c r="L2711" i="2" s="1"/>
  <c r="I2562" i="2"/>
  <c r="J2562" i="2" s="1"/>
  <c r="K2562" i="2" s="1"/>
  <c r="L2562" i="2" s="1"/>
  <c r="I2022" i="2"/>
  <c r="J2022" i="2" s="1"/>
  <c r="K2022" i="2" s="1"/>
  <c r="L2022" i="2" s="1"/>
  <c r="I264" i="2"/>
  <c r="J264" i="2" s="1"/>
  <c r="K264" i="2" s="1"/>
  <c r="L264" i="2" s="1"/>
  <c r="I3065" i="2"/>
  <c r="J3065" i="2" s="1"/>
  <c r="K3065" i="2" s="1"/>
  <c r="L3065" i="2" s="1"/>
  <c r="I2354" i="2"/>
  <c r="J2354" i="2" s="1"/>
  <c r="K2354" i="2" s="1"/>
  <c r="L2354" i="2" s="1"/>
  <c r="I187" i="2"/>
  <c r="J187" i="2" s="1"/>
  <c r="K187" i="2" s="1"/>
  <c r="L187" i="2" s="1"/>
  <c r="I188" i="2"/>
  <c r="J188" i="2" s="1"/>
  <c r="K188" i="2" s="1"/>
  <c r="L188" i="2" s="1"/>
  <c r="I1350" i="2"/>
  <c r="J1350" i="2" s="1"/>
  <c r="K1350" i="2" s="1"/>
  <c r="L1350" i="2" s="1"/>
  <c r="I3066" i="2"/>
  <c r="J3066" i="2" s="1"/>
  <c r="K3066" i="2" s="1"/>
  <c r="L3066" i="2" s="1"/>
  <c r="I2355" i="2"/>
  <c r="J2355" i="2" s="1"/>
  <c r="K2355" i="2" s="1"/>
  <c r="L2355" i="2" s="1"/>
  <c r="I189" i="2"/>
  <c r="J189" i="2" s="1"/>
  <c r="K189" i="2" s="1"/>
  <c r="L189" i="2" s="1"/>
  <c r="I2356" i="2"/>
  <c r="J2356" i="2" s="1"/>
  <c r="K2356" i="2" s="1"/>
  <c r="L2356" i="2" s="1"/>
  <c r="I878" i="2"/>
  <c r="J878" i="2" s="1"/>
  <c r="K878" i="2" s="1"/>
  <c r="L878" i="2" s="1"/>
  <c r="I2357" i="2"/>
  <c r="J2357" i="2" s="1"/>
  <c r="K2357" i="2" s="1"/>
  <c r="L2357" i="2" s="1"/>
  <c r="I3067" i="2"/>
  <c r="J3067" i="2" s="1"/>
  <c r="K3067" i="2" s="1"/>
  <c r="L3067" i="2" s="1"/>
  <c r="I879" i="2"/>
  <c r="J879" i="2" s="1"/>
  <c r="K879" i="2" s="1"/>
  <c r="L879" i="2" s="1"/>
  <c r="I1725" i="2"/>
  <c r="J1725" i="2" s="1"/>
  <c r="K1725" i="2" s="1"/>
  <c r="L1725" i="2" s="1"/>
  <c r="I190" i="2"/>
  <c r="J190" i="2" s="1"/>
  <c r="K190" i="2" s="1"/>
  <c r="L190" i="2" s="1"/>
  <c r="I406" i="2"/>
  <c r="J406" i="2" s="1"/>
  <c r="K406" i="2" s="1"/>
  <c r="L406" i="2" s="1"/>
  <c r="I880" i="2"/>
  <c r="J880" i="2" s="1"/>
  <c r="K880" i="2" s="1"/>
  <c r="L880" i="2" s="1"/>
  <c r="I1351" i="2"/>
  <c r="J1351" i="2" s="1"/>
  <c r="K1351" i="2" s="1"/>
  <c r="L1351" i="2" s="1"/>
  <c r="I1186" i="2"/>
  <c r="J1186" i="2" s="1"/>
  <c r="K1186" i="2" s="1"/>
  <c r="L1186" i="2" s="1"/>
  <c r="I3068" i="2"/>
  <c r="J3068" i="2" s="1"/>
  <c r="K3068" i="2" s="1"/>
  <c r="L3068" i="2" s="1"/>
  <c r="I1833" i="2"/>
  <c r="J1833" i="2" s="1"/>
  <c r="K1833" i="2" s="1"/>
  <c r="L1833" i="2" s="1"/>
  <c r="I2866" i="2"/>
  <c r="J2866" i="2" s="1"/>
  <c r="K2866" i="2" s="1"/>
  <c r="L2866" i="2" s="1"/>
  <c r="I2358" i="2"/>
  <c r="J2358" i="2" s="1"/>
  <c r="K2358" i="2" s="1"/>
  <c r="L2358" i="2" s="1"/>
  <c r="I1352" i="2"/>
  <c r="J1352" i="2" s="1"/>
  <c r="K1352" i="2" s="1"/>
  <c r="L1352" i="2" s="1"/>
  <c r="I2359" i="2"/>
  <c r="J2359" i="2" s="1"/>
  <c r="K2359" i="2" s="1"/>
  <c r="L2359" i="2" s="1"/>
  <c r="I881" i="2"/>
  <c r="J881" i="2" s="1"/>
  <c r="K881" i="2" s="1"/>
  <c r="L881" i="2" s="1"/>
  <c r="I882" i="2"/>
  <c r="J882" i="2" s="1"/>
  <c r="K882" i="2" s="1"/>
  <c r="L882" i="2" s="1"/>
  <c r="I1726" i="2"/>
  <c r="J1726" i="2" s="1"/>
  <c r="K1726" i="2" s="1"/>
  <c r="L1726" i="2" s="1"/>
  <c r="I496" i="2"/>
  <c r="J496" i="2" s="1"/>
  <c r="K496" i="2" s="1"/>
  <c r="L496" i="2" s="1"/>
  <c r="I497" i="2"/>
  <c r="J497" i="2" s="1"/>
  <c r="K497" i="2" s="1"/>
  <c r="L497" i="2" s="1"/>
  <c r="I2563" i="2"/>
  <c r="J2563" i="2" s="1"/>
  <c r="K2563" i="2" s="1"/>
  <c r="L2563" i="2" s="1"/>
  <c r="I883" i="2"/>
  <c r="J883" i="2" s="1"/>
  <c r="K883" i="2" s="1"/>
  <c r="L883" i="2" s="1"/>
  <c r="I884" i="2"/>
  <c r="J884" i="2" s="1"/>
  <c r="K884" i="2" s="1"/>
  <c r="L884" i="2" s="1"/>
  <c r="I885" i="2"/>
  <c r="J885" i="2" s="1"/>
  <c r="K885" i="2" s="1"/>
  <c r="L885" i="2" s="1"/>
  <c r="I1477" i="2"/>
  <c r="J1477" i="2" s="1"/>
  <c r="K1477" i="2" s="1"/>
  <c r="L1477" i="2" s="1"/>
  <c r="I191" i="2"/>
  <c r="J191" i="2" s="1"/>
  <c r="K191" i="2" s="1"/>
  <c r="L191" i="2" s="1"/>
  <c r="I886" i="2"/>
  <c r="J886" i="2" s="1"/>
  <c r="K886" i="2" s="1"/>
  <c r="L886" i="2" s="1"/>
  <c r="I2712" i="2"/>
  <c r="J2712" i="2" s="1"/>
  <c r="K2712" i="2" s="1"/>
  <c r="L2712" i="2" s="1"/>
  <c r="I1727" i="2"/>
  <c r="J1727" i="2" s="1"/>
  <c r="K1727" i="2" s="1"/>
  <c r="L1727" i="2" s="1"/>
  <c r="I887" i="2"/>
  <c r="J887" i="2" s="1"/>
  <c r="K887" i="2" s="1"/>
  <c r="L887" i="2" s="1"/>
  <c r="I2360" i="2"/>
  <c r="J2360" i="2" s="1"/>
  <c r="K2360" i="2" s="1"/>
  <c r="L2360" i="2" s="1"/>
  <c r="I888" i="2"/>
  <c r="J888" i="2" s="1"/>
  <c r="K888" i="2" s="1"/>
  <c r="L888" i="2" s="1"/>
  <c r="I3069" i="2"/>
  <c r="J3069" i="2" s="1"/>
  <c r="K3069" i="2" s="1"/>
  <c r="L3069" i="2" s="1"/>
  <c r="I1353" i="2"/>
  <c r="J1353" i="2" s="1"/>
  <c r="K1353" i="2" s="1"/>
  <c r="L1353" i="2" s="1"/>
  <c r="I192" i="2"/>
  <c r="J192" i="2" s="1"/>
  <c r="K192" i="2" s="1"/>
  <c r="L192" i="2" s="1"/>
  <c r="I2023" i="2"/>
  <c r="J2023" i="2" s="1"/>
  <c r="K2023" i="2" s="1"/>
  <c r="L2023" i="2" s="1"/>
  <c r="I2361" i="2"/>
  <c r="J2361" i="2" s="1"/>
  <c r="K2361" i="2" s="1"/>
  <c r="L2361" i="2" s="1"/>
  <c r="I889" i="2"/>
  <c r="J889" i="2" s="1"/>
  <c r="K889" i="2" s="1"/>
  <c r="L889" i="2" s="1"/>
  <c r="I3070" i="2"/>
  <c r="J3070" i="2" s="1"/>
  <c r="K3070" i="2" s="1"/>
  <c r="L3070" i="2" s="1"/>
  <c r="I890" i="2"/>
  <c r="J890" i="2" s="1"/>
  <c r="K890" i="2" s="1"/>
  <c r="L890" i="2" s="1"/>
  <c r="I1354" i="2"/>
  <c r="J1354" i="2" s="1"/>
  <c r="K1354" i="2" s="1"/>
  <c r="L1354" i="2" s="1"/>
  <c r="I3071" i="2"/>
  <c r="J3071" i="2" s="1"/>
  <c r="K3071" i="2" s="1"/>
  <c r="L3071" i="2" s="1"/>
  <c r="I2564" i="2"/>
  <c r="J2564" i="2" s="1"/>
  <c r="K2564" i="2" s="1"/>
  <c r="L2564" i="2" s="1"/>
  <c r="I1115" i="2"/>
  <c r="J1115" i="2" s="1"/>
  <c r="K1115" i="2" s="1"/>
  <c r="L1115" i="2" s="1"/>
  <c r="I1531" i="2"/>
  <c r="J1531" i="2" s="1"/>
  <c r="K1531" i="2" s="1"/>
  <c r="L1531" i="2" s="1"/>
  <c r="I1187" i="2"/>
  <c r="J1187" i="2" s="1"/>
  <c r="K1187" i="2" s="1"/>
  <c r="L1187" i="2" s="1"/>
  <c r="I193" i="2"/>
  <c r="J193" i="2" s="1"/>
  <c r="K193" i="2" s="1"/>
  <c r="L193" i="2" s="1"/>
  <c r="I1728" i="2"/>
  <c r="J1728" i="2" s="1"/>
  <c r="K1728" i="2" s="1"/>
  <c r="L1728" i="2" s="1"/>
  <c r="I407" i="2"/>
  <c r="J407" i="2" s="1"/>
  <c r="K407" i="2" s="1"/>
  <c r="L407" i="2" s="1"/>
  <c r="I318" i="2"/>
  <c r="J318" i="2" s="1"/>
  <c r="K318" i="2" s="1"/>
  <c r="L318" i="2" s="1"/>
  <c r="I891" i="2"/>
  <c r="J891" i="2" s="1"/>
  <c r="K891" i="2" s="1"/>
  <c r="L891" i="2" s="1"/>
  <c r="I1729" i="2"/>
  <c r="J1729" i="2" s="1"/>
  <c r="K1729" i="2" s="1"/>
  <c r="L1729" i="2" s="1"/>
  <c r="I1730" i="2"/>
  <c r="J1730" i="2" s="1"/>
  <c r="K1730" i="2" s="1"/>
  <c r="L1730" i="2" s="1"/>
  <c r="I408" i="2"/>
  <c r="J408" i="2" s="1"/>
  <c r="K408" i="2" s="1"/>
  <c r="L408" i="2" s="1"/>
  <c r="I892" i="2"/>
  <c r="J892" i="2" s="1"/>
  <c r="K892" i="2" s="1"/>
  <c r="L892" i="2" s="1"/>
  <c r="I194" i="2"/>
  <c r="J194" i="2" s="1"/>
  <c r="K194" i="2" s="1"/>
  <c r="L194" i="2" s="1"/>
  <c r="I195" i="2"/>
  <c r="J195" i="2" s="1"/>
  <c r="K195" i="2" s="1"/>
  <c r="L195" i="2" s="1"/>
  <c r="I893" i="2"/>
  <c r="J893" i="2" s="1"/>
  <c r="K893" i="2" s="1"/>
  <c r="L893" i="2" s="1"/>
  <c r="I894" i="2"/>
  <c r="J894" i="2" s="1"/>
  <c r="K894" i="2" s="1"/>
  <c r="L894" i="2" s="1"/>
  <c r="I266" i="2"/>
  <c r="J266" i="2" s="1"/>
  <c r="K266" i="2" s="1"/>
  <c r="L266" i="2" s="1"/>
  <c r="I1478" i="2"/>
  <c r="J1478" i="2" s="1"/>
  <c r="K1478" i="2" s="1"/>
  <c r="L1478" i="2" s="1"/>
  <c r="I2713" i="2"/>
  <c r="J2713" i="2" s="1"/>
  <c r="K2713" i="2" s="1"/>
  <c r="L2713" i="2" s="1"/>
  <c r="I1355" i="2"/>
  <c r="J1355" i="2" s="1"/>
  <c r="K1355" i="2" s="1"/>
  <c r="L1355" i="2" s="1"/>
  <c r="I319" i="2"/>
  <c r="J319" i="2" s="1"/>
  <c r="K319" i="2" s="1"/>
  <c r="L319" i="2" s="1"/>
  <c r="I2714" i="2"/>
  <c r="J2714" i="2" s="1"/>
  <c r="K2714" i="2" s="1"/>
  <c r="L2714" i="2" s="1"/>
  <c r="I3118" i="2"/>
  <c r="J3118" i="2" s="1"/>
  <c r="K3118" i="2" s="1"/>
  <c r="L3118" i="2" s="1"/>
  <c r="I1834" i="2"/>
  <c r="J1834" i="2" s="1"/>
  <c r="K1834" i="2" s="1"/>
  <c r="L1834" i="2" s="1"/>
  <c r="I895" i="2"/>
  <c r="J895" i="2" s="1"/>
  <c r="K895" i="2" s="1"/>
  <c r="L895" i="2" s="1"/>
  <c r="I2362" i="2"/>
  <c r="J2362" i="2" s="1"/>
  <c r="K2362" i="2" s="1"/>
  <c r="L2362" i="2" s="1"/>
  <c r="I896" i="2"/>
  <c r="J896" i="2" s="1"/>
  <c r="K896" i="2" s="1"/>
  <c r="L896" i="2" s="1"/>
  <c r="I1731" i="2"/>
  <c r="J1731" i="2" s="1"/>
  <c r="K1731" i="2" s="1"/>
  <c r="L1731" i="2" s="1"/>
  <c r="I897" i="2"/>
  <c r="J897" i="2" s="1"/>
  <c r="K897" i="2" s="1"/>
  <c r="L897" i="2" s="1"/>
  <c r="I1046" i="2"/>
  <c r="J1046" i="2" s="1"/>
  <c r="K1046" i="2" s="1"/>
  <c r="L1046" i="2" s="1"/>
  <c r="I2024" i="2"/>
  <c r="J2024" i="2" s="1"/>
  <c r="K2024" i="2" s="1"/>
  <c r="L2024" i="2" s="1"/>
  <c r="I196" i="2"/>
  <c r="J196" i="2" s="1"/>
  <c r="K196" i="2" s="1"/>
  <c r="L196" i="2" s="1"/>
  <c r="I498" i="2"/>
  <c r="J498" i="2" s="1"/>
  <c r="K498" i="2" s="1"/>
  <c r="L498" i="2" s="1"/>
  <c r="I409" i="2"/>
  <c r="J409" i="2" s="1"/>
  <c r="K409" i="2" s="1"/>
  <c r="L409" i="2" s="1"/>
  <c r="I410" i="2"/>
  <c r="J410" i="2" s="1"/>
  <c r="K410" i="2" s="1"/>
  <c r="L410" i="2" s="1"/>
  <c r="I2793" i="2"/>
  <c r="J2793" i="2" s="1"/>
  <c r="K2793" i="2" s="1"/>
  <c r="L2793" i="2" s="1"/>
  <c r="I898" i="2"/>
  <c r="J898" i="2" s="1"/>
  <c r="K898" i="2" s="1"/>
  <c r="L898" i="2" s="1"/>
  <c r="I3150" i="2"/>
  <c r="J3150" i="2" s="1"/>
  <c r="K3150" i="2" s="1"/>
  <c r="L3150" i="2" s="1"/>
  <c r="I1835" i="2"/>
  <c r="J1835" i="2" s="1"/>
  <c r="K1835" i="2" s="1"/>
  <c r="L1835" i="2" s="1"/>
  <c r="I2908" i="2"/>
  <c r="J2908" i="2" s="1"/>
  <c r="K2908" i="2" s="1"/>
  <c r="L2908" i="2" s="1"/>
  <c r="I899" i="2"/>
  <c r="J899" i="2" s="1"/>
  <c r="K899" i="2" s="1"/>
  <c r="L899" i="2" s="1"/>
  <c r="I900" i="2"/>
  <c r="J900" i="2" s="1"/>
  <c r="K900" i="2" s="1"/>
  <c r="L900" i="2" s="1"/>
  <c r="I2794" i="2"/>
  <c r="J2794" i="2" s="1"/>
  <c r="K2794" i="2" s="1"/>
  <c r="L2794" i="2" s="1"/>
  <c r="I901" i="2"/>
  <c r="J901" i="2" s="1"/>
  <c r="K901" i="2" s="1"/>
  <c r="L901" i="2" s="1"/>
  <c r="I2025" i="2"/>
  <c r="J2025" i="2" s="1"/>
  <c r="K2025" i="2" s="1"/>
  <c r="L2025" i="2" s="1"/>
  <c r="I1732" i="2"/>
  <c r="J1732" i="2" s="1"/>
  <c r="K1732" i="2" s="1"/>
  <c r="L1732" i="2" s="1"/>
  <c r="I2026" i="2"/>
  <c r="J2026" i="2" s="1"/>
  <c r="K2026" i="2" s="1"/>
  <c r="L2026" i="2" s="1"/>
  <c r="I2715" i="2"/>
  <c r="J2715" i="2" s="1"/>
  <c r="K2715" i="2" s="1"/>
  <c r="L2715" i="2" s="1"/>
  <c r="I3072" i="2"/>
  <c r="J3072" i="2" s="1"/>
  <c r="K3072" i="2" s="1"/>
  <c r="L3072" i="2" s="1"/>
  <c r="I2867" i="2"/>
  <c r="J2867" i="2" s="1"/>
  <c r="K2867" i="2" s="1"/>
  <c r="L2867" i="2" s="1"/>
  <c r="I902" i="2"/>
  <c r="J902" i="2" s="1"/>
  <c r="K902" i="2" s="1"/>
  <c r="L902" i="2" s="1"/>
  <c r="I499" i="2"/>
  <c r="J499" i="2" s="1"/>
  <c r="K499" i="2" s="1"/>
  <c r="L499" i="2" s="1"/>
  <c r="I1356" i="2"/>
  <c r="J1356" i="2" s="1"/>
  <c r="K1356" i="2" s="1"/>
  <c r="L1356" i="2" s="1"/>
  <c r="I2363" i="2"/>
  <c r="J2363" i="2" s="1"/>
  <c r="K2363" i="2" s="1"/>
  <c r="L2363" i="2" s="1"/>
  <c r="I2868" i="2"/>
  <c r="J2868" i="2" s="1"/>
  <c r="K2868" i="2" s="1"/>
  <c r="L2868" i="2" s="1"/>
  <c r="I1733" i="2"/>
  <c r="J1733" i="2" s="1"/>
  <c r="K1733" i="2" s="1"/>
  <c r="L1733" i="2" s="1"/>
  <c r="I2869" i="2"/>
  <c r="J2869" i="2" s="1"/>
  <c r="K2869" i="2" s="1"/>
  <c r="L2869" i="2" s="1"/>
  <c r="I2565" i="2"/>
  <c r="J2565" i="2" s="1"/>
  <c r="K2565" i="2" s="1"/>
  <c r="L2565" i="2" s="1"/>
  <c r="I2566" i="2"/>
  <c r="J2566" i="2" s="1"/>
  <c r="K2566" i="2" s="1"/>
  <c r="L2566" i="2" s="1"/>
  <c r="I1836" i="2"/>
  <c r="J1836" i="2" s="1"/>
  <c r="K1836" i="2" s="1"/>
  <c r="L1836" i="2" s="1"/>
  <c r="I1188" i="2"/>
  <c r="J1188" i="2" s="1"/>
  <c r="K1188" i="2" s="1"/>
  <c r="L1188" i="2" s="1"/>
  <c r="I411" i="2"/>
  <c r="J411" i="2" s="1"/>
  <c r="K411" i="2" s="1"/>
  <c r="L411" i="2" s="1"/>
  <c r="I903" i="2"/>
  <c r="J903" i="2" s="1"/>
  <c r="K903" i="2" s="1"/>
  <c r="L903" i="2" s="1"/>
  <c r="I1734" i="2"/>
  <c r="J1734" i="2" s="1"/>
  <c r="K1734" i="2" s="1"/>
  <c r="L1734" i="2" s="1"/>
  <c r="I1735" i="2"/>
  <c r="J1735" i="2" s="1"/>
  <c r="K1735" i="2" s="1"/>
  <c r="L1735" i="2" s="1"/>
  <c r="I2364" i="2"/>
  <c r="J2364" i="2" s="1"/>
  <c r="K2364" i="2" s="1"/>
  <c r="L2364" i="2" s="1"/>
  <c r="I904" i="2"/>
  <c r="J904" i="2" s="1"/>
  <c r="K904" i="2" s="1"/>
  <c r="L904" i="2" s="1"/>
  <c r="I2365" i="2"/>
  <c r="J2365" i="2" s="1"/>
  <c r="K2365" i="2" s="1"/>
  <c r="L2365" i="2" s="1"/>
  <c r="I1736" i="2"/>
  <c r="J1736" i="2" s="1"/>
  <c r="K1736" i="2" s="1"/>
  <c r="L1736" i="2" s="1"/>
  <c r="I905" i="2"/>
  <c r="J905" i="2" s="1"/>
  <c r="K905" i="2" s="1"/>
  <c r="L905" i="2" s="1"/>
  <c r="I1479" i="2"/>
  <c r="J1479" i="2" s="1"/>
  <c r="K1479" i="2" s="1"/>
  <c r="L1479" i="2" s="1"/>
  <c r="I906" i="2"/>
  <c r="J906" i="2" s="1"/>
  <c r="K906" i="2" s="1"/>
  <c r="L906" i="2" s="1"/>
  <c r="I907" i="2"/>
  <c r="J907" i="2" s="1"/>
  <c r="K907" i="2" s="1"/>
  <c r="L907" i="2" s="1"/>
  <c r="I197" i="2"/>
  <c r="J197" i="2" s="1"/>
  <c r="K197" i="2" s="1"/>
  <c r="L197" i="2" s="1"/>
  <c r="I1737" i="2"/>
  <c r="J1737" i="2" s="1"/>
  <c r="K1737" i="2" s="1"/>
  <c r="L1737" i="2" s="1"/>
  <c r="I198" i="2"/>
  <c r="J198" i="2" s="1"/>
  <c r="K198" i="2" s="1"/>
  <c r="L198" i="2" s="1"/>
  <c r="I2027" i="2"/>
  <c r="J2027" i="2" s="1"/>
  <c r="K2027" i="2" s="1"/>
  <c r="L2027" i="2" s="1"/>
  <c r="I1357" i="2"/>
  <c r="J1357" i="2" s="1"/>
  <c r="K1357" i="2" s="1"/>
  <c r="L1357" i="2" s="1"/>
  <c r="I2716" i="2"/>
  <c r="J2716" i="2" s="1"/>
  <c r="K2716" i="2" s="1"/>
  <c r="L2716" i="2" s="1"/>
  <c r="I2366" i="2"/>
  <c r="J2366" i="2" s="1"/>
  <c r="K2366" i="2" s="1"/>
  <c r="L2366" i="2" s="1"/>
  <c r="I908" i="2"/>
  <c r="J908" i="2" s="1"/>
  <c r="K908" i="2" s="1"/>
  <c r="L908" i="2" s="1"/>
  <c r="I1532" i="2"/>
  <c r="J1532" i="2" s="1"/>
  <c r="K1532" i="2" s="1"/>
  <c r="L1532" i="2" s="1"/>
  <c r="I2717" i="2"/>
  <c r="J2717" i="2" s="1"/>
  <c r="K2717" i="2" s="1"/>
  <c r="L2717" i="2" s="1"/>
  <c r="I199" i="2"/>
  <c r="J199" i="2" s="1"/>
  <c r="K199" i="2" s="1"/>
  <c r="L199" i="2" s="1"/>
  <c r="I1480" i="2"/>
  <c r="J1480" i="2" s="1"/>
  <c r="K1480" i="2" s="1"/>
  <c r="L1480" i="2" s="1"/>
  <c r="I2718" i="2"/>
  <c r="J2718" i="2" s="1"/>
  <c r="K2718" i="2" s="1"/>
  <c r="L2718" i="2" s="1"/>
  <c r="I1837" i="2"/>
  <c r="J1837" i="2" s="1"/>
  <c r="K1837" i="2" s="1"/>
  <c r="L1837" i="2" s="1"/>
  <c r="I1738" i="2"/>
  <c r="J1738" i="2" s="1"/>
  <c r="K1738" i="2" s="1"/>
  <c r="L1738" i="2" s="1"/>
  <c r="I1533" i="2"/>
  <c r="J1533" i="2" s="1"/>
  <c r="K1533" i="2" s="1"/>
  <c r="L1533" i="2" s="1"/>
  <c r="I909" i="2"/>
  <c r="J909" i="2" s="1"/>
  <c r="K909" i="2" s="1"/>
  <c r="L909" i="2" s="1"/>
  <c r="I2367" i="2"/>
  <c r="J2367" i="2" s="1"/>
  <c r="K2367" i="2" s="1"/>
  <c r="L2367" i="2" s="1"/>
  <c r="I1739" i="2"/>
  <c r="J1739" i="2" s="1"/>
  <c r="K1739" i="2" s="1"/>
  <c r="L1739" i="2" s="1"/>
  <c r="I1838" i="2"/>
  <c r="J1838" i="2" s="1"/>
  <c r="K1838" i="2" s="1"/>
  <c r="L1838" i="2" s="1"/>
  <c r="I542" i="2"/>
  <c r="J542" i="2" s="1"/>
  <c r="K542" i="2" s="1"/>
  <c r="L542" i="2" s="1"/>
  <c r="I1392" i="2"/>
  <c r="J1392" i="2" s="1"/>
  <c r="K1392" i="2" s="1"/>
  <c r="L1392" i="2" s="1"/>
  <c r="I1481" i="2"/>
  <c r="J1481" i="2" s="1"/>
  <c r="K1481" i="2" s="1"/>
  <c r="L1481" i="2" s="1"/>
  <c r="I500" i="2"/>
  <c r="J500" i="2" s="1"/>
  <c r="K500" i="2" s="1"/>
  <c r="L500" i="2" s="1"/>
  <c r="I501" i="2"/>
  <c r="J501" i="2" s="1"/>
  <c r="K501" i="2" s="1"/>
  <c r="L501" i="2" s="1"/>
  <c r="I2719" i="2"/>
  <c r="J2719" i="2" s="1"/>
  <c r="K2719" i="2" s="1"/>
  <c r="L2719" i="2" s="1"/>
  <c r="I1358" i="2"/>
  <c r="J1358" i="2" s="1"/>
  <c r="K1358" i="2" s="1"/>
  <c r="L1358" i="2" s="1"/>
  <c r="I200" i="2"/>
  <c r="J200" i="2" s="1"/>
  <c r="K200" i="2" s="1"/>
  <c r="L200" i="2" s="1"/>
  <c r="I910" i="2"/>
  <c r="J910" i="2" s="1"/>
  <c r="K910" i="2" s="1"/>
  <c r="L910" i="2" s="1"/>
  <c r="I320" i="2"/>
  <c r="J320" i="2" s="1"/>
  <c r="K320" i="2" s="1"/>
  <c r="L320" i="2" s="1"/>
  <c r="I911" i="2"/>
  <c r="J911" i="2" s="1"/>
  <c r="K911" i="2" s="1"/>
  <c r="L911" i="2" s="1"/>
  <c r="I1740" i="2"/>
  <c r="J1740" i="2" s="1"/>
  <c r="K1740" i="2" s="1"/>
  <c r="L1740" i="2" s="1"/>
  <c r="I2028" i="2"/>
  <c r="J2028" i="2" s="1"/>
  <c r="K2028" i="2" s="1"/>
  <c r="L2028" i="2" s="1"/>
  <c r="I201" i="2"/>
  <c r="J201" i="2" s="1"/>
  <c r="K201" i="2" s="1"/>
  <c r="L201" i="2" s="1"/>
  <c r="I2029" i="2"/>
  <c r="J2029" i="2" s="1"/>
  <c r="K2029" i="2" s="1"/>
  <c r="L2029" i="2" s="1"/>
  <c r="I2368" i="2"/>
  <c r="J2368" i="2" s="1"/>
  <c r="K2368" i="2" s="1"/>
  <c r="L2368" i="2" s="1"/>
  <c r="I2369" i="2"/>
  <c r="J2369" i="2" s="1"/>
  <c r="K2369" i="2" s="1"/>
  <c r="L2369" i="2" s="1"/>
  <c r="I1741" i="2"/>
  <c r="J1741" i="2" s="1"/>
  <c r="K1741" i="2" s="1"/>
  <c r="L1741" i="2" s="1"/>
  <c r="I1047" i="2"/>
  <c r="J1047" i="2" s="1"/>
  <c r="K1047" i="2" s="1"/>
  <c r="L1047" i="2" s="1"/>
  <c r="I3073" i="2"/>
  <c r="J3073" i="2" s="1"/>
  <c r="K3073" i="2" s="1"/>
  <c r="L3073" i="2" s="1"/>
  <c r="I2870" i="2"/>
  <c r="J2870" i="2" s="1"/>
  <c r="K2870" i="2" s="1"/>
  <c r="L2870" i="2" s="1"/>
  <c r="I1359" i="2"/>
  <c r="J1359" i="2" s="1"/>
  <c r="K1359" i="2" s="1"/>
  <c r="L1359" i="2" s="1"/>
  <c r="I1360" i="2"/>
  <c r="J1360" i="2" s="1"/>
  <c r="K1360" i="2" s="1"/>
  <c r="L1360" i="2" s="1"/>
  <c r="I912" i="2"/>
  <c r="J912" i="2" s="1"/>
  <c r="K912" i="2" s="1"/>
  <c r="L912" i="2" s="1"/>
  <c r="I502" i="2"/>
  <c r="J502" i="2" s="1"/>
  <c r="K502" i="2" s="1"/>
  <c r="L502" i="2" s="1"/>
  <c r="I2871" i="2"/>
  <c r="J2871" i="2" s="1"/>
  <c r="K2871" i="2" s="1"/>
  <c r="L2871" i="2" s="1"/>
  <c r="I2030" i="2"/>
  <c r="J2030" i="2" s="1"/>
  <c r="K2030" i="2" s="1"/>
  <c r="L2030" i="2" s="1"/>
  <c r="I1482" i="2"/>
  <c r="J1482" i="2" s="1"/>
  <c r="K1482" i="2" s="1"/>
  <c r="L1482" i="2" s="1"/>
  <c r="I1361" i="2"/>
  <c r="J1361" i="2" s="1"/>
  <c r="K1361" i="2" s="1"/>
  <c r="L1361" i="2" s="1"/>
  <c r="I1362" i="2"/>
  <c r="J1362" i="2" s="1"/>
  <c r="K1362" i="2" s="1"/>
  <c r="L1362" i="2" s="1"/>
  <c r="I2370" i="2"/>
  <c r="J2370" i="2" s="1"/>
  <c r="K2370" i="2" s="1"/>
  <c r="L2370" i="2" s="1"/>
  <c r="I2031" i="2"/>
  <c r="J2031" i="2" s="1"/>
  <c r="K2031" i="2" s="1"/>
  <c r="L2031" i="2" s="1"/>
  <c r="I1363" i="2"/>
  <c r="J1363" i="2" s="1"/>
  <c r="K1363" i="2" s="1"/>
  <c r="L1363" i="2" s="1"/>
  <c r="I1393" i="2"/>
  <c r="J1393" i="2" s="1"/>
  <c r="K1393" i="2" s="1"/>
  <c r="L1393" i="2" s="1"/>
  <c r="I2909" i="2"/>
  <c r="J2909" i="2" s="1"/>
  <c r="K2909" i="2" s="1"/>
  <c r="L2909" i="2" s="1"/>
  <c r="I1189" i="2"/>
  <c r="J1189" i="2" s="1"/>
  <c r="K1189" i="2" s="1"/>
  <c r="L1189" i="2" s="1"/>
  <c r="I2371" i="2"/>
  <c r="J2371" i="2" s="1"/>
  <c r="K2371" i="2" s="1"/>
  <c r="L2371" i="2" s="1"/>
  <c r="I1364" i="2"/>
  <c r="J1364" i="2" s="1"/>
  <c r="K1364" i="2" s="1"/>
  <c r="L1364" i="2" s="1"/>
  <c r="I412" i="2"/>
  <c r="J412" i="2" s="1"/>
  <c r="K412" i="2" s="1"/>
  <c r="L412" i="2" s="1"/>
  <c r="I2032" i="2"/>
  <c r="J2032" i="2" s="1"/>
  <c r="K2032" i="2" s="1"/>
  <c r="L2032" i="2" s="1"/>
  <c r="I913" i="2"/>
  <c r="J913" i="2" s="1"/>
  <c r="K913" i="2" s="1"/>
  <c r="L913" i="2" s="1"/>
  <c r="I914" i="2"/>
  <c r="J914" i="2" s="1"/>
  <c r="K914" i="2" s="1"/>
  <c r="L914" i="2" s="1"/>
  <c r="I2033" i="2"/>
  <c r="J2033" i="2" s="1"/>
  <c r="K2033" i="2" s="1"/>
  <c r="L2033" i="2" s="1"/>
  <c r="I2720" i="2"/>
  <c r="J2720" i="2" s="1"/>
  <c r="K2720" i="2" s="1"/>
  <c r="L2720" i="2" s="1"/>
  <c r="I202" i="2"/>
  <c r="J202" i="2" s="1"/>
  <c r="K202" i="2" s="1"/>
  <c r="L202" i="2" s="1"/>
  <c r="I2372" i="2"/>
  <c r="J2372" i="2" s="1"/>
  <c r="K2372" i="2" s="1"/>
  <c r="L2372" i="2" s="1"/>
  <c r="I1839" i="2"/>
  <c r="J1839" i="2" s="1"/>
  <c r="K1839" i="2" s="1"/>
  <c r="L1839" i="2" s="1"/>
  <c r="I2034" i="2"/>
  <c r="J2034" i="2" s="1"/>
  <c r="K2034" i="2" s="1"/>
  <c r="L2034" i="2" s="1"/>
  <c r="I2373" i="2"/>
  <c r="J2373" i="2" s="1"/>
  <c r="K2373" i="2" s="1"/>
  <c r="L2373" i="2" s="1"/>
  <c r="I2035" i="2"/>
  <c r="J2035" i="2" s="1"/>
  <c r="K2035" i="2" s="1"/>
  <c r="L2035" i="2" s="1"/>
  <c r="I3074" i="2"/>
  <c r="J3074" i="2" s="1"/>
  <c r="K3074" i="2" s="1"/>
  <c r="L3074" i="2" s="1"/>
  <c r="I915" i="2"/>
  <c r="J915" i="2" s="1"/>
  <c r="K915" i="2" s="1"/>
  <c r="L915" i="2" s="1"/>
  <c r="I1840" i="2"/>
  <c r="J1840" i="2" s="1"/>
  <c r="K1840" i="2" s="1"/>
  <c r="L1840" i="2" s="1"/>
  <c r="I1742" i="2"/>
  <c r="J1742" i="2" s="1"/>
  <c r="K1742" i="2" s="1"/>
  <c r="L1742" i="2" s="1"/>
  <c r="I1743" i="2"/>
  <c r="J1743" i="2" s="1"/>
  <c r="K1743" i="2" s="1"/>
  <c r="L1743" i="2" s="1"/>
  <c r="I3075" i="2"/>
  <c r="J3075" i="2" s="1"/>
  <c r="K3075" i="2" s="1"/>
  <c r="L3075" i="2" s="1"/>
  <c r="I3076" i="2"/>
  <c r="J3076" i="2" s="1"/>
  <c r="K3076" i="2" s="1"/>
  <c r="L3076" i="2" s="1"/>
  <c r="I2036" i="2"/>
  <c r="J2036" i="2" s="1"/>
  <c r="K2036" i="2" s="1"/>
  <c r="L2036" i="2" s="1"/>
  <c r="I1048" i="2"/>
  <c r="J1048" i="2" s="1"/>
  <c r="K1048" i="2" s="1"/>
  <c r="L1048" i="2" s="1"/>
  <c r="I1744" i="2"/>
  <c r="J1744" i="2" s="1"/>
  <c r="K1744" i="2" s="1"/>
  <c r="L1744" i="2" s="1"/>
  <c r="I1534" i="2"/>
  <c r="J1534" i="2" s="1"/>
  <c r="K1534" i="2" s="1"/>
  <c r="L1534" i="2" s="1"/>
  <c r="I2037" i="2"/>
  <c r="J2037" i="2" s="1"/>
  <c r="K2037" i="2" s="1"/>
  <c r="L2037" i="2" s="1"/>
  <c r="I1841" i="2"/>
  <c r="J1841" i="2" s="1"/>
  <c r="K1841" i="2" s="1"/>
  <c r="L1841" i="2" s="1"/>
  <c r="I1745" i="2"/>
  <c r="J1745" i="2" s="1"/>
  <c r="K1745" i="2" s="1"/>
  <c r="L1745" i="2" s="1"/>
  <c r="I2567" i="2"/>
  <c r="J2567" i="2" s="1"/>
  <c r="K2567" i="2" s="1"/>
  <c r="L2567" i="2" s="1"/>
  <c r="I916" i="2"/>
  <c r="J916" i="2" s="1"/>
  <c r="K916" i="2" s="1"/>
  <c r="L916" i="2" s="1"/>
  <c r="I2374" i="2"/>
  <c r="J2374" i="2" s="1"/>
  <c r="K2374" i="2" s="1"/>
  <c r="L2374" i="2" s="1"/>
  <c r="I917" i="2"/>
  <c r="J917" i="2" s="1"/>
  <c r="K917" i="2" s="1"/>
  <c r="L917" i="2" s="1"/>
  <c r="I2038" i="2"/>
  <c r="J2038" i="2" s="1"/>
  <c r="K2038" i="2" s="1"/>
  <c r="L2038" i="2" s="1"/>
  <c r="I918" i="2"/>
  <c r="J918" i="2" s="1"/>
  <c r="K918" i="2" s="1"/>
  <c r="L918" i="2" s="1"/>
  <c r="I1483" i="2"/>
  <c r="J1483" i="2" s="1"/>
  <c r="K1483" i="2" s="1"/>
  <c r="L1483" i="2" s="1"/>
  <c r="I2039" i="2"/>
  <c r="J2039" i="2" s="1"/>
  <c r="K2039" i="2" s="1"/>
  <c r="L2039" i="2" s="1"/>
  <c r="I1746" i="2"/>
  <c r="J1746" i="2" s="1"/>
  <c r="K1746" i="2" s="1"/>
  <c r="L1746" i="2" s="1"/>
  <c r="I2872" i="2"/>
  <c r="J2872" i="2" s="1"/>
  <c r="K2872" i="2" s="1"/>
  <c r="L2872" i="2" s="1"/>
  <c r="I2873" i="2"/>
  <c r="J2873" i="2" s="1"/>
  <c r="K2873" i="2" s="1"/>
  <c r="L2873" i="2" s="1"/>
  <c r="I919" i="2"/>
  <c r="J919" i="2" s="1"/>
  <c r="K919" i="2" s="1"/>
  <c r="L919" i="2" s="1"/>
  <c r="I203" i="2"/>
  <c r="J203" i="2" s="1"/>
  <c r="K203" i="2" s="1"/>
  <c r="L203" i="2" s="1"/>
  <c r="I920" i="2"/>
  <c r="J920" i="2" s="1"/>
  <c r="K920" i="2" s="1"/>
  <c r="L920" i="2" s="1"/>
  <c r="I921" i="2"/>
  <c r="J921" i="2" s="1"/>
  <c r="K921" i="2" s="1"/>
  <c r="L921" i="2" s="1"/>
  <c r="I2894" i="2"/>
  <c r="J2894" i="2" s="1"/>
  <c r="K2894" i="2" s="1"/>
  <c r="L2894" i="2" s="1"/>
  <c r="I503" i="2"/>
  <c r="J503" i="2" s="1"/>
  <c r="K503" i="2" s="1"/>
  <c r="L503" i="2" s="1"/>
  <c r="I2568" i="2"/>
  <c r="J2568" i="2" s="1"/>
  <c r="K2568" i="2" s="1"/>
  <c r="L2568" i="2" s="1"/>
  <c r="I1190" i="2"/>
  <c r="J1190" i="2" s="1"/>
  <c r="K1190" i="2" s="1"/>
  <c r="L1190" i="2" s="1"/>
  <c r="I204" i="2"/>
  <c r="J204" i="2" s="1"/>
  <c r="K204" i="2" s="1"/>
  <c r="L204" i="2" s="1"/>
  <c r="I2721" i="2"/>
  <c r="J2721" i="2" s="1"/>
  <c r="K2721" i="2" s="1"/>
  <c r="L2721" i="2" s="1"/>
  <c r="I1365" i="2"/>
  <c r="J1365" i="2" s="1"/>
  <c r="K1365" i="2" s="1"/>
  <c r="L1365" i="2" s="1"/>
  <c r="I2722" i="2"/>
  <c r="J2722" i="2" s="1"/>
  <c r="K2722" i="2" s="1"/>
  <c r="L2722" i="2" s="1"/>
  <c r="I922" i="2"/>
  <c r="J922" i="2" s="1"/>
  <c r="K922" i="2" s="1"/>
  <c r="L922" i="2" s="1"/>
  <c r="I3077" i="2"/>
  <c r="J3077" i="2" s="1"/>
  <c r="K3077" i="2" s="1"/>
  <c r="L3077" i="2" s="1"/>
  <c r="I205" i="2"/>
  <c r="J205" i="2" s="1"/>
  <c r="K205" i="2" s="1"/>
  <c r="L205" i="2" s="1"/>
  <c r="I3078" i="2"/>
  <c r="J3078" i="2" s="1"/>
  <c r="K3078" i="2" s="1"/>
  <c r="L3078" i="2" s="1"/>
  <c r="I206" i="2"/>
  <c r="J206" i="2" s="1"/>
  <c r="K206" i="2" s="1"/>
  <c r="L206" i="2" s="1"/>
  <c r="I207" i="2"/>
  <c r="J207" i="2" s="1"/>
  <c r="K207" i="2" s="1"/>
  <c r="L207" i="2" s="1"/>
  <c r="I1747" i="2"/>
  <c r="J1747" i="2" s="1"/>
  <c r="K1747" i="2" s="1"/>
  <c r="L1747" i="2" s="1"/>
  <c r="I1103" i="2"/>
  <c r="J1103" i="2" s="1"/>
  <c r="K1103" i="2" s="1"/>
  <c r="L1103" i="2" s="1"/>
  <c r="I2040" i="2"/>
  <c r="J2040" i="2" s="1"/>
  <c r="K2040" i="2" s="1"/>
  <c r="L2040" i="2" s="1"/>
  <c r="I3079" i="2"/>
  <c r="J3079" i="2" s="1"/>
  <c r="K3079" i="2" s="1"/>
  <c r="L3079" i="2" s="1"/>
  <c r="I1191" i="2"/>
  <c r="J1191" i="2" s="1"/>
  <c r="K1191" i="2" s="1"/>
  <c r="L1191" i="2" s="1"/>
  <c r="I1366" i="2"/>
  <c r="J1366" i="2" s="1"/>
  <c r="K1366" i="2" s="1"/>
  <c r="L1366" i="2" s="1"/>
  <c r="I923" i="2"/>
  <c r="J923" i="2" s="1"/>
  <c r="K923" i="2" s="1"/>
  <c r="L923" i="2" s="1"/>
  <c r="I924" i="2"/>
  <c r="J924" i="2" s="1"/>
  <c r="K924" i="2" s="1"/>
  <c r="L924" i="2" s="1"/>
  <c r="I1367" i="2"/>
  <c r="J1367" i="2" s="1"/>
  <c r="K1367" i="2" s="1"/>
  <c r="L1367" i="2" s="1"/>
  <c r="I1484" i="2"/>
  <c r="J1484" i="2" s="1"/>
  <c r="K1484" i="2" s="1"/>
  <c r="L1484" i="2" s="1"/>
  <c r="I925" i="2"/>
  <c r="J925" i="2" s="1"/>
  <c r="K925" i="2" s="1"/>
  <c r="L925" i="2" s="1"/>
  <c r="I926" i="2"/>
  <c r="J926" i="2" s="1"/>
  <c r="K926" i="2" s="1"/>
  <c r="L926" i="2" s="1"/>
  <c r="I1485" i="2"/>
  <c r="J1485" i="2" s="1"/>
  <c r="K1485" i="2" s="1"/>
  <c r="L1485" i="2" s="1"/>
  <c r="I2723" i="2"/>
  <c r="J2723" i="2" s="1"/>
  <c r="K2723" i="2" s="1"/>
  <c r="L2723" i="2" s="1"/>
  <c r="I2375" i="2"/>
  <c r="J2375" i="2" s="1"/>
  <c r="K2375" i="2" s="1"/>
  <c r="L2375" i="2" s="1"/>
  <c r="I1049" i="2"/>
  <c r="J1049" i="2" s="1"/>
  <c r="K1049" i="2" s="1"/>
  <c r="L1049" i="2" s="1"/>
  <c r="I208" i="2"/>
  <c r="J208" i="2" s="1"/>
  <c r="K208" i="2" s="1"/>
  <c r="L208" i="2" s="1"/>
  <c r="I2874" i="2"/>
  <c r="J2874" i="2" s="1"/>
  <c r="K2874" i="2" s="1"/>
  <c r="L2874" i="2" s="1"/>
  <c r="I209" i="2"/>
  <c r="J209" i="2" s="1"/>
  <c r="K209" i="2" s="1"/>
  <c r="L209" i="2" s="1"/>
  <c r="I2041" i="2"/>
  <c r="J2041" i="2" s="1"/>
  <c r="K2041" i="2" s="1"/>
  <c r="L2041" i="2" s="1"/>
  <c r="I260" i="2"/>
  <c r="J260" i="2" s="1"/>
  <c r="K260" i="2" s="1"/>
  <c r="L260" i="2" s="1"/>
  <c r="I210" i="2"/>
  <c r="J210" i="2" s="1"/>
  <c r="K210" i="2" s="1"/>
  <c r="L210" i="2" s="1"/>
  <c r="I2042" i="2"/>
  <c r="J2042" i="2" s="1"/>
  <c r="K2042" i="2" s="1"/>
  <c r="L2042" i="2" s="1"/>
  <c r="I927" i="2"/>
  <c r="J927" i="2" s="1"/>
  <c r="K927" i="2" s="1"/>
  <c r="L927" i="2" s="1"/>
  <c r="I1192" i="2"/>
  <c r="J1192" i="2" s="1"/>
  <c r="K1192" i="2" s="1"/>
  <c r="L1192" i="2" s="1"/>
  <c r="I3156" i="2"/>
  <c r="J3156" i="2" s="1"/>
  <c r="K3156" i="2" s="1"/>
  <c r="L3156" i="2" s="1"/>
  <c r="I2724" i="2"/>
  <c r="J2724" i="2" s="1"/>
  <c r="K2724" i="2" s="1"/>
  <c r="L2724" i="2" s="1"/>
  <c r="I2376" i="2"/>
  <c r="J2376" i="2" s="1"/>
  <c r="K2376" i="2" s="1"/>
  <c r="L2376" i="2" s="1"/>
  <c r="I504" i="2"/>
  <c r="J504" i="2" s="1"/>
  <c r="K504" i="2" s="1"/>
  <c r="L504" i="2" s="1"/>
  <c r="I1050" i="2"/>
  <c r="J1050" i="2" s="1"/>
  <c r="K1050" i="2" s="1"/>
  <c r="L1050" i="2" s="1"/>
  <c r="I505" i="2"/>
  <c r="J505" i="2" s="1"/>
  <c r="K505" i="2" s="1"/>
  <c r="L505" i="2" s="1"/>
  <c r="I2377" i="2"/>
  <c r="J2377" i="2" s="1"/>
  <c r="K2377" i="2" s="1"/>
  <c r="L2377" i="2" s="1"/>
  <c r="I2725" i="2"/>
  <c r="J2725" i="2" s="1"/>
  <c r="K2725" i="2" s="1"/>
  <c r="L2725" i="2" s="1"/>
  <c r="I3080" i="2"/>
  <c r="J3080" i="2" s="1"/>
  <c r="K3080" i="2" s="1"/>
  <c r="L3080" i="2" s="1"/>
  <c r="I2043" i="2"/>
  <c r="J2043" i="2" s="1"/>
  <c r="K2043" i="2" s="1"/>
  <c r="L2043" i="2" s="1"/>
  <c r="I2378" i="2"/>
  <c r="J2378" i="2" s="1"/>
  <c r="K2378" i="2" s="1"/>
  <c r="L2378" i="2" s="1"/>
  <c r="I3081" i="2"/>
  <c r="J3081" i="2" s="1"/>
  <c r="K3081" i="2" s="1"/>
  <c r="L3081" i="2" s="1"/>
  <c r="I2044" i="2"/>
  <c r="J2044" i="2" s="1"/>
  <c r="K2044" i="2" s="1"/>
  <c r="L2044" i="2" s="1"/>
  <c r="I1748" i="2"/>
  <c r="J1748" i="2" s="1"/>
  <c r="K1748" i="2" s="1"/>
  <c r="L1748" i="2" s="1"/>
  <c r="I1842" i="2"/>
  <c r="J1842" i="2" s="1"/>
  <c r="K1842" i="2" s="1"/>
  <c r="L1842" i="2" s="1"/>
  <c r="I2875" i="2"/>
  <c r="J2875" i="2" s="1"/>
  <c r="K2875" i="2" s="1"/>
  <c r="L2875" i="2" s="1"/>
  <c r="I1193" i="2"/>
  <c r="J1193" i="2" s="1"/>
  <c r="K1193" i="2" s="1"/>
  <c r="L1193" i="2" s="1"/>
  <c r="I1194" i="2"/>
  <c r="J1194" i="2" s="1"/>
  <c r="K1194" i="2" s="1"/>
  <c r="L1194" i="2" s="1"/>
  <c r="I1195" i="2"/>
  <c r="J1195" i="2" s="1"/>
  <c r="K1195" i="2" s="1"/>
  <c r="L1195" i="2" s="1"/>
  <c r="I1749" i="2"/>
  <c r="J1749" i="2" s="1"/>
  <c r="K1749" i="2" s="1"/>
  <c r="L1749" i="2" s="1"/>
  <c r="I1843" i="2"/>
  <c r="J1843" i="2" s="1"/>
  <c r="K1843" i="2" s="1"/>
  <c r="L1843" i="2" s="1"/>
  <c r="I928" i="2"/>
  <c r="J928" i="2" s="1"/>
  <c r="K928" i="2" s="1"/>
  <c r="L928" i="2" s="1"/>
  <c r="I1750" i="2"/>
  <c r="J1750" i="2" s="1"/>
  <c r="K1750" i="2" s="1"/>
  <c r="L1750" i="2" s="1"/>
  <c r="I2726" i="2"/>
  <c r="J2726" i="2" s="1"/>
  <c r="K2726" i="2" s="1"/>
  <c r="L2726" i="2" s="1"/>
  <c r="I2569" i="2"/>
  <c r="J2569" i="2" s="1"/>
  <c r="K2569" i="2" s="1"/>
  <c r="L2569" i="2" s="1"/>
  <c r="I2727" i="2"/>
  <c r="J2727" i="2" s="1"/>
  <c r="K2727" i="2" s="1"/>
  <c r="L2727" i="2" s="1"/>
  <c r="I1196" i="2"/>
  <c r="J1196" i="2" s="1"/>
  <c r="K1196" i="2" s="1"/>
  <c r="L1196" i="2" s="1"/>
  <c r="I929" i="2"/>
  <c r="J929" i="2" s="1"/>
  <c r="K929" i="2" s="1"/>
  <c r="L929" i="2" s="1"/>
  <c r="I413" i="2"/>
  <c r="J413" i="2" s="1"/>
  <c r="K413" i="2" s="1"/>
  <c r="L413" i="2" s="1"/>
  <c r="I930" i="2"/>
  <c r="J930" i="2" s="1"/>
  <c r="K930" i="2" s="1"/>
  <c r="L930" i="2" s="1"/>
  <c r="I1197" i="2"/>
  <c r="J1197" i="2" s="1"/>
  <c r="K1197" i="2" s="1"/>
  <c r="L1197" i="2" s="1"/>
  <c r="I2379" i="2"/>
  <c r="J2379" i="2" s="1"/>
  <c r="K2379" i="2" s="1"/>
  <c r="L2379" i="2" s="1"/>
  <c r="I2570" i="2"/>
  <c r="J2570" i="2" s="1"/>
  <c r="K2570" i="2" s="1"/>
  <c r="L2570" i="2" s="1"/>
  <c r="I3082" i="2"/>
  <c r="J3082" i="2" s="1"/>
  <c r="K3082" i="2" s="1"/>
  <c r="L3082" i="2" s="1"/>
  <c r="I3083" i="2"/>
  <c r="J3083" i="2" s="1"/>
  <c r="K3083" i="2" s="1"/>
  <c r="L3083" i="2" s="1"/>
  <c r="I414" i="2"/>
  <c r="J414" i="2" s="1"/>
  <c r="K414" i="2" s="1"/>
  <c r="L414" i="2" s="1"/>
  <c r="I2728" i="2"/>
  <c r="J2728" i="2" s="1"/>
  <c r="K2728" i="2" s="1"/>
  <c r="L2728" i="2" s="1"/>
  <c r="I2380" i="2"/>
  <c r="J2380" i="2" s="1"/>
  <c r="K2380" i="2" s="1"/>
  <c r="L2380" i="2" s="1"/>
  <c r="I1104" i="2"/>
  <c r="J1104" i="2" s="1"/>
  <c r="K1104" i="2" s="1"/>
  <c r="L1104" i="2" s="1"/>
  <c r="I2571" i="2"/>
  <c r="J2571" i="2" s="1"/>
  <c r="K2571" i="2" s="1"/>
  <c r="L2571" i="2" s="1"/>
  <c r="I2729" i="2"/>
  <c r="J2729" i="2" s="1"/>
  <c r="K2729" i="2" s="1"/>
  <c r="L2729" i="2" s="1"/>
  <c r="I2381" i="2"/>
  <c r="J2381" i="2" s="1"/>
  <c r="K2381" i="2" s="1"/>
  <c r="L2381" i="2" s="1"/>
  <c r="I2572" i="2"/>
  <c r="J2572" i="2" s="1"/>
  <c r="K2572" i="2" s="1"/>
  <c r="L2572" i="2" s="1"/>
  <c r="I2382" i="2"/>
  <c r="J2382" i="2" s="1"/>
  <c r="K2382" i="2" s="1"/>
  <c r="L2382" i="2" s="1"/>
  <c r="I2910" i="2"/>
  <c r="J2910" i="2" s="1"/>
  <c r="K2910" i="2" s="1"/>
  <c r="L2910" i="2" s="1"/>
  <c r="I2383" i="2"/>
  <c r="J2383" i="2" s="1"/>
  <c r="K2383" i="2" s="1"/>
  <c r="L2383" i="2" s="1"/>
  <c r="I2730" i="2"/>
  <c r="J2730" i="2" s="1"/>
  <c r="K2730" i="2" s="1"/>
  <c r="L2730" i="2" s="1"/>
  <c r="I1844" i="2"/>
  <c r="J1844" i="2" s="1"/>
  <c r="K1844" i="2" s="1"/>
  <c r="L1844" i="2" s="1"/>
  <c r="I931" i="2"/>
  <c r="J931" i="2" s="1"/>
  <c r="K931" i="2" s="1"/>
  <c r="L931" i="2" s="1"/>
  <c r="I1486" i="2"/>
  <c r="J1486" i="2" s="1"/>
  <c r="K1486" i="2" s="1"/>
  <c r="L1486" i="2" s="1"/>
  <c r="I2876" i="2"/>
  <c r="J2876" i="2" s="1"/>
  <c r="K2876" i="2" s="1"/>
  <c r="L2876" i="2" s="1"/>
  <c r="I543" i="2"/>
  <c r="J543" i="2" s="1"/>
  <c r="K543" i="2" s="1"/>
  <c r="L543" i="2" s="1"/>
  <c r="I1535" i="2"/>
  <c r="J1535" i="2" s="1"/>
  <c r="K1535" i="2" s="1"/>
  <c r="L1535" i="2" s="1"/>
  <c r="I1105" i="2"/>
  <c r="J1105" i="2" s="1"/>
  <c r="K1105" i="2" s="1"/>
  <c r="L1105" i="2" s="1"/>
  <c r="I1198" i="2"/>
  <c r="J1198" i="2" s="1"/>
  <c r="K1198" i="2" s="1"/>
  <c r="L1198" i="2" s="1"/>
  <c r="I1368" i="2"/>
  <c r="J1368" i="2" s="1"/>
  <c r="K1368" i="2" s="1"/>
  <c r="L1368" i="2" s="1"/>
  <c r="I211" i="2"/>
  <c r="J211" i="2" s="1"/>
  <c r="K211" i="2" s="1"/>
  <c r="L211" i="2" s="1"/>
  <c r="I2573" i="2"/>
  <c r="J2573" i="2" s="1"/>
  <c r="K2573" i="2" s="1"/>
  <c r="L2573" i="2" s="1"/>
  <c r="I932" i="2"/>
  <c r="J932" i="2" s="1"/>
  <c r="K932" i="2" s="1"/>
  <c r="L932" i="2" s="1"/>
  <c r="I212" i="2"/>
  <c r="J212" i="2" s="1"/>
  <c r="K212" i="2" s="1"/>
  <c r="L212" i="2" s="1"/>
  <c r="I415" i="2"/>
  <c r="J415" i="2" s="1"/>
  <c r="K415" i="2" s="1"/>
  <c r="L415" i="2" s="1"/>
  <c r="I2045" i="2"/>
  <c r="J2045" i="2" s="1"/>
  <c r="K2045" i="2" s="1"/>
  <c r="L2045" i="2" s="1"/>
  <c r="I3084" i="2"/>
  <c r="J3084" i="2" s="1"/>
  <c r="K3084" i="2" s="1"/>
  <c r="L3084" i="2" s="1"/>
  <c r="I416" i="2"/>
  <c r="J416" i="2" s="1"/>
  <c r="K416" i="2" s="1"/>
  <c r="L416" i="2" s="1"/>
  <c r="I2731" i="2"/>
  <c r="J2731" i="2" s="1"/>
  <c r="K2731" i="2" s="1"/>
  <c r="L2731" i="2" s="1"/>
  <c r="I213" i="2"/>
  <c r="J213" i="2" s="1"/>
  <c r="K213" i="2" s="1"/>
  <c r="L213" i="2" s="1"/>
  <c r="I933" i="2"/>
  <c r="J933" i="2" s="1"/>
  <c r="K933" i="2" s="1"/>
  <c r="L933" i="2" s="1"/>
  <c r="I214" i="2"/>
  <c r="J214" i="2" s="1"/>
  <c r="K214" i="2" s="1"/>
  <c r="L214" i="2" s="1"/>
  <c r="I1106" i="2"/>
  <c r="J1106" i="2" s="1"/>
  <c r="K1106" i="2" s="1"/>
  <c r="L1106" i="2" s="1"/>
  <c r="I506" i="2"/>
  <c r="J506" i="2" s="1"/>
  <c r="K506" i="2" s="1"/>
  <c r="L506" i="2" s="1"/>
  <c r="I215" i="2"/>
  <c r="J215" i="2" s="1"/>
  <c r="K215" i="2" s="1"/>
  <c r="L215" i="2" s="1"/>
  <c r="I2574" i="2"/>
  <c r="J2574" i="2" s="1"/>
  <c r="K2574" i="2" s="1"/>
  <c r="L2574" i="2" s="1"/>
  <c r="I934" i="2"/>
  <c r="J934" i="2" s="1"/>
  <c r="K934" i="2" s="1"/>
  <c r="L934" i="2" s="1"/>
  <c r="I544" i="2"/>
  <c r="J544" i="2" s="1"/>
  <c r="K544" i="2" s="1"/>
  <c r="L544" i="2" s="1"/>
  <c r="I321" i="2"/>
  <c r="J321" i="2" s="1"/>
  <c r="K321" i="2" s="1"/>
  <c r="L321" i="2" s="1"/>
  <c r="I1751" i="2"/>
  <c r="J1751" i="2" s="1"/>
  <c r="K1751" i="2" s="1"/>
  <c r="L1751" i="2" s="1"/>
  <c r="I2384" i="2"/>
  <c r="J2384" i="2" s="1"/>
  <c r="K2384" i="2" s="1"/>
  <c r="L2384" i="2" s="1"/>
  <c r="I2385" i="2"/>
  <c r="J2385" i="2" s="1"/>
  <c r="K2385" i="2" s="1"/>
  <c r="L2385" i="2" s="1"/>
  <c r="I1369" i="2"/>
  <c r="J1369" i="2" s="1"/>
  <c r="K1369" i="2" s="1"/>
  <c r="L1369" i="2" s="1"/>
  <c r="I1051" i="2"/>
  <c r="J1051" i="2" s="1"/>
  <c r="K1051" i="2" s="1"/>
  <c r="L1051" i="2" s="1"/>
  <c r="I1052" i="2"/>
  <c r="J1052" i="2" s="1"/>
  <c r="K1052" i="2" s="1"/>
  <c r="L1052" i="2" s="1"/>
  <c r="I1752" i="2"/>
  <c r="J1752" i="2" s="1"/>
  <c r="K1752" i="2" s="1"/>
  <c r="L1752" i="2" s="1"/>
  <c r="I3085" i="2"/>
  <c r="J3085" i="2" s="1"/>
  <c r="K3085" i="2" s="1"/>
  <c r="L3085" i="2" s="1"/>
  <c r="I935" i="2"/>
  <c r="J935" i="2" s="1"/>
  <c r="K935" i="2" s="1"/>
  <c r="L935" i="2" s="1"/>
  <c r="I2046" i="2"/>
  <c r="J2046" i="2" s="1"/>
  <c r="K2046" i="2" s="1"/>
  <c r="L2046" i="2" s="1"/>
  <c r="I2732" i="2"/>
  <c r="J2732" i="2" s="1"/>
  <c r="K2732" i="2" s="1"/>
  <c r="L2732" i="2" s="1"/>
  <c r="I2386" i="2"/>
  <c r="J2386" i="2" s="1"/>
  <c r="K2386" i="2" s="1"/>
  <c r="L2386" i="2" s="1"/>
  <c r="I1053" i="2"/>
  <c r="J1053" i="2" s="1"/>
  <c r="K1053" i="2" s="1"/>
  <c r="L1053" i="2" s="1"/>
  <c r="I1370" i="2"/>
  <c r="J1370" i="2" s="1"/>
  <c r="K1370" i="2" s="1"/>
  <c r="L1370" i="2" s="1"/>
  <c r="I1753" i="2"/>
  <c r="J1753" i="2" s="1"/>
  <c r="K1753" i="2" s="1"/>
  <c r="L1753" i="2" s="1"/>
  <c r="I2387" i="2"/>
  <c r="J2387" i="2" s="1"/>
  <c r="K2387" i="2" s="1"/>
  <c r="L2387" i="2" s="1"/>
  <c r="I1754" i="2"/>
  <c r="J1754" i="2" s="1"/>
  <c r="K1754" i="2" s="1"/>
  <c r="L1754" i="2" s="1"/>
  <c r="I2575" i="2"/>
  <c r="J2575" i="2" s="1"/>
  <c r="K2575" i="2" s="1"/>
  <c r="L2575" i="2" s="1"/>
  <c r="I2388" i="2"/>
  <c r="J2388" i="2" s="1"/>
  <c r="K2388" i="2" s="1"/>
  <c r="L2388" i="2" s="1"/>
  <c r="I2795" i="2"/>
  <c r="J2795" i="2" s="1"/>
  <c r="K2795" i="2" s="1"/>
  <c r="L2795" i="2" s="1"/>
  <c r="I2576" i="2"/>
  <c r="J2576" i="2" s="1"/>
  <c r="K2576" i="2" s="1"/>
  <c r="L2576" i="2" s="1"/>
  <c r="I3086" i="2"/>
  <c r="J3086" i="2" s="1"/>
  <c r="K3086" i="2" s="1"/>
  <c r="L3086" i="2" s="1"/>
  <c r="I216" i="2"/>
  <c r="J216" i="2" s="1"/>
  <c r="K216" i="2" s="1"/>
  <c r="L216" i="2" s="1"/>
  <c r="I1116" i="2"/>
  <c r="J1116" i="2" s="1"/>
  <c r="K1116" i="2" s="1"/>
  <c r="L1116" i="2" s="1"/>
  <c r="I936" i="2"/>
  <c r="J936" i="2" s="1"/>
  <c r="K936" i="2" s="1"/>
  <c r="L936" i="2" s="1"/>
  <c r="I2089" i="2"/>
  <c r="J2089" i="2" s="1"/>
  <c r="K2089" i="2" s="1"/>
  <c r="L2089" i="2" s="1"/>
  <c r="I322" i="2"/>
  <c r="J322" i="2" s="1"/>
  <c r="K322" i="2" s="1"/>
  <c r="L322" i="2" s="1"/>
  <c r="I217" i="2"/>
  <c r="J217" i="2" s="1"/>
  <c r="K217" i="2" s="1"/>
  <c r="L217" i="2" s="1"/>
  <c r="I218" i="2"/>
  <c r="J218" i="2" s="1"/>
  <c r="K218" i="2" s="1"/>
  <c r="L218" i="2" s="1"/>
  <c r="I2389" i="2"/>
  <c r="J2389" i="2" s="1"/>
  <c r="K2389" i="2" s="1"/>
  <c r="L2389" i="2" s="1"/>
  <c r="I2047" i="2"/>
  <c r="J2047" i="2" s="1"/>
  <c r="K2047" i="2" s="1"/>
  <c r="L2047" i="2" s="1"/>
  <c r="I417" i="2"/>
  <c r="J417" i="2" s="1"/>
  <c r="K417" i="2" s="1"/>
  <c r="L417" i="2" s="1"/>
  <c r="I1371" i="2"/>
  <c r="J1371" i="2" s="1"/>
  <c r="K1371" i="2" s="1"/>
  <c r="L1371" i="2" s="1"/>
  <c r="I507" i="2"/>
  <c r="J507" i="2" s="1"/>
  <c r="K507" i="2" s="1"/>
  <c r="L507" i="2" s="1"/>
  <c r="I2390" i="2"/>
  <c r="J2390" i="2" s="1"/>
  <c r="K2390" i="2" s="1"/>
  <c r="L2390" i="2" s="1"/>
  <c r="I1845" i="2"/>
  <c r="J1845" i="2" s="1"/>
  <c r="K1845" i="2" s="1"/>
  <c r="L1845" i="2" s="1"/>
  <c r="I1755" i="2"/>
  <c r="J1755" i="2" s="1"/>
  <c r="K1755" i="2" s="1"/>
  <c r="L1755" i="2" s="1"/>
  <c r="I418" i="2"/>
  <c r="J418" i="2" s="1"/>
  <c r="K418" i="2" s="1"/>
  <c r="L418" i="2" s="1"/>
  <c r="I1756" i="2"/>
  <c r="J1756" i="2" s="1"/>
  <c r="K1756" i="2" s="1"/>
  <c r="L1756" i="2" s="1"/>
  <c r="I219" i="2"/>
  <c r="J219" i="2" s="1"/>
  <c r="K219" i="2" s="1"/>
  <c r="L219" i="2" s="1"/>
  <c r="I220" i="2"/>
  <c r="J220" i="2" s="1"/>
  <c r="K220" i="2" s="1"/>
  <c r="L220" i="2" s="1"/>
  <c r="I221" i="2"/>
  <c r="J221" i="2" s="1"/>
  <c r="K221" i="2" s="1"/>
  <c r="L221" i="2" s="1"/>
  <c r="I937" i="2"/>
  <c r="J937" i="2" s="1"/>
  <c r="K937" i="2" s="1"/>
  <c r="L937" i="2" s="1"/>
  <c r="I323" i="2"/>
  <c r="J323" i="2" s="1"/>
  <c r="K323" i="2" s="1"/>
  <c r="L323" i="2" s="1"/>
  <c r="I1487" i="2"/>
  <c r="J1487" i="2" s="1"/>
  <c r="K1487" i="2" s="1"/>
  <c r="L1487" i="2" s="1"/>
  <c r="I3087" i="2"/>
  <c r="J3087" i="2" s="1"/>
  <c r="K3087" i="2" s="1"/>
  <c r="L3087" i="2" s="1"/>
  <c r="I1199" i="2"/>
  <c r="J1199" i="2" s="1"/>
  <c r="K1199" i="2" s="1"/>
  <c r="L1199" i="2" s="1"/>
  <c r="I222" i="2"/>
  <c r="J222" i="2" s="1"/>
  <c r="K222" i="2" s="1"/>
  <c r="L222" i="2" s="1"/>
  <c r="I223" i="2"/>
  <c r="J223" i="2" s="1"/>
  <c r="K223" i="2" s="1"/>
  <c r="L223" i="2" s="1"/>
  <c r="I1054" i="2"/>
  <c r="J1054" i="2" s="1"/>
  <c r="K1054" i="2" s="1"/>
  <c r="L1054" i="2" s="1"/>
  <c r="I1846" i="2"/>
  <c r="J1846" i="2" s="1"/>
  <c r="K1846" i="2" s="1"/>
  <c r="L1846" i="2" s="1"/>
  <c r="I2090" i="2"/>
  <c r="J2090" i="2" s="1"/>
  <c r="K2090" i="2" s="1"/>
  <c r="L2090" i="2" s="1"/>
  <c r="I938" i="2"/>
  <c r="J938" i="2" s="1"/>
  <c r="K938" i="2" s="1"/>
  <c r="L938" i="2" s="1"/>
  <c r="I2733" i="2"/>
  <c r="J2733" i="2" s="1"/>
  <c r="K2733" i="2" s="1"/>
  <c r="L2733" i="2" s="1"/>
  <c r="I324" i="2"/>
  <c r="J324" i="2" s="1"/>
  <c r="K324" i="2" s="1"/>
  <c r="L324" i="2" s="1"/>
  <c r="I939" i="2"/>
  <c r="J939" i="2" s="1"/>
  <c r="K939" i="2" s="1"/>
  <c r="L939" i="2" s="1"/>
  <c r="I1536" i="2"/>
  <c r="J1536" i="2" s="1"/>
  <c r="K1536" i="2" s="1"/>
  <c r="L1536" i="2" s="1"/>
  <c r="I940" i="2"/>
  <c r="J940" i="2" s="1"/>
  <c r="K940" i="2" s="1"/>
  <c r="L940" i="2" s="1"/>
  <c r="I1488" i="2"/>
  <c r="J1488" i="2" s="1"/>
  <c r="K1488" i="2" s="1"/>
  <c r="L1488" i="2" s="1"/>
  <c r="I941" i="2"/>
  <c r="J941" i="2" s="1"/>
  <c r="K941" i="2" s="1"/>
  <c r="L941" i="2" s="1"/>
  <c r="I1757" i="2"/>
  <c r="J1757" i="2" s="1"/>
  <c r="K1757" i="2" s="1"/>
  <c r="L1757" i="2" s="1"/>
  <c r="I942" i="2"/>
  <c r="J942" i="2" s="1"/>
  <c r="K942" i="2" s="1"/>
  <c r="L942" i="2" s="1"/>
  <c r="I943" i="2"/>
  <c r="J943" i="2" s="1"/>
  <c r="K943" i="2" s="1"/>
  <c r="L943" i="2" s="1"/>
  <c r="I325" i="2"/>
  <c r="J325" i="2" s="1"/>
  <c r="K325" i="2" s="1"/>
  <c r="L325" i="2" s="1"/>
  <c r="I326" i="2"/>
  <c r="J326" i="2" s="1"/>
  <c r="K326" i="2" s="1"/>
  <c r="L326" i="2" s="1"/>
  <c r="I1537" i="2"/>
  <c r="J1537" i="2" s="1"/>
  <c r="K1537" i="2" s="1"/>
  <c r="L1537" i="2" s="1"/>
  <c r="I1372" i="2"/>
  <c r="J1372" i="2" s="1"/>
  <c r="K1372" i="2" s="1"/>
  <c r="L1372" i="2" s="1"/>
  <c r="I1758" i="2"/>
  <c r="J1758" i="2" s="1"/>
  <c r="K1758" i="2" s="1"/>
  <c r="L1758" i="2" s="1"/>
  <c r="I224" i="2"/>
  <c r="J224" i="2" s="1"/>
  <c r="K224" i="2" s="1"/>
  <c r="L224" i="2" s="1"/>
  <c r="I1055" i="2"/>
  <c r="J1055" i="2" s="1"/>
  <c r="K1055" i="2" s="1"/>
  <c r="L1055" i="2" s="1"/>
  <c r="I1056" i="2"/>
  <c r="J1056" i="2" s="1"/>
  <c r="K1056" i="2" s="1"/>
  <c r="L1056" i="2" s="1"/>
  <c r="I2391" i="2"/>
  <c r="J2391" i="2" s="1"/>
  <c r="K2391" i="2" s="1"/>
  <c r="L2391" i="2" s="1"/>
  <c r="I2048" i="2"/>
  <c r="J2048" i="2" s="1"/>
  <c r="K2048" i="2" s="1"/>
  <c r="L2048" i="2" s="1"/>
  <c r="I2392" i="2"/>
  <c r="J2392" i="2" s="1"/>
  <c r="K2392" i="2" s="1"/>
  <c r="L2392" i="2" s="1"/>
  <c r="I225" i="2"/>
  <c r="J225" i="2" s="1"/>
  <c r="K225" i="2" s="1"/>
  <c r="L225" i="2" s="1"/>
  <c r="I1759" i="2"/>
  <c r="J1759" i="2" s="1"/>
  <c r="K1759" i="2" s="1"/>
  <c r="L1759" i="2" s="1"/>
  <c r="I2393" i="2"/>
  <c r="J2393" i="2" s="1"/>
  <c r="K2393" i="2" s="1"/>
  <c r="L2393" i="2" s="1"/>
  <c r="I2877" i="2"/>
  <c r="J2877" i="2" s="1"/>
  <c r="K2877" i="2" s="1"/>
  <c r="L2877" i="2" s="1"/>
  <c r="I2394" i="2"/>
  <c r="J2394" i="2" s="1"/>
  <c r="K2394" i="2" s="1"/>
  <c r="L2394" i="2" s="1"/>
  <c r="I3088" i="2"/>
  <c r="J3088" i="2" s="1"/>
  <c r="K3088" i="2" s="1"/>
  <c r="L3088" i="2" s="1"/>
  <c r="I1057" i="2"/>
  <c r="J1057" i="2" s="1"/>
  <c r="K1057" i="2" s="1"/>
  <c r="L1057" i="2" s="1"/>
  <c r="I3135" i="2"/>
  <c r="J3135" i="2" s="1"/>
  <c r="K3135" i="2" s="1"/>
  <c r="L3135" i="2" s="1"/>
  <c r="I944" i="2"/>
  <c r="J944" i="2" s="1"/>
  <c r="K944" i="2" s="1"/>
  <c r="L944" i="2" s="1"/>
  <c r="I1760" i="2"/>
  <c r="J1760" i="2" s="1"/>
  <c r="K1760" i="2" s="1"/>
  <c r="L1760" i="2" s="1"/>
  <c r="I2049" i="2"/>
  <c r="J2049" i="2" s="1"/>
  <c r="K2049" i="2" s="1"/>
  <c r="L2049" i="2" s="1"/>
  <c r="I945" i="2"/>
  <c r="J945" i="2" s="1"/>
  <c r="K945" i="2" s="1"/>
  <c r="L945" i="2" s="1"/>
  <c r="I1200" i="2"/>
  <c r="J1200" i="2" s="1"/>
  <c r="K1200" i="2" s="1"/>
  <c r="L1200" i="2" s="1"/>
  <c r="I2796" i="2"/>
  <c r="J2796" i="2" s="1"/>
  <c r="K2796" i="2" s="1"/>
  <c r="L2796" i="2" s="1"/>
  <c r="I1373" i="2"/>
  <c r="J1373" i="2" s="1"/>
  <c r="K1373" i="2" s="1"/>
  <c r="L1373" i="2" s="1"/>
  <c r="I2734" i="2"/>
  <c r="J2734" i="2" s="1"/>
  <c r="K2734" i="2" s="1"/>
  <c r="L2734" i="2" s="1"/>
  <c r="I2395" i="2"/>
  <c r="J2395" i="2" s="1"/>
  <c r="K2395" i="2" s="1"/>
  <c r="L2395" i="2" s="1"/>
  <c r="I545" i="2"/>
  <c r="J545" i="2" s="1"/>
  <c r="K545" i="2" s="1"/>
  <c r="L545" i="2" s="1"/>
  <c r="I2735" i="2"/>
  <c r="J2735" i="2" s="1"/>
  <c r="K2735" i="2" s="1"/>
  <c r="L2735" i="2" s="1"/>
  <c r="I1374" i="2"/>
  <c r="J1374" i="2" s="1"/>
  <c r="K1374" i="2" s="1"/>
  <c r="L1374" i="2" s="1"/>
  <c r="I2050" i="2"/>
  <c r="J2050" i="2" s="1"/>
  <c r="K2050" i="2" s="1"/>
  <c r="L2050" i="2" s="1"/>
  <c r="I2396" i="2"/>
  <c r="J2396" i="2" s="1"/>
  <c r="K2396" i="2" s="1"/>
  <c r="L2396" i="2" s="1"/>
  <c r="I2397" i="2"/>
  <c r="J2397" i="2" s="1"/>
  <c r="K2397" i="2" s="1"/>
  <c r="L2397" i="2" s="1"/>
  <c r="I2051" i="2"/>
  <c r="J2051" i="2" s="1"/>
  <c r="K2051" i="2" s="1"/>
  <c r="L2051" i="2" s="1"/>
  <c r="I1847" i="2"/>
  <c r="J1847" i="2" s="1"/>
  <c r="K1847" i="2" s="1"/>
  <c r="L1847" i="2" s="1"/>
  <c r="I226" i="2"/>
  <c r="J226" i="2" s="1"/>
  <c r="K226" i="2" s="1"/>
  <c r="L226" i="2" s="1"/>
  <c r="I419" i="2"/>
  <c r="J419" i="2" s="1"/>
  <c r="K419" i="2" s="1"/>
  <c r="L419" i="2" s="1"/>
  <c r="I2577" i="2"/>
  <c r="J2577" i="2" s="1"/>
  <c r="K2577" i="2" s="1"/>
  <c r="L2577" i="2" s="1"/>
  <c r="I1848" i="2"/>
  <c r="J1848" i="2" s="1"/>
  <c r="K1848" i="2" s="1"/>
  <c r="L1848" i="2" s="1"/>
  <c r="I508" i="2"/>
  <c r="J508" i="2" s="1"/>
  <c r="K508" i="2" s="1"/>
  <c r="L508" i="2" s="1"/>
  <c r="I946" i="2"/>
  <c r="J946" i="2" s="1"/>
  <c r="K946" i="2" s="1"/>
  <c r="L946" i="2" s="1"/>
  <c r="I947" i="2"/>
  <c r="J947" i="2" s="1"/>
  <c r="K947" i="2" s="1"/>
  <c r="L947" i="2" s="1"/>
  <c r="I1489" i="2"/>
  <c r="J1489" i="2" s="1"/>
  <c r="K1489" i="2" s="1"/>
  <c r="L1489" i="2" s="1"/>
  <c r="I2578" i="2"/>
  <c r="J2578" i="2" s="1"/>
  <c r="K2578" i="2" s="1"/>
  <c r="L2578" i="2" s="1"/>
  <c r="I227" i="2"/>
  <c r="J227" i="2" s="1"/>
  <c r="K227" i="2" s="1"/>
  <c r="L227" i="2" s="1"/>
  <c r="I509" i="2"/>
  <c r="J509" i="2" s="1"/>
  <c r="K509" i="2" s="1"/>
  <c r="L509" i="2" s="1"/>
  <c r="I1375" i="2"/>
  <c r="J1375" i="2" s="1"/>
  <c r="K1375" i="2" s="1"/>
  <c r="L1375" i="2" s="1"/>
  <c r="I948" i="2"/>
  <c r="J948" i="2" s="1"/>
  <c r="K948" i="2" s="1"/>
  <c r="L948" i="2" s="1"/>
  <c r="I3119" i="2"/>
  <c r="J3119" i="2" s="1"/>
  <c r="K3119" i="2" s="1"/>
  <c r="L3119" i="2" s="1"/>
  <c r="I2797" i="2"/>
  <c r="J2797" i="2" s="1"/>
  <c r="K2797" i="2" s="1"/>
  <c r="L2797" i="2" s="1"/>
  <c r="I1058" i="2"/>
  <c r="J1058" i="2" s="1"/>
  <c r="K1058" i="2" s="1"/>
  <c r="L1058" i="2" s="1"/>
  <c r="I949" i="2"/>
  <c r="J949" i="2" s="1"/>
  <c r="K949" i="2" s="1"/>
  <c r="L949" i="2" s="1"/>
  <c r="I1059" i="2"/>
  <c r="J1059" i="2" s="1"/>
  <c r="K1059" i="2" s="1"/>
  <c r="L1059" i="2" s="1"/>
  <c r="I228" i="2"/>
  <c r="J228" i="2" s="1"/>
  <c r="K228" i="2" s="1"/>
  <c r="L228" i="2" s="1"/>
  <c r="I1376" i="2"/>
  <c r="J1376" i="2" s="1"/>
  <c r="K1376" i="2" s="1"/>
  <c r="L1376" i="2" s="1"/>
  <c r="I2878" i="2"/>
  <c r="J2878" i="2" s="1"/>
  <c r="K2878" i="2" s="1"/>
  <c r="L2878" i="2" s="1"/>
  <c r="I950" i="2"/>
  <c r="J950" i="2" s="1"/>
  <c r="K950" i="2" s="1"/>
  <c r="L950" i="2" s="1"/>
  <c r="I510" i="2"/>
  <c r="J510" i="2" s="1"/>
  <c r="K510" i="2" s="1"/>
  <c r="L510" i="2" s="1"/>
  <c r="I511" i="2"/>
  <c r="J511" i="2" s="1"/>
  <c r="K511" i="2" s="1"/>
  <c r="L511" i="2" s="1"/>
  <c r="I1490" i="2"/>
  <c r="J1490" i="2" s="1"/>
  <c r="K1490" i="2" s="1"/>
  <c r="L1490" i="2" s="1"/>
  <c r="I229" i="2"/>
  <c r="J229" i="2" s="1"/>
  <c r="K229" i="2" s="1"/>
  <c r="L229" i="2" s="1"/>
  <c r="I3089" i="2"/>
  <c r="J3089" i="2" s="1"/>
  <c r="K3089" i="2" s="1"/>
  <c r="L3089" i="2" s="1"/>
  <c r="I230" i="2"/>
  <c r="J230" i="2" s="1"/>
  <c r="K230" i="2" s="1"/>
  <c r="L230" i="2" s="1"/>
  <c r="I1761" i="2"/>
  <c r="J1761" i="2" s="1"/>
  <c r="K1761" i="2" s="1"/>
  <c r="L1761" i="2" s="1"/>
  <c r="I2579" i="2"/>
  <c r="J2579" i="2" s="1"/>
  <c r="K2579" i="2" s="1"/>
  <c r="L2579" i="2" s="1"/>
  <c r="I2052" i="2"/>
  <c r="J2052" i="2" s="1"/>
  <c r="K2052" i="2" s="1"/>
  <c r="L2052" i="2" s="1"/>
  <c r="I1394" i="2"/>
  <c r="J1394" i="2" s="1"/>
  <c r="K1394" i="2" s="1"/>
  <c r="L1394" i="2" s="1"/>
  <c r="I1491" i="2"/>
  <c r="J1491" i="2" s="1"/>
  <c r="K1491" i="2" s="1"/>
  <c r="L1491" i="2" s="1"/>
  <c r="I1201" i="2"/>
  <c r="J1201" i="2" s="1"/>
  <c r="K1201" i="2" s="1"/>
  <c r="L1201" i="2" s="1"/>
  <c r="I512" i="2"/>
  <c r="J512" i="2" s="1"/>
  <c r="K512" i="2" s="1"/>
  <c r="L512" i="2" s="1"/>
  <c r="I1492" i="2"/>
  <c r="J1492" i="2" s="1"/>
  <c r="K1492" i="2" s="1"/>
  <c r="L1492" i="2" s="1"/>
  <c r="I995" i="2"/>
  <c r="J995" i="2" s="1"/>
  <c r="K995" i="2" s="1"/>
  <c r="L995" i="2" s="1"/>
  <c r="I2398" i="2"/>
  <c r="J2398" i="2" s="1"/>
  <c r="K2398" i="2" s="1"/>
  <c r="L2398" i="2" s="1"/>
  <c r="I951" i="2"/>
  <c r="J951" i="2" s="1"/>
  <c r="K951" i="2" s="1"/>
  <c r="L951" i="2" s="1"/>
  <c r="I952" i="2"/>
  <c r="J952" i="2" s="1"/>
  <c r="K952" i="2" s="1"/>
  <c r="L952" i="2" s="1"/>
  <c r="I953" i="2"/>
  <c r="J953" i="2" s="1"/>
  <c r="K953" i="2" s="1"/>
  <c r="L953" i="2" s="1"/>
  <c r="I231" i="2"/>
  <c r="J231" i="2" s="1"/>
  <c r="K231" i="2" s="1"/>
  <c r="L231" i="2" s="1"/>
  <c r="I2736" i="2"/>
  <c r="J2736" i="2" s="1"/>
  <c r="K2736" i="2" s="1"/>
  <c r="L2736" i="2" s="1"/>
  <c r="I232" i="2"/>
  <c r="J232" i="2" s="1"/>
  <c r="K232" i="2" s="1"/>
  <c r="L232" i="2" s="1"/>
  <c r="I3090" i="2"/>
  <c r="J3090" i="2" s="1"/>
  <c r="K3090" i="2" s="1"/>
  <c r="L3090" i="2" s="1"/>
  <c r="I2737" i="2"/>
  <c r="J2737" i="2" s="1"/>
  <c r="K2737" i="2" s="1"/>
  <c r="L2737" i="2" s="1"/>
  <c r="I3123" i="2"/>
  <c r="J3123" i="2" s="1"/>
  <c r="K3123" i="2" s="1"/>
  <c r="L3123" i="2" s="1"/>
  <c r="I2580" i="2"/>
  <c r="J2580" i="2" s="1"/>
  <c r="K2580" i="2" s="1"/>
  <c r="L2580" i="2" s="1"/>
  <c r="I996" i="2"/>
  <c r="J996" i="2" s="1"/>
  <c r="K996" i="2" s="1"/>
  <c r="L996" i="2" s="1"/>
  <c r="I3091" i="2"/>
  <c r="J3091" i="2" s="1"/>
  <c r="K3091" i="2" s="1"/>
  <c r="L3091" i="2" s="1"/>
  <c r="I2738" i="2"/>
  <c r="J2738" i="2" s="1"/>
  <c r="K2738" i="2" s="1"/>
  <c r="L2738" i="2" s="1"/>
  <c r="I2399" i="2"/>
  <c r="J2399" i="2" s="1"/>
  <c r="K2399" i="2" s="1"/>
  <c r="L2399" i="2" s="1"/>
  <c r="I2400" i="2"/>
  <c r="J2400" i="2" s="1"/>
  <c r="K2400" i="2" s="1"/>
  <c r="L2400" i="2" s="1"/>
  <c r="I954" i="2"/>
  <c r="J954" i="2" s="1"/>
  <c r="K954" i="2" s="1"/>
  <c r="L954" i="2" s="1"/>
  <c r="I420" i="2"/>
  <c r="J420" i="2" s="1"/>
  <c r="K420" i="2" s="1"/>
  <c r="L420" i="2" s="1"/>
  <c r="I2053" i="2"/>
  <c r="J2053" i="2" s="1"/>
  <c r="K2053" i="2" s="1"/>
  <c r="L2053" i="2" s="1"/>
  <c r="I327" i="2"/>
  <c r="J327" i="2" s="1"/>
  <c r="K327" i="2" s="1"/>
  <c r="L327" i="2" s="1"/>
  <c r="I233" i="2"/>
  <c r="J233" i="2" s="1"/>
  <c r="K233" i="2" s="1"/>
  <c r="L233" i="2" s="1"/>
  <c r="I513" i="2"/>
  <c r="J513" i="2" s="1"/>
  <c r="K513" i="2" s="1"/>
  <c r="L513" i="2" s="1"/>
  <c r="I234" i="2"/>
  <c r="J234" i="2" s="1"/>
  <c r="K234" i="2" s="1"/>
  <c r="L234" i="2" s="1"/>
  <c r="I2581" i="2"/>
  <c r="J2581" i="2" s="1"/>
  <c r="K2581" i="2" s="1"/>
  <c r="L2581" i="2" s="1"/>
  <c r="I235" i="2"/>
  <c r="J235" i="2" s="1"/>
  <c r="K235" i="2" s="1"/>
  <c r="L235" i="2" s="1"/>
  <c r="I421" i="2"/>
  <c r="J421" i="2" s="1"/>
  <c r="K421" i="2" s="1"/>
  <c r="L421" i="2" s="1"/>
  <c r="I2401" i="2"/>
  <c r="J2401" i="2" s="1"/>
  <c r="K2401" i="2" s="1"/>
  <c r="L2401" i="2" s="1"/>
  <c r="I3092" i="2"/>
  <c r="J3092" i="2" s="1"/>
  <c r="K3092" i="2" s="1"/>
  <c r="L3092" i="2" s="1"/>
  <c r="I2402" i="2"/>
  <c r="J2402" i="2" s="1"/>
  <c r="K2402" i="2" s="1"/>
  <c r="L2402" i="2" s="1"/>
  <c r="I955" i="2"/>
  <c r="J955" i="2" s="1"/>
  <c r="K955" i="2" s="1"/>
  <c r="L955" i="2" s="1"/>
  <c r="I3093" i="2"/>
  <c r="J3093" i="2" s="1"/>
  <c r="K3093" i="2" s="1"/>
  <c r="L3093" i="2" s="1"/>
  <c r="I2403" i="2"/>
  <c r="J2403" i="2" s="1"/>
  <c r="K2403" i="2" s="1"/>
  <c r="L2403" i="2" s="1"/>
  <c r="I2404" i="2"/>
  <c r="J2404" i="2" s="1"/>
  <c r="K2404" i="2" s="1"/>
  <c r="L2404" i="2" s="1"/>
  <c r="I3094" i="2"/>
  <c r="J3094" i="2" s="1"/>
  <c r="K3094" i="2" s="1"/>
  <c r="L3094" i="2" s="1"/>
  <c r="I956" i="2"/>
  <c r="J956" i="2" s="1"/>
  <c r="K956" i="2" s="1"/>
  <c r="L956" i="2" s="1"/>
  <c r="I1107" i="2"/>
  <c r="J1107" i="2" s="1"/>
  <c r="K1107" i="2" s="1"/>
  <c r="L1107" i="2" s="1"/>
  <c r="I3095" i="2"/>
  <c r="J3095" i="2" s="1"/>
  <c r="K3095" i="2" s="1"/>
  <c r="L3095" i="2" s="1"/>
  <c r="I328" i="2"/>
  <c r="J328" i="2" s="1"/>
  <c r="K328" i="2" s="1"/>
  <c r="L328" i="2" s="1"/>
  <c r="I329" i="2"/>
  <c r="J329" i="2" s="1"/>
  <c r="K329" i="2" s="1"/>
  <c r="L329" i="2" s="1"/>
  <c r="I957" i="2"/>
  <c r="J957" i="2" s="1"/>
  <c r="K957" i="2" s="1"/>
  <c r="L957" i="2" s="1"/>
  <c r="I236" i="2"/>
  <c r="J236" i="2" s="1"/>
  <c r="K236" i="2" s="1"/>
  <c r="L236" i="2" s="1"/>
  <c r="I3164" i="2"/>
  <c r="J3164" i="2" s="1"/>
  <c r="K3164" i="2" s="1"/>
  <c r="L3164" i="2" s="1"/>
  <c r="I3096" i="2"/>
  <c r="J3096" i="2" s="1"/>
  <c r="K3096" i="2" s="1"/>
  <c r="L3096" i="2" s="1"/>
  <c r="I2405" i="2"/>
  <c r="J2405" i="2" s="1"/>
  <c r="K2405" i="2" s="1"/>
  <c r="L2405" i="2" s="1"/>
  <c r="I3155" i="2"/>
  <c r="J3155" i="2" s="1"/>
  <c r="K3155" i="2" s="1"/>
  <c r="L3155" i="2" s="1"/>
  <c r="I2582" i="2"/>
  <c r="J2582" i="2" s="1"/>
  <c r="K2582" i="2" s="1"/>
  <c r="L2582" i="2" s="1"/>
  <c r="I1538" i="2"/>
  <c r="J1538" i="2" s="1"/>
  <c r="K1538" i="2" s="1"/>
  <c r="L1538" i="2" s="1"/>
  <c r="I514" i="2"/>
  <c r="J514" i="2" s="1"/>
  <c r="K514" i="2" s="1"/>
  <c r="L514" i="2" s="1"/>
  <c r="I1202" i="2"/>
  <c r="J1202" i="2" s="1"/>
  <c r="K1202" i="2" s="1"/>
  <c r="L1202" i="2" s="1"/>
  <c r="I422" i="2"/>
  <c r="J422" i="2" s="1"/>
  <c r="K422" i="2" s="1"/>
  <c r="L422" i="2" s="1"/>
  <c r="I2406" i="2"/>
  <c r="J2406" i="2" s="1"/>
  <c r="K2406" i="2" s="1"/>
  <c r="L2406" i="2" s="1"/>
  <c r="I1493" i="2"/>
  <c r="J1493" i="2" s="1"/>
  <c r="K1493" i="2" s="1"/>
  <c r="L1493" i="2" s="1"/>
  <c r="I2583" i="2"/>
  <c r="J2583" i="2" s="1"/>
  <c r="K2583" i="2" s="1"/>
  <c r="L2583" i="2" s="1"/>
  <c r="I2407" i="2"/>
  <c r="J2407" i="2" s="1"/>
  <c r="K2407" i="2" s="1"/>
  <c r="L2407" i="2" s="1"/>
  <c r="I546" i="2"/>
  <c r="J546" i="2" s="1"/>
  <c r="K546" i="2" s="1"/>
  <c r="L546" i="2" s="1"/>
  <c r="I958" i="2"/>
  <c r="J958" i="2" s="1"/>
  <c r="K958" i="2" s="1"/>
  <c r="L958" i="2" s="1"/>
  <c r="I959" i="2"/>
  <c r="J959" i="2" s="1"/>
  <c r="K959" i="2" s="1"/>
  <c r="L959" i="2" s="1"/>
  <c r="I1494" i="2"/>
  <c r="J1494" i="2" s="1"/>
  <c r="K1494" i="2" s="1"/>
  <c r="L1494" i="2" s="1"/>
  <c r="I2408" i="2"/>
  <c r="J2408" i="2" s="1"/>
  <c r="K2408" i="2" s="1"/>
  <c r="L2408" i="2" s="1"/>
  <c r="I1060" i="2"/>
  <c r="J1060" i="2" s="1"/>
  <c r="K1060" i="2" s="1"/>
  <c r="L1060" i="2" s="1"/>
  <c r="I1495" i="2"/>
  <c r="J1495" i="2" s="1"/>
  <c r="K1495" i="2" s="1"/>
  <c r="L1495" i="2" s="1"/>
  <c r="I237" i="2"/>
  <c r="J237" i="2" s="1"/>
  <c r="K237" i="2" s="1"/>
  <c r="L237" i="2" s="1"/>
  <c r="I2409" i="2"/>
  <c r="J2409" i="2" s="1"/>
  <c r="K2409" i="2" s="1"/>
  <c r="L2409" i="2" s="1"/>
  <c r="I960" i="2"/>
  <c r="J960" i="2" s="1"/>
  <c r="K960" i="2" s="1"/>
  <c r="L960" i="2" s="1"/>
  <c r="I2584" i="2"/>
  <c r="J2584" i="2" s="1"/>
  <c r="K2584" i="2" s="1"/>
  <c r="L2584" i="2" s="1"/>
  <c r="I1762" i="2"/>
  <c r="J1762" i="2" s="1"/>
  <c r="K1762" i="2" s="1"/>
  <c r="L1762" i="2" s="1"/>
  <c r="I1377" i="2"/>
  <c r="J1377" i="2" s="1"/>
  <c r="K1377" i="2" s="1"/>
  <c r="L1377" i="2" s="1"/>
  <c r="I2410" i="2"/>
  <c r="J2410" i="2" s="1"/>
  <c r="K2410" i="2" s="1"/>
  <c r="L2410" i="2" s="1"/>
  <c r="I1203" i="2"/>
  <c r="J1203" i="2" s="1"/>
  <c r="K1203" i="2" s="1"/>
  <c r="L1203" i="2" s="1"/>
  <c r="I961" i="2"/>
  <c r="J961" i="2" s="1"/>
  <c r="K961" i="2" s="1"/>
  <c r="L961" i="2" s="1"/>
  <c r="I1204" i="2"/>
  <c r="J1204" i="2" s="1"/>
  <c r="K1204" i="2" s="1"/>
  <c r="L1204" i="2" s="1"/>
  <c r="I2411" i="2"/>
  <c r="J2411" i="2" s="1"/>
  <c r="K2411" i="2" s="1"/>
  <c r="L2411" i="2" s="1"/>
  <c r="I3097" i="2"/>
  <c r="J3097" i="2" s="1"/>
  <c r="K3097" i="2" s="1"/>
  <c r="L3097" i="2" s="1"/>
  <c r="I3098" i="2"/>
  <c r="J3098" i="2" s="1"/>
  <c r="K3098" i="2" s="1"/>
  <c r="L3098" i="2" s="1"/>
  <c r="I2585" i="2"/>
  <c r="J2585" i="2" s="1"/>
  <c r="K2585" i="2" s="1"/>
  <c r="L2585" i="2" s="1"/>
  <c r="I962" i="2"/>
  <c r="J962" i="2" s="1"/>
  <c r="K962" i="2" s="1"/>
  <c r="L962" i="2" s="1"/>
  <c r="I3099" i="2"/>
  <c r="J3099" i="2" s="1"/>
  <c r="K3099" i="2" s="1"/>
  <c r="L3099" i="2" s="1"/>
  <c r="I1378" i="2"/>
  <c r="J1378" i="2" s="1"/>
  <c r="K1378" i="2" s="1"/>
  <c r="L1378" i="2" s="1"/>
  <c r="I963" i="2"/>
  <c r="J963" i="2" s="1"/>
  <c r="K963" i="2" s="1"/>
  <c r="L963" i="2" s="1"/>
  <c r="I238" i="2"/>
  <c r="J238" i="2" s="1"/>
  <c r="K238" i="2" s="1"/>
  <c r="L238" i="2" s="1"/>
  <c r="I239" i="2"/>
  <c r="J239" i="2" s="1"/>
  <c r="K239" i="2" s="1"/>
  <c r="L239" i="2" s="1"/>
  <c r="I964" i="2"/>
  <c r="J964" i="2" s="1"/>
  <c r="K964" i="2" s="1"/>
  <c r="L964" i="2" s="1"/>
  <c r="I1510" i="2"/>
  <c r="J1510" i="2" s="1"/>
  <c r="K1510" i="2" s="1"/>
  <c r="L1510" i="2" s="1"/>
  <c r="I965" i="2"/>
  <c r="J965" i="2" s="1"/>
  <c r="K965" i="2" s="1"/>
  <c r="L965" i="2" s="1"/>
  <c r="I1763" i="2"/>
  <c r="J1763" i="2" s="1"/>
  <c r="K1763" i="2" s="1"/>
  <c r="L1763" i="2" s="1"/>
  <c r="I1379" i="2"/>
  <c r="J1379" i="2" s="1"/>
  <c r="K1379" i="2" s="1"/>
  <c r="L1379" i="2" s="1"/>
  <c r="I2412" i="2"/>
  <c r="J2412" i="2" s="1"/>
  <c r="K2412" i="2" s="1"/>
  <c r="L2412" i="2" s="1"/>
  <c r="I2739" i="2"/>
  <c r="J2739" i="2" s="1"/>
  <c r="K2739" i="2" s="1"/>
  <c r="L2739" i="2" s="1"/>
  <c r="I966" i="2"/>
  <c r="J966" i="2" s="1"/>
  <c r="K966" i="2" s="1"/>
  <c r="L966" i="2" s="1"/>
  <c r="I967" i="2"/>
  <c r="J967" i="2" s="1"/>
  <c r="K967" i="2" s="1"/>
  <c r="L967" i="2" s="1"/>
  <c r="I240" i="2"/>
  <c r="J240" i="2" s="1"/>
  <c r="K240" i="2" s="1"/>
  <c r="L240" i="2" s="1"/>
  <c r="I3100" i="2"/>
  <c r="J3100" i="2" s="1"/>
  <c r="K3100" i="2" s="1"/>
  <c r="L3100" i="2" s="1"/>
  <c r="I2413" i="2"/>
  <c r="J2413" i="2" s="1"/>
  <c r="K2413" i="2" s="1"/>
  <c r="L2413" i="2" s="1"/>
  <c r="I968" i="2"/>
  <c r="J968" i="2" s="1"/>
  <c r="K968" i="2" s="1"/>
  <c r="L968" i="2" s="1"/>
  <c r="I2740" i="2"/>
  <c r="J2740" i="2" s="1"/>
  <c r="K2740" i="2" s="1"/>
  <c r="L2740" i="2" s="1"/>
  <c r="I2054" i="2"/>
  <c r="J2054" i="2" s="1"/>
  <c r="K2054" i="2" s="1"/>
  <c r="L2054" i="2" s="1"/>
  <c r="I969" i="2"/>
  <c r="J969" i="2" s="1"/>
  <c r="K969" i="2" s="1"/>
  <c r="L969" i="2" s="1"/>
  <c r="I2055" i="2"/>
  <c r="J2055" i="2" s="1"/>
  <c r="K2055" i="2" s="1"/>
  <c r="L2055" i="2" s="1"/>
  <c r="I3101" i="2"/>
  <c r="J3101" i="2" s="1"/>
  <c r="K3101" i="2" s="1"/>
  <c r="L3101" i="2" s="1"/>
  <c r="I2741" i="2"/>
  <c r="J2741" i="2" s="1"/>
  <c r="K2741" i="2" s="1"/>
  <c r="L2741" i="2" s="1"/>
  <c r="I1061" i="2"/>
  <c r="J1061" i="2" s="1"/>
  <c r="K1061" i="2" s="1"/>
  <c r="L1061" i="2" s="1"/>
  <c r="I1062" i="2"/>
  <c r="J1062" i="2" s="1"/>
  <c r="K1062" i="2" s="1"/>
  <c r="L1062" i="2" s="1"/>
  <c r="I3102" i="2"/>
  <c r="J3102" i="2" s="1"/>
  <c r="K3102" i="2" s="1"/>
  <c r="L3102" i="2" s="1"/>
  <c r="I3103" i="2"/>
  <c r="J3103" i="2" s="1"/>
  <c r="K3103" i="2" s="1"/>
  <c r="L3103" i="2" s="1"/>
  <c r="I2879" i="2"/>
  <c r="J2879" i="2" s="1"/>
  <c r="K2879" i="2" s="1"/>
  <c r="L2879" i="2" s="1"/>
  <c r="I2056" i="2"/>
  <c r="J2056" i="2" s="1"/>
  <c r="K2056" i="2" s="1"/>
  <c r="L2056" i="2" s="1"/>
  <c r="I2414" i="2"/>
  <c r="J2414" i="2" s="1"/>
  <c r="K2414" i="2" s="1"/>
  <c r="L2414" i="2" s="1"/>
  <c r="I1205" i="2"/>
  <c r="J1205" i="2" s="1"/>
  <c r="K1205" i="2" s="1"/>
  <c r="L1205" i="2" s="1"/>
  <c r="I3104" i="2"/>
  <c r="J3104" i="2" s="1"/>
  <c r="K3104" i="2" s="1"/>
  <c r="L3104" i="2" s="1"/>
  <c r="I2742" i="2"/>
  <c r="J2742" i="2" s="1"/>
  <c r="K2742" i="2" s="1"/>
  <c r="L2742" i="2" s="1"/>
  <c r="I2091" i="2"/>
  <c r="J2091" i="2" s="1"/>
  <c r="K2091" i="2" s="1"/>
  <c r="L2091" i="2" s="1"/>
  <c r="I3105" i="2"/>
  <c r="J3105" i="2" s="1"/>
  <c r="K3105" i="2" s="1"/>
  <c r="L3105" i="2" s="1"/>
  <c r="I2586" i="2"/>
  <c r="J2586" i="2" s="1"/>
  <c r="K2586" i="2" s="1"/>
  <c r="L2586" i="2" s="1"/>
  <c r="I1063" i="2"/>
  <c r="J1063" i="2" s="1"/>
  <c r="K1063" i="2" s="1"/>
  <c r="L1063" i="2" s="1"/>
  <c r="I1496" i="2"/>
  <c r="J1496" i="2" s="1"/>
  <c r="K1496" i="2" s="1"/>
  <c r="L1496" i="2" s="1"/>
  <c r="I2057" i="2"/>
  <c r="J2057" i="2" s="1"/>
  <c r="K2057" i="2" s="1"/>
  <c r="L2057" i="2" s="1"/>
  <c r="I2058" i="2"/>
  <c r="J2058" i="2" s="1"/>
  <c r="K2058" i="2" s="1"/>
  <c r="L2058" i="2" s="1"/>
  <c r="I1206" i="2"/>
  <c r="J1206" i="2" s="1"/>
  <c r="K1206" i="2" s="1"/>
  <c r="L1206" i="2" s="1"/>
  <c r="I2743" i="2"/>
  <c r="J2743" i="2" s="1"/>
  <c r="K2743" i="2" s="1"/>
  <c r="L2743" i="2" s="1"/>
  <c r="I2798" i="2"/>
  <c r="J2798" i="2" s="1"/>
  <c r="K2798" i="2" s="1"/>
  <c r="L2798" i="2" s="1"/>
  <c r="I1497" i="2"/>
  <c r="J1497" i="2" s="1"/>
  <c r="K1497" i="2" s="1"/>
  <c r="L1497" i="2" s="1"/>
  <c r="I2059" i="2"/>
  <c r="J2059" i="2" s="1"/>
  <c r="K2059" i="2" s="1"/>
  <c r="L2059" i="2" s="1"/>
  <c r="I1764" i="2"/>
  <c r="J1764" i="2" s="1"/>
  <c r="K1764" i="2" s="1"/>
  <c r="L1764" i="2" s="1"/>
  <c r="I970" i="2"/>
  <c r="J970" i="2" s="1"/>
  <c r="K970" i="2" s="1"/>
  <c r="L970" i="2" s="1"/>
  <c r="I1849" i="2"/>
  <c r="J1849" i="2" s="1"/>
  <c r="K1849" i="2" s="1"/>
  <c r="L1849" i="2" s="1"/>
  <c r="I1765" i="2"/>
  <c r="J1765" i="2" s="1"/>
  <c r="K1765" i="2" s="1"/>
  <c r="L1765" i="2" s="1"/>
  <c r="I3170" i="2"/>
  <c r="J3170" i="2" s="1"/>
  <c r="K3170" i="2" s="1"/>
  <c r="L3170" i="2" s="1"/>
  <c r="I2880" i="2"/>
  <c r="J2880" i="2" s="1"/>
  <c r="K2880" i="2" s="1"/>
  <c r="L2880" i="2" s="1"/>
  <c r="I3106" i="2"/>
  <c r="J3106" i="2" s="1"/>
  <c r="K3106" i="2" s="1"/>
  <c r="L3106" i="2" s="1"/>
  <c r="I2881" i="2"/>
  <c r="J2881" i="2" s="1"/>
  <c r="K2881" i="2" s="1"/>
  <c r="L2881" i="2" s="1"/>
  <c r="I423" i="2"/>
  <c r="J423" i="2" s="1"/>
  <c r="K423" i="2" s="1"/>
  <c r="L423" i="2" s="1"/>
  <c r="I1380" i="2"/>
  <c r="J1380" i="2" s="1"/>
  <c r="K1380" i="2" s="1"/>
  <c r="L1380" i="2" s="1"/>
  <c r="I2060" i="2"/>
  <c r="J2060" i="2" s="1"/>
  <c r="K2060" i="2" s="1"/>
  <c r="L2060" i="2" s="1"/>
  <c r="I971" i="2"/>
  <c r="J971" i="2" s="1"/>
  <c r="K971" i="2" s="1"/>
  <c r="L971" i="2" s="1"/>
  <c r="I1381" i="2"/>
  <c r="J1381" i="2" s="1"/>
  <c r="K1381" i="2" s="1"/>
  <c r="L1381" i="2" s="1"/>
  <c r="I2882" i="2"/>
  <c r="J2882" i="2" s="1"/>
  <c r="K2882" i="2" s="1"/>
  <c r="L2882" i="2" s="1"/>
  <c r="I2415" i="2"/>
  <c r="J2415" i="2" s="1"/>
  <c r="K2415" i="2" s="1"/>
  <c r="L2415" i="2" s="1"/>
  <c r="I241" i="2"/>
  <c r="J241" i="2" s="1"/>
  <c r="K241" i="2" s="1"/>
  <c r="L241" i="2" s="1"/>
  <c r="I2911" i="2"/>
  <c r="J2911" i="2" s="1"/>
  <c r="K2911" i="2" s="1"/>
  <c r="L2911" i="2" s="1"/>
  <c r="I972" i="2"/>
  <c r="J972" i="2" s="1"/>
  <c r="K972" i="2" s="1"/>
  <c r="L972" i="2" s="1"/>
  <c r="I1850" i="2"/>
  <c r="J1850" i="2" s="1"/>
  <c r="K1850" i="2" s="1"/>
  <c r="L1850" i="2" s="1"/>
  <c r="I2883" i="2"/>
  <c r="J2883" i="2" s="1"/>
  <c r="K2883" i="2" s="1"/>
  <c r="L2883" i="2" s="1"/>
  <c r="I973" i="2"/>
  <c r="J973" i="2" s="1"/>
  <c r="K973" i="2" s="1"/>
  <c r="L973" i="2" s="1"/>
  <c r="I1064" i="2"/>
  <c r="J1064" i="2" s="1"/>
  <c r="K1064" i="2" s="1"/>
  <c r="L1064" i="2" s="1"/>
  <c r="I974" i="2"/>
  <c r="J974" i="2" s="1"/>
  <c r="K974" i="2" s="1"/>
  <c r="L974" i="2" s="1"/>
  <c r="I242" i="2"/>
  <c r="J242" i="2" s="1"/>
  <c r="K242" i="2" s="1"/>
  <c r="L242" i="2" s="1"/>
  <c r="I243" i="2"/>
  <c r="J243" i="2" s="1"/>
  <c r="K243" i="2" s="1"/>
  <c r="L243" i="2" s="1"/>
  <c r="I2416" i="2"/>
  <c r="J2416" i="2" s="1"/>
  <c r="K2416" i="2" s="1"/>
  <c r="L2416" i="2" s="1"/>
  <c r="I1382" i="2"/>
  <c r="J1382" i="2" s="1"/>
  <c r="K1382" i="2" s="1"/>
  <c r="L1382" i="2" s="1"/>
  <c r="I2799" i="2"/>
  <c r="J2799" i="2" s="1"/>
  <c r="K2799" i="2" s="1"/>
  <c r="L2799" i="2" s="1"/>
  <c r="I975" i="2"/>
  <c r="J975" i="2" s="1"/>
  <c r="K975" i="2" s="1"/>
  <c r="L975" i="2" s="1"/>
  <c r="I1766" i="2"/>
  <c r="J1766" i="2" s="1"/>
  <c r="K1766" i="2" s="1"/>
  <c r="L1766" i="2" s="1"/>
  <c r="I2417" i="2"/>
  <c r="J2417" i="2" s="1"/>
  <c r="K2417" i="2" s="1"/>
  <c r="L2417" i="2" s="1"/>
  <c r="I976" i="2"/>
  <c r="J976" i="2" s="1"/>
  <c r="K976" i="2" s="1"/>
  <c r="L976" i="2" s="1"/>
  <c r="I2800" i="2"/>
  <c r="J2800" i="2" s="1"/>
  <c r="K2800" i="2" s="1"/>
  <c r="L2800" i="2" s="1"/>
  <c r="I3162" i="2"/>
  <c r="J3162" i="2" s="1"/>
  <c r="K3162" i="2" s="1"/>
  <c r="L3162" i="2" s="1"/>
  <c r="I3107" i="2"/>
  <c r="J3107" i="2" s="1"/>
  <c r="K3107" i="2" s="1"/>
  <c r="L3107" i="2" s="1"/>
  <c r="I424" i="2"/>
  <c r="J424" i="2" s="1"/>
  <c r="K424" i="2" s="1"/>
  <c r="L424" i="2" s="1"/>
  <c r="I2092" i="2"/>
  <c r="J2092" i="2" s="1"/>
  <c r="K2092" i="2" s="1"/>
  <c r="L2092" i="2" s="1"/>
  <c r="I2418" i="2"/>
  <c r="J2418" i="2" s="1"/>
  <c r="K2418" i="2" s="1"/>
  <c r="L2418" i="2" s="1"/>
  <c r="I2061" i="2"/>
  <c r="J2061" i="2" s="1"/>
  <c r="K2061" i="2" s="1"/>
  <c r="L2061" i="2" s="1"/>
  <c r="I244" i="2"/>
  <c r="J244" i="2" s="1"/>
  <c r="K244" i="2" s="1"/>
  <c r="L244" i="2" s="1"/>
  <c r="I2419" i="2"/>
  <c r="J2419" i="2" s="1"/>
  <c r="K2419" i="2" s="1"/>
  <c r="L2419" i="2" s="1"/>
  <c r="I2062" i="2"/>
  <c r="J2062" i="2" s="1"/>
  <c r="K2062" i="2" s="1"/>
  <c r="L2062" i="2" s="1"/>
  <c r="I3108" i="2"/>
  <c r="J3108" i="2" s="1"/>
  <c r="K3108" i="2" s="1"/>
  <c r="L3108" i="2" s="1"/>
  <c r="I2420" i="2"/>
  <c r="J2420" i="2" s="1"/>
  <c r="K2420" i="2" s="1"/>
  <c r="L2420" i="2" s="1"/>
  <c r="I1065" i="2"/>
  <c r="J1065" i="2" s="1"/>
  <c r="K1065" i="2" s="1"/>
  <c r="L1065" i="2" s="1"/>
  <c r="I1066" i="2"/>
  <c r="J1066" i="2" s="1"/>
  <c r="K1066" i="2" s="1"/>
  <c r="L1066" i="2" s="1"/>
  <c r="I1067" i="2"/>
  <c r="J1067" i="2" s="1"/>
  <c r="K1067" i="2" s="1"/>
  <c r="L1067" i="2" s="1"/>
  <c r="I2587" i="2"/>
  <c r="J2587" i="2" s="1"/>
  <c r="K2587" i="2" s="1"/>
  <c r="L2587" i="2" s="1"/>
  <c r="I2588" i="2"/>
  <c r="J2588" i="2" s="1"/>
  <c r="K2588" i="2" s="1"/>
  <c r="L2588" i="2" s="1"/>
  <c r="I2589" i="2"/>
  <c r="J2589" i="2" s="1"/>
  <c r="K2589" i="2" s="1"/>
  <c r="L2589" i="2" s="1"/>
  <c r="I245" i="2"/>
  <c r="J245" i="2" s="1"/>
  <c r="K245" i="2" s="1"/>
  <c r="L245" i="2" s="1"/>
  <c r="I2421" i="2"/>
  <c r="J2421" i="2" s="1"/>
  <c r="K2421" i="2" s="1"/>
  <c r="L2421" i="2" s="1"/>
  <c r="I246" i="2"/>
  <c r="J246" i="2" s="1"/>
  <c r="K246" i="2" s="1"/>
  <c r="L246" i="2" s="1"/>
  <c r="I2422" i="2"/>
  <c r="J2422" i="2" s="1"/>
  <c r="K2422" i="2" s="1"/>
  <c r="L2422" i="2" s="1"/>
  <c r="I515" i="2"/>
  <c r="J515" i="2" s="1"/>
  <c r="K515" i="2" s="1"/>
  <c r="L515" i="2" s="1"/>
  <c r="I425" i="2"/>
  <c r="J425" i="2" s="1"/>
  <c r="K425" i="2" s="1"/>
  <c r="L425" i="2" s="1"/>
  <c r="I330" i="2"/>
  <c r="J330" i="2" s="1"/>
  <c r="K330" i="2" s="1"/>
  <c r="L330" i="2" s="1"/>
  <c r="I977" i="2"/>
  <c r="J977" i="2" s="1"/>
  <c r="K977" i="2" s="1"/>
  <c r="L977" i="2" s="1"/>
  <c r="I1395" i="2"/>
  <c r="J1395" i="2" s="1"/>
  <c r="K1395" i="2" s="1"/>
  <c r="L1395" i="2" s="1"/>
  <c r="I1396" i="2"/>
  <c r="J1396" i="2" s="1"/>
  <c r="K1396" i="2" s="1"/>
  <c r="L1396" i="2" s="1"/>
  <c r="I978" i="2"/>
  <c r="J978" i="2" s="1"/>
  <c r="K978" i="2" s="1"/>
  <c r="L978" i="2" s="1"/>
  <c r="I2590" i="2"/>
  <c r="J2590" i="2" s="1"/>
  <c r="K2590" i="2" s="1"/>
  <c r="L2590" i="2" s="1"/>
  <c r="I1498" i="2"/>
  <c r="J1498" i="2" s="1"/>
  <c r="K1498" i="2" s="1"/>
  <c r="L1498" i="2" s="1"/>
  <c r="I2423" i="2"/>
  <c r="J2423" i="2" s="1"/>
  <c r="K2423" i="2" s="1"/>
  <c r="L2423" i="2" s="1"/>
  <c r="I979" i="2"/>
  <c r="J979" i="2" s="1"/>
  <c r="K979" i="2" s="1"/>
  <c r="L979" i="2" s="1"/>
  <c r="I1767" i="2"/>
  <c r="J1767" i="2" s="1"/>
  <c r="K1767" i="2" s="1"/>
  <c r="L1767" i="2" s="1"/>
  <c r="I1397" i="2"/>
  <c r="J1397" i="2" s="1"/>
  <c r="K1397" i="2" s="1"/>
  <c r="L1397" i="2" s="1"/>
  <c r="I2063" i="2"/>
  <c r="J2063" i="2" s="1"/>
  <c r="K2063" i="2" s="1"/>
  <c r="L2063" i="2" s="1"/>
  <c r="I2744" i="2"/>
  <c r="J2744" i="2" s="1"/>
  <c r="K2744" i="2" s="1"/>
  <c r="L2744" i="2" s="1"/>
  <c r="I2064" i="2"/>
  <c r="J2064" i="2" s="1"/>
  <c r="K2064" i="2" s="1"/>
  <c r="L2064" i="2" s="1"/>
  <c r="I1768" i="2"/>
  <c r="J1768" i="2" s="1"/>
  <c r="K1768" i="2" s="1"/>
  <c r="L1768" i="2" s="1"/>
  <c r="I980" i="2"/>
  <c r="J980" i="2" s="1"/>
  <c r="K980" i="2" s="1"/>
  <c r="L980" i="2" s="1"/>
  <c r="I981" i="2"/>
  <c r="J981" i="2" s="1"/>
  <c r="K981" i="2" s="1"/>
  <c r="L981" i="2" s="1"/>
  <c r="I1207" i="2"/>
  <c r="J1207" i="2" s="1"/>
  <c r="K1207" i="2" s="1"/>
  <c r="L1207" i="2" s="1"/>
  <c r="I982" i="2"/>
  <c r="J982" i="2" s="1"/>
  <c r="K982" i="2" s="1"/>
  <c r="L982" i="2" s="1"/>
  <c r="I1769" i="2"/>
  <c r="J1769" i="2" s="1"/>
  <c r="K1769" i="2" s="1"/>
  <c r="L1769" i="2" s="1"/>
  <c r="I259" i="2"/>
  <c r="J259" i="2" s="1"/>
  <c r="K259" i="2" s="1"/>
  <c r="L259" i="2" s="1"/>
  <c r="I1770" i="2"/>
  <c r="J1770" i="2" s="1"/>
  <c r="K1770" i="2" s="1"/>
  <c r="L1770" i="2" s="1"/>
  <c r="I426" i="2"/>
  <c r="J426" i="2" s="1"/>
  <c r="K426" i="2" s="1"/>
  <c r="L426" i="2" s="1"/>
  <c r="I983" i="2"/>
  <c r="J983" i="2" s="1"/>
  <c r="K983" i="2" s="1"/>
  <c r="L983" i="2" s="1"/>
  <c r="I1068" i="2"/>
  <c r="J1068" i="2" s="1"/>
  <c r="K1068" i="2" s="1"/>
  <c r="L1068" i="2" s="1"/>
  <c r="I984" i="2"/>
  <c r="J984" i="2" s="1"/>
  <c r="K984" i="2" s="1"/>
  <c r="L984" i="2" s="1"/>
  <c r="I1499" i="2"/>
  <c r="J1499" i="2" s="1"/>
  <c r="K1499" i="2" s="1"/>
  <c r="L1499" i="2" s="1"/>
  <c r="I2424" i="2"/>
  <c r="J2424" i="2" s="1"/>
  <c r="K2424" i="2" s="1"/>
  <c r="L2424" i="2" s="1"/>
  <c r="I3109" i="2"/>
  <c r="J3109" i="2" s="1"/>
  <c r="K3109" i="2" s="1"/>
  <c r="L3109" i="2" s="1"/>
  <c r="I2591" i="2"/>
  <c r="J2591" i="2" s="1"/>
  <c r="K2591" i="2" s="1"/>
  <c r="L2591" i="2" s="1"/>
  <c r="I2745" i="2"/>
  <c r="J2745" i="2" s="1"/>
  <c r="K2745" i="2" s="1"/>
  <c r="L2745" i="2" s="1"/>
  <c r="I2746" i="2"/>
  <c r="J2746" i="2" s="1"/>
  <c r="K2746" i="2" s="1"/>
  <c r="L2746" i="2" s="1"/>
  <c r="I247" i="2"/>
  <c r="J247" i="2" s="1"/>
  <c r="K247" i="2" s="1"/>
  <c r="L247" i="2" s="1"/>
  <c r="I516" i="2"/>
  <c r="J516" i="2" s="1"/>
  <c r="K516" i="2" s="1"/>
  <c r="L516" i="2" s="1"/>
  <c r="I2884" i="2"/>
  <c r="J2884" i="2" s="1"/>
  <c r="K2884" i="2" s="1"/>
  <c r="L2884" i="2" s="1"/>
  <c r="I1771" i="2"/>
  <c r="J1771" i="2" s="1"/>
  <c r="K1771" i="2" s="1"/>
  <c r="L1771" i="2" s="1"/>
  <c r="I2065" i="2"/>
  <c r="J2065" i="2" s="1"/>
  <c r="K2065" i="2" s="1"/>
  <c r="L2065" i="2" s="1"/>
  <c r="I427" i="2"/>
  <c r="J427" i="2" s="1"/>
  <c r="K427" i="2" s="1"/>
  <c r="L427" i="2" s="1"/>
  <c r="I2592" i="2"/>
  <c r="J2592" i="2" s="1"/>
  <c r="K2592" i="2" s="1"/>
  <c r="L2592" i="2" s="1"/>
  <c r="I1772" i="2"/>
  <c r="J1772" i="2" s="1"/>
  <c r="K1772" i="2" s="1"/>
  <c r="L1772" i="2" s="1"/>
  <c r="I1069" i="2"/>
  <c r="J1069" i="2" s="1"/>
  <c r="K1069" i="2" s="1"/>
  <c r="L1069" i="2" s="1"/>
  <c r="I331" i="2"/>
  <c r="J331" i="2" s="1"/>
  <c r="K331" i="2" s="1"/>
  <c r="L331" i="2" s="1"/>
  <c r="I998" i="2"/>
  <c r="J998" i="2" s="1"/>
  <c r="K998" i="2" s="1"/>
  <c r="L998" i="2" s="1"/>
  <c r="I1208" i="2"/>
  <c r="J1208" i="2" s="1"/>
  <c r="K1208" i="2" s="1"/>
  <c r="L1208" i="2" s="1"/>
  <c r="I1209" i="2"/>
  <c r="J1209" i="2" s="1"/>
  <c r="K1209" i="2" s="1"/>
  <c r="L1209" i="2" s="1"/>
  <c r="I1210" i="2"/>
  <c r="J1210" i="2" s="1"/>
  <c r="K1210" i="2" s="1"/>
  <c r="L1210" i="2" s="1"/>
  <c r="I332" i="2"/>
  <c r="J332" i="2" s="1"/>
  <c r="K332" i="2" s="1"/>
  <c r="L332" i="2" s="1"/>
  <c r="I2425" i="2"/>
  <c r="J2425" i="2" s="1"/>
  <c r="K2425" i="2" s="1"/>
  <c r="L2425" i="2" s="1"/>
  <c r="I1773" i="2"/>
  <c r="J1773" i="2" s="1"/>
  <c r="K1773" i="2" s="1"/>
  <c r="L1773" i="2" s="1"/>
  <c r="I1774" i="2"/>
  <c r="J1774" i="2" s="1"/>
  <c r="K1774" i="2" s="1"/>
  <c r="L1774" i="2" s="1"/>
  <c r="I2426" i="2"/>
  <c r="J2426" i="2" s="1"/>
  <c r="K2426" i="2" s="1"/>
  <c r="L2426" i="2" s="1"/>
  <c r="I1211" i="2"/>
  <c r="J1211" i="2" s="1"/>
  <c r="K1211" i="2" s="1"/>
  <c r="L1211" i="2" s="1"/>
  <c r="I985" i="2"/>
  <c r="J985" i="2" s="1"/>
  <c r="K985" i="2" s="1"/>
  <c r="L985" i="2" s="1"/>
  <c r="I2066" i="2"/>
  <c r="J2066" i="2" s="1"/>
  <c r="K2066" i="2" s="1"/>
  <c r="L2066" i="2" s="1"/>
  <c r="I248" i="2"/>
  <c r="J248" i="2" s="1"/>
  <c r="K248" i="2" s="1"/>
  <c r="L248" i="2" s="1"/>
  <c r="I249" i="2"/>
  <c r="J249" i="2" s="1"/>
  <c r="K249" i="2" s="1"/>
  <c r="L249" i="2" s="1"/>
  <c r="I1108" i="2"/>
  <c r="J1108" i="2" s="1"/>
  <c r="K1108" i="2" s="1"/>
  <c r="L1108" i="2" s="1"/>
  <c r="I3171" i="2"/>
  <c r="J3171" i="2" s="1"/>
  <c r="K3171" i="2" s="1"/>
  <c r="L3171" i="2" s="1"/>
  <c r="I986" i="2"/>
  <c r="J986" i="2" s="1"/>
  <c r="K986" i="2" s="1"/>
  <c r="L986" i="2" s="1"/>
  <c r="I2093" i="2"/>
  <c r="J2093" i="2" s="1"/>
  <c r="K2093" i="2" s="1"/>
  <c r="L2093" i="2" s="1"/>
  <c r="I2747" i="2"/>
  <c r="J2747" i="2" s="1"/>
  <c r="K2747" i="2" s="1"/>
  <c r="L2747" i="2" s="1"/>
  <c r="I987" i="2"/>
  <c r="J987" i="2" s="1"/>
  <c r="K987" i="2" s="1"/>
  <c r="L987" i="2" s="1"/>
  <c r="I2895" i="2"/>
  <c r="J2895" i="2" s="1"/>
  <c r="K2895" i="2" s="1"/>
  <c r="L2895" i="2" s="1"/>
  <c r="I2067" i="2"/>
  <c r="J2067" i="2" s="1"/>
  <c r="K2067" i="2" s="1"/>
  <c r="L2067" i="2" s="1"/>
  <c r="I1775" i="2"/>
  <c r="J1775" i="2" s="1"/>
  <c r="K1775" i="2" s="1"/>
  <c r="L1775" i="2" s="1"/>
  <c r="I1776" i="2"/>
  <c r="J1776" i="2" s="1"/>
  <c r="K1776" i="2" s="1"/>
  <c r="L1776" i="2" s="1"/>
  <c r="I2593" i="2"/>
  <c r="J2593" i="2" s="1"/>
  <c r="K2593" i="2" s="1"/>
  <c r="L2593" i="2" s="1"/>
  <c r="I988" i="2"/>
  <c r="J988" i="2" s="1"/>
  <c r="K988" i="2" s="1"/>
  <c r="L988" i="2" s="1"/>
  <c r="I250" i="2"/>
  <c r="J250" i="2" s="1"/>
  <c r="K250" i="2" s="1"/>
  <c r="L250" i="2" s="1"/>
  <c r="I1777" i="2"/>
  <c r="J1777" i="2" s="1"/>
  <c r="K1777" i="2" s="1"/>
  <c r="L1777" i="2" s="1"/>
  <c r="I1778" i="2"/>
  <c r="J1778" i="2" s="1"/>
  <c r="K1778" i="2" s="1"/>
  <c r="L1778" i="2" s="1"/>
  <c r="I2748" i="2"/>
  <c r="J2748" i="2" s="1"/>
  <c r="K2748" i="2" s="1"/>
  <c r="L2748" i="2" s="1"/>
  <c r="I989" i="2"/>
  <c r="J989" i="2" s="1"/>
  <c r="K989" i="2" s="1"/>
  <c r="L989" i="2" s="1"/>
  <c r="I428" i="2"/>
  <c r="J428" i="2" s="1"/>
  <c r="K428" i="2" s="1"/>
  <c r="L428" i="2" s="1"/>
  <c r="I1383" i="2"/>
  <c r="J1383" i="2" s="1"/>
  <c r="K1383" i="2" s="1"/>
  <c r="L1383" i="2" s="1"/>
  <c r="I1500" i="2"/>
  <c r="J1500" i="2" s="1"/>
  <c r="K1500" i="2" s="1"/>
  <c r="L1500" i="2" s="1"/>
  <c r="I333" i="2"/>
  <c r="J333" i="2" s="1"/>
  <c r="K333" i="2" s="1"/>
  <c r="L333" i="2" s="1"/>
  <c r="I1779" i="2"/>
  <c r="J1779" i="2" s="1"/>
  <c r="K1779" i="2" s="1"/>
  <c r="L1779" i="2" s="1"/>
  <c r="I3149" i="2"/>
  <c r="J3149" i="2" s="1"/>
  <c r="K3149" i="2" s="1"/>
  <c r="L3149" i="2" s="1"/>
  <c r="I2427" i="2"/>
  <c r="J2427" i="2" s="1"/>
  <c r="K2427" i="2" s="1"/>
  <c r="L2427" i="2" s="1"/>
  <c r="I3110" i="2"/>
  <c r="J3110" i="2" s="1"/>
  <c r="K3110" i="2" s="1"/>
  <c r="L3110" i="2" s="1"/>
  <c r="I2749" i="2"/>
  <c r="J2749" i="2" s="1"/>
  <c r="K2749" i="2" s="1"/>
  <c r="L2749" i="2" s="1"/>
  <c r="I251" i="2"/>
  <c r="J251" i="2" s="1"/>
  <c r="K251" i="2" s="1"/>
  <c r="L251" i="2" s="1"/>
  <c r="I3111" i="2"/>
  <c r="J3111" i="2" s="1"/>
  <c r="K3111" i="2" s="1"/>
  <c r="L3111" i="2" s="1"/>
  <c r="I1780" i="2"/>
  <c r="J1780" i="2" s="1"/>
  <c r="K1780" i="2" s="1"/>
  <c r="L1780" i="2" s="1"/>
  <c r="I517" i="2"/>
  <c r="J517" i="2" s="1"/>
  <c r="K517" i="2" s="1"/>
  <c r="L517" i="2" s="1"/>
  <c r="I3112" i="2"/>
  <c r="J3112" i="2" s="1"/>
  <c r="K3112" i="2" s="1"/>
  <c r="L3112" i="2" s="1"/>
  <c r="I3113" i="2"/>
  <c r="J3113" i="2" s="1"/>
  <c r="K3113" i="2" s="1"/>
  <c r="L3113" i="2" s="1"/>
  <c r="I2428" i="2"/>
  <c r="J2428" i="2" s="1"/>
  <c r="K2428" i="2" s="1"/>
  <c r="L2428" i="2" s="1"/>
  <c r="I3124" i="2"/>
  <c r="J3124" i="2" s="1"/>
  <c r="K3124" i="2" s="1"/>
  <c r="L3124" i="2" s="1"/>
  <c r="I1384" i="2"/>
  <c r="J1384" i="2" s="1"/>
  <c r="K1384" i="2" s="1"/>
  <c r="L1384" i="2" s="1"/>
  <c r="I3114" i="2"/>
  <c r="J3114" i="2" s="1"/>
  <c r="K3114" i="2" s="1"/>
  <c r="L3114" i="2" s="1"/>
  <c r="I2801" i="2"/>
  <c r="J2801" i="2" s="1"/>
  <c r="K2801" i="2" s="1"/>
  <c r="L2801" i="2" s="1"/>
  <c r="I334" i="2"/>
  <c r="J334" i="2" s="1"/>
  <c r="K334" i="2" s="1"/>
  <c r="L334" i="2" s="1"/>
  <c r="I1781" i="2"/>
  <c r="J1781" i="2" s="1"/>
  <c r="K1781" i="2" s="1"/>
  <c r="L1781" i="2" s="1"/>
  <c r="I2750" i="2"/>
  <c r="J2750" i="2" s="1"/>
  <c r="K2750" i="2" s="1"/>
  <c r="L2750" i="2" s="1"/>
  <c r="I1501" i="2"/>
  <c r="J1501" i="2" s="1"/>
  <c r="K1501" i="2" s="1"/>
  <c r="L1501" i="2" s="1"/>
  <c r="I335" i="2"/>
  <c r="J335" i="2" s="1"/>
  <c r="K335" i="2" s="1"/>
  <c r="L335" i="2" s="1"/>
  <c r="I2751" i="2"/>
  <c r="J2751" i="2" s="1"/>
  <c r="K2751" i="2" s="1"/>
  <c r="L2751" i="2" s="1"/>
  <c r="I3115" i="2"/>
  <c r="J3115" i="2" s="1"/>
  <c r="K3115" i="2" s="1"/>
  <c r="L3115" i="2" s="1"/>
  <c r="I1385" i="2"/>
  <c r="J1385" i="2" s="1"/>
  <c r="K1385" i="2" s="1"/>
  <c r="L1385" i="2" s="1"/>
  <c r="I252" i="2"/>
  <c r="J252" i="2" s="1"/>
  <c r="K252" i="2" s="1"/>
  <c r="L252" i="2" s="1"/>
  <c r="I518" i="2"/>
  <c r="J518" i="2" s="1"/>
  <c r="K518" i="2" s="1"/>
  <c r="L518" i="2" s="1"/>
  <c r="I1782" i="2"/>
  <c r="J1782" i="2" s="1"/>
  <c r="K1782" i="2" s="1"/>
  <c r="L1782" i="2" s="1"/>
  <c r="I253" i="2"/>
  <c r="J253" i="2" s="1"/>
  <c r="K253" i="2" s="1"/>
  <c r="L253" i="2" s="1"/>
  <c r="I990" i="2"/>
  <c r="J990" i="2" s="1"/>
  <c r="K990" i="2" s="1"/>
  <c r="L990" i="2" s="1"/>
  <c r="I1502" i="2"/>
  <c r="J1502" i="2" s="1"/>
  <c r="K1502" i="2" s="1"/>
  <c r="L1502" i="2" s="1"/>
  <c r="I2068" i="2"/>
  <c r="J2068" i="2" s="1"/>
  <c r="K2068" i="2" s="1"/>
  <c r="L2068" i="2" s="1"/>
  <c r="I1212" i="2"/>
  <c r="J1212" i="2" s="1"/>
  <c r="K1212" i="2" s="1"/>
  <c r="L1212" i="2" s="1"/>
  <c r="I336" i="2"/>
  <c r="J336" i="2" s="1"/>
  <c r="K336" i="2" s="1"/>
  <c r="L336" i="2" s="1"/>
  <c r="I429" i="2"/>
  <c r="J429" i="2" s="1"/>
  <c r="K429" i="2" s="1"/>
  <c r="L429" i="2" s="1"/>
  <c r="I2885" i="2"/>
  <c r="J2885" i="2" s="1"/>
  <c r="K2885" i="2" s="1"/>
  <c r="L2885" i="2" s="1"/>
  <c r="I2886" i="2"/>
  <c r="J2886" i="2" s="1"/>
  <c r="K2886" i="2" s="1"/>
  <c r="L2886" i="2" s="1"/>
  <c r="I991" i="2"/>
  <c r="J991" i="2" s="1"/>
  <c r="K991" i="2" s="1"/>
  <c r="L991" i="2" s="1"/>
  <c r="I430" i="2"/>
  <c r="J430" i="2" s="1"/>
  <c r="K430" i="2" s="1"/>
  <c r="L430" i="2" s="1"/>
  <c r="I254" i="2"/>
  <c r="J254" i="2" s="1"/>
  <c r="K254" i="2" s="1"/>
  <c r="L254" i="2" s="1"/>
  <c r="I431" i="2"/>
  <c r="J431" i="2" s="1"/>
  <c r="K431" i="2" s="1"/>
  <c r="L431" i="2" s="1"/>
  <c r="I992" i="2"/>
  <c r="J992" i="2" s="1"/>
  <c r="K992" i="2" s="1"/>
  <c r="L992" i="2" s="1"/>
  <c r="I2069" i="2"/>
  <c r="J2069" i="2" s="1"/>
  <c r="K2069" i="2" s="1"/>
  <c r="L2069" i="2" s="1"/>
  <c r="I2429" i="2"/>
  <c r="J2429" i="2" s="1"/>
  <c r="K2429" i="2" s="1"/>
  <c r="L2429" i="2" s="1"/>
  <c r="I2430" i="2"/>
  <c r="J2430" i="2" s="1"/>
  <c r="K2430" i="2" s="1"/>
  <c r="L2430" i="2" s="1"/>
  <c r="I2887" i="2"/>
  <c r="J2887" i="2" s="1"/>
  <c r="K2887" i="2" s="1"/>
  <c r="L2887" i="2" s="1"/>
  <c r="I1539" i="2"/>
  <c r="J1539" i="2" s="1"/>
  <c r="K1539" i="2" s="1"/>
  <c r="L1539" i="2" s="1"/>
  <c r="I1398" i="2"/>
  <c r="J1398" i="2" s="1"/>
  <c r="K1398" i="2" s="1"/>
  <c r="L1398" i="2" s="1"/>
  <c r="E5" i="1"/>
  <c r="E9" i="1"/>
  <c r="F9" i="1" s="1"/>
  <c r="G9" i="1" s="1"/>
  <c r="H9" i="1" s="1"/>
  <c r="J9" i="1" s="1"/>
  <c r="S9" i="1" s="1"/>
  <c r="E11" i="1"/>
  <c r="F11" i="1" s="1"/>
  <c r="G11" i="1" s="1"/>
  <c r="H11" i="1" s="1"/>
  <c r="J11" i="1" s="1"/>
  <c r="S11" i="1" s="1"/>
  <c r="E14" i="1"/>
  <c r="F14" i="1" s="1"/>
  <c r="G14" i="1" s="1"/>
  <c r="H14" i="1" s="1"/>
  <c r="J14" i="1" s="1"/>
  <c r="S14" i="1" s="1"/>
  <c r="E12" i="1"/>
  <c r="E28" i="4"/>
  <c r="F28" i="4" s="1"/>
  <c r="G28" i="4" s="1"/>
  <c r="H28" i="4" s="1"/>
  <c r="E25" i="4"/>
  <c r="F25" i="4" s="1"/>
  <c r="G25" i="4" s="1"/>
  <c r="H25" i="4" s="1"/>
  <c r="E16" i="4"/>
  <c r="F16" i="4" s="1"/>
  <c r="G16" i="4" s="1"/>
  <c r="H16" i="4" s="1"/>
  <c r="I16" i="4" s="1"/>
  <c r="J16" i="4" s="1"/>
  <c r="R16" i="4" s="1"/>
  <c r="E23" i="4"/>
  <c r="F23" i="4" s="1"/>
  <c r="G23" i="4" s="1"/>
  <c r="H23" i="4" s="1"/>
  <c r="E20" i="4"/>
  <c r="F20" i="4" s="1"/>
  <c r="G20" i="4" s="1"/>
  <c r="H20" i="4" s="1"/>
  <c r="E17" i="4"/>
  <c r="F17" i="4" s="1"/>
  <c r="G17" i="4" s="1"/>
  <c r="H17" i="4" s="1"/>
  <c r="I17" i="4" s="1"/>
  <c r="J17" i="4" s="1"/>
  <c r="R17" i="4" s="1"/>
  <c r="D31" i="4"/>
  <c r="E8" i="1"/>
  <c r="F8" i="1" s="1"/>
  <c r="G8" i="1" s="1"/>
  <c r="H8" i="1" s="1"/>
  <c r="J8" i="1" s="1"/>
  <c r="S8" i="1" s="1"/>
  <c r="E19" i="1"/>
  <c r="F19" i="1" s="1"/>
  <c r="G19" i="1" s="1"/>
  <c r="H19" i="1" s="1"/>
  <c r="J19" i="1" s="1"/>
  <c r="S19" i="1" s="1"/>
  <c r="E17" i="1"/>
  <c r="F17" i="1" s="1"/>
  <c r="G17" i="1" s="1"/>
  <c r="H17" i="1" s="1"/>
  <c r="J17" i="1" s="1"/>
  <c r="S17" i="1" s="1"/>
  <c r="E16" i="1"/>
  <c r="F16" i="1" s="1"/>
  <c r="G16" i="1" s="1"/>
  <c r="H16" i="1" s="1"/>
  <c r="J16" i="1" s="1"/>
  <c r="S16" i="1" s="1"/>
  <c r="F5" i="1" l="1"/>
  <c r="E22" i="1"/>
  <c r="J274" i="2"/>
  <c r="I3181" i="2"/>
  <c r="I20" i="4"/>
  <c r="J20" i="4" s="1"/>
  <c r="R20" i="4" s="1"/>
  <c r="I28" i="4"/>
  <c r="J28" i="4" s="1"/>
  <c r="R28" i="4" s="1"/>
  <c r="I23" i="4"/>
  <c r="J23" i="4" s="1"/>
  <c r="R23" i="4" s="1"/>
  <c r="I25" i="4"/>
  <c r="J25" i="4" s="1"/>
  <c r="R25" i="4" s="1"/>
  <c r="M2885" i="2"/>
  <c r="N2885" i="2" s="1"/>
  <c r="M3114" i="2"/>
  <c r="N3114" i="2" s="1"/>
  <c r="M1500" i="2"/>
  <c r="N1500" i="2" s="1"/>
  <c r="M249" i="2"/>
  <c r="N249" i="2" s="1"/>
  <c r="M1772" i="2"/>
  <c r="N1772" i="2" s="1"/>
  <c r="M983" i="2"/>
  <c r="N983" i="2" s="1"/>
  <c r="M2423" i="2"/>
  <c r="N2423" i="2" s="1"/>
  <c r="M2587" i="2"/>
  <c r="N2587" i="2" s="1"/>
  <c r="M2799" i="2"/>
  <c r="N2799" i="2" s="1"/>
  <c r="M971" i="2"/>
  <c r="N971" i="2" s="1"/>
  <c r="M1206" i="2"/>
  <c r="N1206" i="2" s="1"/>
  <c r="M1062" i="2"/>
  <c r="N1062" i="2" s="1"/>
  <c r="M964" i="2"/>
  <c r="N964" i="2" s="1"/>
  <c r="M1762" i="2"/>
  <c r="N1762" i="2" s="1"/>
  <c r="M422" i="2"/>
  <c r="N422" i="2" s="1"/>
  <c r="M3094" i="2"/>
  <c r="N3094" i="2" s="1"/>
  <c r="M420" i="2"/>
  <c r="N420" i="2" s="1"/>
  <c r="M951" i="2"/>
  <c r="N951" i="2" s="1"/>
  <c r="M510" i="2"/>
  <c r="N510" i="2" s="1"/>
  <c r="M947" i="2"/>
  <c r="N947" i="2" s="1"/>
  <c r="M2734" i="2"/>
  <c r="N2734" i="2" s="1"/>
  <c r="M2392" i="2"/>
  <c r="N2392" i="2" s="1"/>
  <c r="M940" i="2"/>
  <c r="N940" i="2" s="1"/>
  <c r="M221" i="2"/>
  <c r="N221" i="2" s="1"/>
  <c r="M3086" i="2"/>
  <c r="N3086" i="2" s="1"/>
  <c r="M2384" i="2"/>
  <c r="N2384" i="2" s="1"/>
  <c r="M2731" i="2"/>
  <c r="N2731" i="2" s="1"/>
  <c r="M931" i="2"/>
  <c r="N931" i="2" s="1"/>
  <c r="M2570" i="2"/>
  <c r="N2570" i="2" s="1"/>
  <c r="M1843" i="2"/>
  <c r="N1843" i="2" s="1"/>
  <c r="M1050" i="2"/>
  <c r="N1050" i="2" s="1"/>
  <c r="M2723" i="2"/>
  <c r="N2723" i="2" s="1"/>
  <c r="M1103" i="2"/>
  <c r="N1103" i="2" s="1"/>
  <c r="M921" i="2"/>
  <c r="N921" i="2" s="1"/>
  <c r="M2374" i="2"/>
  <c r="N2374" i="2" s="1"/>
  <c r="M1743" i="2"/>
  <c r="N1743" i="2" s="1"/>
  <c r="M2033" i="2"/>
  <c r="N2033" i="2" s="1"/>
  <c r="M2370" i="2"/>
  <c r="N2370" i="2" s="1"/>
  <c r="M1047" i="2"/>
  <c r="N1047" i="2" s="1"/>
  <c r="M1358" i="2"/>
  <c r="N1358" i="2" s="1"/>
  <c r="M1738" i="2"/>
  <c r="N1738" i="2" s="1"/>
  <c r="M198" i="2"/>
  <c r="N198" i="2" s="1"/>
  <c r="M1734" i="2"/>
  <c r="N1734" i="2" s="1"/>
  <c r="M1733" i="2"/>
  <c r="N1733" i="2" s="1"/>
  <c r="M2715" i="2"/>
  <c r="N2715" i="2" s="1"/>
  <c r="M2908" i="2"/>
  <c r="N2908" i="2" s="1"/>
  <c r="M1731" i="2"/>
  <c r="N1731" i="2" s="1"/>
  <c r="M1355" i="2"/>
  <c r="N1355" i="2" s="1"/>
  <c r="M892" i="2"/>
  <c r="N892" i="2" s="1"/>
  <c r="M193" i="2"/>
  <c r="N193" i="2" s="1"/>
  <c r="M192" i="2"/>
  <c r="N192" i="2" s="1"/>
  <c r="M886" i="2"/>
  <c r="N886" i="2" s="1"/>
  <c r="M496" i="2"/>
  <c r="N496" i="2" s="1"/>
  <c r="M1833" i="2"/>
  <c r="N1833" i="2" s="1"/>
  <c r="M879" i="2"/>
  <c r="N879" i="2" s="1"/>
  <c r="M1350" i="2"/>
  <c r="N1350" i="2" s="1"/>
  <c r="M2711" i="2"/>
  <c r="N2711" i="2" s="1"/>
  <c r="M875" i="2"/>
  <c r="N875" i="2" s="1"/>
  <c r="M2791" i="2"/>
  <c r="N2791" i="2" s="1"/>
  <c r="M872" i="2"/>
  <c r="N872" i="2" s="1"/>
  <c r="M2865" i="2"/>
  <c r="N2865" i="2" s="1"/>
  <c r="M317" i="2"/>
  <c r="N317" i="2" s="1"/>
  <c r="M2709" i="2"/>
  <c r="N2709" i="2" s="1"/>
  <c r="M2349" i="2"/>
  <c r="N2349" i="2" s="1"/>
  <c r="M2864" i="2"/>
  <c r="N2864" i="2" s="1"/>
  <c r="M1716" i="2"/>
  <c r="N1716" i="2" s="1"/>
  <c r="M867" i="2"/>
  <c r="N867" i="2" s="1"/>
  <c r="M3059" i="2"/>
  <c r="N3059" i="2" s="1"/>
  <c r="M2706" i="2"/>
  <c r="N2706" i="2" s="1"/>
  <c r="M1044" i="2"/>
  <c r="N1044" i="2" s="1"/>
  <c r="M863" i="2"/>
  <c r="N863" i="2" s="1"/>
  <c r="M176" i="2"/>
  <c r="N176" i="2" s="1"/>
  <c r="M2346" i="2"/>
  <c r="N2346" i="2" s="1"/>
  <c r="M2703" i="2"/>
  <c r="N2703" i="2" s="1"/>
  <c r="M861" i="2"/>
  <c r="N861" i="2" s="1"/>
  <c r="M2702" i="2"/>
  <c r="N2702" i="2" s="1"/>
  <c r="M2015" i="2"/>
  <c r="N2015" i="2" s="1"/>
  <c r="M1715" i="2"/>
  <c r="N1715" i="2" s="1"/>
  <c r="M1346" i="2"/>
  <c r="N1346" i="2" s="1"/>
  <c r="M2342" i="2"/>
  <c r="N2342" i="2" s="1"/>
  <c r="M2552" i="2"/>
  <c r="N2552" i="2" s="1"/>
  <c r="M493" i="2"/>
  <c r="N493" i="2" s="1"/>
  <c r="M2013" i="2"/>
  <c r="N2013" i="2" s="1"/>
  <c r="M3146" i="2"/>
  <c r="N3146" i="2" s="1"/>
  <c r="M402" i="2"/>
  <c r="N402" i="2" s="1"/>
  <c r="M853" i="2"/>
  <c r="N853" i="2" s="1"/>
  <c r="M2789" i="2"/>
  <c r="N2789" i="2" s="1"/>
  <c r="M1180" i="2"/>
  <c r="N1180" i="2" s="1"/>
  <c r="M1341" i="2"/>
  <c r="N1341" i="2" s="1"/>
  <c r="M1042" i="2"/>
  <c r="N1042" i="2" s="1"/>
  <c r="M851" i="2"/>
  <c r="N851" i="2" s="1"/>
  <c r="M1340" i="2"/>
  <c r="N1340" i="2" s="1"/>
  <c r="M1827" i="2"/>
  <c r="N1827" i="2" s="1"/>
  <c r="M401" i="2"/>
  <c r="N401" i="2" s="1"/>
  <c r="M2009" i="2"/>
  <c r="N2009" i="2" s="1"/>
  <c r="M1177" i="2"/>
  <c r="N1177" i="2" s="1"/>
  <c r="M846" i="2"/>
  <c r="N846" i="2" s="1"/>
  <c r="M844" i="2"/>
  <c r="N844" i="2" s="1"/>
  <c r="M2861" i="2"/>
  <c r="N2861" i="2" s="1"/>
  <c r="M2698" i="2"/>
  <c r="N2698" i="2" s="1"/>
  <c r="M166" i="2"/>
  <c r="N166" i="2" s="1"/>
  <c r="M165" i="2"/>
  <c r="N165" i="2" s="1"/>
  <c r="M3054" i="2"/>
  <c r="N3054" i="2" s="1"/>
  <c r="M1336" i="2"/>
  <c r="N1336" i="2" s="1"/>
  <c r="M314" i="2"/>
  <c r="N314" i="2" s="1"/>
  <c r="M2696" i="2"/>
  <c r="N2696" i="2" s="1"/>
  <c r="M1175" i="2"/>
  <c r="N1175" i="2" s="1"/>
  <c r="M3159" i="2"/>
  <c r="N3159" i="2" s="1"/>
  <c r="M1472" i="2"/>
  <c r="N1472" i="2" s="1"/>
  <c r="M3052" i="2"/>
  <c r="N3052" i="2" s="1"/>
  <c r="M1174" i="2"/>
  <c r="N1174" i="2" s="1"/>
  <c r="M395" i="2"/>
  <c r="N395" i="2" s="1"/>
  <c r="M2692" i="2"/>
  <c r="N2692" i="2" s="1"/>
  <c r="M2859" i="2"/>
  <c r="N2859" i="2" s="1"/>
  <c r="M836" i="2"/>
  <c r="N836" i="2" s="1"/>
  <c r="M2858" i="2"/>
  <c r="N2858" i="2" s="1"/>
  <c r="M1040" i="2"/>
  <c r="N1040" i="2" s="1"/>
  <c r="M2326" i="2"/>
  <c r="N2326" i="2" s="1"/>
  <c r="M2325" i="2"/>
  <c r="N2325" i="2" s="1"/>
  <c r="M2004" i="2"/>
  <c r="N2004" i="2" s="1"/>
  <c r="M1334" i="2"/>
  <c r="N1334" i="2" s="1"/>
  <c r="M539" i="2"/>
  <c r="N539" i="2" s="1"/>
  <c r="M2002" i="2"/>
  <c r="N2002" i="2" s="1"/>
  <c r="M487" i="2"/>
  <c r="N487" i="2" s="1"/>
  <c r="M1102" i="2"/>
  <c r="N1102" i="2" s="1"/>
  <c r="M3050" i="2"/>
  <c r="N3050" i="2" s="1"/>
  <c r="M1705" i="2"/>
  <c r="N1705" i="2" s="1"/>
  <c r="M2321" i="2"/>
  <c r="N2321" i="2" s="1"/>
  <c r="M2320" i="2"/>
  <c r="N2320" i="2" s="1"/>
  <c r="M2317" i="2"/>
  <c r="N2317" i="2" s="1"/>
  <c r="M2545" i="2"/>
  <c r="N2545" i="2" s="1"/>
  <c r="M154" i="2"/>
  <c r="N154" i="2" s="1"/>
  <c r="M827" i="2"/>
  <c r="N827" i="2" s="1"/>
  <c r="M1702" i="2"/>
  <c r="N1702" i="2" s="1"/>
  <c r="M824" i="2"/>
  <c r="N824" i="2" s="1"/>
  <c r="M153" i="2"/>
  <c r="N153" i="2" s="1"/>
  <c r="M313" i="2"/>
  <c r="N313" i="2" s="1"/>
  <c r="M312" i="2"/>
  <c r="N312" i="2" s="1"/>
  <c r="M2785" i="2"/>
  <c r="N2785" i="2" s="1"/>
  <c r="M1332" i="2"/>
  <c r="N1332" i="2" s="1"/>
  <c r="M823" i="2"/>
  <c r="N823" i="2" s="1"/>
  <c r="M1330" i="2"/>
  <c r="N1330" i="2" s="1"/>
  <c r="M822" i="2"/>
  <c r="N822" i="2" s="1"/>
  <c r="M1823" i="2"/>
  <c r="N1823" i="2" s="1"/>
  <c r="M2856" i="2"/>
  <c r="N2856" i="2" s="1"/>
  <c r="M1329" i="2"/>
  <c r="N1329" i="2" s="1"/>
  <c r="M2086" i="2"/>
  <c r="N2086" i="2" s="1"/>
  <c r="M258" i="2"/>
  <c r="N258" i="2" s="1"/>
  <c r="M2690" i="2"/>
  <c r="N2690" i="2" s="1"/>
  <c r="M2311" i="2"/>
  <c r="N2311" i="2" s="1"/>
  <c r="M818" i="2"/>
  <c r="N818" i="2" s="1"/>
  <c r="M1325" i="2"/>
  <c r="N1325" i="2" s="1"/>
  <c r="M2308" i="2"/>
  <c r="N2308" i="2" s="1"/>
  <c r="M1324" i="2"/>
  <c r="N1324" i="2" s="1"/>
  <c r="M1100" i="2"/>
  <c r="N1100" i="2" s="1"/>
  <c r="M3165" i="2"/>
  <c r="N3165" i="2" s="1"/>
  <c r="M3142" i="2"/>
  <c r="N3142" i="2" s="1"/>
  <c r="M2306" i="2"/>
  <c r="N2306" i="2" s="1"/>
  <c r="M145" i="2"/>
  <c r="N145" i="2" s="1"/>
  <c r="M2854" i="2"/>
  <c r="N2854" i="2" s="1"/>
  <c r="M2304" i="2"/>
  <c r="N2304" i="2" s="1"/>
  <c r="M1466" i="2"/>
  <c r="N1466" i="2" s="1"/>
  <c r="M811" i="2"/>
  <c r="N811" i="2" s="1"/>
  <c r="M1323" i="2"/>
  <c r="N1323" i="2" s="1"/>
  <c r="M1465" i="2"/>
  <c r="N1465" i="2" s="1"/>
  <c r="M808" i="2"/>
  <c r="N808" i="2" s="1"/>
  <c r="M1991" i="2"/>
  <c r="N1991" i="2" s="1"/>
  <c r="M142" i="2"/>
  <c r="N142" i="2" s="1"/>
  <c r="M803" i="2"/>
  <c r="N803" i="2" s="1"/>
  <c r="M141" i="2"/>
  <c r="N141" i="2" s="1"/>
  <c r="M2784" i="2"/>
  <c r="N2784" i="2" s="1"/>
  <c r="M1464" i="2"/>
  <c r="N1464" i="2" s="1"/>
  <c r="M1321" i="2"/>
  <c r="N1321" i="2" s="1"/>
  <c r="M1687" i="2"/>
  <c r="N1687" i="2" s="1"/>
  <c r="M800" i="2"/>
  <c r="N800" i="2" s="1"/>
  <c r="M1990" i="2"/>
  <c r="N1990" i="2" s="1"/>
  <c r="M1314" i="2"/>
  <c r="N1314" i="2" s="1"/>
  <c r="M388" i="2"/>
  <c r="N388" i="2" s="1"/>
  <c r="M797" i="2"/>
  <c r="N797" i="2" s="1"/>
  <c r="M1114" i="2"/>
  <c r="N1114" i="2" s="1"/>
  <c r="M2296" i="2"/>
  <c r="N2296" i="2" s="1"/>
  <c r="M3037" i="2"/>
  <c r="N3037" i="2" s="1"/>
  <c r="M1099" i="2"/>
  <c r="N1099" i="2" s="1"/>
  <c r="M794" i="2"/>
  <c r="N794" i="2" s="1"/>
  <c r="M1985" i="2"/>
  <c r="N1985" i="2" s="1"/>
  <c r="M140" i="2"/>
  <c r="N140" i="2" s="1"/>
  <c r="M791" i="2"/>
  <c r="N791" i="2" s="1"/>
  <c r="M789" i="2"/>
  <c r="N789" i="2" s="1"/>
  <c r="M2294" i="2"/>
  <c r="N2294" i="2" s="1"/>
  <c r="M1682" i="2"/>
  <c r="N1682" i="2" s="1"/>
  <c r="M1982" i="2"/>
  <c r="N1982" i="2" s="1"/>
  <c r="M2683" i="2"/>
  <c r="N2683" i="2" s="1"/>
  <c r="M1312" i="2"/>
  <c r="N1312" i="2" s="1"/>
  <c r="M1311" i="2"/>
  <c r="N1311" i="2" s="1"/>
  <c r="M1980" i="2"/>
  <c r="N1980" i="2" s="1"/>
  <c r="M1979" i="2"/>
  <c r="N1979" i="2" s="1"/>
  <c r="M1310" i="2"/>
  <c r="N1310" i="2" s="1"/>
  <c r="M1166" i="2"/>
  <c r="N1166" i="2" s="1"/>
  <c r="M2680" i="2"/>
  <c r="N2680" i="2" s="1"/>
  <c r="M138" i="2"/>
  <c r="N138" i="2" s="1"/>
  <c r="M2534" i="2"/>
  <c r="N2534" i="2" s="1"/>
  <c r="M137" i="2"/>
  <c r="N137" i="2" s="1"/>
  <c r="M1164" i="2"/>
  <c r="N1164" i="2" s="1"/>
  <c r="M1530" i="2"/>
  <c r="N1530" i="2" s="1"/>
  <c r="M476" i="2"/>
  <c r="N476" i="2" s="1"/>
  <c r="M1976" i="2"/>
  <c r="N1976" i="2" s="1"/>
  <c r="M135" i="2"/>
  <c r="N135" i="2" s="1"/>
  <c r="M2782" i="2"/>
  <c r="N2782" i="2" s="1"/>
  <c r="M2082" i="2"/>
  <c r="N2082" i="2" s="1"/>
  <c r="M774" i="2"/>
  <c r="N774" i="2" s="1"/>
  <c r="M134" i="2"/>
  <c r="N134" i="2" s="1"/>
  <c r="M3027" i="2"/>
  <c r="N3027" i="2" s="1"/>
  <c r="M2529" i="2"/>
  <c r="N2529" i="2" s="1"/>
  <c r="M2286" i="2"/>
  <c r="N2286" i="2" s="1"/>
  <c r="M768" i="2"/>
  <c r="N768" i="2" s="1"/>
  <c r="M1675" i="2"/>
  <c r="N1675" i="2" s="1"/>
  <c r="M1674" i="2"/>
  <c r="N1674" i="2" s="1"/>
  <c r="M1970" i="2"/>
  <c r="N1970" i="2" s="1"/>
  <c r="M2892" i="2"/>
  <c r="N2892" i="2" s="1"/>
  <c r="M310" i="2"/>
  <c r="N310" i="2" s="1"/>
  <c r="M3025" i="2"/>
  <c r="N3025" i="2" s="1"/>
  <c r="M1671" i="2"/>
  <c r="N1671" i="2" s="1"/>
  <c r="M2281" i="2"/>
  <c r="N2281" i="2" s="1"/>
  <c r="M762" i="2"/>
  <c r="N762" i="2" s="1"/>
  <c r="M1669" i="2"/>
  <c r="N1669" i="2" s="1"/>
  <c r="M1668" i="2"/>
  <c r="N1668" i="2" s="1"/>
  <c r="M1162" i="2"/>
  <c r="N1162" i="2" s="1"/>
  <c r="M383" i="2"/>
  <c r="N383" i="2" s="1"/>
  <c r="M3021" i="2"/>
  <c r="N3021" i="2" s="1"/>
  <c r="M2677" i="2"/>
  <c r="N2677" i="2" s="1"/>
  <c r="M1527" i="2"/>
  <c r="N1527" i="2" s="1"/>
  <c r="M1817" i="2"/>
  <c r="N1817" i="2" s="1"/>
  <c r="M2278" i="2"/>
  <c r="N2278" i="2" s="1"/>
  <c r="M534" i="2"/>
  <c r="N534" i="2" s="1"/>
  <c r="M2275" i="2"/>
  <c r="N2275" i="2" s="1"/>
  <c r="M755" i="2"/>
  <c r="N755" i="2" s="1"/>
  <c r="M754" i="2"/>
  <c r="N754" i="2" s="1"/>
  <c r="M2849" i="2"/>
  <c r="N2849" i="2" s="1"/>
  <c r="M1965" i="2"/>
  <c r="N1965" i="2" s="1"/>
  <c r="M1964" i="2"/>
  <c r="N1964" i="2" s="1"/>
  <c r="M125" i="2"/>
  <c r="N125" i="2" s="1"/>
  <c r="M752" i="2"/>
  <c r="N752" i="2" s="1"/>
  <c r="M3015" i="2"/>
  <c r="N3015" i="2" s="1"/>
  <c r="M750" i="2"/>
  <c r="N750" i="2" s="1"/>
  <c r="M123" i="2"/>
  <c r="N123" i="2" s="1"/>
  <c r="M3013" i="2"/>
  <c r="N3013" i="2" s="1"/>
  <c r="M2273" i="2"/>
  <c r="N2273" i="2" s="1"/>
  <c r="M381" i="2"/>
  <c r="N381" i="2" s="1"/>
  <c r="M749" i="2"/>
  <c r="N749" i="2" s="1"/>
  <c r="M339" i="2"/>
  <c r="N339" i="2" s="1"/>
  <c r="M2269" i="2"/>
  <c r="N2269" i="2" s="1"/>
  <c r="M2268" i="2"/>
  <c r="N2268" i="2" s="1"/>
  <c r="M747" i="2"/>
  <c r="N747" i="2" s="1"/>
  <c r="M2674" i="2"/>
  <c r="N2674" i="2" s="1"/>
  <c r="M745" i="2"/>
  <c r="N745" i="2" s="1"/>
  <c r="M2265" i="2"/>
  <c r="N2265" i="2" s="1"/>
  <c r="M1959" i="2"/>
  <c r="N1959" i="2" s="1"/>
  <c r="M1657" i="2"/>
  <c r="N1657" i="2" s="1"/>
  <c r="M1160" i="2"/>
  <c r="N1160" i="2" s="1"/>
  <c r="M2522" i="2"/>
  <c r="N2522" i="2" s="1"/>
  <c r="M3122" i="2"/>
  <c r="N3122" i="2" s="1"/>
  <c r="M741" i="2"/>
  <c r="N741" i="2" s="1"/>
  <c r="M1300" i="2"/>
  <c r="N1300" i="2" s="1"/>
  <c r="M1813" i="2"/>
  <c r="N1813" i="2" s="1"/>
  <c r="M1656" i="2"/>
  <c r="N1656" i="2" s="1"/>
  <c r="M113" i="2"/>
  <c r="N113" i="2" s="1"/>
  <c r="M380" i="2"/>
  <c r="N380" i="2" s="1"/>
  <c r="M2259" i="2"/>
  <c r="N2259" i="2" s="1"/>
  <c r="M305" i="2"/>
  <c r="N305" i="2" s="1"/>
  <c r="M1654" i="2"/>
  <c r="N1654" i="2" s="1"/>
  <c r="M3007" i="2"/>
  <c r="N3007" i="2" s="1"/>
  <c r="M2257" i="2"/>
  <c r="N2257" i="2" s="1"/>
  <c r="M1957" i="2"/>
  <c r="N1957" i="2" s="1"/>
  <c r="M1299" i="2"/>
  <c r="N1299" i="2" s="1"/>
  <c r="M1652" i="2"/>
  <c r="N1652" i="2" s="1"/>
  <c r="M1955" i="2"/>
  <c r="N1955" i="2" s="1"/>
  <c r="M1452" i="2"/>
  <c r="N1452" i="2" s="1"/>
  <c r="M3003" i="2"/>
  <c r="N3003" i="2" s="1"/>
  <c r="M3002" i="2"/>
  <c r="N3002" i="2" s="1"/>
  <c r="M2518" i="2"/>
  <c r="N2518" i="2" s="1"/>
  <c r="M736" i="2"/>
  <c r="N736" i="2" s="1"/>
  <c r="M1650" i="2"/>
  <c r="N1650" i="2" s="1"/>
  <c r="M112" i="2"/>
  <c r="N112" i="2" s="1"/>
  <c r="M3001" i="2"/>
  <c r="N3001" i="2" s="1"/>
  <c r="M731" i="2"/>
  <c r="N731" i="2" s="1"/>
  <c r="M2517" i="2"/>
  <c r="N2517" i="2" s="1"/>
  <c r="M467" i="2"/>
  <c r="N467" i="2" s="1"/>
  <c r="M1450" i="2"/>
  <c r="N1450" i="2" s="1"/>
  <c r="M1112" i="2"/>
  <c r="N1112" i="2" s="1"/>
  <c r="M1949" i="2"/>
  <c r="N1949" i="2" s="1"/>
  <c r="M1647" i="2"/>
  <c r="N1647" i="2" s="1"/>
  <c r="M1296" i="2"/>
  <c r="N1296" i="2" s="1"/>
  <c r="M1295" i="2"/>
  <c r="N1295" i="2" s="1"/>
  <c r="M1644" i="2"/>
  <c r="N1644" i="2" s="1"/>
  <c r="M1948" i="2"/>
  <c r="N1948" i="2" s="1"/>
  <c r="M1449" i="2"/>
  <c r="N1449" i="2" s="1"/>
  <c r="M2512" i="2"/>
  <c r="N2512" i="2" s="1"/>
  <c r="M1030" i="2"/>
  <c r="N1030" i="2" s="1"/>
  <c r="M2511" i="2"/>
  <c r="N2511" i="2" s="1"/>
  <c r="M2247" i="2"/>
  <c r="N2247" i="2" s="1"/>
  <c r="M2998" i="2"/>
  <c r="N2998" i="2" s="1"/>
  <c r="M1642" i="2"/>
  <c r="N1642" i="2" s="1"/>
  <c r="M2841" i="2"/>
  <c r="N2841" i="2" s="1"/>
  <c r="M377" i="2"/>
  <c r="N377" i="2" s="1"/>
  <c r="M1945" i="2"/>
  <c r="N1945" i="2" s="1"/>
  <c r="M465" i="2"/>
  <c r="N465" i="2" s="1"/>
  <c r="M1289" i="2"/>
  <c r="N1289" i="2" s="1"/>
  <c r="M1640" i="2"/>
  <c r="N1640" i="2" s="1"/>
  <c r="M1154" i="2"/>
  <c r="N1154" i="2" s="1"/>
  <c r="M2840" i="2"/>
  <c r="N2840" i="2" s="1"/>
  <c r="M1111" i="2"/>
  <c r="N1111" i="2" s="1"/>
  <c r="M1152" i="2"/>
  <c r="N1152" i="2" s="1"/>
  <c r="M1028" i="2"/>
  <c r="N1028" i="2" s="1"/>
  <c r="M105" i="2"/>
  <c r="N105" i="2" s="1"/>
  <c r="M720" i="2"/>
  <c r="N720" i="2" s="1"/>
  <c r="M3145" i="2"/>
  <c r="N3145" i="2" s="1"/>
  <c r="M1025" i="2"/>
  <c r="N1025" i="2" s="1"/>
  <c r="M2241" i="2"/>
  <c r="N2241" i="2" s="1"/>
  <c r="M103" i="2"/>
  <c r="N103" i="2" s="1"/>
  <c r="M2240" i="2"/>
  <c r="N2240" i="2" s="1"/>
  <c r="M1808" i="2"/>
  <c r="N1808" i="2" s="1"/>
  <c r="M2239" i="2"/>
  <c r="N2239" i="2" s="1"/>
  <c r="M2661" i="2"/>
  <c r="N2661" i="2" s="1"/>
  <c r="M2506" i="2"/>
  <c r="N2506" i="2" s="1"/>
  <c r="M2505" i="2"/>
  <c r="N2505" i="2" s="1"/>
  <c r="M2503" i="2"/>
  <c r="N2503" i="2" s="1"/>
  <c r="M101" i="2"/>
  <c r="N101" i="2" s="1"/>
  <c r="M713" i="2"/>
  <c r="N713" i="2" s="1"/>
  <c r="M2236" i="2"/>
  <c r="N2236" i="2" s="1"/>
  <c r="M710" i="2"/>
  <c r="N710" i="2" s="1"/>
  <c r="M1287" i="2"/>
  <c r="N1287" i="2" s="1"/>
  <c r="M1522" i="2"/>
  <c r="N1522" i="2" s="1"/>
  <c r="M2991" i="2"/>
  <c r="N2991" i="2" s="1"/>
  <c r="M2233" i="2"/>
  <c r="N2233" i="2" s="1"/>
  <c r="M707" i="2"/>
  <c r="N707" i="2" s="1"/>
  <c r="M1937" i="2"/>
  <c r="N1937" i="2" s="1"/>
  <c r="M706" i="2"/>
  <c r="N706" i="2" s="1"/>
  <c r="M704" i="2"/>
  <c r="N704" i="2" s="1"/>
  <c r="M1636" i="2"/>
  <c r="N1636" i="2" s="1"/>
  <c r="M300" i="2"/>
  <c r="N300" i="2" s="1"/>
  <c r="M1281" i="2"/>
  <c r="N1281" i="2" s="1"/>
  <c r="M2501" i="2"/>
  <c r="N2501" i="2" s="1"/>
  <c r="M458" i="2"/>
  <c r="N458" i="2" s="1"/>
  <c r="M2228" i="2"/>
  <c r="N2228" i="2" s="1"/>
  <c r="M700" i="2"/>
  <c r="N700" i="2" s="1"/>
  <c r="M1110" i="2"/>
  <c r="N1110" i="2" s="1"/>
  <c r="M1279" i="2"/>
  <c r="N1279" i="2" s="1"/>
  <c r="M697" i="2"/>
  <c r="N697" i="2" s="1"/>
  <c r="M2989" i="2"/>
  <c r="N2989" i="2" s="1"/>
  <c r="M2988" i="2"/>
  <c r="N2988" i="2" s="1"/>
  <c r="M1635" i="2"/>
  <c r="N1635" i="2" s="1"/>
  <c r="M2652" i="2"/>
  <c r="N2652" i="2" s="1"/>
  <c r="M2224" i="2"/>
  <c r="N2224" i="2" s="1"/>
  <c r="M1933" i="2"/>
  <c r="N1933" i="2" s="1"/>
  <c r="M2499" i="2"/>
  <c r="N2499" i="2" s="1"/>
  <c r="M455" i="2"/>
  <c r="N455" i="2" s="1"/>
  <c r="M1932" i="2"/>
  <c r="N1932" i="2" s="1"/>
  <c r="M1632" i="2"/>
  <c r="N1632" i="2" s="1"/>
  <c r="M2834" i="2"/>
  <c r="N2834" i="2" s="1"/>
  <c r="M1273" i="2"/>
  <c r="N1273" i="2" s="1"/>
  <c r="M2984" i="2"/>
  <c r="N2984" i="2" s="1"/>
  <c r="M2983" i="2"/>
  <c r="N2983" i="2" s="1"/>
  <c r="M1443" i="2"/>
  <c r="N1443" i="2" s="1"/>
  <c r="M2498" i="2"/>
  <c r="N2498" i="2" s="1"/>
  <c r="M689" i="2"/>
  <c r="N689" i="2" s="1"/>
  <c r="M2832" i="2"/>
  <c r="N2832" i="2" s="1"/>
  <c r="M687" i="2"/>
  <c r="N687" i="2" s="1"/>
  <c r="M453" i="2"/>
  <c r="N453" i="2" s="1"/>
  <c r="M2981" i="2"/>
  <c r="N2981" i="2" s="1"/>
  <c r="M1629" i="2"/>
  <c r="N1629" i="2" s="1"/>
  <c r="M2979" i="2"/>
  <c r="N2979" i="2" s="1"/>
  <c r="M685" i="2"/>
  <c r="N685" i="2" s="1"/>
  <c r="M1928" i="2"/>
  <c r="N1928" i="2" s="1"/>
  <c r="M1145" i="2"/>
  <c r="N1145" i="2" s="1"/>
  <c r="M1268" i="2"/>
  <c r="N1268" i="2" s="1"/>
  <c r="M86" i="2"/>
  <c r="N86" i="2" s="1"/>
  <c r="M2772" i="2"/>
  <c r="N2772" i="2" s="1"/>
  <c r="M684" i="2"/>
  <c r="N684" i="2" s="1"/>
  <c r="M1267" i="2"/>
  <c r="N1267" i="2" s="1"/>
  <c r="M1265" i="2"/>
  <c r="N1265" i="2" s="1"/>
  <c r="M84" i="2"/>
  <c r="N84" i="2" s="1"/>
  <c r="M2646" i="2"/>
  <c r="N2646" i="2" s="1"/>
  <c r="M680" i="2"/>
  <c r="N680" i="2" s="1"/>
  <c r="M678" i="2"/>
  <c r="N678" i="2" s="1"/>
  <c r="M1519" i="2"/>
  <c r="N1519" i="2" s="1"/>
  <c r="M2492" i="2"/>
  <c r="N2492" i="2" s="1"/>
  <c r="M1926" i="2"/>
  <c r="N1926" i="2" s="1"/>
  <c r="M1435" i="2"/>
  <c r="N1435" i="2" s="1"/>
  <c r="M2212" i="2"/>
  <c r="N2212" i="2" s="1"/>
  <c r="M1022" i="2"/>
  <c r="N1022" i="2" s="1"/>
  <c r="M2890" i="2"/>
  <c r="N2890" i="2" s="1"/>
  <c r="M2209" i="2"/>
  <c r="N2209" i="2" s="1"/>
  <c r="M1625" i="2"/>
  <c r="N1625" i="2" s="1"/>
  <c r="M80" i="2"/>
  <c r="N80" i="2" s="1"/>
  <c r="M1623" i="2"/>
  <c r="N1623" i="2" s="1"/>
  <c r="M292" i="2"/>
  <c r="N292" i="2" s="1"/>
  <c r="M676" i="2"/>
  <c r="N676" i="2" s="1"/>
  <c r="M1390" i="2"/>
  <c r="N1390" i="2" s="1"/>
  <c r="M1922" i="2"/>
  <c r="N1922" i="2" s="1"/>
  <c r="M1620" i="2"/>
  <c r="N1620" i="2" s="1"/>
  <c r="M2644" i="2"/>
  <c r="N2644" i="2" s="1"/>
  <c r="M3172" i="2"/>
  <c r="N3172" i="2" s="1"/>
  <c r="M671" i="2"/>
  <c r="N671" i="2" s="1"/>
  <c r="M1432" i="2"/>
  <c r="N1432" i="2" s="1"/>
  <c r="M3140" i="2"/>
  <c r="N3140" i="2" s="1"/>
  <c r="M1260" i="2"/>
  <c r="N1260" i="2" s="1"/>
  <c r="M1431" i="2"/>
  <c r="N1431" i="2" s="1"/>
  <c r="M1259" i="2"/>
  <c r="N1259" i="2" s="1"/>
  <c r="M669" i="2"/>
  <c r="N669" i="2" s="1"/>
  <c r="M289" i="2"/>
  <c r="N289" i="2" s="1"/>
  <c r="M1918" i="2"/>
  <c r="N1918" i="2" s="1"/>
  <c r="M75" i="2"/>
  <c r="N75" i="2" s="1"/>
  <c r="M665" i="2"/>
  <c r="N665" i="2" s="1"/>
  <c r="M1430" i="2"/>
  <c r="N1430" i="2" s="1"/>
  <c r="M1615" i="2"/>
  <c r="N1615" i="2" s="1"/>
  <c r="M2770" i="2"/>
  <c r="N2770" i="2" s="1"/>
  <c r="M664" i="2"/>
  <c r="N664" i="2" s="1"/>
  <c r="M2482" i="2"/>
  <c r="N2482" i="2" s="1"/>
  <c r="M1429" i="2"/>
  <c r="N1429" i="2" s="1"/>
  <c r="M1912" i="2"/>
  <c r="N1912" i="2" s="1"/>
  <c r="M2827" i="2"/>
  <c r="N2827" i="2" s="1"/>
  <c r="M1137" i="2"/>
  <c r="N1137" i="2" s="1"/>
  <c r="M2639" i="2"/>
  <c r="N2639" i="2" s="1"/>
  <c r="M660" i="2"/>
  <c r="N660" i="2" s="1"/>
  <c r="M2638" i="2"/>
  <c r="N2638" i="2" s="1"/>
  <c r="M1911" i="2"/>
  <c r="N1911" i="2" s="1"/>
  <c r="M2964" i="2"/>
  <c r="N2964" i="2" s="1"/>
  <c r="M2825" i="2"/>
  <c r="N2825" i="2" s="1"/>
  <c r="M1609" i="2"/>
  <c r="N1609" i="2" s="1"/>
  <c r="M1427" i="2"/>
  <c r="N1427" i="2" s="1"/>
  <c r="M528" i="2"/>
  <c r="N528" i="2" s="1"/>
  <c r="M2193" i="2"/>
  <c r="N2193" i="2" s="1"/>
  <c r="M1909" i="2"/>
  <c r="N1909" i="2" s="1"/>
  <c r="M69" i="2"/>
  <c r="N69" i="2" s="1"/>
  <c r="M363" i="2"/>
  <c r="N363" i="2" s="1"/>
  <c r="M1905" i="2"/>
  <c r="N1905" i="2" s="1"/>
  <c r="M1017" i="2"/>
  <c r="N1017" i="2" s="1"/>
  <c r="M1802" i="2"/>
  <c r="N1802" i="2" s="1"/>
  <c r="M2961" i="2"/>
  <c r="N2961" i="2" s="1"/>
  <c r="M1607" i="2"/>
  <c r="N1607" i="2" s="1"/>
  <c r="M2189" i="2"/>
  <c r="N2189" i="2" s="1"/>
  <c r="M2475" i="2"/>
  <c r="N2475" i="2" s="1"/>
  <c r="M1135" i="2"/>
  <c r="N1135" i="2" s="1"/>
  <c r="M2188" i="2"/>
  <c r="N2188" i="2" s="1"/>
  <c r="M1801" i="2"/>
  <c r="N1801" i="2" s="1"/>
  <c r="M653" i="2"/>
  <c r="N653" i="2" s="1"/>
  <c r="M2186" i="2"/>
  <c r="N2186" i="2" s="1"/>
  <c r="M1423" i="2"/>
  <c r="N1423" i="2" s="1"/>
  <c r="M360" i="2"/>
  <c r="N360" i="2" s="1"/>
  <c r="M1249" i="2"/>
  <c r="N1249" i="2" s="1"/>
  <c r="M1248" i="2"/>
  <c r="N1248" i="2" s="1"/>
  <c r="M286" i="2"/>
  <c r="N286" i="2" s="1"/>
  <c r="M650" i="2"/>
  <c r="N650" i="2" s="1"/>
  <c r="M1903" i="2"/>
  <c r="N1903" i="2" s="1"/>
  <c r="M358" i="2"/>
  <c r="N358" i="2" s="1"/>
  <c r="M1902" i="2"/>
  <c r="N1902" i="2" s="1"/>
  <c r="M2469" i="2"/>
  <c r="N2469" i="2" s="1"/>
  <c r="M2634" i="2"/>
  <c r="N2634" i="2" s="1"/>
  <c r="M2178" i="2"/>
  <c r="N2178" i="2" s="1"/>
  <c r="M644" i="2"/>
  <c r="N644" i="2" s="1"/>
  <c r="M62" i="2"/>
  <c r="N62" i="2" s="1"/>
  <c r="M1604" i="2"/>
  <c r="N1604" i="2" s="1"/>
  <c r="M2955" i="2"/>
  <c r="N2955" i="2" s="1"/>
  <c r="M2954" i="2"/>
  <c r="N2954" i="2" s="1"/>
  <c r="M640" i="2"/>
  <c r="N640" i="2" s="1"/>
  <c r="M60" i="2"/>
  <c r="N60" i="2" s="1"/>
  <c r="M1517" i="2"/>
  <c r="N1517" i="2" s="1"/>
  <c r="M2953" i="2"/>
  <c r="N2953" i="2" s="1"/>
  <c r="M1245" i="2"/>
  <c r="N1245" i="2" s="1"/>
  <c r="M1016" i="2"/>
  <c r="N1016" i="2" s="1"/>
  <c r="M637" i="2"/>
  <c r="N637" i="2" s="1"/>
  <c r="M1133" i="2"/>
  <c r="N1133" i="2" s="1"/>
  <c r="M1244" i="2"/>
  <c r="N1244" i="2" s="1"/>
  <c r="M2467" i="2"/>
  <c r="N2467" i="2" s="1"/>
  <c r="M1598" i="2"/>
  <c r="N1598" i="2" s="1"/>
  <c r="M2168" i="2"/>
  <c r="N2168" i="2" s="1"/>
  <c r="M2465" i="2"/>
  <c r="N2465" i="2" s="1"/>
  <c r="M1241" i="2"/>
  <c r="N1241" i="2" s="1"/>
  <c r="M2165" i="2"/>
  <c r="N2165" i="2" s="1"/>
  <c r="M57" i="2"/>
  <c r="N57" i="2" s="1"/>
  <c r="M1131" i="2"/>
  <c r="N1131" i="2" s="1"/>
  <c r="M1130" i="2"/>
  <c r="N1130" i="2" s="1"/>
  <c r="M632" i="2"/>
  <c r="N632" i="2" s="1"/>
  <c r="M1593" i="2"/>
  <c r="N1593" i="2" s="1"/>
  <c r="M447" i="2"/>
  <c r="N447" i="2" s="1"/>
  <c r="M53" i="2"/>
  <c r="N53" i="2" s="1"/>
  <c r="M1592" i="2"/>
  <c r="N1592" i="2" s="1"/>
  <c r="M1893" i="2"/>
  <c r="N1893" i="2" s="1"/>
  <c r="M1890" i="2"/>
  <c r="N1890" i="2" s="1"/>
  <c r="M1591" i="2"/>
  <c r="N1591" i="2" s="1"/>
  <c r="M2160" i="2"/>
  <c r="N2160" i="2" s="1"/>
  <c r="M523" i="2"/>
  <c r="N523" i="2" s="1"/>
  <c r="M629" i="2"/>
  <c r="N629" i="2" s="1"/>
  <c r="M446" i="2"/>
  <c r="N446" i="2" s="1"/>
  <c r="M1388" i="2"/>
  <c r="N1388" i="2" s="1"/>
  <c r="M627" i="2"/>
  <c r="N627" i="2" s="1"/>
  <c r="M626" i="2"/>
  <c r="N626" i="2" s="1"/>
  <c r="M1074" i="2"/>
  <c r="N1074" i="2" s="1"/>
  <c r="M622" i="2"/>
  <c r="N622" i="2" s="1"/>
  <c r="M1886" i="2"/>
  <c r="N1886" i="2" s="1"/>
  <c r="M1885" i="2"/>
  <c r="N1885" i="2" s="1"/>
  <c r="M2946" i="2"/>
  <c r="N2946" i="2" s="1"/>
  <c r="M2817" i="2"/>
  <c r="N2817" i="2" s="1"/>
  <c r="M2763" i="2"/>
  <c r="N2763" i="2" s="1"/>
  <c r="M620" i="2"/>
  <c r="N620" i="2" s="1"/>
  <c r="M445" i="2"/>
  <c r="N445" i="2" s="1"/>
  <c r="M44" i="2"/>
  <c r="N44" i="2" s="1"/>
  <c r="M2624" i="2"/>
  <c r="N2624" i="2" s="1"/>
  <c r="M1234" i="2"/>
  <c r="N1234" i="2" s="1"/>
  <c r="M1587" i="2"/>
  <c r="N1587" i="2" s="1"/>
  <c r="M1084" i="2"/>
  <c r="N1084" i="2" s="1"/>
  <c r="M617" i="2"/>
  <c r="N617" i="2" s="1"/>
  <c r="M43" i="2"/>
  <c r="N43" i="2" s="1"/>
  <c r="M42" i="2"/>
  <c r="N42" i="2" s="1"/>
  <c r="M352" i="2"/>
  <c r="N352" i="2" s="1"/>
  <c r="M615" i="2"/>
  <c r="N615" i="2" s="1"/>
  <c r="M1583" i="2"/>
  <c r="N1583" i="2" s="1"/>
  <c r="M1794" i="2"/>
  <c r="N1794" i="2" s="1"/>
  <c r="M2621" i="2"/>
  <c r="N2621" i="2" s="1"/>
  <c r="M612" i="2"/>
  <c r="N612" i="2" s="1"/>
  <c r="M2457" i="2"/>
  <c r="N2457" i="2" s="1"/>
  <c r="M2619" i="2"/>
  <c r="N2619" i="2" s="1"/>
  <c r="M519" i="2"/>
  <c r="N519" i="2" s="1"/>
  <c r="M1578" i="2"/>
  <c r="N1578" i="2" s="1"/>
  <c r="M1878" i="2"/>
  <c r="N1878" i="2" s="1"/>
  <c r="M2150" i="2"/>
  <c r="N2150" i="2" s="1"/>
  <c r="M1576" i="2"/>
  <c r="N1576" i="2" s="1"/>
  <c r="M2148" i="2"/>
  <c r="N2148" i="2" s="1"/>
  <c r="M1414" i="2"/>
  <c r="N1414" i="2" s="1"/>
  <c r="M3152" i="2"/>
  <c r="N3152" i="2" s="1"/>
  <c r="M2147" i="2"/>
  <c r="N2147" i="2" s="1"/>
  <c r="M2145" i="2"/>
  <c r="N2145" i="2" s="1"/>
  <c r="M2144" i="2"/>
  <c r="N2144" i="2" s="1"/>
  <c r="M2456" i="2"/>
  <c r="N2456" i="2" s="1"/>
  <c r="M2143" i="2"/>
  <c r="N2143" i="2" s="1"/>
  <c r="M1012" i="2"/>
  <c r="N1012" i="2" s="1"/>
  <c r="M2142" i="2"/>
  <c r="N2142" i="2" s="1"/>
  <c r="M2761" i="2"/>
  <c r="N2761" i="2" s="1"/>
  <c r="M1573" i="2"/>
  <c r="N1573" i="2" s="1"/>
  <c r="M602" i="2"/>
  <c r="N602" i="2" s="1"/>
  <c r="M1875" i="2"/>
  <c r="N1875" i="2" s="1"/>
  <c r="M3116" i="2"/>
  <c r="N3116" i="2" s="1"/>
  <c r="M1409" i="2"/>
  <c r="N1409" i="2" s="1"/>
  <c r="M2454" i="2"/>
  <c r="N2454" i="2" s="1"/>
  <c r="M1230" i="2"/>
  <c r="N1230" i="2" s="1"/>
  <c r="M2137" i="2"/>
  <c r="N2137" i="2" s="1"/>
  <c r="M2811" i="2"/>
  <c r="N2811" i="2" s="1"/>
  <c r="M439" i="2"/>
  <c r="N439" i="2" s="1"/>
  <c r="M1873" i="2"/>
  <c r="N1873" i="2" s="1"/>
  <c r="M2936" i="2"/>
  <c r="N2936" i="2" s="1"/>
  <c r="M1569" i="2"/>
  <c r="N1569" i="2" s="1"/>
  <c r="M2810" i="2"/>
  <c r="N2810" i="2" s="1"/>
  <c r="M1568" i="2"/>
  <c r="N1568" i="2" s="1"/>
  <c r="M30" i="2"/>
  <c r="N30" i="2" s="1"/>
  <c r="M1565" i="2"/>
  <c r="N1565" i="2" s="1"/>
  <c r="M28" i="2"/>
  <c r="N28" i="2" s="1"/>
  <c r="M2451" i="2"/>
  <c r="N2451" i="2" s="1"/>
  <c r="M2933" i="2"/>
  <c r="N2933" i="2" s="1"/>
  <c r="M1563" i="2"/>
  <c r="N1563" i="2" s="1"/>
  <c r="M1562" i="2"/>
  <c r="N1562" i="2" s="1"/>
  <c r="M1869" i="2"/>
  <c r="N1869" i="2" s="1"/>
  <c r="M2448" i="2"/>
  <c r="N2448" i="2" s="1"/>
  <c r="M1561" i="2"/>
  <c r="N1561" i="2" s="1"/>
  <c r="M591" i="2"/>
  <c r="N591" i="2" s="1"/>
  <c r="M1560" i="2"/>
  <c r="N1560" i="2" s="1"/>
  <c r="M2123" i="2"/>
  <c r="N2123" i="2" s="1"/>
  <c r="M2121" i="2"/>
  <c r="N2121" i="2" s="1"/>
  <c r="M1558" i="2"/>
  <c r="N1558" i="2" s="1"/>
  <c r="M2120" i="2"/>
  <c r="N2120" i="2" s="1"/>
  <c r="M349" i="2"/>
  <c r="N349" i="2" s="1"/>
  <c r="M1407" i="2"/>
  <c r="N1407" i="2" s="1"/>
  <c r="M1867" i="2"/>
  <c r="N1867" i="2" s="1"/>
  <c r="M2117" i="2"/>
  <c r="N2117" i="2" s="1"/>
  <c r="M1555" i="2"/>
  <c r="N1555" i="2" s="1"/>
  <c r="M1554" i="2"/>
  <c r="N1554" i="2" s="1"/>
  <c r="M586" i="2"/>
  <c r="N586" i="2" s="1"/>
  <c r="M1222" i="2"/>
  <c r="N1222" i="2" s="1"/>
  <c r="M2928" i="2"/>
  <c r="N2928" i="2" s="1"/>
  <c r="M2889" i="2"/>
  <c r="N2889" i="2" s="1"/>
  <c r="M1552" i="2"/>
  <c r="N1552" i="2" s="1"/>
  <c r="M1509" i="2"/>
  <c r="N1509" i="2" s="1"/>
  <c r="M1221" i="2"/>
  <c r="N1221" i="2" s="1"/>
  <c r="M584" i="2"/>
  <c r="N584" i="2" s="1"/>
  <c r="M2444" i="2"/>
  <c r="N2444" i="2" s="1"/>
  <c r="M279" i="2"/>
  <c r="N279" i="2" s="1"/>
  <c r="M2807" i="2"/>
  <c r="N2807" i="2" s="1"/>
  <c r="M1513" i="2"/>
  <c r="N1513" i="2" s="1"/>
  <c r="M2110" i="2"/>
  <c r="N2110" i="2" s="1"/>
  <c r="M1218" i="2"/>
  <c r="N1218" i="2" s="1"/>
  <c r="M2926" i="2"/>
  <c r="N2926" i="2" s="1"/>
  <c r="M1549" i="2"/>
  <c r="N1549" i="2" s="1"/>
  <c r="M578" i="2"/>
  <c r="N578" i="2" s="1"/>
  <c r="M577" i="2"/>
  <c r="N577" i="2" s="1"/>
  <c r="M1548" i="2"/>
  <c r="N1548" i="2" s="1"/>
  <c r="M346" i="2"/>
  <c r="N346" i="2" s="1"/>
  <c r="M2924" i="2"/>
  <c r="N2924" i="2" s="1"/>
  <c r="M574" i="2"/>
  <c r="N574" i="2" s="1"/>
  <c r="M3126" i="2"/>
  <c r="N3126" i="2" s="1"/>
  <c r="M2604" i="2"/>
  <c r="N2604" i="2" s="1"/>
  <c r="M571" i="2"/>
  <c r="N571" i="2" s="1"/>
  <c r="M569" i="2"/>
  <c r="N569" i="2" s="1"/>
  <c r="M1546" i="2"/>
  <c r="N1546" i="2" s="1"/>
  <c r="M1217" i="2"/>
  <c r="N1217" i="2" s="1"/>
  <c r="M2074" i="2"/>
  <c r="N2074" i="2" s="1"/>
  <c r="M2756" i="2"/>
  <c r="N2756" i="2" s="1"/>
  <c r="M2438" i="2"/>
  <c r="N2438" i="2" s="1"/>
  <c r="M1545" i="2"/>
  <c r="N1545" i="2" s="1"/>
  <c r="M2896" i="2"/>
  <c r="N2896" i="2" s="1"/>
  <c r="M2435" i="2"/>
  <c r="N2435" i="2" s="1"/>
  <c r="M566" i="2"/>
  <c r="N566" i="2" s="1"/>
  <c r="M1082" i="2"/>
  <c r="N1082" i="2" s="1"/>
  <c r="M565" i="2"/>
  <c r="N565" i="2" s="1"/>
  <c r="M1859" i="2"/>
  <c r="N1859" i="2" s="1"/>
  <c r="M564" i="2"/>
  <c r="N564" i="2" s="1"/>
  <c r="M434" i="2"/>
  <c r="N434" i="2" s="1"/>
  <c r="M1856" i="2"/>
  <c r="N1856" i="2" s="1"/>
  <c r="M2103" i="2"/>
  <c r="N2103" i="2" s="1"/>
  <c r="M1544" i="2"/>
  <c r="N1544" i="2" s="1"/>
  <c r="M16" i="2"/>
  <c r="N16" i="2" s="1"/>
  <c r="M341" i="2"/>
  <c r="N341" i="2" s="1"/>
  <c r="M558" i="2"/>
  <c r="N558" i="2" s="1"/>
  <c r="M2100" i="2"/>
  <c r="N2100" i="2" s="1"/>
  <c r="M556" i="2"/>
  <c r="N556" i="2" s="1"/>
  <c r="M432" i="2"/>
  <c r="N432" i="2" s="1"/>
  <c r="M554" i="2"/>
  <c r="N554" i="2" s="1"/>
  <c r="M1118" i="2"/>
  <c r="N1118" i="2" s="1"/>
  <c r="M2598" i="2"/>
  <c r="N2598" i="2" s="1"/>
  <c r="M12" i="2"/>
  <c r="N12" i="2" s="1"/>
  <c r="M11" i="2"/>
  <c r="N11" i="2" s="1"/>
  <c r="M2432" i="2"/>
  <c r="N2432" i="2" s="1"/>
  <c r="M10" i="2"/>
  <c r="N10" i="2" s="1"/>
  <c r="M2915" i="2"/>
  <c r="N2915" i="2" s="1"/>
  <c r="M1117" i="2"/>
  <c r="N1117" i="2" s="1"/>
  <c r="M1002" i="2"/>
  <c r="N1002" i="2" s="1"/>
  <c r="M550" i="2"/>
  <c r="N550" i="2" s="1"/>
  <c r="M2802" i="2"/>
  <c r="N2802" i="2" s="1"/>
  <c r="M1853" i="2"/>
  <c r="N1853" i="2" s="1"/>
  <c r="M549" i="2"/>
  <c r="N549" i="2" s="1"/>
  <c r="M1851" i="2"/>
  <c r="N1851" i="2" s="1"/>
  <c r="M1386" i="2"/>
  <c r="N1386" i="2" s="1"/>
  <c r="M2068" i="2"/>
  <c r="N2068" i="2" s="1"/>
  <c r="M3113" i="2"/>
  <c r="N3113" i="2" s="1"/>
  <c r="M2748" i="2"/>
  <c r="N2748" i="2" s="1"/>
  <c r="M2093" i="2"/>
  <c r="N2093" i="2" s="1"/>
  <c r="M1208" i="2"/>
  <c r="N1208" i="2" s="1"/>
  <c r="M2424" i="2"/>
  <c r="N2424" i="2" s="1"/>
  <c r="M2063" i="2"/>
  <c r="N2063" i="2" s="1"/>
  <c r="M2421" i="2"/>
  <c r="N2421" i="2" s="1"/>
  <c r="M424" i="2"/>
  <c r="N424" i="2" s="1"/>
  <c r="M241" i="2"/>
  <c r="N241" i="2" s="1"/>
  <c r="M2059" i="2"/>
  <c r="N2059" i="2" s="1"/>
  <c r="M2056" i="2"/>
  <c r="N2056" i="2" s="1"/>
  <c r="M967" i="2"/>
  <c r="N967" i="2" s="1"/>
  <c r="M3098" i="2"/>
  <c r="N3098" i="2" s="1"/>
  <c r="M237" i="2"/>
  <c r="N237" i="2" s="1"/>
  <c r="M2582" i="2"/>
  <c r="N2582" i="2" s="1"/>
  <c r="M421" i="2"/>
  <c r="N421" i="2" s="1"/>
  <c r="M3123" i="2"/>
  <c r="N3123" i="2" s="1"/>
  <c r="M2052" i="2"/>
  <c r="N2052" i="2" s="1"/>
  <c r="M2797" i="2"/>
  <c r="N2797" i="2" s="1"/>
  <c r="M2051" i="2"/>
  <c r="N2051" i="2" s="1"/>
  <c r="M2877" i="2"/>
  <c r="N2877" i="2" s="1"/>
  <c r="M942" i="2"/>
  <c r="N942" i="2" s="1"/>
  <c r="M3087" i="2"/>
  <c r="N3087" i="2" s="1"/>
  <c r="M2389" i="2"/>
  <c r="N2389" i="2" s="1"/>
  <c r="M1370" i="2"/>
  <c r="N1370" i="2" s="1"/>
  <c r="M934" i="2"/>
  <c r="N934" i="2" s="1"/>
  <c r="M415" i="2"/>
  <c r="N415" i="2" s="1"/>
  <c r="M2910" i="2"/>
  <c r="N2910" i="2" s="1"/>
  <c r="M2728" i="2"/>
  <c r="N2728" i="2" s="1"/>
  <c r="M2569" i="2"/>
  <c r="N2569" i="2" s="1"/>
  <c r="M2044" i="2"/>
  <c r="N2044" i="2" s="1"/>
  <c r="M210" i="2"/>
  <c r="N210" i="2" s="1"/>
  <c r="M1484" i="2"/>
  <c r="N1484" i="2" s="1"/>
  <c r="M3078" i="2"/>
  <c r="N3078" i="2" s="1"/>
  <c r="M1190" i="2"/>
  <c r="N1190" i="2" s="1"/>
  <c r="M1483" i="2"/>
  <c r="N1483" i="2" s="1"/>
  <c r="M1048" i="2"/>
  <c r="N1048" i="2" s="1"/>
  <c r="M1839" i="2"/>
  <c r="N1839" i="2" s="1"/>
  <c r="M2909" i="2"/>
  <c r="N2909" i="2" s="1"/>
  <c r="M1360" i="2"/>
  <c r="N1360" i="2" s="1"/>
  <c r="M911" i="2"/>
  <c r="N911" i="2" s="1"/>
  <c r="M1739" i="2"/>
  <c r="N1739" i="2" s="1"/>
  <c r="M2366" i="2"/>
  <c r="N2366" i="2" s="1"/>
  <c r="M906" i="2"/>
  <c r="N906" i="2" s="1"/>
  <c r="M1836" i="2"/>
  <c r="N1836" i="2" s="1"/>
  <c r="M499" i="2"/>
  <c r="N499" i="2" s="1"/>
  <c r="M901" i="2"/>
  <c r="N901" i="2" s="1"/>
  <c r="M2793" i="2"/>
  <c r="N2793" i="2" s="1"/>
  <c r="M196" i="2"/>
  <c r="N196" i="2" s="1"/>
  <c r="M1834" i="2"/>
  <c r="N1834" i="2" s="1"/>
  <c r="M894" i="2"/>
  <c r="N894" i="2" s="1"/>
  <c r="M891" i="2"/>
  <c r="N891" i="2" s="1"/>
  <c r="M3070" i="2"/>
  <c r="N3070" i="2" s="1"/>
  <c r="M2360" i="2"/>
  <c r="N2360" i="2" s="1"/>
  <c r="M884" i="2"/>
  <c r="N884" i="2" s="1"/>
  <c r="M2359" i="2"/>
  <c r="N2359" i="2" s="1"/>
  <c r="M880" i="2"/>
  <c r="N880" i="2" s="1"/>
  <c r="M2356" i="2"/>
  <c r="N2356" i="2" s="1"/>
  <c r="M3065" i="2"/>
  <c r="N3065" i="2" s="1"/>
  <c r="M877" i="2"/>
  <c r="N877" i="2" s="1"/>
  <c r="M185" i="2"/>
  <c r="N185" i="2" s="1"/>
  <c r="M3173" i="2"/>
  <c r="N3173" i="2" s="1"/>
  <c r="M871" i="2"/>
  <c r="N871" i="2" s="1"/>
  <c r="M1720" i="2"/>
  <c r="N1720" i="2" s="1"/>
  <c r="M1719" i="2"/>
  <c r="N1719" i="2" s="1"/>
  <c r="M2350" i="2"/>
  <c r="N2350" i="2" s="1"/>
  <c r="M404" i="2"/>
  <c r="N404" i="2" s="1"/>
  <c r="M856" i="2"/>
  <c r="N856" i="2" s="1"/>
  <c r="M1539" i="2"/>
  <c r="N1539" i="2" s="1"/>
  <c r="M2069" i="2"/>
  <c r="N2069" i="2" s="1"/>
  <c r="M430" i="2"/>
  <c r="N430" i="2" s="1"/>
  <c r="M429" i="2"/>
  <c r="N429" i="2" s="1"/>
  <c r="M1502" i="2"/>
  <c r="N1502" i="2" s="1"/>
  <c r="M518" i="2"/>
  <c r="N518" i="2" s="1"/>
  <c r="M2751" i="2"/>
  <c r="N2751" i="2" s="1"/>
  <c r="M1781" i="2"/>
  <c r="N1781" i="2" s="1"/>
  <c r="M1384" i="2"/>
  <c r="N1384" i="2" s="1"/>
  <c r="M3112" i="2"/>
  <c r="N3112" i="2" s="1"/>
  <c r="M251" i="2"/>
  <c r="N251" i="2" s="1"/>
  <c r="M3149" i="2"/>
  <c r="N3149" i="2" s="1"/>
  <c r="M1383" i="2"/>
  <c r="N1383" i="2" s="1"/>
  <c r="M1778" i="2"/>
  <c r="N1778" i="2" s="1"/>
  <c r="M2593" i="2"/>
  <c r="N2593" i="2" s="1"/>
  <c r="M2895" i="2"/>
  <c r="N2895" i="2" s="1"/>
  <c r="M986" i="2"/>
  <c r="N986" i="2" s="1"/>
  <c r="M248" i="2"/>
  <c r="N248" i="2" s="1"/>
  <c r="M2426" i="2"/>
  <c r="N2426" i="2" s="1"/>
  <c r="M332" i="2"/>
  <c r="N332" i="2" s="1"/>
  <c r="M998" i="2"/>
  <c r="N998" i="2" s="1"/>
  <c r="M2592" i="2"/>
  <c r="N2592" i="2" s="1"/>
  <c r="M2884" i="2"/>
  <c r="N2884" i="2" s="1"/>
  <c r="M2745" i="2"/>
  <c r="N2745" i="2" s="1"/>
  <c r="M1499" i="2"/>
  <c r="N1499" i="2" s="1"/>
  <c r="M426" i="2"/>
  <c r="N426" i="2" s="1"/>
  <c r="M982" i="2"/>
  <c r="N982" i="2" s="1"/>
  <c r="M1768" i="2"/>
  <c r="N1768" i="2" s="1"/>
  <c r="M1397" i="2"/>
  <c r="N1397" i="2" s="1"/>
  <c r="M1498" i="2"/>
  <c r="N1498" i="2" s="1"/>
  <c r="M1395" i="2"/>
  <c r="N1395" i="2" s="1"/>
  <c r="M515" i="2"/>
  <c r="N515" i="2" s="1"/>
  <c r="M245" i="2"/>
  <c r="N245" i="2" s="1"/>
  <c r="M1067" i="2"/>
  <c r="N1067" i="2" s="1"/>
  <c r="M3108" i="2"/>
  <c r="N3108" i="2" s="1"/>
  <c r="M2061" i="2"/>
  <c r="N2061" i="2" s="1"/>
  <c r="M3107" i="2"/>
  <c r="N3107" i="2" s="1"/>
  <c r="M2417" i="2"/>
  <c r="N2417" i="2" s="1"/>
  <c r="M1382" i="2"/>
  <c r="N1382" i="2" s="1"/>
  <c r="M974" i="2"/>
  <c r="N974" i="2" s="1"/>
  <c r="M1850" i="2"/>
  <c r="N1850" i="2" s="1"/>
  <c r="M2415" i="2"/>
  <c r="N2415" i="2" s="1"/>
  <c r="M2060" i="2"/>
  <c r="N2060" i="2" s="1"/>
  <c r="M3106" i="2"/>
  <c r="N3106" i="2" s="1"/>
  <c r="M1849" i="2"/>
  <c r="N1849" i="2" s="1"/>
  <c r="M1497" i="2"/>
  <c r="N1497" i="2" s="1"/>
  <c r="M2058" i="2"/>
  <c r="N2058" i="2" s="1"/>
  <c r="M2586" i="2"/>
  <c r="N2586" i="2" s="1"/>
  <c r="M3104" i="2"/>
  <c r="N3104" i="2" s="1"/>
  <c r="M2879" i="2"/>
  <c r="N2879" i="2" s="1"/>
  <c r="M1061" i="2"/>
  <c r="N1061" i="2" s="1"/>
  <c r="M969" i="2"/>
  <c r="N969" i="2" s="1"/>
  <c r="M2413" i="2"/>
  <c r="N2413" i="2" s="1"/>
  <c r="M966" i="2"/>
  <c r="N966" i="2" s="1"/>
  <c r="M1763" i="2"/>
  <c r="N1763" i="2" s="1"/>
  <c r="M239" i="2"/>
  <c r="N239" i="2" s="1"/>
  <c r="M3099" i="2"/>
  <c r="N3099" i="2" s="1"/>
  <c r="M3097" i="2"/>
  <c r="N3097" i="2" s="1"/>
  <c r="M1203" i="2"/>
  <c r="N1203" i="2" s="1"/>
  <c r="M2584" i="2"/>
  <c r="N2584" i="2" s="1"/>
  <c r="M1495" i="2"/>
  <c r="N1495" i="2" s="1"/>
  <c r="M959" i="2"/>
  <c r="N959" i="2" s="1"/>
  <c r="M2583" i="2"/>
  <c r="N2583" i="2" s="1"/>
  <c r="M1202" i="2"/>
  <c r="N1202" i="2" s="1"/>
  <c r="M3155" i="2"/>
  <c r="N3155" i="2" s="1"/>
  <c r="M236" i="2"/>
  <c r="N236" i="2" s="1"/>
  <c r="M3095" i="2"/>
  <c r="N3095" i="2" s="1"/>
  <c r="M2404" i="2"/>
  <c r="N2404" i="2" s="1"/>
  <c r="M2402" i="2"/>
  <c r="N2402" i="2" s="1"/>
  <c r="M235" i="2"/>
  <c r="N235" i="2" s="1"/>
  <c r="M233" i="2"/>
  <c r="N233" i="2" s="1"/>
  <c r="M954" i="2"/>
  <c r="N954" i="2" s="1"/>
  <c r="M3091" i="2"/>
  <c r="N3091" i="2" s="1"/>
  <c r="M2737" i="2"/>
  <c r="N2737" i="2" s="1"/>
  <c r="M231" i="2"/>
  <c r="N231" i="2" s="1"/>
  <c r="M2398" i="2"/>
  <c r="N2398" i="2" s="1"/>
  <c r="M1201" i="2"/>
  <c r="N1201" i="2" s="1"/>
  <c r="M2579" i="2"/>
  <c r="N2579" i="2" s="1"/>
  <c r="M229" i="2"/>
  <c r="N229" i="2" s="1"/>
  <c r="M950" i="2"/>
  <c r="N950" i="2" s="1"/>
  <c r="M1059" i="2"/>
  <c r="N1059" i="2" s="1"/>
  <c r="M3119" i="2"/>
  <c r="N3119" i="2" s="1"/>
  <c r="M227" i="2"/>
  <c r="N227" i="2" s="1"/>
  <c r="M946" i="2"/>
  <c r="N946" i="2" s="1"/>
  <c r="M419" i="2"/>
  <c r="N419" i="2" s="1"/>
  <c r="M2397" i="2"/>
  <c r="N2397" i="2" s="1"/>
  <c r="M2735" i="2"/>
  <c r="N2735" i="2" s="1"/>
  <c r="M1373" i="2"/>
  <c r="N1373" i="2" s="1"/>
  <c r="M2049" i="2"/>
  <c r="N2049" i="2" s="1"/>
  <c r="M1057" i="2"/>
  <c r="N1057" i="2" s="1"/>
  <c r="M2393" i="2"/>
  <c r="N2393" i="2" s="1"/>
  <c r="M2048" i="2"/>
  <c r="N2048" i="2" s="1"/>
  <c r="M224" i="2"/>
  <c r="N224" i="2" s="1"/>
  <c r="M326" i="2"/>
  <c r="N326" i="2" s="1"/>
  <c r="M1757" i="2"/>
  <c r="N1757" i="2" s="1"/>
  <c r="M1536" i="2"/>
  <c r="N1536" i="2" s="1"/>
  <c r="M938" i="2"/>
  <c r="N938" i="2" s="1"/>
  <c r="M223" i="2"/>
  <c r="N223" i="2" s="1"/>
  <c r="M1487" i="2"/>
  <c r="N1487" i="2" s="1"/>
  <c r="M220" i="2"/>
  <c r="N220" i="2" s="1"/>
  <c r="M1755" i="2"/>
  <c r="N1755" i="2" s="1"/>
  <c r="M1371" i="2"/>
  <c r="N1371" i="2" s="1"/>
  <c r="M218" i="2"/>
  <c r="N218" i="2" s="1"/>
  <c r="M936" i="2"/>
  <c r="N936" i="2" s="1"/>
  <c r="M2576" i="2"/>
  <c r="N2576" i="2" s="1"/>
  <c r="M1754" i="2"/>
  <c r="N1754" i="2" s="1"/>
  <c r="M1053" i="2"/>
  <c r="N1053" i="2" s="1"/>
  <c r="M935" i="2"/>
  <c r="N935" i="2" s="1"/>
  <c r="M1051" i="2"/>
  <c r="N1051" i="2" s="1"/>
  <c r="M1751" i="2"/>
  <c r="N1751" i="2" s="1"/>
  <c r="M2574" i="2"/>
  <c r="N2574" i="2" s="1"/>
  <c r="M214" i="2"/>
  <c r="N214" i="2" s="1"/>
  <c r="M416" i="2"/>
  <c r="N416" i="2" s="1"/>
  <c r="M212" i="2"/>
  <c r="N212" i="2" s="1"/>
  <c r="M1368" i="2"/>
  <c r="N1368" i="2" s="1"/>
  <c r="M543" i="2"/>
  <c r="N543" i="2" s="1"/>
  <c r="M1844" i="2"/>
  <c r="N1844" i="2" s="1"/>
  <c r="M2382" i="2"/>
  <c r="N2382" i="2" s="1"/>
  <c r="M2571" i="2"/>
  <c r="N2571" i="2" s="1"/>
  <c r="M414" i="2"/>
  <c r="N414" i="2" s="1"/>
  <c r="M2379" i="2"/>
  <c r="N2379" i="2" s="1"/>
  <c r="M929" i="2"/>
  <c r="N929" i="2" s="1"/>
  <c r="M2726" i="2"/>
  <c r="N2726" i="2" s="1"/>
  <c r="M1749" i="2"/>
  <c r="N1749" i="2" s="1"/>
  <c r="M2875" i="2"/>
  <c r="N2875" i="2" s="1"/>
  <c r="M3081" i="2"/>
  <c r="N3081" i="2" s="1"/>
  <c r="M2725" i="2"/>
  <c r="N2725" i="2" s="1"/>
  <c r="M504" i="2"/>
  <c r="N504" i="2" s="1"/>
  <c r="M1192" i="2"/>
  <c r="N1192" i="2" s="1"/>
  <c r="M260" i="2"/>
  <c r="N260" i="2" s="1"/>
  <c r="M208" i="2"/>
  <c r="N208" i="2" s="1"/>
  <c r="M1485" i="2"/>
  <c r="N1485" i="2" s="1"/>
  <c r="M1367" i="2"/>
  <c r="N1367" i="2" s="1"/>
  <c r="M1191" i="2"/>
  <c r="N1191" i="2" s="1"/>
  <c r="M1747" i="2"/>
  <c r="N1747" i="2" s="1"/>
  <c r="M205" i="2"/>
  <c r="N205" i="2" s="1"/>
  <c r="M1365" i="2"/>
  <c r="N1365" i="2" s="1"/>
  <c r="M2568" i="2"/>
  <c r="N2568" i="2" s="1"/>
  <c r="M920" i="2"/>
  <c r="N920" i="2" s="1"/>
  <c r="M2872" i="2"/>
  <c r="N2872" i="2" s="1"/>
  <c r="M918" i="2"/>
  <c r="N918" i="2" s="1"/>
  <c r="M916" i="2"/>
  <c r="N916" i="2" s="1"/>
  <c r="M2037" i="2"/>
  <c r="N2037" i="2" s="1"/>
  <c r="M2036" i="2"/>
  <c r="N2036" i="2" s="1"/>
  <c r="M1742" i="2"/>
  <c r="N1742" i="2" s="1"/>
  <c r="M2035" i="2"/>
  <c r="N2035" i="2" s="1"/>
  <c r="M2372" i="2"/>
  <c r="N2372" i="2" s="1"/>
  <c r="M914" i="2"/>
  <c r="N914" i="2" s="1"/>
  <c r="M1364" i="2"/>
  <c r="N1364" i="2" s="1"/>
  <c r="M1393" i="2"/>
  <c r="N1393" i="2" s="1"/>
  <c r="M1362" i="2"/>
  <c r="N1362" i="2" s="1"/>
  <c r="M2871" i="2"/>
  <c r="N2871" i="2" s="1"/>
  <c r="M1359" i="2"/>
  <c r="N1359" i="2" s="1"/>
  <c r="M1741" i="2"/>
  <c r="N1741" i="2" s="1"/>
  <c r="M201" i="2"/>
  <c r="N201" i="2" s="1"/>
  <c r="M320" i="2"/>
  <c r="N320" i="2" s="1"/>
  <c r="M2719" i="2"/>
  <c r="N2719" i="2" s="1"/>
  <c r="M1392" i="2"/>
  <c r="N1392" i="2" s="1"/>
  <c r="M2367" i="2"/>
  <c r="N2367" i="2" s="1"/>
  <c r="M1837" i="2"/>
  <c r="N1837" i="2" s="1"/>
  <c r="M2717" i="2"/>
  <c r="N2717" i="2" s="1"/>
  <c r="M2716" i="2"/>
  <c r="N2716" i="2" s="1"/>
  <c r="M1737" i="2"/>
  <c r="N1737" i="2" s="1"/>
  <c r="M1479" i="2"/>
  <c r="N1479" i="2" s="1"/>
  <c r="M904" i="2"/>
  <c r="N904" i="2" s="1"/>
  <c r="M903" i="2"/>
  <c r="N903" i="2" s="1"/>
  <c r="M2566" i="2"/>
  <c r="N2566" i="2" s="1"/>
  <c r="M2868" i="2"/>
  <c r="N2868" i="2" s="1"/>
  <c r="M902" i="2"/>
  <c r="N902" i="2" s="1"/>
  <c r="M2026" i="2"/>
  <c r="N2026" i="2" s="1"/>
  <c r="M2794" i="2"/>
  <c r="N2794" i="2" s="1"/>
  <c r="M1835" i="2"/>
  <c r="N1835" i="2" s="1"/>
  <c r="M410" i="2"/>
  <c r="N410" i="2" s="1"/>
  <c r="M2024" i="2"/>
  <c r="N2024" i="2" s="1"/>
  <c r="M896" i="2"/>
  <c r="N896" i="2" s="1"/>
  <c r="M3118" i="2"/>
  <c r="N3118" i="2" s="1"/>
  <c r="M2713" i="2"/>
  <c r="N2713" i="2" s="1"/>
  <c r="M893" i="2"/>
  <c r="N893" i="2" s="1"/>
  <c r="M408" i="2"/>
  <c r="N408" i="2" s="1"/>
  <c r="M318" i="2"/>
  <c r="N318" i="2" s="1"/>
  <c r="M1187" i="2"/>
  <c r="N1187" i="2" s="1"/>
  <c r="M3071" i="2"/>
  <c r="N3071" i="2" s="1"/>
  <c r="M889" i="2"/>
  <c r="N889" i="2" s="1"/>
  <c r="M1353" i="2"/>
  <c r="N1353" i="2" s="1"/>
  <c r="M887" i="2"/>
  <c r="N887" i="2" s="1"/>
  <c r="M191" i="2"/>
  <c r="N191" i="2" s="1"/>
  <c r="M883" i="2"/>
  <c r="N883" i="2" s="1"/>
  <c r="M1726" i="2"/>
  <c r="N1726" i="2" s="1"/>
  <c r="M1352" i="2"/>
  <c r="N1352" i="2" s="1"/>
  <c r="M3068" i="2"/>
  <c r="N3068" i="2" s="1"/>
  <c r="M406" i="2"/>
  <c r="N406" i="2" s="1"/>
  <c r="M3067" i="2"/>
  <c r="N3067" i="2" s="1"/>
  <c r="M189" i="2"/>
  <c r="N189" i="2" s="1"/>
  <c r="M188" i="2"/>
  <c r="N188" i="2" s="1"/>
  <c r="M264" i="2"/>
  <c r="N264" i="2" s="1"/>
  <c r="M2353" i="2"/>
  <c r="N2353" i="2" s="1"/>
  <c r="M876" i="2"/>
  <c r="N876" i="2" s="1"/>
  <c r="M1724" i="2"/>
  <c r="N1724" i="2" s="1"/>
  <c r="M2088" i="2"/>
  <c r="N2088" i="2" s="1"/>
  <c r="M3063" i="2"/>
  <c r="N3063" i="2" s="1"/>
  <c r="M1722" i="2"/>
  <c r="N1722" i="2" s="1"/>
  <c r="M405" i="2"/>
  <c r="N405" i="2" s="1"/>
  <c r="M870" i="2"/>
  <c r="N870" i="2" s="1"/>
  <c r="M2352" i="2"/>
  <c r="N2352" i="2" s="1"/>
  <c r="M182" i="2"/>
  <c r="N182" i="2" s="1"/>
  <c r="M3062" i="2"/>
  <c r="N3062" i="2" s="1"/>
  <c r="M2710" i="2"/>
  <c r="N2710" i="2" s="1"/>
  <c r="M2708" i="2"/>
  <c r="N2708" i="2" s="1"/>
  <c r="M1183" i="2"/>
  <c r="N1183" i="2" s="1"/>
  <c r="M2558" i="2"/>
  <c r="N2558" i="2" s="1"/>
  <c r="M868" i="2"/>
  <c r="N868" i="2" s="1"/>
  <c r="M180" i="2"/>
  <c r="N180" i="2" s="1"/>
  <c r="M179" i="2"/>
  <c r="N179" i="2" s="1"/>
  <c r="M866" i="2"/>
  <c r="N866" i="2" s="1"/>
  <c r="M2863" i="2"/>
  <c r="N2863" i="2" s="1"/>
  <c r="M2705" i="2"/>
  <c r="N2705" i="2" s="1"/>
  <c r="M2704" i="2"/>
  <c r="N2704" i="2" s="1"/>
  <c r="M177" i="2"/>
  <c r="N177" i="2" s="1"/>
  <c r="M175" i="2"/>
  <c r="N175" i="2" s="1"/>
  <c r="M3058" i="2"/>
  <c r="N3058" i="2" s="1"/>
  <c r="M2556" i="2"/>
  <c r="N2556" i="2" s="1"/>
  <c r="M173" i="2"/>
  <c r="N173" i="2" s="1"/>
  <c r="M1829" i="2"/>
  <c r="N1829" i="2" s="1"/>
  <c r="M2345" i="2"/>
  <c r="N2345" i="2" s="1"/>
  <c r="M2344" i="2"/>
  <c r="N2344" i="2" s="1"/>
  <c r="M2553" i="2"/>
  <c r="N2553" i="2" s="1"/>
  <c r="M859" i="2"/>
  <c r="N859" i="2" s="1"/>
  <c r="M403" i="2"/>
  <c r="N403" i="2" s="1"/>
  <c r="M2551" i="2"/>
  <c r="N2551" i="2" s="1"/>
  <c r="M855" i="2"/>
  <c r="N855" i="2" s="1"/>
  <c r="M1714" i="2"/>
  <c r="N1714" i="2" s="1"/>
  <c r="M1344" i="2"/>
  <c r="N1344" i="2" s="1"/>
  <c r="M2339" i="2"/>
  <c r="N2339" i="2" s="1"/>
  <c r="M2338" i="2"/>
  <c r="N2338" i="2" s="1"/>
  <c r="M541" i="2"/>
  <c r="N541" i="2" s="1"/>
  <c r="M1342" i="2"/>
  <c r="N1342" i="2" s="1"/>
  <c r="M2011" i="2"/>
  <c r="N2011" i="2" s="1"/>
  <c r="M491" i="2"/>
  <c r="N491" i="2" s="1"/>
  <c r="M850" i="2"/>
  <c r="N850" i="2" s="1"/>
  <c r="M2335" i="2"/>
  <c r="N2335" i="2" s="1"/>
  <c r="M1178" i="2"/>
  <c r="N1178" i="2" s="1"/>
  <c r="M1339" i="2"/>
  <c r="N1339" i="2" s="1"/>
  <c r="M848" i="2"/>
  <c r="N848" i="2" s="1"/>
  <c r="M1338" i="2"/>
  <c r="N1338" i="2" s="1"/>
  <c r="M845" i="2"/>
  <c r="N845" i="2" s="1"/>
  <c r="M843" i="2"/>
  <c r="N843" i="2" s="1"/>
  <c r="M540" i="2"/>
  <c r="N540" i="2" s="1"/>
  <c r="M263" i="2"/>
  <c r="N263" i="2" s="1"/>
  <c r="M841" i="2"/>
  <c r="N841" i="2" s="1"/>
  <c r="M3055" i="2"/>
  <c r="N3055" i="2" s="1"/>
  <c r="M1711" i="2"/>
  <c r="N1711" i="2" s="1"/>
  <c r="M3130" i="2"/>
  <c r="N3130" i="2" s="1"/>
  <c r="M163" i="2"/>
  <c r="N163" i="2" s="1"/>
  <c r="M2695" i="2"/>
  <c r="N2695" i="2" s="1"/>
  <c r="M2006" i="2"/>
  <c r="N2006" i="2" s="1"/>
  <c r="M398" i="2"/>
  <c r="N398" i="2" s="1"/>
  <c r="M2860" i="2"/>
  <c r="N2860" i="2" s="1"/>
  <c r="M2694" i="2"/>
  <c r="N2694" i="2" s="1"/>
  <c r="M2549" i="2"/>
  <c r="N2549" i="2" s="1"/>
  <c r="M1079" i="2"/>
  <c r="N1079" i="2" s="1"/>
  <c r="M393" i="2"/>
  <c r="N393" i="2" s="1"/>
  <c r="M1709" i="2"/>
  <c r="N1709" i="2" s="1"/>
  <c r="M159" i="2"/>
  <c r="N159" i="2" s="1"/>
  <c r="M158" i="2"/>
  <c r="N158" i="2" s="1"/>
  <c r="M2327" i="2"/>
  <c r="N2327" i="2" s="1"/>
  <c r="M1173" i="2"/>
  <c r="N1173" i="2" s="1"/>
  <c r="M3051" i="2"/>
  <c r="N3051" i="2" s="1"/>
  <c r="M2691" i="2"/>
  <c r="N2691" i="2" s="1"/>
  <c r="M2003" i="2"/>
  <c r="N2003" i="2" s="1"/>
  <c r="M3161" i="2"/>
  <c r="N3161" i="2" s="1"/>
  <c r="M1038" i="2"/>
  <c r="N1038" i="2" s="1"/>
  <c r="M831" i="2"/>
  <c r="N831" i="2" s="1"/>
  <c r="M1706" i="2"/>
  <c r="N1706" i="2" s="1"/>
  <c r="M486" i="2"/>
  <c r="N486" i="2" s="1"/>
  <c r="M830" i="2"/>
  <c r="N830" i="2" s="1"/>
  <c r="M2001" i="2"/>
  <c r="N2001" i="2" s="1"/>
  <c r="M2319" i="2"/>
  <c r="N2319" i="2" s="1"/>
  <c r="M2087" i="2"/>
  <c r="N2087" i="2" s="1"/>
  <c r="M3049" i="2"/>
  <c r="N3049" i="2" s="1"/>
  <c r="M2315" i="2"/>
  <c r="N2315" i="2" s="1"/>
  <c r="M3163" i="2"/>
  <c r="N3163" i="2" s="1"/>
  <c r="M1998" i="2"/>
  <c r="N1998" i="2" s="1"/>
  <c r="M1701" i="2"/>
  <c r="N1701" i="2" s="1"/>
  <c r="M1172" i="2"/>
  <c r="N1172" i="2" s="1"/>
  <c r="M3147" i="2"/>
  <c r="N3147" i="2" s="1"/>
  <c r="M2543" i="2"/>
  <c r="N2543" i="2" s="1"/>
  <c r="M485" i="2"/>
  <c r="N485" i="2" s="1"/>
  <c r="M484" i="2"/>
  <c r="N484" i="2" s="1"/>
  <c r="M3047" i="2"/>
  <c r="N3047" i="2" s="1"/>
  <c r="M150" i="2"/>
  <c r="N150" i="2" s="1"/>
  <c r="M483" i="2"/>
  <c r="N483" i="2" s="1"/>
  <c r="M1699" i="2"/>
  <c r="N1699" i="2" s="1"/>
  <c r="M482" i="2"/>
  <c r="N482" i="2" s="1"/>
  <c r="M3148" i="2"/>
  <c r="N3148" i="2" s="1"/>
  <c r="M148" i="2"/>
  <c r="N148" i="2" s="1"/>
  <c r="M3167" i="2"/>
  <c r="N3167" i="2" s="1"/>
  <c r="M819" i="2"/>
  <c r="N819" i="2" s="1"/>
  <c r="M1698" i="2"/>
  <c r="N1698" i="2" s="1"/>
  <c r="M1326" i="2"/>
  <c r="N1326" i="2" s="1"/>
  <c r="M480" i="2"/>
  <c r="N480" i="2" s="1"/>
  <c r="M1995" i="2"/>
  <c r="N1995" i="2" s="1"/>
  <c r="M2085" i="2"/>
  <c r="N2085" i="2" s="1"/>
  <c r="M3045" i="2"/>
  <c r="N3045" i="2" s="1"/>
  <c r="M1822" i="2"/>
  <c r="N1822" i="2" s="1"/>
  <c r="M2689" i="2"/>
  <c r="N2689" i="2" s="1"/>
  <c r="M1992" i="2"/>
  <c r="N1992" i="2" s="1"/>
  <c r="M2305" i="2"/>
  <c r="N2305" i="2" s="1"/>
  <c r="M1695" i="2"/>
  <c r="N1695" i="2" s="1"/>
  <c r="M813" i="2"/>
  <c r="N813" i="2" s="1"/>
  <c r="M144" i="2"/>
  <c r="N144" i="2" s="1"/>
  <c r="M2303" i="2"/>
  <c r="N2303" i="2" s="1"/>
  <c r="M3043" i="2"/>
  <c r="N3043" i="2" s="1"/>
  <c r="M2537" i="2"/>
  <c r="N2537" i="2" s="1"/>
  <c r="M2302" i="2"/>
  <c r="N2302" i="2" s="1"/>
  <c r="M807" i="2"/>
  <c r="N807" i="2" s="1"/>
  <c r="M805" i="2"/>
  <c r="N805" i="2" s="1"/>
  <c r="M3041" i="2"/>
  <c r="N3041" i="2" s="1"/>
  <c r="M1689" i="2"/>
  <c r="N1689" i="2" s="1"/>
  <c r="M2536" i="2"/>
  <c r="N2536" i="2" s="1"/>
  <c r="M1322" i="2"/>
  <c r="N1322" i="2" s="1"/>
  <c r="M3040" i="2"/>
  <c r="N3040" i="2" s="1"/>
  <c r="M2300" i="2"/>
  <c r="N2300" i="2" s="1"/>
  <c r="M1317" i="2"/>
  <c r="N1317" i="2" s="1"/>
  <c r="M1169" i="2"/>
  <c r="N1169" i="2" s="1"/>
  <c r="M1686" i="2"/>
  <c r="N1686" i="2" s="1"/>
  <c r="M2299" i="2"/>
  <c r="N2299" i="2" s="1"/>
  <c r="M796" i="2"/>
  <c r="N796" i="2" s="1"/>
  <c r="M1987" i="2"/>
  <c r="N1987" i="2" s="1"/>
  <c r="M2295" i="2"/>
  <c r="N2295" i="2" s="1"/>
  <c r="M3036" i="2"/>
  <c r="N3036" i="2" s="1"/>
  <c r="M1463" i="2"/>
  <c r="N1463" i="2" s="1"/>
  <c r="M3034" i="2"/>
  <c r="N3034" i="2" s="1"/>
  <c r="M2853" i="2"/>
  <c r="N2853" i="2" s="1"/>
  <c r="M1819" i="2"/>
  <c r="N1819" i="2" s="1"/>
  <c r="M1683" i="2"/>
  <c r="N1683" i="2" s="1"/>
  <c r="M3144" i="2"/>
  <c r="N3144" i="2" s="1"/>
  <c r="M2685" i="2"/>
  <c r="N2685" i="2" s="1"/>
  <c r="M1313" i="2"/>
  <c r="N1313" i="2" s="1"/>
  <c r="M786" i="2"/>
  <c r="N786" i="2" s="1"/>
  <c r="M2083" i="2"/>
  <c r="N2083" i="2" s="1"/>
  <c r="M784" i="2"/>
  <c r="N784" i="2" s="1"/>
  <c r="M782" i="2"/>
  <c r="N782" i="2" s="1"/>
  <c r="M2852" i="2"/>
  <c r="N2852" i="2" s="1"/>
  <c r="M1167" i="2"/>
  <c r="N1167" i="2" s="1"/>
  <c r="M387" i="2"/>
  <c r="N387" i="2" s="1"/>
  <c r="M1978" i="2"/>
  <c r="N1978" i="2" s="1"/>
  <c r="M2292" i="2"/>
  <c r="N2292" i="2" s="1"/>
  <c r="M477" i="2"/>
  <c r="N477" i="2" s="1"/>
  <c r="M3031" i="2"/>
  <c r="N3031" i="2" s="1"/>
  <c r="M136" i="2"/>
  <c r="N136" i="2" s="1"/>
  <c r="M779" i="2"/>
  <c r="N779" i="2" s="1"/>
  <c r="M777" i="2"/>
  <c r="N777" i="2" s="1"/>
  <c r="M3030" i="2"/>
  <c r="N3030" i="2" s="1"/>
  <c r="M1677" i="2"/>
  <c r="N1677" i="2" s="1"/>
  <c r="M1974" i="2"/>
  <c r="N1974" i="2" s="1"/>
  <c r="M2679" i="2"/>
  <c r="N2679" i="2" s="1"/>
  <c r="M2288" i="2"/>
  <c r="N2288" i="2" s="1"/>
  <c r="M773" i="2"/>
  <c r="N773" i="2" s="1"/>
  <c r="M771" i="2"/>
  <c r="N771" i="2" s="1"/>
  <c r="M1973" i="2"/>
  <c r="N1973" i="2" s="1"/>
  <c r="M1972" i="2"/>
  <c r="N1972" i="2" s="1"/>
  <c r="M2528" i="2"/>
  <c r="N2528" i="2" s="1"/>
  <c r="M1461" i="2"/>
  <c r="N1461" i="2" s="1"/>
  <c r="M767" i="2"/>
  <c r="N767" i="2" s="1"/>
  <c r="M1971" i="2"/>
  <c r="N1971" i="2" s="1"/>
  <c r="M2285" i="2"/>
  <c r="N2285" i="2" s="1"/>
  <c r="M2283" i="2"/>
  <c r="N2283" i="2" s="1"/>
  <c r="M1672" i="2"/>
  <c r="N1672" i="2" s="1"/>
  <c r="M1529" i="2"/>
  <c r="N1529" i="2" s="1"/>
  <c r="M308" i="2"/>
  <c r="N308" i="2" s="1"/>
  <c r="M2280" i="2"/>
  <c r="N2280" i="2" s="1"/>
  <c r="M1528" i="2"/>
  <c r="N1528" i="2" s="1"/>
  <c r="M1966" i="2"/>
  <c r="N1966" i="2" s="1"/>
  <c r="M131" i="2"/>
  <c r="N131" i="2" s="1"/>
  <c r="M3023" i="2"/>
  <c r="N3023" i="2" s="1"/>
  <c r="M2526" i="2"/>
  <c r="N2526" i="2" s="1"/>
  <c r="M758" i="2"/>
  <c r="N758" i="2" s="1"/>
  <c r="M130" i="2"/>
  <c r="N130" i="2" s="1"/>
  <c r="M129" i="2"/>
  <c r="N129" i="2" s="1"/>
  <c r="M1306" i="2"/>
  <c r="N1306" i="2" s="1"/>
  <c r="M128" i="2"/>
  <c r="N128" i="2" s="1"/>
  <c r="M2277" i="2"/>
  <c r="N2277" i="2" s="1"/>
  <c r="M2850" i="2"/>
  <c r="N2850" i="2" s="1"/>
  <c r="M2903" i="2"/>
  <c r="N2903" i="2" s="1"/>
  <c r="M1457" i="2"/>
  <c r="N1457" i="2" s="1"/>
  <c r="M1456" i="2"/>
  <c r="N1456" i="2" s="1"/>
  <c r="M1305" i="2"/>
  <c r="N1305" i="2" s="1"/>
  <c r="M126" i="2"/>
  <c r="N126" i="2" s="1"/>
  <c r="M3016" i="2"/>
  <c r="N3016" i="2" s="1"/>
  <c r="M2524" i="2"/>
  <c r="N2524" i="2" s="1"/>
  <c r="M124" i="2"/>
  <c r="N124" i="2" s="1"/>
  <c r="M1303" i="2"/>
  <c r="N1303" i="2" s="1"/>
  <c r="M122" i="2"/>
  <c r="N122" i="2" s="1"/>
  <c r="M2081" i="2"/>
  <c r="N2081" i="2" s="1"/>
  <c r="M1662" i="2"/>
  <c r="N1662" i="2" s="1"/>
  <c r="M2271" i="2"/>
  <c r="N2271" i="2" s="1"/>
  <c r="M2270" i="2"/>
  <c r="N2270" i="2" s="1"/>
  <c r="M1961" i="2"/>
  <c r="N1961" i="2" s="1"/>
  <c r="M1455" i="2"/>
  <c r="N1455" i="2" s="1"/>
  <c r="M2267" i="2"/>
  <c r="N2267" i="2" s="1"/>
  <c r="M1960" i="2"/>
  <c r="N1960" i="2" s="1"/>
  <c r="M1659" i="2"/>
  <c r="N1659" i="2" s="1"/>
  <c r="M2779" i="2"/>
  <c r="N2779" i="2" s="1"/>
  <c r="M2847" i="2"/>
  <c r="N2847" i="2" s="1"/>
  <c r="M744" i="2"/>
  <c r="N744" i="2" s="1"/>
  <c r="M2778" i="2"/>
  <c r="N2778" i="2" s="1"/>
  <c r="M1159" i="2"/>
  <c r="N1159" i="2" s="1"/>
  <c r="M118" i="2"/>
  <c r="N118" i="2" s="1"/>
  <c r="M2263" i="2"/>
  <c r="N2263" i="2" s="1"/>
  <c r="M1814" i="2"/>
  <c r="N1814" i="2" s="1"/>
  <c r="M2672" i="2"/>
  <c r="N2672" i="2" s="1"/>
  <c r="M115" i="2"/>
  <c r="N115" i="2" s="1"/>
  <c r="M471" i="2"/>
  <c r="N471" i="2" s="1"/>
  <c r="M1812" i="2"/>
  <c r="N1812" i="2" s="1"/>
  <c r="M2671" i="2"/>
  <c r="N2671" i="2" s="1"/>
  <c r="M1094" i="2"/>
  <c r="N1094" i="2" s="1"/>
  <c r="M739" i="2"/>
  <c r="N739" i="2" s="1"/>
  <c r="M1453" i="2"/>
  <c r="N1453" i="2" s="1"/>
  <c r="M738" i="2"/>
  <c r="N738" i="2" s="1"/>
  <c r="M2670" i="2"/>
  <c r="N2670" i="2" s="1"/>
  <c r="M3005" i="2"/>
  <c r="N3005" i="2" s="1"/>
  <c r="M1506" i="2"/>
  <c r="N1506" i="2" s="1"/>
  <c r="M3004" i="2"/>
  <c r="N3004" i="2" s="1"/>
  <c r="M1954" i="2"/>
  <c r="N1954" i="2" s="1"/>
  <c r="M737" i="2"/>
  <c r="N737" i="2" s="1"/>
  <c r="M1157" i="2"/>
  <c r="N1157" i="2" s="1"/>
  <c r="M1298" i="2"/>
  <c r="N1298" i="2" s="1"/>
  <c r="M1651" i="2"/>
  <c r="N1651" i="2" s="1"/>
  <c r="M1810" i="2"/>
  <c r="N1810" i="2" s="1"/>
  <c r="M733" i="2"/>
  <c r="N733" i="2" s="1"/>
  <c r="M732" i="2"/>
  <c r="N732" i="2" s="1"/>
  <c r="M469" i="2"/>
  <c r="N469" i="2" s="1"/>
  <c r="M2902" i="2"/>
  <c r="N2902" i="2" s="1"/>
  <c r="M1031" i="2"/>
  <c r="N1031" i="2" s="1"/>
  <c r="M2844" i="2"/>
  <c r="N2844" i="2" s="1"/>
  <c r="M1076" i="2"/>
  <c r="N1076" i="2" s="1"/>
  <c r="M1648" i="2"/>
  <c r="N1648" i="2" s="1"/>
  <c r="M2250" i="2"/>
  <c r="N2250" i="2" s="1"/>
  <c r="M2666" i="2"/>
  <c r="N2666" i="2" s="1"/>
  <c r="M1646" i="2"/>
  <c r="N1646" i="2" s="1"/>
  <c r="M1294" i="2"/>
  <c r="N1294" i="2" s="1"/>
  <c r="M727" i="2"/>
  <c r="N727" i="2" s="1"/>
  <c r="M1947" i="2"/>
  <c r="N1947" i="2" s="1"/>
  <c r="M2514" i="2"/>
  <c r="N2514" i="2" s="1"/>
  <c r="M3000" i="2"/>
  <c r="N3000" i="2" s="1"/>
  <c r="M110" i="2"/>
  <c r="N110" i="2" s="1"/>
  <c r="M108" i="2"/>
  <c r="N108" i="2" s="1"/>
  <c r="M1643" i="2"/>
  <c r="N1643" i="2" s="1"/>
  <c r="M2842" i="2"/>
  <c r="N2842" i="2" s="1"/>
  <c r="M2246" i="2"/>
  <c r="N2246" i="2" s="1"/>
  <c r="M1292" i="2"/>
  <c r="N1292" i="2" s="1"/>
  <c r="M1291" i="2"/>
  <c r="N1291" i="2" s="1"/>
  <c r="M2244" i="2"/>
  <c r="N2244" i="2" s="1"/>
  <c r="M1290" i="2"/>
  <c r="N1290" i="2" s="1"/>
  <c r="M337" i="2"/>
  <c r="N337" i="2" s="1"/>
  <c r="M2079" i="2"/>
  <c r="N2079" i="2" s="1"/>
  <c r="M1153" i="2"/>
  <c r="N1153" i="2" s="1"/>
  <c r="M302" i="2"/>
  <c r="N302" i="2" s="1"/>
  <c r="M1288" i="2"/>
  <c r="N1288" i="2" s="1"/>
  <c r="M2997" i="2"/>
  <c r="N2997" i="2" s="1"/>
  <c r="M1447" i="2"/>
  <c r="N1447" i="2" s="1"/>
  <c r="M1446" i="2"/>
  <c r="N1446" i="2" s="1"/>
  <c r="M719" i="2"/>
  <c r="N719" i="2" s="1"/>
  <c r="M1944" i="2"/>
  <c r="N1944" i="2" s="1"/>
  <c r="M716" i="2"/>
  <c r="N716" i="2" s="1"/>
  <c r="M374" i="2"/>
  <c r="N374" i="2" s="1"/>
  <c r="M1445" i="2"/>
  <c r="N1445" i="2" s="1"/>
  <c r="M715" i="2"/>
  <c r="N715" i="2" s="1"/>
  <c r="M1807" i="2"/>
  <c r="N1807" i="2" s="1"/>
  <c r="M532" i="2"/>
  <c r="N532" i="2" s="1"/>
  <c r="M2238" i="2"/>
  <c r="N2238" i="2" s="1"/>
  <c r="M2237" i="2"/>
  <c r="N2237" i="2" s="1"/>
  <c r="M1940" i="2"/>
  <c r="N1940" i="2" s="1"/>
  <c r="M2660" i="2"/>
  <c r="N2660" i="2" s="1"/>
  <c r="M1523" i="2"/>
  <c r="N1523" i="2" s="1"/>
  <c r="M712" i="2"/>
  <c r="N712" i="2" s="1"/>
  <c r="M2658" i="2"/>
  <c r="N2658" i="2" s="1"/>
  <c r="M2993" i="2"/>
  <c r="N2993" i="2" s="1"/>
  <c r="M2992" i="2"/>
  <c r="N2992" i="2" s="1"/>
  <c r="M1285" i="2"/>
  <c r="N1285" i="2" s="1"/>
  <c r="M301" i="2"/>
  <c r="N301" i="2" s="1"/>
  <c r="M99" i="2"/>
  <c r="N99" i="2" s="1"/>
  <c r="M2657" i="2"/>
  <c r="N2657" i="2" s="1"/>
  <c r="M2232" i="2"/>
  <c r="N2232" i="2" s="1"/>
  <c r="M1936" i="2"/>
  <c r="N1936" i="2" s="1"/>
  <c r="M2502" i="2"/>
  <c r="N2502" i="2" s="1"/>
  <c r="M703" i="2"/>
  <c r="N703" i="2" s="1"/>
  <c r="M701" i="2"/>
  <c r="N701" i="2" s="1"/>
  <c r="M299" i="2"/>
  <c r="N299" i="2" s="1"/>
  <c r="M1147" i="2"/>
  <c r="N1147" i="2" s="1"/>
  <c r="M2838" i="2"/>
  <c r="N2838" i="2" s="1"/>
  <c r="M2227" i="2"/>
  <c r="N2227" i="2" s="1"/>
  <c r="M699" i="2"/>
  <c r="N699" i="2" s="1"/>
  <c r="M1391" i="2"/>
  <c r="N1391" i="2" s="1"/>
  <c r="M698" i="2"/>
  <c r="N698" i="2" s="1"/>
  <c r="M1277" i="2"/>
  <c r="N1277" i="2" s="1"/>
  <c r="M2773" i="2"/>
  <c r="N2773" i="2" s="1"/>
  <c r="M2655" i="2"/>
  <c r="N2655" i="2" s="1"/>
  <c r="M1634" i="2"/>
  <c r="N1634" i="2" s="1"/>
  <c r="M694" i="2"/>
  <c r="N694" i="2" s="1"/>
  <c r="M1276" i="2"/>
  <c r="N1276" i="2" s="1"/>
  <c r="M2836" i="2"/>
  <c r="N2836" i="2" s="1"/>
  <c r="M2222" i="2"/>
  <c r="N2222" i="2" s="1"/>
  <c r="M2221" i="2"/>
  <c r="N2221" i="2" s="1"/>
  <c r="M94" i="2"/>
  <c r="N94" i="2" s="1"/>
  <c r="M1631" i="2"/>
  <c r="N1631" i="2" s="1"/>
  <c r="M93" i="2"/>
  <c r="N93" i="2" s="1"/>
  <c r="M1931" i="2"/>
  <c r="N1931" i="2" s="1"/>
  <c r="M2833" i="2"/>
  <c r="N2833" i="2" s="1"/>
  <c r="M693" i="2"/>
  <c r="N693" i="2" s="1"/>
  <c r="M2219" i="2"/>
  <c r="N2219" i="2" s="1"/>
  <c r="M1272" i="2"/>
  <c r="N1272" i="2" s="1"/>
  <c r="M1024" i="2"/>
  <c r="N1024" i="2" s="1"/>
  <c r="M688" i="2"/>
  <c r="N688" i="2" s="1"/>
  <c r="M2495" i="2"/>
  <c r="N2495" i="2" s="1"/>
  <c r="M88" i="2"/>
  <c r="N88" i="2" s="1"/>
  <c r="M686" i="2"/>
  <c r="N686" i="2" s="1"/>
  <c r="M2218" i="2"/>
  <c r="N2218" i="2" s="1"/>
  <c r="M2891" i="2"/>
  <c r="N2891" i="2" s="1"/>
  <c r="M2831" i="2"/>
  <c r="N2831" i="2" s="1"/>
  <c r="M297" i="2"/>
  <c r="N297" i="2" s="1"/>
  <c r="M1144" i="2"/>
  <c r="N1144" i="2" s="1"/>
  <c r="M296" i="2"/>
  <c r="N296" i="2" s="1"/>
  <c r="M531" i="2"/>
  <c r="N531" i="2" s="1"/>
  <c r="M85" i="2"/>
  <c r="N85" i="2" s="1"/>
  <c r="M683" i="2"/>
  <c r="N683" i="2" s="1"/>
  <c r="M1266" i="2"/>
  <c r="N1266" i="2" s="1"/>
  <c r="M1264" i="2"/>
  <c r="N1264" i="2" s="1"/>
  <c r="M2647" i="2"/>
  <c r="N2647" i="2" s="1"/>
  <c r="M682" i="2"/>
  <c r="N682" i="2" s="1"/>
  <c r="M295" i="2"/>
  <c r="N295" i="2" s="1"/>
  <c r="M530" i="2"/>
  <c r="N530" i="2" s="1"/>
  <c r="M1263" i="2"/>
  <c r="N1263" i="2" s="1"/>
  <c r="M2214" i="2"/>
  <c r="N2214" i="2" s="1"/>
  <c r="M83" i="2"/>
  <c r="N83" i="2" s="1"/>
  <c r="M2491" i="2"/>
  <c r="N2491" i="2" s="1"/>
  <c r="M2211" i="2"/>
  <c r="N2211" i="2" s="1"/>
  <c r="M1021" i="2"/>
  <c r="N1021" i="2" s="1"/>
  <c r="M1924" i="2"/>
  <c r="N1924" i="2" s="1"/>
  <c r="M2490" i="2"/>
  <c r="N2490" i="2" s="1"/>
  <c r="M1624" i="2"/>
  <c r="N1624" i="2" s="1"/>
  <c r="M2489" i="2"/>
  <c r="N2489" i="2" s="1"/>
  <c r="M452" i="2"/>
  <c r="N452" i="2" s="1"/>
  <c r="M78" i="2"/>
  <c r="N78" i="2" s="1"/>
  <c r="M1142" i="2"/>
  <c r="N1142" i="2" s="1"/>
  <c r="M1389" i="2"/>
  <c r="N1389" i="2" s="1"/>
  <c r="M1621" i="2"/>
  <c r="N1621" i="2" s="1"/>
  <c r="M674" i="2"/>
  <c r="N674" i="2" s="1"/>
  <c r="M2771" i="2"/>
  <c r="N2771" i="2" s="1"/>
  <c r="M672" i="2"/>
  <c r="N672" i="2" s="1"/>
  <c r="M2207" i="2"/>
  <c r="N2207" i="2" s="1"/>
  <c r="M1262" i="2"/>
  <c r="N1262" i="2" s="1"/>
  <c r="M2643" i="2"/>
  <c r="N2643" i="2" s="1"/>
  <c r="M290" i="2"/>
  <c r="N290" i="2" s="1"/>
  <c r="M1919" i="2"/>
  <c r="N1919" i="2" s="1"/>
  <c r="M77" i="2"/>
  <c r="N77" i="2" s="1"/>
  <c r="M1257" i="2"/>
  <c r="N1257" i="2" s="1"/>
  <c r="M2204" i="2"/>
  <c r="N2204" i="2" s="1"/>
  <c r="M666" i="2"/>
  <c r="N666" i="2" s="1"/>
  <c r="M2968" i="2"/>
  <c r="N2968" i="2" s="1"/>
  <c r="M529" i="2"/>
  <c r="N529" i="2" s="1"/>
  <c r="M2828" i="2"/>
  <c r="N2828" i="2" s="1"/>
  <c r="M2642" i="2"/>
  <c r="N2642" i="2" s="1"/>
  <c r="M1254" i="2"/>
  <c r="N1254" i="2" s="1"/>
  <c r="M1914" i="2"/>
  <c r="N1914" i="2" s="1"/>
  <c r="M366" i="2"/>
  <c r="N366" i="2" s="1"/>
  <c r="M1913" i="2"/>
  <c r="N1913" i="2" s="1"/>
  <c r="M2640" i="2"/>
  <c r="N2640" i="2" s="1"/>
  <c r="M1613" i="2"/>
  <c r="N1613" i="2" s="1"/>
  <c r="M2202" i="2"/>
  <c r="N2202" i="2" s="1"/>
  <c r="M365" i="2"/>
  <c r="N365" i="2" s="1"/>
  <c r="M2965" i="2"/>
  <c r="N2965" i="2" s="1"/>
  <c r="M2200" i="2"/>
  <c r="N2200" i="2" s="1"/>
  <c r="M2826" i="2"/>
  <c r="N2826" i="2" s="1"/>
  <c r="M1910" i="2"/>
  <c r="N1910" i="2" s="1"/>
  <c r="M1610" i="2"/>
  <c r="N1610" i="2" s="1"/>
  <c r="M2196" i="2"/>
  <c r="N2196" i="2" s="1"/>
  <c r="M2195" i="2"/>
  <c r="N2195" i="2" s="1"/>
  <c r="M527" i="2"/>
  <c r="N527" i="2" s="1"/>
  <c r="M451" i="2"/>
  <c r="N451" i="2" s="1"/>
  <c r="M2192" i="2"/>
  <c r="N2192" i="2" s="1"/>
  <c r="M2480" i="2"/>
  <c r="N2480" i="2" s="1"/>
  <c r="M68" i="2"/>
  <c r="N68" i="2" s="1"/>
  <c r="M2636" i="2"/>
  <c r="N2636" i="2" s="1"/>
  <c r="M2962" i="2"/>
  <c r="N2962" i="2" s="1"/>
  <c r="M2479" i="2"/>
  <c r="N2479" i="2" s="1"/>
  <c r="M2767" i="2"/>
  <c r="N2767" i="2" s="1"/>
  <c r="M657" i="2"/>
  <c r="N657" i="2" s="1"/>
  <c r="M1251" i="2"/>
  <c r="N1251" i="2" s="1"/>
  <c r="M1904" i="2"/>
  <c r="N1904" i="2" s="1"/>
  <c r="M654" i="2"/>
  <c r="N654" i="2" s="1"/>
  <c r="M2474" i="2"/>
  <c r="N2474" i="2" s="1"/>
  <c r="M66" i="2"/>
  <c r="N66" i="2" s="1"/>
  <c r="M2960" i="2"/>
  <c r="N2960" i="2" s="1"/>
  <c r="M2473" i="2"/>
  <c r="N2473" i="2" s="1"/>
  <c r="M2472" i="2"/>
  <c r="N2472" i="2" s="1"/>
  <c r="M2471" i="2"/>
  <c r="N2471" i="2" s="1"/>
  <c r="M652" i="2"/>
  <c r="N652" i="2" s="1"/>
  <c r="M2822" i="2"/>
  <c r="N2822" i="2" s="1"/>
  <c r="M2182" i="2"/>
  <c r="N2182" i="2" s="1"/>
  <c r="M2959" i="2"/>
  <c r="N2959" i="2" s="1"/>
  <c r="M649" i="2"/>
  <c r="N649" i="2" s="1"/>
  <c r="M647" i="2"/>
  <c r="N647" i="2" s="1"/>
  <c r="M2958" i="2"/>
  <c r="N2958" i="2" s="1"/>
  <c r="M63" i="2"/>
  <c r="N63" i="2" s="1"/>
  <c r="M2179" i="2"/>
  <c r="N2179" i="2" s="1"/>
  <c r="M2177" i="2"/>
  <c r="N2177" i="2" s="1"/>
  <c r="M1504" i="2"/>
  <c r="N1504" i="2" s="1"/>
  <c r="M1247" i="2"/>
  <c r="N1247" i="2" s="1"/>
  <c r="M285" i="2"/>
  <c r="N285" i="2" s="1"/>
  <c r="M2175" i="2"/>
  <c r="N2175" i="2" s="1"/>
  <c r="M1246" i="2"/>
  <c r="N1246" i="2" s="1"/>
  <c r="M2468" i="2"/>
  <c r="N2468" i="2" s="1"/>
  <c r="M1900" i="2"/>
  <c r="N1900" i="2" s="1"/>
  <c r="M1600" i="2"/>
  <c r="N1600" i="2" s="1"/>
  <c r="M1599" i="2"/>
  <c r="N1599" i="2" s="1"/>
  <c r="M638" i="2"/>
  <c r="N638" i="2" s="1"/>
  <c r="M1800" i="2"/>
  <c r="N1800" i="2" s="1"/>
  <c r="M1420" i="2"/>
  <c r="N1420" i="2" s="1"/>
  <c r="M636" i="2"/>
  <c r="N636" i="2" s="1"/>
  <c r="M635" i="2"/>
  <c r="N635" i="2" s="1"/>
  <c r="M356" i="2"/>
  <c r="N356" i="2" s="1"/>
  <c r="M1898" i="2"/>
  <c r="N1898" i="2" s="1"/>
  <c r="M2167" i="2"/>
  <c r="N2167" i="2" s="1"/>
  <c r="M448" i="2"/>
  <c r="N448" i="2" s="1"/>
  <c r="M2632" i="2"/>
  <c r="N2632" i="2" s="1"/>
  <c r="M1896" i="2"/>
  <c r="N1896" i="2" s="1"/>
  <c r="M261" i="2"/>
  <c r="N261" i="2" s="1"/>
  <c r="M56" i="2"/>
  <c r="N56" i="2" s="1"/>
  <c r="M269" i="2"/>
  <c r="N269" i="2" s="1"/>
  <c r="M2819" i="2"/>
  <c r="N2819" i="2" s="1"/>
  <c r="M2629" i="2"/>
  <c r="N2629" i="2" s="1"/>
  <c r="M2163" i="2"/>
  <c r="N2163" i="2" s="1"/>
  <c r="M52" i="2"/>
  <c r="N52" i="2" s="1"/>
  <c r="M2162" i="2"/>
  <c r="N2162" i="2" s="1"/>
  <c r="M1892" i="2"/>
  <c r="N1892" i="2" s="1"/>
  <c r="M525" i="2"/>
  <c r="N525" i="2" s="1"/>
  <c r="M2950" i="2"/>
  <c r="N2950" i="2" s="1"/>
  <c r="M524" i="2"/>
  <c r="N524" i="2" s="1"/>
  <c r="M1590" i="2"/>
  <c r="N1590" i="2" s="1"/>
  <c r="M48" i="2"/>
  <c r="N48" i="2" s="1"/>
  <c r="M1515" i="2"/>
  <c r="N1515" i="2" s="1"/>
  <c r="M1240" i="2"/>
  <c r="N1240" i="2" s="1"/>
  <c r="M2949" i="2"/>
  <c r="N2949" i="2" s="1"/>
  <c r="M625" i="2"/>
  <c r="N625" i="2" s="1"/>
  <c r="M1073" i="2"/>
  <c r="N1073" i="2" s="1"/>
  <c r="M1417" i="2"/>
  <c r="N1417" i="2" s="1"/>
  <c r="M1238" i="2"/>
  <c r="N1238" i="2" s="1"/>
  <c r="M47" i="2"/>
  <c r="N47" i="2" s="1"/>
  <c r="M1883" i="2"/>
  <c r="N1883" i="2" s="1"/>
  <c r="M2816" i="2"/>
  <c r="N2816" i="2" s="1"/>
  <c r="M2625" i="2"/>
  <c r="N2625" i="2" s="1"/>
  <c r="M2157" i="2"/>
  <c r="N2157" i="2" s="1"/>
  <c r="M354" i="2"/>
  <c r="N354" i="2" s="1"/>
  <c r="M2461" i="2"/>
  <c r="N2461" i="2" s="1"/>
  <c r="M619" i="2"/>
  <c r="N619" i="2" s="1"/>
  <c r="M618" i="2"/>
  <c r="N618" i="2" s="1"/>
  <c r="M1797" i="2"/>
  <c r="N1797" i="2" s="1"/>
  <c r="M2898" i="2"/>
  <c r="N2898" i="2" s="1"/>
  <c r="M353" i="2"/>
  <c r="N353" i="2" s="1"/>
  <c r="M1796" i="2"/>
  <c r="N1796" i="2" s="1"/>
  <c r="M2943" i="2"/>
  <c r="N2943" i="2" s="1"/>
  <c r="M1795" i="2"/>
  <c r="N1795" i="2" s="1"/>
  <c r="M2814" i="2"/>
  <c r="N2814" i="2" s="1"/>
  <c r="M2622" i="2"/>
  <c r="N2622" i="2" s="1"/>
  <c r="M1582" i="2"/>
  <c r="N1582" i="2" s="1"/>
  <c r="M613" i="2"/>
  <c r="N613" i="2" s="1"/>
  <c r="M2458" i="2"/>
  <c r="N2458" i="2" s="1"/>
  <c r="M2813" i="2"/>
  <c r="N2813" i="2" s="1"/>
  <c r="M1580" i="2"/>
  <c r="N1580" i="2" s="1"/>
  <c r="M2151" i="2"/>
  <c r="N2151" i="2" s="1"/>
  <c r="M1879" i="2"/>
  <c r="N1879" i="2" s="1"/>
  <c r="M2618" i="2"/>
  <c r="N2618" i="2" s="1"/>
  <c r="M1514" i="2"/>
  <c r="N1514" i="2" s="1"/>
  <c r="M2149" i="2"/>
  <c r="N2149" i="2" s="1"/>
  <c r="M283" i="2"/>
  <c r="N283" i="2" s="1"/>
  <c r="M1413" i="2"/>
  <c r="N1413" i="2" s="1"/>
  <c r="M1412" i="2"/>
  <c r="N1412" i="2" s="1"/>
  <c r="M1877" i="2"/>
  <c r="N1877" i="2" s="1"/>
  <c r="M1503" i="2"/>
  <c r="N1503" i="2" s="1"/>
  <c r="M441" i="2"/>
  <c r="N441" i="2" s="1"/>
  <c r="M1013" i="2"/>
  <c r="N1013" i="2" s="1"/>
  <c r="M35" i="2"/>
  <c r="N35" i="2" s="1"/>
  <c r="M34" i="2"/>
  <c r="N34" i="2" s="1"/>
  <c r="M3151" i="2"/>
  <c r="N3151" i="2" s="1"/>
  <c r="M1411" i="2"/>
  <c r="N1411" i="2" s="1"/>
  <c r="M1231" i="2"/>
  <c r="N1231" i="2" s="1"/>
  <c r="M2141" i="2"/>
  <c r="N2141" i="2" s="1"/>
  <c r="M2614" i="2"/>
  <c r="N2614" i="2" s="1"/>
  <c r="M601" i="2"/>
  <c r="N601" i="2" s="1"/>
  <c r="M2940" i="2"/>
  <c r="N2940" i="2" s="1"/>
  <c r="M1571" i="2"/>
  <c r="N1571" i="2" s="1"/>
  <c r="M2939" i="2"/>
  <c r="N2939" i="2" s="1"/>
  <c r="M282" i="2"/>
  <c r="N282" i="2" s="1"/>
  <c r="M2453" i="2"/>
  <c r="N2453" i="2" s="1"/>
  <c r="M2135" i="2"/>
  <c r="N2135" i="2" s="1"/>
  <c r="M2452" i="2"/>
  <c r="N2452" i="2" s="1"/>
  <c r="M31" i="2"/>
  <c r="N31" i="2" s="1"/>
  <c r="M1871" i="2"/>
  <c r="N1871" i="2" s="1"/>
  <c r="M1408" i="2"/>
  <c r="N1408" i="2" s="1"/>
  <c r="M2613" i="2"/>
  <c r="N2613" i="2" s="1"/>
  <c r="M2611" i="2"/>
  <c r="N2611" i="2" s="1"/>
  <c r="M29" i="2"/>
  <c r="N29" i="2" s="1"/>
  <c r="M2131" i="2"/>
  <c r="N2131" i="2" s="1"/>
  <c r="M2450" i="2"/>
  <c r="N2450" i="2" s="1"/>
  <c r="M2130" i="2"/>
  <c r="N2130" i="2" s="1"/>
  <c r="M3168" i="2"/>
  <c r="N3168" i="2" s="1"/>
  <c r="M2932" i="2"/>
  <c r="N2932" i="2" s="1"/>
  <c r="M1227" i="2"/>
  <c r="N1227" i="2" s="1"/>
  <c r="M593" i="2"/>
  <c r="N593" i="2" s="1"/>
  <c r="M1127" i="2"/>
  <c r="N1127" i="2" s="1"/>
  <c r="M1226" i="2"/>
  <c r="N1226" i="2" s="1"/>
  <c r="M26" i="2"/>
  <c r="N26" i="2" s="1"/>
  <c r="M2122" i="2"/>
  <c r="N2122" i="2" s="1"/>
  <c r="M2447" i="2"/>
  <c r="N2447" i="2" s="1"/>
  <c r="M1557" i="2"/>
  <c r="N1557" i="2" s="1"/>
  <c r="M350" i="2"/>
  <c r="N350" i="2" s="1"/>
  <c r="M24" i="2"/>
  <c r="N24" i="2" s="1"/>
  <c r="M281" i="2"/>
  <c r="N281" i="2" s="1"/>
  <c r="M1556" i="2"/>
  <c r="N1556" i="2" s="1"/>
  <c r="M587" i="2"/>
  <c r="N587" i="2" s="1"/>
  <c r="M2930" i="2"/>
  <c r="N2930" i="2" s="1"/>
  <c r="M437" i="2"/>
  <c r="N437" i="2" s="1"/>
  <c r="M1553" i="2"/>
  <c r="N1553" i="2" s="1"/>
  <c r="M1083" i="2"/>
  <c r="N1083" i="2" s="1"/>
  <c r="M1125" i="2"/>
  <c r="N1125" i="2" s="1"/>
  <c r="M1123" i="2"/>
  <c r="N1123" i="2" s="1"/>
  <c r="M1866" i="2"/>
  <c r="N1866" i="2" s="1"/>
  <c r="M1865" i="2"/>
  <c r="N1865" i="2" s="1"/>
  <c r="M2113" i="2"/>
  <c r="N2113" i="2" s="1"/>
  <c r="M2112" i="2"/>
  <c r="N2112" i="2" s="1"/>
  <c r="M1551" i="2"/>
  <c r="N1551" i="2" s="1"/>
  <c r="M278" i="2"/>
  <c r="N278" i="2" s="1"/>
  <c r="M1008" i="2"/>
  <c r="N1008" i="2" s="1"/>
  <c r="M347" i="2"/>
  <c r="N347" i="2" s="1"/>
  <c r="M582" i="2"/>
  <c r="N582" i="2" s="1"/>
  <c r="M2606" i="2"/>
  <c r="N2606" i="2" s="1"/>
  <c r="M277" i="2"/>
  <c r="N277" i="2" s="1"/>
  <c r="M23" i="2"/>
  <c r="N23" i="2" s="1"/>
  <c r="M2108" i="2"/>
  <c r="N2108" i="2" s="1"/>
  <c r="M1862" i="2"/>
  <c r="N1862" i="2" s="1"/>
  <c r="M1547" i="2"/>
  <c r="N1547" i="2" s="1"/>
  <c r="M1861" i="2"/>
  <c r="N1861" i="2" s="1"/>
  <c r="M2107" i="2"/>
  <c r="N2107" i="2" s="1"/>
  <c r="M22" i="2"/>
  <c r="N22" i="2" s="1"/>
  <c r="M573" i="2"/>
  <c r="N573" i="2" s="1"/>
  <c r="M2758" i="2"/>
  <c r="N2758" i="2" s="1"/>
  <c r="M570" i="2"/>
  <c r="N570" i="2" s="1"/>
  <c r="M568" i="2"/>
  <c r="N568" i="2" s="1"/>
  <c r="M2603" i="2"/>
  <c r="N2603" i="2" s="1"/>
  <c r="M1070" i="2"/>
  <c r="N1070" i="2" s="1"/>
  <c r="M1005" i="2"/>
  <c r="N1005" i="2" s="1"/>
  <c r="M344" i="2"/>
  <c r="N344" i="2" s="1"/>
  <c r="M521" i="2"/>
  <c r="N521" i="2" s="1"/>
  <c r="M2437" i="2"/>
  <c r="N2437" i="2" s="1"/>
  <c r="M2805" i="2"/>
  <c r="N2805" i="2" s="1"/>
  <c r="M1512" i="2"/>
  <c r="N1512" i="2" s="1"/>
  <c r="M17" i="2"/>
  <c r="N17" i="2" s="1"/>
  <c r="M2105" i="2"/>
  <c r="N2105" i="2" s="1"/>
  <c r="M2071" i="2"/>
  <c r="N2071" i="2" s="1"/>
  <c r="M2921" i="2"/>
  <c r="N2921" i="2" s="1"/>
  <c r="M2804" i="2"/>
  <c r="N2804" i="2" s="1"/>
  <c r="M1784" i="2"/>
  <c r="N1784" i="2" s="1"/>
  <c r="M563" i="2"/>
  <c r="N563" i="2" s="1"/>
  <c r="M520" i="2"/>
  <c r="N520" i="2" s="1"/>
  <c r="M433" i="2"/>
  <c r="N433" i="2" s="1"/>
  <c r="M559" i="2"/>
  <c r="N559" i="2" s="1"/>
  <c r="M2919" i="2"/>
  <c r="N2919" i="2" s="1"/>
  <c r="M2600" i="2"/>
  <c r="N2600" i="2" s="1"/>
  <c r="M557" i="2"/>
  <c r="N557" i="2" s="1"/>
  <c r="M2434" i="2"/>
  <c r="N2434" i="2" s="1"/>
  <c r="M1854" i="2"/>
  <c r="N1854" i="2" s="1"/>
  <c r="M276" i="2"/>
  <c r="N276" i="2" s="1"/>
  <c r="M2917" i="2"/>
  <c r="N2917" i="2" s="1"/>
  <c r="M2803" i="2"/>
  <c r="N2803" i="2" s="1"/>
  <c r="M1543" i="2"/>
  <c r="N1543" i="2" s="1"/>
  <c r="M553" i="2"/>
  <c r="N553" i="2" s="1"/>
  <c r="M2597" i="2"/>
  <c r="N2597" i="2" s="1"/>
  <c r="M2916" i="2"/>
  <c r="N2916" i="2" s="1"/>
  <c r="M2914" i="2"/>
  <c r="N2914" i="2" s="1"/>
  <c r="M9" i="2"/>
  <c r="N9" i="2" s="1"/>
  <c r="M2095" i="2"/>
  <c r="N2095" i="2" s="1"/>
  <c r="M8" i="2"/>
  <c r="N8" i="2" s="1"/>
  <c r="M1213" i="2"/>
  <c r="N1213" i="2" s="1"/>
  <c r="M1852" i="2"/>
  <c r="N1852" i="2" s="1"/>
  <c r="M548" i="2"/>
  <c r="N548" i="2" s="1"/>
  <c r="M2431" i="2"/>
  <c r="N2431" i="2" s="1"/>
  <c r="M6" i="2"/>
  <c r="N6" i="2" s="1"/>
  <c r="M254" i="2"/>
  <c r="N254" i="2" s="1"/>
  <c r="M3115" i="2"/>
  <c r="N3115" i="2" s="1"/>
  <c r="M3111" i="2"/>
  <c r="N3111" i="2" s="1"/>
  <c r="M988" i="2"/>
  <c r="N988" i="2" s="1"/>
  <c r="M1211" i="2"/>
  <c r="N1211" i="2" s="1"/>
  <c r="M2746" i="2"/>
  <c r="N2746" i="2" s="1"/>
  <c r="M980" i="2"/>
  <c r="N980" i="2" s="1"/>
  <c r="M425" i="2"/>
  <c r="N425" i="2" s="1"/>
  <c r="M244" i="2"/>
  <c r="N244" i="2" s="1"/>
  <c r="M242" i="2"/>
  <c r="N242" i="2" s="1"/>
  <c r="M1765" i="2"/>
  <c r="N1765" i="2" s="1"/>
  <c r="M2742" i="2"/>
  <c r="N2742" i="2" s="1"/>
  <c r="M968" i="2"/>
  <c r="N968" i="2" s="1"/>
  <c r="M1378" i="2"/>
  <c r="N1378" i="2" s="1"/>
  <c r="M1494" i="2"/>
  <c r="N1494" i="2" s="1"/>
  <c r="M3164" i="2"/>
  <c r="N3164" i="2" s="1"/>
  <c r="M955" i="2"/>
  <c r="N955" i="2" s="1"/>
  <c r="M2738" i="2"/>
  <c r="N2738" i="2" s="1"/>
  <c r="M512" i="2"/>
  <c r="N512" i="2" s="1"/>
  <c r="M228" i="2"/>
  <c r="N228" i="2" s="1"/>
  <c r="M2577" i="2"/>
  <c r="N2577" i="2" s="1"/>
  <c r="M945" i="2"/>
  <c r="N945" i="2" s="1"/>
  <c r="M1055" i="2"/>
  <c r="N1055" i="2" s="1"/>
  <c r="M2733" i="2"/>
  <c r="N2733" i="2" s="1"/>
  <c r="M418" i="2"/>
  <c r="N418" i="2" s="1"/>
  <c r="M2089" i="2"/>
  <c r="N2089" i="2" s="1"/>
  <c r="M2046" i="2"/>
  <c r="N2046" i="2" s="1"/>
  <c r="M1106" i="2"/>
  <c r="N1106" i="2" s="1"/>
  <c r="M1535" i="2"/>
  <c r="N1535" i="2" s="1"/>
  <c r="M2729" i="2"/>
  <c r="N2729" i="2" s="1"/>
  <c r="M413" i="2"/>
  <c r="N413" i="2" s="1"/>
  <c r="M1193" i="2"/>
  <c r="N1193" i="2" s="1"/>
  <c r="M3080" i="2"/>
  <c r="N3080" i="2" s="1"/>
  <c r="M2874" i="2"/>
  <c r="N2874" i="2" s="1"/>
  <c r="M1366" i="2"/>
  <c r="N1366" i="2" s="1"/>
  <c r="M2722" i="2"/>
  <c r="N2722" i="2" s="1"/>
  <c r="M2873" i="2"/>
  <c r="N2873" i="2" s="1"/>
  <c r="M1841" i="2"/>
  <c r="N1841" i="2" s="1"/>
  <c r="M3074" i="2"/>
  <c r="N3074" i="2" s="1"/>
  <c r="M412" i="2"/>
  <c r="N412" i="2" s="1"/>
  <c r="M2030" i="2"/>
  <c r="N2030" i="2" s="1"/>
  <c r="M2029" i="2"/>
  <c r="N2029" i="2" s="1"/>
  <c r="M1481" i="2"/>
  <c r="N1481" i="2" s="1"/>
  <c r="M199" i="2"/>
  <c r="N199" i="2" s="1"/>
  <c r="M2365" i="2"/>
  <c r="N2365" i="2" s="1"/>
  <c r="M2564" i="2"/>
  <c r="N2564" i="2" s="1"/>
  <c r="M2887" i="2"/>
  <c r="N2887" i="2" s="1"/>
  <c r="M992" i="2"/>
  <c r="N992" i="2" s="1"/>
  <c r="M991" i="2"/>
  <c r="N991" i="2" s="1"/>
  <c r="M336" i="2"/>
  <c r="N336" i="2" s="1"/>
  <c r="M990" i="2"/>
  <c r="N990" i="2" s="1"/>
  <c r="M252" i="2"/>
  <c r="N252" i="2" s="1"/>
  <c r="M335" i="2"/>
  <c r="N335" i="2" s="1"/>
  <c r="M334" i="2"/>
  <c r="N334" i="2" s="1"/>
  <c r="M3124" i="2"/>
  <c r="N3124" i="2" s="1"/>
  <c r="M517" i="2"/>
  <c r="N517" i="2" s="1"/>
  <c r="M2749" i="2"/>
  <c r="N2749" i="2" s="1"/>
  <c r="M1779" i="2"/>
  <c r="N1779" i="2" s="1"/>
  <c r="M428" i="2"/>
  <c r="N428" i="2" s="1"/>
  <c r="M1777" i="2"/>
  <c r="N1777" i="2" s="1"/>
  <c r="M1776" i="2"/>
  <c r="N1776" i="2" s="1"/>
  <c r="M987" i="2"/>
  <c r="N987" i="2" s="1"/>
  <c r="M3171" i="2"/>
  <c r="N3171" i="2" s="1"/>
  <c r="M2066" i="2"/>
  <c r="N2066" i="2" s="1"/>
  <c r="M1774" i="2"/>
  <c r="N1774" i="2" s="1"/>
  <c r="M1210" i="2"/>
  <c r="N1210" i="2" s="1"/>
  <c r="M331" i="2"/>
  <c r="N331" i="2" s="1"/>
  <c r="M427" i="2"/>
  <c r="N427" i="2" s="1"/>
  <c r="M516" i="2"/>
  <c r="N516" i="2" s="1"/>
  <c r="M2591" i="2"/>
  <c r="N2591" i="2" s="1"/>
  <c r="M984" i="2"/>
  <c r="N984" i="2" s="1"/>
  <c r="M1770" i="2"/>
  <c r="N1770" i="2" s="1"/>
  <c r="M1207" i="2"/>
  <c r="N1207" i="2" s="1"/>
  <c r="M2064" i="2"/>
  <c r="N2064" i="2" s="1"/>
  <c r="M1767" i="2"/>
  <c r="N1767" i="2" s="1"/>
  <c r="M2590" i="2"/>
  <c r="N2590" i="2" s="1"/>
  <c r="M977" i="2"/>
  <c r="N977" i="2" s="1"/>
  <c r="M2422" i="2"/>
  <c r="N2422" i="2" s="1"/>
  <c r="M2589" i="2"/>
  <c r="N2589" i="2" s="1"/>
  <c r="M1066" i="2"/>
  <c r="N1066" i="2" s="1"/>
  <c r="M2062" i="2"/>
  <c r="N2062" i="2" s="1"/>
  <c r="M2418" i="2"/>
  <c r="N2418" i="2" s="1"/>
  <c r="M3162" i="2"/>
  <c r="N3162" i="2" s="1"/>
  <c r="M1766" i="2"/>
  <c r="N1766" i="2" s="1"/>
  <c r="M2416" i="2"/>
  <c r="N2416" i="2" s="1"/>
  <c r="M1064" i="2"/>
  <c r="N1064" i="2" s="1"/>
  <c r="M972" i="2"/>
  <c r="N972" i="2" s="1"/>
  <c r="M2882" i="2"/>
  <c r="N2882" i="2" s="1"/>
  <c r="M1380" i="2"/>
  <c r="N1380" i="2" s="1"/>
  <c r="M2880" i="2"/>
  <c r="N2880" i="2" s="1"/>
  <c r="M970" i="2"/>
  <c r="N970" i="2" s="1"/>
  <c r="M2798" i="2"/>
  <c r="N2798" i="2" s="1"/>
  <c r="M2057" i="2"/>
  <c r="N2057" i="2" s="1"/>
  <c r="M3105" i="2"/>
  <c r="N3105" i="2" s="1"/>
  <c r="M1205" i="2"/>
  <c r="N1205" i="2" s="1"/>
  <c r="M3103" i="2"/>
  <c r="N3103" i="2" s="1"/>
  <c r="M2741" i="2"/>
  <c r="N2741" i="2" s="1"/>
  <c r="M2054" i="2"/>
  <c r="N2054" i="2" s="1"/>
  <c r="M3100" i="2"/>
  <c r="N3100" i="2" s="1"/>
  <c r="M2739" i="2"/>
  <c r="N2739" i="2" s="1"/>
  <c r="M965" i="2"/>
  <c r="N965" i="2" s="1"/>
  <c r="M238" i="2"/>
  <c r="N238" i="2" s="1"/>
  <c r="M962" i="2"/>
  <c r="N962" i="2" s="1"/>
  <c r="M2411" i="2"/>
  <c r="N2411" i="2" s="1"/>
  <c r="M2410" i="2"/>
  <c r="N2410" i="2" s="1"/>
  <c r="M960" i="2"/>
  <c r="N960" i="2" s="1"/>
  <c r="M1060" i="2"/>
  <c r="N1060" i="2" s="1"/>
  <c r="M958" i="2"/>
  <c r="N958" i="2" s="1"/>
  <c r="M1493" i="2"/>
  <c r="N1493" i="2" s="1"/>
  <c r="M514" i="2"/>
  <c r="N514" i="2" s="1"/>
  <c r="M2405" i="2"/>
  <c r="N2405" i="2" s="1"/>
  <c r="M957" i="2"/>
  <c r="N957" i="2" s="1"/>
  <c r="M1107" i="2"/>
  <c r="N1107" i="2" s="1"/>
  <c r="M2403" i="2"/>
  <c r="N2403" i="2" s="1"/>
  <c r="M3092" i="2"/>
  <c r="N3092" i="2" s="1"/>
  <c r="M2581" i="2"/>
  <c r="N2581" i="2" s="1"/>
  <c r="M327" i="2"/>
  <c r="N327" i="2" s="1"/>
  <c r="M2400" i="2"/>
  <c r="N2400" i="2" s="1"/>
  <c r="M996" i="2"/>
  <c r="N996" i="2" s="1"/>
  <c r="M3090" i="2"/>
  <c r="N3090" i="2" s="1"/>
  <c r="M953" i="2"/>
  <c r="N953" i="2" s="1"/>
  <c r="M995" i="2"/>
  <c r="N995" i="2" s="1"/>
  <c r="M1491" i="2"/>
  <c r="N1491" i="2" s="1"/>
  <c r="M1761" i="2"/>
  <c r="N1761" i="2" s="1"/>
  <c r="M1490" i="2"/>
  <c r="N1490" i="2" s="1"/>
  <c r="M2878" i="2"/>
  <c r="N2878" i="2" s="1"/>
  <c r="M949" i="2"/>
  <c r="N949" i="2" s="1"/>
  <c r="M948" i="2"/>
  <c r="N948" i="2" s="1"/>
  <c r="M2578" i="2"/>
  <c r="N2578" i="2" s="1"/>
  <c r="M508" i="2"/>
  <c r="N508" i="2" s="1"/>
  <c r="M226" i="2"/>
  <c r="N226" i="2" s="1"/>
  <c r="M2396" i="2"/>
  <c r="N2396" i="2" s="1"/>
  <c r="M545" i="2"/>
  <c r="N545" i="2" s="1"/>
  <c r="M2796" i="2"/>
  <c r="N2796" i="2" s="1"/>
  <c r="M1760" i="2"/>
  <c r="N1760" i="2" s="1"/>
  <c r="M3088" i="2"/>
  <c r="N3088" i="2" s="1"/>
  <c r="M1759" i="2"/>
  <c r="N1759" i="2" s="1"/>
  <c r="M2391" i="2"/>
  <c r="N2391" i="2" s="1"/>
  <c r="M1758" i="2"/>
  <c r="N1758" i="2" s="1"/>
  <c r="M325" i="2"/>
  <c r="N325" i="2" s="1"/>
  <c r="M941" i="2"/>
  <c r="N941" i="2" s="1"/>
  <c r="M939" i="2"/>
  <c r="N939" i="2" s="1"/>
  <c r="M2090" i="2"/>
  <c r="N2090" i="2" s="1"/>
  <c r="M222" i="2"/>
  <c r="N222" i="2" s="1"/>
  <c r="M323" i="2"/>
  <c r="N323" i="2" s="1"/>
  <c r="M219" i="2"/>
  <c r="N219" i="2" s="1"/>
  <c r="M1845" i="2"/>
  <c r="N1845" i="2" s="1"/>
  <c r="M417" i="2"/>
  <c r="N417" i="2" s="1"/>
  <c r="M217" i="2"/>
  <c r="N217" i="2" s="1"/>
  <c r="M1116" i="2"/>
  <c r="N1116" i="2" s="1"/>
  <c r="M2795" i="2"/>
  <c r="N2795" i="2" s="1"/>
  <c r="M2387" i="2"/>
  <c r="N2387" i="2" s="1"/>
  <c r="M2386" i="2"/>
  <c r="N2386" i="2" s="1"/>
  <c r="M3085" i="2"/>
  <c r="N3085" i="2" s="1"/>
  <c r="M1369" i="2"/>
  <c r="N1369" i="2" s="1"/>
  <c r="M321" i="2"/>
  <c r="N321" i="2" s="1"/>
  <c r="M215" i="2"/>
  <c r="N215" i="2" s="1"/>
  <c r="M933" i="2"/>
  <c r="N933" i="2" s="1"/>
  <c r="M3084" i="2"/>
  <c r="N3084" i="2" s="1"/>
  <c r="M932" i="2"/>
  <c r="N932" i="2" s="1"/>
  <c r="M1198" i="2"/>
  <c r="N1198" i="2" s="1"/>
  <c r="M2876" i="2"/>
  <c r="N2876" i="2" s="1"/>
  <c r="M2730" i="2"/>
  <c r="N2730" i="2" s="1"/>
  <c r="M2572" i="2"/>
  <c r="N2572" i="2" s="1"/>
  <c r="M1104" i="2"/>
  <c r="N1104" i="2" s="1"/>
  <c r="M3083" i="2"/>
  <c r="N3083" i="2" s="1"/>
  <c r="M1197" i="2"/>
  <c r="N1197" i="2" s="1"/>
  <c r="M1196" i="2"/>
  <c r="N1196" i="2" s="1"/>
  <c r="M1750" i="2"/>
  <c r="N1750" i="2" s="1"/>
  <c r="M1195" i="2"/>
  <c r="N1195" i="2" s="1"/>
  <c r="M1842" i="2"/>
  <c r="N1842" i="2" s="1"/>
  <c r="M2378" i="2"/>
  <c r="N2378" i="2" s="1"/>
  <c r="M2377" i="2"/>
  <c r="N2377" i="2" s="1"/>
  <c r="M2376" i="2"/>
  <c r="N2376" i="2" s="1"/>
  <c r="M927" i="2"/>
  <c r="N927" i="2" s="1"/>
  <c r="M2041" i="2"/>
  <c r="N2041" i="2" s="1"/>
  <c r="M1049" i="2"/>
  <c r="N1049" i="2" s="1"/>
  <c r="M926" i="2"/>
  <c r="N926" i="2" s="1"/>
  <c r="M924" i="2"/>
  <c r="N924" i="2" s="1"/>
  <c r="M3079" i="2"/>
  <c r="N3079" i="2" s="1"/>
  <c r="M207" i="2"/>
  <c r="N207" i="2" s="1"/>
  <c r="M3077" i="2"/>
  <c r="N3077" i="2" s="1"/>
  <c r="M2721" i="2"/>
  <c r="N2721" i="2" s="1"/>
  <c r="M503" i="2"/>
  <c r="N503" i="2" s="1"/>
  <c r="M203" i="2"/>
  <c r="N203" i="2" s="1"/>
  <c r="M1746" i="2"/>
  <c r="N1746" i="2" s="1"/>
  <c r="M2038" i="2"/>
  <c r="N2038" i="2" s="1"/>
  <c r="M2567" i="2"/>
  <c r="N2567" i="2" s="1"/>
  <c r="M1534" i="2"/>
  <c r="N1534" i="2" s="1"/>
  <c r="M3076" i="2"/>
  <c r="N3076" i="2" s="1"/>
  <c r="M1840" i="2"/>
  <c r="N1840" i="2" s="1"/>
  <c r="M2373" i="2"/>
  <c r="N2373" i="2" s="1"/>
  <c r="M202" i="2"/>
  <c r="N202" i="2" s="1"/>
  <c r="M913" i="2"/>
  <c r="N913" i="2" s="1"/>
  <c r="M2371" i="2"/>
  <c r="N2371" i="2" s="1"/>
  <c r="M1363" i="2"/>
  <c r="N1363" i="2" s="1"/>
  <c r="M1361" i="2"/>
  <c r="N1361" i="2" s="1"/>
  <c r="M502" i="2"/>
  <c r="N502" i="2" s="1"/>
  <c r="M2870" i="2"/>
  <c r="N2870" i="2" s="1"/>
  <c r="M2369" i="2"/>
  <c r="N2369" i="2" s="1"/>
  <c r="M2028" i="2"/>
  <c r="N2028" i="2" s="1"/>
  <c r="M910" i="2"/>
  <c r="N910" i="2" s="1"/>
  <c r="M501" i="2"/>
  <c r="N501" i="2" s="1"/>
  <c r="M542" i="2"/>
  <c r="N542" i="2" s="1"/>
  <c r="M909" i="2"/>
  <c r="N909" i="2" s="1"/>
  <c r="M2718" i="2"/>
  <c r="N2718" i="2" s="1"/>
  <c r="M1532" i="2"/>
  <c r="N1532" i="2" s="1"/>
  <c r="M1357" i="2"/>
  <c r="N1357" i="2" s="1"/>
  <c r="M197" i="2"/>
  <c r="N197" i="2" s="1"/>
  <c r="M905" i="2"/>
  <c r="N905" i="2" s="1"/>
  <c r="M2364" i="2"/>
  <c r="N2364" i="2" s="1"/>
  <c r="M411" i="2"/>
  <c r="N411" i="2" s="1"/>
  <c r="M2565" i="2"/>
  <c r="N2565" i="2" s="1"/>
  <c r="M2363" i="2"/>
  <c r="N2363" i="2" s="1"/>
  <c r="M2867" i="2"/>
  <c r="N2867" i="2" s="1"/>
  <c r="M1732" i="2"/>
  <c r="N1732" i="2" s="1"/>
  <c r="M900" i="2"/>
  <c r="N900" i="2" s="1"/>
  <c r="M3150" i="2"/>
  <c r="N3150" i="2" s="1"/>
  <c r="M409" i="2"/>
  <c r="N409" i="2" s="1"/>
  <c r="M1046" i="2"/>
  <c r="N1046" i="2" s="1"/>
  <c r="M2362" i="2"/>
  <c r="N2362" i="2" s="1"/>
  <c r="M2714" i="2"/>
  <c r="N2714" i="2" s="1"/>
  <c r="M1478" i="2"/>
  <c r="N1478" i="2" s="1"/>
  <c r="M195" i="2"/>
  <c r="N195" i="2" s="1"/>
  <c r="M1730" i="2"/>
  <c r="N1730" i="2" s="1"/>
  <c r="M407" i="2"/>
  <c r="N407" i="2" s="1"/>
  <c r="M1531" i="2"/>
  <c r="N1531" i="2" s="1"/>
  <c r="M1354" i="2"/>
  <c r="N1354" i="2" s="1"/>
  <c r="M2361" i="2"/>
  <c r="N2361" i="2" s="1"/>
  <c r="M3069" i="2"/>
  <c r="N3069" i="2" s="1"/>
  <c r="M1727" i="2"/>
  <c r="N1727" i="2" s="1"/>
  <c r="M1477" i="2"/>
  <c r="N1477" i="2" s="1"/>
  <c r="M2563" i="2"/>
  <c r="N2563" i="2" s="1"/>
  <c r="M882" i="2"/>
  <c r="N882" i="2" s="1"/>
  <c r="M2358" i="2"/>
  <c r="N2358" i="2" s="1"/>
  <c r="M1186" i="2"/>
  <c r="N1186" i="2" s="1"/>
  <c r="M190" i="2"/>
  <c r="N190" i="2" s="1"/>
  <c r="M2357" i="2"/>
  <c r="N2357" i="2" s="1"/>
  <c r="M2355" i="2"/>
  <c r="N2355" i="2" s="1"/>
  <c r="M187" i="2"/>
  <c r="N187" i="2" s="1"/>
  <c r="M2022" i="2"/>
  <c r="N2022" i="2" s="1"/>
  <c r="M1045" i="2"/>
  <c r="N1045" i="2" s="1"/>
  <c r="M2792" i="2"/>
  <c r="N2792" i="2" s="1"/>
  <c r="M3064" i="2"/>
  <c r="N3064" i="2" s="1"/>
  <c r="M2021" i="2"/>
  <c r="N2021" i="2" s="1"/>
  <c r="M874" i="2"/>
  <c r="N874" i="2" s="1"/>
  <c r="M1349" i="2"/>
  <c r="N1349" i="2" s="1"/>
  <c r="M184" i="2"/>
  <c r="N184" i="2" s="1"/>
  <c r="M1184" i="2"/>
  <c r="N1184" i="2" s="1"/>
  <c r="M1721" i="2"/>
  <c r="N1721" i="2" s="1"/>
  <c r="M265" i="2"/>
  <c r="N265" i="2" s="1"/>
  <c r="M2907" i="2"/>
  <c r="N2907" i="2" s="1"/>
  <c r="M1718" i="2"/>
  <c r="N1718" i="2" s="1"/>
  <c r="M2559" i="2"/>
  <c r="N2559" i="2" s="1"/>
  <c r="M2906" i="2"/>
  <c r="N2906" i="2" s="1"/>
  <c r="M1717" i="2"/>
  <c r="N1717" i="2" s="1"/>
  <c r="M494" i="2"/>
  <c r="N494" i="2" s="1"/>
  <c r="M1476" i="2"/>
  <c r="N1476" i="2" s="1"/>
  <c r="M3060" i="2"/>
  <c r="N3060" i="2" s="1"/>
  <c r="M865" i="2"/>
  <c r="N865" i="2" s="1"/>
  <c r="M1348" i="2"/>
  <c r="N1348" i="2" s="1"/>
  <c r="M864" i="2"/>
  <c r="N864" i="2" s="1"/>
  <c r="M2018" i="2"/>
  <c r="N2018" i="2" s="1"/>
  <c r="M2347" i="2"/>
  <c r="N2347" i="2" s="1"/>
  <c r="M1832" i="2"/>
  <c r="N1832" i="2" s="1"/>
  <c r="M862" i="2"/>
  <c r="N862" i="2" s="1"/>
  <c r="M1830" i="2"/>
  <c r="N1830" i="2" s="1"/>
  <c r="M2555" i="2"/>
  <c r="N2555" i="2" s="1"/>
  <c r="M1475" i="2"/>
  <c r="N1475" i="2" s="1"/>
  <c r="M2554" i="2"/>
  <c r="N2554" i="2" s="1"/>
  <c r="M860" i="2"/>
  <c r="N860" i="2" s="1"/>
  <c r="M1181" i="2"/>
  <c r="N1181" i="2" s="1"/>
  <c r="M858" i="2"/>
  <c r="N858" i="2" s="1"/>
  <c r="M171" i="2"/>
  <c r="N171" i="2" s="1"/>
  <c r="M2341" i="2"/>
  <c r="N2341" i="2" s="1"/>
  <c r="M854" i="2"/>
  <c r="N854" i="2" s="1"/>
  <c r="M2905" i="2"/>
  <c r="N2905" i="2" s="1"/>
  <c r="M2340" i="2"/>
  <c r="N2340" i="2" s="1"/>
  <c r="M492" i="2"/>
  <c r="N492" i="2" s="1"/>
  <c r="M170" i="2"/>
  <c r="N170" i="2" s="1"/>
  <c r="M3057" i="2"/>
  <c r="N3057" i="2" s="1"/>
  <c r="M852" i="2"/>
  <c r="N852" i="2" s="1"/>
  <c r="M169" i="2"/>
  <c r="N169" i="2" s="1"/>
  <c r="M2701" i="2"/>
  <c r="N2701" i="2" s="1"/>
  <c r="M2336" i="2"/>
  <c r="N2336" i="2" s="1"/>
  <c r="M1179" i="2"/>
  <c r="N1179" i="2" s="1"/>
  <c r="M1474" i="2"/>
  <c r="N1474" i="2" s="1"/>
  <c r="M2862" i="2"/>
  <c r="N2862" i="2" s="1"/>
  <c r="M847" i="2"/>
  <c r="N847" i="2" s="1"/>
  <c r="M400" i="2"/>
  <c r="N400" i="2" s="1"/>
  <c r="M1337" i="2"/>
  <c r="N1337" i="2" s="1"/>
  <c r="M842" i="2"/>
  <c r="N842" i="2" s="1"/>
  <c r="M167" i="2"/>
  <c r="N167" i="2" s="1"/>
  <c r="M2333" i="2"/>
  <c r="N2333" i="2" s="1"/>
  <c r="M1712" i="2"/>
  <c r="N1712" i="2" s="1"/>
  <c r="M315" i="2"/>
  <c r="N315" i="2" s="1"/>
  <c r="M2332" i="2"/>
  <c r="N2332" i="2" s="1"/>
  <c r="M3053" i="2"/>
  <c r="N3053" i="2" s="1"/>
  <c r="M2697" i="2"/>
  <c r="N2697" i="2" s="1"/>
  <c r="M1176" i="2"/>
  <c r="N1176" i="2" s="1"/>
  <c r="M2330" i="2"/>
  <c r="N2330" i="2" s="1"/>
  <c r="M397" i="2"/>
  <c r="N397" i="2" s="1"/>
  <c r="M839" i="2"/>
  <c r="N839" i="2" s="1"/>
  <c r="M838" i="2"/>
  <c r="N838" i="2" s="1"/>
  <c r="M161" i="2"/>
  <c r="N161" i="2" s="1"/>
  <c r="M394" i="2"/>
  <c r="N394" i="2" s="1"/>
  <c r="M2548" i="2"/>
  <c r="N2548" i="2" s="1"/>
  <c r="M1826" i="2"/>
  <c r="N1826" i="2" s="1"/>
  <c r="M2547" i="2"/>
  <c r="N2547" i="2" s="1"/>
  <c r="M2328" i="2"/>
  <c r="N2328" i="2" s="1"/>
  <c r="M835" i="2"/>
  <c r="N835" i="2" s="1"/>
  <c r="M1335" i="2"/>
  <c r="N1335" i="2" s="1"/>
  <c r="M834" i="2"/>
  <c r="N834" i="2" s="1"/>
  <c r="M1707" i="2"/>
  <c r="N1707" i="2" s="1"/>
  <c r="M1039" i="2"/>
  <c r="N1039" i="2" s="1"/>
  <c r="M391" i="2"/>
  <c r="N391" i="2" s="1"/>
  <c r="M832" i="2"/>
  <c r="N832" i="2" s="1"/>
  <c r="M156" i="2"/>
  <c r="N156" i="2" s="1"/>
  <c r="M1333" i="2"/>
  <c r="N1333" i="2" s="1"/>
  <c r="M2324" i="2"/>
  <c r="N2324" i="2" s="1"/>
  <c r="M2323" i="2"/>
  <c r="N2323" i="2" s="1"/>
  <c r="M2786" i="2"/>
  <c r="N2786" i="2" s="1"/>
  <c r="M2318" i="2"/>
  <c r="N2318" i="2" s="1"/>
  <c r="M2316" i="2"/>
  <c r="N2316" i="2" s="1"/>
  <c r="M828" i="2"/>
  <c r="N828" i="2" s="1"/>
  <c r="M1101" i="2"/>
  <c r="N1101" i="2" s="1"/>
  <c r="M826" i="2"/>
  <c r="N826" i="2" s="1"/>
  <c r="M825" i="2"/>
  <c r="N825" i="2" s="1"/>
  <c r="M2313" i="2"/>
  <c r="N2313" i="2" s="1"/>
  <c r="M2544" i="2"/>
  <c r="N2544" i="2" s="1"/>
  <c r="M538" i="2"/>
  <c r="N538" i="2" s="1"/>
  <c r="M2312" i="2"/>
  <c r="N2312" i="2" s="1"/>
  <c r="M151" i="2"/>
  <c r="N151" i="2" s="1"/>
  <c r="M3048" i="2"/>
  <c r="N3048" i="2" s="1"/>
  <c r="M3153" i="2"/>
  <c r="N3153" i="2" s="1"/>
  <c r="M1996" i="2"/>
  <c r="N1996" i="2" s="1"/>
  <c r="M149" i="2"/>
  <c r="N149" i="2" s="1"/>
  <c r="M820" i="2"/>
  <c r="N820" i="2" s="1"/>
  <c r="M1170" i="2"/>
  <c r="N1170" i="2" s="1"/>
  <c r="M1469" i="2"/>
  <c r="N1469" i="2" s="1"/>
  <c r="M1078" i="2"/>
  <c r="N1078" i="2" s="1"/>
  <c r="M2541" i="2"/>
  <c r="N2541" i="2" s="1"/>
  <c r="M147" i="2"/>
  <c r="N147" i="2" s="1"/>
  <c r="M1697" i="2"/>
  <c r="N1697" i="2" s="1"/>
  <c r="M997" i="2"/>
  <c r="N997" i="2" s="1"/>
  <c r="M2310" i="2"/>
  <c r="N2310" i="2" s="1"/>
  <c r="M537" i="2"/>
  <c r="N537" i="2" s="1"/>
  <c r="M817" i="2"/>
  <c r="N817" i="2" s="1"/>
  <c r="M1994" i="2"/>
  <c r="N1994" i="2" s="1"/>
  <c r="M1993" i="2"/>
  <c r="N1993" i="2" s="1"/>
  <c r="M815" i="2"/>
  <c r="N815" i="2" s="1"/>
  <c r="M479" i="2"/>
  <c r="N479" i="2" s="1"/>
  <c r="M2539" i="2"/>
  <c r="N2539" i="2" s="1"/>
  <c r="M1467" i="2"/>
  <c r="N1467" i="2" s="1"/>
  <c r="M1694" i="2"/>
  <c r="N1694" i="2" s="1"/>
  <c r="M3044" i="2"/>
  <c r="N3044" i="2" s="1"/>
  <c r="M1693" i="2"/>
  <c r="N1693" i="2" s="1"/>
  <c r="M478" i="2"/>
  <c r="N478" i="2" s="1"/>
  <c r="M1692" i="2"/>
  <c r="N1692" i="2" s="1"/>
  <c r="M3042" i="2"/>
  <c r="N3042" i="2" s="1"/>
  <c r="M143" i="2"/>
  <c r="N143" i="2" s="1"/>
  <c r="M804" i="2"/>
  <c r="N804" i="2" s="1"/>
  <c r="M2301" i="2"/>
  <c r="N2301" i="2" s="1"/>
  <c r="M2688" i="2"/>
  <c r="N2688" i="2" s="1"/>
  <c r="M2687" i="2"/>
  <c r="N2687" i="2" s="1"/>
  <c r="M2783" i="2"/>
  <c r="N2783" i="2" s="1"/>
  <c r="M1320" i="2"/>
  <c r="N1320" i="2" s="1"/>
  <c r="M801" i="2"/>
  <c r="N801" i="2" s="1"/>
  <c r="M3039" i="2"/>
  <c r="N3039" i="2" s="1"/>
  <c r="M1315" i="2"/>
  <c r="N1315" i="2" s="1"/>
  <c r="M799" i="2"/>
  <c r="N799" i="2" s="1"/>
  <c r="M2298" i="2"/>
  <c r="N2298" i="2" s="1"/>
  <c r="M795" i="2"/>
  <c r="N795" i="2" s="1"/>
  <c r="M1820" i="2"/>
  <c r="N1820" i="2" s="1"/>
  <c r="M1168" i="2"/>
  <c r="N1168" i="2" s="1"/>
  <c r="M2686" i="2"/>
  <c r="N2686" i="2" s="1"/>
  <c r="M1685" i="2"/>
  <c r="N1685" i="2" s="1"/>
  <c r="M793" i="2"/>
  <c r="N793" i="2" s="1"/>
  <c r="M3117" i="2"/>
  <c r="N3117" i="2" s="1"/>
  <c r="M3033" i="2"/>
  <c r="N3033" i="2" s="1"/>
  <c r="M790" i="2"/>
  <c r="N790" i="2" s="1"/>
  <c r="M788" i="2"/>
  <c r="N788" i="2" s="1"/>
  <c r="M536" i="2"/>
  <c r="N536" i="2" s="1"/>
  <c r="M1983" i="2"/>
  <c r="N1983" i="2" s="1"/>
  <c r="M2084" i="2"/>
  <c r="N2084" i="2" s="1"/>
  <c r="M1981" i="2"/>
  <c r="N1981" i="2" s="1"/>
  <c r="M783" i="2"/>
  <c r="N783" i="2" s="1"/>
  <c r="M781" i="2"/>
  <c r="N781" i="2" s="1"/>
  <c r="M780" i="2"/>
  <c r="N780" i="2" s="1"/>
  <c r="M1077" i="2"/>
  <c r="N1077" i="2" s="1"/>
  <c r="M1680" i="2"/>
  <c r="N1680" i="2" s="1"/>
  <c r="M2681" i="2"/>
  <c r="N2681" i="2" s="1"/>
  <c r="M1679" i="2"/>
  <c r="N1679" i="2" s="1"/>
  <c r="M1977" i="2"/>
  <c r="N1977" i="2" s="1"/>
  <c r="M1678" i="2"/>
  <c r="N1678" i="2" s="1"/>
  <c r="M1165" i="2"/>
  <c r="N1165" i="2" s="1"/>
  <c r="M778" i="2"/>
  <c r="N778" i="2" s="1"/>
  <c r="M776" i="2"/>
  <c r="N776" i="2" s="1"/>
  <c r="M775" i="2"/>
  <c r="N775" i="2" s="1"/>
  <c r="M1975" i="2"/>
  <c r="N1975" i="2" s="1"/>
  <c r="M1462" i="2"/>
  <c r="N1462" i="2" s="1"/>
  <c r="M2531" i="2"/>
  <c r="N2531" i="2" s="1"/>
  <c r="M1676" i="2"/>
  <c r="N1676" i="2" s="1"/>
  <c r="M772" i="2"/>
  <c r="N772" i="2" s="1"/>
  <c r="M1308" i="2"/>
  <c r="N1308" i="2" s="1"/>
  <c r="M2530" i="2"/>
  <c r="N2530" i="2" s="1"/>
  <c r="M2287" i="2"/>
  <c r="N2287" i="2" s="1"/>
  <c r="M769" i="2"/>
  <c r="N769" i="2" s="1"/>
  <c r="M133" i="2"/>
  <c r="N133" i="2" s="1"/>
  <c r="M3026" i="2"/>
  <c r="N3026" i="2" s="1"/>
  <c r="M765" i="2"/>
  <c r="N765" i="2" s="1"/>
  <c r="M2284" i="2"/>
  <c r="N2284" i="2" s="1"/>
  <c r="M1969" i="2"/>
  <c r="N1969" i="2" s="1"/>
  <c r="M1968" i="2"/>
  <c r="N1968" i="2" s="1"/>
  <c r="M2282" i="2"/>
  <c r="N2282" i="2" s="1"/>
  <c r="M1307" i="2"/>
  <c r="N1307" i="2" s="1"/>
  <c r="M764" i="2"/>
  <c r="N764" i="2" s="1"/>
  <c r="M1163" i="2"/>
  <c r="N1163" i="2" s="1"/>
  <c r="M761" i="2"/>
  <c r="N761" i="2" s="1"/>
  <c r="M1667" i="2"/>
  <c r="N1667" i="2" s="1"/>
  <c r="M759" i="2"/>
  <c r="N759" i="2" s="1"/>
  <c r="M3022" i="2"/>
  <c r="N3022" i="2" s="1"/>
  <c r="M757" i="2"/>
  <c r="N757" i="2" s="1"/>
  <c r="M3019" i="2"/>
  <c r="N3019" i="2" s="1"/>
  <c r="M535" i="2"/>
  <c r="N535" i="2" s="1"/>
  <c r="M475" i="2"/>
  <c r="N475" i="2" s="1"/>
  <c r="M1459" i="2"/>
  <c r="N1459" i="2" s="1"/>
  <c r="M1666" i="2"/>
  <c r="N1666" i="2" s="1"/>
  <c r="M756" i="2"/>
  <c r="N756" i="2" s="1"/>
  <c r="M3018" i="2"/>
  <c r="N3018" i="2" s="1"/>
  <c r="M1036" i="2"/>
  <c r="N1036" i="2" s="1"/>
  <c r="M2525" i="2"/>
  <c r="N2525" i="2" s="1"/>
  <c r="M753" i="2"/>
  <c r="N753" i="2" s="1"/>
  <c r="M3017" i="2"/>
  <c r="N3017" i="2" s="1"/>
  <c r="M2274" i="2"/>
  <c r="N2274" i="2" s="1"/>
  <c r="M1963" i="2"/>
  <c r="N1963" i="2" s="1"/>
  <c r="M1035" i="2"/>
  <c r="N1035" i="2" s="1"/>
  <c r="M2848" i="2"/>
  <c r="N2848" i="2" s="1"/>
  <c r="M1962" i="2"/>
  <c r="N1962" i="2" s="1"/>
  <c r="M3012" i="2"/>
  <c r="N3012" i="2" s="1"/>
  <c r="M2272" i="2"/>
  <c r="N2272" i="2" s="1"/>
  <c r="M121" i="2"/>
  <c r="N121" i="2" s="1"/>
  <c r="M120" i="2"/>
  <c r="N120" i="2" s="1"/>
  <c r="M1660" i="2"/>
  <c r="N1660" i="2" s="1"/>
  <c r="M119" i="2"/>
  <c r="N119" i="2" s="1"/>
  <c r="M473" i="2"/>
  <c r="N473" i="2" s="1"/>
  <c r="M746" i="2"/>
  <c r="N746" i="2" s="1"/>
  <c r="M1658" i="2"/>
  <c r="N1658" i="2" s="1"/>
  <c r="M1815" i="2"/>
  <c r="N1815" i="2" s="1"/>
  <c r="M1034" i="2"/>
  <c r="N1034" i="2" s="1"/>
  <c r="M2264" i="2"/>
  <c r="N2264" i="2" s="1"/>
  <c r="M743" i="2"/>
  <c r="N743" i="2" s="1"/>
  <c r="M3009" i="2"/>
  <c r="N3009" i="2" s="1"/>
  <c r="M117" i="2"/>
  <c r="N117" i="2" s="1"/>
  <c r="M2262" i="2"/>
  <c r="N2262" i="2" s="1"/>
  <c r="M116" i="2"/>
  <c r="N116" i="2" s="1"/>
  <c r="M2261" i="2"/>
  <c r="N2261" i="2" s="1"/>
  <c r="M740" i="2"/>
  <c r="N740" i="2" s="1"/>
  <c r="M1033" i="2"/>
  <c r="N1033" i="2" s="1"/>
  <c r="M3008" i="2"/>
  <c r="N3008" i="2" s="1"/>
  <c r="M533" i="2"/>
  <c r="N533" i="2" s="1"/>
  <c r="M306" i="2"/>
  <c r="N306" i="2" s="1"/>
  <c r="M2258" i="2"/>
  <c r="N2258" i="2" s="1"/>
  <c r="M1158" i="2"/>
  <c r="N1158" i="2" s="1"/>
  <c r="M3006" i="2"/>
  <c r="N3006" i="2" s="1"/>
  <c r="M2846" i="2"/>
  <c r="N2846" i="2" s="1"/>
  <c r="M2520" i="2"/>
  <c r="N2520" i="2" s="1"/>
  <c r="M2256" i="2"/>
  <c r="N2256" i="2" s="1"/>
  <c r="M2669" i="2"/>
  <c r="N2669" i="2" s="1"/>
  <c r="M1524" i="2"/>
  <c r="N1524" i="2" s="1"/>
  <c r="M1811" i="2"/>
  <c r="N1811" i="2" s="1"/>
  <c r="M2255" i="2"/>
  <c r="N2255" i="2" s="1"/>
  <c r="M2668" i="2"/>
  <c r="N2668" i="2" s="1"/>
  <c r="M1451" i="2"/>
  <c r="N1451" i="2" s="1"/>
  <c r="M735" i="2"/>
  <c r="N735" i="2" s="1"/>
  <c r="M2667" i="2"/>
  <c r="N2667" i="2" s="1"/>
  <c r="M1649" i="2"/>
  <c r="N1649" i="2" s="1"/>
  <c r="M468" i="2"/>
  <c r="N468" i="2" s="1"/>
  <c r="M2253" i="2"/>
  <c r="N2253" i="2" s="1"/>
  <c r="M1297" i="2"/>
  <c r="N1297" i="2" s="1"/>
  <c r="M3158" i="2"/>
  <c r="N3158" i="2" s="1"/>
  <c r="M2251" i="2"/>
  <c r="N2251" i="2" s="1"/>
  <c r="M1950" i="2"/>
  <c r="N1950" i="2" s="1"/>
  <c r="M729" i="2"/>
  <c r="N729" i="2" s="1"/>
  <c r="M466" i="2"/>
  <c r="N466" i="2" s="1"/>
  <c r="M1645" i="2"/>
  <c r="N1645" i="2" s="1"/>
  <c r="M728" i="2"/>
  <c r="N728" i="2" s="1"/>
  <c r="M2516" i="2"/>
  <c r="N2516" i="2" s="1"/>
  <c r="M2843" i="2"/>
  <c r="N2843" i="2" s="1"/>
  <c r="M725" i="2"/>
  <c r="N725" i="2" s="1"/>
  <c r="M2249" i="2"/>
  <c r="N2249" i="2" s="1"/>
  <c r="M2248" i="2"/>
  <c r="N2248" i="2" s="1"/>
  <c r="M2080" i="2"/>
  <c r="N2080" i="2" s="1"/>
  <c r="M2999" i="2"/>
  <c r="N2999" i="2" s="1"/>
  <c r="M1448" i="2"/>
  <c r="N1448" i="2" s="1"/>
  <c r="M1092" i="2"/>
  <c r="N1092" i="2" s="1"/>
  <c r="M724" i="2"/>
  <c r="N724" i="2" s="1"/>
  <c r="M2245" i="2"/>
  <c r="N2245" i="2" s="1"/>
  <c r="M1155" i="2"/>
  <c r="N1155" i="2" s="1"/>
  <c r="M722" i="2"/>
  <c r="N722" i="2" s="1"/>
  <c r="M376" i="2"/>
  <c r="N376" i="2" s="1"/>
  <c r="M1639" i="2"/>
  <c r="N1639" i="2" s="1"/>
  <c r="M2242" i="2"/>
  <c r="N2242" i="2" s="1"/>
  <c r="M2665" i="2"/>
  <c r="N2665" i="2" s="1"/>
  <c r="M721" i="2"/>
  <c r="N721" i="2" s="1"/>
  <c r="M1029" i="2"/>
  <c r="N1029" i="2" s="1"/>
  <c r="M1027" i="2"/>
  <c r="N1027" i="2" s="1"/>
  <c r="M2664" i="2"/>
  <c r="N2664" i="2" s="1"/>
  <c r="M718" i="2"/>
  <c r="N718" i="2" s="1"/>
  <c r="M717" i="2"/>
  <c r="N717" i="2" s="1"/>
  <c r="M1151" i="2"/>
  <c r="N1151" i="2" s="1"/>
  <c r="M104" i="2"/>
  <c r="N104" i="2" s="1"/>
  <c r="M2507" i="2"/>
  <c r="N2507" i="2" s="1"/>
  <c r="M1150" i="2"/>
  <c r="N1150" i="2" s="1"/>
  <c r="M1942" i="2"/>
  <c r="N1942" i="2" s="1"/>
  <c r="M373" i="2"/>
  <c r="N373" i="2" s="1"/>
  <c r="M1806" i="2"/>
  <c r="N1806" i="2" s="1"/>
  <c r="M1941" i="2"/>
  <c r="N1941" i="2" s="1"/>
  <c r="M2504" i="2"/>
  <c r="N2504" i="2" s="1"/>
  <c r="M2659" i="2"/>
  <c r="N2659" i="2" s="1"/>
  <c r="M100" i="2"/>
  <c r="N100" i="2" s="1"/>
  <c r="M711" i="2"/>
  <c r="N711" i="2" s="1"/>
  <c r="M462" i="2"/>
  <c r="N462" i="2" s="1"/>
  <c r="M709" i="2"/>
  <c r="N709" i="2" s="1"/>
  <c r="M708" i="2"/>
  <c r="N708" i="2" s="1"/>
  <c r="M1284" i="2"/>
  <c r="N1284" i="2" s="1"/>
  <c r="M1521" i="2"/>
  <c r="N1521" i="2" s="1"/>
  <c r="M1148" i="2"/>
  <c r="N1148" i="2" s="1"/>
  <c r="M1938" i="2"/>
  <c r="N1938" i="2" s="1"/>
  <c r="M460" i="2"/>
  <c r="N460" i="2" s="1"/>
  <c r="M1282" i="2"/>
  <c r="N1282" i="2" s="1"/>
  <c r="M372" i="2"/>
  <c r="N372" i="2" s="1"/>
  <c r="M1444" i="2"/>
  <c r="N1444" i="2" s="1"/>
  <c r="M2656" i="2"/>
  <c r="N2656" i="2" s="1"/>
  <c r="M459" i="2"/>
  <c r="N459" i="2" s="1"/>
  <c r="M1280" i="2"/>
  <c r="N1280" i="2" s="1"/>
  <c r="M2229" i="2"/>
  <c r="N2229" i="2" s="1"/>
  <c r="M457" i="2"/>
  <c r="N457" i="2" s="1"/>
  <c r="M97" i="2"/>
  <c r="N97" i="2" s="1"/>
  <c r="M3169" i="2"/>
  <c r="N3169" i="2" s="1"/>
  <c r="M456" i="2"/>
  <c r="N456" i="2" s="1"/>
  <c r="M696" i="2"/>
  <c r="N696" i="2" s="1"/>
  <c r="M2225" i="2"/>
  <c r="N2225" i="2" s="1"/>
  <c r="M2837" i="2"/>
  <c r="N2837" i="2" s="1"/>
  <c r="M1934" i="2"/>
  <c r="N1934" i="2" s="1"/>
  <c r="M2987" i="2"/>
  <c r="N2987" i="2" s="1"/>
  <c r="M2223" i="2"/>
  <c r="N2223" i="2" s="1"/>
  <c r="M2500" i="2"/>
  <c r="N2500" i="2" s="1"/>
  <c r="M2986" i="2"/>
  <c r="N2986" i="2" s="1"/>
  <c r="M2220" i="2"/>
  <c r="N2220" i="2" s="1"/>
  <c r="M1275" i="2"/>
  <c r="N1275" i="2" s="1"/>
  <c r="M454" i="2"/>
  <c r="N454" i="2" s="1"/>
  <c r="M1274" i="2"/>
  <c r="N1274" i="2" s="1"/>
  <c r="M1090" i="2"/>
  <c r="N1090" i="2" s="1"/>
  <c r="M92" i="2"/>
  <c r="N92" i="2" s="1"/>
  <c r="M692" i="2"/>
  <c r="N692" i="2" s="1"/>
  <c r="M2649" i="2"/>
  <c r="N2649" i="2" s="1"/>
  <c r="M1520" i="2"/>
  <c r="N1520" i="2" s="1"/>
  <c r="M2497" i="2"/>
  <c r="N2497" i="2" s="1"/>
  <c r="M90" i="2"/>
  <c r="N90" i="2" s="1"/>
  <c r="M1929" i="2"/>
  <c r="N1929" i="2" s="1"/>
  <c r="M1441" i="2"/>
  <c r="N1441" i="2" s="1"/>
  <c r="M1440" i="2"/>
  <c r="N1440" i="2" s="1"/>
  <c r="M2980" i="2"/>
  <c r="N2980" i="2" s="1"/>
  <c r="M1271" i="2"/>
  <c r="N1271" i="2" s="1"/>
  <c r="M1438" i="2"/>
  <c r="N1438" i="2" s="1"/>
  <c r="M2217" i="2"/>
  <c r="N2217" i="2" s="1"/>
  <c r="M1269" i="2"/>
  <c r="N1269" i="2" s="1"/>
  <c r="M2648" i="2"/>
  <c r="N2648" i="2" s="1"/>
  <c r="M1627" i="2"/>
  <c r="N1627" i="2" s="1"/>
  <c r="M1436" i="2"/>
  <c r="N1436" i="2" s="1"/>
  <c r="M2978" i="2"/>
  <c r="N2978" i="2" s="1"/>
  <c r="M2977" i="2"/>
  <c r="N2977" i="2" s="1"/>
  <c r="M1626" i="2"/>
  <c r="N1626" i="2" s="1"/>
  <c r="M2493" i="2"/>
  <c r="N2493" i="2" s="1"/>
  <c r="M681" i="2"/>
  <c r="N681" i="2" s="1"/>
  <c r="M2645" i="2"/>
  <c r="N2645" i="2" s="1"/>
  <c r="M294" i="2"/>
  <c r="N294" i="2" s="1"/>
  <c r="M677" i="2"/>
  <c r="N677" i="2" s="1"/>
  <c r="M2830" i="2"/>
  <c r="N2830" i="2" s="1"/>
  <c r="M2974" i="2"/>
  <c r="N2974" i="2" s="1"/>
  <c r="M2973" i="2"/>
  <c r="N2973" i="2" s="1"/>
  <c r="M1925" i="2"/>
  <c r="N1925" i="2" s="1"/>
  <c r="M1434" i="2"/>
  <c r="N1434" i="2" s="1"/>
  <c r="M1923" i="2"/>
  <c r="N1923" i="2" s="1"/>
  <c r="M81" i="2"/>
  <c r="N81" i="2" s="1"/>
  <c r="M2829" i="2"/>
  <c r="N2829" i="2" s="1"/>
  <c r="M2488" i="2"/>
  <c r="N2488" i="2" s="1"/>
  <c r="M2972" i="2"/>
  <c r="N2972" i="2" s="1"/>
  <c r="M291" i="2"/>
  <c r="N291" i="2" s="1"/>
  <c r="M2487" i="2"/>
  <c r="N2487" i="2" s="1"/>
  <c r="M675" i="2"/>
  <c r="N675" i="2" s="1"/>
  <c r="M2971" i="2"/>
  <c r="N2971" i="2" s="1"/>
  <c r="M1804" i="2"/>
  <c r="N1804" i="2" s="1"/>
  <c r="M1921" i="2"/>
  <c r="N1921" i="2" s="1"/>
  <c r="M1141" i="2"/>
  <c r="N1141" i="2" s="1"/>
  <c r="M1140" i="2"/>
  <c r="N1140" i="2" s="1"/>
  <c r="M2486" i="2"/>
  <c r="N2486" i="2" s="1"/>
  <c r="M2205" i="2"/>
  <c r="N2205" i="2" s="1"/>
  <c r="M1139" i="2"/>
  <c r="N1139" i="2" s="1"/>
  <c r="M670" i="2"/>
  <c r="N670" i="2" s="1"/>
  <c r="M1258" i="2"/>
  <c r="N1258" i="2" s="1"/>
  <c r="M668" i="2"/>
  <c r="N668" i="2" s="1"/>
  <c r="M2484" i="2"/>
  <c r="N2484" i="2" s="1"/>
  <c r="M1138" i="2"/>
  <c r="N1138" i="2" s="1"/>
  <c r="M74" i="2"/>
  <c r="N74" i="2" s="1"/>
  <c r="M1255" i="2"/>
  <c r="N1255" i="2" s="1"/>
  <c r="M1616" i="2"/>
  <c r="N1616" i="2" s="1"/>
  <c r="M1019" i="2"/>
  <c r="N1019" i="2" s="1"/>
  <c r="M2641" i="2"/>
  <c r="N2641" i="2" s="1"/>
  <c r="M2203" i="2"/>
  <c r="N2203" i="2" s="1"/>
  <c r="M1018" i="2"/>
  <c r="N1018" i="2" s="1"/>
  <c r="M1253" i="2"/>
  <c r="N1253" i="2" s="1"/>
  <c r="M2966" i="2"/>
  <c r="N2966" i="2" s="1"/>
  <c r="M2077" i="2"/>
  <c r="N2077" i="2" s="1"/>
  <c r="M2201" i="2"/>
  <c r="N2201" i="2" s="1"/>
  <c r="M1136" i="2"/>
  <c r="N1136" i="2" s="1"/>
  <c r="M659" i="2"/>
  <c r="N659" i="2" s="1"/>
  <c r="M71" i="2"/>
  <c r="N71" i="2" s="1"/>
  <c r="M2481" i="2"/>
  <c r="N2481" i="2" s="1"/>
  <c r="M2198" i="2"/>
  <c r="N2198" i="2" s="1"/>
  <c r="M658" i="2"/>
  <c r="N658" i="2" s="1"/>
  <c r="M2769" i="2"/>
  <c r="N2769" i="2" s="1"/>
  <c r="M2194" i="2"/>
  <c r="N2194" i="2" s="1"/>
  <c r="M1109" i="2"/>
  <c r="N1109" i="2" s="1"/>
  <c r="M364" i="2"/>
  <c r="N364" i="2" s="1"/>
  <c r="M1252" i="2"/>
  <c r="N1252" i="2" s="1"/>
  <c r="M1908" i="2"/>
  <c r="N1908" i="2" s="1"/>
  <c r="M2637" i="2"/>
  <c r="N2637" i="2" s="1"/>
  <c r="M1089" i="2"/>
  <c r="N1089" i="2" s="1"/>
  <c r="M1803" i="2"/>
  <c r="N1803" i="2" s="1"/>
  <c r="M2190" i="2"/>
  <c r="N2190" i="2" s="1"/>
  <c r="M2478" i="2"/>
  <c r="N2478" i="2" s="1"/>
  <c r="M2477" i="2"/>
  <c r="N2477" i="2" s="1"/>
  <c r="M2476" i="2"/>
  <c r="N2476" i="2" s="1"/>
  <c r="M1088" i="2"/>
  <c r="N1088" i="2" s="1"/>
  <c r="M362" i="2"/>
  <c r="N362" i="2" s="1"/>
  <c r="M2635" i="2"/>
  <c r="N2635" i="2" s="1"/>
  <c r="M1000" i="2"/>
  <c r="N1000" i="2" s="1"/>
  <c r="M2823" i="2"/>
  <c r="N2823" i="2" s="1"/>
  <c r="M1606" i="2"/>
  <c r="N1606" i="2" s="1"/>
  <c r="M287" i="2"/>
  <c r="N287" i="2" s="1"/>
  <c r="M2470" i="2"/>
  <c r="N2470" i="2" s="1"/>
  <c r="M1134" i="2"/>
  <c r="N1134" i="2" s="1"/>
  <c r="M2184" i="2"/>
  <c r="N2184" i="2" s="1"/>
  <c r="M651" i="2"/>
  <c r="N651" i="2" s="1"/>
  <c r="M1605" i="2"/>
  <c r="N1605" i="2" s="1"/>
  <c r="M359" i="2"/>
  <c r="N359" i="2" s="1"/>
  <c r="M2076" i="2"/>
  <c r="N2076" i="2" s="1"/>
  <c r="M2180" i="2"/>
  <c r="N2180" i="2" s="1"/>
  <c r="M2957" i="2"/>
  <c r="N2957" i="2" s="1"/>
  <c r="M1422" i="2"/>
  <c r="N1422" i="2" s="1"/>
  <c r="M357" i="2"/>
  <c r="N357" i="2" s="1"/>
  <c r="M643" i="2"/>
  <c r="N643" i="2" s="1"/>
  <c r="M2176" i="2"/>
  <c r="N2176" i="2" s="1"/>
  <c r="M1603" i="2"/>
  <c r="N1603" i="2" s="1"/>
  <c r="M1602" i="2"/>
  <c r="N1602" i="2" s="1"/>
  <c r="M2173" i="2"/>
  <c r="N2173" i="2" s="1"/>
  <c r="M1901" i="2"/>
  <c r="N1901" i="2" s="1"/>
  <c r="M450" i="2"/>
  <c r="N450" i="2" s="1"/>
  <c r="M1075" i="2"/>
  <c r="N1075" i="2" s="1"/>
  <c r="M449" i="2"/>
  <c r="N449" i="2" s="1"/>
  <c r="M1899" i="2"/>
  <c r="N1899" i="2" s="1"/>
  <c r="M2820" i="2"/>
  <c r="N2820" i="2" s="1"/>
  <c r="M1419" i="2"/>
  <c r="N1419" i="2" s="1"/>
  <c r="M2170" i="2"/>
  <c r="N2170" i="2" s="1"/>
  <c r="M2951" i="2"/>
  <c r="N2951" i="2" s="1"/>
  <c r="M2466" i="2"/>
  <c r="N2466" i="2" s="1"/>
  <c r="M1243" i="2"/>
  <c r="N1243" i="2" s="1"/>
  <c r="M1597" i="2"/>
  <c r="N1597" i="2" s="1"/>
  <c r="M2166" i="2"/>
  <c r="N2166" i="2" s="1"/>
  <c r="M1596" i="2"/>
  <c r="N1596" i="2" s="1"/>
  <c r="M1595" i="2"/>
  <c r="N1595" i="2" s="1"/>
  <c r="M2631" i="2"/>
  <c r="N2631" i="2" s="1"/>
  <c r="M633" i="2"/>
  <c r="N633" i="2" s="1"/>
  <c r="M2630" i="2"/>
  <c r="N2630" i="2" s="1"/>
  <c r="M1895" i="2"/>
  <c r="N1895" i="2" s="1"/>
  <c r="M2818" i="2"/>
  <c r="N2818" i="2" s="1"/>
  <c r="M1894" i="2"/>
  <c r="N1894" i="2" s="1"/>
  <c r="M51" i="2"/>
  <c r="N51" i="2" s="1"/>
  <c r="M2764" i="2"/>
  <c r="N2764" i="2" s="1"/>
  <c r="M1015" i="2"/>
  <c r="N1015" i="2" s="1"/>
  <c r="M1889" i="2"/>
  <c r="N1889" i="2" s="1"/>
  <c r="M1888" i="2"/>
  <c r="N1888" i="2" s="1"/>
  <c r="M49" i="2"/>
  <c r="N49" i="2" s="1"/>
  <c r="M630" i="2"/>
  <c r="N630" i="2" s="1"/>
  <c r="M1418" i="2"/>
  <c r="N1418" i="2" s="1"/>
  <c r="M628" i="2"/>
  <c r="N628" i="2" s="1"/>
  <c r="M2464" i="2"/>
  <c r="N2464" i="2" s="1"/>
  <c r="M1799" i="2"/>
  <c r="N1799" i="2" s="1"/>
  <c r="M624" i="2"/>
  <c r="N624" i="2" s="1"/>
  <c r="M3157" i="2"/>
  <c r="N3157" i="2" s="1"/>
  <c r="M2463" i="2"/>
  <c r="N2463" i="2" s="1"/>
  <c r="M1237" i="2"/>
  <c r="N1237" i="2" s="1"/>
  <c r="M46" i="2"/>
  <c r="N46" i="2" s="1"/>
  <c r="M621" i="2"/>
  <c r="N621" i="2" s="1"/>
  <c r="M2159" i="2"/>
  <c r="N2159" i="2" s="1"/>
  <c r="M1129" i="2"/>
  <c r="N1129" i="2" s="1"/>
  <c r="M2815" i="2"/>
  <c r="N2815" i="2" s="1"/>
  <c r="M1086" i="2"/>
  <c r="N1086" i="2" s="1"/>
  <c r="M2460" i="2"/>
  <c r="N2460" i="2" s="1"/>
  <c r="M1085" i="2"/>
  <c r="N1085" i="2" s="1"/>
  <c r="M1882" i="2"/>
  <c r="N1882" i="2" s="1"/>
  <c r="M2623" i="2"/>
  <c r="N2623" i="2" s="1"/>
  <c r="M1586" i="2"/>
  <c r="N1586" i="2" s="1"/>
  <c r="M616" i="2"/>
  <c r="N616" i="2" s="1"/>
  <c r="M2944" i="2"/>
  <c r="N2944" i="2" s="1"/>
  <c r="M1585" i="2"/>
  <c r="N1585" i="2" s="1"/>
  <c r="M2154" i="2"/>
  <c r="N2154" i="2" s="1"/>
  <c r="M1584" i="2"/>
  <c r="N1584" i="2" s="1"/>
  <c r="M41" i="2"/>
  <c r="N41" i="2" s="1"/>
  <c r="M1793" i="2"/>
  <c r="N1793" i="2" s="1"/>
  <c r="M284" i="2"/>
  <c r="N284" i="2" s="1"/>
  <c r="M1415" i="2"/>
  <c r="N1415" i="2" s="1"/>
  <c r="M2153" i="2"/>
  <c r="N2153" i="2" s="1"/>
  <c r="M2152" i="2"/>
  <c r="N2152" i="2" s="1"/>
  <c r="M1579" i="2"/>
  <c r="N1579" i="2" s="1"/>
  <c r="M1014" i="2"/>
  <c r="N1014" i="2" s="1"/>
  <c r="M442" i="2"/>
  <c r="N442" i="2" s="1"/>
  <c r="M38" i="2"/>
  <c r="N38" i="2" s="1"/>
  <c r="M2941" i="2"/>
  <c r="N2941" i="2" s="1"/>
  <c r="M1575" i="2"/>
  <c r="N1575" i="2" s="1"/>
  <c r="M611" i="2"/>
  <c r="N611" i="2" s="1"/>
  <c r="M2812" i="2"/>
  <c r="N2812" i="2" s="1"/>
  <c r="M609" i="2"/>
  <c r="N609" i="2" s="1"/>
  <c r="M608" i="2"/>
  <c r="N608" i="2" s="1"/>
  <c r="M36" i="2"/>
  <c r="N36" i="2" s="1"/>
  <c r="M1233" i="2"/>
  <c r="N1233" i="2" s="1"/>
  <c r="M1232" i="2"/>
  <c r="N1232" i="2" s="1"/>
  <c r="M2616" i="2"/>
  <c r="N2616" i="2" s="1"/>
  <c r="M605" i="2"/>
  <c r="N605" i="2" s="1"/>
  <c r="M1876" i="2"/>
  <c r="N1876" i="2" s="1"/>
  <c r="M2615" i="2"/>
  <c r="N2615" i="2" s="1"/>
  <c r="M2140" i="2"/>
  <c r="N2140" i="2" s="1"/>
  <c r="M1572" i="2"/>
  <c r="N1572" i="2" s="1"/>
  <c r="M1874" i="2"/>
  <c r="N1874" i="2" s="1"/>
  <c r="M440" i="2"/>
  <c r="N440" i="2" s="1"/>
  <c r="M1570" i="2"/>
  <c r="N1570" i="2" s="1"/>
  <c r="M2139" i="2"/>
  <c r="N2139" i="2" s="1"/>
  <c r="M1072" i="2"/>
  <c r="N1072" i="2" s="1"/>
  <c r="M2938" i="2"/>
  <c r="N2938" i="2" s="1"/>
  <c r="M32" i="2"/>
  <c r="N32" i="2" s="1"/>
  <c r="M2937" i="2"/>
  <c r="N2937" i="2" s="1"/>
  <c r="M1872" i="2"/>
  <c r="N1872" i="2" s="1"/>
  <c r="M597" i="2"/>
  <c r="N597" i="2" s="1"/>
  <c r="M2134" i="2"/>
  <c r="N2134" i="2" s="1"/>
  <c r="M1567" i="2"/>
  <c r="N1567" i="2" s="1"/>
  <c r="M2133" i="2"/>
  <c r="N2133" i="2" s="1"/>
  <c r="M2132" i="2"/>
  <c r="N2132" i="2" s="1"/>
  <c r="M596" i="2"/>
  <c r="N596" i="2" s="1"/>
  <c r="M2449" i="2"/>
  <c r="N2449" i="2" s="1"/>
  <c r="M2129" i="2"/>
  <c r="N2129" i="2" s="1"/>
  <c r="M2127" i="2"/>
  <c r="N2127" i="2" s="1"/>
  <c r="M2610" i="2"/>
  <c r="N2610" i="2" s="1"/>
  <c r="M1011" i="2"/>
  <c r="N1011" i="2" s="1"/>
  <c r="M1790" i="2"/>
  <c r="N1790" i="2" s="1"/>
  <c r="M2124" i="2"/>
  <c r="N2124" i="2" s="1"/>
  <c r="M590" i="2"/>
  <c r="N590" i="2" s="1"/>
  <c r="M2760" i="2"/>
  <c r="N2760" i="2" s="1"/>
  <c r="M1010" i="2"/>
  <c r="N1010" i="2" s="1"/>
  <c r="M1868" i="2"/>
  <c r="N1868" i="2" s="1"/>
  <c r="M1225" i="2"/>
  <c r="N1225" i="2" s="1"/>
  <c r="M2119" i="2"/>
  <c r="N2119" i="2" s="1"/>
  <c r="M1126" i="2"/>
  <c r="N1126" i="2" s="1"/>
  <c r="M2446" i="2"/>
  <c r="N2446" i="2" s="1"/>
  <c r="M2759" i="2"/>
  <c r="N2759" i="2" s="1"/>
  <c r="M2116" i="2"/>
  <c r="N2116" i="2" s="1"/>
  <c r="M2607" i="2"/>
  <c r="N2607" i="2" s="1"/>
  <c r="M1224" i="2"/>
  <c r="N1224" i="2" s="1"/>
  <c r="M1223" i="2"/>
  <c r="N1223" i="2" s="1"/>
  <c r="M1789" i="2"/>
  <c r="N1789" i="2" s="1"/>
  <c r="M2927" i="2"/>
  <c r="N2927" i="2" s="1"/>
  <c r="M280" i="2"/>
  <c r="N280" i="2" s="1"/>
  <c r="M1788" i="2"/>
  <c r="N1788" i="2" s="1"/>
  <c r="M436" i="2"/>
  <c r="N436" i="2" s="1"/>
  <c r="M1406" i="2"/>
  <c r="N1406" i="2" s="1"/>
  <c r="M348" i="2"/>
  <c r="N348" i="2" s="1"/>
  <c r="M1122" i="2"/>
  <c r="N1122" i="2" s="1"/>
  <c r="M2808" i="2"/>
  <c r="N2808" i="2" s="1"/>
  <c r="M2443" i="2"/>
  <c r="N2443" i="2" s="1"/>
  <c r="M583" i="2"/>
  <c r="N583" i="2" s="1"/>
  <c r="M2806" i="2"/>
  <c r="N2806" i="2" s="1"/>
  <c r="M580" i="2"/>
  <c r="N580" i="2" s="1"/>
  <c r="M1550" i="2"/>
  <c r="N1550" i="2" s="1"/>
  <c r="M579" i="2"/>
  <c r="N579" i="2" s="1"/>
  <c r="M2925" i="2"/>
  <c r="N2925" i="2" s="1"/>
  <c r="M2897" i="2"/>
  <c r="N2897" i="2" s="1"/>
  <c r="M2441" i="2"/>
  <c r="N2441" i="2" s="1"/>
  <c r="M435" i="2"/>
  <c r="N435" i="2" s="1"/>
  <c r="M2440" i="2"/>
  <c r="N2440" i="2" s="1"/>
  <c r="M1007" i="2"/>
  <c r="N1007" i="2" s="1"/>
  <c r="M345" i="2"/>
  <c r="N345" i="2" s="1"/>
  <c r="M21" i="2"/>
  <c r="N21" i="2" s="1"/>
  <c r="M20" i="2"/>
  <c r="N20" i="2" s="1"/>
  <c r="M1120" i="2"/>
  <c r="N1120" i="2" s="1"/>
  <c r="M2602" i="2"/>
  <c r="N2602" i="2" s="1"/>
  <c r="M1860" i="2"/>
  <c r="N1860" i="2" s="1"/>
  <c r="M19" i="2"/>
  <c r="N19" i="2" s="1"/>
  <c r="M1786" i="2"/>
  <c r="N1786" i="2" s="1"/>
  <c r="M2106" i="2"/>
  <c r="N2106" i="2" s="1"/>
  <c r="M2436" i="2"/>
  <c r="N2436" i="2" s="1"/>
  <c r="M2755" i="2"/>
  <c r="N2755" i="2" s="1"/>
  <c r="M18" i="2"/>
  <c r="N18" i="2" s="1"/>
  <c r="M2922" i="2"/>
  <c r="N2922" i="2" s="1"/>
  <c r="M1119" i="2"/>
  <c r="N1119" i="2" s="1"/>
  <c r="M2754" i="2"/>
  <c r="N2754" i="2" s="1"/>
  <c r="M342" i="2"/>
  <c r="N342" i="2" s="1"/>
  <c r="M3143" i="2"/>
  <c r="N3143" i="2" s="1"/>
  <c r="M2104" i="2"/>
  <c r="N2104" i="2" s="1"/>
  <c r="M562" i="2"/>
  <c r="N562" i="2" s="1"/>
  <c r="M1401" i="2"/>
  <c r="N1401" i="2" s="1"/>
  <c r="M2102" i="2"/>
  <c r="N2102" i="2" s="1"/>
  <c r="M1511" i="2"/>
  <c r="N1511" i="2" s="1"/>
  <c r="M2918" i="2"/>
  <c r="N2918" i="2" s="1"/>
  <c r="M2101" i="2"/>
  <c r="N2101" i="2" s="1"/>
  <c r="M2099" i="2"/>
  <c r="N2099" i="2" s="1"/>
  <c r="M555" i="2"/>
  <c r="N555" i="2" s="1"/>
  <c r="M2599" i="2"/>
  <c r="N2599" i="2" s="1"/>
  <c r="M1400" i="2"/>
  <c r="N1400" i="2" s="1"/>
  <c r="M14" i="2"/>
  <c r="N14" i="2" s="1"/>
  <c r="M2097" i="2"/>
  <c r="N2097" i="2" s="1"/>
  <c r="M1542" i="2"/>
  <c r="N1542" i="2" s="1"/>
  <c r="M552" i="2"/>
  <c r="N552" i="2" s="1"/>
  <c r="M2596" i="2"/>
  <c r="N2596" i="2" s="1"/>
  <c r="M1541" i="2"/>
  <c r="N1541" i="2" s="1"/>
  <c r="M3154" i="2"/>
  <c r="N3154" i="2" s="1"/>
  <c r="M2595" i="2"/>
  <c r="N2595" i="2" s="1"/>
  <c r="M1399" i="2"/>
  <c r="N1399" i="2" s="1"/>
  <c r="M2094" i="2"/>
  <c r="N2094" i="2" s="1"/>
  <c r="M1081" i="2"/>
  <c r="N1081" i="2" s="1"/>
  <c r="M2753" i="2"/>
  <c r="N2753" i="2" s="1"/>
  <c r="M7" i="2"/>
  <c r="N7" i="2" s="1"/>
  <c r="M547" i="2"/>
  <c r="N547" i="2" s="1"/>
  <c r="M1001" i="2"/>
  <c r="N1001" i="2" s="1"/>
  <c r="M2429" i="2"/>
  <c r="N2429" i="2" s="1"/>
  <c r="M1782" i="2"/>
  <c r="N1782" i="2" s="1"/>
  <c r="M2750" i="2"/>
  <c r="N2750" i="2" s="1"/>
  <c r="M2427" i="2"/>
  <c r="N2427" i="2" s="1"/>
  <c r="M2067" i="2"/>
  <c r="N2067" i="2" s="1"/>
  <c r="M2425" i="2"/>
  <c r="N2425" i="2" s="1"/>
  <c r="M1771" i="2"/>
  <c r="N1771" i="2" s="1"/>
  <c r="M1769" i="2"/>
  <c r="N1769" i="2" s="1"/>
  <c r="M1396" i="2"/>
  <c r="N1396" i="2" s="1"/>
  <c r="M2420" i="2"/>
  <c r="N2420" i="2" s="1"/>
  <c r="M976" i="2"/>
  <c r="N976" i="2" s="1"/>
  <c r="M2883" i="2"/>
  <c r="N2883" i="2" s="1"/>
  <c r="M2881" i="2"/>
  <c r="N2881" i="2" s="1"/>
  <c r="M1063" i="2"/>
  <c r="N1063" i="2" s="1"/>
  <c r="M2055" i="2"/>
  <c r="N2055" i="2" s="1"/>
  <c r="M1379" i="2"/>
  <c r="N1379" i="2" s="1"/>
  <c r="M961" i="2"/>
  <c r="N961" i="2" s="1"/>
  <c r="M2407" i="2"/>
  <c r="N2407" i="2" s="1"/>
  <c r="M328" i="2"/>
  <c r="N328" i="2" s="1"/>
  <c r="M513" i="2"/>
  <c r="N513" i="2" s="1"/>
  <c r="M2736" i="2"/>
  <c r="N2736" i="2" s="1"/>
  <c r="M3089" i="2"/>
  <c r="N3089" i="2" s="1"/>
  <c r="M509" i="2"/>
  <c r="N509" i="2" s="1"/>
  <c r="M1374" i="2"/>
  <c r="N1374" i="2" s="1"/>
  <c r="M3135" i="2"/>
  <c r="N3135" i="2" s="1"/>
  <c r="M1537" i="2"/>
  <c r="N1537" i="2" s="1"/>
  <c r="M1054" i="2"/>
  <c r="N1054" i="2" s="1"/>
  <c r="M507" i="2"/>
  <c r="N507" i="2" s="1"/>
  <c r="M2575" i="2"/>
  <c r="N2575" i="2" s="1"/>
  <c r="M1052" i="2"/>
  <c r="N1052" i="2" s="1"/>
  <c r="M211" i="2"/>
  <c r="N211" i="2" s="1"/>
  <c r="M3156" i="2"/>
  <c r="N3156" i="2" s="1"/>
  <c r="M1398" i="2"/>
  <c r="N1398" i="2" s="1"/>
  <c r="M2430" i="2"/>
  <c r="N2430" i="2" s="1"/>
  <c r="M431" i="2"/>
  <c r="N431" i="2" s="1"/>
  <c r="M2886" i="2"/>
  <c r="N2886" i="2" s="1"/>
  <c r="M1212" i="2"/>
  <c r="N1212" i="2" s="1"/>
  <c r="M253" i="2"/>
  <c r="N253" i="2" s="1"/>
  <c r="M1385" i="2"/>
  <c r="N1385" i="2" s="1"/>
  <c r="M1501" i="2"/>
  <c r="N1501" i="2" s="1"/>
  <c r="M2801" i="2"/>
  <c r="N2801" i="2" s="1"/>
  <c r="M2428" i="2"/>
  <c r="N2428" i="2" s="1"/>
  <c r="M1780" i="2"/>
  <c r="N1780" i="2" s="1"/>
  <c r="M3110" i="2"/>
  <c r="N3110" i="2" s="1"/>
  <c r="M333" i="2"/>
  <c r="N333" i="2" s="1"/>
  <c r="M989" i="2"/>
  <c r="N989" i="2" s="1"/>
  <c r="M250" i="2"/>
  <c r="N250" i="2" s="1"/>
  <c r="M1775" i="2"/>
  <c r="N1775" i="2" s="1"/>
  <c r="M2747" i="2"/>
  <c r="N2747" i="2" s="1"/>
  <c r="M1108" i="2"/>
  <c r="N1108" i="2" s="1"/>
  <c r="M985" i="2"/>
  <c r="N985" i="2" s="1"/>
  <c r="M1773" i="2"/>
  <c r="N1773" i="2" s="1"/>
  <c r="M1209" i="2"/>
  <c r="N1209" i="2" s="1"/>
  <c r="M1069" i="2"/>
  <c r="N1069" i="2" s="1"/>
  <c r="M2065" i="2"/>
  <c r="N2065" i="2" s="1"/>
  <c r="M247" i="2"/>
  <c r="N247" i="2" s="1"/>
  <c r="M3109" i="2"/>
  <c r="N3109" i="2" s="1"/>
  <c r="M1068" i="2"/>
  <c r="N1068" i="2" s="1"/>
  <c r="M259" i="2"/>
  <c r="N259" i="2" s="1"/>
  <c r="M981" i="2"/>
  <c r="N981" i="2" s="1"/>
  <c r="M2744" i="2"/>
  <c r="N2744" i="2" s="1"/>
  <c r="M979" i="2"/>
  <c r="N979" i="2" s="1"/>
  <c r="M978" i="2"/>
  <c r="N978" i="2" s="1"/>
  <c r="M330" i="2"/>
  <c r="N330" i="2" s="1"/>
  <c r="M246" i="2"/>
  <c r="N246" i="2" s="1"/>
  <c r="M2588" i="2"/>
  <c r="N2588" i="2" s="1"/>
  <c r="M1065" i="2"/>
  <c r="N1065" i="2" s="1"/>
  <c r="M2419" i="2"/>
  <c r="N2419" i="2" s="1"/>
  <c r="M2092" i="2"/>
  <c r="N2092" i="2" s="1"/>
  <c r="M2800" i="2"/>
  <c r="N2800" i="2" s="1"/>
  <c r="M975" i="2"/>
  <c r="N975" i="2" s="1"/>
  <c r="M243" i="2"/>
  <c r="N243" i="2" s="1"/>
  <c r="M973" i="2"/>
  <c r="N973" i="2" s="1"/>
  <c r="M2911" i="2"/>
  <c r="N2911" i="2" s="1"/>
  <c r="M1381" i="2"/>
  <c r="N1381" i="2" s="1"/>
  <c r="M423" i="2"/>
  <c r="N423" i="2" s="1"/>
  <c r="M3170" i="2"/>
  <c r="N3170" i="2" s="1"/>
  <c r="M1764" i="2"/>
  <c r="N1764" i="2" s="1"/>
  <c r="M2743" i="2"/>
  <c r="N2743" i="2" s="1"/>
  <c r="M1496" i="2"/>
  <c r="N1496" i="2" s="1"/>
  <c r="M2091" i="2"/>
  <c r="N2091" i="2" s="1"/>
  <c r="M2414" i="2"/>
  <c r="N2414" i="2" s="1"/>
  <c r="M3102" i="2"/>
  <c r="N3102" i="2" s="1"/>
  <c r="M3101" i="2"/>
  <c r="N3101" i="2" s="1"/>
  <c r="M2740" i="2"/>
  <c r="N2740" i="2" s="1"/>
  <c r="M240" i="2"/>
  <c r="N240" i="2" s="1"/>
  <c r="M2412" i="2"/>
  <c r="N2412" i="2" s="1"/>
  <c r="M1510" i="2"/>
  <c r="N1510" i="2" s="1"/>
  <c r="M963" i="2"/>
  <c r="N963" i="2" s="1"/>
  <c r="M2585" i="2"/>
  <c r="N2585" i="2" s="1"/>
  <c r="M1204" i="2"/>
  <c r="N1204" i="2" s="1"/>
  <c r="M1377" i="2"/>
  <c r="N1377" i="2" s="1"/>
  <c r="M2409" i="2"/>
  <c r="N2409" i="2" s="1"/>
  <c r="M2408" i="2"/>
  <c r="N2408" i="2" s="1"/>
  <c r="M546" i="2"/>
  <c r="N546" i="2" s="1"/>
  <c r="M2406" i="2"/>
  <c r="N2406" i="2" s="1"/>
  <c r="M1538" i="2"/>
  <c r="N1538" i="2" s="1"/>
  <c r="M3096" i="2"/>
  <c r="N3096" i="2" s="1"/>
  <c r="M329" i="2"/>
  <c r="N329" i="2" s="1"/>
  <c r="M956" i="2"/>
  <c r="N956" i="2" s="1"/>
  <c r="M3093" i="2"/>
  <c r="N3093" i="2" s="1"/>
  <c r="M2401" i="2"/>
  <c r="N2401" i="2" s="1"/>
  <c r="M234" i="2"/>
  <c r="N234" i="2" s="1"/>
  <c r="M2053" i="2"/>
  <c r="N2053" i="2" s="1"/>
  <c r="M2399" i="2"/>
  <c r="N2399" i="2" s="1"/>
  <c r="M2580" i="2"/>
  <c r="N2580" i="2" s="1"/>
  <c r="M232" i="2"/>
  <c r="N232" i="2" s="1"/>
  <c r="M952" i="2"/>
  <c r="N952" i="2" s="1"/>
  <c r="M1492" i="2"/>
  <c r="N1492" i="2" s="1"/>
  <c r="M1394" i="2"/>
  <c r="N1394" i="2" s="1"/>
  <c r="M230" i="2"/>
  <c r="N230" i="2" s="1"/>
  <c r="M511" i="2"/>
  <c r="N511" i="2" s="1"/>
  <c r="M1376" i="2"/>
  <c r="N1376" i="2" s="1"/>
  <c r="M1058" i="2"/>
  <c r="N1058" i="2" s="1"/>
  <c r="M1375" i="2"/>
  <c r="N1375" i="2" s="1"/>
  <c r="M1489" i="2"/>
  <c r="N1489" i="2" s="1"/>
  <c r="M1848" i="2"/>
  <c r="N1848" i="2" s="1"/>
  <c r="M1847" i="2"/>
  <c r="N1847" i="2" s="1"/>
  <c r="M2050" i="2"/>
  <c r="N2050" i="2" s="1"/>
  <c r="M2395" i="2"/>
  <c r="N2395" i="2" s="1"/>
  <c r="M1200" i="2"/>
  <c r="N1200" i="2" s="1"/>
  <c r="M944" i="2"/>
  <c r="N944" i="2" s="1"/>
  <c r="M2394" i="2"/>
  <c r="N2394" i="2" s="1"/>
  <c r="M225" i="2"/>
  <c r="N225" i="2" s="1"/>
  <c r="M1056" i="2"/>
  <c r="N1056" i="2" s="1"/>
  <c r="M1372" i="2"/>
  <c r="N1372" i="2" s="1"/>
  <c r="M943" i="2"/>
  <c r="N943" i="2" s="1"/>
  <c r="M1488" i="2"/>
  <c r="N1488" i="2" s="1"/>
  <c r="M324" i="2"/>
  <c r="N324" i="2" s="1"/>
  <c r="M1846" i="2"/>
  <c r="N1846" i="2" s="1"/>
  <c r="M1199" i="2"/>
  <c r="N1199" i="2" s="1"/>
  <c r="M937" i="2"/>
  <c r="N937" i="2" s="1"/>
  <c r="M1756" i="2"/>
  <c r="N1756" i="2" s="1"/>
  <c r="M2390" i="2"/>
  <c r="N2390" i="2" s="1"/>
  <c r="M2047" i="2"/>
  <c r="N2047" i="2" s="1"/>
  <c r="M322" i="2"/>
  <c r="N322" i="2" s="1"/>
  <c r="M216" i="2"/>
  <c r="N216" i="2" s="1"/>
  <c r="M2388" i="2"/>
  <c r="N2388" i="2" s="1"/>
  <c r="M1753" i="2"/>
  <c r="N1753" i="2" s="1"/>
  <c r="M2732" i="2"/>
  <c r="N2732" i="2" s="1"/>
  <c r="M1752" i="2"/>
  <c r="N1752" i="2" s="1"/>
  <c r="M2385" i="2"/>
  <c r="N2385" i="2" s="1"/>
  <c r="M544" i="2"/>
  <c r="N544" i="2" s="1"/>
  <c r="M506" i="2"/>
  <c r="N506" i="2" s="1"/>
  <c r="M213" i="2"/>
  <c r="N213" i="2" s="1"/>
  <c r="M2045" i="2"/>
  <c r="N2045" i="2" s="1"/>
  <c r="M2573" i="2"/>
  <c r="N2573" i="2" s="1"/>
  <c r="M1105" i="2"/>
  <c r="N1105" i="2" s="1"/>
  <c r="M1486" i="2"/>
  <c r="N1486" i="2" s="1"/>
  <c r="M2383" i="2"/>
  <c r="N2383" i="2" s="1"/>
  <c r="M2381" i="2"/>
  <c r="N2381" i="2" s="1"/>
  <c r="M2380" i="2"/>
  <c r="N2380" i="2" s="1"/>
  <c r="M3082" i="2"/>
  <c r="N3082" i="2" s="1"/>
  <c r="M930" i="2"/>
  <c r="N930" i="2" s="1"/>
  <c r="M2727" i="2"/>
  <c r="N2727" i="2" s="1"/>
  <c r="M928" i="2"/>
  <c r="N928" i="2" s="1"/>
  <c r="M1194" i="2"/>
  <c r="N1194" i="2" s="1"/>
  <c r="M1748" i="2"/>
  <c r="N1748" i="2" s="1"/>
  <c r="M2043" i="2"/>
  <c r="N2043" i="2" s="1"/>
  <c r="M505" i="2"/>
  <c r="N505" i="2" s="1"/>
  <c r="M2724" i="2"/>
  <c r="N2724" i="2" s="1"/>
  <c r="M2042" i="2"/>
  <c r="N2042" i="2" s="1"/>
  <c r="M209" i="2"/>
  <c r="N209" i="2" s="1"/>
  <c r="M2375" i="2"/>
  <c r="N2375" i="2" s="1"/>
  <c r="M925" i="2"/>
  <c r="N925" i="2" s="1"/>
  <c r="M923" i="2"/>
  <c r="N923" i="2" s="1"/>
  <c r="M2040" i="2"/>
  <c r="N2040" i="2" s="1"/>
  <c r="M206" i="2"/>
  <c r="N206" i="2" s="1"/>
  <c r="M922" i="2"/>
  <c r="N922" i="2" s="1"/>
  <c r="M204" i="2"/>
  <c r="N204" i="2" s="1"/>
  <c r="M2894" i="2"/>
  <c r="N2894" i="2" s="1"/>
  <c r="M919" i="2"/>
  <c r="N919" i="2" s="1"/>
  <c r="M2039" i="2"/>
  <c r="N2039" i="2" s="1"/>
  <c r="M917" i="2"/>
  <c r="N917" i="2" s="1"/>
  <c r="M1745" i="2"/>
  <c r="N1745" i="2" s="1"/>
  <c r="M1744" i="2"/>
  <c r="N1744" i="2" s="1"/>
  <c r="M3075" i="2"/>
  <c r="N3075" i="2" s="1"/>
  <c r="M915" i="2"/>
  <c r="N915" i="2" s="1"/>
  <c r="M2034" i="2"/>
  <c r="N2034" i="2" s="1"/>
  <c r="M2720" i="2"/>
  <c r="N2720" i="2" s="1"/>
  <c r="M2032" i="2"/>
  <c r="N2032" i="2" s="1"/>
  <c r="M1189" i="2"/>
  <c r="N1189" i="2" s="1"/>
  <c r="M2031" i="2"/>
  <c r="N2031" i="2" s="1"/>
  <c r="M1482" i="2"/>
  <c r="N1482" i="2" s="1"/>
  <c r="M912" i="2"/>
  <c r="N912" i="2" s="1"/>
  <c r="M3073" i="2"/>
  <c r="N3073" i="2" s="1"/>
  <c r="M2368" i="2"/>
  <c r="N2368" i="2" s="1"/>
  <c r="M1740" i="2"/>
  <c r="N1740" i="2" s="1"/>
  <c r="M200" i="2"/>
  <c r="N200" i="2" s="1"/>
  <c r="M500" i="2"/>
  <c r="N500" i="2" s="1"/>
  <c r="M1838" i="2"/>
  <c r="N1838" i="2" s="1"/>
  <c r="M1533" i="2"/>
  <c r="N1533" i="2" s="1"/>
  <c r="M1480" i="2"/>
  <c r="N1480" i="2" s="1"/>
  <c r="M908" i="2"/>
  <c r="N908" i="2" s="1"/>
  <c r="M2027" i="2"/>
  <c r="N2027" i="2" s="1"/>
  <c r="M907" i="2"/>
  <c r="N907" i="2" s="1"/>
  <c r="M1736" i="2"/>
  <c r="N1736" i="2" s="1"/>
  <c r="M1735" i="2"/>
  <c r="N1735" i="2" s="1"/>
  <c r="M1188" i="2"/>
  <c r="N1188" i="2" s="1"/>
  <c r="M2869" i="2"/>
  <c r="N2869" i="2" s="1"/>
  <c r="M1356" i="2"/>
  <c r="N1356" i="2" s="1"/>
  <c r="M3072" i="2"/>
  <c r="N3072" i="2" s="1"/>
  <c r="M2025" i="2"/>
  <c r="N2025" i="2" s="1"/>
  <c r="M899" i="2"/>
  <c r="N899" i="2" s="1"/>
  <c r="M898" i="2"/>
  <c r="N898" i="2" s="1"/>
  <c r="M498" i="2"/>
  <c r="N498" i="2" s="1"/>
  <c r="M897" i="2"/>
  <c r="N897" i="2" s="1"/>
  <c r="M895" i="2"/>
  <c r="N895" i="2" s="1"/>
  <c r="M319" i="2"/>
  <c r="N319" i="2" s="1"/>
  <c r="M266" i="2"/>
  <c r="N266" i="2" s="1"/>
  <c r="M194" i="2"/>
  <c r="N194" i="2" s="1"/>
  <c r="M1729" i="2"/>
  <c r="N1729" i="2" s="1"/>
  <c r="M1728" i="2"/>
  <c r="N1728" i="2" s="1"/>
  <c r="M1115" i="2"/>
  <c r="N1115" i="2" s="1"/>
  <c r="M890" i="2"/>
  <c r="N890" i="2" s="1"/>
  <c r="M2023" i="2"/>
  <c r="N2023" i="2" s="1"/>
  <c r="M888" i="2"/>
  <c r="N888" i="2" s="1"/>
  <c r="M2712" i="2"/>
  <c r="N2712" i="2" s="1"/>
  <c r="M885" i="2"/>
  <c r="N885" i="2" s="1"/>
  <c r="M497" i="2"/>
  <c r="N497" i="2" s="1"/>
  <c r="M881" i="2"/>
  <c r="N881" i="2" s="1"/>
  <c r="M2866" i="2"/>
  <c r="N2866" i="2" s="1"/>
  <c r="M1351" i="2"/>
  <c r="N1351" i="2" s="1"/>
  <c r="M1725" i="2"/>
  <c r="N1725" i="2" s="1"/>
  <c r="M878" i="2"/>
  <c r="N878" i="2" s="1"/>
  <c r="M3066" i="2"/>
  <c r="N3066" i="2" s="1"/>
  <c r="M2354" i="2"/>
  <c r="N2354" i="2" s="1"/>
  <c r="M2562" i="2"/>
  <c r="N2562" i="2" s="1"/>
  <c r="M1080" i="2"/>
  <c r="N1080" i="2" s="1"/>
  <c r="M186" i="2"/>
  <c r="N186" i="2" s="1"/>
  <c r="M1723" i="2"/>
  <c r="N1723" i="2" s="1"/>
  <c r="M2020" i="2"/>
  <c r="N2020" i="2" s="1"/>
  <c r="M873" i="2"/>
  <c r="N873" i="2" s="1"/>
  <c r="M1185" i="2"/>
  <c r="N1185" i="2" s="1"/>
  <c r="M495" i="2"/>
  <c r="N495" i="2" s="1"/>
  <c r="M183" i="2"/>
  <c r="N183" i="2" s="1"/>
  <c r="M2351" i="2"/>
  <c r="N2351" i="2" s="1"/>
  <c r="M2561" i="2"/>
  <c r="N2561" i="2" s="1"/>
  <c r="M2560" i="2"/>
  <c r="N2560" i="2" s="1"/>
  <c r="M2019" i="2"/>
  <c r="N2019" i="2" s="1"/>
  <c r="M181" i="2"/>
  <c r="N181" i="2" s="1"/>
  <c r="M2707" i="2"/>
  <c r="N2707" i="2" s="1"/>
  <c r="M869" i="2"/>
  <c r="N869" i="2" s="1"/>
  <c r="M3061" i="2"/>
  <c r="N3061" i="2" s="1"/>
  <c r="M2348" i="2"/>
  <c r="N2348" i="2" s="1"/>
  <c r="M2790" i="2"/>
  <c r="N2790" i="2" s="1"/>
  <c r="M178" i="2"/>
  <c r="N178" i="2" s="1"/>
  <c r="M2557" i="2"/>
  <c r="N2557" i="2" s="1"/>
  <c r="M1347" i="2"/>
  <c r="N1347" i="2" s="1"/>
  <c r="M2017" i="2"/>
  <c r="N2017" i="2" s="1"/>
  <c r="M3125" i="2"/>
  <c r="N3125" i="2" s="1"/>
  <c r="M1831" i="2"/>
  <c r="N1831" i="2" s="1"/>
  <c r="M174" i="2"/>
  <c r="N174" i="2" s="1"/>
  <c r="M2016" i="2"/>
  <c r="N2016" i="2" s="1"/>
  <c r="M316" i="2"/>
  <c r="N316" i="2" s="1"/>
  <c r="M262" i="2"/>
  <c r="N262" i="2" s="1"/>
  <c r="M1182" i="2"/>
  <c r="N1182" i="2" s="1"/>
  <c r="M2343" i="2"/>
  <c r="N2343" i="2" s="1"/>
  <c r="M172" i="2"/>
  <c r="N172" i="2" s="1"/>
  <c r="M2014" i="2"/>
  <c r="N2014" i="2" s="1"/>
  <c r="M1345" i="2"/>
  <c r="N1345" i="2" s="1"/>
  <c r="M857" i="2"/>
  <c r="N857" i="2" s="1"/>
  <c r="M1828" i="2"/>
  <c r="N1828" i="2" s="1"/>
  <c r="M1043" i="2"/>
  <c r="N1043" i="2" s="1"/>
  <c r="M2012" i="2"/>
  <c r="N2012" i="2" s="1"/>
  <c r="M272" i="2"/>
  <c r="N272" i="2" s="1"/>
  <c r="M2550" i="2"/>
  <c r="N2550" i="2" s="1"/>
  <c r="M1343" i="2"/>
  <c r="N1343" i="2" s="1"/>
  <c r="M2337" i="2"/>
  <c r="N2337" i="2" s="1"/>
  <c r="M2010" i="2"/>
  <c r="N2010" i="2" s="1"/>
  <c r="M490" i="2"/>
  <c r="N490" i="2" s="1"/>
  <c r="M849" i="2"/>
  <c r="N849" i="2" s="1"/>
  <c r="M489" i="2"/>
  <c r="N489" i="2" s="1"/>
  <c r="M168" i="2"/>
  <c r="N168" i="2" s="1"/>
  <c r="M2334" i="2"/>
  <c r="N2334" i="2" s="1"/>
  <c r="M2700" i="2"/>
  <c r="N2700" i="2" s="1"/>
  <c r="M488" i="2"/>
  <c r="N488" i="2" s="1"/>
  <c r="M2008" i="2"/>
  <c r="N2008" i="2" s="1"/>
  <c r="M3056" i="2"/>
  <c r="N3056" i="2" s="1"/>
  <c r="M2699" i="2"/>
  <c r="N2699" i="2" s="1"/>
  <c r="M1713" i="2"/>
  <c r="N1713" i="2" s="1"/>
  <c r="M2007" i="2"/>
  <c r="N2007" i="2" s="1"/>
  <c r="M840" i="2"/>
  <c r="N840" i="2" s="1"/>
  <c r="M2331" i="2"/>
  <c r="N2331" i="2" s="1"/>
  <c r="M164" i="2"/>
  <c r="N164" i="2" s="1"/>
  <c r="M399" i="2"/>
  <c r="N399" i="2" s="1"/>
  <c r="M1473" i="2"/>
  <c r="N1473" i="2" s="1"/>
  <c r="M1710" i="2"/>
  <c r="N1710" i="2" s="1"/>
  <c r="M162" i="2"/>
  <c r="N162" i="2" s="1"/>
  <c r="M2005" i="2"/>
  <c r="N2005" i="2" s="1"/>
  <c r="M396" i="2"/>
  <c r="N396" i="2" s="1"/>
  <c r="M2693" i="2"/>
  <c r="N2693" i="2" s="1"/>
  <c r="M160" i="2"/>
  <c r="N160" i="2" s="1"/>
  <c r="M2329" i="2"/>
  <c r="N2329" i="2" s="1"/>
  <c r="M837" i="2"/>
  <c r="N837" i="2" s="1"/>
  <c r="M1708" i="2"/>
  <c r="N1708" i="2" s="1"/>
  <c r="M1041" i="2"/>
  <c r="N1041" i="2" s="1"/>
  <c r="M392" i="2"/>
  <c r="N392" i="2" s="1"/>
  <c r="M157" i="2"/>
  <c r="N157" i="2" s="1"/>
  <c r="M3139" i="2"/>
  <c r="N3139" i="2" s="1"/>
  <c r="M2788" i="2"/>
  <c r="N2788" i="2" s="1"/>
  <c r="M833" i="2"/>
  <c r="N833" i="2" s="1"/>
  <c r="M1825" i="2"/>
  <c r="N1825" i="2" s="1"/>
  <c r="M1471" i="2"/>
  <c r="N1471" i="2" s="1"/>
  <c r="M155" i="2"/>
  <c r="N155" i="2" s="1"/>
  <c r="M2857" i="2"/>
  <c r="N2857" i="2" s="1"/>
  <c r="M2787" i="2"/>
  <c r="N2787" i="2" s="1"/>
  <c r="M2322" i="2"/>
  <c r="N2322" i="2" s="1"/>
  <c r="M2546" i="2"/>
  <c r="N2546" i="2" s="1"/>
  <c r="M1704" i="2"/>
  <c r="N1704" i="2" s="1"/>
  <c r="M829" i="2"/>
  <c r="N829" i="2" s="1"/>
  <c r="M2000" i="2"/>
  <c r="N2000" i="2" s="1"/>
  <c r="M1999" i="2"/>
  <c r="N1999" i="2" s="1"/>
  <c r="M1703" i="2"/>
  <c r="N1703" i="2" s="1"/>
  <c r="M2314" i="2"/>
  <c r="N2314" i="2" s="1"/>
  <c r="M1700" i="2"/>
  <c r="N1700" i="2" s="1"/>
  <c r="M152" i="2"/>
  <c r="N152" i="2" s="1"/>
  <c r="M1508" i="2"/>
  <c r="N1508" i="2" s="1"/>
  <c r="M1470" i="2"/>
  <c r="N1470" i="2" s="1"/>
  <c r="M1824" i="2"/>
  <c r="N1824" i="2" s="1"/>
  <c r="M1997" i="2"/>
  <c r="N1997" i="2" s="1"/>
  <c r="M1331" i="2"/>
  <c r="N1331" i="2" s="1"/>
  <c r="M1171" i="2"/>
  <c r="N1171" i="2" s="1"/>
  <c r="M821" i="2"/>
  <c r="N821" i="2" s="1"/>
  <c r="M3046" i="2"/>
  <c r="N3046" i="2" s="1"/>
  <c r="M2542" i="2"/>
  <c r="N2542" i="2" s="1"/>
  <c r="M1328" i="2"/>
  <c r="N1328" i="2" s="1"/>
  <c r="M1468" i="2"/>
  <c r="N1468" i="2" s="1"/>
  <c r="M481" i="2"/>
  <c r="N481" i="2" s="1"/>
  <c r="M2855" i="2"/>
  <c r="N2855" i="2" s="1"/>
  <c r="M1327" i="2"/>
  <c r="N1327" i="2" s="1"/>
  <c r="M2540" i="2"/>
  <c r="N2540" i="2" s="1"/>
  <c r="M2309" i="2"/>
  <c r="N2309" i="2" s="1"/>
  <c r="M146" i="2"/>
  <c r="N146" i="2" s="1"/>
  <c r="M2307" i="2"/>
  <c r="N2307" i="2" s="1"/>
  <c r="M390" i="2"/>
  <c r="N390" i="2" s="1"/>
  <c r="M816" i="2"/>
  <c r="N816" i="2" s="1"/>
  <c r="M389" i="2"/>
  <c r="N389" i="2" s="1"/>
  <c r="M814" i="2"/>
  <c r="N814" i="2" s="1"/>
  <c r="M1696" i="2"/>
  <c r="N1696" i="2" s="1"/>
  <c r="M2538" i="2"/>
  <c r="N2538" i="2" s="1"/>
  <c r="M812" i="2"/>
  <c r="N812" i="2" s="1"/>
  <c r="M1037" i="2"/>
  <c r="N1037" i="2" s="1"/>
  <c r="M810" i="2"/>
  <c r="N810" i="2" s="1"/>
  <c r="M2893" i="2"/>
  <c r="N2893" i="2" s="1"/>
  <c r="M809" i="2"/>
  <c r="N809" i="2" s="1"/>
  <c r="M1691" i="2"/>
  <c r="N1691" i="2" s="1"/>
  <c r="M806" i="2"/>
  <c r="N806" i="2" s="1"/>
  <c r="M1821" i="2"/>
  <c r="N1821" i="2" s="1"/>
  <c r="M1690" i="2"/>
  <c r="N1690" i="2" s="1"/>
  <c r="M802" i="2"/>
  <c r="N802" i="2" s="1"/>
  <c r="M311" i="2"/>
  <c r="N311" i="2" s="1"/>
  <c r="M1688" i="2"/>
  <c r="N1688" i="2" s="1"/>
  <c r="M1319" i="2"/>
  <c r="N1319" i="2" s="1"/>
  <c r="M1318" i="2"/>
  <c r="N1318" i="2" s="1"/>
  <c r="M1316" i="2"/>
  <c r="N1316" i="2" s="1"/>
  <c r="M1989" i="2"/>
  <c r="N1989" i="2" s="1"/>
  <c r="M1988" i="2"/>
  <c r="N1988" i="2" s="1"/>
  <c r="M798" i="2"/>
  <c r="N798" i="2" s="1"/>
  <c r="M2297" i="2"/>
  <c r="N2297" i="2" s="1"/>
  <c r="M1986" i="2"/>
  <c r="N1986" i="2" s="1"/>
  <c r="M3038" i="2"/>
  <c r="N3038" i="2" s="1"/>
  <c r="M3035" i="2"/>
  <c r="N3035" i="2" s="1"/>
  <c r="M1684" i="2"/>
  <c r="N1684" i="2" s="1"/>
  <c r="M792" i="2"/>
  <c r="N792" i="2" s="1"/>
  <c r="M1984" i="2"/>
  <c r="N1984" i="2" s="1"/>
  <c r="M1098" i="2"/>
  <c r="N1098" i="2" s="1"/>
  <c r="M139" i="2"/>
  <c r="N139" i="2" s="1"/>
  <c r="M3032" i="2"/>
  <c r="N3032" i="2" s="1"/>
  <c r="M2535" i="2"/>
  <c r="N2535" i="2" s="1"/>
  <c r="M787" i="2"/>
  <c r="N787" i="2" s="1"/>
  <c r="M2684" i="2"/>
  <c r="N2684" i="2" s="1"/>
  <c r="M785" i="2"/>
  <c r="N785" i="2" s="1"/>
  <c r="M2682" i="2"/>
  <c r="N2682" i="2" s="1"/>
  <c r="M2293" i="2"/>
  <c r="N2293" i="2" s="1"/>
  <c r="M1681" i="2"/>
  <c r="N1681" i="2" s="1"/>
  <c r="M2904" i="2"/>
  <c r="N2904" i="2" s="1"/>
  <c r="M2851" i="2"/>
  <c r="N2851" i="2" s="1"/>
  <c r="M1309" i="2"/>
  <c r="N1309" i="2" s="1"/>
  <c r="M386" i="2"/>
  <c r="N386" i="2" s="1"/>
  <c r="M2291" i="2"/>
  <c r="N2291" i="2" s="1"/>
  <c r="M3141" i="2"/>
  <c r="N3141" i="2" s="1"/>
  <c r="M1507" i="2"/>
  <c r="N1507" i="2" s="1"/>
  <c r="M2533" i="2"/>
  <c r="N2533" i="2" s="1"/>
  <c r="M385" i="2"/>
  <c r="N385" i="2" s="1"/>
  <c r="M2290" i="2"/>
  <c r="N2290" i="2" s="1"/>
  <c r="M2532" i="2"/>
  <c r="N2532" i="2" s="1"/>
  <c r="M3166" i="2"/>
  <c r="N3166" i="2" s="1"/>
  <c r="M2289" i="2"/>
  <c r="N2289" i="2" s="1"/>
  <c r="M1097" i="2"/>
  <c r="N1097" i="2" s="1"/>
  <c r="M3029" i="2"/>
  <c r="N3029" i="2" s="1"/>
  <c r="M3028" i="2"/>
  <c r="N3028" i="2" s="1"/>
  <c r="M770" i="2"/>
  <c r="N770" i="2" s="1"/>
  <c r="M1818" i="2"/>
  <c r="N1818" i="2" s="1"/>
  <c r="M2781" i="2"/>
  <c r="N2781" i="2" s="1"/>
  <c r="M2678" i="2"/>
  <c r="N2678" i="2" s="1"/>
  <c r="M766" i="2"/>
  <c r="N766" i="2" s="1"/>
  <c r="M1673" i="2"/>
  <c r="N1673" i="2" s="1"/>
  <c r="M132" i="2"/>
  <c r="N132" i="2" s="1"/>
  <c r="M1460" i="2"/>
  <c r="N1460" i="2" s="1"/>
  <c r="M309" i="2"/>
  <c r="N309" i="2" s="1"/>
  <c r="M3024" i="2"/>
  <c r="N3024" i="2" s="1"/>
  <c r="M1967" i="2"/>
  <c r="N1967" i="2" s="1"/>
  <c r="M763" i="2"/>
  <c r="N763" i="2" s="1"/>
  <c r="M1670" i="2"/>
  <c r="N1670" i="2" s="1"/>
  <c r="M2527" i="2"/>
  <c r="N2527" i="2" s="1"/>
  <c r="M760" i="2"/>
  <c r="N760" i="2" s="1"/>
  <c r="M384" i="2"/>
  <c r="N384" i="2" s="1"/>
  <c r="M2279" i="2"/>
  <c r="N2279" i="2" s="1"/>
  <c r="M3020" i="2"/>
  <c r="N3020" i="2" s="1"/>
  <c r="M1113" i="2"/>
  <c r="N1113" i="2" s="1"/>
  <c r="M2780" i="2"/>
  <c r="N2780" i="2" s="1"/>
  <c r="M1526" i="2"/>
  <c r="N1526" i="2" s="1"/>
  <c r="M474" i="2"/>
  <c r="N474" i="2" s="1"/>
  <c r="M2276" i="2"/>
  <c r="N2276" i="2" s="1"/>
  <c r="M1458" i="2"/>
  <c r="N1458" i="2" s="1"/>
  <c r="M1665" i="2"/>
  <c r="N1665" i="2" s="1"/>
  <c r="M1161" i="2"/>
  <c r="N1161" i="2" s="1"/>
  <c r="M382" i="2"/>
  <c r="N382" i="2" s="1"/>
  <c r="M127" i="2"/>
  <c r="N127" i="2" s="1"/>
  <c r="M1096" i="2"/>
  <c r="N1096" i="2" s="1"/>
  <c r="M1304" i="2"/>
  <c r="N1304" i="2" s="1"/>
  <c r="M751" i="2"/>
  <c r="N751" i="2" s="1"/>
  <c r="M2676" i="2"/>
  <c r="N2676" i="2" s="1"/>
  <c r="M1664" i="2"/>
  <c r="N1664" i="2" s="1"/>
  <c r="M3014" i="2"/>
  <c r="N3014" i="2" s="1"/>
  <c r="M1663" i="2"/>
  <c r="N1663" i="2" s="1"/>
  <c r="M2675" i="2"/>
  <c r="N2675" i="2" s="1"/>
  <c r="M1661" i="2"/>
  <c r="N1661" i="2" s="1"/>
  <c r="M1302" i="2"/>
  <c r="N1302" i="2" s="1"/>
  <c r="M3011" i="2"/>
  <c r="N3011" i="2" s="1"/>
  <c r="M1816" i="2"/>
  <c r="N1816" i="2" s="1"/>
  <c r="M748" i="2"/>
  <c r="N748" i="2" s="1"/>
  <c r="M2266" i="2"/>
  <c r="N2266" i="2" s="1"/>
  <c r="M2673" i="2"/>
  <c r="N2673" i="2" s="1"/>
  <c r="M1095" i="2"/>
  <c r="N1095" i="2" s="1"/>
  <c r="M472" i="2"/>
  <c r="N472" i="2" s="1"/>
  <c r="M2523" i="2"/>
  <c r="N2523" i="2" s="1"/>
  <c r="M3010" i="2"/>
  <c r="N3010" i="2" s="1"/>
  <c r="M1301" i="2"/>
  <c r="N1301" i="2" s="1"/>
  <c r="M742" i="2"/>
  <c r="N742" i="2" s="1"/>
  <c r="M2521" i="2"/>
  <c r="N2521" i="2" s="1"/>
  <c r="M338" i="2"/>
  <c r="N338" i="2" s="1"/>
  <c r="M2260" i="2"/>
  <c r="N2260" i="2" s="1"/>
  <c r="M1454" i="2"/>
  <c r="N1454" i="2" s="1"/>
  <c r="M114" i="2"/>
  <c r="N114" i="2" s="1"/>
  <c r="M307" i="2"/>
  <c r="N307" i="2" s="1"/>
  <c r="M379" i="2"/>
  <c r="N379" i="2" s="1"/>
  <c r="M2777" i="2"/>
  <c r="N2777" i="2" s="1"/>
  <c r="M1655" i="2"/>
  <c r="N1655" i="2" s="1"/>
  <c r="M1958" i="2"/>
  <c r="N1958" i="2" s="1"/>
  <c r="M1525" i="2"/>
  <c r="N1525" i="2" s="1"/>
  <c r="M1653" i="2"/>
  <c r="N1653" i="2" s="1"/>
  <c r="M2519" i="2"/>
  <c r="N2519" i="2" s="1"/>
  <c r="M1956" i="2"/>
  <c r="N1956" i="2" s="1"/>
  <c r="M1093" i="2"/>
  <c r="N1093" i="2" s="1"/>
  <c r="M1032" i="2"/>
  <c r="N1032" i="2" s="1"/>
  <c r="M2845" i="2"/>
  <c r="N2845" i="2" s="1"/>
  <c r="M378" i="2"/>
  <c r="N378" i="2" s="1"/>
  <c r="M470" i="2"/>
  <c r="N470" i="2" s="1"/>
  <c r="M1953" i="2"/>
  <c r="N1953" i="2" s="1"/>
  <c r="M734" i="2"/>
  <c r="N734" i="2" s="1"/>
  <c r="M1952" i="2"/>
  <c r="N1952" i="2" s="1"/>
  <c r="M2776" i="2"/>
  <c r="N2776" i="2" s="1"/>
  <c r="M2254" i="2"/>
  <c r="N2254" i="2" s="1"/>
  <c r="M1156" i="2"/>
  <c r="N1156" i="2" s="1"/>
  <c r="M2252" i="2"/>
  <c r="N2252" i="2" s="1"/>
  <c r="M1951" i="2"/>
  <c r="N1951" i="2" s="1"/>
  <c r="M730" i="2"/>
  <c r="N730" i="2" s="1"/>
  <c r="M3160" i="2"/>
  <c r="N3160" i="2" s="1"/>
  <c r="M2775" i="2"/>
  <c r="N2775" i="2" s="1"/>
  <c r="M304" i="2"/>
  <c r="N304" i="2" s="1"/>
  <c r="M3129" i="2"/>
  <c r="N3129" i="2" s="1"/>
  <c r="M303" i="2"/>
  <c r="N303" i="2" s="1"/>
  <c r="M2515" i="2"/>
  <c r="N2515" i="2" s="1"/>
  <c r="M726" i="2"/>
  <c r="N726" i="2" s="1"/>
  <c r="M2513" i="2"/>
  <c r="N2513" i="2" s="1"/>
  <c r="M111" i="2"/>
  <c r="N111" i="2" s="1"/>
  <c r="M109" i="2"/>
  <c r="N109" i="2" s="1"/>
  <c r="M1809" i="2"/>
  <c r="N1809" i="2" s="1"/>
  <c r="M1293" i="2"/>
  <c r="N1293" i="2" s="1"/>
  <c r="M2774" i="2"/>
  <c r="N2774" i="2" s="1"/>
  <c r="M1946" i="2"/>
  <c r="N1946" i="2" s="1"/>
  <c r="M723" i="2"/>
  <c r="N723" i="2" s="1"/>
  <c r="M107" i="2"/>
  <c r="N107" i="2" s="1"/>
  <c r="M1641" i="2"/>
  <c r="N1641" i="2" s="1"/>
  <c r="M2243" i="2"/>
  <c r="N2243" i="2" s="1"/>
  <c r="M464" i="2"/>
  <c r="N464" i="2" s="1"/>
  <c r="M2510" i="2"/>
  <c r="N2510" i="2" s="1"/>
  <c r="M1091" i="2"/>
  <c r="N1091" i="2" s="1"/>
  <c r="M2509" i="2"/>
  <c r="N2509" i="2" s="1"/>
  <c r="M375" i="2"/>
  <c r="N375" i="2" s="1"/>
  <c r="M2508" i="2"/>
  <c r="N2508" i="2" s="1"/>
  <c r="M106" i="2"/>
  <c r="N106" i="2" s="1"/>
  <c r="M1638" i="2"/>
  <c r="N1638" i="2" s="1"/>
  <c r="M2663" i="2"/>
  <c r="N2663" i="2" s="1"/>
  <c r="M1026" i="2"/>
  <c r="N1026" i="2" s="1"/>
  <c r="M1943" i="2"/>
  <c r="N1943" i="2" s="1"/>
  <c r="M2662" i="2"/>
  <c r="N2662" i="2" s="1"/>
  <c r="M2901" i="2"/>
  <c r="N2901" i="2" s="1"/>
  <c r="M714" i="2"/>
  <c r="N714" i="2" s="1"/>
  <c r="M2996" i="2"/>
  <c r="N2996" i="2" s="1"/>
  <c r="M1505" i="2"/>
  <c r="N1505" i="2" s="1"/>
  <c r="M1149" i="2"/>
  <c r="N1149" i="2" s="1"/>
  <c r="M463" i="2"/>
  <c r="N463" i="2" s="1"/>
  <c r="M2900" i="2"/>
  <c r="N2900" i="2" s="1"/>
  <c r="M102" i="2"/>
  <c r="N102" i="2" s="1"/>
  <c r="M1939" i="2"/>
  <c r="N1939" i="2" s="1"/>
  <c r="M2995" i="2"/>
  <c r="N2995" i="2" s="1"/>
  <c r="M2994" i="2"/>
  <c r="N2994" i="2" s="1"/>
  <c r="M2235" i="2"/>
  <c r="N2235" i="2" s="1"/>
  <c r="M1286" i="2"/>
  <c r="N1286" i="2" s="1"/>
  <c r="M1637" i="2"/>
  <c r="N1637" i="2" s="1"/>
  <c r="M2234" i="2"/>
  <c r="N2234" i="2" s="1"/>
  <c r="M1283" i="2"/>
  <c r="N1283" i="2" s="1"/>
  <c r="M461" i="2"/>
  <c r="N461" i="2" s="1"/>
  <c r="M2231" i="2"/>
  <c r="N2231" i="2" s="1"/>
  <c r="M705" i="2"/>
  <c r="N705" i="2" s="1"/>
  <c r="M2230" i="2"/>
  <c r="N2230" i="2" s="1"/>
  <c r="M702" i="2"/>
  <c r="N702" i="2" s="1"/>
  <c r="M98" i="2"/>
  <c r="N98" i="2" s="1"/>
  <c r="M1935" i="2"/>
  <c r="N1935" i="2" s="1"/>
  <c r="M2839" i="2"/>
  <c r="N2839" i="2" s="1"/>
  <c r="M2990" i="2"/>
  <c r="N2990" i="2" s="1"/>
  <c r="M1146" i="2"/>
  <c r="N1146" i="2" s="1"/>
  <c r="M2226" i="2"/>
  <c r="N2226" i="2" s="1"/>
  <c r="M2899" i="2"/>
  <c r="N2899" i="2" s="1"/>
  <c r="M1278" i="2"/>
  <c r="N1278" i="2" s="1"/>
  <c r="M695" i="2"/>
  <c r="N695" i="2" s="1"/>
  <c r="M96" i="2"/>
  <c r="N96" i="2" s="1"/>
  <c r="M2654" i="2"/>
  <c r="N2654" i="2" s="1"/>
  <c r="M2653" i="2"/>
  <c r="N2653" i="2" s="1"/>
  <c r="M2651" i="2"/>
  <c r="N2651" i="2" s="1"/>
  <c r="M95" i="2"/>
  <c r="N95" i="2" s="1"/>
  <c r="M2835" i="2"/>
  <c r="N2835" i="2" s="1"/>
  <c r="M298" i="2"/>
  <c r="N298" i="2" s="1"/>
  <c r="M2650" i="2"/>
  <c r="N2650" i="2" s="1"/>
  <c r="M1633" i="2"/>
  <c r="N1633" i="2" s="1"/>
  <c r="M1630" i="2"/>
  <c r="N1630" i="2" s="1"/>
  <c r="M2985" i="2"/>
  <c r="N2985" i="2" s="1"/>
  <c r="M1930" i="2"/>
  <c r="N1930" i="2" s="1"/>
  <c r="M91" i="2"/>
  <c r="N91" i="2" s="1"/>
  <c r="M371" i="2"/>
  <c r="N371" i="2" s="1"/>
  <c r="M691" i="2"/>
  <c r="N691" i="2" s="1"/>
  <c r="M690" i="2"/>
  <c r="N690" i="2" s="1"/>
  <c r="M2496" i="2"/>
  <c r="N2496" i="2" s="1"/>
  <c r="M89" i="2"/>
  <c r="N89" i="2" s="1"/>
  <c r="M1442" i="2"/>
  <c r="N1442" i="2" s="1"/>
  <c r="M2982" i="2"/>
  <c r="N2982" i="2" s="1"/>
  <c r="M1439" i="2"/>
  <c r="N1439" i="2" s="1"/>
  <c r="M87" i="2"/>
  <c r="N87" i="2" s="1"/>
  <c r="M2078" i="2"/>
  <c r="N2078" i="2" s="1"/>
  <c r="M1270" i="2"/>
  <c r="N1270" i="2" s="1"/>
  <c r="M1023" i="2"/>
  <c r="N1023" i="2" s="1"/>
  <c r="M1628" i="2"/>
  <c r="N1628" i="2" s="1"/>
  <c r="M994" i="2"/>
  <c r="N994" i="2" s="1"/>
  <c r="M1437" i="2"/>
  <c r="N1437" i="2" s="1"/>
  <c r="M2494" i="2"/>
  <c r="N2494" i="2" s="1"/>
  <c r="M2216" i="2"/>
  <c r="N2216" i="2" s="1"/>
  <c r="M370" i="2"/>
  <c r="N370" i="2" s="1"/>
  <c r="M1927" i="2"/>
  <c r="N1927" i="2" s="1"/>
  <c r="M2976" i="2"/>
  <c r="N2976" i="2" s="1"/>
  <c r="M369" i="2"/>
  <c r="N369" i="2" s="1"/>
  <c r="M679" i="2"/>
  <c r="N679" i="2" s="1"/>
  <c r="M2975" i="2"/>
  <c r="N2975" i="2" s="1"/>
  <c r="M2215" i="2"/>
  <c r="N2215" i="2" s="1"/>
  <c r="M1805" i="2"/>
  <c r="N1805" i="2" s="1"/>
  <c r="M1143" i="2"/>
  <c r="N1143" i="2" s="1"/>
  <c r="M2213" i="2"/>
  <c r="N2213" i="2" s="1"/>
  <c r="M2210" i="2"/>
  <c r="N2210" i="2" s="1"/>
  <c r="M1433" i="2"/>
  <c r="N1433" i="2" s="1"/>
  <c r="M82" i="2"/>
  <c r="N82" i="2" s="1"/>
  <c r="M2208" i="2"/>
  <c r="N2208" i="2" s="1"/>
  <c r="M1518" i="2"/>
  <c r="N1518" i="2" s="1"/>
  <c r="M79" i="2"/>
  <c r="N79" i="2" s="1"/>
  <c r="M293" i="2"/>
  <c r="N293" i="2" s="1"/>
  <c r="M1622" i="2"/>
  <c r="N1622" i="2" s="1"/>
  <c r="M1020" i="2"/>
  <c r="N1020" i="2" s="1"/>
  <c r="M368" i="2"/>
  <c r="N368" i="2" s="1"/>
  <c r="M2970" i="2"/>
  <c r="N2970" i="2" s="1"/>
  <c r="M673" i="2"/>
  <c r="N673" i="2" s="1"/>
  <c r="M2969" i="2"/>
  <c r="N2969" i="2" s="1"/>
  <c r="M1619" i="2"/>
  <c r="N1619" i="2" s="1"/>
  <c r="M2206" i="2"/>
  <c r="N2206" i="2" s="1"/>
  <c r="M1618" i="2"/>
  <c r="N1618" i="2" s="1"/>
  <c r="M1261" i="2"/>
  <c r="N1261" i="2" s="1"/>
  <c r="M1920" i="2"/>
  <c r="N1920" i="2" s="1"/>
  <c r="M2485" i="2"/>
  <c r="N2485" i="2" s="1"/>
  <c r="M76" i="2"/>
  <c r="N76" i="2" s="1"/>
  <c r="M1617" i="2"/>
  <c r="N1617" i="2" s="1"/>
  <c r="M667" i="2"/>
  <c r="N667" i="2" s="1"/>
  <c r="M1256" i="2"/>
  <c r="N1256" i="2" s="1"/>
  <c r="M1917" i="2"/>
  <c r="N1917" i="2" s="1"/>
  <c r="M2483" i="2"/>
  <c r="N2483" i="2" s="1"/>
  <c r="M1916" i="2"/>
  <c r="N1916" i="2" s="1"/>
  <c r="M367" i="2"/>
  <c r="N367" i="2" s="1"/>
  <c r="M1915" i="2"/>
  <c r="N1915" i="2" s="1"/>
  <c r="M2967" i="2"/>
  <c r="N2967" i="2" s="1"/>
  <c r="M73" i="2"/>
  <c r="N73" i="2" s="1"/>
  <c r="M1614" i="2"/>
  <c r="N1614" i="2" s="1"/>
  <c r="M663" i="2"/>
  <c r="N663" i="2" s="1"/>
  <c r="M662" i="2"/>
  <c r="N662" i="2" s="1"/>
  <c r="M661" i="2"/>
  <c r="N661" i="2" s="1"/>
  <c r="M1612" i="2"/>
  <c r="N1612" i="2" s="1"/>
  <c r="M72" i="2"/>
  <c r="N72" i="2" s="1"/>
  <c r="M1611" i="2"/>
  <c r="N1611" i="2" s="1"/>
  <c r="M2199" i="2"/>
  <c r="N2199" i="2" s="1"/>
  <c r="M2197" i="2"/>
  <c r="N2197" i="2" s="1"/>
  <c r="M2824" i="2"/>
  <c r="N2824" i="2" s="1"/>
  <c r="M1428" i="2"/>
  <c r="N1428" i="2" s="1"/>
  <c r="M1426" i="2"/>
  <c r="N1426" i="2" s="1"/>
  <c r="M70" i="2"/>
  <c r="N70" i="2" s="1"/>
  <c r="M2963" i="2"/>
  <c r="N2963" i="2" s="1"/>
  <c r="M1425" i="2"/>
  <c r="N1425" i="2" s="1"/>
  <c r="M1907" i="2"/>
  <c r="N1907" i="2" s="1"/>
  <c r="M1906" i="2"/>
  <c r="N1906" i="2" s="1"/>
  <c r="M67" i="2"/>
  <c r="N67" i="2" s="1"/>
  <c r="M2191" i="2"/>
  <c r="N2191" i="2" s="1"/>
  <c r="M2768" i="2"/>
  <c r="N2768" i="2" s="1"/>
  <c r="M1608" i="2"/>
  <c r="N1608" i="2" s="1"/>
  <c r="M1424" i="2"/>
  <c r="N1424" i="2" s="1"/>
  <c r="M656" i="2"/>
  <c r="N656" i="2" s="1"/>
  <c r="M655" i="2"/>
  <c r="N655" i="2" s="1"/>
  <c r="M288" i="2"/>
  <c r="N288" i="2" s="1"/>
  <c r="M2187" i="2"/>
  <c r="N2187" i="2" s="1"/>
  <c r="M3178" i="2"/>
  <c r="N3178" i="2" s="1"/>
  <c r="M999" i="2"/>
  <c r="N999" i="2" s="1"/>
  <c r="M361" i="2"/>
  <c r="N361" i="2" s="1"/>
  <c r="M65" i="2"/>
  <c r="N65" i="2" s="1"/>
  <c r="M1250" i="2"/>
  <c r="N1250" i="2" s="1"/>
  <c r="M2185" i="2"/>
  <c r="N2185" i="2" s="1"/>
  <c r="M2183" i="2"/>
  <c r="N2183" i="2" s="1"/>
  <c r="M64" i="2"/>
  <c r="N64" i="2" s="1"/>
  <c r="M2821" i="2"/>
  <c r="N2821" i="2" s="1"/>
  <c r="M648" i="2"/>
  <c r="N648" i="2" s="1"/>
  <c r="M2181" i="2"/>
  <c r="N2181" i="2" s="1"/>
  <c r="M646" i="2"/>
  <c r="N646" i="2" s="1"/>
  <c r="M2766" i="2"/>
  <c r="N2766" i="2" s="1"/>
  <c r="M645" i="2"/>
  <c r="N645" i="2" s="1"/>
  <c r="M2956" i="2"/>
  <c r="N2956" i="2" s="1"/>
  <c r="M2633" i="2"/>
  <c r="N2633" i="2" s="1"/>
  <c r="M642" i="2"/>
  <c r="N642" i="2" s="1"/>
  <c r="M61" i="2"/>
  <c r="N61" i="2" s="1"/>
  <c r="M2174" i="2"/>
  <c r="N2174" i="2" s="1"/>
  <c r="M641" i="2"/>
  <c r="N641" i="2" s="1"/>
  <c r="M1601" i="2"/>
  <c r="N1601" i="2" s="1"/>
  <c r="M1421" i="2"/>
  <c r="N1421" i="2" s="1"/>
  <c r="M639" i="2"/>
  <c r="N639" i="2" s="1"/>
  <c r="M526" i="2"/>
  <c r="N526" i="2" s="1"/>
  <c r="M2172" i="2"/>
  <c r="N2172" i="2" s="1"/>
  <c r="M2171" i="2"/>
  <c r="N2171" i="2" s="1"/>
  <c r="M2952" i="2"/>
  <c r="N2952" i="2" s="1"/>
  <c r="M2169" i="2"/>
  <c r="N2169" i="2" s="1"/>
  <c r="M2765" i="2"/>
  <c r="N2765" i="2" s="1"/>
  <c r="M634" i="2"/>
  <c r="N634" i="2" s="1"/>
  <c r="M1897" i="2"/>
  <c r="N1897" i="2" s="1"/>
  <c r="M1242" i="2"/>
  <c r="N1242" i="2" s="1"/>
  <c r="M59" i="2"/>
  <c r="N59" i="2" s="1"/>
  <c r="M1132" i="2"/>
  <c r="N1132" i="2" s="1"/>
  <c r="M58" i="2"/>
  <c r="N58" i="2" s="1"/>
  <c r="M2164" i="2"/>
  <c r="N2164" i="2" s="1"/>
  <c r="M55" i="2"/>
  <c r="N55" i="2" s="1"/>
  <c r="M355" i="2"/>
  <c r="N355" i="2" s="1"/>
  <c r="M1594" i="2"/>
  <c r="N1594" i="2" s="1"/>
  <c r="M54" i="2"/>
  <c r="N54" i="2" s="1"/>
  <c r="M631" i="2"/>
  <c r="N631" i="2" s="1"/>
  <c r="M1516" i="2"/>
  <c r="N1516" i="2" s="1"/>
  <c r="M2161" i="2"/>
  <c r="N2161" i="2" s="1"/>
  <c r="M1891" i="2"/>
  <c r="N1891" i="2" s="1"/>
  <c r="M2628" i="2"/>
  <c r="N2628" i="2" s="1"/>
  <c r="M50" i="2"/>
  <c r="N50" i="2" s="1"/>
  <c r="M1087" i="2"/>
  <c r="N1087" i="2" s="1"/>
  <c r="M1589" i="2"/>
  <c r="N1589" i="2" s="1"/>
  <c r="M2627" i="2"/>
  <c r="N2627" i="2" s="1"/>
  <c r="M1887" i="2"/>
  <c r="N1887" i="2" s="1"/>
  <c r="M2626" i="2"/>
  <c r="N2626" i="2" s="1"/>
  <c r="M2948" i="2"/>
  <c r="N2948" i="2" s="1"/>
  <c r="M1239" i="2"/>
  <c r="N1239" i="2" s="1"/>
  <c r="M623" i="2"/>
  <c r="N623" i="2" s="1"/>
  <c r="M2947" i="2"/>
  <c r="N2947" i="2" s="1"/>
  <c r="M1588" i="2"/>
  <c r="N1588" i="2" s="1"/>
  <c r="M1884" i="2"/>
  <c r="N1884" i="2" s="1"/>
  <c r="M2462" i="2"/>
  <c r="N2462" i="2" s="1"/>
  <c r="M2158" i="2"/>
  <c r="N2158" i="2" s="1"/>
  <c r="M45" i="2"/>
  <c r="N45" i="2" s="1"/>
  <c r="M1236" i="2"/>
  <c r="N1236" i="2" s="1"/>
  <c r="M444" i="2"/>
  <c r="N444" i="2" s="1"/>
  <c r="M1798" i="2"/>
  <c r="N1798" i="2" s="1"/>
  <c r="M1235" i="2"/>
  <c r="N1235" i="2" s="1"/>
  <c r="M2156" i="2"/>
  <c r="N2156" i="2" s="1"/>
  <c r="M1416" i="2"/>
  <c r="N1416" i="2" s="1"/>
  <c r="M1128" i="2"/>
  <c r="N1128" i="2" s="1"/>
  <c r="M2945" i="2"/>
  <c r="N2945" i="2" s="1"/>
  <c r="M2155" i="2"/>
  <c r="N2155" i="2" s="1"/>
  <c r="M2459" i="2"/>
  <c r="N2459" i="2" s="1"/>
  <c r="M1881" i="2"/>
  <c r="N1881" i="2" s="1"/>
  <c r="M614" i="2"/>
  <c r="N614" i="2" s="1"/>
  <c r="M2942" i="2"/>
  <c r="N2942" i="2" s="1"/>
  <c r="M1792" i="2"/>
  <c r="N1792" i="2" s="1"/>
  <c r="M2620" i="2"/>
  <c r="N2620" i="2" s="1"/>
  <c r="M40" i="2"/>
  <c r="N40" i="2" s="1"/>
  <c r="M1581" i="2"/>
  <c r="N1581" i="2" s="1"/>
  <c r="M1880" i="2"/>
  <c r="N1880" i="2" s="1"/>
  <c r="M3134" i="2"/>
  <c r="N3134" i="2" s="1"/>
  <c r="M443" i="2"/>
  <c r="N443" i="2" s="1"/>
  <c r="M39" i="2"/>
  <c r="N39" i="2" s="1"/>
  <c r="M1577" i="2"/>
  <c r="N1577" i="2" s="1"/>
  <c r="M1387" i="2"/>
  <c r="N1387" i="2" s="1"/>
  <c r="M37" i="2"/>
  <c r="N37" i="2" s="1"/>
  <c r="M351" i="2"/>
  <c r="N351" i="2" s="1"/>
  <c r="M610" i="2"/>
  <c r="N610" i="2" s="1"/>
  <c r="M2146" i="2"/>
  <c r="N2146" i="2" s="1"/>
  <c r="M607" i="2"/>
  <c r="N607" i="2" s="1"/>
  <c r="M606" i="2"/>
  <c r="N606" i="2" s="1"/>
  <c r="M1791" i="2"/>
  <c r="N1791" i="2" s="1"/>
  <c r="M2617" i="2"/>
  <c r="N2617" i="2" s="1"/>
  <c r="M2762" i="2"/>
  <c r="N2762" i="2" s="1"/>
  <c r="M1574" i="2"/>
  <c r="N1574" i="2" s="1"/>
  <c r="M604" i="2"/>
  <c r="N604" i="2" s="1"/>
  <c r="M603" i="2"/>
  <c r="N603" i="2" s="1"/>
  <c r="M1410" i="2"/>
  <c r="N1410" i="2" s="1"/>
  <c r="M33" i="2"/>
  <c r="N33" i="2" s="1"/>
  <c r="M2455" i="2"/>
  <c r="N2455" i="2" s="1"/>
  <c r="M600" i="2"/>
  <c r="N600" i="2" s="1"/>
  <c r="M599" i="2"/>
  <c r="N599" i="2" s="1"/>
  <c r="M2138" i="2"/>
  <c r="N2138" i="2" s="1"/>
  <c r="M2075" i="2"/>
  <c r="N2075" i="2" s="1"/>
  <c r="M2136" i="2"/>
  <c r="N2136" i="2" s="1"/>
  <c r="M1229" i="2"/>
  <c r="N1229" i="2" s="1"/>
  <c r="M598" i="2"/>
  <c r="N598" i="2" s="1"/>
  <c r="M2935" i="2"/>
  <c r="N2935" i="2" s="1"/>
  <c r="M2934" i="2"/>
  <c r="N2934" i="2" s="1"/>
  <c r="M1228" i="2"/>
  <c r="N1228" i="2" s="1"/>
  <c r="M2612" i="2"/>
  <c r="N2612" i="2" s="1"/>
  <c r="M1566" i="2"/>
  <c r="N1566" i="2" s="1"/>
  <c r="M1564" i="2"/>
  <c r="N1564" i="2" s="1"/>
  <c r="M595" i="2"/>
  <c r="N595" i="2" s="1"/>
  <c r="M27" i="2"/>
  <c r="N27" i="2" s="1"/>
  <c r="M2128" i="2"/>
  <c r="N2128" i="2" s="1"/>
  <c r="M2126" i="2"/>
  <c r="N2126" i="2" s="1"/>
  <c r="M1870" i="2"/>
  <c r="N1870" i="2" s="1"/>
  <c r="M594" i="2"/>
  <c r="N594" i="2" s="1"/>
  <c r="M2125" i="2"/>
  <c r="N2125" i="2" s="1"/>
  <c r="M592" i="2"/>
  <c r="N592" i="2" s="1"/>
  <c r="M2609" i="2"/>
  <c r="N2609" i="2" s="1"/>
  <c r="M1559" i="2"/>
  <c r="N1559" i="2" s="1"/>
  <c r="M589" i="2"/>
  <c r="N589" i="2" s="1"/>
  <c r="M25" i="2"/>
  <c r="N25" i="2" s="1"/>
  <c r="M2931" i="2"/>
  <c r="N2931" i="2" s="1"/>
  <c r="M588" i="2"/>
  <c r="N588" i="2" s="1"/>
  <c r="M2809" i="2"/>
  <c r="N2809" i="2" s="1"/>
  <c r="M2118" i="2"/>
  <c r="N2118" i="2" s="1"/>
  <c r="M2608" i="2"/>
  <c r="N2608" i="2" s="1"/>
  <c r="M438" i="2"/>
  <c r="N438" i="2" s="1"/>
  <c r="M2115" i="2"/>
  <c r="N2115" i="2" s="1"/>
  <c r="M2929" i="2"/>
  <c r="N2929" i="2" s="1"/>
  <c r="M1071" i="2"/>
  <c r="N1071" i="2" s="1"/>
  <c r="M522" i="2"/>
  <c r="N522" i="2" s="1"/>
  <c r="M1124" i="2"/>
  <c r="N1124" i="2" s="1"/>
  <c r="M1009" i="2"/>
  <c r="N1009" i="2" s="1"/>
  <c r="M2114" i="2"/>
  <c r="N2114" i="2" s="1"/>
  <c r="M585" i="2"/>
  <c r="N585" i="2" s="1"/>
  <c r="M2445" i="2"/>
  <c r="N2445" i="2" s="1"/>
  <c r="M1220" i="2"/>
  <c r="N1220" i="2" s="1"/>
  <c r="M1787" i="2"/>
  <c r="N1787" i="2" s="1"/>
  <c r="M1864" i="2"/>
  <c r="N1864" i="2" s="1"/>
  <c r="M2111" i="2"/>
  <c r="N2111" i="2" s="1"/>
  <c r="M1219" i="2"/>
  <c r="N1219" i="2" s="1"/>
  <c r="M581" i="2"/>
  <c r="N581" i="2" s="1"/>
  <c r="M2442" i="2"/>
  <c r="N2442" i="2" s="1"/>
  <c r="M1121" i="2"/>
  <c r="N1121" i="2" s="1"/>
  <c r="M2109" i="2"/>
  <c r="N2109" i="2" s="1"/>
  <c r="M1863" i="2"/>
  <c r="N1863" i="2" s="1"/>
  <c r="M576" i="2"/>
  <c r="N576" i="2" s="1"/>
  <c r="M575" i="2"/>
  <c r="N575" i="2" s="1"/>
  <c r="M1405" i="2"/>
  <c r="N1405" i="2" s="1"/>
  <c r="M1404" i="2"/>
  <c r="N1404" i="2" s="1"/>
  <c r="M2605" i="2"/>
  <c r="N2605" i="2" s="1"/>
  <c r="M2923" i="2"/>
  <c r="N2923" i="2" s="1"/>
  <c r="M572" i="2"/>
  <c r="N572" i="2" s="1"/>
  <c r="M2757" i="2"/>
  <c r="N2757" i="2" s="1"/>
  <c r="M567" i="2"/>
  <c r="N567" i="2" s="1"/>
  <c r="M2439" i="2"/>
  <c r="N2439" i="2" s="1"/>
  <c r="M1006" i="2"/>
  <c r="N1006" i="2" s="1"/>
  <c r="M1403" i="2"/>
  <c r="N1403" i="2" s="1"/>
  <c r="M2888" i="2"/>
  <c r="N2888" i="2" s="1"/>
  <c r="M1402" i="2"/>
  <c r="N1402" i="2" s="1"/>
  <c r="M2073" i="2"/>
  <c r="N2073" i="2" s="1"/>
  <c r="M1216" i="2"/>
  <c r="N1216" i="2" s="1"/>
  <c r="M1785" i="2"/>
  <c r="N1785" i="2" s="1"/>
  <c r="M2072" i="2"/>
  <c r="N2072" i="2" s="1"/>
  <c r="M343" i="2"/>
  <c r="N343" i="2" s="1"/>
  <c r="M993" i="2"/>
  <c r="N993" i="2" s="1"/>
  <c r="M2601" i="2"/>
  <c r="N2601" i="2" s="1"/>
  <c r="M1858" i="2"/>
  <c r="N1858" i="2" s="1"/>
  <c r="M1857" i="2"/>
  <c r="N1857" i="2" s="1"/>
  <c r="M1215" i="2"/>
  <c r="N1215" i="2" s="1"/>
  <c r="M561" i="2"/>
  <c r="N561" i="2" s="1"/>
  <c r="M560" i="2"/>
  <c r="N560" i="2" s="1"/>
  <c r="M2920" i="2"/>
  <c r="N2920" i="2" s="1"/>
  <c r="M1214" i="2"/>
  <c r="N1214" i="2" s="1"/>
  <c r="M15" i="2"/>
  <c r="N15" i="2" s="1"/>
  <c r="M1783" i="2"/>
  <c r="N1783" i="2" s="1"/>
  <c r="M1855" i="2"/>
  <c r="N1855" i="2" s="1"/>
  <c r="M340" i="2"/>
  <c r="N340" i="2" s="1"/>
  <c r="M2098" i="2"/>
  <c r="N2098" i="2" s="1"/>
  <c r="M13" i="2"/>
  <c r="N13" i="2" s="1"/>
  <c r="M1004" i="2"/>
  <c r="N1004" i="2" s="1"/>
  <c r="M2096" i="2"/>
  <c r="N2096" i="2" s="1"/>
  <c r="M2433" i="2"/>
  <c r="N2433" i="2" s="1"/>
  <c r="M551" i="2"/>
  <c r="N551" i="2" s="1"/>
  <c r="M1540" i="2"/>
  <c r="N1540" i="2" s="1"/>
  <c r="M1003" i="2"/>
  <c r="N1003" i="2" s="1"/>
  <c r="M2594" i="2"/>
  <c r="N2594" i="2" s="1"/>
  <c r="M275" i="2"/>
  <c r="N275" i="2" s="1"/>
  <c r="M2913" i="2"/>
  <c r="N2913" i="2" s="1"/>
  <c r="M2070" i="2"/>
  <c r="N2070" i="2" s="1"/>
  <c r="M2912" i="2"/>
  <c r="N2912" i="2" s="1"/>
  <c r="M2752" i="2"/>
  <c r="N2752" i="2" s="1"/>
  <c r="F12" i="1"/>
  <c r="E13" i="4"/>
  <c r="F13" i="4" s="1"/>
  <c r="G13" i="4" s="1"/>
  <c r="H13" i="4" s="1"/>
  <c r="I13" i="4" s="1"/>
  <c r="J13" i="4" s="1"/>
  <c r="R13" i="4" s="1"/>
  <c r="G5" i="1" l="1"/>
  <c r="F22" i="1"/>
  <c r="K274" i="2"/>
  <c r="J3181" i="2"/>
  <c r="G12" i="1"/>
  <c r="E24" i="4"/>
  <c r="F24" i="4" s="1"/>
  <c r="G24" i="4" s="1"/>
  <c r="H24" i="4" s="1"/>
  <c r="E19" i="4"/>
  <c r="F19" i="4" s="1"/>
  <c r="G19" i="4" s="1"/>
  <c r="H19" i="4" s="1"/>
  <c r="I19" i="4" s="1"/>
  <c r="J19" i="4" s="1"/>
  <c r="R19" i="4" s="1"/>
  <c r="E9" i="4"/>
  <c r="F9" i="4" s="1"/>
  <c r="G9" i="4" s="1"/>
  <c r="H9" i="4" s="1"/>
  <c r="E8" i="4"/>
  <c r="E18" i="4"/>
  <c r="F18" i="4" s="1"/>
  <c r="G18" i="4" s="1"/>
  <c r="H18" i="4" s="1"/>
  <c r="E30" i="4"/>
  <c r="F30" i="4" s="1"/>
  <c r="G30" i="4" s="1"/>
  <c r="H30" i="4" s="1"/>
  <c r="E15" i="4"/>
  <c r="F15" i="4" s="1"/>
  <c r="G15" i="4" s="1"/>
  <c r="H15" i="4" s="1"/>
  <c r="E26" i="4"/>
  <c r="F26" i="4" s="1"/>
  <c r="G26" i="4" s="1"/>
  <c r="H26" i="4" s="1"/>
  <c r="E22" i="4"/>
  <c r="F22" i="4" s="1"/>
  <c r="G22" i="4" s="1"/>
  <c r="H22" i="4" s="1"/>
  <c r="I22" i="4" s="1"/>
  <c r="J22" i="4" s="1"/>
  <c r="R22" i="4" s="1"/>
  <c r="E27" i="4"/>
  <c r="F27" i="4" s="1"/>
  <c r="G27" i="4" s="1"/>
  <c r="H27" i="4" s="1"/>
  <c r="E14" i="4"/>
  <c r="F14" i="4" s="1"/>
  <c r="G14" i="4" s="1"/>
  <c r="H14" i="4" s="1"/>
  <c r="E21" i="4"/>
  <c r="F21" i="4" s="1"/>
  <c r="G21" i="4" s="1"/>
  <c r="H21" i="4" s="1"/>
  <c r="E12" i="4"/>
  <c r="F12" i="4" s="1"/>
  <c r="H5" i="1" l="1"/>
  <c r="G22" i="1"/>
  <c r="F8" i="4"/>
  <c r="E31" i="4"/>
  <c r="L274" i="2"/>
  <c r="K3181" i="2"/>
  <c r="I26" i="4"/>
  <c r="J26" i="4" s="1"/>
  <c r="R26" i="4" s="1"/>
  <c r="I15" i="4"/>
  <c r="J15" i="4" s="1"/>
  <c r="R15" i="4" s="1"/>
  <c r="I30" i="4"/>
  <c r="J30" i="4" s="1"/>
  <c r="R30" i="4" s="1"/>
  <c r="I21" i="4"/>
  <c r="J21" i="4" s="1"/>
  <c r="R21" i="4" s="1"/>
  <c r="I14" i="4"/>
  <c r="J14" i="4" s="1"/>
  <c r="R14" i="4" s="1"/>
  <c r="I9" i="4"/>
  <c r="J9" i="4" s="1"/>
  <c r="R9" i="4" s="1"/>
  <c r="I27" i="4"/>
  <c r="J27" i="4" s="1"/>
  <c r="R27" i="4" s="1"/>
  <c r="G12" i="4"/>
  <c r="I18" i="4"/>
  <c r="J18" i="4" s="1"/>
  <c r="R18" i="4" s="1"/>
  <c r="I24" i="4"/>
  <c r="J24" i="4" s="1"/>
  <c r="R24" i="4" s="1"/>
  <c r="H12" i="1"/>
  <c r="J5" i="1" l="1"/>
  <c r="S5" i="1" s="1"/>
  <c r="H22" i="1"/>
  <c r="G8" i="4"/>
  <c r="F31" i="4"/>
  <c r="L3181" i="2"/>
  <c r="M274" i="2"/>
  <c r="J12" i="1"/>
  <c r="S12" i="1" s="1"/>
  <c r="H12" i="4"/>
  <c r="S22" i="1" l="1"/>
  <c r="J22" i="1"/>
  <c r="H8" i="4"/>
  <c r="G31" i="4"/>
  <c r="N274" i="2"/>
  <c r="N3181" i="2" s="1"/>
  <c r="M3181" i="2"/>
  <c r="I12" i="4"/>
  <c r="H31" i="4" l="1"/>
  <c r="I8" i="4"/>
  <c r="J12" i="4"/>
  <c r="R12" i="4" s="1"/>
  <c r="J8" i="4" l="1"/>
  <c r="I31" i="4"/>
  <c r="J31" i="4" l="1"/>
  <c r="R8" i="4"/>
  <c r="R31" i="4" s="1"/>
</calcChain>
</file>

<file path=xl/sharedStrings.xml><?xml version="1.0" encoding="utf-8"?>
<sst xmlns="http://schemas.openxmlformats.org/spreadsheetml/2006/main" count="34944" uniqueCount="18715">
  <si>
    <t>1301070000572114</t>
  </si>
  <si>
    <t>1301520001640461</t>
  </si>
  <si>
    <t>1301250001522280</t>
  </si>
  <si>
    <t>1301040002250513</t>
  </si>
  <si>
    <t>1301370007475889</t>
  </si>
  <si>
    <t>Rastriya Banijya Bank Limited (7% RBBL Debenture 2088)</t>
  </si>
  <si>
    <t>Bank Wise Verified List</t>
  </si>
  <si>
    <t>S.N</t>
  </si>
  <si>
    <t>BOID</t>
  </si>
  <si>
    <t>APPLICANT_NAME</t>
  </si>
  <si>
    <t>FATHER_NAME_MOTHER_NAME</t>
  </si>
  <si>
    <t>GRANDFATHER_NAME_SPOUSE_NAME</t>
  </si>
  <si>
    <t>CITIZENSHIP_NUMBER</t>
  </si>
  <si>
    <t>ISSUED_FROM</t>
  </si>
  <si>
    <t>BANK</t>
  </si>
  <si>
    <t>ACCOUNT_NUMBER</t>
  </si>
  <si>
    <t>AMOUNT</t>
  </si>
  <si>
    <t>ALLOTED_QUANTITY</t>
  </si>
  <si>
    <t>1301370006444491</t>
  </si>
  <si>
    <t>SHYAM PRASAD PHUYAL</t>
  </si>
  <si>
    <t>KRISHNA PRASAD PHUYAL</t>
  </si>
  <si>
    <t>GANGA BASNET PHUYAL</t>
  </si>
  <si>
    <t>30-01-72-00031</t>
  </si>
  <si>
    <t>KAVREPALANCHOWK</t>
  </si>
  <si>
    <t>NIC ASIA BANK LTD.(2301)</t>
  </si>
  <si>
    <t>0195752546498001</t>
  </si>
  <si>
    <t>1301240000029764</t>
  </si>
  <si>
    <t>YAHUN CHANDRA SIBAKOTI</t>
  </si>
  <si>
    <t>CHANDRAMANI SIBAKOTI</t>
  </si>
  <si>
    <t>NANDALAL SIBAKOTI / MEENA TAMANG SIBAKOTI</t>
  </si>
  <si>
    <t>252/032</t>
  </si>
  <si>
    <t>KATHMANDU</t>
  </si>
  <si>
    <t>RASTRIYA BANIJYA BANK LTD.(201)</t>
  </si>
  <si>
    <t>1360100017490010</t>
  </si>
  <si>
    <t>1301730000709114</t>
  </si>
  <si>
    <t>BISHAL KUNWAR</t>
  </si>
  <si>
    <t>GIRI BAHADUR KUNWAR/KRISHNA KUNWAR</t>
  </si>
  <si>
    <t>INDRA BAHADUR KUNWAR</t>
  </si>
  <si>
    <t>37-02-71-15248</t>
  </si>
  <si>
    <t>RUPANDEHI</t>
  </si>
  <si>
    <t>Nepal Investment Mega Bank Ltd.(501)</t>
  </si>
  <si>
    <t>00905350250610</t>
  </si>
  <si>
    <t>1301040000021158</t>
  </si>
  <si>
    <t>KABINDRA VERMA</t>
  </si>
  <si>
    <t>SHYAM KUMAR VERMA</t>
  </si>
  <si>
    <t>GANGA PRASED</t>
  </si>
  <si>
    <t>7296</t>
  </si>
  <si>
    <t>Nabil Bank Ltd.(401)</t>
  </si>
  <si>
    <t>4610017506235</t>
  </si>
  <si>
    <t>1301650002365090</t>
  </si>
  <si>
    <t>RAKESH SINGH DHAMI</t>
  </si>
  <si>
    <t>KAMAL SINGH DHAMI</t>
  </si>
  <si>
    <t>KALYAN SINGH DHAMI/KUMARI BHIRKO DHAMI</t>
  </si>
  <si>
    <t>072102154413</t>
  </si>
  <si>
    <t>DARCHULA</t>
  </si>
  <si>
    <t>4090100000179106</t>
  </si>
  <si>
    <t>1301370000043033</t>
  </si>
  <si>
    <t>Alok Kumar Singh</t>
  </si>
  <si>
    <t>Bishwanath Singh</t>
  </si>
  <si>
    <t>Jagat Narayan Singh</t>
  </si>
  <si>
    <t>20271584</t>
  </si>
  <si>
    <t>SARLAHI</t>
  </si>
  <si>
    <t>5010017510559</t>
  </si>
  <si>
    <t>1301060002324277</t>
  </si>
  <si>
    <t>ANIL KUMAR SHRESTHA</t>
  </si>
  <si>
    <t>ARJUN SHRESTHA</t>
  </si>
  <si>
    <t>KRISHNA LAL SHRESTHA</t>
  </si>
  <si>
    <t>7926</t>
  </si>
  <si>
    <t>05005050045242</t>
  </si>
  <si>
    <t>1301650001871992</t>
  </si>
  <si>
    <t>RANJIT PRASAD KUSHWAHA</t>
  </si>
  <si>
    <t>DINESH MAHATO KOIRI</t>
  </si>
  <si>
    <t>SHIVDHARI MAHATO KOIRI/`</t>
  </si>
  <si>
    <t>32017502415</t>
  </si>
  <si>
    <t>RAUTAHAT</t>
  </si>
  <si>
    <t>1890100007152010</t>
  </si>
  <si>
    <t>1301190000118722</t>
  </si>
  <si>
    <t>SAMREETA BHATTARAI</t>
  </si>
  <si>
    <t>RAM PRASAD BHATTARAI</t>
  </si>
  <si>
    <t>PADAM LAL BHATTARAI</t>
  </si>
  <si>
    <t>271060/81817</t>
  </si>
  <si>
    <t>PRABHU BANK LTD.(2601)</t>
  </si>
  <si>
    <t>0340223716300012</t>
  </si>
  <si>
    <t>1301060000093920</t>
  </si>
  <si>
    <t>SANDHYA BAJRACHARYA</t>
  </si>
  <si>
    <t>SIDDHI RATNA SHAKYA</t>
  </si>
  <si>
    <t>GYAN KAJI SHAKYA</t>
  </si>
  <si>
    <t>8/969</t>
  </si>
  <si>
    <t>00705010004854</t>
  </si>
  <si>
    <t>1301040000045122</t>
  </si>
  <si>
    <t>SATENDRA BHATTARAI</t>
  </si>
  <si>
    <t>SHIVA PRASAD BHATTARAI</t>
  </si>
  <si>
    <t>AJEETA SIGDEL/PADMA PRASAD BHATTARAI</t>
  </si>
  <si>
    <t>11706</t>
  </si>
  <si>
    <t>SANIMA BANK LTD.(4501)</t>
  </si>
  <si>
    <t>001000033690V</t>
  </si>
  <si>
    <t>1301120004790848</t>
  </si>
  <si>
    <t>SANDIP KUMAR SINGH</t>
  </si>
  <si>
    <t>BINDESHARI MAHATO CHANAU / SIYA DEVI</t>
  </si>
  <si>
    <t>RAMADHAR MAHATO CHANAU /</t>
  </si>
  <si>
    <t>33-01-76-06946</t>
  </si>
  <si>
    <t>BARA</t>
  </si>
  <si>
    <t>2019</t>
  </si>
  <si>
    <t>GLOBAL IME BANK LTD.(1901)</t>
  </si>
  <si>
    <t>24907010155892</t>
  </si>
  <si>
    <t>1301020000003795</t>
  </si>
  <si>
    <t>PUSPA REGMI</t>
  </si>
  <si>
    <t>SHREEDHAR ACHARYA</t>
  </si>
  <si>
    <t>SHREE HARI ACHARYA</t>
  </si>
  <si>
    <t>22-08-2023</t>
  </si>
  <si>
    <t>05005050026442</t>
  </si>
  <si>
    <t>1301250000031105</t>
  </si>
  <si>
    <t>nawaraj khadka</t>
  </si>
  <si>
    <t>krishna bahadur khadka</t>
  </si>
  <si>
    <t>narayani khadka / khet bahadur khadka</t>
  </si>
  <si>
    <t>20404</t>
  </si>
  <si>
    <t>PRIME COMMERCIAL BANK LTD.(2101)</t>
  </si>
  <si>
    <t>21201000000000219005</t>
  </si>
  <si>
    <t>1301510000370069</t>
  </si>
  <si>
    <t>TUMMA NATH KAFLE</t>
  </si>
  <si>
    <t>LAXMI PRASAD KAFLE</t>
  </si>
  <si>
    <t>DHARMANANDA KAFLE</t>
  </si>
  <si>
    <t>12134512</t>
  </si>
  <si>
    <t>TERATHUM</t>
  </si>
  <si>
    <t>18910017501728</t>
  </si>
  <si>
    <t>1301720000122745</t>
  </si>
  <si>
    <t>MAHENDRA PRASAD CHUALAGAIN</t>
  </si>
  <si>
    <t>AMBIKA PRASAD CHAULAGAIN/BINDA CHAULAGAIN</t>
  </si>
  <si>
    <t>SITA DEVI DHAKAL/BADRINATH CHAULAGAIN</t>
  </si>
  <si>
    <t>3815</t>
  </si>
  <si>
    <t>Agricultural Development Bank Ltd.(301)</t>
  </si>
  <si>
    <t>0508100678965014</t>
  </si>
  <si>
    <t>1301090003115022</t>
  </si>
  <si>
    <t>KANCHHI MAIYA GIRI</t>
  </si>
  <si>
    <t>MURALI GIRI</t>
  </si>
  <si>
    <t>RAMJI GIRI</t>
  </si>
  <si>
    <t>6757</t>
  </si>
  <si>
    <t>SIDDHARTHA BANK LTD.(1801)</t>
  </si>
  <si>
    <t>01618617710</t>
  </si>
  <si>
    <t>1301120002236497</t>
  </si>
  <si>
    <t>MINU BOSEL THAPA</t>
  </si>
  <si>
    <t>PADAM BAHADUR BOSEL/MAYA DEVI BOSEL</t>
  </si>
  <si>
    <t>BAM BAHADUR BOSEL/KHIM BAHADUR THAPA</t>
  </si>
  <si>
    <t>501005/6439</t>
  </si>
  <si>
    <t>BAGLUNG</t>
  </si>
  <si>
    <t>08807010002589</t>
  </si>
  <si>
    <t>1301060002749405</t>
  </si>
  <si>
    <t>SHREEYOG MAINALI</t>
  </si>
  <si>
    <t>YOGENDRA MAINALI</t>
  </si>
  <si>
    <t>RABINDRA MAINALI</t>
  </si>
  <si>
    <t>2078120304567</t>
  </si>
  <si>
    <t>JHAPA</t>
  </si>
  <si>
    <t>00405150270861</t>
  </si>
  <si>
    <t>1301130000140711</t>
  </si>
  <si>
    <t>SURYA BAHADUR THAPA</t>
  </si>
  <si>
    <t>JHAMAN SINGH THAPA</t>
  </si>
  <si>
    <t>BUDDHI SINGH THAPA</t>
  </si>
  <si>
    <t>789/039</t>
  </si>
  <si>
    <t>GULMI</t>
  </si>
  <si>
    <t>EVEREST BANK LTD.(1001)</t>
  </si>
  <si>
    <t>02900501207567</t>
  </si>
  <si>
    <t>1301120005294064</t>
  </si>
  <si>
    <t>MUNA REGMI</t>
  </si>
  <si>
    <t>GEM PRASAD REGMI</t>
  </si>
  <si>
    <t>TIKA PRASAD REGMI</t>
  </si>
  <si>
    <t>352008/3840</t>
  </si>
  <si>
    <t>CHITWAN</t>
  </si>
  <si>
    <t>21007010114950</t>
  </si>
  <si>
    <t>1301090001707489</t>
  </si>
  <si>
    <t>BHUPES KUMAR KC</t>
  </si>
  <si>
    <t>AMAR SINGH KHATRI</t>
  </si>
  <si>
    <t>TIL BAHADUR KHATRI</t>
  </si>
  <si>
    <t>631027/294</t>
  </si>
  <si>
    <t>DAILEKH</t>
  </si>
  <si>
    <t>01516196780</t>
  </si>
  <si>
    <t>1301760000358449</t>
  </si>
  <si>
    <t>BABU RAM NEUPANE</t>
  </si>
  <si>
    <t>TIKARAM NEUPANE</t>
  </si>
  <si>
    <t>INDRA PATI NEUPANE</t>
  </si>
  <si>
    <t>41-01-74-07217</t>
  </si>
  <si>
    <t>GARIMA BIKAS BANK LTD.(6601)</t>
  </si>
  <si>
    <t>04301900831314000001</t>
  </si>
  <si>
    <t>1301370006839048</t>
  </si>
  <si>
    <t>DHAN BAHADUR SHRESTHA</t>
  </si>
  <si>
    <t>BHAKT LAL SHRESTHA</t>
  </si>
  <si>
    <t>2278/58810</t>
  </si>
  <si>
    <t>SINDHUPALCHOK</t>
  </si>
  <si>
    <t>0265752738970001</t>
  </si>
  <si>
    <t>1301120004752565</t>
  </si>
  <si>
    <t>ANIL KUMAR SAH</t>
  </si>
  <si>
    <t>HIRALAL SAH</t>
  </si>
  <si>
    <t>NAUTHANI SAH</t>
  </si>
  <si>
    <t>16-01-72-04257</t>
  </si>
  <si>
    <t>SAPTARI</t>
  </si>
  <si>
    <t>03309011581456</t>
  </si>
  <si>
    <t>1301020000003723</t>
  </si>
  <si>
    <t>BALRAM REGMI</t>
  </si>
  <si>
    <t>MADHUSUDHAN REGMI</t>
  </si>
  <si>
    <t>PUSPA REGMI/ NARAYAN PRASAD REGMI</t>
  </si>
  <si>
    <t>27-01-80-07267</t>
  </si>
  <si>
    <t>05005030250207</t>
  </si>
  <si>
    <t>1301040000149867</t>
  </si>
  <si>
    <t>ARCHAN MANI DIXIT</t>
  </si>
  <si>
    <t>ARJUN MANI ACHARYA DIXIT</t>
  </si>
  <si>
    <t>PRADHYUMNA MANI DIXIT</t>
  </si>
  <si>
    <t>271060/57690/47</t>
  </si>
  <si>
    <t>3110017516261</t>
  </si>
  <si>
    <t>1301370002186316</t>
  </si>
  <si>
    <t>ADIT PRADHAN</t>
  </si>
  <si>
    <t>HEERA BAHADUR PRADHAN</t>
  </si>
  <si>
    <t>GANGA BAHADUR PRADHAN</t>
  </si>
  <si>
    <t>04017310970</t>
  </si>
  <si>
    <t>0675750937405002</t>
  </si>
  <si>
    <t>1301530000583821</t>
  </si>
  <si>
    <t>EMI LHAMU SHERPA</t>
  </si>
  <si>
    <t>ANG PEMBA SHERPA / SONIYA MIYAHARA</t>
  </si>
  <si>
    <t>DORJE SHERPA</t>
  </si>
  <si>
    <t>100618</t>
  </si>
  <si>
    <t>SOLUKHUMBU</t>
  </si>
  <si>
    <t>NEPAL SBI BANK LTD.(801)</t>
  </si>
  <si>
    <t>20215243100060</t>
  </si>
  <si>
    <t>1301120000166851</t>
  </si>
  <si>
    <t>Shanker Man Singh</t>
  </si>
  <si>
    <t>Dasharath Man Singh</t>
  </si>
  <si>
    <t>Indra Man Singh</t>
  </si>
  <si>
    <t>1612</t>
  </si>
  <si>
    <t>PALPA</t>
  </si>
  <si>
    <t>00108010021249</t>
  </si>
  <si>
    <t>1301370002641919</t>
  </si>
  <si>
    <t>KAMALADI BASTOLA</t>
  </si>
  <si>
    <t>MADHAV PRASAD BASTOLA</t>
  </si>
  <si>
    <t>SITARAM BASTOLA</t>
  </si>
  <si>
    <t>8081/32</t>
  </si>
  <si>
    <t>SANKHUWASABHA</t>
  </si>
  <si>
    <t>0287986072952401</t>
  </si>
  <si>
    <t>1301060002918091</t>
  </si>
  <si>
    <t>MEGH BAHADUR KARKI</t>
  </si>
  <si>
    <t>TAMBAR BAHADUR KARKI</t>
  </si>
  <si>
    <t>RANAMAN KARKI</t>
  </si>
  <si>
    <t>139927/206/2591</t>
  </si>
  <si>
    <t>KHOTANG</t>
  </si>
  <si>
    <t>02405030272445</t>
  </si>
  <si>
    <t>1301370006438298</t>
  </si>
  <si>
    <t>BACHHU SHRESTHA</t>
  </si>
  <si>
    <t>AMBAR BAHADUR SHRESTHA</t>
  </si>
  <si>
    <t>DIL BAHADUR SHRESTHA</t>
  </si>
  <si>
    <t>05-01-70-22360</t>
  </si>
  <si>
    <t>MORANG</t>
  </si>
  <si>
    <t>2145759504410001</t>
  </si>
  <si>
    <t>1301040002812008</t>
  </si>
  <si>
    <t>BEM RAJ PUN</t>
  </si>
  <si>
    <t>LAL BAHADUR PUN/RUKMAYA PUN</t>
  </si>
  <si>
    <t>/LACHCHIMAN PUN</t>
  </si>
  <si>
    <t>491008/1304</t>
  </si>
  <si>
    <t>MYAGDI</t>
  </si>
  <si>
    <t>01210017534567</t>
  </si>
  <si>
    <t>1301090004478299</t>
  </si>
  <si>
    <t>MANISHA VERMA</t>
  </si>
  <si>
    <t>RAJESH KUMAR VERMA</t>
  </si>
  <si>
    <t>BHAWANLAL VERMA</t>
  </si>
  <si>
    <t>66-01-76-03604</t>
  </si>
  <si>
    <t>BANKE</t>
  </si>
  <si>
    <t>01516700260</t>
  </si>
  <si>
    <t>1301090001291928</t>
  </si>
  <si>
    <t>AAYUSH PAUDEL</t>
  </si>
  <si>
    <t>PASHUPATI PAUDEL</t>
  </si>
  <si>
    <t>CHAKRACHUDAMANI PAUDEL</t>
  </si>
  <si>
    <t>40-01-78-02182</t>
  </si>
  <si>
    <t>ARGHAKHANCHI</t>
  </si>
  <si>
    <t>01315589920</t>
  </si>
  <si>
    <t>1301730001983395</t>
  </si>
  <si>
    <t>KAMAL GURUNG</t>
  </si>
  <si>
    <t>KUL BAHADUR GURUNG/PAD MAYA GURUNG</t>
  </si>
  <si>
    <t>RAN BAHADUR GURUNG</t>
  </si>
  <si>
    <t>22976</t>
  </si>
  <si>
    <t>PARBAT</t>
  </si>
  <si>
    <t>22905080000086</t>
  </si>
  <si>
    <t>1301240001485951</t>
  </si>
  <si>
    <t>DINESH SHRESTHA</t>
  </si>
  <si>
    <t>RAMJI LAL SHRESTHA</t>
  </si>
  <si>
    <t>TEK BAHADUR SHRESTHA</t>
  </si>
  <si>
    <t>44-01-71-03528</t>
  </si>
  <si>
    <t>GORKHA</t>
  </si>
  <si>
    <t>Laxmi Sunrise Bank Limited.(2201)</t>
  </si>
  <si>
    <t>0281089798205001</t>
  </si>
  <si>
    <t>1301090000294499</t>
  </si>
  <si>
    <t>VINITA PRADHAN SHRESTHA</t>
  </si>
  <si>
    <t>JYAN BAHADUR PRADHAN</t>
  </si>
  <si>
    <t>SAMSHER BAHADUR PRADHAN</t>
  </si>
  <si>
    <t>1476-2813</t>
  </si>
  <si>
    <t>00710022126037</t>
  </si>
  <si>
    <t>1301650000003994</t>
  </si>
  <si>
    <t>TULASI MANI ADHIKARI</t>
  </si>
  <si>
    <t>AGANDHAR ADHIKARI / MIN KARNI ADHIKARI</t>
  </si>
  <si>
    <t>JAMUNA DEBI SUDEBI ADHIKARI / HIM LAL ADHIKARI</t>
  </si>
  <si>
    <t>58505</t>
  </si>
  <si>
    <t>KASKI</t>
  </si>
  <si>
    <t>3020100014522011</t>
  </si>
  <si>
    <t>1301240001055682</t>
  </si>
  <si>
    <t>GOMA SHRESTHA</t>
  </si>
  <si>
    <t>UDAYA PRASAD SHRESTHA</t>
  </si>
  <si>
    <t>PADAM BAHADUR SHRESTHA</t>
  </si>
  <si>
    <t>44-01-73-03359</t>
  </si>
  <si>
    <t>0280365237202001</t>
  </si>
  <si>
    <t>1301650001832999</t>
  </si>
  <si>
    <t>SHUBHAM GHIMIRE</t>
  </si>
  <si>
    <t>KRISHNA PRASAD GHIMIRE</t>
  </si>
  <si>
    <t>RAM PRASAD GHIMIRE</t>
  </si>
  <si>
    <t>150</t>
  </si>
  <si>
    <t>KAPILVASTU</t>
  </si>
  <si>
    <t>3530100006007010</t>
  </si>
  <si>
    <t>1301120001742134</t>
  </si>
  <si>
    <t>RAM KRISHNA LAMICHHANE</t>
  </si>
  <si>
    <t>JIBAKHAR LAMICHHANE</t>
  </si>
  <si>
    <t>MADIRATNA  LAMICHHANE</t>
  </si>
  <si>
    <t>14551</t>
  </si>
  <si>
    <t>06607010004383</t>
  </si>
  <si>
    <t>1301090000842158</t>
  </si>
  <si>
    <t>RANJANA KUMARI SHAH</t>
  </si>
  <si>
    <t>BHAGWAT PRASAD SAH/SUSHILA SAH</t>
  </si>
  <si>
    <t>LAXMAN PRASAD SHAH/DIPAK SAH</t>
  </si>
  <si>
    <t>16-01-69-01621</t>
  </si>
  <si>
    <t>03115061900</t>
  </si>
  <si>
    <t>1301610000177354</t>
  </si>
  <si>
    <t>URMILA RANA</t>
  </si>
  <si>
    <t>SOM BAHADUR GURUNG</t>
  </si>
  <si>
    <t>DHAN BAHADUR GURUNG</t>
  </si>
  <si>
    <t>421005-97463</t>
  </si>
  <si>
    <t>SYANGJA</t>
  </si>
  <si>
    <t>MACHHAPUCHHRE BANK LTD.(1501)</t>
  </si>
  <si>
    <t>0390073848900011</t>
  </si>
  <si>
    <t>1301100001687179</t>
  </si>
  <si>
    <t>AASHISH PAUDEL</t>
  </si>
  <si>
    <t>MAHESHOR PAUDEL</t>
  </si>
  <si>
    <t>KARUNANIDHI PAUDEL</t>
  </si>
  <si>
    <t>461045/753</t>
  </si>
  <si>
    <t>NMB BANK LTD.(2501)</t>
  </si>
  <si>
    <t>1230153988800013</t>
  </si>
  <si>
    <t>1301120001489299</t>
  </si>
  <si>
    <t>PRABINA ACHARYA</t>
  </si>
  <si>
    <t>PARSHU RAM ACHARYA/SABITRA LAMSAL</t>
  </si>
  <si>
    <t>KHADA NANDA ACHARYA</t>
  </si>
  <si>
    <t>40-01-71-02145</t>
  </si>
  <si>
    <t>03807010005897</t>
  </si>
  <si>
    <t>1301770000222361</t>
  </si>
  <si>
    <t>PEMA SHERPA</t>
  </si>
  <si>
    <t>PALDEN SHERPA</t>
  </si>
  <si>
    <t>SANGE LAMA</t>
  </si>
  <si>
    <t>9411/2487</t>
  </si>
  <si>
    <t>HIMALAYAN BANK LTD.(701)</t>
  </si>
  <si>
    <t>03105974690017</t>
  </si>
  <si>
    <t>1301260002695218</t>
  </si>
  <si>
    <t>SUJIT GURUNG</t>
  </si>
  <si>
    <t>KANCHHA GURUNG/CHIMAYA GURUNG</t>
  </si>
  <si>
    <t>SUNTARAM GURUNG</t>
  </si>
  <si>
    <t>44017204246</t>
  </si>
  <si>
    <t>1590262711900018</t>
  </si>
  <si>
    <t>1301120004589321</t>
  </si>
  <si>
    <t>ANKIT GUPTA</t>
  </si>
  <si>
    <t>ABHAY PRASAD GUPTA/MANJU DEVI</t>
  </si>
  <si>
    <t>PARMANAND PRASAD GUPTA</t>
  </si>
  <si>
    <t>34-01-80-03649</t>
  </si>
  <si>
    <t>PARSA</t>
  </si>
  <si>
    <t>26707010367394</t>
  </si>
  <si>
    <t>1301200000002448</t>
  </si>
  <si>
    <t>ACHUT RAJ SAPKOTA</t>
  </si>
  <si>
    <t>MITRA LAL SAPKOTA</t>
  </si>
  <si>
    <t>DAMODAR SAPKOTA</t>
  </si>
  <si>
    <t>47275/32862</t>
  </si>
  <si>
    <t>19905080024839</t>
  </si>
  <si>
    <t>1301060001216791</t>
  </si>
  <si>
    <t>SANTOSH PANT</t>
  </si>
  <si>
    <t>RESHAM PANT</t>
  </si>
  <si>
    <t>DILLY RAJ PANT</t>
  </si>
  <si>
    <t>135080</t>
  </si>
  <si>
    <t>01605080062268</t>
  </si>
  <si>
    <t>1301090001261031</t>
  </si>
  <si>
    <t>BRIHAT RATNA BAJRACHARYA</t>
  </si>
  <si>
    <t>SAMEK RATNA BAJRACHARYA</t>
  </si>
  <si>
    <t>BABUKAJI BAJRACHARYA</t>
  </si>
  <si>
    <t>29-01-068-03661</t>
  </si>
  <si>
    <t>BHAKTAPUR</t>
  </si>
  <si>
    <t>00900028151</t>
  </si>
  <si>
    <t>1301090004320724</t>
  </si>
  <si>
    <t>SONAM CHAURASIA</t>
  </si>
  <si>
    <t>HARI SHANNKAR BHAGAT BAIRE</t>
  </si>
  <si>
    <t>JAGDEV BHAGAT BAIRE</t>
  </si>
  <si>
    <t>16-01-70-4747</t>
  </si>
  <si>
    <t>01415233592</t>
  </si>
  <si>
    <t>1301120005359260</t>
  </si>
  <si>
    <t>MUKESH SAPKOTA SHARMA</t>
  </si>
  <si>
    <t>NARAYAN PRASAD SAPKOTA</t>
  </si>
  <si>
    <t>BHAWANI SHANKAR SAPKOTA</t>
  </si>
  <si>
    <t>411041/84459</t>
  </si>
  <si>
    <t>14707010059398</t>
  </si>
  <si>
    <t>1301060003296710</t>
  </si>
  <si>
    <t>DIGVI MALLA</t>
  </si>
  <si>
    <t>SUJAL MALLA</t>
  </si>
  <si>
    <t>KRISHNA BAHADUR MALLA</t>
  </si>
  <si>
    <t>2081010904904</t>
  </si>
  <si>
    <t>28805350250214</t>
  </si>
  <si>
    <t>1301040000209856</t>
  </si>
  <si>
    <t>KAPIL GHIMIRE</t>
  </si>
  <si>
    <t>AMRIT PRASAD GHIMIRE/SURYA MAYA GHIMIRE</t>
  </si>
  <si>
    <t>MAYANATH GHIMIRE/SANJITA DHAKAL</t>
  </si>
  <si>
    <t>8271//044</t>
  </si>
  <si>
    <t>2410017505200</t>
  </si>
  <si>
    <t>1301090004320889</t>
  </si>
  <si>
    <t>AADHYA RAUT</t>
  </si>
  <si>
    <t>RAMESH RAUT</t>
  </si>
  <si>
    <t>KIRTAN BARAI RAUT</t>
  </si>
  <si>
    <t>230</t>
  </si>
  <si>
    <t>SUNSARI</t>
  </si>
  <si>
    <t>01415201163</t>
  </si>
  <si>
    <t>1301240000698891</t>
  </si>
  <si>
    <t>RANJU BHAGAT RAUT</t>
  </si>
  <si>
    <t>MAHENDRA RAUT BAIRA</t>
  </si>
  <si>
    <t>BASUDEV RAUT BAIRA</t>
  </si>
  <si>
    <t>2771</t>
  </si>
  <si>
    <t>02810215083011</t>
  </si>
  <si>
    <t>1301060000775411</t>
  </si>
  <si>
    <t>ANJANA RAI</t>
  </si>
  <si>
    <t>RAM BAHADUR RAI</t>
  </si>
  <si>
    <t>SHIWA KARNA RAI</t>
  </si>
  <si>
    <t>23111880</t>
  </si>
  <si>
    <t>GURKHAS FINANCE LTD.(8301)</t>
  </si>
  <si>
    <t>00111700009493000001</t>
  </si>
  <si>
    <t>1301100002418116</t>
  </si>
  <si>
    <t>SANDESH KOIRALA</t>
  </si>
  <si>
    <t>SURESH KOIRALA</t>
  </si>
  <si>
    <t>BHAIRAB PRASAD KOIRALA</t>
  </si>
  <si>
    <t>46-01-70-09068</t>
  </si>
  <si>
    <t>1520174081400016</t>
  </si>
  <si>
    <t>1301170000102374</t>
  </si>
  <si>
    <t>MOHIT KUMAR GUPTA</t>
  </si>
  <si>
    <t>BHARAT PRASAD GUPTA</t>
  </si>
  <si>
    <t>SHIVA PUJAN PRASAD  GUPTA</t>
  </si>
  <si>
    <t>160330850</t>
  </si>
  <si>
    <t>CITIZENS BANK INTERNATIONAL LTD.(2001)</t>
  </si>
  <si>
    <t>0030100000693016</t>
  </si>
  <si>
    <t>1301650001100820</t>
  </si>
  <si>
    <t>TILU KUMARI DANGI(KATHAYAT)</t>
  </si>
  <si>
    <t>NARAHARI DANGI</t>
  </si>
  <si>
    <t>KALA DANGI/NARENDRA KATHAYAT</t>
  </si>
  <si>
    <t>57100212239</t>
  </si>
  <si>
    <t>DOLPA</t>
  </si>
  <si>
    <t>4580100000002009</t>
  </si>
  <si>
    <t>1301090000481580</t>
  </si>
  <si>
    <t>Bhairab Prasad Koirala</t>
  </si>
  <si>
    <t>GANGA PRASAD KOIRALA</t>
  </si>
  <si>
    <t>335</t>
  </si>
  <si>
    <t>03215005697</t>
  </si>
  <si>
    <t>1301120002720240</t>
  </si>
  <si>
    <t>RABIN SHRESTHA</t>
  </si>
  <si>
    <t>SANU KANCHHA SHRESTHA/ARUNA  SHRESTHA</t>
  </si>
  <si>
    <t>HARI BAHADUR SHRESTHA</t>
  </si>
  <si>
    <t>30-01-76-05403</t>
  </si>
  <si>
    <t>08907010009220</t>
  </si>
  <si>
    <t>1301100000107744</t>
  </si>
  <si>
    <t>MANISH KUMAR GUPTA</t>
  </si>
  <si>
    <t>BIJAY KUMAR GUPTA</t>
  </si>
  <si>
    <t>LT.KASHINATH GUPTA</t>
  </si>
  <si>
    <t>69224</t>
  </si>
  <si>
    <t>00820500035489000001</t>
  </si>
  <si>
    <t>1301650001100869</t>
  </si>
  <si>
    <t>NARENDRA KATHAYAT</t>
  </si>
  <si>
    <t>BISHNU BAHADUR KATHAYAT</t>
  </si>
  <si>
    <t>BHAKTILAL KATHAYAT/TILU KUMATI DANGI</t>
  </si>
  <si>
    <t>5710027726</t>
  </si>
  <si>
    <t>4580100000038010</t>
  </si>
  <si>
    <t>1301580000044740</t>
  </si>
  <si>
    <t>RAVI KISHOR SHAKYA</t>
  </si>
  <si>
    <t>NATI KAZI SHAKYA</t>
  </si>
  <si>
    <t>ASTA RATNA SHAKYA/SONY SHAKYA</t>
  </si>
  <si>
    <t>1237</t>
  </si>
  <si>
    <t>024000001030J</t>
  </si>
  <si>
    <t>1301580000612762</t>
  </si>
  <si>
    <t>SIDDHARTHA SHAKYA</t>
  </si>
  <si>
    <t>RAVI KISHOR SHAKYA/SONY SHAKYA</t>
  </si>
  <si>
    <t>2074092405672</t>
  </si>
  <si>
    <t>023011050001857</t>
  </si>
  <si>
    <t>1301370000524378</t>
  </si>
  <si>
    <t>Govinda Paudel</t>
  </si>
  <si>
    <t>Lalu Prasad Paudel</t>
  </si>
  <si>
    <t>Dhanapati Paudel</t>
  </si>
  <si>
    <t>032</t>
  </si>
  <si>
    <t>2014263830524001</t>
  </si>
  <si>
    <t>1301390000009737</t>
  </si>
  <si>
    <t>MANI SHRESTHA</t>
  </si>
  <si>
    <t>HARI LAL SHRESTHA</t>
  </si>
  <si>
    <t>INDRA LAL SHRESTHA</t>
  </si>
  <si>
    <t>6364</t>
  </si>
  <si>
    <t>0010000221112</t>
  </si>
  <si>
    <t>1301120003401507</t>
  </si>
  <si>
    <t>KIRAN KUNWAR</t>
  </si>
  <si>
    <t>HARKA BAHADUR KUNWAR/RAMA KUNWAR</t>
  </si>
  <si>
    <t>BIR BAHADUR KUNWAR</t>
  </si>
  <si>
    <t>4403</t>
  </si>
  <si>
    <t>06007010004394</t>
  </si>
  <si>
    <t>1301260002569391</t>
  </si>
  <si>
    <t>SUWAS SHRESTHA</t>
  </si>
  <si>
    <t>DHAK BAHADUR SHRESTHA/NITYA KUMARI SHRESTHA</t>
  </si>
  <si>
    <t>HARKA BAHADUR SHRESTHA</t>
  </si>
  <si>
    <t>123054119</t>
  </si>
  <si>
    <t>2590255756800013</t>
  </si>
  <si>
    <t>1301650000616181</t>
  </si>
  <si>
    <t>DHAN BAHADUR BISTA</t>
  </si>
  <si>
    <t>RIPUMARDAN BISTA</t>
  </si>
  <si>
    <t>DAL BAHADUR BISTA /</t>
  </si>
  <si>
    <t>14017601998</t>
  </si>
  <si>
    <t>UDAYAPUR</t>
  </si>
  <si>
    <t>2090100061055010</t>
  </si>
  <si>
    <t>1301080001185876</t>
  </si>
  <si>
    <t>YUDISTHA KUMAR MAHATO</t>
  </si>
  <si>
    <t>RAMCHANDRA MAHATO KOIRI/SHANTI DEVI</t>
  </si>
  <si>
    <t>NEBI MAHATO KOIRI</t>
  </si>
  <si>
    <t>14793330</t>
  </si>
  <si>
    <t>DHANUSA</t>
  </si>
  <si>
    <t>08800501202726</t>
  </si>
  <si>
    <t>1301260000695105</t>
  </si>
  <si>
    <t>KALPANA ADHIKARI</t>
  </si>
  <si>
    <t>CHAKENDRA BAHADUR ADHIKARI/RATNA KUMARI ADHIKARI</t>
  </si>
  <si>
    <t>RATNA BAHADUR ADHIKARI</t>
  </si>
  <si>
    <t>69/3657</t>
  </si>
  <si>
    <t>DHADING</t>
  </si>
  <si>
    <t>0860056306200012</t>
  </si>
  <si>
    <t>1301090000845524</t>
  </si>
  <si>
    <t>DHYANI CHAUDHARY</t>
  </si>
  <si>
    <t>DUKHI LAL THARU</t>
  </si>
  <si>
    <t>BHALU DHAMI THARU CHAUDHARY</t>
  </si>
  <si>
    <t>84314/85314</t>
  </si>
  <si>
    <t>2550100000091219</t>
  </si>
  <si>
    <t>1301100000146543</t>
  </si>
  <si>
    <t>SURESH PANT</t>
  </si>
  <si>
    <t>KHEMRAJ PANT</t>
  </si>
  <si>
    <t>SURYAKANT PANT/BIDYA GHIMIRE</t>
  </si>
  <si>
    <t>22742</t>
  </si>
  <si>
    <t>0130003041700019</t>
  </si>
  <si>
    <t>1301070001911771</t>
  </si>
  <si>
    <t>TARBU SHERPA</t>
  </si>
  <si>
    <t>PASANG TEMBA SHERPA</t>
  </si>
  <si>
    <t>KIPA SHERPA</t>
  </si>
  <si>
    <t>46274-3461</t>
  </si>
  <si>
    <t>TAPLEJUNG</t>
  </si>
  <si>
    <t>2380533141055001</t>
  </si>
  <si>
    <t>1301060002732028</t>
  </si>
  <si>
    <t>SAJINA PANDEY</t>
  </si>
  <si>
    <t>MAHESHWOR RAJ PANDEY</t>
  </si>
  <si>
    <t>KHELA RAJ PANDEY</t>
  </si>
  <si>
    <t>372024/47674</t>
  </si>
  <si>
    <t>00105140266031</t>
  </si>
  <si>
    <t>1301120000565623</t>
  </si>
  <si>
    <t>Amrit Shakya</t>
  </si>
  <si>
    <t>Ashok Man Shakya</t>
  </si>
  <si>
    <t>Ratna Man Shakya/Nargish Shakya</t>
  </si>
  <si>
    <t>10374/43847</t>
  </si>
  <si>
    <t>02508010000017</t>
  </si>
  <si>
    <t>1301690001206971</t>
  </si>
  <si>
    <t>RIYA LAMA</t>
  </si>
  <si>
    <t>SANJAYA LAMA /RAJANI LAMA</t>
  </si>
  <si>
    <t>SHYAM BAHADUR LAMA</t>
  </si>
  <si>
    <t>27-01-78-08878</t>
  </si>
  <si>
    <t>07201000000109018769</t>
  </si>
  <si>
    <t>1301040002884863</t>
  </si>
  <si>
    <t>RAJU SARU</t>
  </si>
  <si>
    <t>CHURA BAHADUR SARU</t>
  </si>
  <si>
    <t>TIL BAHADUR SARU</t>
  </si>
  <si>
    <t>688/401003</t>
  </si>
  <si>
    <t>21410017503110</t>
  </si>
  <si>
    <t>1301060003322640</t>
  </si>
  <si>
    <t>HIRA KUMARI SHARMA</t>
  </si>
  <si>
    <t>DANADPANI SHARMA</t>
  </si>
  <si>
    <t>HARI LAL SHARMA</t>
  </si>
  <si>
    <t>59695</t>
  </si>
  <si>
    <t>00105080404716</t>
  </si>
  <si>
    <t>1301370003251868</t>
  </si>
  <si>
    <t>AAKANKSHYA SHRESTHA</t>
  </si>
  <si>
    <t>BHARAT KUMAR SHRESTHA</t>
  </si>
  <si>
    <t>INDRA BAHADUR SHRESTHA</t>
  </si>
  <si>
    <t>521020/797</t>
  </si>
  <si>
    <t>DANG</t>
  </si>
  <si>
    <t>1387849063524001</t>
  </si>
  <si>
    <t>1301090004382342</t>
  </si>
  <si>
    <t>SHREEDHAR PAUDYAL</t>
  </si>
  <si>
    <t>BED PRASAD PAUDYAL</t>
  </si>
  <si>
    <t>BHUMU PAUDYAL</t>
  </si>
  <si>
    <t>51193</t>
  </si>
  <si>
    <t>PYUTHAN</t>
  </si>
  <si>
    <t>01717213050</t>
  </si>
  <si>
    <t>1301650001617894</t>
  </si>
  <si>
    <t>MUKLESH KUMAR MADHAVI</t>
  </si>
  <si>
    <t>BINDESHWOR BHAGAT KOIRI/NAINA DEVI KOIRI</t>
  </si>
  <si>
    <t>MAHARAJ BHAGAT KOIRI</t>
  </si>
  <si>
    <t>322096/788</t>
  </si>
  <si>
    <t>1301120000739035</t>
  </si>
  <si>
    <t>PRABIN GURUNG</t>
  </si>
  <si>
    <t>PRITHIWI MAN GURUNG</t>
  </si>
  <si>
    <t>BHIM SINGH BAHADUR GURUNG</t>
  </si>
  <si>
    <t>51740</t>
  </si>
  <si>
    <t>LAMJUNG</t>
  </si>
  <si>
    <t>0040698556205001</t>
  </si>
  <si>
    <t>1301650000183970</t>
  </si>
  <si>
    <t>SANTOSH KUMAR RAM</t>
  </si>
  <si>
    <t>INDAL MAHARA CHAMAR / CHANDAN DEVI</t>
  </si>
  <si>
    <t>JAILAL MAHARA</t>
  </si>
  <si>
    <t>327</t>
  </si>
  <si>
    <t>1280100024547010</t>
  </si>
  <si>
    <t>1301320000005080</t>
  </si>
  <si>
    <t>Kusum Devi Sanghai</t>
  </si>
  <si>
    <t>Jai Gopal Jalan</t>
  </si>
  <si>
    <t>Bimal K Sanghai</t>
  </si>
  <si>
    <t>1746/1692/23582</t>
  </si>
  <si>
    <t>00523003274</t>
  </si>
  <si>
    <t>1301770000052044</t>
  </si>
  <si>
    <t>SUJITA KHANAL</t>
  </si>
  <si>
    <t>SHYAM KHANAL/GOMA GURAGAIN</t>
  </si>
  <si>
    <t>GOBINDA PRASAD KHANAL</t>
  </si>
  <si>
    <t>25-01-74-04454</t>
  </si>
  <si>
    <t>NUWAKOT</t>
  </si>
  <si>
    <t>31307010009699</t>
  </si>
  <si>
    <t>1301070000049669</t>
  </si>
  <si>
    <t>Mira Ghimire</t>
  </si>
  <si>
    <t>Ram Nath Pokhrel</t>
  </si>
  <si>
    <t>Mohan Prasad Ghimire</t>
  </si>
  <si>
    <t>17249</t>
  </si>
  <si>
    <t>32107010013662</t>
  </si>
  <si>
    <t>1301650000519137</t>
  </si>
  <si>
    <t>AADYA - SAH</t>
  </si>
  <si>
    <t>BISHESH KUMAR SAH</t>
  </si>
  <si>
    <t>42</t>
  </si>
  <si>
    <t>1260100000041005</t>
  </si>
  <si>
    <t>1301010000159690</t>
  </si>
  <si>
    <t>RUPA SAPKOTA</t>
  </si>
  <si>
    <t>BISWANATH SAPKOTA</t>
  </si>
  <si>
    <t>KRISHNA PD SAPKOTA/PUSPA DHUNGANA</t>
  </si>
  <si>
    <t>120956</t>
  </si>
  <si>
    <t>JYOTI BIKASH BANK LTD.(6001)</t>
  </si>
  <si>
    <t>00101400095756000001</t>
  </si>
  <si>
    <t>1301170000416071</t>
  </si>
  <si>
    <t>KAMAL TAMANG</t>
  </si>
  <si>
    <t>DAL BAHADUR TAMANG</t>
  </si>
  <si>
    <t>MAN BAHADUR TAMANG</t>
  </si>
  <si>
    <t>223010/190</t>
  </si>
  <si>
    <t>DOLKHA</t>
  </si>
  <si>
    <t>0280100000227013</t>
  </si>
  <si>
    <t>1301120000304232</t>
  </si>
  <si>
    <t>KRISHNA PRASAD KHANAL</t>
  </si>
  <si>
    <t>BISHNU PRASAD KHANAL</t>
  </si>
  <si>
    <t>NANDI KESAR KHANAL</t>
  </si>
  <si>
    <t>203</t>
  </si>
  <si>
    <t>00320600052447000001</t>
  </si>
  <si>
    <t>1301320000004963</t>
  </si>
  <si>
    <t>Bimal Kumar Sanghai</t>
  </si>
  <si>
    <t>Pusker Lal Sanghai</t>
  </si>
  <si>
    <t>Gulab Rai Sanghai</t>
  </si>
  <si>
    <t>2813/3001</t>
  </si>
  <si>
    <t>0310010465101</t>
  </si>
  <si>
    <t>1301090000795292</t>
  </si>
  <si>
    <t>BIKESH LAKHE</t>
  </si>
  <si>
    <t>KRISHNA PRASAD LAKHE</t>
  </si>
  <si>
    <t>RAM PRASAD LAKHE</t>
  </si>
  <si>
    <t>29-01-72-01750</t>
  </si>
  <si>
    <t>00900009108</t>
  </si>
  <si>
    <t>1301610001800299</t>
  </si>
  <si>
    <t>CHANDRADIP SAH</t>
  </si>
  <si>
    <t>RAM BABU SAH TELI</t>
  </si>
  <si>
    <t>DHUNI SHAH TELI</t>
  </si>
  <si>
    <t>17017209475</t>
  </si>
  <si>
    <t>0710086308500011</t>
  </si>
  <si>
    <t>1301260001795568</t>
  </si>
  <si>
    <t>ASHOK NEUPANE</t>
  </si>
  <si>
    <t>CHANDRA KANTA NEUPANE/HOM KUMARI NEUPANE</t>
  </si>
  <si>
    <t>LOK NATH NEUPANE</t>
  </si>
  <si>
    <t>451044/10773</t>
  </si>
  <si>
    <t>0870007211500018</t>
  </si>
  <si>
    <t>1301130000291941</t>
  </si>
  <si>
    <t>LOKENDRA AYER</t>
  </si>
  <si>
    <t>PREM SINGH AYER/CHANMATI DEVI AYER</t>
  </si>
  <si>
    <t>KAMAL SINGH AYER</t>
  </si>
  <si>
    <t>741004/419</t>
  </si>
  <si>
    <t>DADELDHURA</t>
  </si>
  <si>
    <t>1420100043233010</t>
  </si>
  <si>
    <t>1301390000180140</t>
  </si>
  <si>
    <t>PADAM PRASAD DEVKOTA</t>
  </si>
  <si>
    <t>LALCHANDRA DEVKOTA</t>
  </si>
  <si>
    <t>NAINA PRASAD DEVKOTA</t>
  </si>
  <si>
    <t>603008/309</t>
  </si>
  <si>
    <t>JUMLA</t>
  </si>
  <si>
    <t>0140067099900011</t>
  </si>
  <si>
    <t>1301370004536632</t>
  </si>
  <si>
    <t>BINOD BAHADUR THAPA</t>
  </si>
  <si>
    <t>DAN BAHADUR THAPA</t>
  </si>
  <si>
    <t>NAR BAHADUR THAPA</t>
  </si>
  <si>
    <t>46-01-71-03566</t>
  </si>
  <si>
    <t>7387675164524001</t>
  </si>
  <si>
    <t>1301770000307498</t>
  </si>
  <si>
    <t>ADHVIK RAI</t>
  </si>
  <si>
    <t>TRIDEEP RAI/SUSHMA RAI</t>
  </si>
  <si>
    <t>RAMANANDA RAI</t>
  </si>
  <si>
    <t>2077091204202</t>
  </si>
  <si>
    <t>06105150252669</t>
  </si>
  <si>
    <t>1301090003751508</t>
  </si>
  <si>
    <t>AMRIT DULAL</t>
  </si>
  <si>
    <t>KRISHANA PRASAD DULAL/INDIRA DULAL</t>
  </si>
  <si>
    <t>ISHAWORI DULAL/SUBHA POKHAREL</t>
  </si>
  <si>
    <t>151299</t>
  </si>
  <si>
    <t>50318088690</t>
  </si>
  <si>
    <t>1301550000277167</t>
  </si>
  <si>
    <t>GYANSON MAHARJAN</t>
  </si>
  <si>
    <t>GYAN KAJI MAHARJAN</t>
  </si>
  <si>
    <t>GYAN BAHADUR MAHARJAN</t>
  </si>
  <si>
    <t>27-01-74-06401</t>
  </si>
  <si>
    <t>3287963909652401</t>
  </si>
  <si>
    <t>1301650001925591</t>
  </si>
  <si>
    <t>RAM SHRESTHA</t>
  </si>
  <si>
    <t>RAWAT BAHADUR SHRESTHA</t>
  </si>
  <si>
    <t>BIR BAHADUR SHRESTHA</t>
  </si>
  <si>
    <t>02017103350</t>
  </si>
  <si>
    <t>PANCHTHAR</t>
  </si>
  <si>
    <t>1660100000052009</t>
  </si>
  <si>
    <t>1301350000136453</t>
  </si>
  <si>
    <t>HARI TIMALSINA</t>
  </si>
  <si>
    <t>DEVI BAHADUR TIMALSINA</t>
  </si>
  <si>
    <t>CHANDRA BAHADUR TIMALSINA</t>
  </si>
  <si>
    <t>303023/226</t>
  </si>
  <si>
    <t>21607010007377</t>
  </si>
  <si>
    <t>1301580000826775</t>
  </si>
  <si>
    <t>ANUP LAMA</t>
  </si>
  <si>
    <t>CHHUCHE TAMANG / MAYA TAMANG</t>
  </si>
  <si>
    <t>KUL BAHADUR TAMANG</t>
  </si>
  <si>
    <t>241054/635</t>
  </si>
  <si>
    <t>0711094656055001</t>
  </si>
  <si>
    <t>1301610001365008</t>
  </si>
  <si>
    <t>AMAR BAHADUR TAMANG</t>
  </si>
  <si>
    <t>PURNA BAHADUR TAMANG</t>
  </si>
  <si>
    <t>SANCHA MAN TAMANG</t>
  </si>
  <si>
    <t>30-01-71-04639</t>
  </si>
  <si>
    <t>0100059146400011</t>
  </si>
  <si>
    <t>1301390000079442</t>
  </si>
  <si>
    <t>MINA SHRESTHA</t>
  </si>
  <si>
    <t>KUL BAHADUR SHRESTHA</t>
  </si>
  <si>
    <t>MANDHOJ SHRESTHA</t>
  </si>
  <si>
    <t>2541</t>
  </si>
  <si>
    <t>DHANKUTA</t>
  </si>
  <si>
    <t>0120015203900016</t>
  </si>
  <si>
    <t>1301370000179601</t>
  </si>
  <si>
    <t>Sony Shakya</t>
  </si>
  <si>
    <t>Nhuchhe Bahadur Shakya</t>
  </si>
  <si>
    <t>Laxmi Jyoti Shakya</t>
  </si>
  <si>
    <t>31275</t>
  </si>
  <si>
    <t>LALITPUR</t>
  </si>
  <si>
    <t>1369431750524001</t>
  </si>
  <si>
    <t>1301060000541004</t>
  </si>
  <si>
    <t>RAJ KUMARI KHATRI</t>
  </si>
  <si>
    <t>TANK BAHADUR KHATRI</t>
  </si>
  <si>
    <t>BED BAHADUR KHATRI</t>
  </si>
  <si>
    <t>7034/143</t>
  </si>
  <si>
    <t>00200501208948</t>
  </si>
  <si>
    <t>1301040002865158</t>
  </si>
  <si>
    <t>SAMIR SHIWAKOTI</t>
  </si>
  <si>
    <t>KRISHNA RAJ SHIWAKOTI/MANESWAMA SHIWAKOTI</t>
  </si>
  <si>
    <t>MANISHA DAHAL/ABICHANDRA SHIWAKOTI</t>
  </si>
  <si>
    <t>101533-201533</t>
  </si>
  <si>
    <t>3610017507755</t>
  </si>
  <si>
    <t>1301100003087043</t>
  </si>
  <si>
    <t>SHYAM KARKI</t>
  </si>
  <si>
    <t>KHADGA BAHADUR KARKI</t>
  </si>
  <si>
    <t>CHANKHA BAHADUR KARKI</t>
  </si>
  <si>
    <t>063043/197</t>
  </si>
  <si>
    <t>0120039700000011</t>
  </si>
  <si>
    <t>1301540000051876</t>
  </si>
  <si>
    <t>Chini Maiya Bayalkoti</t>
  </si>
  <si>
    <t>Tika Bahadur Achhami</t>
  </si>
  <si>
    <t>Bhakta Bahadur Achhami/Krishna Bahadur Bayalkoti</t>
  </si>
  <si>
    <t>5113</t>
  </si>
  <si>
    <t>11301000000002219060</t>
  </si>
  <si>
    <t>1301720001090798</t>
  </si>
  <si>
    <t>SATYA NARAYAN KC</t>
  </si>
  <si>
    <t>ram bahadur khulal</t>
  </si>
  <si>
    <t>hasta bahadur khulal</t>
  </si>
  <si>
    <t>41733007</t>
  </si>
  <si>
    <t>0602602016993019</t>
  </si>
  <si>
    <t>1301060000423961</t>
  </si>
  <si>
    <t>PADAM KESHAR NEUPANE</t>
  </si>
  <si>
    <t>DHANANJAYA NEUPANE</t>
  </si>
  <si>
    <t>RANA DUTTA NEUPANE</t>
  </si>
  <si>
    <t>5464</t>
  </si>
  <si>
    <t>01424002722</t>
  </si>
  <si>
    <t>1301650002078871</t>
  </si>
  <si>
    <t>MANJU K.C.</t>
  </si>
  <si>
    <t>YUDHA BAHADUR KHADKA</t>
  </si>
  <si>
    <t>KSHETRA BAHADUR KHADKA/KUMAR KC</t>
  </si>
  <si>
    <t>34221</t>
  </si>
  <si>
    <t>3060100008833010</t>
  </si>
  <si>
    <t>1301060001610054</t>
  </si>
  <si>
    <t>TEJ PRASAD POUDEL</t>
  </si>
  <si>
    <t>DURGA DATTA POUDEL</t>
  </si>
  <si>
    <t>KRISHNA DATTA POUDEL</t>
  </si>
  <si>
    <t>BHE.BA.E.4-20</t>
  </si>
  <si>
    <t>BARDIYA</t>
  </si>
  <si>
    <t>17107010035448</t>
  </si>
  <si>
    <t>1301040003015858</t>
  </si>
  <si>
    <t>AJAY GURUNG</t>
  </si>
  <si>
    <t>CHITRA BAHADUR GURUNG</t>
  </si>
  <si>
    <t>PARAM SINGH GURUNG</t>
  </si>
  <si>
    <t>46-01-71-05052</t>
  </si>
  <si>
    <t>06210017503974</t>
  </si>
  <si>
    <t>1301120000355269</t>
  </si>
  <si>
    <t>BIJAY BHATTARAI</t>
  </si>
  <si>
    <t>JAGADEESH BHATTARAI</t>
  </si>
  <si>
    <t>BHOJRAJ BHATTARAI</t>
  </si>
  <si>
    <t>1692</t>
  </si>
  <si>
    <t>1301120001471682</t>
  </si>
  <si>
    <t>SANILA SHIKHRAKAR</t>
  </si>
  <si>
    <t>AYU RATNA SHIKHRAKAR/RATNA HARI SHIKHRAKAR</t>
  </si>
  <si>
    <t>PURNA KAJI SHIKHRAKAR</t>
  </si>
  <si>
    <t>6747</t>
  </si>
  <si>
    <t>03407010000177</t>
  </si>
  <si>
    <t>1301060003421614</t>
  </si>
  <si>
    <t>SUBINDRA PULAMI</t>
  </si>
  <si>
    <t>HIRA BAHADUR PULAMI</t>
  </si>
  <si>
    <t>SAMSER BAHADUR PULAMI</t>
  </si>
  <si>
    <t>201020/231</t>
  </si>
  <si>
    <t>03005080311755</t>
  </si>
  <si>
    <t>1301720001215400</t>
  </si>
  <si>
    <t>PRIYA BASEL</t>
  </si>
  <si>
    <t>KHIMLAL BASEL</t>
  </si>
  <si>
    <t>MITRA LAL BASEL</t>
  </si>
  <si>
    <t>53-02-80-00512</t>
  </si>
  <si>
    <t>0919405361502015</t>
  </si>
  <si>
    <t>1301370000501772</t>
  </si>
  <si>
    <t>Binod Sah</t>
  </si>
  <si>
    <t>Lakhan Sah</t>
  </si>
  <si>
    <t>Mahabir Sah</t>
  </si>
  <si>
    <t>26713340</t>
  </si>
  <si>
    <t>MAHOTTARI</t>
  </si>
  <si>
    <t>3154966670524001</t>
  </si>
  <si>
    <t>1301040000157078</t>
  </si>
  <si>
    <t>RAM MANI SHARMA</t>
  </si>
  <si>
    <t>TIKA BALLAV PATHAK</t>
  </si>
  <si>
    <t>PURNA CHANDRA PATHAK/SANCHITA SHARMA PANT</t>
  </si>
  <si>
    <t>7349/3517</t>
  </si>
  <si>
    <t>0110010778201</t>
  </si>
  <si>
    <t>1301540000051880</t>
  </si>
  <si>
    <t>Krishna Bahadur Bayalkoti</t>
  </si>
  <si>
    <t>Sahila Sarki Bayalkoti</t>
  </si>
  <si>
    <t>Panchey Bayalkoti/Chini Maiya Bayalkoti</t>
  </si>
  <si>
    <t>20692</t>
  </si>
  <si>
    <t>01018514220</t>
  </si>
  <si>
    <t>1301730000949449</t>
  </si>
  <si>
    <t>SAISH MAN SHRESTHA</t>
  </si>
  <si>
    <t>BIKESH MAN SHRESTHA/SONIKA PRADHANANG</t>
  </si>
  <si>
    <t>MOHAN MAN SHRESTHA</t>
  </si>
  <si>
    <t>12188468</t>
  </si>
  <si>
    <t>18905350002448</t>
  </si>
  <si>
    <t>1301170000266180</t>
  </si>
  <si>
    <t>ROSHAN KATTEL</t>
  </si>
  <si>
    <t>DHARMANANDA KATTEL</t>
  </si>
  <si>
    <t>CHHABI LAL KATTEL</t>
  </si>
  <si>
    <t>70965</t>
  </si>
  <si>
    <t>0020100002582027</t>
  </si>
  <si>
    <t>1301040000563425</t>
  </si>
  <si>
    <t>DAWA SINGHI HYOLMO</t>
  </si>
  <si>
    <t>SONAM LAMA</t>
  </si>
  <si>
    <t>FINJO LAMA</t>
  </si>
  <si>
    <t>243078/72</t>
  </si>
  <si>
    <t>0410017504725</t>
  </si>
  <si>
    <t>1301650001832971</t>
  </si>
  <si>
    <t>RISHABH GHIMIRE</t>
  </si>
  <si>
    <t>2068060903734</t>
  </si>
  <si>
    <t>3530100006008010</t>
  </si>
  <si>
    <t>1301060000607721</t>
  </si>
  <si>
    <t>SASHIKALA ADHIKARI</t>
  </si>
  <si>
    <t>NETRA BAHADUR ADHIKARI</t>
  </si>
  <si>
    <t>BIR BAHADUR ADHIKARI</t>
  </si>
  <si>
    <t>43/23927</t>
  </si>
  <si>
    <t>TANAHU</t>
  </si>
  <si>
    <t>0330022646300011</t>
  </si>
  <si>
    <t>1301370002470387</t>
  </si>
  <si>
    <t>BHARAT PRASAD ACHARYA</t>
  </si>
  <si>
    <t>PUNARAM ACHARYA</t>
  </si>
  <si>
    <t>TIKARAM ACHARYA</t>
  </si>
  <si>
    <t>5062/2395</t>
  </si>
  <si>
    <t>I987025038552401</t>
  </si>
  <si>
    <t>1301080001003869</t>
  </si>
  <si>
    <t>SAGUN CHILUWAL</t>
  </si>
  <si>
    <t>GOPI NATH CHILUWAL</t>
  </si>
  <si>
    <t>BHABA DATTA CHILUWAL</t>
  </si>
  <si>
    <t>45-01-73-02099</t>
  </si>
  <si>
    <t>02000501214478</t>
  </si>
  <si>
    <t>1301090000006937</t>
  </si>
  <si>
    <t>DR. BISHNU PRASAD PANDIT</t>
  </si>
  <si>
    <t>PRAJAPATI PANDIT</t>
  </si>
  <si>
    <t>TULASI PRASAD PANDIT</t>
  </si>
  <si>
    <t>916</t>
  </si>
  <si>
    <t>MUKTINATH BIKAS BANK LTD.(7201)</t>
  </si>
  <si>
    <t>04821600351095000001</t>
  </si>
  <si>
    <t>1301060000596911</t>
  </si>
  <si>
    <t>EK BAHADUR KHATRI</t>
  </si>
  <si>
    <t>BHIM BAHADUR KHATRI</t>
  </si>
  <si>
    <t>MOTI LAL JAISE / BHAGABATI KHATRI</t>
  </si>
  <si>
    <t>14489</t>
  </si>
  <si>
    <t>3430100000009210</t>
  </si>
  <si>
    <t>1301370001808820</t>
  </si>
  <si>
    <t>Nishan Rai</t>
  </si>
  <si>
    <t>Nanda Kumar Rai</t>
  </si>
  <si>
    <t>Dil Bahadur Rai</t>
  </si>
  <si>
    <t>04-01-73-09385</t>
  </si>
  <si>
    <t>c998961546552401</t>
  </si>
  <si>
    <t>1301790000747083</t>
  </si>
  <si>
    <t>POM BAHADUR PUN</t>
  </si>
  <si>
    <t>BUDDHI PUN</t>
  </si>
  <si>
    <t>BHADRE PUN</t>
  </si>
  <si>
    <t>17153</t>
  </si>
  <si>
    <t>02501200063102000001</t>
  </si>
  <si>
    <t>1301120004595139</t>
  </si>
  <si>
    <t>LAXMAN DEVKOTA</t>
  </si>
  <si>
    <t>AATMA RAM DEVKOTA/BISHNU KUMARI DEVKOTA</t>
  </si>
  <si>
    <t>DAMODAR DEVKOTA</t>
  </si>
  <si>
    <t>46-10-70-000635</t>
  </si>
  <si>
    <t>03309013096505</t>
  </si>
  <si>
    <t>1301120000375262</t>
  </si>
  <si>
    <t>PUSPA BHANDARI</t>
  </si>
  <si>
    <t>RAMJEE BHANDARI</t>
  </si>
  <si>
    <t>PRAMDAM BAHADUR BHANDARI</t>
  </si>
  <si>
    <t>50687</t>
  </si>
  <si>
    <t>0210017501513</t>
  </si>
  <si>
    <t>1301570001142356</t>
  </si>
  <si>
    <t>ASA LAL GURUNG</t>
  </si>
  <si>
    <t>KALU GURUNG</t>
  </si>
  <si>
    <t>BELMAN GURUNG</t>
  </si>
  <si>
    <t>25367</t>
  </si>
  <si>
    <t>NEPAL BANK LTD.(101)</t>
  </si>
  <si>
    <t>31313307749953000001</t>
  </si>
  <si>
    <t>1301090000247769</t>
  </si>
  <si>
    <t>KRISHNA KUMAR SHAKYA</t>
  </si>
  <si>
    <t>SIDDHI RAJ SHAKYA</t>
  </si>
  <si>
    <t>DHANRATNA SHAKYA / RITA SHAKYA</t>
  </si>
  <si>
    <t>2442/2882/815/1</t>
  </si>
  <si>
    <t>BHOJPUR</t>
  </si>
  <si>
    <t>00810007452014</t>
  </si>
  <si>
    <t>1301090000036455</t>
  </si>
  <si>
    <t>Dr. RAJAN THAPA</t>
  </si>
  <si>
    <t>NARA BAHADUR THAPA</t>
  </si>
  <si>
    <t>AMBAR BAHADUR THAPA</t>
  </si>
  <si>
    <t>6612</t>
  </si>
  <si>
    <t>0209500155480025</t>
  </si>
  <si>
    <t>1301040002317073</t>
  </si>
  <si>
    <t>ROSHAN KANDEL</t>
  </si>
  <si>
    <t>DAYARAM KANDEL/SARASWATI KANDEL</t>
  </si>
  <si>
    <t>/NANDALAL KANDEL</t>
  </si>
  <si>
    <t>503011/657</t>
  </si>
  <si>
    <t>09810017501771</t>
  </si>
  <si>
    <t>1301090003766926</t>
  </si>
  <si>
    <t>KHADGA BAHADUR SHRESTHA</t>
  </si>
  <si>
    <t>MAN BAHADUR SHRESTHA/MAIYA KUMARI SHRESTHA</t>
  </si>
  <si>
    <t>22-01-70-02079</t>
  </si>
  <si>
    <t>02420822980</t>
  </si>
  <si>
    <t>1301650002198521</t>
  </si>
  <si>
    <t>SAMEERA SHRESTHA</t>
  </si>
  <si>
    <t>SOM RAJ SHRESTHA</t>
  </si>
  <si>
    <t>GAUTAM SHRESTHA</t>
  </si>
  <si>
    <t>2075060118809</t>
  </si>
  <si>
    <t>1360100034854010</t>
  </si>
  <si>
    <t>1301440000015085</t>
  </si>
  <si>
    <t>Maheswor Sharma</t>
  </si>
  <si>
    <t>Umapati Sharma</t>
  </si>
  <si>
    <t>Bramhapati Sharma</t>
  </si>
  <si>
    <t>1296</t>
  </si>
  <si>
    <t>00100516208687</t>
  </si>
  <si>
    <t>1301370000095517</t>
  </si>
  <si>
    <t>Uma Devi Bhattarai Adhikari</t>
  </si>
  <si>
    <t>Bhawani Prasad Bhattarai</t>
  </si>
  <si>
    <t>Bhim Lal Bhattarai</t>
  </si>
  <si>
    <t>50/160</t>
  </si>
  <si>
    <t>0269404683524001</t>
  </si>
  <si>
    <t>1301720001104725</t>
  </si>
  <si>
    <t>ABISHKAR SHARMA</t>
  </si>
  <si>
    <t>HOMNATH UPADHYA</t>
  </si>
  <si>
    <t>YOGESHWOR UPADHYA</t>
  </si>
  <si>
    <t>50-01-78-03870</t>
  </si>
  <si>
    <t>0318203040926019</t>
  </si>
  <si>
    <t>1301120000341108</t>
  </si>
  <si>
    <t>Parmila Basnet</t>
  </si>
  <si>
    <t>Krishna Hari Basnet</t>
  </si>
  <si>
    <t>Udaya Bahadur Basnet</t>
  </si>
  <si>
    <t>3800</t>
  </si>
  <si>
    <t>0300100000220030</t>
  </si>
  <si>
    <t>1301100001436592</t>
  </si>
  <si>
    <t>UMESH PANDEY</t>
  </si>
  <si>
    <t>TILAK RAM PANDEY</t>
  </si>
  <si>
    <t>GUNAKHAR PANDEY</t>
  </si>
  <si>
    <t>391049/230</t>
  </si>
  <si>
    <t>0800050358700019</t>
  </si>
  <si>
    <t>1301240000002026</t>
  </si>
  <si>
    <t>ARCHANA SHRESTHA PRADHAN</t>
  </si>
  <si>
    <t>BISHNU DHAR SHRESTHA</t>
  </si>
  <si>
    <t>UPENDRA PRADHAN/TULSI DHAR SHRESTHA</t>
  </si>
  <si>
    <t>68134</t>
  </si>
  <si>
    <t>00524005595</t>
  </si>
  <si>
    <t>1301100000483202</t>
  </si>
  <si>
    <t>MAHESH POUDEL</t>
  </si>
  <si>
    <t>NARAYAN PARSAD POUDEL</t>
  </si>
  <si>
    <t>EKNARAYAN POUDEL</t>
  </si>
  <si>
    <t>431040\14</t>
  </si>
  <si>
    <t>00215254548</t>
  </si>
  <si>
    <t>1301060003469946</t>
  </si>
  <si>
    <t>BIKRAM BAHADUR THAPA</t>
  </si>
  <si>
    <t>MOHAN SING THAPA</t>
  </si>
  <si>
    <t>NYAURE THAPA</t>
  </si>
  <si>
    <t>47184</t>
  </si>
  <si>
    <t>03305080291415</t>
  </si>
  <si>
    <t>1301300000001833</t>
  </si>
  <si>
    <t>MEERA KUNWAR</t>
  </si>
  <si>
    <t>JAGAT JUNG SWAR</t>
  </si>
  <si>
    <t>LALIT JUNG SWAR</t>
  </si>
  <si>
    <t>29549</t>
  </si>
  <si>
    <t>KAILALI</t>
  </si>
  <si>
    <t>00523001228</t>
  </si>
  <si>
    <t>1301290000006459</t>
  </si>
  <si>
    <t>ASHISH JHUNJHUNWALA</t>
  </si>
  <si>
    <t>SHYAM PRASAD JHUNJHUNWALA</t>
  </si>
  <si>
    <t>ANANDI LAL JHUNJHUNWALA</t>
  </si>
  <si>
    <t>24002</t>
  </si>
  <si>
    <t>R687018547752401</t>
  </si>
  <si>
    <t>1301240001130400</t>
  </si>
  <si>
    <t>AMIT BIKRAM SAH</t>
  </si>
  <si>
    <t>NANU LAL SAH</t>
  </si>
  <si>
    <t>RAM PRASAD SAH</t>
  </si>
  <si>
    <t>6006</t>
  </si>
  <si>
    <t>0030747254209001</t>
  </si>
  <si>
    <t>1301120005209051</t>
  </si>
  <si>
    <t>RAM KUMAR PHETANG LIMBU</t>
  </si>
  <si>
    <t>RAM BAHADUR LIMBU</t>
  </si>
  <si>
    <t>HARKA DHOJ LIMBU</t>
  </si>
  <si>
    <t>47705/4714</t>
  </si>
  <si>
    <t>0520054700300012</t>
  </si>
  <si>
    <t>1301040002505038</t>
  </si>
  <si>
    <t>INDRA PRASAD BHUSAL</t>
  </si>
  <si>
    <t>DURGA DATTA BHUSAL/HARIKALA BHUSAL</t>
  </si>
  <si>
    <t>RANJITA PATHAK BHUSAL/BALLAV BHUSAL</t>
  </si>
  <si>
    <t>36437</t>
  </si>
  <si>
    <t>08210017507289</t>
  </si>
  <si>
    <t>1301950000032022</t>
  </si>
  <si>
    <t>SAROJ BARAKOTI</t>
  </si>
  <si>
    <t>CHANDRA BAHADUR BARAKOTI/ BAKS KUMARI RAMAULI</t>
  </si>
  <si>
    <t>THAMAN SINGH BARAKOTI</t>
  </si>
  <si>
    <t>20-01-71-01516</t>
  </si>
  <si>
    <t>SINDHULI</t>
  </si>
  <si>
    <t>35807010003337</t>
  </si>
  <si>
    <t>1301650000219489</t>
  </si>
  <si>
    <t>SACHIDANANDA PRASAD NAND</t>
  </si>
  <si>
    <t>SHIV KUMAR SAH KALUWAI</t>
  </si>
  <si>
    <t>UCHIT SAH</t>
  </si>
  <si>
    <t>50303310</t>
  </si>
  <si>
    <t>SIRAHA</t>
  </si>
  <si>
    <t>2390100004704010</t>
  </si>
  <si>
    <t>1301550000111864</t>
  </si>
  <si>
    <t>GOBARDHAN SHRESTHA</t>
  </si>
  <si>
    <t>DAMBAR BAHADUR SHRESTHA</t>
  </si>
  <si>
    <t>KABIRAM SHRESTHA</t>
  </si>
  <si>
    <t>8614//044</t>
  </si>
  <si>
    <t>0710158922055001</t>
  </si>
  <si>
    <t>1301440000424754</t>
  </si>
  <si>
    <t>AARATI KHATTRI</t>
  </si>
  <si>
    <t>OM BAHADUR KHATTRI</t>
  </si>
  <si>
    <t>BOM BAHADUR KHATRI</t>
  </si>
  <si>
    <t>50-01-71-02284</t>
  </si>
  <si>
    <t>23907010056850</t>
  </si>
  <si>
    <t>1301040001368898</t>
  </si>
  <si>
    <t>LAXMI THAPA</t>
  </si>
  <si>
    <t>MIN BAHADUR THAPA/KALI KUMARI THAPA</t>
  </si>
  <si>
    <t>SHER BAHADUR THAPA/DIPESH KATUWAL</t>
  </si>
  <si>
    <t>261/47356</t>
  </si>
  <si>
    <t>0340062805800011</t>
  </si>
  <si>
    <t>1301090000437072</t>
  </si>
  <si>
    <t>SALINA BAJRACHARYA</t>
  </si>
  <si>
    <t>YAGYA RAJ BAJRACHARYA</t>
  </si>
  <si>
    <t>PANCHA RAJ BAJRACHARYA</t>
  </si>
  <si>
    <t>28-01-070-01129</t>
  </si>
  <si>
    <t>3100100021281011</t>
  </si>
  <si>
    <t>1301570000816852</t>
  </si>
  <si>
    <t>ANUSA SHARMA KANDEL</t>
  </si>
  <si>
    <t>LEKHNATH SHARMA/TARA KUMARI SHARMA</t>
  </si>
  <si>
    <t>SHIVALAL SHARMA</t>
  </si>
  <si>
    <t>35-01-78-02949</t>
  </si>
  <si>
    <t>06601107241851000001</t>
  </si>
  <si>
    <t>1301610000140125</t>
  </si>
  <si>
    <t>CHANDRA SHRESTHA</t>
  </si>
  <si>
    <t>NAR PRASAD SHRESTHA</t>
  </si>
  <si>
    <t>LAXMI PRASAD SHRESTHA</t>
  </si>
  <si>
    <t>26147429426864</t>
  </si>
  <si>
    <t>0380019073600013</t>
  </si>
  <si>
    <t>1301760000763636</t>
  </si>
  <si>
    <t>SOM BAHADUR RANA</t>
  </si>
  <si>
    <t>KRISHNA BAHADUR RANA</t>
  </si>
  <si>
    <t>DURGA RANA</t>
  </si>
  <si>
    <t>20200</t>
  </si>
  <si>
    <t>01911601015091000002</t>
  </si>
  <si>
    <t>1301060003314247</t>
  </si>
  <si>
    <t>YAGYARAJ BHATTA</t>
  </si>
  <si>
    <t>CHANDRA DEV BHATTA	/MAHESHWORI DEVI BHATTA</t>
  </si>
  <si>
    <t>DEVI RAM BHATTA</t>
  </si>
  <si>
    <t>10/17275/712</t>
  </si>
  <si>
    <t>DOTI</t>
  </si>
  <si>
    <t>09005300011754</t>
  </si>
  <si>
    <t>1301650002103996</t>
  </si>
  <si>
    <t>TIRTHA RAJ BHANDARI</t>
  </si>
  <si>
    <t>RANGA RAJ BHANDARI</t>
  </si>
  <si>
    <t>DEVRAJ BHANDARI/KUNTA ADHIKARI BHANDARI</t>
  </si>
  <si>
    <t>105525797</t>
  </si>
  <si>
    <t>1060100015354010</t>
  </si>
  <si>
    <t>1301630000050595</t>
  </si>
  <si>
    <t>RAJU DANGAL</t>
  </si>
  <si>
    <t>TANKNATH DANGAL</t>
  </si>
  <si>
    <t>BALACHANDRA DANGAL</t>
  </si>
  <si>
    <t>97142</t>
  </si>
  <si>
    <t>KUMARI BANK LTD.(1601)</t>
  </si>
  <si>
    <t>2490219026400001</t>
  </si>
  <si>
    <t>1301090000262880</t>
  </si>
  <si>
    <t>AMIT ACHARYA</t>
  </si>
  <si>
    <t>MADHAV PRASAD ACHARYA</t>
  </si>
  <si>
    <t>GANESH PRASAD ACHARYA / PRATIMA SHARMA</t>
  </si>
  <si>
    <t>1867/2867</t>
  </si>
  <si>
    <t>00100513202031</t>
  </si>
  <si>
    <t>1301100000936095</t>
  </si>
  <si>
    <t>KAMAL PRASAD NEUPANE</t>
  </si>
  <si>
    <t>HIM LAL NEUPANE/BISHNU KUMARI NEUPANE</t>
  </si>
  <si>
    <t>BHABISHWOR NEUPANE/LAXMI NEUPANE</t>
  </si>
  <si>
    <t>2/522</t>
  </si>
  <si>
    <t>03421500211219000001</t>
  </si>
  <si>
    <t>1301440000412696</t>
  </si>
  <si>
    <t>GANESH BAHADUR B.C</t>
  </si>
  <si>
    <t>DIP BAHADUR BUDHACHETRI</t>
  </si>
  <si>
    <t>AMAR BAHADUR BC</t>
  </si>
  <si>
    <t>68635</t>
  </si>
  <si>
    <t>SURKETH</t>
  </si>
  <si>
    <t>31507010002257</t>
  </si>
  <si>
    <t>1301090000262876</t>
  </si>
  <si>
    <t>PRATIMA SHARMA</t>
  </si>
  <si>
    <t>THAKUR PRASAD LAUDARI</t>
  </si>
  <si>
    <t>DHARMANANDA LAUDARI / AMIT ACHARYA</t>
  </si>
  <si>
    <t>702</t>
  </si>
  <si>
    <t>00201795280017</t>
  </si>
  <si>
    <t>1301090001372475</t>
  </si>
  <si>
    <t>BIBASH LAMICHHNE</t>
  </si>
  <si>
    <t>UDAYA PRASAD SHARMA</t>
  </si>
  <si>
    <t>NARAYANI UPADHAYA</t>
  </si>
  <si>
    <t>421060/99959</t>
  </si>
  <si>
    <t>03215109373</t>
  </si>
  <si>
    <t>1301090000840296</t>
  </si>
  <si>
    <t>PRANIT ACHARYA</t>
  </si>
  <si>
    <t>2073082700092</t>
  </si>
  <si>
    <t>0010099267800011</t>
  </si>
  <si>
    <t>1301170000219830</t>
  </si>
  <si>
    <t>JAYA MUKUNDA KHANAL</t>
  </si>
  <si>
    <t>PURNA PRASAD KHANAL</t>
  </si>
  <si>
    <t>HARI NATH KHANAL</t>
  </si>
  <si>
    <t>9516/6255</t>
  </si>
  <si>
    <t>0090100000583032</t>
  </si>
  <si>
    <t>1301120004582744</t>
  </si>
  <si>
    <t>DINESH BHANDARI</t>
  </si>
  <si>
    <t>DEVENDRA BHANDARI</t>
  </si>
  <si>
    <t>LOKNATH BHANDARI</t>
  </si>
  <si>
    <t>04-01-068-00992</t>
  </si>
  <si>
    <t>03609017021002</t>
  </si>
  <si>
    <t>1301240001160026</t>
  </si>
  <si>
    <t>SABIN DULAL</t>
  </si>
  <si>
    <t>MURAHARI PRASAD DULAL</t>
  </si>
  <si>
    <t>KUL PRASAD DULAL</t>
  </si>
  <si>
    <t>29-01-066-03588</t>
  </si>
  <si>
    <t>1530925945205001</t>
  </si>
  <si>
    <t>1301070001845365</t>
  </si>
  <si>
    <t>SURYA BAHADUR THAPA MAGAR</t>
  </si>
  <si>
    <t>INDRA BAHADUR THAPA MAGAR</t>
  </si>
  <si>
    <t>DAL BAHADUR THAPA MAGAR</t>
  </si>
  <si>
    <t>100439</t>
  </si>
  <si>
    <t>2131564987043001</t>
  </si>
  <si>
    <t>1301790000739513</t>
  </si>
  <si>
    <t>URMILA LAMA</t>
  </si>
  <si>
    <t>LALIT LAMA</t>
  </si>
  <si>
    <t>RAM BAHADUR LAMA</t>
  </si>
  <si>
    <t>25-01-74-05318</t>
  </si>
  <si>
    <t>09501300545387000001</t>
  </si>
  <si>
    <t>1301130000063692</t>
  </si>
  <si>
    <t>PRALAD DANGI</t>
  </si>
  <si>
    <t>GOPAL DANGI</t>
  </si>
  <si>
    <t>TIKA RAM DANGI</t>
  </si>
  <si>
    <t>32552/286</t>
  </si>
  <si>
    <t>0140433978216001</t>
  </si>
  <si>
    <t>1301760001065609</t>
  </si>
  <si>
    <t>SAMAR ADHIKARI</t>
  </si>
  <si>
    <t>RAMESH ADHIKARI</t>
  </si>
  <si>
    <t>GHANASHYAM ADHIKARI</t>
  </si>
  <si>
    <t>27</t>
  </si>
  <si>
    <t>01710300078813000001</t>
  </si>
  <si>
    <t>1301120005106881</t>
  </si>
  <si>
    <t>SADAKASH POKHAREL</t>
  </si>
  <si>
    <t>YOGESH POKHAREL</t>
  </si>
  <si>
    <t>LAXMI PRASAD POKHAREL</t>
  </si>
  <si>
    <t>2079080909932</t>
  </si>
  <si>
    <t>34807010020147</t>
  </si>
  <si>
    <t>1301100000343320</t>
  </si>
  <si>
    <t>RAM KRISHNA SUBEDI</t>
  </si>
  <si>
    <t>NETRA PRASAD SUBEDI</t>
  </si>
  <si>
    <t>RADHA KRISHNA SUBEDI</t>
  </si>
  <si>
    <t>2329</t>
  </si>
  <si>
    <t>00120400388181000001</t>
  </si>
  <si>
    <t>1301530000336120</t>
  </si>
  <si>
    <t>Biraj Khatiwada</t>
  </si>
  <si>
    <t>Tirtha Prasad Khatiwada/Bishnu Maya Khatiwada</t>
  </si>
  <si>
    <t>Krishna Prasad Khatiwada</t>
  </si>
  <si>
    <t>24-01-72-07389</t>
  </si>
  <si>
    <t>20515241409205</t>
  </si>
  <si>
    <t>1301370004592035</t>
  </si>
  <si>
    <t>KARAN KUMAR MANDAL</t>
  </si>
  <si>
    <t>NARAYAN MANDAL</t>
  </si>
  <si>
    <t>LOCHAN MANDAL</t>
  </si>
  <si>
    <t>17-01-74-07545</t>
  </si>
  <si>
    <t>2495751022348001</t>
  </si>
  <si>
    <t>1301760000097036</t>
  </si>
  <si>
    <t>Manisha Rijal</t>
  </si>
  <si>
    <t>Surendra Prasad Rijal / Sushila Rijal</t>
  </si>
  <si>
    <t>Meghanath Rijal</t>
  </si>
  <si>
    <t>27(1049/10654)</t>
  </si>
  <si>
    <t>03807010005538</t>
  </si>
  <si>
    <t>1301110000805212</t>
  </si>
  <si>
    <t>RAJAN THAPA</t>
  </si>
  <si>
    <t>BASUDEV THAPA</t>
  </si>
  <si>
    <t>TILAK BAHADUR THAPA</t>
  </si>
  <si>
    <t>3444/1869</t>
  </si>
  <si>
    <t>31707010004779</t>
  </si>
  <si>
    <t>1301600000099021</t>
  </si>
  <si>
    <t>TRIVENI BASNET</t>
  </si>
  <si>
    <t>SHREE KRISHNA BASNET</t>
  </si>
  <si>
    <t>YAGYA BAHADUR BASNET</t>
  </si>
  <si>
    <t>30-01-74-08922</t>
  </si>
  <si>
    <t>2317057052800018</t>
  </si>
  <si>
    <t>1301530000614502</t>
  </si>
  <si>
    <t>GAURAV KUMAR PASMAN</t>
  </si>
  <si>
    <t>HEMSHANKAR PASMAN/SHOVA DEVI PASMAN</t>
  </si>
  <si>
    <t>JUGESWOR PASMAN</t>
  </si>
  <si>
    <t>15-01-78-13259</t>
  </si>
  <si>
    <t>21715241407680</t>
  </si>
  <si>
    <t>1301010000552500</t>
  </si>
  <si>
    <t>APEKSHYA BAJRACHARYA</t>
  </si>
  <si>
    <t>BASUDEV BAJRACHARYA/APSARA BAJRACHARYA</t>
  </si>
  <si>
    <t>SANUKAJI BAJRACHARYA</t>
  </si>
  <si>
    <t>49</t>
  </si>
  <si>
    <t>25057310840013</t>
  </si>
  <si>
    <t>1301170000897206</t>
  </si>
  <si>
    <t>RANJANA ROKA</t>
  </si>
  <si>
    <t>JANGA BAHADUR ROKA CHHETRI</t>
  </si>
  <si>
    <t>DHAN BAHADUR ROKA CHHETRI</t>
  </si>
  <si>
    <t>42-01-76-02534</t>
  </si>
  <si>
    <t>0120100000840035</t>
  </si>
  <si>
    <t>1301370006754836</t>
  </si>
  <si>
    <t>RAKESH KUMAR YADAV</t>
  </si>
  <si>
    <t>SHYAMLAL RAY YADAV</t>
  </si>
  <si>
    <t>HARISHCHANDRA YADAV</t>
  </si>
  <si>
    <t>182064/1328</t>
  </si>
  <si>
    <t>R102010894952401</t>
  </si>
  <si>
    <t>1301770000661977</t>
  </si>
  <si>
    <t>MADHAB GHARTI</t>
  </si>
  <si>
    <t>YAM BAHADUR GHARTI/LALI MAGARNI</t>
  </si>
  <si>
    <t>JOG BAHADUR GHARTI</t>
  </si>
  <si>
    <t>521022339</t>
  </si>
  <si>
    <t>02422930890013</t>
  </si>
  <si>
    <t>1301060000593486</t>
  </si>
  <si>
    <t>MAHESH SHRESTHA</t>
  </si>
  <si>
    <t>BABU RAM SHRESTHA</t>
  </si>
  <si>
    <t>SANTA MAN SHRESTHA</t>
  </si>
  <si>
    <t>115</t>
  </si>
  <si>
    <t>0310013470000015</t>
  </si>
  <si>
    <t>1301290000009641</t>
  </si>
  <si>
    <t>SUSHILA PARAKH</t>
  </si>
  <si>
    <t>SHOVA CHAND PARAKH</t>
  </si>
  <si>
    <t>PABUDAN PARAKH</t>
  </si>
  <si>
    <t>3323</t>
  </si>
  <si>
    <t>00810251856011</t>
  </si>
  <si>
    <t>1301090000017421</t>
  </si>
  <si>
    <t>GOVINDA BHAKTA KAYASTHA</t>
  </si>
  <si>
    <t>HARI BHAKTA KAYASTHA</t>
  </si>
  <si>
    <t>BHAKTA BAHADUR KAYASTHA</t>
  </si>
  <si>
    <t>29-01-69-04217</t>
  </si>
  <si>
    <t>2360172808000001</t>
  </si>
  <si>
    <t>1301080000265314</t>
  </si>
  <si>
    <t>DURGA CHANDRA BASNET</t>
  </si>
  <si>
    <t>DHYAN BAHADUR BASNET</t>
  </si>
  <si>
    <t>GYAN BAHADUR BASNET/PUNAM DANGI BASNET</t>
  </si>
  <si>
    <t>122012/55</t>
  </si>
  <si>
    <t>2060100000018106</t>
  </si>
  <si>
    <t>1301370007716981</t>
  </si>
  <si>
    <t>SHEKH ABUBKAR</t>
  </si>
  <si>
    <t>SHEKH BADRI</t>
  </si>
  <si>
    <t>SUMAIYA BANO</t>
  </si>
  <si>
    <t>182047-756</t>
  </si>
  <si>
    <t>1415751234342001</t>
  </si>
  <si>
    <t>1301610000876570</t>
  </si>
  <si>
    <t>BIKRAM KARKI</t>
  </si>
  <si>
    <t>RUK BAHADUR KARKI</t>
  </si>
  <si>
    <t>SUK BAHADUR KARKI</t>
  </si>
  <si>
    <t>461020/948</t>
  </si>
  <si>
    <t>0050078634500012</t>
  </si>
  <si>
    <t>1301370006355796</t>
  </si>
  <si>
    <t>HARKA BAHADUR KARKI</t>
  </si>
  <si>
    <t>DHAK BAHADUR KARKI</t>
  </si>
  <si>
    <t>MAMATA KHATRI KARKI</t>
  </si>
  <si>
    <t>052028-36808</t>
  </si>
  <si>
    <t>55502945720</t>
  </si>
  <si>
    <t>1301440000423881</t>
  </si>
  <si>
    <t>MEGHA NATH CHAPAGAIN</t>
  </si>
  <si>
    <t>SALIK RAM CHAPAGAIN</t>
  </si>
  <si>
    <t>PADAM PANI CHAPAGAIN</t>
  </si>
  <si>
    <t>362011/6662</t>
  </si>
  <si>
    <t>NAWALPARASI (PURBA)</t>
  </si>
  <si>
    <t>03607010048967</t>
  </si>
  <si>
    <t>1301040000447955</t>
  </si>
  <si>
    <t>BEBIKA SINGH</t>
  </si>
  <si>
    <t>RAM BAHADUR SINGH/LATA KUMARI SINGH</t>
  </si>
  <si>
    <t>DHARMA BAHADUR SINGH/</t>
  </si>
  <si>
    <t>67-01-70-02522</t>
  </si>
  <si>
    <t>01311700088144000001</t>
  </si>
  <si>
    <t>1301530000201052</t>
  </si>
  <si>
    <t>Bishnu Adhikari</t>
  </si>
  <si>
    <t>Rambhakta Adhikari/Man Kumari Adhikari</t>
  </si>
  <si>
    <t>Homnath Adhikari</t>
  </si>
  <si>
    <t>37284</t>
  </si>
  <si>
    <t>03205100250016</t>
  </si>
  <si>
    <t>1301170002352226</t>
  </si>
  <si>
    <t>DIPAK KUMAR SHRESTHA</t>
  </si>
  <si>
    <t>TIKADHWAJ SHRESTHA</t>
  </si>
  <si>
    <t>BHUMINARAYAN SHRESTHA</t>
  </si>
  <si>
    <t>491006/1198</t>
  </si>
  <si>
    <t>0180100000698045</t>
  </si>
  <si>
    <t>1301100000260721</t>
  </si>
  <si>
    <t>AJIT KHATIWADA</t>
  </si>
  <si>
    <t>TANKA PRASAD KHATIWADA</t>
  </si>
  <si>
    <t>BUDDHI PRASAD KHATIWADA</t>
  </si>
  <si>
    <t>21636</t>
  </si>
  <si>
    <t>0660036166100011</t>
  </si>
  <si>
    <t>1301260000436446</t>
  </si>
  <si>
    <t>HIMANSHU AGRAWAL</t>
  </si>
  <si>
    <t>SANDIP AGRAWAL/ANJANA KUMARI AGRAWAL</t>
  </si>
  <si>
    <t>SHYAM SUNDAR AGRAWAL</t>
  </si>
  <si>
    <t>05-01-75-00168</t>
  </si>
  <si>
    <t>2610100000586112</t>
  </si>
  <si>
    <t>1301090002723601</t>
  </si>
  <si>
    <t>NIR KUMAR GIRI</t>
  </si>
  <si>
    <t>RAGHUNATH GIRI</t>
  </si>
  <si>
    <t>CHABILAL GIRI</t>
  </si>
  <si>
    <t>35411293</t>
  </si>
  <si>
    <t>55504762769</t>
  </si>
  <si>
    <t>1301370005352162</t>
  </si>
  <si>
    <t>PRATIK MAN SINGH PRADHAN</t>
  </si>
  <si>
    <t>PRAFULLA MAN SINGH PRADHA N</t>
  </si>
  <si>
    <t>PRASANNA MAN SINGH PRADHAN</t>
  </si>
  <si>
    <t>281-015-50023</t>
  </si>
  <si>
    <t>1980465957524001</t>
  </si>
  <si>
    <t>1301220000036879</t>
  </si>
  <si>
    <t>SAMJHANA KAFLE</t>
  </si>
  <si>
    <t>SANKER PRASAD KAFLE</t>
  </si>
  <si>
    <t>SHYAM PRASAD DANGAL</t>
  </si>
  <si>
    <t>12275/18623</t>
  </si>
  <si>
    <t>2220100016424010</t>
  </si>
  <si>
    <t>1301120004100029</t>
  </si>
  <si>
    <t>JEEBAN ALE MAGAR</t>
  </si>
  <si>
    <t>TIKA BAHADUR ALE</t>
  </si>
  <si>
    <t>PRITHA BAHADUR ALE</t>
  </si>
  <si>
    <t>35-01-72-05495</t>
  </si>
  <si>
    <t>20507010105309</t>
  </si>
  <si>
    <t>1301520001965806</t>
  </si>
  <si>
    <t>RAJU GANEJU</t>
  </si>
  <si>
    <t>KRISHNA GANEJU / INDRA MAYA GANEJU</t>
  </si>
  <si>
    <t>BADRI GANEJU</t>
  </si>
  <si>
    <t>29-01-069-02794</t>
  </si>
  <si>
    <t>0630309916800001</t>
  </si>
  <si>
    <t>1301110000500781</t>
  </si>
  <si>
    <t>mona devi rijal</t>
  </si>
  <si>
    <t>tulasi prasad rijal</t>
  </si>
  <si>
    <t>rudra prasad rijal</t>
  </si>
  <si>
    <t>1/1228</t>
  </si>
  <si>
    <t>30107010033842</t>
  </si>
  <si>
    <t>1301180000050851</t>
  </si>
  <si>
    <t>RUPA PRAJAPATI</t>
  </si>
  <si>
    <t>RAM BHAKTA PRAJAPATI</t>
  </si>
  <si>
    <t>BHISHIG PRAJAPATI/INDRA PRASAD PRAJAPATI</t>
  </si>
  <si>
    <t>182</t>
  </si>
  <si>
    <t>0212200073700018</t>
  </si>
  <si>
    <t>1301060000526484</t>
  </si>
  <si>
    <t>SHOVA ADHIKARI</t>
  </si>
  <si>
    <t>RISHIRAM ADHIKARI</t>
  </si>
  <si>
    <t>NARAYANHARI RIJAL</t>
  </si>
  <si>
    <t>251001/1155</t>
  </si>
  <si>
    <t>02105080103664</t>
  </si>
  <si>
    <t>1301180000050866</t>
  </si>
  <si>
    <t>INDRA PRASAD PRAJAPATI</t>
  </si>
  <si>
    <t>RUDRA PRASAD PRAJAPATI</t>
  </si>
  <si>
    <t>RUDRA BAHADUR PRAJAPATI</t>
  </si>
  <si>
    <t>307-029-30</t>
  </si>
  <si>
    <t>0210017524809</t>
  </si>
  <si>
    <t>1301090004036252</t>
  </si>
  <si>
    <t>MOHAN CHHETRI</t>
  </si>
  <si>
    <t>BAM BAHADUR CHHETRI/YAM KUMARI CHHETRINI</t>
  </si>
  <si>
    <t>KRISHNA BAHADUR CHHETRI</t>
  </si>
  <si>
    <t>65-10-70-00775</t>
  </si>
  <si>
    <t>50317082310</t>
  </si>
  <si>
    <t>1301040002634142</t>
  </si>
  <si>
    <t>AJAYA LIMBU</t>
  </si>
  <si>
    <t>ATMARAM LIMBU /CHAKHURI MAYA LIMBU</t>
  </si>
  <si>
    <t>/INDRA BAHADUR LIMBU</t>
  </si>
  <si>
    <t>52033/7002</t>
  </si>
  <si>
    <t>0910017511834</t>
  </si>
  <si>
    <t>1301160000013726</t>
  </si>
  <si>
    <t>HITKAR BIR SINGH KANSAKAR</t>
  </si>
  <si>
    <t>DAYA BIR SINGH KANSAKAR</t>
  </si>
  <si>
    <t>BHAWANI BIR SINGH KANSAKAR</t>
  </si>
  <si>
    <t>7089</t>
  </si>
  <si>
    <t>00200510200025</t>
  </si>
  <si>
    <t>1301440000388286</t>
  </si>
  <si>
    <t>MADHAB SINGH BHAT</t>
  </si>
  <si>
    <t>KESHAB BAHADUR BHAT</t>
  </si>
  <si>
    <t>BIRA BHAT</t>
  </si>
  <si>
    <t>731039/35</t>
  </si>
  <si>
    <t>BAITIDI</t>
  </si>
  <si>
    <t>03607010274951</t>
  </si>
  <si>
    <t>1301120002604289</t>
  </si>
  <si>
    <t>SANTOSH KUMAR BHANDARI</t>
  </si>
  <si>
    <t>KUL BAHADUR BHANDARI</t>
  </si>
  <si>
    <t>RATNA BAHADUR BHANDARI</t>
  </si>
  <si>
    <t>27713100</t>
  </si>
  <si>
    <t>02307010000569</t>
  </si>
  <si>
    <t>1301110000031292</t>
  </si>
  <si>
    <t>ATMADEV JOSHI</t>
  </si>
  <si>
    <t>NANDARAM JOSHI</t>
  </si>
  <si>
    <t>PRATAP JOSHI</t>
  </si>
  <si>
    <t>612</t>
  </si>
  <si>
    <t>30107010015859</t>
  </si>
  <si>
    <t>1301760000890266</t>
  </si>
  <si>
    <t>BIRENDRA KHADKA</t>
  </si>
  <si>
    <t>KESHAB BAHADUR KHADKA / KANCHI KHADKA</t>
  </si>
  <si>
    <t>CHETTRA BAHADUR KHADKA</t>
  </si>
  <si>
    <t>02789</t>
  </si>
  <si>
    <t>03309013095016</t>
  </si>
  <si>
    <t>1301440000165942</t>
  </si>
  <si>
    <t>SAPANA DANAI</t>
  </si>
  <si>
    <t>BHUWANI DUTTA DANAI</t>
  </si>
  <si>
    <t>BISHNU PRASAD DANAI</t>
  </si>
  <si>
    <t>261/65918</t>
  </si>
  <si>
    <t>02508750850015</t>
  </si>
  <si>
    <t>1301110000771997</t>
  </si>
  <si>
    <t>SADIXA GAUTAM</t>
  </si>
  <si>
    <t>MANDU PRASAD GAUTAM</t>
  </si>
  <si>
    <t>BHIM PRASAD GAUTAM</t>
  </si>
  <si>
    <t>27-01-74-13674</t>
  </si>
  <si>
    <t>32207010005555</t>
  </si>
  <si>
    <t>1301370004473963</t>
  </si>
  <si>
    <t>SUDEEP BHANDARI</t>
  </si>
  <si>
    <t>MOHAN PRASAD BHANDARI</t>
  </si>
  <si>
    <t>ANANTARAM BHANDARI</t>
  </si>
  <si>
    <t>372024/60159</t>
  </si>
  <si>
    <t>0235750860803001</t>
  </si>
  <si>
    <t>1301520002153482</t>
  </si>
  <si>
    <t>SURYA KUMAR SHRESTHA</t>
  </si>
  <si>
    <t>BUDDHI PRASAD SHRESTHA / RUKUNI SHRESTHA</t>
  </si>
  <si>
    <t>JEEVAN LAL SHRESTHA</t>
  </si>
  <si>
    <t>30</t>
  </si>
  <si>
    <t>2260205998700001</t>
  </si>
  <si>
    <t>1301090002029299</t>
  </si>
  <si>
    <t>BINITA THAPA</t>
  </si>
  <si>
    <t>RAMDHOJ THAPA</t>
  </si>
  <si>
    <t>KUL BAHADUR THAPA</t>
  </si>
  <si>
    <t>7/1570</t>
  </si>
  <si>
    <t>01715090423</t>
  </si>
  <si>
    <t>1301650000196823</t>
  </si>
  <si>
    <t>RAJESH KUMAR SHRESTHA</t>
  </si>
  <si>
    <t>DHAN BAHADUR SHRESTHA/GYAN MAYA</t>
  </si>
  <si>
    <t>LAXMI SHRESTHA/KHADKA BAHADUR SHRESTHA</t>
  </si>
  <si>
    <t>10921</t>
  </si>
  <si>
    <t>1300100027033010</t>
  </si>
  <si>
    <t>1301260001010174</t>
  </si>
  <si>
    <t>NARAYAN SHRESTHA</t>
  </si>
  <si>
    <t>CHIJ KUMAR SHRESTHA/MAN KUMARI SHRESTHA</t>
  </si>
  <si>
    <t>THAKUR DAS SHRESTHA</t>
  </si>
  <si>
    <t>441015/365</t>
  </si>
  <si>
    <t>2020173923200014</t>
  </si>
  <si>
    <t>1301570001006580</t>
  </si>
  <si>
    <t>SAGAR BAN</t>
  </si>
  <si>
    <t>INDRA BAHADUR BAN/SUSILA BAN</t>
  </si>
  <si>
    <t>SAMUNDRA BAHADUR RAI</t>
  </si>
  <si>
    <t>04-01-72-04199</t>
  </si>
  <si>
    <t>08813307563516000002</t>
  </si>
  <si>
    <t>1301630000560494</t>
  </si>
  <si>
    <t>SHANKAR RAYA</t>
  </si>
  <si>
    <t>SURENDRA RAYA/LAXMI DEVI RAYA</t>
  </si>
  <si>
    <t>MOHAN RAYA</t>
  </si>
  <si>
    <t>043010/312</t>
  </si>
  <si>
    <t>2130158888400001</t>
  </si>
  <si>
    <t>1301630000664977</t>
  </si>
  <si>
    <t>ROHIT JAISWAL</t>
  </si>
  <si>
    <t>NAGENDRA CHAUDHARY/LALITA KUMARI CHAUDHARY</t>
  </si>
  <si>
    <t>RAMSHEBAK CHAUDHARY</t>
  </si>
  <si>
    <t>19-02-78-01717</t>
  </si>
  <si>
    <t>2440207594000001</t>
  </si>
  <si>
    <t>1301630000024235</t>
  </si>
  <si>
    <t>MAHESH K.C.</t>
  </si>
  <si>
    <t>SURYA RAJ KHATRI</t>
  </si>
  <si>
    <t>BEL BAHADUR KHATRI</t>
  </si>
  <si>
    <t>13553</t>
  </si>
  <si>
    <t>2040187161000001</t>
  </si>
  <si>
    <t>1301040002876018</t>
  </si>
  <si>
    <t>SHANKAR B K</t>
  </si>
  <si>
    <t>TEK BAHADUR BK/DHANAMATI BK</t>
  </si>
  <si>
    <t>PARBATI BK/TIKAMAN BK</t>
  </si>
  <si>
    <t>241011/19378</t>
  </si>
  <si>
    <t>18010017506629</t>
  </si>
  <si>
    <t>1301550000090110</t>
  </si>
  <si>
    <t>SAKHIE PANT</t>
  </si>
  <si>
    <t>DINESH PRASAD PANT</t>
  </si>
  <si>
    <t>LAXMI PRASAD PANT</t>
  </si>
  <si>
    <t>1060/63306</t>
  </si>
  <si>
    <t>17715241407249</t>
  </si>
  <si>
    <t>1301120004895302</t>
  </si>
  <si>
    <t>SABBIR ALI MU</t>
  </si>
  <si>
    <t>MAHMAD JAMA MUSALMAN</t>
  </si>
  <si>
    <t>BAITULLAH MUSALMAN</t>
  </si>
  <si>
    <t>3821077</t>
  </si>
  <si>
    <t>03309012402269</t>
  </si>
  <si>
    <t>1301090004096200</t>
  </si>
  <si>
    <t>SANJIT POKHREL</t>
  </si>
  <si>
    <t>SIJAN POKHREL/ SARASWATI DHAKAL</t>
  </si>
  <si>
    <t>SHYAM KUMAR POKHREL</t>
  </si>
  <si>
    <t>2079082510258</t>
  </si>
  <si>
    <t>55504050716</t>
  </si>
  <si>
    <t>1301090000120511</t>
  </si>
  <si>
    <t>SANTOSH GHIMIRE</t>
  </si>
  <si>
    <t>MADHUKAR GHIMIRE</t>
  </si>
  <si>
    <t>KHADANANDA GHIMIRE</t>
  </si>
  <si>
    <t>13065/055</t>
  </si>
  <si>
    <t>0210017511947</t>
  </si>
  <si>
    <t>1301370007807971</t>
  </si>
  <si>
    <t>NIRAJ PUN</t>
  </si>
  <si>
    <t>BHIM BAHADUR PUN</t>
  </si>
  <si>
    <t>TULASA GHARTI MAGAR</t>
  </si>
  <si>
    <t>54-01-73-03956</t>
  </si>
  <si>
    <t>ROLPA</t>
  </si>
  <si>
    <t>0750246350500016</t>
  </si>
  <si>
    <t>1301370003724551</t>
  </si>
  <si>
    <t>RUDRA BH. KHADKA</t>
  </si>
  <si>
    <t>BAL BAHADUR KHADKA</t>
  </si>
  <si>
    <t>TEK BAHADUR KHADKA</t>
  </si>
  <si>
    <t>042045/891</t>
  </si>
  <si>
    <t>0375751041660001</t>
  </si>
  <si>
    <t>1301260002633619</t>
  </si>
  <si>
    <t>SAMITA BK KHATI</t>
  </si>
  <si>
    <t>LAL BAHADUR BK/BELI MAYA BK</t>
  </si>
  <si>
    <t>DURGA BAHADUR BK</t>
  </si>
  <si>
    <t>45017101663</t>
  </si>
  <si>
    <t>3660258876600018</t>
  </si>
  <si>
    <t>1301060000367105</t>
  </si>
  <si>
    <t>KAVITA SARKAR BUDHATHOKI</t>
  </si>
  <si>
    <t>KARUN KUMAR SARKAR</t>
  </si>
  <si>
    <t>KAMINI KUMAR SARKAR</t>
  </si>
  <si>
    <t>1037/059/060</t>
  </si>
  <si>
    <t>00105080427357</t>
  </si>
  <si>
    <t>1301440000211156</t>
  </si>
  <si>
    <t>Ram Bahadur Rai</t>
  </si>
  <si>
    <t>Khada Bahadur Rai</t>
  </si>
  <si>
    <t>Kham Bahadur Rai</t>
  </si>
  <si>
    <t>1016</t>
  </si>
  <si>
    <t>ILAM</t>
  </si>
  <si>
    <t>03309015007487</t>
  </si>
  <si>
    <t>1301260000871951</t>
  </si>
  <si>
    <t>RAJESH BAJRACHARYA</t>
  </si>
  <si>
    <t>SOM NARSINGH BAJRACHARYA/NANI MAYA BAJRACHARYA</t>
  </si>
  <si>
    <t>DHARMA NARSINGH BAJRACHARYA</t>
  </si>
  <si>
    <t>55754</t>
  </si>
  <si>
    <t>0270172019400016</t>
  </si>
  <si>
    <t>1301040002355550</t>
  </si>
  <si>
    <t>STEVYN RAJ GURUNG</t>
  </si>
  <si>
    <t>SURAJ GURUNG/SONU GURUNG</t>
  </si>
  <si>
    <t>/BIR BAHADUR GURUNG</t>
  </si>
  <si>
    <t>2074020404995</t>
  </si>
  <si>
    <t>06210017504346</t>
  </si>
  <si>
    <t>1301530000193722</t>
  </si>
  <si>
    <t>Puja Badu</t>
  </si>
  <si>
    <t>Tika Ram Badu/ Rupa Badu</t>
  </si>
  <si>
    <t>Lok Nath Badu</t>
  </si>
  <si>
    <t>44-01-71-01143</t>
  </si>
  <si>
    <t>20115243401792</t>
  </si>
  <si>
    <t>1301370000098351</t>
  </si>
  <si>
    <t>Sandesh Silpakar</t>
  </si>
  <si>
    <t>Subarna Lal Silpakar</t>
  </si>
  <si>
    <t>Prem Lal Silpakar</t>
  </si>
  <si>
    <t>75728</t>
  </si>
  <si>
    <t>4169405589524001</t>
  </si>
  <si>
    <t>1301070001926011</t>
  </si>
  <si>
    <t>SUSHANT GIRI</t>
  </si>
  <si>
    <t>GOPAL GIRI</t>
  </si>
  <si>
    <t>GURUDATTA GIRI</t>
  </si>
  <si>
    <t>66-01-80-01778</t>
  </si>
  <si>
    <t>2551444464043002</t>
  </si>
  <si>
    <t>1301040002355565</t>
  </si>
  <si>
    <t>SONOMI GURUNG</t>
  </si>
  <si>
    <t>1864</t>
  </si>
  <si>
    <t>06210017504349</t>
  </si>
  <si>
    <t>1301650000544548</t>
  </si>
  <si>
    <t>SABINA MAGAR</t>
  </si>
  <si>
    <t>RUDRA BDR MAGAR</t>
  </si>
  <si>
    <t>DAL BDR MAGAR/BAL KUMARI MAGAR</t>
  </si>
  <si>
    <t>6394</t>
  </si>
  <si>
    <t>1190100031690010</t>
  </si>
  <si>
    <t>1301730001947130</t>
  </si>
  <si>
    <t>PRAKASH BASNET</t>
  </si>
  <si>
    <t>GYAN BAHADUR BASNET/DURGA BASNET</t>
  </si>
  <si>
    <t>LILA BAHADUR BASNET</t>
  </si>
  <si>
    <t>10-02-75-00540</t>
  </si>
  <si>
    <t>13205300007634</t>
  </si>
  <si>
    <t>1301090000656061</t>
  </si>
  <si>
    <t>DEVENDRA PAUDEL</t>
  </si>
  <si>
    <t>PURUSHOTOM PADHYA PAUDEL</t>
  </si>
  <si>
    <t>2274/060</t>
  </si>
  <si>
    <t>00815190534</t>
  </si>
  <si>
    <t>1301610000582123</t>
  </si>
  <si>
    <t>ANIL PANTHI</t>
  </si>
  <si>
    <t>LEKHNATH PANTHI</t>
  </si>
  <si>
    <t>MADHAV PANTHI</t>
  </si>
  <si>
    <t>95889</t>
  </si>
  <si>
    <t>0390014754100018</t>
  </si>
  <si>
    <t>1301520001717209</t>
  </si>
  <si>
    <t>MAKHMALI TAMANG</t>
  </si>
  <si>
    <t>PREM BAHADUR TAMANG / BINDA MAYA LAMA</t>
  </si>
  <si>
    <t>DHARMA RAJ TAMANG</t>
  </si>
  <si>
    <t>86966</t>
  </si>
  <si>
    <t>1960109049600001</t>
  </si>
  <si>
    <t>1301120000701431</t>
  </si>
  <si>
    <t>Sharada Devi Shrestha</t>
  </si>
  <si>
    <t>Bishnu Bahadur Shrestha</t>
  </si>
  <si>
    <t>Bishlal Shrestha/Mahesh Shrestha</t>
  </si>
  <si>
    <t>14639/42795</t>
  </si>
  <si>
    <t>3210017500608</t>
  </si>
  <si>
    <t>1301650001506131</t>
  </si>
  <si>
    <t>REEKI SHAHI</t>
  </si>
  <si>
    <t>PRAKASH SHAHI</t>
  </si>
  <si>
    <t>BUDDI LAL SHAHI/</t>
  </si>
  <si>
    <t>290106800055</t>
  </si>
  <si>
    <t>1980100000191010</t>
  </si>
  <si>
    <t>1301040000326070</t>
  </si>
  <si>
    <t>NIKHIL AGRAWAL</t>
  </si>
  <si>
    <t>BINOD KUMAR AGRAWAL / LAXMI DEVI AGRAWAL</t>
  </si>
  <si>
    <t>BHAWANI SHANKHAR AGRAWAL</t>
  </si>
  <si>
    <t>4128/3796/27154</t>
  </si>
  <si>
    <t>1810017500570</t>
  </si>
  <si>
    <t>1301260000871964</t>
  </si>
  <si>
    <t>ANWESHA BAJRACHARYA</t>
  </si>
  <si>
    <t>RAJESH BAJRACHARYA/KRIPA JOSHI</t>
  </si>
  <si>
    <t>SOM NARSINGH BAJRACHARYA</t>
  </si>
  <si>
    <t>411</t>
  </si>
  <si>
    <t>0270172027900010</t>
  </si>
  <si>
    <t>1301610001892691</t>
  </si>
  <si>
    <t>BAIJANATH MAHATO SUDI</t>
  </si>
  <si>
    <t>RAJENDRA MAHATO</t>
  </si>
  <si>
    <t>MAHABIR MAHATO SUDI</t>
  </si>
  <si>
    <t>41441489</t>
  </si>
  <si>
    <t>0560030838800011</t>
  </si>
  <si>
    <t>1301040000326066</t>
  </si>
  <si>
    <t>RABINA KHOJU</t>
  </si>
  <si>
    <t>YADHAV KRISHNA KHOJU / REKHA KHOJU</t>
  </si>
  <si>
    <t>BISHNU BAHADUR KHOJU / NIKHIL AGRAWAL</t>
  </si>
  <si>
    <t>119343</t>
  </si>
  <si>
    <t>2010017513125</t>
  </si>
  <si>
    <t>1301040000326131</t>
  </si>
  <si>
    <t>VAANI AGRAWAL</t>
  </si>
  <si>
    <t>NIKHIL AGRAWAL / RABINA KHOJU</t>
  </si>
  <si>
    <t>BINOD KUMAR AGRAWAL</t>
  </si>
  <si>
    <t>1474</t>
  </si>
  <si>
    <t>2010017513128</t>
  </si>
  <si>
    <t>1301060001279639</t>
  </si>
  <si>
    <t>MANISHA MISHRA</t>
  </si>
  <si>
    <t>MAHESHWOR LAL MISHRA</t>
  </si>
  <si>
    <t>SNAMBMU LAL  MISHRA</t>
  </si>
  <si>
    <t>24643</t>
  </si>
  <si>
    <t>00705060001638</t>
  </si>
  <si>
    <t>1301040000326144</t>
  </si>
  <si>
    <t>MAANVI AGRAWAL</t>
  </si>
  <si>
    <t>65</t>
  </si>
  <si>
    <t>2010017513129</t>
  </si>
  <si>
    <t>1301320000010641</t>
  </si>
  <si>
    <t>Surendra K.C</t>
  </si>
  <si>
    <t>Buddhi Bahadur K.C</t>
  </si>
  <si>
    <t>Bir Bahadur K.C</t>
  </si>
  <si>
    <t>3180</t>
  </si>
  <si>
    <t>00505030014856</t>
  </si>
  <si>
    <t>1301040000777233</t>
  </si>
  <si>
    <t>SANDHYA TIWARI</t>
  </si>
  <si>
    <t>DINESH BABU TIWARI/SUNILA TIWARI</t>
  </si>
  <si>
    <t>GAJENDRA NIDHI TIWARI/</t>
  </si>
  <si>
    <t>28-01-069-00795</t>
  </si>
  <si>
    <t>4910017503344</t>
  </si>
  <si>
    <t>1301260000871983</t>
  </si>
  <si>
    <t>NANI MAYA BAJRACHARYA</t>
  </si>
  <si>
    <t>SANU KAJI SHAKYA/LAXMI MAYA SHAKYA</t>
  </si>
  <si>
    <t>HARKHA JYOTI SHAKYA</t>
  </si>
  <si>
    <t>12881</t>
  </si>
  <si>
    <t>0270172034100014</t>
  </si>
  <si>
    <t>1301120004466731</t>
  </si>
  <si>
    <t>RANA BAHADUR BANIYA</t>
  </si>
  <si>
    <t>SHARAD KUMAR BANIYA/LILA MAYA BANIYA</t>
  </si>
  <si>
    <t>BALA BAHADUR BANIYA</t>
  </si>
  <si>
    <t>14-01-70-01455</t>
  </si>
  <si>
    <t>02207010011583</t>
  </si>
  <si>
    <t>1301070001708976</t>
  </si>
  <si>
    <t>Samim Ansari</t>
  </si>
  <si>
    <t>amin miya</t>
  </si>
  <si>
    <t>asraf miya</t>
  </si>
  <si>
    <t>061036/158384</t>
  </si>
  <si>
    <t>07920019426</t>
  </si>
  <si>
    <t>1301100001983255</t>
  </si>
  <si>
    <t>SURESH BHAUJU</t>
  </si>
  <si>
    <t>LAXMI BAHADUR BHAUJU/BHUWANESHORI BHAUJU</t>
  </si>
  <si>
    <t>CHANDRA BAHADUR BHAUJU</t>
  </si>
  <si>
    <t>1/2468</t>
  </si>
  <si>
    <t>1440102170300011</t>
  </si>
  <si>
    <t>1301530000341352</t>
  </si>
  <si>
    <t>Manju Rai</t>
  </si>
  <si>
    <t>Padam Prasad Rai/Bindra Maya Rai</t>
  </si>
  <si>
    <t>Subash Rai/Dal Bir Rai</t>
  </si>
  <si>
    <t>60798/1411</t>
  </si>
  <si>
    <t>21115241402790</t>
  </si>
  <si>
    <t>1301820000458695</t>
  </si>
  <si>
    <t>MD KHALIL RAIN</t>
  </si>
  <si>
    <t>MD ANBARUL RAIN  / JAHIRA KHATUN</t>
  </si>
  <si>
    <t>KORISHA KHATUN /OMREALLI MIYA</t>
  </si>
  <si>
    <t>16-01-71-03673</t>
  </si>
  <si>
    <t>KAMANA SEWA BIKAS BANK LTD.(6801)</t>
  </si>
  <si>
    <t>07717100812628000002</t>
  </si>
  <si>
    <t>1301010000061483</t>
  </si>
  <si>
    <t>NABIN KUMAR UPADHYAY</t>
  </si>
  <si>
    <t>HARIHAR PRASAD UPADHYAY</t>
  </si>
  <si>
    <t>GAURI SHANKAR UPADHYAY</t>
  </si>
  <si>
    <t>2291</t>
  </si>
  <si>
    <t>02901000000026204542</t>
  </si>
  <si>
    <t>1301120005423380</t>
  </si>
  <si>
    <t>SHIV NARESH PRASAD SAH</t>
  </si>
  <si>
    <t>MAHENDRA SAH</t>
  </si>
  <si>
    <t>AMAR SAH</t>
  </si>
  <si>
    <t>191063169</t>
  </si>
  <si>
    <t>08407010018142</t>
  </si>
  <si>
    <t>1301790000509214</t>
  </si>
  <si>
    <t>BARSHA SIGDEL</t>
  </si>
  <si>
    <t>BASUDEV SIGDEL/DEVIKA ACHARYA</t>
  </si>
  <si>
    <t>YUBA NARAYAN SIGDEL</t>
  </si>
  <si>
    <t>04-01-78-06476</t>
  </si>
  <si>
    <t>01805300259774</t>
  </si>
  <si>
    <t>1301090002956652</t>
  </si>
  <si>
    <t>TARA PRASAD BHANDARI</t>
  </si>
  <si>
    <t>TEJURAJ BHANDARI/KAMALA BHANDARI</t>
  </si>
  <si>
    <t>HARI BHAKTA BHANDARI/SITA BHANDARI</t>
  </si>
  <si>
    <t>8847</t>
  </si>
  <si>
    <t>02715077914</t>
  </si>
  <si>
    <t>1301440000448315</t>
  </si>
  <si>
    <t>ASHISH POUDYAL</t>
  </si>
  <si>
    <t>HARI PRASAD POUDYAL</t>
  </si>
  <si>
    <t>KHEMNATH POUDYAL</t>
  </si>
  <si>
    <t>04-01-77-08177</t>
  </si>
  <si>
    <t>03607010025665</t>
  </si>
  <si>
    <t>1301370000425195</t>
  </si>
  <si>
    <t>Kshitiz Kiran Maharjan</t>
  </si>
  <si>
    <t>Bhakti Narayan Maharjan</t>
  </si>
  <si>
    <t>Kul Narayan Maharjan</t>
  </si>
  <si>
    <t>38582</t>
  </si>
  <si>
    <t>2555379186524001</t>
  </si>
  <si>
    <t>1301370006614234</t>
  </si>
  <si>
    <t>GHAN BAHADUR GURUNG</t>
  </si>
  <si>
    <t>KUL BAHADUR GURUNG</t>
  </si>
  <si>
    <t>66281</t>
  </si>
  <si>
    <t>0755751833699001</t>
  </si>
  <si>
    <t>1301590000214482</t>
  </si>
  <si>
    <t>KRISHNA GURUNG</t>
  </si>
  <si>
    <t>HASBAL GURUNG</t>
  </si>
  <si>
    <t>441056/334</t>
  </si>
  <si>
    <t>03101000000104501633</t>
  </si>
  <si>
    <t>1301520001857245</t>
  </si>
  <si>
    <t>JAYA BAHADUR TAMANG</t>
  </si>
  <si>
    <t>CHIN BAHADUR TAMANG / CHARI MAYA TAMANG</t>
  </si>
  <si>
    <t>BHIM BAHADUR TAMANG</t>
  </si>
  <si>
    <t>24-01-79-09543</t>
  </si>
  <si>
    <t>0380298184600001</t>
  </si>
  <si>
    <t>1301690001233881</t>
  </si>
  <si>
    <t>BHUPENDRA RAJBANSHI</t>
  </si>
  <si>
    <t>DHAN BAHADUR RAJBANSHI/SUKHABATI RAJBANSHI</t>
  </si>
  <si>
    <t>RANGA RAJBANSHI</t>
  </si>
  <si>
    <t>04-01-69-15024</t>
  </si>
  <si>
    <t>02701000000039820122</t>
  </si>
  <si>
    <t>1301120005331215</t>
  </si>
  <si>
    <t>BIMAL THING</t>
  </si>
  <si>
    <t>THIRMAN THING</t>
  </si>
  <si>
    <t>KHADGA BAHADUR THING</t>
  </si>
  <si>
    <t>27-02-78-00654</t>
  </si>
  <si>
    <t>32607010026071</t>
  </si>
  <si>
    <t>1301170001546381</t>
  </si>
  <si>
    <t>SAROJ KUMAR THARU</t>
  </si>
  <si>
    <t>SURENDRA PRASAD THARU/SARASWATI KUMAL</t>
  </si>
  <si>
    <t>MAN BAHADUR THARU</t>
  </si>
  <si>
    <t>36-01-73-01607</t>
  </si>
  <si>
    <t>1270100000057041</t>
  </si>
  <si>
    <t>1301260001687315</t>
  </si>
  <si>
    <t>NARAYAN SAPKOTA</t>
  </si>
  <si>
    <t>BUDDHIRAJ SAPKOTA/RUKMANI SAPKOTA</t>
  </si>
  <si>
    <t>AMAR BAHADUR SAPKOTA</t>
  </si>
  <si>
    <t>0141008/89368</t>
  </si>
  <si>
    <t>0540177988700019</t>
  </si>
  <si>
    <t>1301010000372137</t>
  </si>
  <si>
    <t>BHAGIRATH THAKULAWAT</t>
  </si>
  <si>
    <t>CHANDRA BHAKTA THAKULAWAT</t>
  </si>
  <si>
    <t>ASHAMARU THAKULAWAT</t>
  </si>
  <si>
    <t>1403</t>
  </si>
  <si>
    <t>01901000030728000001</t>
  </si>
  <si>
    <t>1301120004571107</t>
  </si>
  <si>
    <t>DHARM BAHADUR BOHARA</t>
  </si>
  <si>
    <t>DEV BAHADUR BOHARA</t>
  </si>
  <si>
    <t>SUGA BOHARA</t>
  </si>
  <si>
    <t>751007/18527</t>
  </si>
  <si>
    <t>KANCHANPUR</t>
  </si>
  <si>
    <t>03309011063570</t>
  </si>
  <si>
    <t>1301100000257480</t>
  </si>
  <si>
    <t>SARITA KHANAL</t>
  </si>
  <si>
    <t>SHYAM RAJ KHANAL</t>
  </si>
  <si>
    <t>GUNA RAJ KHANAL</t>
  </si>
  <si>
    <t>7816</t>
  </si>
  <si>
    <t>0210401184818016</t>
  </si>
  <si>
    <t>1301100000055502</t>
  </si>
  <si>
    <t>NIRMAL KUMAR CHAUDHARY</t>
  </si>
  <si>
    <t>RAM AUTAR CHAUDHARY</t>
  </si>
  <si>
    <t>KEDAR BUX</t>
  </si>
  <si>
    <t>39697563</t>
  </si>
  <si>
    <t>03022300592709000001</t>
  </si>
  <si>
    <t>1301040000535562</t>
  </si>
  <si>
    <t>PUKAR CHAULAGAIN</t>
  </si>
  <si>
    <t>ARGALAL CHAULAGAIN</t>
  </si>
  <si>
    <t>PADAMLAL CHAULAGAIN</t>
  </si>
  <si>
    <t>22-01-69-00351</t>
  </si>
  <si>
    <t>0410017508742</t>
  </si>
  <si>
    <t>1301060000416819</t>
  </si>
  <si>
    <t>NESHAN MAHARJAN</t>
  </si>
  <si>
    <t>MADHU MAHARJAN</t>
  </si>
  <si>
    <t>JOG LAL MAHARJAN</t>
  </si>
  <si>
    <t>271043/5457</t>
  </si>
  <si>
    <t>03407010038928</t>
  </si>
  <si>
    <t>1301040002041984</t>
  </si>
  <si>
    <t>SHIVA HARI NEPALAI</t>
  </si>
  <si>
    <t>BHIM SEN NEPAL/BAL KUMARI NEPAL</t>
  </si>
  <si>
    <t>/RINANATH NEPAL</t>
  </si>
  <si>
    <t>271015/46605</t>
  </si>
  <si>
    <t>1301090000065364</t>
  </si>
  <si>
    <t>SANGITA SHRESTHA</t>
  </si>
  <si>
    <t>GOBINDA BHAKTA SHRESTHA</t>
  </si>
  <si>
    <t>BEL BHAKTA SHRESTHA</t>
  </si>
  <si>
    <t>10930</t>
  </si>
  <si>
    <t>07620500376845000001</t>
  </si>
  <si>
    <t>1301080000507385</t>
  </si>
  <si>
    <t>GANESH KUMAR SHAHI</t>
  </si>
  <si>
    <t>DHAN BAHADUR SHAHI</t>
  </si>
  <si>
    <t>LALU SHAHI</t>
  </si>
  <si>
    <t>632053/143</t>
  </si>
  <si>
    <t>03100504200586</t>
  </si>
  <si>
    <t>1301010000976103</t>
  </si>
  <si>
    <t>RUDRA PRASAD ADHIKARI</t>
  </si>
  <si>
    <t>LEKHNATH ADHIKARI/DAMANTA ADHIKARI</t>
  </si>
  <si>
    <t>RABICHANDRA ADHIKARI</t>
  </si>
  <si>
    <t>04-03-69/65</t>
  </si>
  <si>
    <t>28049197960013</t>
  </si>
  <si>
    <t>1301690000717974</t>
  </si>
  <si>
    <t>SIDDHARTH SHASHANKAR</t>
  </si>
  <si>
    <t>BIMAL SHASHANKAR</t>
  </si>
  <si>
    <t>DHARMALAL BISHWAKARMA</t>
  </si>
  <si>
    <t>182069/2214</t>
  </si>
  <si>
    <t>19101000000102001687</t>
  </si>
  <si>
    <t>1301070000143672</t>
  </si>
  <si>
    <t>Khim Bahadur Thapa</t>
  </si>
  <si>
    <t>Dal Bahadur Thapa Magar</t>
  </si>
  <si>
    <t>Bal Bir Thapa Magar</t>
  </si>
  <si>
    <t>200985</t>
  </si>
  <si>
    <t>01821001086</t>
  </si>
  <si>
    <t>1301100000356279</t>
  </si>
  <si>
    <t>AASTHA TIWARI</t>
  </si>
  <si>
    <t>HUMA KANTA TIWARI</t>
  </si>
  <si>
    <t>PADMA NATH TIWARI</t>
  </si>
  <si>
    <t>9580</t>
  </si>
  <si>
    <t>Mahalaxmi Bikas Bank Ltd.(9931)</t>
  </si>
  <si>
    <t>06300600325713000001</t>
  </si>
  <si>
    <t>1301510000014055</t>
  </si>
  <si>
    <t>RAM GOPAL AWALE</t>
  </si>
  <si>
    <t>BEKHAMAN AWALE</t>
  </si>
  <si>
    <t>RASMITA PRAJAPATI/DHARMA LAL AWALE</t>
  </si>
  <si>
    <t>78644</t>
  </si>
  <si>
    <t>16910017513939</t>
  </si>
  <si>
    <t>1301120002654241</t>
  </si>
  <si>
    <t>BISHNU BAHADUR SARKI</t>
  </si>
  <si>
    <t>JIT BAHADUR SARKI</t>
  </si>
  <si>
    <t>RANA BAHADUR SARKI</t>
  </si>
  <si>
    <t>111254</t>
  </si>
  <si>
    <t>21707010004887</t>
  </si>
  <si>
    <t>1301690000453784</t>
  </si>
  <si>
    <t>RAM BABU THAKUR</t>
  </si>
  <si>
    <t>LALIT THAKUR</t>
  </si>
  <si>
    <t>JIYALAL THAKUR</t>
  </si>
  <si>
    <t>05-02-72-04044</t>
  </si>
  <si>
    <t>10301000000077101681</t>
  </si>
  <si>
    <t>1301370000001229</t>
  </si>
  <si>
    <t>Rama Bhusal</t>
  </si>
  <si>
    <t>Keshav Raj Bhusal</t>
  </si>
  <si>
    <t>Bhimlal Bhusal</t>
  </si>
  <si>
    <t>8312</t>
  </si>
  <si>
    <t>1569375183524001</t>
  </si>
  <si>
    <t>1301650001214296</t>
  </si>
  <si>
    <t>BIKAS RANA</t>
  </si>
  <si>
    <t>THULE RANA</t>
  </si>
  <si>
    <t>DIL BAHADUR RANA/GANGA RANA</t>
  </si>
  <si>
    <t>7236</t>
  </si>
  <si>
    <t>4140100032402010</t>
  </si>
  <si>
    <t>1301110000237638</t>
  </si>
  <si>
    <t>SUDARSHAN JOSHI</t>
  </si>
  <si>
    <t>BISHWORAJ JOSHI</t>
  </si>
  <si>
    <t>PITAMBER JOSHI</t>
  </si>
  <si>
    <t>31490</t>
  </si>
  <si>
    <t>25507010013767</t>
  </si>
  <si>
    <t>1301370002726743</t>
  </si>
  <si>
    <t>SUNITA KUMARI RAJBANSHI</t>
  </si>
  <si>
    <t>PARSHURAM RAJJBANSHI</t>
  </si>
  <si>
    <t>LAKATU RAJBANSHI</t>
  </si>
  <si>
    <t>1056015/210</t>
  </si>
  <si>
    <t>2145750733672001</t>
  </si>
  <si>
    <t>1301260002661408</t>
  </si>
  <si>
    <t>MOTI RAM SILWAL</t>
  </si>
  <si>
    <t>PASHUPATI NATH SILWAL/TULA KUMARI SILWAL</t>
  </si>
  <si>
    <t>KUSHMAKHAR SILWAL</t>
  </si>
  <si>
    <t>1624061</t>
  </si>
  <si>
    <t>0810224059300015</t>
  </si>
  <si>
    <t>1301060002838512</t>
  </si>
  <si>
    <t>KIRAN PANDIT</t>
  </si>
  <si>
    <t>TARA BAHUDUR PANDIT</t>
  </si>
  <si>
    <t>KESHAR  BAHADUR PANDIT</t>
  </si>
  <si>
    <t>35034</t>
  </si>
  <si>
    <t>03605390250207</t>
  </si>
  <si>
    <t>1301720000108836</t>
  </si>
  <si>
    <t>TIKA NEUPANE</t>
  </si>
  <si>
    <t>BHESHRAJ NEUPANE</t>
  </si>
  <si>
    <t>RADHA NEUPANE</t>
  </si>
  <si>
    <t>-1-029/1272</t>
  </si>
  <si>
    <t>0212401470402010</t>
  </si>
  <si>
    <t>1301260001976707</t>
  </si>
  <si>
    <t>AKASH AGRAHARI</t>
  </si>
  <si>
    <t>JOGENDRA AGRAHARI/NARBADHA AGRAHARI</t>
  </si>
  <si>
    <t>BAJARANGI AGRAHARI</t>
  </si>
  <si>
    <t>371023/45211</t>
  </si>
  <si>
    <t>0090033843300015</t>
  </si>
  <si>
    <t>1301520000274101</t>
  </si>
  <si>
    <t>JYOTI KHADKA</t>
  </si>
  <si>
    <t>TIKA BAHADUR KHADKA/ SUMITRA KUMARI KHADKA</t>
  </si>
  <si>
    <t>NARA BAHADUR KHADKA</t>
  </si>
  <si>
    <t>28-01-067-05965</t>
  </si>
  <si>
    <t>0520041138700001</t>
  </si>
  <si>
    <t>1301040000058260</t>
  </si>
  <si>
    <t>MANOJ BHATTARAI</t>
  </si>
  <si>
    <t>VISHWANATH SHARMA BHATTARAI</t>
  </si>
  <si>
    <t>BABITA ADHIKARI BHATTARAI/KOSHAL RAJ BHATTARAI</t>
  </si>
  <si>
    <t>10539</t>
  </si>
  <si>
    <t>0010009006811</t>
  </si>
  <si>
    <t>1301370005381183</t>
  </si>
  <si>
    <t>SUDIP TRIPATHEE</t>
  </si>
  <si>
    <t>RAMKRISHNA TRIPATHEE</t>
  </si>
  <si>
    <t>UMANATH TRIPATHEE</t>
  </si>
  <si>
    <t>461035/394</t>
  </si>
  <si>
    <t>1005759497121001</t>
  </si>
  <si>
    <t>1301080000495364</t>
  </si>
  <si>
    <t>PARBATI PAUDEL</t>
  </si>
  <si>
    <t>AGNIKUMAR PAUDEL/MINA PAUDEL</t>
  </si>
  <si>
    <t>KESHAB PRASAD PAUDEL</t>
  </si>
  <si>
    <t>250369/248</t>
  </si>
  <si>
    <t>07500501201780</t>
  </si>
  <si>
    <t>1301060001350291</t>
  </si>
  <si>
    <t>NIRMAL REGMI</t>
  </si>
  <si>
    <t>INDRA BDR REGMI</t>
  </si>
  <si>
    <t>PUSPA LAL REGMI</t>
  </si>
  <si>
    <t>5738</t>
  </si>
  <si>
    <t>03205030263610</t>
  </si>
  <si>
    <t>1301580001343823</t>
  </si>
  <si>
    <t>TIL BIKRAM SUBBA</t>
  </si>
  <si>
    <t>MAHESWOR SUBBA / SHIVA SUBBA</t>
  </si>
  <si>
    <t>RAN DHOJ SUBBA</t>
  </si>
  <si>
    <t>3235728</t>
  </si>
  <si>
    <t>037011050000203</t>
  </si>
  <si>
    <t>1301580001969497</t>
  </si>
  <si>
    <t>PARBATI ACHARYA SUBEDI</t>
  </si>
  <si>
    <t>CHITA NANDA ACHARYA / NANDA KALI ACHARYA</t>
  </si>
  <si>
    <t>CHINTA MADI ACHARYA</t>
  </si>
  <si>
    <t>2805/044/45</t>
  </si>
  <si>
    <t>007011050000452</t>
  </si>
  <si>
    <t>1301090004235913</t>
  </si>
  <si>
    <t>CHANDRA BAHADUR CHHETRI</t>
  </si>
  <si>
    <t>SURYALAL KHATIWADA</t>
  </si>
  <si>
    <t>MANI PRASAD KHATIWADA</t>
  </si>
  <si>
    <t>61427/3746</t>
  </si>
  <si>
    <t>55501271433</t>
  </si>
  <si>
    <t>1301170000058361</t>
  </si>
  <si>
    <t>BIJAY CHANDRA TAMRAKAR</t>
  </si>
  <si>
    <t>RATNA CHANDRA TAMRAKAR</t>
  </si>
  <si>
    <t>RAM CHANDRA TAMRAKAR</t>
  </si>
  <si>
    <t>10/1258</t>
  </si>
  <si>
    <t>0320100000063024</t>
  </si>
  <si>
    <t>1301120003773928</t>
  </si>
  <si>
    <t>NIRMALA KARKI</t>
  </si>
  <si>
    <t>PUNYA BAHADUR KARKI</t>
  </si>
  <si>
    <t>JAYA BAHADUR KARKI</t>
  </si>
  <si>
    <t>22-01-76-01780</t>
  </si>
  <si>
    <t>27607010030092</t>
  </si>
  <si>
    <t>1301040003056669</t>
  </si>
  <si>
    <t>NAREN BAHADUR BHANDARI</t>
  </si>
  <si>
    <t>RAGA  BAHADUR  BHANDARI</t>
  </si>
  <si>
    <t>KHADGA  BAHADUR  BHANDARI</t>
  </si>
  <si>
    <t>591024/132</t>
  </si>
  <si>
    <t>HUMLA</t>
  </si>
  <si>
    <t>03110017537074</t>
  </si>
  <si>
    <t>1301290000087229</t>
  </si>
  <si>
    <t>ADITYA NIRAULA</t>
  </si>
  <si>
    <t>KESHAV PRSAD NIRAULA</t>
  </si>
  <si>
    <t>LAXMI PRASAD NIRAULA</t>
  </si>
  <si>
    <t>11393</t>
  </si>
  <si>
    <t>17715240702099</t>
  </si>
  <si>
    <t>1301730001640244</t>
  </si>
  <si>
    <t>SHANKAR TAJPURIYA</t>
  </si>
  <si>
    <t>CHANGTHU TAJPURIYA/FAGUSARI TAJPURIYA</t>
  </si>
  <si>
    <t>NITARAM TAJPURIYA</t>
  </si>
  <si>
    <t>04-01-70-25096</t>
  </si>
  <si>
    <t>18705350003087</t>
  </si>
  <si>
    <t>1301090000104170</t>
  </si>
  <si>
    <t>MURALI DHAR BHATTA</t>
  </si>
  <si>
    <t>BISWA RAJ BHATTA</t>
  </si>
  <si>
    <t>TARA NATH BHATTA</t>
  </si>
  <si>
    <t>51013249</t>
  </si>
  <si>
    <t>1430100017288011</t>
  </si>
  <si>
    <t>1301300000029796</t>
  </si>
  <si>
    <t>RAJENDRA KHATRI</t>
  </si>
  <si>
    <t>HARKA BAHADUR KHATRI</t>
  </si>
  <si>
    <t>HARI BAHADUR KHATRI</t>
  </si>
  <si>
    <t>94544</t>
  </si>
  <si>
    <t>01200501204624</t>
  </si>
  <si>
    <t>1301570001199916</t>
  </si>
  <si>
    <t>BHIM PRASAD KANDEL</t>
  </si>
  <si>
    <t>DAYARAM KANDEL</t>
  </si>
  <si>
    <t>NANDALAL KANDEL</t>
  </si>
  <si>
    <t>501011/29934</t>
  </si>
  <si>
    <t>06310707614861000001</t>
  </si>
  <si>
    <t>1301370007549684</t>
  </si>
  <si>
    <t>OM NARAYAN</t>
  </si>
  <si>
    <t>BADRI NARAYAN MAHATO</t>
  </si>
  <si>
    <t>NITU SAH</t>
  </si>
  <si>
    <t>80269797</t>
  </si>
  <si>
    <t>3465753161861001</t>
  </si>
  <si>
    <t>1301650000046988</t>
  </si>
  <si>
    <t>SABITA KARKI</t>
  </si>
  <si>
    <t>INDRA BAHADUR/INDIRA KUMARI KARKI</t>
  </si>
  <si>
    <t>NAR BAHADUR KARKI</t>
  </si>
  <si>
    <t>46474516</t>
  </si>
  <si>
    <t>1130100000597104</t>
  </si>
  <si>
    <t>1301120004705121</t>
  </si>
  <si>
    <t>ANGDENDI SHERPA</t>
  </si>
  <si>
    <t>PEM DORJE SHERPA</t>
  </si>
  <si>
    <t>FURBA SHERPA</t>
  </si>
  <si>
    <t>4238/9660</t>
  </si>
  <si>
    <t>03607010334860</t>
  </si>
  <si>
    <t>1301060001794801</t>
  </si>
  <si>
    <t>ANU SHRESTHA</t>
  </si>
  <si>
    <t>BABU KAJI SHRESTHA</t>
  </si>
  <si>
    <t>JIT BAHADUR SHRESTHA</t>
  </si>
  <si>
    <t>2741</t>
  </si>
  <si>
    <t>03205080292184</t>
  </si>
  <si>
    <t>1301120005366048</t>
  </si>
  <si>
    <t>BISHAL SUNAR</t>
  </si>
  <si>
    <t>BALARAM SUNAR BISHWOKARMA</t>
  </si>
  <si>
    <t>BUDDHIMAN SUNAR</t>
  </si>
  <si>
    <t>24-66-74-116</t>
  </si>
  <si>
    <t>23907010161145</t>
  </si>
  <si>
    <t>1301070000011928</t>
  </si>
  <si>
    <t>Chami Tamrakar</t>
  </si>
  <si>
    <t>Laxmi Bahadur Tamrakar</t>
  </si>
  <si>
    <t>Bijay Chandra Tamrakar</t>
  </si>
  <si>
    <t>9322</t>
  </si>
  <si>
    <t>0160005482800027</t>
  </si>
  <si>
    <t>1301580000781739</t>
  </si>
  <si>
    <t>AHAANTI REGMI</t>
  </si>
  <si>
    <t>NIRMAL REGMI/ ANU SHRESTHA REGMI</t>
  </si>
  <si>
    <t>INDRA BAHADUR REGMI</t>
  </si>
  <si>
    <t>26</t>
  </si>
  <si>
    <t>024011140000026</t>
  </si>
  <si>
    <t>1301120000005379</t>
  </si>
  <si>
    <t>Sharada Man Nakarmi</t>
  </si>
  <si>
    <t>Ganesh Man Nakarmi</t>
  </si>
  <si>
    <t>Gorakha Bahadur Nakarmi/Tarkana Narkarmi</t>
  </si>
  <si>
    <t>2762</t>
  </si>
  <si>
    <t>3517067571500018</t>
  </si>
  <si>
    <t>1301060000566671</t>
  </si>
  <si>
    <t>CHIRANJIBI POUDEL</t>
  </si>
  <si>
    <t>KESHAB PRASAD POUDEL</t>
  </si>
  <si>
    <t>GOPAL NATH POUDEL</t>
  </si>
  <si>
    <t>4493</t>
  </si>
  <si>
    <t>00105080270052</t>
  </si>
  <si>
    <t>1301060003305652</t>
  </si>
  <si>
    <t>UMA GHALE</t>
  </si>
  <si>
    <t>JIT BAHADUR GHALE</t>
  </si>
  <si>
    <t>KAMI BAHADUR GHALE</t>
  </si>
  <si>
    <t>44-01-76-06939</t>
  </si>
  <si>
    <t>02105300252492</t>
  </si>
  <si>
    <t>1301110000205411</t>
  </si>
  <si>
    <t>SAROJINI SHAKYA</t>
  </si>
  <si>
    <t>BABU RAJA SHAKYA</t>
  </si>
  <si>
    <t>TIRTHA SHAKYA</t>
  </si>
  <si>
    <t>9393</t>
  </si>
  <si>
    <t>30112010000359</t>
  </si>
  <si>
    <t>1301060000065031</t>
  </si>
  <si>
    <t>SONAKSHI POKHAREL</t>
  </si>
  <si>
    <t>DINESH PRASAD POKHAREL</t>
  </si>
  <si>
    <t>RUDRA PRASAD POKHAREL</t>
  </si>
  <si>
    <t>25-01-78-04300</t>
  </si>
  <si>
    <t>01905150041539</t>
  </si>
  <si>
    <t>1301040001879938</t>
  </si>
  <si>
    <t>TANURADHA SHA</t>
  </si>
  <si>
    <t>MAHENDRA GUPTA/PREETI DEVI</t>
  </si>
  <si>
    <t>BARUN KUMAR SHAH/JABUNA PRASAD GUPTA</t>
  </si>
  <si>
    <t>16284</t>
  </si>
  <si>
    <t>11710017501257</t>
  </si>
  <si>
    <t>1301570001096251</t>
  </si>
  <si>
    <t>LAXMI KARKI</t>
  </si>
  <si>
    <t>GANESH BAHADUR KARKI/DUDA DEVI KARKI</t>
  </si>
  <si>
    <t>BAL BAHADUR KARKI</t>
  </si>
  <si>
    <t>71-10-75-00124</t>
  </si>
  <si>
    <t>BAJHANG</t>
  </si>
  <si>
    <t>31601607679270000001</t>
  </si>
  <si>
    <t>1301650000039875</t>
  </si>
  <si>
    <t>GANESH KUMAR LIMBU</t>
  </si>
  <si>
    <t>BAL BAHADUR LIMBU / BHAWANI DEVI LIMBU</t>
  </si>
  <si>
    <t>LAXMI KUMARI THAKURI / NAR BAHADUR LIMBU</t>
  </si>
  <si>
    <t>1450/73542561</t>
  </si>
  <si>
    <t>1690100000979010</t>
  </si>
  <si>
    <t>1301850000395018</t>
  </si>
  <si>
    <t>BECHAI YADAV</t>
  </si>
  <si>
    <t>MOLAHU AHIR</t>
  </si>
  <si>
    <t>KALPNATH AHIR</t>
  </si>
  <si>
    <t>17109</t>
  </si>
  <si>
    <t>SHINE RESUNGA DEVELOPMENT BANK LTD.(8101)</t>
  </si>
  <si>
    <t>04800700591528000001</t>
  </si>
  <si>
    <t>1301120000068064</t>
  </si>
  <si>
    <t>SRIJAN MAN NAKARMI</t>
  </si>
  <si>
    <t>SHARADA MAN NARKRMI</t>
  </si>
  <si>
    <t>GANESH MAN NAKARMI</t>
  </si>
  <si>
    <t>6755</t>
  </si>
  <si>
    <t>0390010094400012</t>
  </si>
  <si>
    <t>1301650001886726</t>
  </si>
  <si>
    <t>NILSHAN SHRESTHA</t>
  </si>
  <si>
    <t>GYAN PRASAD SHRESTHA</t>
  </si>
  <si>
    <t>MOHAN PRASAD SHRESTHA/DAWA DOLMA LAMA</t>
  </si>
  <si>
    <t>33531</t>
  </si>
  <si>
    <t>5080100000003210</t>
  </si>
  <si>
    <t>1301370002750348</t>
  </si>
  <si>
    <t>SANTOSH SUNAR</t>
  </si>
  <si>
    <t>HOM BAHDUR KAMI</t>
  </si>
  <si>
    <t>BIR BAHADUR KARMI</t>
  </si>
  <si>
    <t>373003/389</t>
  </si>
  <si>
    <t>1565751007240001</t>
  </si>
  <si>
    <t>1301650000543219</t>
  </si>
  <si>
    <t>ASHARAM CHAUDHARY</t>
  </si>
  <si>
    <t>ISWARCHAND CHAUDHARY</t>
  </si>
  <si>
    <t>SONE LAL CHAUDHARY/</t>
  </si>
  <si>
    <t>051058250</t>
  </si>
  <si>
    <t>2160100000595104</t>
  </si>
  <si>
    <t>1301120000301679</t>
  </si>
  <si>
    <t>SUHANA AMATYA</t>
  </si>
  <si>
    <t>SUNIL LAL AMATYA</t>
  </si>
  <si>
    <t>SOORYA LAL AMATYA</t>
  </si>
  <si>
    <t>28-01-067-04984</t>
  </si>
  <si>
    <t>00602872080015</t>
  </si>
  <si>
    <t>1301370002941696</t>
  </si>
  <si>
    <t>NAGENDRA RAY</t>
  </si>
  <si>
    <t>THAGWA RAY YADAV</t>
  </si>
  <si>
    <t>FHEKU RAY YADAV</t>
  </si>
  <si>
    <t>19-01-72-01901</t>
  </si>
  <si>
    <t>4261431239524001</t>
  </si>
  <si>
    <t>1301070001721955</t>
  </si>
  <si>
    <t>Umakanta Dhakal</t>
  </si>
  <si>
    <t>Naran Datta Dhakal</t>
  </si>
  <si>
    <t>Bishwo Nath Dhakal</t>
  </si>
  <si>
    <t>20463</t>
  </si>
  <si>
    <t>2221370500205001</t>
  </si>
  <si>
    <t>1301650002257080</t>
  </si>
  <si>
    <t>RAMBODH MAHATO</t>
  </si>
  <si>
    <t>RAJ KISHOR MAHATO</t>
  </si>
  <si>
    <t>BUTTA MAHATO/</t>
  </si>
  <si>
    <t>18017700933</t>
  </si>
  <si>
    <t>1510100005733010</t>
  </si>
  <si>
    <t>1301680000029847</t>
  </si>
  <si>
    <t>ANJU ARYAL</t>
  </si>
  <si>
    <t>RAM HARI UPADHYAY</t>
  </si>
  <si>
    <t>PITAMBAR ARYAL</t>
  </si>
  <si>
    <t>322080/3065</t>
  </si>
  <si>
    <t>13710017501633</t>
  </si>
  <si>
    <t>1301370003493689</t>
  </si>
  <si>
    <t>NABYA TIMALSINA</t>
  </si>
  <si>
    <t>125</t>
  </si>
  <si>
    <t>1675751176039001</t>
  </si>
  <si>
    <t>1301020000060548</t>
  </si>
  <si>
    <t>RAJTOSH PUDASAINI</t>
  </si>
  <si>
    <t>RAJAN PUDASAINI</t>
  </si>
  <si>
    <t>SUVANATH PUDASAINI</t>
  </si>
  <si>
    <t>11026</t>
  </si>
  <si>
    <t>0130044024900016</t>
  </si>
  <si>
    <t>1301370007651240</t>
  </si>
  <si>
    <t>BAM BAHADUR OLI</t>
  </si>
  <si>
    <t>KHADKA BAHADUR OLI</t>
  </si>
  <si>
    <t>BHATE OLI</t>
  </si>
  <si>
    <t>641025/90915</t>
  </si>
  <si>
    <t>21701000000017001924</t>
  </si>
  <si>
    <t>1301090003945215</t>
  </si>
  <si>
    <t>PRATIK KUMAR SINGH</t>
  </si>
  <si>
    <t>RAM UDGAR MAHATO/SHAILU KUMARI SINHA</t>
  </si>
  <si>
    <t>SITARAM MAHATO</t>
  </si>
  <si>
    <t>15-01-78-03400</t>
  </si>
  <si>
    <t>02019695300</t>
  </si>
  <si>
    <t>1301310000013145</t>
  </si>
  <si>
    <t>GHANSHYAM PATHAK</t>
  </si>
  <si>
    <t>LILAMBAR PATHAK</t>
  </si>
  <si>
    <t>LUXMI KANT PATHAK/RENUKA PATHAK</t>
  </si>
  <si>
    <t>12082/142</t>
  </si>
  <si>
    <t>20907010011420</t>
  </si>
  <si>
    <t>1301120005287876</t>
  </si>
  <si>
    <t>UMA DEVI  CHHETRI BUDATHOKI MAHARJAN</t>
  </si>
  <si>
    <t>HARI NARAYAN MAHARJAN</t>
  </si>
  <si>
    <t>NARAYAN KRISHNA MAHARGAN</t>
  </si>
  <si>
    <t>4118/334</t>
  </si>
  <si>
    <t>22907010001390</t>
  </si>
  <si>
    <t>1301020000060489</t>
  </si>
  <si>
    <t>SARAGYA PUDASAINI</t>
  </si>
  <si>
    <t>27-01-79-10497</t>
  </si>
  <si>
    <t>0130006687000011</t>
  </si>
  <si>
    <t>1301790000601503</t>
  </si>
  <si>
    <t>RAM SINEHI SAH</t>
  </si>
  <si>
    <t>LAXMI SAH/RAJ KALI DEVI</t>
  </si>
  <si>
    <t>NATHUNI SAH</t>
  </si>
  <si>
    <t>183043/1009</t>
  </si>
  <si>
    <t>03801300603950000001</t>
  </si>
  <si>
    <t>1301350000054195</t>
  </si>
  <si>
    <t>SHARMILA SHRESTHA</t>
  </si>
  <si>
    <t>RAJ KUMAR SHRESTHA</t>
  </si>
  <si>
    <t>30-118872</t>
  </si>
  <si>
    <t>07ISA03879NPR001</t>
  </si>
  <si>
    <t>1301260001351752</t>
  </si>
  <si>
    <t>ASMITA GAHA</t>
  </si>
  <si>
    <t>CHAN BAHADUR GAHA/LATA GAHA MAGAR</t>
  </si>
  <si>
    <t>HARI BAHADUR GAHA</t>
  </si>
  <si>
    <t>361055/1333</t>
  </si>
  <si>
    <t>0470161703100019</t>
  </si>
  <si>
    <t>1301260002328802</t>
  </si>
  <si>
    <t>ARJUN KHANAL</t>
  </si>
  <si>
    <t>BED PRASAD KHANAL/DEVI KUMARI KHANAL</t>
  </si>
  <si>
    <t>UMANATH KHANAL</t>
  </si>
  <si>
    <t>26004806</t>
  </si>
  <si>
    <t>0010000959500012</t>
  </si>
  <si>
    <t>1301120000231430</t>
  </si>
  <si>
    <t>Kabin Mool</t>
  </si>
  <si>
    <t>Kamal Das Mool</t>
  </si>
  <si>
    <t>Kedar Das Mool</t>
  </si>
  <si>
    <t>81647</t>
  </si>
  <si>
    <t>0210017500805</t>
  </si>
  <si>
    <t>1301370000594858</t>
  </si>
  <si>
    <t>Deepa Nepali</t>
  </si>
  <si>
    <t>Dipendra Nepali</t>
  </si>
  <si>
    <t>Kamendra Nepali</t>
  </si>
  <si>
    <t>40810</t>
  </si>
  <si>
    <t>4387923845524001</t>
  </si>
  <si>
    <t>1301100003081081</t>
  </si>
  <si>
    <t>THAKUR PRASAD KHANAL</t>
  </si>
  <si>
    <t>KESHAB RAJ KHANAL</t>
  </si>
  <si>
    <t>BALANANDA KHANAL</t>
  </si>
  <si>
    <t>37-02-80-06523</t>
  </si>
  <si>
    <t>0350021819200012</t>
  </si>
  <si>
    <t>1301850000396180</t>
  </si>
  <si>
    <t>KESHARI GIRI</t>
  </si>
  <si>
    <t>LOKU GIRI</t>
  </si>
  <si>
    <t>RUKU GIRI</t>
  </si>
  <si>
    <t>54-01-75-00498</t>
  </si>
  <si>
    <t>02212200709901000005</t>
  </si>
  <si>
    <t>1301440000180310</t>
  </si>
  <si>
    <t>Pobindra Sherchan</t>
  </si>
  <si>
    <t>Chitra Bahadur Shrestha</t>
  </si>
  <si>
    <t>Dambar Bahadur Shrestha</t>
  </si>
  <si>
    <t>8230</t>
  </si>
  <si>
    <t>03309015017156</t>
  </si>
  <si>
    <t>1301730000527862</t>
  </si>
  <si>
    <t>DHAN BAHADUR LAMA</t>
  </si>
  <si>
    <t>SHER BAHADUR TAMANG</t>
  </si>
  <si>
    <t>MAILA TAMANG</t>
  </si>
  <si>
    <t>30-01-74-01789</t>
  </si>
  <si>
    <t>00205390270618</t>
  </si>
  <si>
    <t>1301610000954794</t>
  </si>
  <si>
    <t>KARUNA GIRI</t>
  </si>
  <si>
    <t>BALKUMAR GIRI</t>
  </si>
  <si>
    <t>ARJUN GIRI</t>
  </si>
  <si>
    <t>29-01-75-01706</t>
  </si>
  <si>
    <t>0250100766400013</t>
  </si>
  <si>
    <t>1301080000730596</t>
  </si>
  <si>
    <t>GANESH PRASAD ACHARYA</t>
  </si>
  <si>
    <t>BIDUR PRASAD ACHARYA</t>
  </si>
  <si>
    <t>GANGA PRASAD ACHARYA</t>
  </si>
  <si>
    <t>22-01-76-00137</t>
  </si>
  <si>
    <t>00100516212783</t>
  </si>
  <si>
    <t>1301080000409683</t>
  </si>
  <si>
    <t>SUSHIL ADHIKARI</t>
  </si>
  <si>
    <t>NIL BAHADUR ADHIKARI</t>
  </si>
  <si>
    <t>BAL BAHADUR ADHIKARI</t>
  </si>
  <si>
    <t>36115</t>
  </si>
  <si>
    <t>05300501202564</t>
  </si>
  <si>
    <t>1301590000214771</t>
  </si>
  <si>
    <t>BAIDNATH SAH</t>
  </si>
  <si>
    <t>RAM RATAN SAH TELI/RAMPARI DEVI TELI</t>
  </si>
  <si>
    <t>ASMITA SAH/PRAYAG SAH TELI</t>
  </si>
  <si>
    <t>13142533</t>
  </si>
  <si>
    <t>0540646919205001</t>
  </si>
  <si>
    <t>1301060000291809</t>
  </si>
  <si>
    <t>SUHANA MOOL</t>
  </si>
  <si>
    <t>KAMAL DAS MOOL</t>
  </si>
  <si>
    <t>KEDAR DAS MOOL</t>
  </si>
  <si>
    <t>80708</t>
  </si>
  <si>
    <t>0210017504965</t>
  </si>
  <si>
    <t>1301580000126234</t>
  </si>
  <si>
    <t>DAMODAR ACHARYA</t>
  </si>
  <si>
    <t>RISHI RAM ACHARYA</t>
  </si>
  <si>
    <t>DEVI DATTA ACHARYA/YAM KUMARI ACHARYA</t>
  </si>
  <si>
    <t>18623</t>
  </si>
  <si>
    <t>01001000000002904594</t>
  </si>
  <si>
    <t>1301100000007494</t>
  </si>
  <si>
    <t>REVATI PRASAD NEPAL</t>
  </si>
  <si>
    <t>UMANATH NEPAL</t>
  </si>
  <si>
    <t>ANITA NEPAL ATREYA/PHARSURAM NEPAL</t>
  </si>
  <si>
    <t>20647</t>
  </si>
  <si>
    <t>00120600172828000001</t>
  </si>
  <si>
    <t>1301100000917173</t>
  </si>
  <si>
    <t>SAMUNDRA RAI</t>
  </si>
  <si>
    <t>MEGHA CHANDRA RAI</t>
  </si>
  <si>
    <t>NARDAL RAI</t>
  </si>
  <si>
    <t>03-01-73-00406</t>
  </si>
  <si>
    <t>0010078152000011</t>
  </si>
  <si>
    <t>1301100000096444</t>
  </si>
  <si>
    <t>RAMCHANDRA NEUPANE</t>
  </si>
  <si>
    <t>JAYA DHARMA NEUPANE</t>
  </si>
  <si>
    <t>DILLI PRASAD NEUPANE/ANJU UPRETY</t>
  </si>
  <si>
    <t>1870/20363</t>
  </si>
  <si>
    <t>00320500016950000001</t>
  </si>
  <si>
    <t>1301260000143425</t>
  </si>
  <si>
    <t>PRAKASH PUN MAGAR</t>
  </si>
  <si>
    <t>RAM BAHADUR PUN MAGAR/DHANSARI PUN MAGAR</t>
  </si>
  <si>
    <t>KHAL BAHADUR PUN MAGAR</t>
  </si>
  <si>
    <t>446/730</t>
  </si>
  <si>
    <t>19110707307758000001</t>
  </si>
  <si>
    <t>1301260002429562</t>
  </si>
  <si>
    <t>KRISHNA KHATRI</t>
  </si>
  <si>
    <t>KARNA BAHADUR KHATRI/TULASARA KHATRI</t>
  </si>
  <si>
    <t>GORE BAHDUR KHATRI</t>
  </si>
  <si>
    <t>661040835</t>
  </si>
  <si>
    <t>0010239203700014</t>
  </si>
  <si>
    <t>1301060000182801</t>
  </si>
  <si>
    <t>JIGYASA REGMI</t>
  </si>
  <si>
    <t>DR PRAKASH RAJ REGMI</t>
  </si>
  <si>
    <t>KAMAL RAJ REGMI</t>
  </si>
  <si>
    <t>28-01-065-03385</t>
  </si>
  <si>
    <t>01205080503730</t>
  </si>
  <si>
    <t>1301240000803620</t>
  </si>
  <si>
    <t>KISHOR PURI</t>
  </si>
  <si>
    <t>DIP PRASAD PURI</t>
  </si>
  <si>
    <t>NARAYAN PURI</t>
  </si>
  <si>
    <t>1660/040</t>
  </si>
  <si>
    <t>RAMECHHAP</t>
  </si>
  <si>
    <t>03210161735014</t>
  </si>
  <si>
    <t>1301770000517487</t>
  </si>
  <si>
    <t>PUSPA PANDEY</t>
  </si>
  <si>
    <t>ISHWORI PRASAD PANDEY</t>
  </si>
  <si>
    <t>DEVIDATTA PANDEY</t>
  </si>
  <si>
    <t>41-01-71-04491</t>
  </si>
  <si>
    <t>01710798710018</t>
  </si>
  <si>
    <t>1301720000729560</t>
  </si>
  <si>
    <t>PUSPARAJ SUBEDI</t>
  </si>
  <si>
    <t>MATHURA PRASAD JAISHI</t>
  </si>
  <si>
    <t>ABIRAM JAISHI</t>
  </si>
  <si>
    <t>61-01-76-00361</t>
  </si>
  <si>
    <t>0210701858327017</t>
  </si>
  <si>
    <t>1301370004236585</t>
  </si>
  <si>
    <t>BIVASH KUMAR SINGH</t>
  </si>
  <si>
    <t>RAMADHAR SINGH</t>
  </si>
  <si>
    <t>MANISHA PATEL</t>
  </si>
  <si>
    <t>32-01-69-03349</t>
  </si>
  <si>
    <t>0465751108624001</t>
  </si>
  <si>
    <t>1301120001423336</t>
  </si>
  <si>
    <t>KABITA NEUPANE</t>
  </si>
  <si>
    <t>MUKTI NATH NEUPANE</t>
  </si>
  <si>
    <t>TANKA NATH NEUPANE</t>
  </si>
  <si>
    <t>45-01-70-03597</t>
  </si>
  <si>
    <t>12507010001384</t>
  </si>
  <si>
    <t>1301060000063277</t>
  </si>
  <si>
    <t>KESAV RAJ  REGMI</t>
  </si>
  <si>
    <t>28/01/065/02796</t>
  </si>
  <si>
    <t>01205030291606</t>
  </si>
  <si>
    <t>1301370006545665</t>
  </si>
  <si>
    <t>SANTOSH PANTHA</t>
  </si>
  <si>
    <t>KESHAV PANTHA</t>
  </si>
  <si>
    <t>DHUNDIRAJ PANTHA</t>
  </si>
  <si>
    <t>41-01-70-03972</t>
  </si>
  <si>
    <t>1554349056524001</t>
  </si>
  <si>
    <t>1301100000144643</t>
  </si>
  <si>
    <t>SONI KUMARI JHA</t>
  </si>
  <si>
    <t>KULANAND JHA</t>
  </si>
  <si>
    <t>KEDAR JHA</t>
  </si>
  <si>
    <t>183045/710</t>
  </si>
  <si>
    <t>0300148125100010</t>
  </si>
  <si>
    <t>1301090003023079</t>
  </si>
  <si>
    <t>SAGAR SHRESTHA</t>
  </si>
  <si>
    <t>RAM BAHADUR SHRESTHA</t>
  </si>
  <si>
    <t>CHANDRA BAHADUR SHRESTHA</t>
  </si>
  <si>
    <t>26747/2647</t>
  </si>
  <si>
    <t>01716151250</t>
  </si>
  <si>
    <t>1301510000537852</t>
  </si>
  <si>
    <t>SURENDRA SINGH NEGI</t>
  </si>
  <si>
    <t>KESHAB SINGH NEGI/.</t>
  </si>
  <si>
    <t>MAN SINGH NEGI</t>
  </si>
  <si>
    <t>75-01-69-03249</t>
  </si>
  <si>
    <t>4080100001353104</t>
  </si>
  <si>
    <t>1301040002269157</t>
  </si>
  <si>
    <t>BHAGAWAN BHANDARI</t>
  </si>
  <si>
    <t>DEVENDRA BAHADUR BHANDARI/MAN KUMARI BHANDARI</t>
  </si>
  <si>
    <t>PRARTHANA POKHAREL/SHIVA LAL BHANDARI</t>
  </si>
  <si>
    <t>441008/351</t>
  </si>
  <si>
    <t>1510017505773</t>
  </si>
  <si>
    <t>1301580000643003</t>
  </si>
  <si>
    <t>ANUSHA KASHER</t>
  </si>
  <si>
    <t>SHANKAR DHIMAL/KALPANA KUMARI SHRESTHA</t>
  </si>
  <si>
    <t>BUDDHU LAL DHIMAL</t>
  </si>
  <si>
    <t>05-02-72-01724</t>
  </si>
  <si>
    <t>034011030000062</t>
  </si>
  <si>
    <t>1301790000761032</t>
  </si>
  <si>
    <t>HARI SHARAN ADHIKARI</t>
  </si>
  <si>
    <t>BHIM BAHADUR ADHIKARI</t>
  </si>
  <si>
    <t>PRAYAGDATTA ADHIKARI</t>
  </si>
  <si>
    <t>251005/359</t>
  </si>
  <si>
    <t>05111300150920000001</t>
  </si>
  <si>
    <t>1301100003110713</t>
  </si>
  <si>
    <t>ASMITA KARKI</t>
  </si>
  <si>
    <t>DIL BAHADUR KARKI</t>
  </si>
  <si>
    <t>TEK BAHADUR KARKI</t>
  </si>
  <si>
    <t>21-01-74-02961</t>
  </si>
  <si>
    <t>0230179060200017</t>
  </si>
  <si>
    <t>1301610000960911</t>
  </si>
  <si>
    <t>PRADEEP KHATRI</t>
  </si>
  <si>
    <t>CHITRA BAHADUR KHATRI</t>
  </si>
  <si>
    <t>NAHAL SINGH KHATRI</t>
  </si>
  <si>
    <t>461028-381</t>
  </si>
  <si>
    <t>0050044500500011</t>
  </si>
  <si>
    <t>1301550000293318</t>
  </si>
  <si>
    <t>ROHIT CHAMLING RAI</t>
  </si>
  <si>
    <t>MAN BAHADUR CHAMLING RAI</t>
  </si>
  <si>
    <t>THAMAN SINGH RAI</t>
  </si>
  <si>
    <t>64388328</t>
  </si>
  <si>
    <t>01901432190014</t>
  </si>
  <si>
    <t>1301370006485448</t>
  </si>
  <si>
    <t>TENISHA KUMARI SINGH</t>
  </si>
  <si>
    <t>SAROJ KUMAR MAHATO</t>
  </si>
  <si>
    <t>RAMDEV MAHATO</t>
  </si>
  <si>
    <t>100195</t>
  </si>
  <si>
    <t>N957031259652401</t>
  </si>
  <si>
    <t>1301060001464168</t>
  </si>
  <si>
    <t>HEMLAL BHUSAL</t>
  </si>
  <si>
    <t>CHANDRAKANT BHUSAL</t>
  </si>
  <si>
    <t>RABILAL BHUSAL</t>
  </si>
  <si>
    <t>1412</t>
  </si>
  <si>
    <t>05705260250917</t>
  </si>
  <si>
    <t>1301570001114231</t>
  </si>
  <si>
    <t>BIRENDRA KUMAR MANDAL</t>
  </si>
  <si>
    <t>SATYA NARAYAN MANDAL/URMILA DEVI MANDAL</t>
  </si>
  <si>
    <t>RAM LAKHAN MANDAL</t>
  </si>
  <si>
    <t>47831</t>
  </si>
  <si>
    <t>02901706582663000001</t>
  </si>
  <si>
    <t>1301120004900083</t>
  </si>
  <si>
    <t>BHUSAN RAJ CHAUDHARY</t>
  </si>
  <si>
    <t>BHAGWATLAL PRASAD CHAUDHARY/INDRA DEVI THARUNI</t>
  </si>
  <si>
    <t>BRAHMADEV CHAUDHARY/BINITA GAURO</t>
  </si>
  <si>
    <t>39615</t>
  </si>
  <si>
    <t>14107010001656</t>
  </si>
  <si>
    <t>1301090002226568</t>
  </si>
  <si>
    <t>MOHIT MAHARJAN</t>
  </si>
  <si>
    <t>MUKUNDA MAHARJAN</t>
  </si>
  <si>
    <t>NATI MAHARJAN</t>
  </si>
  <si>
    <t>28-01-74-01887</t>
  </si>
  <si>
    <t>00916506101</t>
  </si>
  <si>
    <t>1301160000121244</t>
  </si>
  <si>
    <t>PABITRA KADARIYA</t>
  </si>
  <si>
    <t>PREM PRASAD KADARIYA</t>
  </si>
  <si>
    <t>RUDRA PRASAD KADARIYA</t>
  </si>
  <si>
    <t>041012/1873</t>
  </si>
  <si>
    <t>0370018805300015</t>
  </si>
  <si>
    <t>1301170000135961</t>
  </si>
  <si>
    <t>PRAJEET LAL AMATYA</t>
  </si>
  <si>
    <t>KEDAR LAL AMATYA</t>
  </si>
  <si>
    <t>BHAI LAL AMATYA</t>
  </si>
  <si>
    <t>11776</t>
  </si>
  <si>
    <t>0080100000179030</t>
  </si>
  <si>
    <t>1301610001788614</t>
  </si>
  <si>
    <t>YUVA RAJ KHADKA</t>
  </si>
  <si>
    <t>HARKA BAHADUR KHADKA</t>
  </si>
  <si>
    <t>MAN BAHADUR KHADKA</t>
  </si>
  <si>
    <t>501002/11889</t>
  </si>
  <si>
    <t>0480020312600013</t>
  </si>
  <si>
    <t>1301370001948151</t>
  </si>
  <si>
    <t>Srinka Malla</t>
  </si>
  <si>
    <t>Bishnu Shyam Malla</t>
  </si>
  <si>
    <t>Harsha Narayan Malla</t>
  </si>
  <si>
    <t>46-01-74-02133</t>
  </si>
  <si>
    <t>1687968122052401</t>
  </si>
  <si>
    <t>1301370005308317</t>
  </si>
  <si>
    <t>ASMITA REGMI</t>
  </si>
  <si>
    <t>KEDAR NATH SHARMA</t>
  </si>
  <si>
    <t>UMANANDA UPADHYA</t>
  </si>
  <si>
    <t>50-01-78-01600</t>
  </si>
  <si>
    <t>0745751515285001</t>
  </si>
  <si>
    <t>1301370003004912</t>
  </si>
  <si>
    <t>BHIMSEN SAPKOTA</t>
  </si>
  <si>
    <t>NETRA BAHADUR SAPKOTA</t>
  </si>
  <si>
    <t>JIT BAHADUR SAPKOTA</t>
  </si>
  <si>
    <t>27-01-73-15728</t>
  </si>
  <si>
    <t>1625759452816001</t>
  </si>
  <si>
    <t>1301120000164723</t>
  </si>
  <si>
    <t>Parashuram Ghimire</t>
  </si>
  <si>
    <t>Siddhi Raj Ghimire</t>
  </si>
  <si>
    <t>Dhundi Raj Ghimire/Sabitri Lohani</t>
  </si>
  <si>
    <t>2737/3953</t>
  </si>
  <si>
    <t>1100100003102104</t>
  </si>
  <si>
    <t>1301060000706269</t>
  </si>
  <si>
    <t>BASUDEV KASHAHI</t>
  </si>
  <si>
    <t>KAJI LAL KASHAHI</t>
  </si>
  <si>
    <t>HIRAMAN KASHAHI/SUNKESHARI KASHAHI</t>
  </si>
  <si>
    <t>68616</t>
  </si>
  <si>
    <t>00505080326148</t>
  </si>
  <si>
    <t>1301090003900676</t>
  </si>
  <si>
    <t>BISHNU PRASAD KANDEL</t>
  </si>
  <si>
    <t>LAXMI PRASAD KANDEL/BASUNDHARI KANDEL</t>
  </si>
  <si>
    <t>NANDALAL KANDEL/SUJATA DEVI SHARMA KANDEL</t>
  </si>
  <si>
    <t>4310</t>
  </si>
  <si>
    <t>55501792352</t>
  </si>
  <si>
    <t>1301650002185584</t>
  </si>
  <si>
    <t>ANIL RAI</t>
  </si>
  <si>
    <t>KRITI BAHADUR RAI</t>
  </si>
  <si>
    <t>HARKA BAHADUR RAI/ARUNA RAI</t>
  </si>
  <si>
    <t>091015245</t>
  </si>
  <si>
    <t>2160100041182010</t>
  </si>
  <si>
    <t>1301370007842360</t>
  </si>
  <si>
    <t>SANKET MABO</t>
  </si>
  <si>
    <t>DILLI KUMAR MABO</t>
  </si>
  <si>
    <t>SHYAM BAHADUR MABO</t>
  </si>
  <si>
    <t>02-01-78-04580</t>
  </si>
  <si>
    <t>0285753113685001</t>
  </si>
  <si>
    <t>1301590000073040</t>
  </si>
  <si>
    <t>SUNIL BHATTARAI</t>
  </si>
  <si>
    <t>SHAILESH BHATTARAI/NANU MAIYA BHATTARAI</t>
  </si>
  <si>
    <t>RUBINA JOSHI/NARAYAN PRASAD BHATTARAI</t>
  </si>
  <si>
    <t>65199/13772</t>
  </si>
  <si>
    <t>OKHALDHUNGA</t>
  </si>
  <si>
    <t>4910017504746</t>
  </si>
  <si>
    <t>1301010000558601</t>
  </si>
  <si>
    <t>BISHNU ACHARYA</t>
  </si>
  <si>
    <t>CHANDRA MANI ACHARYA</t>
  </si>
  <si>
    <t>KHUBI RAM ACHARYA</t>
  </si>
  <si>
    <t>53-01-70-01943</t>
  </si>
  <si>
    <t>21652444320017</t>
  </si>
  <si>
    <t>1301010001193731</t>
  </si>
  <si>
    <t>CHANDRA KUMAR RAJBANSHI</t>
  </si>
  <si>
    <t>KUL PRASAD RAJBANSHI/MEHAMATI RAJBANSHI</t>
  </si>
  <si>
    <t>PHECHADAS RAJBANSHI</t>
  </si>
  <si>
    <t>04-3-32/38</t>
  </si>
  <si>
    <t>28053943420019</t>
  </si>
  <si>
    <t>1301070001869671</t>
  </si>
  <si>
    <t>Anil Kumar Mahato</t>
  </si>
  <si>
    <t>Jugeshwor Mahato</t>
  </si>
  <si>
    <t>Majhi Mahato</t>
  </si>
  <si>
    <t>181015/02</t>
  </si>
  <si>
    <t>2001416584055001</t>
  </si>
  <si>
    <t>1301100001500241</t>
  </si>
  <si>
    <t>SUMIT CHAUDHARY</t>
  </si>
  <si>
    <t>AMRIT LAL CHAUDHARY</t>
  </si>
  <si>
    <t>VOLAI SETH CHAUDHARY</t>
  </si>
  <si>
    <t>14141045/104436</t>
  </si>
  <si>
    <t>0010058544100011</t>
  </si>
  <si>
    <t>1301090002613233</t>
  </si>
  <si>
    <t>GYANENDRA BASNET</t>
  </si>
  <si>
    <t>BHIM BAHADUR BASNET</t>
  </si>
  <si>
    <t>KHOPA BAHADUR BASNET</t>
  </si>
  <si>
    <t>131027/28</t>
  </si>
  <si>
    <t>50316389460</t>
  </si>
  <si>
    <t>1301520000500014</t>
  </si>
  <si>
    <t>ANJITA LAMICHHANE</t>
  </si>
  <si>
    <t>KAMAL BAHADUR CHHETRI</t>
  </si>
  <si>
    <t>KHIM LAL LAMICHHANE</t>
  </si>
  <si>
    <t>42-01-75-02836</t>
  </si>
  <si>
    <t>0620105960500001</t>
  </si>
  <si>
    <t>1301020000241077</t>
  </si>
  <si>
    <t>GAJADHAR ACHARYA /NUMA ACHARYA</t>
  </si>
  <si>
    <t>1112/042/044</t>
  </si>
  <si>
    <t>05905050002098</t>
  </si>
  <si>
    <t>1301110000268694</t>
  </si>
  <si>
    <t>SALINA POKHREL</t>
  </si>
  <si>
    <t>SHIVA RAJ POKHREL/GANGA RIJAL</t>
  </si>
  <si>
    <t>AGNI PRASAD POKHREL</t>
  </si>
  <si>
    <t>04-02-73-01307</t>
  </si>
  <si>
    <t>12507010002158</t>
  </si>
  <si>
    <t>1301370005523806</t>
  </si>
  <si>
    <t>BINITA SHAHI</t>
  </si>
  <si>
    <t>ARJUN BAAHDUR SHAHI</t>
  </si>
  <si>
    <t>JAY BAHADUR SHAHI</t>
  </si>
  <si>
    <t>70-01-75-00413</t>
  </si>
  <si>
    <t>BAJURA</t>
  </si>
  <si>
    <t>0245751688960001</t>
  </si>
  <si>
    <t>1301070001602156</t>
  </si>
  <si>
    <t>DIPENDRA PANGENI</t>
  </si>
  <si>
    <t>TILAK PRASAD PANGENI</t>
  </si>
  <si>
    <t>HARI PRASAD PANGENI</t>
  </si>
  <si>
    <t>42-02-73-04054</t>
  </si>
  <si>
    <t>03255000346</t>
  </si>
  <si>
    <t>1301250001392978</t>
  </si>
  <si>
    <t>ROSHAN PARIYAR</t>
  </si>
  <si>
    <t>DHIRU DARJI/MITHU PARIYAR</t>
  </si>
  <si>
    <t>KRISHNA BAHADUR PARIYAR</t>
  </si>
  <si>
    <t>511025/656</t>
  </si>
  <si>
    <t>07721600551383000001</t>
  </si>
  <si>
    <t>1301440000316554</t>
  </si>
  <si>
    <t>KRISHNANAND JOSHI</t>
  </si>
  <si>
    <t>GOPAL DATTA JOSHI</t>
  </si>
  <si>
    <t>TARADARR JOSHI</t>
  </si>
  <si>
    <t>75-01-73-08755</t>
  </si>
  <si>
    <t>03609015001897</t>
  </si>
  <si>
    <t>1301010000008152</t>
  </si>
  <si>
    <t>AGNI PARASAD NIRAULA</t>
  </si>
  <si>
    <t>PREM PRASAD NIRAULA</t>
  </si>
  <si>
    <t>RAGHUNATH NIRAULA</t>
  </si>
  <si>
    <t>375</t>
  </si>
  <si>
    <t>09005400003438</t>
  </si>
  <si>
    <t>1301590001036341</t>
  </si>
  <si>
    <t>SABID ANSARI</t>
  </si>
  <si>
    <t>MAHAMMAD ILIYAS ANSARI</t>
  </si>
  <si>
    <t>KHALIL MIYA ANSARI</t>
  </si>
  <si>
    <t>331055/47554</t>
  </si>
  <si>
    <t>07200501202887</t>
  </si>
  <si>
    <t>1301040000154632</t>
  </si>
  <si>
    <t>SULAXMI KATUWAL</t>
  </si>
  <si>
    <t>KAJIMAN KATUWAL</t>
  </si>
  <si>
    <t>TILBIKRAM KATUWAL/YUBRAJ KHAREL</t>
  </si>
  <si>
    <t>33793/524</t>
  </si>
  <si>
    <t>2510017500507</t>
  </si>
  <si>
    <t>1301650000192814</t>
  </si>
  <si>
    <t>RABINDRA SHRESTHA</t>
  </si>
  <si>
    <t>BADRI NARAYAN SHRESTHA</t>
  </si>
  <si>
    <t>AASHAMUR SHRESTHA</t>
  </si>
  <si>
    <t>6/54148</t>
  </si>
  <si>
    <t>1430100110746011</t>
  </si>
  <si>
    <t>1301100002805383</t>
  </si>
  <si>
    <t>SIV KUMARI KAHAR</t>
  </si>
  <si>
    <t>SACHIT KAHAR GAYATRI KAHAR</t>
  </si>
  <si>
    <t>NIRMAL KAHAR SURESH KAHAR</t>
  </si>
  <si>
    <t>361069/349</t>
  </si>
  <si>
    <t>NAWALPARASI (PASHCHIM)</t>
  </si>
  <si>
    <t>1970206900100010</t>
  </si>
  <si>
    <t>1301120005297557</t>
  </si>
  <si>
    <t>PRENA RANA</t>
  </si>
  <si>
    <t>BIR BAHADUR RANA</t>
  </si>
  <si>
    <t>HIRA SINGH RANA</t>
  </si>
  <si>
    <t>55-01-77-00067</t>
  </si>
  <si>
    <t>SALYAN</t>
  </si>
  <si>
    <t>14907010089539</t>
  </si>
  <si>
    <t>1301090003762600</t>
  </si>
  <si>
    <t>NABIN KULUNG</t>
  </si>
  <si>
    <t>SUDIP KULUNG/LAXMI KULUNG</t>
  </si>
  <si>
    <t>JAGAT PRASAD RAI</t>
  </si>
  <si>
    <t>11-02-79-00104</t>
  </si>
  <si>
    <t>02820385270</t>
  </si>
  <si>
    <t>1301770000524002</t>
  </si>
  <si>
    <t>KISHOR KUMAR SINGH</t>
  </si>
  <si>
    <t>GHANSHYAM SINGH</t>
  </si>
  <si>
    <t>TONAI SINGH</t>
  </si>
  <si>
    <t>13616</t>
  </si>
  <si>
    <t>01305771570029</t>
  </si>
  <si>
    <t>1301610001638234</t>
  </si>
  <si>
    <t>MOHAN BHATTARAI</t>
  </si>
  <si>
    <t>BHANU BHAKTA BHATTARAI</t>
  </si>
  <si>
    <t>JAY PRASAD BHATTARAI</t>
  </si>
  <si>
    <t>5/317</t>
  </si>
  <si>
    <t>0490058008500016</t>
  </si>
  <si>
    <t>1301110000260769</t>
  </si>
  <si>
    <t>SANGAM POKHREL</t>
  </si>
  <si>
    <t>SHIVA RAJ POKHREL/ GANGA RIJAL</t>
  </si>
  <si>
    <t>042044/7906</t>
  </si>
  <si>
    <t>30107010037008</t>
  </si>
  <si>
    <t>1301070000230252</t>
  </si>
  <si>
    <t>Bhim Prasad Adhikari</t>
  </si>
  <si>
    <t>Dilli Prasad Adhikari</t>
  </si>
  <si>
    <t>Laxmi Prasad Adhikari</t>
  </si>
  <si>
    <t>03-01-43-99500</t>
  </si>
  <si>
    <t>00210346415015</t>
  </si>
  <si>
    <t>1301260000065123</t>
  </si>
  <si>
    <t>RAJENDRA KHANAL</t>
  </si>
  <si>
    <t>TIKA DATTA KHANAL</t>
  </si>
  <si>
    <t>SITA BHANADARI/ MUKTI NATH KHANAL</t>
  </si>
  <si>
    <t>108544454</t>
  </si>
  <si>
    <t>1110094174500011</t>
  </si>
  <si>
    <t>1301370003708723</t>
  </si>
  <si>
    <t>UJJWAL SHRESTHA</t>
  </si>
  <si>
    <t>CHANDRA KUMAR SHRESTHA</t>
  </si>
  <si>
    <t>60423</t>
  </si>
  <si>
    <t>0229107899524001</t>
  </si>
  <si>
    <t>1301680000102737</t>
  </si>
  <si>
    <t>BISHNU PRASAD UPADHYAY</t>
  </si>
  <si>
    <t>SHIV LAL UPADHYAY</t>
  </si>
  <si>
    <t>JAY LAL UPADHYAY</t>
  </si>
  <si>
    <t>11571</t>
  </si>
  <si>
    <t>09810017556945</t>
  </si>
  <si>
    <t>1301370007768751</t>
  </si>
  <si>
    <t>NARESH KHATRI</t>
  </si>
  <si>
    <t>TAKMAN KHATRI</t>
  </si>
  <si>
    <t>GOPIN KHATRI</t>
  </si>
  <si>
    <t>52-01-76-00794</t>
  </si>
  <si>
    <t>0925759452538001</t>
  </si>
  <si>
    <t>1301100000130267</t>
  </si>
  <si>
    <t>BIJAY DEV PANT</t>
  </si>
  <si>
    <t>BHUBAN DEV PANT</t>
  </si>
  <si>
    <t>BHABA DEV PANT</t>
  </si>
  <si>
    <t>3181</t>
  </si>
  <si>
    <t>07620600374757000001</t>
  </si>
  <si>
    <t>1301600000489682</t>
  </si>
  <si>
    <t>SANDHYA SHRESTHA</t>
  </si>
  <si>
    <t>RADHA BHAGATT SHRESTHA/MOHAN KUMARI SHRESTHA</t>
  </si>
  <si>
    <t>DATTATRAY DAHAL/LAL BHAGAT SHRESTHA</t>
  </si>
  <si>
    <t>116/1295</t>
  </si>
  <si>
    <t>1117000268800013</t>
  </si>
  <si>
    <t>1301010000065551</t>
  </si>
  <si>
    <t>PANKAJ DATTA DAHAL</t>
  </si>
  <si>
    <t>DATTATRAY DAHAL</t>
  </si>
  <si>
    <t>KHADGA BILASH DAHAL</t>
  </si>
  <si>
    <t>4936/060</t>
  </si>
  <si>
    <t>3517000383500138</t>
  </si>
  <si>
    <t>1301090004396733</t>
  </si>
  <si>
    <t>SURAJ MAHARJAN</t>
  </si>
  <si>
    <t>SINGHA MAN MAHARJAN</t>
  </si>
  <si>
    <t>NANDA BAHADUR MAHARJAN</t>
  </si>
  <si>
    <t>28-01-066-03265</t>
  </si>
  <si>
    <t>55504900457</t>
  </si>
  <si>
    <t>1301060000477720</t>
  </si>
  <si>
    <t>RAMJI THAPA MAGAR</t>
  </si>
  <si>
    <t>BOMBAHADUR THAPA MAGAR</t>
  </si>
  <si>
    <t>SUNTA MAYA THAPA MAGAR</t>
  </si>
  <si>
    <t>51242</t>
  </si>
  <si>
    <t>00107010028389</t>
  </si>
  <si>
    <t>1301370001173415</t>
  </si>
  <si>
    <t>Amrit Ghimire</t>
  </si>
  <si>
    <t>Bishnu Prasad Ghimire</t>
  </si>
  <si>
    <t>Ram Bhakta Ghimire</t>
  </si>
  <si>
    <t>13634</t>
  </si>
  <si>
    <t>G588972020652401</t>
  </si>
  <si>
    <t>1301110000765841</t>
  </si>
  <si>
    <t>PUSPA BAHADUR RAUT</t>
  </si>
  <si>
    <t>DIL BAHADUR RAUT/DURGA DEVI RAUT</t>
  </si>
  <si>
    <t>GADUL DHOJ RAUT</t>
  </si>
  <si>
    <t>1655/123</t>
  </si>
  <si>
    <t>31208010000239</t>
  </si>
  <si>
    <t>1301040000003318</t>
  </si>
  <si>
    <t>RAGHUBAR LAL SHRESTHA</t>
  </si>
  <si>
    <t>DHARMA LAL SHRESTHA</t>
  </si>
  <si>
    <t>627/025</t>
  </si>
  <si>
    <t>0210017522253</t>
  </si>
  <si>
    <t>1301650000824971</t>
  </si>
  <si>
    <t>SURYA BAHADUR KATUWAL</t>
  </si>
  <si>
    <t>MAN BAHADUR KATUWAL/ KRISHNA MAYA KATUWAL</t>
  </si>
  <si>
    <t>SARMILA KATUWAL / DAL BAHADUR KATUWAL</t>
  </si>
  <si>
    <t>12-01-71-02683</t>
  </si>
  <si>
    <t>1130100040163010</t>
  </si>
  <si>
    <t>1301040000003487</t>
  </si>
  <si>
    <t>NEEMA SHRESTHA</t>
  </si>
  <si>
    <t>RATNA LAL SHRESTHA</t>
  </si>
  <si>
    <t>1010</t>
  </si>
  <si>
    <t>0010000296908</t>
  </si>
  <si>
    <t>1301610001880994</t>
  </si>
  <si>
    <t>SUSHREE KEDAR KUMARI</t>
  </si>
  <si>
    <t>DHANGE BISHOKARMA</t>
  </si>
  <si>
    <t>RAM BAHADUR BISHOKARMA</t>
  </si>
  <si>
    <t>56472232</t>
  </si>
  <si>
    <t>0040007288500017</t>
  </si>
  <si>
    <t>1301370001260996</t>
  </si>
  <si>
    <t>Hasta Kumar Raut</t>
  </si>
  <si>
    <t>Randhoj Raut</t>
  </si>
  <si>
    <t>Krishna Bahadur Raut</t>
  </si>
  <si>
    <t>570910093</t>
  </si>
  <si>
    <t>L388967047052401</t>
  </si>
  <si>
    <t>1301690001204573</t>
  </si>
  <si>
    <t>SIDDHARTH KUMAR GUPTA</t>
  </si>
  <si>
    <t>BAJARANGI SAH/BABITA SAH</t>
  </si>
  <si>
    <t>SABAI SAH</t>
  </si>
  <si>
    <t>32-06-79-01436</t>
  </si>
  <si>
    <t>19201000000024801998</t>
  </si>
  <si>
    <t>1301350000230277</t>
  </si>
  <si>
    <t>ASHHANGMA SUBBA</t>
  </si>
  <si>
    <t>SON BAHADUR SUBBA</t>
  </si>
  <si>
    <t>DHAN BAHADUR SUBBA</t>
  </si>
  <si>
    <t>04-06-81-01730</t>
  </si>
  <si>
    <t>0110277079000011</t>
  </si>
  <si>
    <t>1301520000259085</t>
  </si>
  <si>
    <t>SAJAN KARKI</t>
  </si>
  <si>
    <t>BAM BAHADUR KARKI</t>
  </si>
  <si>
    <t>BHIM BAHADUR KARKI</t>
  </si>
  <si>
    <t>501008/38278</t>
  </si>
  <si>
    <t>0150011420600001</t>
  </si>
  <si>
    <t>1301040000010815</t>
  </si>
  <si>
    <t>RACHANA SHRESTHA</t>
  </si>
  <si>
    <t>NILKANTHE LAL SHRESTHA</t>
  </si>
  <si>
    <t>985</t>
  </si>
  <si>
    <t>11007010000540</t>
  </si>
  <si>
    <t>1301080000193628</t>
  </si>
  <si>
    <t>BASANTA KUMAR LIMBU</t>
  </si>
  <si>
    <t>KRISHNA BAHADUR LIMBU</t>
  </si>
  <si>
    <t>CHINIMAYA LIMBU</t>
  </si>
  <si>
    <t>24479/935</t>
  </si>
  <si>
    <t>02800501201874</t>
  </si>
  <si>
    <t>1301570000702521</t>
  </si>
  <si>
    <t>RAJENDRA PRASAD POKHREL</t>
  </si>
  <si>
    <t>TULARAM JAISI/BUJU JAISI</t>
  </si>
  <si>
    <t>PARBALAL JAISI</t>
  </si>
  <si>
    <t>99064/2131</t>
  </si>
  <si>
    <t>08701706600330000001</t>
  </si>
  <si>
    <t>1301040001657823</t>
  </si>
  <si>
    <t>AMRITI DEVI MAHATO</t>
  </si>
  <si>
    <t>PRAYAG MAHATO/RAM PYARI MAHATO</t>
  </si>
  <si>
    <t>SHANKAR MAHATO/UPENDRA MAHATO</t>
  </si>
  <si>
    <t>193093/847</t>
  </si>
  <si>
    <t>06310017502770</t>
  </si>
  <si>
    <t>1301260002162386</t>
  </si>
  <si>
    <t>DAMBER GURUNG</t>
  </si>
  <si>
    <t>DEU BAHADUR GURUNG/NAR KUMARI GURUNG</t>
  </si>
  <si>
    <t>MAN BAHADUR GURUNG</t>
  </si>
  <si>
    <t>20733</t>
  </si>
  <si>
    <t>0670076254700011</t>
  </si>
  <si>
    <t>1301440000028109</t>
  </si>
  <si>
    <t>Bidha Bahadur Ranabhat</t>
  </si>
  <si>
    <t>Mohan Bir Ranabhat</t>
  </si>
  <si>
    <t>Nanda Lal Ranabhat</t>
  </si>
  <si>
    <t>79044</t>
  </si>
  <si>
    <t>15005280001052</t>
  </si>
  <si>
    <t>1301310000134352</t>
  </si>
  <si>
    <t>SANJAY KUMAR JHA</t>
  </si>
  <si>
    <t>SURYA KANT JHA/MINA DEVI</t>
  </si>
  <si>
    <t>BINJU KUMARI JHA/DEVI KANT JHA</t>
  </si>
  <si>
    <t>00100501215121</t>
  </si>
  <si>
    <t>1301760000569674</t>
  </si>
  <si>
    <t>BISHAL BAHADUR KHADKA</t>
  </si>
  <si>
    <t>KRISHNA BAHADUR KHADKA</t>
  </si>
  <si>
    <t>CHANDRA BAHADUR KHADKA</t>
  </si>
  <si>
    <t>461001-10418</t>
  </si>
  <si>
    <t>01501800761690000001</t>
  </si>
  <si>
    <t>1301630000076780</t>
  </si>
  <si>
    <t>TONA HANG LIMBU</t>
  </si>
  <si>
    <t>DAL BAHADUR LIMBU</t>
  </si>
  <si>
    <t>21856/177</t>
  </si>
  <si>
    <t>2720245156200001</t>
  </si>
  <si>
    <t>1301380000044279</t>
  </si>
  <si>
    <t>MURALI DHAR TIWARI</t>
  </si>
  <si>
    <t>UMANATH TIWARI</t>
  </si>
  <si>
    <t>SHAKUNTALA KUMARI PANGENI</t>
  </si>
  <si>
    <t>27/1058/102937</t>
  </si>
  <si>
    <t>01205210250337</t>
  </si>
  <si>
    <t>1301240000479845</t>
  </si>
  <si>
    <t>RAM KRISHNA RANJITKAR</t>
  </si>
  <si>
    <t>PANCHA RANJITKAR</t>
  </si>
  <si>
    <t>SANU BHAI RANJITKAR</t>
  </si>
  <si>
    <t>5527/7390</t>
  </si>
  <si>
    <t>01510097041018</t>
  </si>
  <si>
    <t>1301130000114723</t>
  </si>
  <si>
    <t>YAGYA PRASAD PANDEY</t>
  </si>
  <si>
    <t>MOHANILAL PANDEY</t>
  </si>
  <si>
    <t>NANDALAL PANDEY</t>
  </si>
  <si>
    <t>13285/845</t>
  </si>
  <si>
    <t>00120400136584000001</t>
  </si>
  <si>
    <t>1301120000949252</t>
  </si>
  <si>
    <t>Yadunath Sharma Poudel</t>
  </si>
  <si>
    <t>Chhabilal Poudel</t>
  </si>
  <si>
    <t>Sashidhar Poudel / Chandrakala Pokhrel</t>
  </si>
  <si>
    <t>151</t>
  </si>
  <si>
    <t>5110017501127</t>
  </si>
  <si>
    <t>1301020000137228</t>
  </si>
  <si>
    <t>BINOD KUMAR SHRESTHA</t>
  </si>
  <si>
    <t>HARI OM SHRESTHA</t>
  </si>
  <si>
    <t>MINA KUMARI SUBBA/TILAK BAHADUR SHRESTHA</t>
  </si>
  <si>
    <t>638</t>
  </si>
  <si>
    <t>00407010001391</t>
  </si>
  <si>
    <t>1301230000047396</t>
  </si>
  <si>
    <t>ANISH CHAPAGAIN</t>
  </si>
  <si>
    <t>Atmeshwar Chapagain</t>
  </si>
  <si>
    <t>Rakshya Dhungel / Kashi Nath Chapagain</t>
  </si>
  <si>
    <t>422</t>
  </si>
  <si>
    <t>32207010001280</t>
  </si>
  <si>
    <t>1301220000331299</t>
  </si>
  <si>
    <t>UNNATI SHRESTHA</t>
  </si>
  <si>
    <t>UTSAB SHRESTHA</t>
  </si>
  <si>
    <t>BHARAT PRASAD SHRESTHA</t>
  </si>
  <si>
    <t>75</t>
  </si>
  <si>
    <t>21807010004803</t>
  </si>
  <si>
    <t>1301230000047362</t>
  </si>
  <si>
    <t>RAKSHYA DHUNGEL</t>
  </si>
  <si>
    <t>Mahendra Prasad Dhungel</t>
  </si>
  <si>
    <t>Anish Chapagain / Debendra Prasad Dhungel</t>
  </si>
  <si>
    <t>18034</t>
  </si>
  <si>
    <t>1301440000454876</t>
  </si>
  <si>
    <t>TIKA PURJA PUN</t>
  </si>
  <si>
    <t>DABAL BAHADUR PURJA PUN</t>
  </si>
  <si>
    <t>DIL BAHADUR PURJA PUN</t>
  </si>
  <si>
    <t>49-01-73-03338</t>
  </si>
  <si>
    <t>03609015003291</t>
  </si>
  <si>
    <t>1301230000143335</t>
  </si>
  <si>
    <t>Aasira Chapagain</t>
  </si>
  <si>
    <t>Anish Chapagain/Rakshya Dhungel</t>
  </si>
  <si>
    <t>2075050600766</t>
  </si>
  <si>
    <t>2350166575800001</t>
  </si>
  <si>
    <t>1301060001671819</t>
  </si>
  <si>
    <t>AAYANSH THAPA</t>
  </si>
  <si>
    <t>RAJENDRA THAPA</t>
  </si>
  <si>
    <t>BHIM BAHADUR THAPA</t>
  </si>
  <si>
    <t>2074061706118</t>
  </si>
  <si>
    <t>1700100000040005</t>
  </si>
  <si>
    <t>1301060003096134</t>
  </si>
  <si>
    <t>BIRENDRA KUMAR SAH</t>
  </si>
  <si>
    <t>BAUWALAL SAH/PHULESWARI DEVI</t>
  </si>
  <si>
    <t>PULKIT SAH TELI</t>
  </si>
  <si>
    <t>43182454</t>
  </si>
  <si>
    <t>29405050251143</t>
  </si>
  <si>
    <t>1301240000051279</t>
  </si>
  <si>
    <t>GANESH PRASAD REGMI</t>
  </si>
  <si>
    <t>BILABHADRA REGMI</t>
  </si>
  <si>
    <t>HARILAL REGMI</t>
  </si>
  <si>
    <t>112202</t>
  </si>
  <si>
    <t>0690424384214001</t>
  </si>
  <si>
    <t>1301720000798331</t>
  </si>
  <si>
    <t>BINITA GAURO</t>
  </si>
  <si>
    <t>BIREBDRA PRASAD GAURO/SUNITA GAURO</t>
  </si>
  <si>
    <t>BHUSHAN RAJ CHAUDHARY/BISHWANATH GAURO</t>
  </si>
  <si>
    <t>341022/6709</t>
  </si>
  <si>
    <t>0507400506568013</t>
  </si>
  <si>
    <t>1301040000873774</t>
  </si>
  <si>
    <t>SABINA THAPA</t>
  </si>
  <si>
    <t>KRISHNA BAHAUDR THAPA/SARASWATI THAPA</t>
  </si>
  <si>
    <t>CHET BAHADUR THAPA/</t>
  </si>
  <si>
    <t>351002/339</t>
  </si>
  <si>
    <t>01910017518145</t>
  </si>
  <si>
    <t>1301370001606494</t>
  </si>
  <si>
    <t>Sulochana Bariya</t>
  </si>
  <si>
    <t>Ashabhakta Shrestha</t>
  </si>
  <si>
    <t>Ganesh Bahadur Shrestha</t>
  </si>
  <si>
    <t>140939</t>
  </si>
  <si>
    <t>S457033645152401</t>
  </si>
  <si>
    <t>1301080000096252</t>
  </si>
  <si>
    <t>KAMAL BAHADUR RAJLAWAT</t>
  </si>
  <si>
    <t>KRISHNA BAHADUR RAJLAWAT</t>
  </si>
  <si>
    <t>MOHAN SINGH RAJLAWAT</t>
  </si>
  <si>
    <t>3923019</t>
  </si>
  <si>
    <t>01200516201025</t>
  </si>
  <si>
    <t>1301610001528590</t>
  </si>
  <si>
    <t>INDIRA KARKI</t>
  </si>
  <si>
    <t>LATE UTTAM DHWJ KARKI</t>
  </si>
  <si>
    <t>LATE GARUD DHWJ KARKI</t>
  </si>
  <si>
    <t>129120</t>
  </si>
  <si>
    <t>1640934614701534</t>
  </si>
  <si>
    <t>1301370000106549</t>
  </si>
  <si>
    <t>Pramodh Chaudhary</t>
  </si>
  <si>
    <t>Lakhen Chaudhary</t>
  </si>
  <si>
    <t>Saryug Chaudhary</t>
  </si>
  <si>
    <t>70025009</t>
  </si>
  <si>
    <t>4869409925524001</t>
  </si>
  <si>
    <t>1301610001896394</t>
  </si>
  <si>
    <t>NAJARA KHATUN</t>
  </si>
  <si>
    <t>ZIKURULLAH MANSHURI</t>
  </si>
  <si>
    <t>ISAHAK MIYA MANSHURI</t>
  </si>
  <si>
    <t>33-06-78-01182</t>
  </si>
  <si>
    <t>1640966214900011</t>
  </si>
  <si>
    <t>1301380000060964</t>
  </si>
  <si>
    <t>DHRUBA BAHADUR ACHARYA</t>
  </si>
  <si>
    <t>CHANDRA BDR. ACHARYA</t>
  </si>
  <si>
    <t>MANDHOJ ACHARYA</t>
  </si>
  <si>
    <t>97490/6481</t>
  </si>
  <si>
    <t>0010009277412</t>
  </si>
  <si>
    <t>1301440000399340</t>
  </si>
  <si>
    <t>DIK BAHADUR PRADHAN</t>
  </si>
  <si>
    <t>GYAN BAHADUR PRADHAN</t>
  </si>
  <si>
    <t>LILA BAHADUR PRADHAN</t>
  </si>
  <si>
    <t>091027/86</t>
  </si>
  <si>
    <t>0603205288952022</t>
  </si>
  <si>
    <t>1301850000294009</t>
  </si>
  <si>
    <t>UM BAHADUR THAPA</t>
  </si>
  <si>
    <t>BAL BAHADUR THAPA</t>
  </si>
  <si>
    <t>LAL BAHADUR THAPA</t>
  </si>
  <si>
    <t>70964164</t>
  </si>
  <si>
    <t>08212100648051000001</t>
  </si>
  <si>
    <t>1301520001925661</t>
  </si>
  <si>
    <t>MAHESH NEPAL</t>
  </si>
  <si>
    <t>BHARAT PRASAD NEPAL</t>
  </si>
  <si>
    <t>GANGA PRASAD NEPAL</t>
  </si>
  <si>
    <t>261/44539</t>
  </si>
  <si>
    <t>2400303554800001</t>
  </si>
  <si>
    <t>1301610001692267</t>
  </si>
  <si>
    <t>SUSMITA SHRESTHA</t>
  </si>
  <si>
    <t>RAMESH PRASAD SHRESTHA</t>
  </si>
  <si>
    <t>RAM PRASAD SHRESTHA</t>
  </si>
  <si>
    <t>36-01-71-01679</t>
  </si>
  <si>
    <t>0160932964500955</t>
  </si>
  <si>
    <t>1301190000094852</t>
  </si>
  <si>
    <t>PRAKASH KHAREL</t>
  </si>
  <si>
    <t>RAMESH CHANDRA KHAREL</t>
  </si>
  <si>
    <t>SHASHIDHAR KHAREL</t>
  </si>
  <si>
    <t>411043-99072</t>
  </si>
  <si>
    <t>03808010001002</t>
  </si>
  <si>
    <t>1301690001264221</t>
  </si>
  <si>
    <t>RASANA STHAPIT</t>
  </si>
  <si>
    <t>JUJU BHAI STHAPIT</t>
  </si>
  <si>
    <t>HIRA BHAI STHAPIT</t>
  </si>
  <si>
    <t>271060/94546</t>
  </si>
  <si>
    <t>11501000000027418759</t>
  </si>
  <si>
    <t>1301110000711341</t>
  </si>
  <si>
    <t>PANDIT CHAUDHARY</t>
  </si>
  <si>
    <t>KAMTI PRASAD CHAUDHARY</t>
  </si>
  <si>
    <t>GANESH RAM CHAUDHARY</t>
  </si>
  <si>
    <t>522008/1094</t>
  </si>
  <si>
    <t>30107010036359</t>
  </si>
  <si>
    <t>1301090004150941</t>
  </si>
  <si>
    <t>SANTOSH KUMAR YADAV</t>
  </si>
  <si>
    <t>BHAJANANAND YADAV / AKASH DEVI</t>
  </si>
  <si>
    <t>SAGAM LAL YADAV</t>
  </si>
  <si>
    <t>15200813289</t>
  </si>
  <si>
    <t>55501356770</t>
  </si>
  <si>
    <t>1301170001779491</t>
  </si>
  <si>
    <t>PRADIP GAUTAM</t>
  </si>
  <si>
    <t>HARI KUMAR GAUTAM</t>
  </si>
  <si>
    <t>BISHNU BHAKTA GAUTAM</t>
  </si>
  <si>
    <t>061042/123362</t>
  </si>
  <si>
    <t>1870100001413052</t>
  </si>
  <si>
    <t>1301610001270511</t>
  </si>
  <si>
    <t>DIPAK RAJ SHARMA</t>
  </si>
  <si>
    <t>MEGHNATH PANDIT</t>
  </si>
  <si>
    <t>RAMA MANI PANDIT</t>
  </si>
  <si>
    <t>6859/8291</t>
  </si>
  <si>
    <t>1490086202900011</t>
  </si>
  <si>
    <t>1301120000205784</t>
  </si>
  <si>
    <t>Ganesh Prasad Dahal</t>
  </si>
  <si>
    <t>Shekhar Kanta Dahal</t>
  </si>
  <si>
    <t>Kashi Nath Dahal</t>
  </si>
  <si>
    <t>30-01-068-21238</t>
  </si>
  <si>
    <t>0160016965300011</t>
  </si>
  <si>
    <t>1301120004652769</t>
  </si>
  <si>
    <t>BIKRAM DAWADI</t>
  </si>
  <si>
    <t>KARNA BAHADUR CHHETRI DAWADI /MAYA DEVI CHHETRI DA</t>
  </si>
  <si>
    <t>TARA NATH DAWADI /SUSHMITA GURUNG DAWADI</t>
  </si>
  <si>
    <t>451044-9210</t>
  </si>
  <si>
    <t>23909018150187</t>
  </si>
  <si>
    <t>1301170000152850</t>
  </si>
  <si>
    <t>BAL GOPAL THAPA</t>
  </si>
  <si>
    <t>RAM KRISHNA THAPA (CHHETRI)</t>
  </si>
  <si>
    <t>CHANDRA BAHADUR THAPA</t>
  </si>
  <si>
    <t>29-01-065-04433</t>
  </si>
  <si>
    <t>0540100000524010</t>
  </si>
  <si>
    <t>1301080000270852</t>
  </si>
  <si>
    <t>SURENDRA THAKUR</t>
  </si>
  <si>
    <t>HARI DEV THAKUR DANUWAR</t>
  </si>
  <si>
    <t>KRISHNA LAL THAKUR DANUWAR</t>
  </si>
  <si>
    <t>300</t>
  </si>
  <si>
    <t>2120100030125010</t>
  </si>
  <si>
    <t>1301650001736249</t>
  </si>
  <si>
    <t>RAKESH KUMAR THAKUR</t>
  </si>
  <si>
    <t>WAKIL THAKUR</t>
  </si>
  <si>
    <t>SHAMBHUNATH THAKUR/</t>
  </si>
  <si>
    <t>80981</t>
  </si>
  <si>
    <t>2610100009591010</t>
  </si>
  <si>
    <t>1301520001773997</t>
  </si>
  <si>
    <t>ISHWARI THAPA</t>
  </si>
  <si>
    <t>PREM BAHADUR THAPA / CHITKALA THAPA</t>
  </si>
  <si>
    <t>RAN BAHADUR THAPA</t>
  </si>
  <si>
    <t>62999</t>
  </si>
  <si>
    <t>0690288355600001</t>
  </si>
  <si>
    <t>1301440000388588</t>
  </si>
  <si>
    <t>SUMAN DHIMAL</t>
  </si>
  <si>
    <t>BHIM BAHADUR DHIMAL</t>
  </si>
  <si>
    <t>TAI RANG DHIMAL</t>
  </si>
  <si>
    <t>052020-37586</t>
  </si>
  <si>
    <t>03607010274265</t>
  </si>
  <si>
    <t>1301090003974162</t>
  </si>
  <si>
    <t>KUMAR BAHADUR BOGATI</t>
  </si>
  <si>
    <t>AMBAR BAHADUR BOGATI</t>
  </si>
  <si>
    <t>ABHIMAN BOGATI</t>
  </si>
  <si>
    <t>46583/674</t>
  </si>
  <si>
    <t>01615099120</t>
  </si>
  <si>
    <t>1301040002494424</t>
  </si>
  <si>
    <t>SURAKSHYA ADHIKARI</t>
  </si>
  <si>
    <t>RAMCHANDRA ADHIKARI/LAXMI REGMI ADHIKARI</t>
  </si>
  <si>
    <t>/SHESHKANTA ADHIKARI</t>
  </si>
  <si>
    <t>351025/6801</t>
  </si>
  <si>
    <t>2410017514286</t>
  </si>
  <si>
    <t>1301120002834174</t>
  </si>
  <si>
    <t>KIRAN MIJAR</t>
  </si>
  <si>
    <t>KAJIMAN MIJAR</t>
  </si>
  <si>
    <t>PURNA BAHADUR MIJAR</t>
  </si>
  <si>
    <t>451010/18037</t>
  </si>
  <si>
    <t>20007010010340</t>
  </si>
  <si>
    <t>1301530000300712</t>
  </si>
  <si>
    <t>Ang Lamu Sherpa</t>
  </si>
  <si>
    <t>Karmathila Sherpa</t>
  </si>
  <si>
    <t>Galu Sherpa</t>
  </si>
  <si>
    <t>101006-357</t>
  </si>
  <si>
    <t>41315242900070</t>
  </si>
  <si>
    <t>1301080001249901</t>
  </si>
  <si>
    <t>RAJ KISHOR MAHARJAN</t>
  </si>
  <si>
    <t>GOPAL MAHARJAN</t>
  </si>
  <si>
    <t>MANGL DAS  MAHARJAN</t>
  </si>
  <si>
    <t>000412</t>
  </si>
  <si>
    <t>01200501003772</t>
  </si>
  <si>
    <t>1301720001257249</t>
  </si>
  <si>
    <t>GAYATRI BHATTARAI</t>
  </si>
  <si>
    <t>BABURAM SHARMA BHATTARAI</t>
  </si>
  <si>
    <t>RAMJI BHATTARAI</t>
  </si>
  <si>
    <t>46-01-75-06546</t>
  </si>
  <si>
    <t>0316705507325012</t>
  </si>
  <si>
    <t>1301100000753691</t>
  </si>
  <si>
    <t>DURGESH SARAF</t>
  </si>
  <si>
    <t>SHAMBHU SARAF</t>
  </si>
  <si>
    <t>MOTILAL SARAF</t>
  </si>
  <si>
    <t>372069/13208</t>
  </si>
  <si>
    <t>03920500619597000001</t>
  </si>
  <si>
    <t>1301040001862041</t>
  </si>
  <si>
    <t>TRILOK KHADKA</t>
  </si>
  <si>
    <t>RAM SINGH KHADKA/YASHODHA KHADKA</t>
  </si>
  <si>
    <t>/KHADAK SINGH KHADKA</t>
  </si>
  <si>
    <t>75-01-76-02158</t>
  </si>
  <si>
    <t>02910017512842</t>
  </si>
  <si>
    <t>1301120004426221</t>
  </si>
  <si>
    <t>BIRAJ KHATRI</t>
  </si>
  <si>
    <t>JIT BAHADUR KHATRI</t>
  </si>
  <si>
    <t>DIRGHA SINGH KHATRI</t>
  </si>
  <si>
    <t>141045/102787</t>
  </si>
  <si>
    <t>03609017020440</t>
  </si>
  <si>
    <t>1301260002226686</t>
  </si>
  <si>
    <t>HUKUM DARJI</t>
  </si>
  <si>
    <t>SHER BAHADUR DARJI/KHADI KUMARI DARJI</t>
  </si>
  <si>
    <t>NAR BAHADUR DARHI</t>
  </si>
  <si>
    <t>03017000371</t>
  </si>
  <si>
    <t>EXCEL DEVELOPMENT BANK LTD.(7502)</t>
  </si>
  <si>
    <t>01111600180049000001</t>
  </si>
  <si>
    <t>1301090004286481</t>
  </si>
  <si>
    <t>BABURAM BOGATI</t>
  </si>
  <si>
    <t>KAMAL BAHADUR SARKI / KALI BOGATI</t>
  </si>
  <si>
    <t>PURNA BAHADUR SARKI</t>
  </si>
  <si>
    <t>24-01-78-02321</t>
  </si>
  <si>
    <t>55504099308</t>
  </si>
  <si>
    <t>1301130000493560</t>
  </si>
  <si>
    <t>SANJIB BASNET</t>
  </si>
  <si>
    <t>GANESH BAHADUR BASNET</t>
  </si>
  <si>
    <t>LAL BAHADUR BASNET</t>
  </si>
  <si>
    <t>22-01-79-04394</t>
  </si>
  <si>
    <t>1301120000739016</t>
  </si>
  <si>
    <t>NANDA KUMARI GURUNG</t>
  </si>
  <si>
    <t>SANTA BAHADUR GURUNG</t>
  </si>
  <si>
    <t>CHANDRA SINGH GURUNG</t>
  </si>
  <si>
    <t>453040/52</t>
  </si>
  <si>
    <t>10507010001660</t>
  </si>
  <si>
    <t>1301720001137926</t>
  </si>
  <si>
    <t>BINAYAK SHRESTHA</t>
  </si>
  <si>
    <t>GANESH KUMAR SHRESTHA</t>
  </si>
  <si>
    <t>SHAMBHU LAL SHRESTHA</t>
  </si>
  <si>
    <t>48762079</t>
  </si>
  <si>
    <t>0210405310805011</t>
  </si>
  <si>
    <t>1301220000423447</t>
  </si>
  <si>
    <t>ROJINA THAPA</t>
  </si>
  <si>
    <t>RAMESH THAPA</t>
  </si>
  <si>
    <t>NANK MAN SINGH THAPA</t>
  </si>
  <si>
    <t>301043/178524</t>
  </si>
  <si>
    <t>25708010000094</t>
  </si>
  <si>
    <t>1301730000455650</t>
  </si>
  <si>
    <t>BINAYA BHATTARAI</t>
  </si>
  <si>
    <t>BIJAYA KRISHNA BHATTARAI</t>
  </si>
  <si>
    <t>RADHA KRISHNA BHATTARAI</t>
  </si>
  <si>
    <t>002346</t>
  </si>
  <si>
    <t>10705300006248</t>
  </si>
  <si>
    <t>1301040002815596</t>
  </si>
  <si>
    <t>RANJITA PUN</t>
  </si>
  <si>
    <t>BALBIR PUN MAGAR/SANU MAYA PUN</t>
  </si>
  <si>
    <t>/BAL BAHADUR PUN MAGAR</t>
  </si>
  <si>
    <t>152410</t>
  </si>
  <si>
    <t>09810017542791</t>
  </si>
  <si>
    <t>1301020000164159</t>
  </si>
  <si>
    <t>BIDHUR KHADKA</t>
  </si>
  <si>
    <t>LAB BAHADUR KHADKA</t>
  </si>
  <si>
    <t>RAMJI KHADKA</t>
  </si>
  <si>
    <t>11863</t>
  </si>
  <si>
    <t>25708010000189</t>
  </si>
  <si>
    <t>1301370000853883</t>
  </si>
  <si>
    <t>Prabesh Adhikari</t>
  </si>
  <si>
    <t>Uddhav Adhikari</t>
  </si>
  <si>
    <t>Hom Nath  Adhikari</t>
  </si>
  <si>
    <t>271060/118020</t>
  </si>
  <si>
    <t>2887627092524001</t>
  </si>
  <si>
    <t>1301250000536224</t>
  </si>
  <si>
    <t>SUGAM GHALE</t>
  </si>
  <si>
    <t>MYANG GHALE/TARSANG GHALE</t>
  </si>
  <si>
    <t>KARMA GHALE</t>
  </si>
  <si>
    <t>433019/87</t>
  </si>
  <si>
    <t>06020100476085000001</t>
  </si>
  <si>
    <t>1301580001999551</t>
  </si>
  <si>
    <t>KAMALA CHHETRI</t>
  </si>
  <si>
    <t>SOM BAHADUR CHHETRI Manju maya chhetri</t>
  </si>
  <si>
    <t>NARANATH CHHETRI</t>
  </si>
  <si>
    <t>12-06-80-04004</t>
  </si>
  <si>
    <t>011011060005210</t>
  </si>
  <si>
    <t>1301650000083357</t>
  </si>
  <si>
    <t>INDRA GIRI</t>
  </si>
  <si>
    <t>AMMAR GIRI/NOMAKALA GIRI</t>
  </si>
  <si>
    <t>SRIJANA GIRI/CHATRUVUJ GIRI</t>
  </si>
  <si>
    <t>119423</t>
  </si>
  <si>
    <t>3030100035775010</t>
  </si>
  <si>
    <t>1301370003618382</t>
  </si>
  <si>
    <t>SARMILA DHAKAL</t>
  </si>
  <si>
    <t>SURYA BAHADUR DHAKAL</t>
  </si>
  <si>
    <t>NETRA BAHADUR DHAKAL</t>
  </si>
  <si>
    <t>44-01-72-00706</t>
  </si>
  <si>
    <t>2855751130336001</t>
  </si>
  <si>
    <t>1301790000462130</t>
  </si>
  <si>
    <t>NABARAJ BHANDARI</t>
  </si>
  <si>
    <t>RAM BAHADUR BHANDARI/SITA KUMARI THAPA</t>
  </si>
  <si>
    <t>YAK BAHADUR BHANDARI</t>
  </si>
  <si>
    <t>87043/888</t>
  </si>
  <si>
    <t>09101200217593000001</t>
  </si>
  <si>
    <t>1301790000563363</t>
  </si>
  <si>
    <t>SUBASH LAPCHA</t>
  </si>
  <si>
    <t>MAN SING LAPCHA/SAMRITI LAPCHA</t>
  </si>
  <si>
    <t>DHAN MAN LAPCHA</t>
  </si>
  <si>
    <t>03-01-71-02894</t>
  </si>
  <si>
    <t>05511300520927000001</t>
  </si>
  <si>
    <t>1301070001337288</t>
  </si>
  <si>
    <t>NAMUNA GHIMIRE</t>
  </si>
  <si>
    <t>NABARAJ GHIMIRE</t>
  </si>
  <si>
    <t>TANKA PRASAD GHIMIRE</t>
  </si>
  <si>
    <t>03543006012</t>
  </si>
  <si>
    <t>1301080001242995</t>
  </si>
  <si>
    <t>DEVI BHANDARI</t>
  </si>
  <si>
    <t>BHUPAL BAHADUR BHANDARI</t>
  </si>
  <si>
    <t>KRISHNA BAHADUR BHANDARI</t>
  </si>
  <si>
    <t>211010/27361</t>
  </si>
  <si>
    <t>02600501207714</t>
  </si>
  <si>
    <t>1301520001161496</t>
  </si>
  <si>
    <t>JAL PRASAD DHUNGANA</t>
  </si>
  <si>
    <t>KHYAM PRASAD DHUNGANA</t>
  </si>
  <si>
    <t>SHIVA LAL DHUNGANA</t>
  </si>
  <si>
    <t>24145390</t>
  </si>
  <si>
    <t>1030107290200001</t>
  </si>
  <si>
    <t>1301770000380765</t>
  </si>
  <si>
    <t>NETRA PRASAD ADHIKARI</t>
  </si>
  <si>
    <t>TIKA RAM ADHIKARI/PREM KUMARI ADHIKARI</t>
  </si>
  <si>
    <t>PARMANANDA ADHIKARI/</t>
  </si>
  <si>
    <t>17465/722</t>
  </si>
  <si>
    <t>29250673390019</t>
  </si>
  <si>
    <t>1301260002002411</t>
  </si>
  <si>
    <t>SEWAK KHADKA</t>
  </si>
  <si>
    <t>CHANDRA BAHADUR KHADKA/DEVI KHADKA</t>
  </si>
  <si>
    <t>24825</t>
  </si>
  <si>
    <t>0010003180600013</t>
  </si>
  <si>
    <t>1301040000040217</t>
  </si>
  <si>
    <t>JAYA KRISHNA SHRESTHA</t>
  </si>
  <si>
    <t>PURNA KRISHNA SHRESTHA</t>
  </si>
  <si>
    <t>RAJYALAXMI SHRESTHA(MULMI)/GOPAL KRISHNA SHRESTHA</t>
  </si>
  <si>
    <t>4287</t>
  </si>
  <si>
    <t>0210017229801</t>
  </si>
  <si>
    <t>1301080000021711</t>
  </si>
  <si>
    <t>BIJAYA KUMAR GAUTAM</t>
  </si>
  <si>
    <t>DAMODAR PD GAUTAM</t>
  </si>
  <si>
    <t>TANKA PD GAUTAM</t>
  </si>
  <si>
    <t>1640</t>
  </si>
  <si>
    <t>01400503000059</t>
  </si>
  <si>
    <t>1301340000085098</t>
  </si>
  <si>
    <t>SANGIN DHAKAL</t>
  </si>
  <si>
    <t>KHADA NANDA DHAKAL/TULASHI MAYA DHAKAL</t>
  </si>
  <si>
    <t>RAKSHYA SAPKOTA/TULASHI PRASAD DHAKAL</t>
  </si>
  <si>
    <t>441010/417</t>
  </si>
  <si>
    <t>01007010006065</t>
  </si>
  <si>
    <t>1301520000745216</t>
  </si>
  <si>
    <t>KANCHAN RAI</t>
  </si>
  <si>
    <t>DIPAK  RAI</t>
  </si>
  <si>
    <t>MOTILAL RAI</t>
  </si>
  <si>
    <t>09-01-72-01473</t>
  </si>
  <si>
    <t>1350111118200001</t>
  </si>
  <si>
    <t>1301260001705124</t>
  </si>
  <si>
    <t>SANKALPA THAPA MAGAR</t>
  </si>
  <si>
    <t>BHISHMA BAHADUR THAPA/BHAMAYA PURJA THAPA</t>
  </si>
  <si>
    <t>TUL BAHADUR THAPA</t>
  </si>
  <si>
    <t>100272</t>
  </si>
  <si>
    <t>0760185705800012</t>
  </si>
  <si>
    <t>1301100002483904</t>
  </si>
  <si>
    <t>KESHAV RAJ SHRESTHA</t>
  </si>
  <si>
    <t>CHANDI PRASAD SHRESTHA</t>
  </si>
  <si>
    <t>HARI PRASAD SHRESTHA</t>
  </si>
  <si>
    <t>141005/94292</t>
  </si>
  <si>
    <t>0900177408400015</t>
  </si>
  <si>
    <t>1301100001248002</t>
  </si>
  <si>
    <t>DHYAN BAHADUR SHRESTHA</t>
  </si>
  <si>
    <t>2392</t>
  </si>
  <si>
    <t>0010018920700015</t>
  </si>
  <si>
    <t>1301650002266849</t>
  </si>
  <si>
    <t>KABITA B.K.</t>
  </si>
  <si>
    <t>CHANKHHE KAMI</t>
  </si>
  <si>
    <t>BHIM BAHADUR KAMI/NA</t>
  </si>
  <si>
    <t>30017006272</t>
  </si>
  <si>
    <t>1660100000075104</t>
  </si>
  <si>
    <t>1301260002434849</t>
  </si>
  <si>
    <t>AJAY KUMAR SHRESTHA</t>
  </si>
  <si>
    <t>RANTA BIJAY SHRESTHA/SHANTI DEVI SHRESTHA</t>
  </si>
  <si>
    <t>SURYA LAL SHRESTHA</t>
  </si>
  <si>
    <t>20413</t>
  </si>
  <si>
    <t>0060240068200019</t>
  </si>
  <si>
    <t>1301120000430411</t>
  </si>
  <si>
    <t>Pragyan Khanal</t>
  </si>
  <si>
    <t>Madhusudan Khanal</t>
  </si>
  <si>
    <t>Rohininath Khanal/Sudakshina Dhital</t>
  </si>
  <si>
    <t>6868</t>
  </si>
  <si>
    <t>01205080077672</t>
  </si>
  <si>
    <t>1301260002562341</t>
  </si>
  <si>
    <t>KASTURI SHRESTHA</t>
  </si>
  <si>
    <t>PREM LAL SHRESTHA/KUNTI DEVI SHRESTHA</t>
  </si>
  <si>
    <t>BHAI LAL SHRESTHA</t>
  </si>
  <si>
    <t>9317</t>
  </si>
  <si>
    <t>0060252573600017</t>
  </si>
  <si>
    <t>1301370000313708</t>
  </si>
  <si>
    <t>Biplow Dahal</t>
  </si>
  <si>
    <t>Kul Prasad Dahal</t>
  </si>
  <si>
    <t>jay Prasad Dahal</t>
  </si>
  <si>
    <t>28-01-066-04435</t>
  </si>
  <si>
    <t>6069459442524001</t>
  </si>
  <si>
    <t>1301250001283789</t>
  </si>
  <si>
    <t>PUJA NEUPANE</t>
  </si>
  <si>
    <t>LAXMAN NEUPANE/RAJANI NEUPANE</t>
  </si>
  <si>
    <t>DINANATH NEUPANE</t>
  </si>
  <si>
    <t>30-01-78-02588</t>
  </si>
  <si>
    <t>08922300979511000001</t>
  </si>
  <si>
    <t>1301060003089775</t>
  </si>
  <si>
    <t>JABED ALI</t>
  </si>
  <si>
    <t>ISLAM MIYA</t>
  </si>
  <si>
    <t>ISHMAN MIYA</t>
  </si>
  <si>
    <t>88634</t>
  </si>
  <si>
    <t>18515241410865</t>
  </si>
  <si>
    <t>1301260000773878</t>
  </si>
  <si>
    <t>SHANTA KHATRI</t>
  </si>
  <si>
    <t>NAINDRA BAHADUR PANDEY/ RAMKALA PANDEY</t>
  </si>
  <si>
    <t>TEJ BAHADUR PANDEY</t>
  </si>
  <si>
    <t>52290</t>
  </si>
  <si>
    <t>07007010001908</t>
  </si>
  <si>
    <t>1301120000383214</t>
  </si>
  <si>
    <t>Vinod Panday</t>
  </si>
  <si>
    <t>Maniram Panday</t>
  </si>
  <si>
    <t>Churamadi Panday</t>
  </si>
  <si>
    <t>12988</t>
  </si>
  <si>
    <t>03524099958</t>
  </si>
  <si>
    <t>1301290000012135</t>
  </si>
  <si>
    <t>BHUMAHESHWOR RANJITKAR</t>
  </si>
  <si>
    <t>RAMESHWOR RANJITKAR</t>
  </si>
  <si>
    <t>NHUCHHE RANJITKAR</t>
  </si>
  <si>
    <t>1250</t>
  </si>
  <si>
    <t>00701000000023004594</t>
  </si>
  <si>
    <t>1301370001825601</t>
  </si>
  <si>
    <t>Shyam Kumar Pandey</t>
  </si>
  <si>
    <t>Ram Bahadur Pandey</t>
  </si>
  <si>
    <t>Gyan Bahadur Pandey</t>
  </si>
  <si>
    <t>24-94-6(1427)</t>
  </si>
  <si>
    <t>3011094137524001</t>
  </si>
  <si>
    <t>1301090000171381</t>
  </si>
  <si>
    <t>RAM MAN SHRESTHA</t>
  </si>
  <si>
    <t>KAILASH MAN SHRESTHA</t>
  </si>
  <si>
    <t>HIRA MAN SHRESTHA / DEEPA SHRESTHA</t>
  </si>
  <si>
    <t>12993</t>
  </si>
  <si>
    <t>50215032794</t>
  </si>
  <si>
    <t>1301770000584100</t>
  </si>
  <si>
    <t>SURESH KUMAR SHAH</t>
  </si>
  <si>
    <t>DHANIK LAL SHAH</t>
  </si>
  <si>
    <t>BARIS LAL SHAH</t>
  </si>
  <si>
    <t>04-01-70-12988</t>
  </si>
  <si>
    <t>1301090002825346</t>
  </si>
  <si>
    <t>BIR BAHADUR TAMANG LAMA</t>
  </si>
  <si>
    <t>NEMA WANGDI TAMANG</t>
  </si>
  <si>
    <t>DHAN BAHADUR TAMANG</t>
  </si>
  <si>
    <t>3/3772</t>
  </si>
  <si>
    <t>RASUWA</t>
  </si>
  <si>
    <t>01615099256</t>
  </si>
  <si>
    <t>1301090000726635</t>
  </si>
  <si>
    <t>CHANDRA BAHADUR BASNET</t>
  </si>
  <si>
    <t>PADAM BAHADUR BASNET</t>
  </si>
  <si>
    <t>NAR BAHADUR BASNET</t>
  </si>
  <si>
    <t>4458</t>
  </si>
  <si>
    <t>03415014517</t>
  </si>
  <si>
    <t>1301090000369395</t>
  </si>
  <si>
    <t>VISHWAS PASA NAKARMI</t>
  </si>
  <si>
    <t>VASUDEV NAKARMI</t>
  </si>
  <si>
    <t>HIM PRASAD NAKARMI</t>
  </si>
  <si>
    <t>32939</t>
  </si>
  <si>
    <t>00402269010</t>
  </si>
  <si>
    <t>1301060003242599</t>
  </si>
  <si>
    <t>SUSHIL BOHARA</t>
  </si>
  <si>
    <t>BAHADUR SINGH BOHARA/SUNDARI BOHARA</t>
  </si>
  <si>
    <t>BHOTE BOHARA</t>
  </si>
  <si>
    <t>731027/237</t>
  </si>
  <si>
    <t>13605080039574</t>
  </si>
  <si>
    <t>1301080000216800</t>
  </si>
  <si>
    <t>SHARMILA KHATRI</t>
  </si>
  <si>
    <t>SHANKAR KHATRI</t>
  </si>
  <si>
    <t>RAM BAHADUR KHATRI</t>
  </si>
  <si>
    <t>211051/20907</t>
  </si>
  <si>
    <t>0410017509793</t>
  </si>
  <si>
    <t>1301370001818706</t>
  </si>
  <si>
    <t>Avantika Pasa Nakarmi</t>
  </si>
  <si>
    <t>Vishwas Pasa Nakarmi</t>
  </si>
  <si>
    <t>Vasudev Nakarmi</t>
  </si>
  <si>
    <t>10000204</t>
  </si>
  <si>
    <t>0445750766180001</t>
  </si>
  <si>
    <t>1301610001607410</t>
  </si>
  <si>
    <t>KAMAL K.C.</t>
  </si>
  <si>
    <t>KESHAR BAHADUR CHHETRI</t>
  </si>
  <si>
    <t>MEG BAHADUR K.C.</t>
  </si>
  <si>
    <t>421003-98796</t>
  </si>
  <si>
    <t>0050009660300011</t>
  </si>
  <si>
    <t>1301250000773028</t>
  </si>
  <si>
    <t>MINA SHRESTHA THAPA MAGAR</t>
  </si>
  <si>
    <t>NARAYAN SHRESTHA/KAMALA SHRESTHA</t>
  </si>
  <si>
    <t>251050/435</t>
  </si>
  <si>
    <t>LUMBINI BIKAS BANK LTD.(5401)</t>
  </si>
  <si>
    <t>03913820122260000001</t>
  </si>
  <si>
    <t>1301040000055878</t>
  </si>
  <si>
    <t>SUNIL ACHARYA</t>
  </si>
  <si>
    <t>SHANTA RAM ACHARYA</t>
  </si>
  <si>
    <t>TANKA BDR ACHARYA</t>
  </si>
  <si>
    <t>809</t>
  </si>
  <si>
    <t>18507010003975</t>
  </si>
  <si>
    <t>1301240001601325</t>
  </si>
  <si>
    <t>deepak subedi</t>
  </si>
  <si>
    <t>khadananda subedi /sita maya subedi</t>
  </si>
  <si>
    <t>sasidhar subedi /parbati acharya subedi</t>
  </si>
  <si>
    <t>984/044</t>
  </si>
  <si>
    <t>0570040608214001</t>
  </si>
  <si>
    <t>1301080000102651</t>
  </si>
  <si>
    <t>BABURAM REGMI</t>
  </si>
  <si>
    <t>KUL PRASAD REGMI</t>
  </si>
  <si>
    <t>YAMUNA REGMI</t>
  </si>
  <si>
    <t>3653</t>
  </si>
  <si>
    <t>02200501205952</t>
  </si>
  <si>
    <t>1301040000055859</t>
  </si>
  <si>
    <t>SHANTI ACHARYA/UDAY BDR ACHARYA</t>
  </si>
  <si>
    <t>1231</t>
  </si>
  <si>
    <t>18507010003778</t>
  </si>
  <si>
    <t>1301530000523168</t>
  </si>
  <si>
    <t>BABU RAM PANDIT</t>
  </si>
  <si>
    <t>YOGENDRA PANDIT/ SUNNAIR DEVI</t>
  </si>
  <si>
    <t>SABURI PANDIT</t>
  </si>
  <si>
    <t>171001/263</t>
  </si>
  <si>
    <t>18815243300287</t>
  </si>
  <si>
    <t>1301100003164789</t>
  </si>
  <si>
    <t>SHANTI TAMANG</t>
  </si>
  <si>
    <t>RAM BAHADUR TAMANG</t>
  </si>
  <si>
    <t>MANGAL SINGH TAMANG</t>
  </si>
  <si>
    <t>24-01-74-02471</t>
  </si>
  <si>
    <t>1390244051000018</t>
  </si>
  <si>
    <t>1301120000989488</t>
  </si>
  <si>
    <t>KESHAV RAJ DHUNGANA</t>
  </si>
  <si>
    <t>SHALIK RAM DHUNGANA</t>
  </si>
  <si>
    <t>CHET NARAYAN DHUNGANA</t>
  </si>
  <si>
    <t>39-01-70-00786</t>
  </si>
  <si>
    <t>00508010000062</t>
  </si>
  <si>
    <t>1301250001058395</t>
  </si>
  <si>
    <t>SHIVA BAHADUR GHARTI</t>
  </si>
  <si>
    <t>UDAY BAHADUR GHARTI/GYAN MAYA GHARTI</t>
  </si>
  <si>
    <t>JANGA BAHADUR GHARTI</t>
  </si>
  <si>
    <t>60860</t>
  </si>
  <si>
    <t>00320100106553000001</t>
  </si>
  <si>
    <t>1301040000055863</t>
  </si>
  <si>
    <t>SHANTI ACHARYA</t>
  </si>
  <si>
    <t>KULDIP DHAKAL</t>
  </si>
  <si>
    <t>SHANTA RAM ACHARYA/BISNU DHAKAL</t>
  </si>
  <si>
    <t>18507010003113</t>
  </si>
  <si>
    <t>1301850000365844</t>
  </si>
  <si>
    <t>NARAYAN BAHADUR GHARTI</t>
  </si>
  <si>
    <t>MOHAN BAHADUR GHARTI</t>
  </si>
  <si>
    <t>JED BAHADUR GHARTI</t>
  </si>
  <si>
    <t>41106867429</t>
  </si>
  <si>
    <t>07612200597104000002</t>
  </si>
  <si>
    <t>1301260001975950</t>
  </si>
  <si>
    <t>ARUN BHATTA</t>
  </si>
  <si>
    <t>SOM PRASAD BHATTA/SANGITA BHATTA</t>
  </si>
  <si>
    <t>NETRA PRASAD BHATTA</t>
  </si>
  <si>
    <t>271060/110219</t>
  </si>
  <si>
    <t>0010087145000011</t>
  </si>
  <si>
    <t>1301110000013944</t>
  </si>
  <si>
    <t>ROSHANI SHRESTHA SHARMA</t>
  </si>
  <si>
    <t>KRISHNA MOHAN SHRESTHA</t>
  </si>
  <si>
    <t>HARI DAS SHRESTHA</t>
  </si>
  <si>
    <t>1699</t>
  </si>
  <si>
    <t>02805120260701</t>
  </si>
  <si>
    <t>1301120003562601</t>
  </si>
  <si>
    <t>DEEPAK KAUCHA</t>
  </si>
  <si>
    <t>KEHARSINGH KAUCHA</t>
  </si>
  <si>
    <t>JAG BAHADUR KAUCHA</t>
  </si>
  <si>
    <t>50-01-75-01017</t>
  </si>
  <si>
    <t>09407010050388</t>
  </si>
  <si>
    <t>1301370003112333</t>
  </si>
  <si>
    <t>KASMIK PUN</t>
  </si>
  <si>
    <t>KRISHNA BAHADUR PUN</t>
  </si>
  <si>
    <t>LAL BAHADUR PUN</t>
  </si>
  <si>
    <t>50-01-72-02108</t>
  </si>
  <si>
    <t>0340936111602561</t>
  </si>
  <si>
    <t>1301250001004898</t>
  </si>
  <si>
    <t>PURNIMA MANANDHAR</t>
  </si>
  <si>
    <t>KESH BAHADUR MANANDHAR/SUNITA MANANDHAR</t>
  </si>
  <si>
    <t>PADAM BAHADUR MANANDHAR</t>
  </si>
  <si>
    <t>42-01-73-02668</t>
  </si>
  <si>
    <t>00120100173136000001</t>
  </si>
  <si>
    <t>1301770000501352</t>
  </si>
  <si>
    <t>APRISHA BAJRACHARYA</t>
  </si>
  <si>
    <t>BASUDEV BAJRACHARY/APSARA SHRESTHA BAJRACHARYA</t>
  </si>
  <si>
    <t>SANUKAJI BAJRACHARYA/</t>
  </si>
  <si>
    <t>2079100704198</t>
  </si>
  <si>
    <t>25011155620017</t>
  </si>
  <si>
    <t>1301240000433341</t>
  </si>
  <si>
    <t>GAURAV PRASAD JOSHI</t>
  </si>
  <si>
    <t>HARIKRISHNA JOSHI</t>
  </si>
  <si>
    <t>DURGADATT JOSHI</t>
  </si>
  <si>
    <t>75-01-74-06517</t>
  </si>
  <si>
    <t>0710411956055001</t>
  </si>
  <si>
    <t>1301080001236132</t>
  </si>
  <si>
    <t>DORJI SHERPA</t>
  </si>
  <si>
    <t>DAWA SHERPA</t>
  </si>
  <si>
    <t>DATHUDU SHERPA</t>
  </si>
  <si>
    <t>4974/50</t>
  </si>
  <si>
    <t>01800501207469</t>
  </si>
  <si>
    <t>1301060003427732</t>
  </si>
  <si>
    <t>KUL BAHADUR GAHA</t>
  </si>
  <si>
    <t>LEKH BAHADUR GAHA/SHANTI GAHA</t>
  </si>
  <si>
    <t>KHADGA BAHADUR GAHA</t>
  </si>
  <si>
    <t>86825</t>
  </si>
  <si>
    <t>11905080036436</t>
  </si>
  <si>
    <t>1301650000639389</t>
  </si>
  <si>
    <t>NARAYAN PRASAD GUPTA</t>
  </si>
  <si>
    <t>MUBU LAL SAH</t>
  </si>
  <si>
    <t>BISHINDEV SAH/DURGA KUMARI SAH</t>
  </si>
  <si>
    <t>83562278</t>
  </si>
  <si>
    <t>2130100006456010</t>
  </si>
  <si>
    <t>1301100000936758</t>
  </si>
  <si>
    <t>BADRI NARAYAN MAHATO SUDI</t>
  </si>
  <si>
    <t>BAIJ NATH MAHATO SUDI</t>
  </si>
  <si>
    <t>KAILU MAHATO</t>
  </si>
  <si>
    <t>80261989</t>
  </si>
  <si>
    <t>3182945181524001</t>
  </si>
  <si>
    <t>1301120002427906</t>
  </si>
  <si>
    <t>HEMANT OJHA</t>
  </si>
  <si>
    <t>BHOJRAJ OJHA/RAJKUMARI OJHA</t>
  </si>
  <si>
    <t>ADITI BHANDARI / PREM RAJ OJHA</t>
  </si>
  <si>
    <t>70580</t>
  </si>
  <si>
    <t>18807010005925</t>
  </si>
  <si>
    <t>1301650002426161</t>
  </si>
  <si>
    <t>RAMESH CHAUDHARY</t>
  </si>
  <si>
    <t>DHANUWA THARU</t>
  </si>
  <si>
    <t>GOGULE THARU/</t>
  </si>
  <si>
    <t>65027412087</t>
  </si>
  <si>
    <t>4560100001765010</t>
  </si>
  <si>
    <t>1301120004677908</t>
  </si>
  <si>
    <t>TARA KUMARI AWASTHI</t>
  </si>
  <si>
    <t>PADAM RAJ AWASTHI/DEWA DEVI AWASTHI</t>
  </si>
  <si>
    <t>NAVA RAJ AWASTHI/PRAJAPATI BHATTA</t>
  </si>
  <si>
    <t>741009/297</t>
  </si>
  <si>
    <t>01908010031499</t>
  </si>
  <si>
    <t>1301610001231784</t>
  </si>
  <si>
    <t>DIBYASHA POKHAREL</t>
  </si>
  <si>
    <t>DIBYARAJ POKHAREL</t>
  </si>
  <si>
    <t>BAM PD POKHAREL</t>
  </si>
  <si>
    <t>372</t>
  </si>
  <si>
    <t>1180935286503867</t>
  </si>
  <si>
    <t>1301120005405648</t>
  </si>
  <si>
    <t>BHIM BAHADUR MUSANG</t>
  </si>
  <si>
    <t>BAL BAHADUR MUSANG</t>
  </si>
  <si>
    <t>HARKA NARDA MUSANG</t>
  </si>
  <si>
    <t>216/367</t>
  </si>
  <si>
    <t>03309012031159</t>
  </si>
  <si>
    <t>1301370000286090</t>
  </si>
  <si>
    <t>Debaki K.C</t>
  </si>
  <si>
    <t>Shankar Bahadur K.C</t>
  </si>
  <si>
    <t>Uttam Khadka</t>
  </si>
  <si>
    <t>271037/50459</t>
  </si>
  <si>
    <t>1054402304524001</t>
  </si>
  <si>
    <t>1301060003433953</t>
  </si>
  <si>
    <t>DIVA PAIJA PUN</t>
  </si>
  <si>
    <t>CHITRA BAHADUR PAIJA PUN/ KALMATI SHERCHAN</t>
  </si>
  <si>
    <t>MAN BAHADUR PUN</t>
  </si>
  <si>
    <t>49-01-72-01340</t>
  </si>
  <si>
    <t>19205420251884</t>
  </si>
  <si>
    <t>1301070000603967</t>
  </si>
  <si>
    <t>Dilip singh Gahatraj</t>
  </si>
  <si>
    <t>Gopal singh Gahatraj</t>
  </si>
  <si>
    <t>Bahadur singh gahatraj</t>
  </si>
  <si>
    <t>5058/2041</t>
  </si>
  <si>
    <t>1940421597055001</t>
  </si>
  <si>
    <t>1301520002002056</t>
  </si>
  <si>
    <t>PUSPA GAHA</t>
  </si>
  <si>
    <t>DURGA BAHADUR GAHA / BAL KUMARI GAHA</t>
  </si>
  <si>
    <t>PREM NA. GAHA</t>
  </si>
  <si>
    <t>1018/277</t>
  </si>
  <si>
    <t>0170035991400001</t>
  </si>
  <si>
    <t>1301260000540238</t>
  </si>
  <si>
    <t>SANDIP AGRAWAL</t>
  </si>
  <si>
    <t>SHYAM SUNDAR AGRAWAL/MANJU DEVI AGRAWAL</t>
  </si>
  <si>
    <t>LAXMI NARAYAN AGRAWAL</t>
  </si>
  <si>
    <t>17256</t>
  </si>
  <si>
    <t>18515241406955</t>
  </si>
  <si>
    <t>1301220000395543</t>
  </si>
  <si>
    <t>RAJU BHAT</t>
  </si>
  <si>
    <t>BAL BAHADUR BHAT</t>
  </si>
  <si>
    <t>KANTU BHAT</t>
  </si>
  <si>
    <t>473</t>
  </si>
  <si>
    <t>20508010000152</t>
  </si>
  <si>
    <t>1301650001499875</t>
  </si>
  <si>
    <t>MOHAN BUDHA</t>
  </si>
  <si>
    <t>BHUM BHADUR BUDHA</t>
  </si>
  <si>
    <t>RABI LAL BUDHA/_</t>
  </si>
  <si>
    <t>70017801450</t>
  </si>
  <si>
    <t>1420100072389010</t>
  </si>
  <si>
    <t>1301520002007421</t>
  </si>
  <si>
    <t>PRAGATIBABU BHATTARAI</t>
  </si>
  <si>
    <t>KASHINATH BHATTARAI / GOMADEVI BHATTARAI</t>
  </si>
  <si>
    <t>NARAYAN DATTA BHATTARAI</t>
  </si>
  <si>
    <t>363013/409</t>
  </si>
  <si>
    <t>2920306450600001</t>
  </si>
  <si>
    <t>1301120005341181</t>
  </si>
  <si>
    <t>MAHENDRA SHREES</t>
  </si>
  <si>
    <t>KHADKA BAHADUR SHREES</t>
  </si>
  <si>
    <t>SHASIRAM SHREES</t>
  </si>
  <si>
    <t>12227/NA 181</t>
  </si>
  <si>
    <t>07207010008535</t>
  </si>
  <si>
    <t>1301850000078217</t>
  </si>
  <si>
    <t>GHANSHYAM UPADHAYAYA</t>
  </si>
  <si>
    <t>KASHIRAM UPADHAYAYA</t>
  </si>
  <si>
    <t>HIRAMANI UPADHAYAYA</t>
  </si>
  <si>
    <t>50204817891</t>
  </si>
  <si>
    <t>02900400514151000001</t>
  </si>
  <si>
    <t>1301120005341202</t>
  </si>
  <si>
    <t>LUCAS SHREES MAGAR</t>
  </si>
  <si>
    <t>2074041410420</t>
  </si>
  <si>
    <t>03607010220330</t>
  </si>
  <si>
    <t>1301040001751731</t>
  </si>
  <si>
    <t>SHANTI BHATTARAI</t>
  </si>
  <si>
    <t>SOM LAL BHATTARAI /TUL MAYA BHATTARAI</t>
  </si>
  <si>
    <t>/JAM SHWOR BHATTARAI</t>
  </si>
  <si>
    <t>23894</t>
  </si>
  <si>
    <t>10810017502261</t>
  </si>
  <si>
    <t>1301760000157876</t>
  </si>
  <si>
    <t>KESH BAHADUR KHATRI</t>
  </si>
  <si>
    <t>RUDRA BAHADUR KHATTRI</t>
  </si>
  <si>
    <t>CHAMPHA SINGH KHATRI</t>
  </si>
  <si>
    <t>60629</t>
  </si>
  <si>
    <t>02201900702148000001</t>
  </si>
  <si>
    <t>1301370003169532</t>
  </si>
  <si>
    <t>YUBRAJ SUBEDI</t>
  </si>
  <si>
    <t>NUMAKANTA SUBEDI</t>
  </si>
  <si>
    <t>RAGHUKANTA SUBEDI</t>
  </si>
  <si>
    <t>42-02-73-03275</t>
  </si>
  <si>
    <t>0495751135372001</t>
  </si>
  <si>
    <t>1301610001844229</t>
  </si>
  <si>
    <t>BASANT ADHIKARI</t>
  </si>
  <si>
    <t>GANESH PRASAD ADHIKARI</t>
  </si>
  <si>
    <t>BHAWANI PRASAD ADHIKARI</t>
  </si>
  <si>
    <t>581/443</t>
  </si>
  <si>
    <t>1530088020600019</t>
  </si>
  <si>
    <t>1301650000295913</t>
  </si>
  <si>
    <t>BHAGWATI SUBEDI</t>
  </si>
  <si>
    <t>KRISHNA PRASAD SUBEDI / PARBATI SUBEDI</t>
  </si>
  <si>
    <t>DILLIRAM PAUDEL / BHANU BHAKTA SUBEDI</t>
  </si>
  <si>
    <t>461007/495</t>
  </si>
  <si>
    <t>3520100000009011</t>
  </si>
  <si>
    <t>1301070001702309</t>
  </si>
  <si>
    <t>RAM BAHADUR BASNET</t>
  </si>
  <si>
    <t>DAMBAR BAHADUR BASNET</t>
  </si>
  <si>
    <t>8962</t>
  </si>
  <si>
    <t>00922013347</t>
  </si>
  <si>
    <t>1301120004535687</t>
  </si>
  <si>
    <t>RIDDHI PAUDEL</t>
  </si>
  <si>
    <t>DIPAK PAUDEL</t>
  </si>
  <si>
    <t>DURGA PRASAD PAUDEL</t>
  </si>
  <si>
    <t>2079090509326</t>
  </si>
  <si>
    <t>03307012061874</t>
  </si>
  <si>
    <t>1301060003481138</t>
  </si>
  <si>
    <t>CHANDRA BAHADUR B K</t>
  </si>
  <si>
    <t>TAK BAHADUR B K/TIKASHREE B K</t>
  </si>
  <si>
    <t>SAMSHER B K</t>
  </si>
  <si>
    <t>9724</t>
  </si>
  <si>
    <t>21405390252775</t>
  </si>
  <si>
    <t>1301610001608486</t>
  </si>
  <si>
    <t>KRISHNA PRASAD UPADHYAYA</t>
  </si>
  <si>
    <t>OM PRASAD UPADHYAYA</t>
  </si>
  <si>
    <t>GAURISHWOR UPADHYAYA</t>
  </si>
  <si>
    <t>60444</t>
  </si>
  <si>
    <t>0050001200300010</t>
  </si>
  <si>
    <t>1301760000903787</t>
  </si>
  <si>
    <t>SUMIN NEUPANE</t>
  </si>
  <si>
    <t>SURYA PRASAD NEUPANE, YOG MAYA NEUPANE</t>
  </si>
  <si>
    <t>CHAKRA PANI NEUPANE</t>
  </si>
  <si>
    <t>66</t>
  </si>
  <si>
    <t>07911301175695000001</t>
  </si>
  <si>
    <t>1301370005283181</t>
  </si>
  <si>
    <t>MADHAV BOGATI</t>
  </si>
  <si>
    <t>BAL BAHADUR BOGATI</t>
  </si>
  <si>
    <t>INDRA BAHADUR BOGATI</t>
  </si>
  <si>
    <t>251017/1032</t>
  </si>
  <si>
    <t>0445750479927001</t>
  </si>
  <si>
    <t>1301590000680300</t>
  </si>
  <si>
    <t>AJAYA SUNUWAR</t>
  </si>
  <si>
    <t>NARAYAN BAHADUR SUNUWAR</t>
  </si>
  <si>
    <t>GURU PRASAD SUNUWAR</t>
  </si>
  <si>
    <t>03017404109</t>
  </si>
  <si>
    <t>0290184024700016</t>
  </si>
  <si>
    <t>1301580002018848</t>
  </si>
  <si>
    <t>SUMITRA LIBI</t>
  </si>
  <si>
    <t>DAMODAR LIB/SARASWOTI LIBI</t>
  </si>
  <si>
    <t>AASH LAL LIBI</t>
  </si>
  <si>
    <t>29-01-066-04410</t>
  </si>
  <si>
    <t>008011010000353</t>
  </si>
  <si>
    <t>1301090004130762</t>
  </si>
  <si>
    <t>KRISHNA TAMANG</t>
  </si>
  <si>
    <t>JAY BAHADUR TAMANG</t>
  </si>
  <si>
    <t>13-01-77-01315</t>
  </si>
  <si>
    <t>55504460597</t>
  </si>
  <si>
    <t>1301260000531605</t>
  </si>
  <si>
    <t>SAROJ SAPKOTA</t>
  </si>
  <si>
    <t>NAWARAJ SAPKOTA/CHITRA KALA SAPKOTA</t>
  </si>
  <si>
    <t>NARAYAN DATTA SAPKOTA</t>
  </si>
  <si>
    <t>040994</t>
  </si>
  <si>
    <t>0460157758000018</t>
  </si>
  <si>
    <t>1301100002485838</t>
  </si>
  <si>
    <t>EYAN THAPA</t>
  </si>
  <si>
    <t>SUNIL THAPA/PUJA TIMILSENA KHATRI</t>
  </si>
  <si>
    <t>ANIL THAPA</t>
  </si>
  <si>
    <t>2078070802115</t>
  </si>
  <si>
    <t>0760177536100010</t>
  </si>
  <si>
    <t>1301070000743703</t>
  </si>
  <si>
    <t>Rasila Bishta</t>
  </si>
  <si>
    <t>Dan Bahadur Bishta</t>
  </si>
  <si>
    <t>Jit Bahadur Bishta</t>
  </si>
  <si>
    <t>241074/456</t>
  </si>
  <si>
    <t>10823001940</t>
  </si>
  <si>
    <t>1301090003223391</t>
  </si>
  <si>
    <t>MAMTA DEVI SAH .</t>
  </si>
  <si>
    <t>BIRENDRA SAH</t>
  </si>
  <si>
    <t>SURENDRA SAH</t>
  </si>
  <si>
    <t>323009/188</t>
  </si>
  <si>
    <t>00218779040</t>
  </si>
  <si>
    <t>1301380000088038</t>
  </si>
  <si>
    <t>HITA BHATTARAI</t>
  </si>
  <si>
    <t>CHET NATH BHATTARAI</t>
  </si>
  <si>
    <t>OM PD. GAUTAM</t>
  </si>
  <si>
    <t>56142/265</t>
  </si>
  <si>
    <t>0030007130200013</t>
  </si>
  <si>
    <t>1301120002699435</t>
  </si>
  <si>
    <t>RAJ KUMAR RAI</t>
  </si>
  <si>
    <t>SARBAJIT RAI</t>
  </si>
  <si>
    <t>THAM BAHADUR RAI</t>
  </si>
  <si>
    <t>091051/296</t>
  </si>
  <si>
    <t>03309011451142</t>
  </si>
  <si>
    <t>1301370001404311</t>
  </si>
  <si>
    <t>Sunil Rajbhandari</t>
  </si>
  <si>
    <t>Harsha Bahadur Rajbhandari</t>
  </si>
  <si>
    <t>Lal Bahadur Rajbhandari</t>
  </si>
  <si>
    <t>11720/13720</t>
  </si>
  <si>
    <t>2388968132652401</t>
  </si>
  <si>
    <t>1301040002414210</t>
  </si>
  <si>
    <t>RAJAN SHRESTHA</t>
  </si>
  <si>
    <t>PANCHALAL SHRESTHA/SANTAMAYA SHRESTHA</t>
  </si>
  <si>
    <t>RUPA BADAL/LAL BAHADUR SHRESTHA</t>
  </si>
  <si>
    <t>145106</t>
  </si>
  <si>
    <t>12110017500555</t>
  </si>
  <si>
    <t>1301720000452397</t>
  </si>
  <si>
    <t>ABILAL BISTA</t>
  </si>
  <si>
    <t>JORA SINGH / SUPARI BISTA</t>
  </si>
  <si>
    <t>KAPURE BISTA</t>
  </si>
  <si>
    <t>671005/8419</t>
  </si>
  <si>
    <t>0726001380677011</t>
  </si>
  <si>
    <t>1301370001599579</t>
  </si>
  <si>
    <t>Soham Rajbhandari</t>
  </si>
  <si>
    <t>67</t>
  </si>
  <si>
    <t>R402001099152401</t>
  </si>
  <si>
    <t>1301120000377071</t>
  </si>
  <si>
    <t>DIPAK ARYAL</t>
  </si>
  <si>
    <t>DESH BANDHU ARYAL</t>
  </si>
  <si>
    <t>KHEM NARAYAN ARYAL</t>
  </si>
  <si>
    <t>5614</t>
  </si>
  <si>
    <t>1190100022256010</t>
  </si>
  <si>
    <t>1301260000839991</t>
  </si>
  <si>
    <t>JEEVAN SHREESH</t>
  </si>
  <si>
    <t>RAN BAHADUR SHREESH/SARASWATI SHREESH</t>
  </si>
  <si>
    <t>BIR BAHADUR SHREESH</t>
  </si>
  <si>
    <t>50-01-72-04013</t>
  </si>
  <si>
    <t>0330084385200011</t>
  </si>
  <si>
    <t>1301070000208446</t>
  </si>
  <si>
    <t>Sushma K.C</t>
  </si>
  <si>
    <t>Gyan Bahdur K.C</t>
  </si>
  <si>
    <t>Rana Bahdur K.C</t>
  </si>
  <si>
    <t>53/01/73/03764</t>
  </si>
  <si>
    <t>17310017505770</t>
  </si>
  <si>
    <t>1301370001599336</t>
  </si>
  <si>
    <t>Sejal Rajbhandari</t>
  </si>
  <si>
    <t>Harsa Bahadur Rajbhandari</t>
  </si>
  <si>
    <t>06-02-78-02696</t>
  </si>
  <si>
    <t>21807010004610</t>
  </si>
  <si>
    <t>1301020000025213</t>
  </si>
  <si>
    <t>POOJAN KIRAN DHAKAL</t>
  </si>
  <si>
    <t>HARI KIRAN DHAKAL</t>
  </si>
  <si>
    <t>ISWORI PRASAD DHAKAL</t>
  </si>
  <si>
    <t>13415</t>
  </si>
  <si>
    <t>ICFC FINANCE LTD.(9919)</t>
  </si>
  <si>
    <t>00107100005639000001</t>
  </si>
  <si>
    <t>1301090001204825</t>
  </si>
  <si>
    <t>RABIN KARKI</t>
  </si>
  <si>
    <t>UDAYA BAHADUR KARKI</t>
  </si>
  <si>
    <t>DAL BAHADUR KARKI</t>
  </si>
  <si>
    <t>514</t>
  </si>
  <si>
    <t>1780100003238052</t>
  </si>
  <si>
    <t>1301120000107664</t>
  </si>
  <si>
    <t>MANJU SAH</t>
  </si>
  <si>
    <t>BINDESHWORI SAH</t>
  </si>
  <si>
    <t>UMASHANKAR ANAND</t>
  </si>
  <si>
    <t>1925</t>
  </si>
  <si>
    <t>22552829130013</t>
  </si>
  <si>
    <t>1301040002265435</t>
  </si>
  <si>
    <t>RESHAM PRASAD ACHARYA</t>
  </si>
  <si>
    <t>DHARMA RAJ ACHARYA/NARBADA DEVI ACHARYA</t>
  </si>
  <si>
    <t>HARI SHARMA ACHARYA/RISHI RAM ACHARYA</t>
  </si>
  <si>
    <t>3500</t>
  </si>
  <si>
    <t>1210015135701</t>
  </si>
  <si>
    <t>1301440000376690</t>
  </si>
  <si>
    <t>KHADKA BAHADUR THAPA</t>
  </si>
  <si>
    <t>BUDDHI BAHADUR THAPA</t>
  </si>
  <si>
    <t>DOL RAJ THAPA</t>
  </si>
  <si>
    <t>362008/672</t>
  </si>
  <si>
    <t>03607010261104</t>
  </si>
  <si>
    <t>1301170002156461</t>
  </si>
  <si>
    <t>ASHISH SHRESTHA</t>
  </si>
  <si>
    <t>ARJUN PRASAD SHRESTHA/ CHOKPA SHERPA</t>
  </si>
  <si>
    <t>BIRENDRA KUMAR SHRESTHA</t>
  </si>
  <si>
    <t>27-01-75-13399</t>
  </si>
  <si>
    <t>0130100002339041</t>
  </si>
  <si>
    <t>1301060000399072</t>
  </si>
  <si>
    <t>BIMAL KUMAR SINHA</t>
  </si>
  <si>
    <t>SUSHIL KUMAR SINHA</t>
  </si>
  <si>
    <t>BHUNESHOR PRASAD SHINHA</t>
  </si>
  <si>
    <t>3635</t>
  </si>
  <si>
    <t>SHANGRI-LA DEVELOPMENT BANK LTD.(7301)</t>
  </si>
  <si>
    <t>02501800114320000001</t>
  </si>
  <si>
    <t>1301570000971763</t>
  </si>
  <si>
    <t>GUDU MIYA DARJI</t>
  </si>
  <si>
    <t>SAGIR AHAMAD/HASMA KHATUN</t>
  </si>
  <si>
    <t>JUMRATI MIYA</t>
  </si>
  <si>
    <t>455</t>
  </si>
  <si>
    <t>00710707435901000001</t>
  </si>
  <si>
    <t>1301010000169289</t>
  </si>
  <si>
    <t>SANDESH MAHARJAN</t>
  </si>
  <si>
    <t>SANTA LAL MAHARJAN</t>
  </si>
  <si>
    <t>BULAL MAHARJAN/ SUSHMITA SUNUWAR MAHARJAN</t>
  </si>
  <si>
    <t>4253</t>
  </si>
  <si>
    <t>0010100000092045</t>
  </si>
  <si>
    <t>1301120005041991</t>
  </si>
  <si>
    <t>NARAYAN GIRI</t>
  </si>
  <si>
    <t>THAKUR GIRI</t>
  </si>
  <si>
    <t>THANESHOR GIRI</t>
  </si>
  <si>
    <t>49982</t>
  </si>
  <si>
    <t>23907010121361</t>
  </si>
  <si>
    <t>1301610000457051</t>
  </si>
  <si>
    <t>TULA CHANDRA RAI</t>
  </si>
  <si>
    <t>HAIKAM SINGH RAI</t>
  </si>
  <si>
    <t>PUNAK SINGH RAI</t>
  </si>
  <si>
    <t>1689/5260</t>
  </si>
  <si>
    <t>0700065093500011</t>
  </si>
  <si>
    <t>1301020000025228</t>
  </si>
  <si>
    <t>KAMALA DHAKAL</t>
  </si>
  <si>
    <t>MADHAV PRASAD NEPAL</t>
  </si>
  <si>
    <t>HARI KIRAN DHAKAL/KASHI NATH NEPAL</t>
  </si>
  <si>
    <t>9056</t>
  </si>
  <si>
    <t>00118300005501000001</t>
  </si>
  <si>
    <t>1301770000553500</t>
  </si>
  <si>
    <t>SHIVA RANA</t>
  </si>
  <si>
    <t>OM BAHADUR RANA/PARBATI RANA</t>
  </si>
  <si>
    <t>DIRGHA SINGH RANA</t>
  </si>
  <si>
    <t>14485</t>
  </si>
  <si>
    <t>03602884600023</t>
  </si>
  <si>
    <t>1301720000479153</t>
  </si>
  <si>
    <t>KUSHAL PANDEY</t>
  </si>
  <si>
    <t>BISHNU PANDEY</t>
  </si>
  <si>
    <t>MANILAL PANDEY</t>
  </si>
  <si>
    <t>119</t>
  </si>
  <si>
    <t>0414700240695018</t>
  </si>
  <si>
    <t>1301120000019337</t>
  </si>
  <si>
    <t>RUKMAGAT NEUPANE</t>
  </si>
  <si>
    <t>CHUDAMANI NEUPANE</t>
  </si>
  <si>
    <t>596</t>
  </si>
  <si>
    <t>0740070133200015</t>
  </si>
  <si>
    <t>1301690000396817</t>
  </si>
  <si>
    <t>GANGA BAHADUR BHANDARI</t>
  </si>
  <si>
    <t>DHAN BAHADUR  BHANDARI</t>
  </si>
  <si>
    <t>MANJU MAYA BHANDARI</t>
  </si>
  <si>
    <t>6704</t>
  </si>
  <si>
    <t>14201000000015301938</t>
  </si>
  <si>
    <t>1301390000291886</t>
  </si>
  <si>
    <t>SHANKAR KARKI</t>
  </si>
  <si>
    <t>GYANENDRA BAHADUR KARKI</t>
  </si>
  <si>
    <t>DAMBAR BAHADUR KARKI</t>
  </si>
  <si>
    <t>05-01-72-01350</t>
  </si>
  <si>
    <t>0060011423500016</t>
  </si>
  <si>
    <t>1301120002266631</t>
  </si>
  <si>
    <t>URMILA SHRESTHA</t>
  </si>
  <si>
    <t>KADAR NATH SHRESTHA / PADAM SHRESTHA</t>
  </si>
  <si>
    <t>SRIMAN SHRESTHA / SANTA KUMAR SHRESTHA</t>
  </si>
  <si>
    <t>296</t>
  </si>
  <si>
    <t>21807010002629</t>
  </si>
  <si>
    <t>1301520002098109</t>
  </si>
  <si>
    <t>GORAKSHYA HAMAL</t>
  </si>
  <si>
    <t>GOVINDA HAMALA / NIRMALA HAMAL</t>
  </si>
  <si>
    <t>BOM BAHADUR HAMAL</t>
  </si>
  <si>
    <t>27-01-76-10619</t>
  </si>
  <si>
    <t>2360281761500001</t>
  </si>
  <si>
    <t>1301580001956568</t>
  </si>
  <si>
    <t>BHIM KUMARI GURUNG</t>
  </si>
  <si>
    <t>KUL PRASAD GURUNG / PARBATI GURUNG</t>
  </si>
  <si>
    <t>PURNA BAHADUR GURUNG</t>
  </si>
  <si>
    <t>52191</t>
  </si>
  <si>
    <t>006011090000085</t>
  </si>
  <si>
    <t>1301260002726401</t>
  </si>
  <si>
    <t>SASIKALA RAI</t>
  </si>
  <si>
    <t>KUL BAHADUR RAI/SITAL MAYA RAI</t>
  </si>
  <si>
    <t>BIRKHA BAHADUR RAI</t>
  </si>
  <si>
    <t>083023214</t>
  </si>
  <si>
    <t>0180065795100011</t>
  </si>
  <si>
    <t>1301100002729908</t>
  </si>
  <si>
    <t>RAJESH KUMAR SAH</t>
  </si>
  <si>
    <t>PARMESHWAR SAH TELI/SHAIL DEVI SAH</t>
  </si>
  <si>
    <t>ACCHAY LAL SAH/RABINA KUMARI SAH</t>
  </si>
  <si>
    <t>191016-44</t>
  </si>
  <si>
    <t>0750198766300011</t>
  </si>
  <si>
    <t>1301060001499955</t>
  </si>
  <si>
    <t>PRAZEETA A.C.</t>
  </si>
  <si>
    <t>HOM BAHADUR A.C.</t>
  </si>
  <si>
    <t>KHADGA  BAHADUR ADHIKARI</t>
  </si>
  <si>
    <t>546/401009</t>
  </si>
  <si>
    <t>01205080464321</t>
  </si>
  <si>
    <t>1301060001693385</t>
  </si>
  <si>
    <t>MANISH SHARMA TIMILSINA</t>
  </si>
  <si>
    <t>LAXMIKANT TIMILSINA</t>
  </si>
  <si>
    <t>RAVILAL TIMILSINA</t>
  </si>
  <si>
    <t>39-01-73-02039</t>
  </si>
  <si>
    <t>11905050300285</t>
  </si>
  <si>
    <t>1301080000077535</t>
  </si>
  <si>
    <t>SITA KHANAL A.C.</t>
  </si>
  <si>
    <t>Khimananda Khanal</t>
  </si>
  <si>
    <t>Hom Bahadur A.C.</t>
  </si>
  <si>
    <t>8003/1468</t>
  </si>
  <si>
    <t>17610017504171</t>
  </si>
  <si>
    <t>1301060001368615</t>
  </si>
  <si>
    <t>UPAJ KHADKA</t>
  </si>
  <si>
    <t>PUNYA KUMAR KHADKA</t>
  </si>
  <si>
    <t>NAINA BAHADUR KHADKA</t>
  </si>
  <si>
    <t>244</t>
  </si>
  <si>
    <t>03505150251877</t>
  </si>
  <si>
    <t>1301850000147694</t>
  </si>
  <si>
    <t>BIRENDAR BARAI</t>
  </si>
  <si>
    <t>BUDH NATH BARAI</t>
  </si>
  <si>
    <t>CHINAIK BARAI</t>
  </si>
  <si>
    <t>37104031723</t>
  </si>
  <si>
    <t>00100700553997000001</t>
  </si>
  <si>
    <t>1301730000016497</t>
  </si>
  <si>
    <t>SHENANG HANG RAI</t>
  </si>
  <si>
    <t>SURESH KUMAR RAI</t>
  </si>
  <si>
    <t>CHANDRA BAHADUR RAI</t>
  </si>
  <si>
    <t>28-01-066-04316</t>
  </si>
  <si>
    <t>09005080166386</t>
  </si>
  <si>
    <t>1301090001775047</t>
  </si>
  <si>
    <t>MADAN NEUPANE</t>
  </si>
  <si>
    <t>MUKTI PRASAD NEUPANE</t>
  </si>
  <si>
    <t>DANDA PANI NEUPANE</t>
  </si>
  <si>
    <t>42-02-73-01915</t>
  </si>
  <si>
    <t>01315557100</t>
  </si>
  <si>
    <t>1301240000922484</t>
  </si>
  <si>
    <t>ANUP DHUNGANA</t>
  </si>
  <si>
    <t>SARAD PRASAD DHUNGANA</t>
  </si>
  <si>
    <t>LAXMI PRASAD DHUNGANA</t>
  </si>
  <si>
    <t>68627</t>
  </si>
  <si>
    <t>05410286013017</t>
  </si>
  <si>
    <t>1301690000019580</t>
  </si>
  <si>
    <t>SABITRI ADHIKARI</t>
  </si>
  <si>
    <t>KUL CHANDRA ADHIKARI/BHIM KUMARI ADHIKARI</t>
  </si>
  <si>
    <t>BHUWAN GHIMIRE/MODHNATH ADHIKARI</t>
  </si>
  <si>
    <t>261/29267</t>
  </si>
  <si>
    <t>05701000000006818759</t>
  </si>
  <si>
    <t>1301090004396450</t>
  </si>
  <si>
    <t>BINITA DULAL</t>
  </si>
  <si>
    <t>MUKUNDA PRASAD DULAL</t>
  </si>
  <si>
    <t>HIRANYA PRASAD DULAL</t>
  </si>
  <si>
    <t>18-05-76-01867</t>
  </si>
  <si>
    <t>55506983126</t>
  </si>
  <si>
    <t>1301070000285283</t>
  </si>
  <si>
    <t>Ayush Shakya</t>
  </si>
  <si>
    <t>Krishna Jyoti Shakya</t>
  </si>
  <si>
    <t>Purna Jyoti Shakya</t>
  </si>
  <si>
    <t>29-01-70-03194</t>
  </si>
  <si>
    <t>06820001919</t>
  </si>
  <si>
    <t>1301250001548797</t>
  </si>
  <si>
    <t>DOLMA SHERPA</t>
  </si>
  <si>
    <t>PHURBA  SHERPA/BED KUMARI SHERPA</t>
  </si>
  <si>
    <t>WANDI  SHERPA</t>
  </si>
  <si>
    <t>131020/372</t>
  </si>
  <si>
    <t>07122300992319000001</t>
  </si>
  <si>
    <t>1301220000227891</t>
  </si>
  <si>
    <t>GANGA PRASAD BAGALE</t>
  </si>
  <si>
    <t>DAYANATH BAGALE</t>
  </si>
  <si>
    <t>TRILOCHAN BAGALE</t>
  </si>
  <si>
    <t>8348</t>
  </si>
  <si>
    <t>00101900758936000001</t>
  </si>
  <si>
    <t>1301060000619919</t>
  </si>
  <si>
    <t>BINOD BHANDARI</t>
  </si>
  <si>
    <t>RAM PRASAD BHANDARI</t>
  </si>
  <si>
    <t>JHABILAL BHANDARI</t>
  </si>
  <si>
    <t>372024/52774</t>
  </si>
  <si>
    <t>05601000000238301618</t>
  </si>
  <si>
    <t>1301020000243509</t>
  </si>
  <si>
    <t>SUMAN BALAMI</t>
  </si>
  <si>
    <t>MOHAN BAHADUR BALAMI</t>
  </si>
  <si>
    <t>KIMAT BAHADUR BALAMI</t>
  </si>
  <si>
    <t>8090</t>
  </si>
  <si>
    <t>0130044401700011</t>
  </si>
  <si>
    <t>1301080000820770</t>
  </si>
  <si>
    <t>TEMBA SHERPA/KIPA SHERPA</t>
  </si>
  <si>
    <t>ANA DORJE SHERPA</t>
  </si>
  <si>
    <t>10-01-74-00673</t>
  </si>
  <si>
    <t>02800501209334</t>
  </si>
  <si>
    <t>1301090002157950</t>
  </si>
  <si>
    <t>GUNJAN THAPA</t>
  </si>
  <si>
    <t>SURYA BAHADUR THAPA MAGAR / TULISARA THAPA MAGAR</t>
  </si>
  <si>
    <t>LOK BAHADUR THAPA MAGAR</t>
  </si>
  <si>
    <t>362009/435</t>
  </si>
  <si>
    <t>00816947870</t>
  </si>
  <si>
    <t>1301060003474118</t>
  </si>
  <si>
    <t>BIKRAM TAMANG</t>
  </si>
  <si>
    <t>BABLU TAMANG/TARKAI TAMANG</t>
  </si>
  <si>
    <t>LAKPA SINI TAMNG</t>
  </si>
  <si>
    <t>24-01-74-05728</t>
  </si>
  <si>
    <t>18305080027410</t>
  </si>
  <si>
    <t>1301240001578814</t>
  </si>
  <si>
    <t>KISHAN KC</t>
  </si>
  <si>
    <t>BIR BAHADUR KC</t>
  </si>
  <si>
    <t>DURGA BAHADUR KC</t>
  </si>
  <si>
    <t>3/2031</t>
  </si>
  <si>
    <t>04910223081011</t>
  </si>
  <si>
    <t>1301520000782776</t>
  </si>
  <si>
    <t>KUBER RAJ ROKAYA</t>
  </si>
  <si>
    <t>RAM BAHADUR ROKAYA</t>
  </si>
  <si>
    <t>GHANASHYAM ROKAYA</t>
  </si>
  <si>
    <t>1334</t>
  </si>
  <si>
    <t>0760112089200001</t>
  </si>
  <si>
    <t>1301080000077351</t>
  </si>
  <si>
    <t>PRATEEK A.C</t>
  </si>
  <si>
    <t>Hom Bahadur A.C</t>
  </si>
  <si>
    <t>Khadga Bahadur Adhikari</t>
  </si>
  <si>
    <t>66-01-77-02563</t>
  </si>
  <si>
    <t>17610017500144</t>
  </si>
  <si>
    <t>1301080000079625</t>
  </si>
  <si>
    <t>PRATIKSHYA A.C.</t>
  </si>
  <si>
    <t>661019.402</t>
  </si>
  <si>
    <t>17610017504231</t>
  </si>
  <si>
    <t>1301130000376683</t>
  </si>
  <si>
    <t>SRIJANA DHUNGEL</t>
  </si>
  <si>
    <t>TANKANATH GHIMIRE</t>
  </si>
  <si>
    <t>TIKARAM GHIMIRE</t>
  </si>
  <si>
    <t>1019/58</t>
  </si>
  <si>
    <t>3110017518906</t>
  </si>
  <si>
    <t>1301650002081424</t>
  </si>
  <si>
    <t>PRABESH PARAJULI</t>
  </si>
  <si>
    <t>KRISHNA PARAJULI</t>
  </si>
  <si>
    <t>MITRA LAL PARAJULI/</t>
  </si>
  <si>
    <t>04027900507</t>
  </si>
  <si>
    <t>2600100019766010</t>
  </si>
  <si>
    <t>1301090001042291</t>
  </si>
  <si>
    <t>JEEWAN KARKI</t>
  </si>
  <si>
    <t>KAMAL BAHADUR KARKI</t>
  </si>
  <si>
    <t>KRISHNA BAHADUR KARKI</t>
  </si>
  <si>
    <t>271007/97764</t>
  </si>
  <si>
    <t>50215048014</t>
  </si>
  <si>
    <t>1301090003897360</t>
  </si>
  <si>
    <t>DAWA TENZING TAMANG</t>
  </si>
  <si>
    <t>PASANG KAJI TAMANG</t>
  </si>
  <si>
    <t>THILANG TAMANG</t>
  </si>
  <si>
    <t>11-01-74-02026</t>
  </si>
  <si>
    <t>55500697500</t>
  </si>
  <si>
    <t>1301610000026025</t>
  </si>
  <si>
    <t>SUNIL SHARMA</t>
  </si>
  <si>
    <t>JAYA PRASAD SHARMA</t>
  </si>
  <si>
    <t>KALADHAR SHARMA</t>
  </si>
  <si>
    <t>51017201796</t>
  </si>
  <si>
    <t>0160046123000011</t>
  </si>
  <si>
    <t>1301230000014119</t>
  </si>
  <si>
    <t>Nischal Rungta</t>
  </si>
  <si>
    <t>Rajesh Kumar Rungta</t>
  </si>
  <si>
    <t>Sawar Mal Rungta</t>
  </si>
  <si>
    <t>1060/50806</t>
  </si>
  <si>
    <t>01807137900011</t>
  </si>
  <si>
    <t>1301120004808501</t>
  </si>
  <si>
    <t>DADHIRAM KHANAL</t>
  </si>
  <si>
    <t>HIM LAL KHANAL</t>
  </si>
  <si>
    <t>TAGISHWAR KHANAL</t>
  </si>
  <si>
    <t>401002/108114</t>
  </si>
  <si>
    <t>07007010024207</t>
  </si>
  <si>
    <t>1301370006488282</t>
  </si>
  <si>
    <t>NIRAJ YADAV</t>
  </si>
  <si>
    <t>SHESHMAN YADAV</t>
  </si>
  <si>
    <t>BHARTHU YADAV</t>
  </si>
  <si>
    <t>37-1015/42586</t>
  </si>
  <si>
    <t>F102003105752401</t>
  </si>
  <si>
    <t>1301260000732575</t>
  </si>
  <si>
    <t>SUSMITA SUBEDI</t>
  </si>
  <si>
    <t>BALRAM SUBEDI/MINA SUBEDI</t>
  </si>
  <si>
    <t>CHAKRAPANI SUBEDI</t>
  </si>
  <si>
    <t>51-01-74-03834</t>
  </si>
  <si>
    <t>1960170870900013</t>
  </si>
  <si>
    <t>1301610000288215</t>
  </si>
  <si>
    <t>NIRMALA JOSHI</t>
  </si>
  <si>
    <t>BHANU PRAKASH JOSHI</t>
  </si>
  <si>
    <t>NANDA RAM JOSHI</t>
  </si>
  <si>
    <t>75-01-71-04523</t>
  </si>
  <si>
    <t>0650061117200011</t>
  </si>
  <si>
    <t>1301520001272093</t>
  </si>
  <si>
    <t>RAMESH SHRESTHA</t>
  </si>
  <si>
    <t>DHARMANATH THAPA SHRESTHA</t>
  </si>
  <si>
    <t>DINA NATH SHRESTHA</t>
  </si>
  <si>
    <t>386/029/030</t>
  </si>
  <si>
    <t>1810098323200001</t>
  </si>
  <si>
    <t>1301610001885175</t>
  </si>
  <si>
    <t>BIKRAL CHAUDHARY</t>
  </si>
  <si>
    <t>KRISHNA CHAUDHARY</t>
  </si>
  <si>
    <t>GHURAN CHAUDHARY</t>
  </si>
  <si>
    <t>115839</t>
  </si>
  <si>
    <t>1190066233200014</t>
  </si>
  <si>
    <t>1301690000340381</t>
  </si>
  <si>
    <t>ASMITA KHANAL</t>
  </si>
  <si>
    <t>BHUWANI PRASAD BARAL</t>
  </si>
  <si>
    <t>KESHAV PRASAD KHANAL</t>
  </si>
  <si>
    <t>42-01-76-00628</t>
  </si>
  <si>
    <t>13901000000079318790</t>
  </si>
  <si>
    <t>1301630000528312</t>
  </si>
  <si>
    <t>PANKAJ RAJ JOSHI</t>
  </si>
  <si>
    <t>PRAMANANDA JOSHI/DEBAKI JOSHI</t>
  </si>
  <si>
    <t>KHEM RAJ JOSHI</t>
  </si>
  <si>
    <t>73-16-76-00041</t>
  </si>
  <si>
    <t>0880047761000001</t>
  </si>
  <si>
    <t>1301120002987272</t>
  </si>
  <si>
    <t>TULA RAM POUDEL</t>
  </si>
  <si>
    <t>KHARKI RAM POUDEL JAISHI</t>
  </si>
  <si>
    <t>LILA RAM POUDEL</t>
  </si>
  <si>
    <t>351026/930</t>
  </si>
  <si>
    <t>01305050177771</t>
  </si>
  <si>
    <t>1301070001762196</t>
  </si>
  <si>
    <t>GANGA PRASAD NEUPANE</t>
  </si>
  <si>
    <t>PREM NARAYAN NEUPANE</t>
  </si>
  <si>
    <t>JHOLU NEUPANE</t>
  </si>
  <si>
    <t>23063</t>
  </si>
  <si>
    <t>0711422441055001</t>
  </si>
  <si>
    <t>1301100002840840</t>
  </si>
  <si>
    <t>MARINA GANSI</t>
  </si>
  <si>
    <t>MADAN GANSI</t>
  </si>
  <si>
    <t>HARI BHAKTA GANSI</t>
  </si>
  <si>
    <t>29-01-75-04266</t>
  </si>
  <si>
    <t>0260191198300019</t>
  </si>
  <si>
    <t>1301390000235383</t>
  </si>
  <si>
    <t>HARI GAIRE</t>
  </si>
  <si>
    <t>BHAGADATTA GAIRE/BHAGIRATHI GAIRE</t>
  </si>
  <si>
    <t>4821/458</t>
  </si>
  <si>
    <t>0880101503100019</t>
  </si>
  <si>
    <t>1301730001625291</t>
  </si>
  <si>
    <t>BISHNU BAHADUR PAHARI</t>
  </si>
  <si>
    <t>SINGHA BAHADUR PAHARI/THULI PAHARI</t>
  </si>
  <si>
    <t>KUL BAHADUR PAHARI</t>
  </si>
  <si>
    <t>30-01-71-00364</t>
  </si>
  <si>
    <t>18805080008242</t>
  </si>
  <si>
    <t>1301390000082128</t>
  </si>
  <si>
    <t>KISHOR SHAHI</t>
  </si>
  <si>
    <t>NAKUL SHAHI</t>
  </si>
  <si>
    <t>BIR BAHADUR SHAHI</t>
  </si>
  <si>
    <t>55017207183</t>
  </si>
  <si>
    <t>0970086852400016</t>
  </si>
  <si>
    <t>1301070001585131</t>
  </si>
  <si>
    <t>SURAJ BAHADUR THAPA</t>
  </si>
  <si>
    <t>JAGAT BAHADUR THAPA</t>
  </si>
  <si>
    <t>MAAN BAHADUR THAPA</t>
  </si>
  <si>
    <t>1781</t>
  </si>
  <si>
    <t>11745007276</t>
  </si>
  <si>
    <t>1301040002133203</t>
  </si>
  <si>
    <t>LAXMAN SHRESTHA</t>
  </si>
  <si>
    <t>CHANDRA BAHADUR SHRESTHA/RUDRAMAYA  SHRESTHA</t>
  </si>
  <si>
    <t>/TEJ BAHADUR SHRESTHA</t>
  </si>
  <si>
    <t>092009/165</t>
  </si>
  <si>
    <t>08710017502862</t>
  </si>
  <si>
    <t>1301080001120649</t>
  </si>
  <si>
    <t>ganesh kumar dahal</t>
  </si>
  <si>
    <t>narayan bahadur dahal</t>
  </si>
  <si>
    <t>bhakta bahadur dahal</t>
  </si>
  <si>
    <t>27-01-79-11741</t>
  </si>
  <si>
    <t>00100501003125</t>
  </si>
  <si>
    <t>1301230000123399</t>
  </si>
  <si>
    <t>Bhum Kumar Shrestha</t>
  </si>
  <si>
    <t>Pancha Narayan Shrestha/Ratna Maya Shrestha</t>
  </si>
  <si>
    <t>Binda Rajbhandari/Padam Bahadur Shrestha</t>
  </si>
  <si>
    <t>19627/155</t>
  </si>
  <si>
    <t>0210072650800001</t>
  </si>
  <si>
    <t>1301170000031016</t>
  </si>
  <si>
    <t>RAJAN SINGH BHANDARI</t>
  </si>
  <si>
    <t>SHIVA MAN SINGH</t>
  </si>
  <si>
    <t>SANGITA BHANDARI</t>
  </si>
  <si>
    <t>27/631/20200</t>
  </si>
  <si>
    <t>0010100000708035</t>
  </si>
  <si>
    <t>1301300000028997</t>
  </si>
  <si>
    <t>MAHESWOR SHRESTHA</t>
  </si>
  <si>
    <t>PURNA SHRESTHA</t>
  </si>
  <si>
    <t>RAMKRISHNA SHRESTHA</t>
  </si>
  <si>
    <t>6715/1426</t>
  </si>
  <si>
    <t>2237002097800018</t>
  </si>
  <si>
    <t>1301040000322076</t>
  </si>
  <si>
    <t>RAJAN KARKI</t>
  </si>
  <si>
    <t>SHER BAHADUR KARKI/SARASWOTI KARKI</t>
  </si>
  <si>
    <t>MAN BAHADUR KARKI/KAVITHA K.C</t>
  </si>
  <si>
    <t>332056-22820</t>
  </si>
  <si>
    <t>1810017503892</t>
  </si>
  <si>
    <t>1301580000654729</t>
  </si>
  <si>
    <t>ANISH KHADKA</t>
  </si>
  <si>
    <t>BINOD KHADKA / ANITA KHADKA</t>
  </si>
  <si>
    <t>BACHHU RAM KHADKA</t>
  </si>
  <si>
    <t>29-01-70-00446</t>
  </si>
  <si>
    <t>057011010000146</t>
  </si>
  <si>
    <t>1301040002007201</t>
  </si>
  <si>
    <t>DEEPAK POKHREL</t>
  </si>
  <si>
    <t>SHIVARAJ POKHREL/INDIRA WAGLE</t>
  </si>
  <si>
    <t>MANJU GURAGAIN/LILANATH POKHREL</t>
  </si>
  <si>
    <t>042047-678</t>
  </si>
  <si>
    <t>05910707703018000001</t>
  </si>
  <si>
    <t>1301070000540656</t>
  </si>
  <si>
    <t>RAM MAHARJAN</t>
  </si>
  <si>
    <t>BUDDHI NARAYAN MAHARJAN</t>
  </si>
  <si>
    <t>GYANI CHORI MAHARJAN</t>
  </si>
  <si>
    <t>273204/6895</t>
  </si>
  <si>
    <t>00525014395</t>
  </si>
  <si>
    <t>1301070000540660</t>
  </si>
  <si>
    <t>DEV NARAYAN MAHARJAN</t>
  </si>
  <si>
    <t>4082</t>
  </si>
  <si>
    <t>00523122209</t>
  </si>
  <si>
    <t>1301120002981665</t>
  </si>
  <si>
    <t>LILANATH PANDEY</t>
  </si>
  <si>
    <t>BHESH RAJ PANDEY</t>
  </si>
  <si>
    <t>DEVAKI BALLAV PANDEY</t>
  </si>
  <si>
    <t>391055/861</t>
  </si>
  <si>
    <t>24707010002830</t>
  </si>
  <si>
    <t>1301370001061789</t>
  </si>
  <si>
    <t>Shree Krishna Nepal</t>
  </si>
  <si>
    <t>Narnath Nepal</t>
  </si>
  <si>
    <t>Maniratna Nepal</t>
  </si>
  <si>
    <t>39-01-80-09547</t>
  </si>
  <si>
    <t>1587832526524001</t>
  </si>
  <si>
    <t>1301790000319193</t>
  </si>
  <si>
    <t>RONISH KHADGI</t>
  </si>
  <si>
    <t>RAJESH KHADGI/SARMILA KHADGI</t>
  </si>
  <si>
    <t>INDRA BAHADUR KHADGI</t>
  </si>
  <si>
    <t>27-01-76-04650</t>
  </si>
  <si>
    <t>09911300246252000001</t>
  </si>
  <si>
    <t>1301120001349759</t>
  </si>
  <si>
    <t>DOMA BHOTE</t>
  </si>
  <si>
    <t>KAMI BHOTE</t>
  </si>
  <si>
    <t>THILEN JUrMI BHOTE</t>
  </si>
  <si>
    <t>10-01-72-00001</t>
  </si>
  <si>
    <t>09107010004067</t>
  </si>
  <si>
    <t>1301650001560445</t>
  </si>
  <si>
    <t>DESHINA SHRESTHA</t>
  </si>
  <si>
    <t>NIRMAL SHRESTHA</t>
  </si>
  <si>
    <t>KAJINDRA BAHADUR SHRESTHA</t>
  </si>
  <si>
    <t>2078012502757</t>
  </si>
  <si>
    <t>2210100000235005</t>
  </si>
  <si>
    <t>1301120000645975</t>
  </si>
  <si>
    <t>mandakini acharya</t>
  </si>
  <si>
    <t>dohanath pokharel</t>
  </si>
  <si>
    <t>ranganath pokharel</t>
  </si>
  <si>
    <t>53240</t>
  </si>
  <si>
    <t>0211900001941019</t>
  </si>
  <si>
    <t>1301250000857720</t>
  </si>
  <si>
    <t>SUKRIM RAJ BOMJAN</t>
  </si>
  <si>
    <t>BIRMAN BOMJAN/KAMALA BOMJAN</t>
  </si>
  <si>
    <t>MOHAN BAHADUR BOMJAN</t>
  </si>
  <si>
    <t>19/2098/251</t>
  </si>
  <si>
    <t>0211501584222013</t>
  </si>
  <si>
    <t>1301260000590237</t>
  </si>
  <si>
    <t>ROJI PANDIT</t>
  </si>
  <si>
    <t>RAMHARI PANDIT/NARBADA THAPA KSHETRI</t>
  </si>
  <si>
    <t>RANA BAHADUR PANDIT</t>
  </si>
  <si>
    <t>1404</t>
  </si>
  <si>
    <t>2140217532900019</t>
  </si>
  <si>
    <t>1301370003810309</t>
  </si>
  <si>
    <t>PRASHANT GURUNG</t>
  </si>
  <si>
    <t>BHIM BAHADUR GURUNG</t>
  </si>
  <si>
    <t>KHUS BAHADUR GURUNG</t>
  </si>
  <si>
    <t>46-01-73-08368</t>
  </si>
  <si>
    <t>0755751272528001</t>
  </si>
  <si>
    <t>1301760000779002</t>
  </si>
  <si>
    <t>PREM PRASAD GAIHRE</t>
  </si>
  <si>
    <t>RISHIRAM GAIHRE</t>
  </si>
  <si>
    <t>LILA BALLAU GAIHRE</t>
  </si>
  <si>
    <t>422046/1024</t>
  </si>
  <si>
    <t>07901900894093000001</t>
  </si>
  <si>
    <t>1301720001299813</t>
  </si>
  <si>
    <t>SAMRAT RAJ POUDEL</t>
  </si>
  <si>
    <t>PRAKASH POUDEL</t>
  </si>
  <si>
    <t>HARI PRASAD SHARMA</t>
  </si>
  <si>
    <t>207905308228</t>
  </si>
  <si>
    <t>0211905264493012</t>
  </si>
  <si>
    <t>1301790000758211</t>
  </si>
  <si>
    <t>SURESH DHAMALA</t>
  </si>
  <si>
    <t>RUDRA DHAMALA</t>
  </si>
  <si>
    <t>NANDLAL DHAMALA</t>
  </si>
  <si>
    <t>441053/152</t>
  </si>
  <si>
    <t>00601300846923000001</t>
  </si>
  <si>
    <t>1301040000008939</t>
  </si>
  <si>
    <t>KRISHNA GOPAL SHRESTHA</t>
  </si>
  <si>
    <t>HIRA LAL SHRESTHA</t>
  </si>
  <si>
    <t>RAM DEVI SHRESTHA</t>
  </si>
  <si>
    <t>9352</t>
  </si>
  <si>
    <t>00501200114338000001</t>
  </si>
  <si>
    <t>1301720000645894</t>
  </si>
  <si>
    <t>SHANVI POUDEL</t>
  </si>
  <si>
    <t>HARI PRASAD</t>
  </si>
  <si>
    <t>2077112003823</t>
  </si>
  <si>
    <t>0211901870702012</t>
  </si>
  <si>
    <t>1301370007627403</t>
  </si>
  <si>
    <t>GAURAV CHAUDHARY</t>
  </si>
  <si>
    <t>SUDEEP CHAUDHARY</t>
  </si>
  <si>
    <t>RABILAL CHAUDHARY</t>
  </si>
  <si>
    <t>2080032506347</t>
  </si>
  <si>
    <t>2385752899526001</t>
  </si>
  <si>
    <t>1301370001421314</t>
  </si>
  <si>
    <t>Mukunda Nepal</t>
  </si>
  <si>
    <t>Gopi Prasad Nepal</t>
  </si>
  <si>
    <t>Kedar Nath Nepal</t>
  </si>
  <si>
    <t>253021/12</t>
  </si>
  <si>
    <t>11101706641062000001</t>
  </si>
  <si>
    <t>1301690000077814</t>
  </si>
  <si>
    <t>PUSHPA CHAULAGAIN</t>
  </si>
  <si>
    <t>NARNATH CHAULAGAIN/LOKMAYA CHAULAGAIN</t>
  </si>
  <si>
    <t>GANAPATI CHAULAGAIN</t>
  </si>
  <si>
    <t>06-01-75-01643</t>
  </si>
  <si>
    <t>04501000000226818741</t>
  </si>
  <si>
    <t>1301580000022108</t>
  </si>
  <si>
    <t>SHARMILA ONTA</t>
  </si>
  <si>
    <t>KRISHNA GOPAL ONTA</t>
  </si>
  <si>
    <t>BHIMRAJ ONTA/RAJENDRA KARMACHARYA</t>
  </si>
  <si>
    <t>423</t>
  </si>
  <si>
    <t>023000005550N</t>
  </si>
  <si>
    <t>1301770000595353</t>
  </si>
  <si>
    <t>SUSHILA TAMANG</t>
  </si>
  <si>
    <t>SANU MANGALE TAMANG</t>
  </si>
  <si>
    <t>25-01-78-05819</t>
  </si>
  <si>
    <t>05810626120016</t>
  </si>
  <si>
    <t>1301170001986722</t>
  </si>
  <si>
    <t>SANTOS CHAPAGAIN</t>
  </si>
  <si>
    <t>SHALIK RAM CHAPAGAIN/SUMITRA CHAPAGAIN</t>
  </si>
  <si>
    <t>PADAM PANI CHAPAGAIN/FUL KUMARI SUBEDI</t>
  </si>
  <si>
    <t>362014/1227</t>
  </si>
  <si>
    <t>1630100000457045</t>
  </si>
  <si>
    <t>1301370001043900</t>
  </si>
  <si>
    <t>Rakshya Thapa</t>
  </si>
  <si>
    <t>Dayaram Thapa</t>
  </si>
  <si>
    <t>Bhairab Bahadur Thapa</t>
  </si>
  <si>
    <t>271055/81491</t>
  </si>
  <si>
    <t>4355967906524001</t>
  </si>
  <si>
    <t>1301100000672154</t>
  </si>
  <si>
    <t>JYOTI KUMARI TAMANG</t>
  </si>
  <si>
    <t>KRITI BAHADUR TAMANG</t>
  </si>
  <si>
    <t>KRISHNA BAHADUR TAMANG</t>
  </si>
  <si>
    <t>351008/204</t>
  </si>
  <si>
    <t>11101706313120000001</t>
  </si>
  <si>
    <t>1301250001066011</t>
  </si>
  <si>
    <t>RAJAN GHIMIRE</t>
  </si>
  <si>
    <t>KHIM PRASAD GHIMIRE /SITA GHIMIRE</t>
  </si>
  <si>
    <t>GANESH GHIMIRE</t>
  </si>
  <si>
    <t>41-21-76-00472</t>
  </si>
  <si>
    <t>16422300774230000001</t>
  </si>
  <si>
    <t>1301190000089371</t>
  </si>
  <si>
    <t>MADHAV GYAWALI</t>
  </si>
  <si>
    <t>PASHUPATI GYAWALI</t>
  </si>
  <si>
    <t>DILLI RAJ GYAWALI</t>
  </si>
  <si>
    <t>1532/3266</t>
  </si>
  <si>
    <t>00705080014857</t>
  </si>
  <si>
    <t>1301440000387434</t>
  </si>
  <si>
    <t>CHET BAHADUR GURUNG</t>
  </si>
  <si>
    <t>GUN BAHADUR GURUNG</t>
  </si>
  <si>
    <t>DAMAR BAHADUR GURUNG</t>
  </si>
  <si>
    <t>43-01-75-00555</t>
  </si>
  <si>
    <t>03607010274036</t>
  </si>
  <si>
    <t>1301370006438230</t>
  </si>
  <si>
    <t>CHOWK BAHADUR ALE</t>
  </si>
  <si>
    <t>JAYA BAHADUR ALE</t>
  </si>
  <si>
    <t>GITA KUMARI RANA</t>
  </si>
  <si>
    <t>431045-123765</t>
  </si>
  <si>
    <t>1788961351752401</t>
  </si>
  <si>
    <t>1301170000260953</t>
  </si>
  <si>
    <t>AJAY KHADKA</t>
  </si>
  <si>
    <t>RAM BAHADUR KHADKA</t>
  </si>
  <si>
    <t>BHAIRAB BAHADUR KHADKA</t>
  </si>
  <si>
    <t>14516</t>
  </si>
  <si>
    <t>0260100000097026</t>
  </si>
  <si>
    <t>1301060003511501</t>
  </si>
  <si>
    <t>YADU KHARAL</t>
  </si>
  <si>
    <t>HARILAL KHARAL/RATNA KUMARI KHARAL</t>
  </si>
  <si>
    <t>KALADHAR KHARAL</t>
  </si>
  <si>
    <t>35-01-75-05230</t>
  </si>
  <si>
    <t>01305050209601</t>
  </si>
  <si>
    <t>1301120004585726</t>
  </si>
  <si>
    <t>SHREE DHAR PANDEY</t>
  </si>
  <si>
    <t>TULSIRAM PANDEY/MINAKUMARI PANDEY</t>
  </si>
  <si>
    <t>RISHIRAM PANDEY</t>
  </si>
  <si>
    <t>81392</t>
  </si>
  <si>
    <t>03309013097405</t>
  </si>
  <si>
    <t>1301090001224147</t>
  </si>
  <si>
    <t>KRISHNA PRASAD GYAWALI</t>
  </si>
  <si>
    <t>MOHAN GYAWALI</t>
  </si>
  <si>
    <t>PRATIMA GHIMIRE</t>
  </si>
  <si>
    <t>372024/60207</t>
  </si>
  <si>
    <t>01315443970</t>
  </si>
  <si>
    <t>1301170000261028</t>
  </si>
  <si>
    <t>PUSHPA LATA KARKI</t>
  </si>
  <si>
    <t>MANOHAR KARKI</t>
  </si>
  <si>
    <t>BIJAY BAHADUR KARKI</t>
  </si>
  <si>
    <t>18914</t>
  </si>
  <si>
    <t>0260100000740020</t>
  </si>
  <si>
    <t>1301170002320656</t>
  </si>
  <si>
    <t>YAM KUMARI RAJALI</t>
  </si>
  <si>
    <t>THAMAN RANA</t>
  </si>
  <si>
    <t>PADAM BAHADUR RANA</t>
  </si>
  <si>
    <t>371053/32946</t>
  </si>
  <si>
    <t>1160100000718045</t>
  </si>
  <si>
    <t>1301120005382237</t>
  </si>
  <si>
    <t>LAXMI CHALISE</t>
  </si>
  <si>
    <t>MEGANATH CHALISE</t>
  </si>
  <si>
    <t>DEVI PRASAD CHALISE</t>
  </si>
  <si>
    <t>353032/962</t>
  </si>
  <si>
    <t>20707010004865</t>
  </si>
  <si>
    <t>1301770000328081</t>
  </si>
  <si>
    <t>SHIVA PRSASAD BHANDARI</t>
  </si>
  <si>
    <t>BHAWANI PD BHANDARI/LAXMA BHANDARI</t>
  </si>
  <si>
    <t>TIKA RAM BHANDARI/</t>
  </si>
  <si>
    <t>11080</t>
  </si>
  <si>
    <t>02801938280029</t>
  </si>
  <si>
    <t>1301070000146464</t>
  </si>
  <si>
    <t>Gaurab Kumar K.c</t>
  </si>
  <si>
    <t>Bal Bahadur K.c</t>
  </si>
  <si>
    <t>Tilbir K.c</t>
  </si>
  <si>
    <t>1460</t>
  </si>
  <si>
    <t>01220003433</t>
  </si>
  <si>
    <t>1301650001958163</t>
  </si>
  <si>
    <t>MAYA NEPALI</t>
  </si>
  <si>
    <t>BINOD KUMAR NEPALI</t>
  </si>
  <si>
    <t>NIM BAHADUR NEPALI/</t>
  </si>
  <si>
    <t>53027600570</t>
  </si>
  <si>
    <t>1210100035689010</t>
  </si>
  <si>
    <t>1301110000442031</t>
  </si>
  <si>
    <t>PAWAN SHRESTHA</t>
  </si>
  <si>
    <t>NAR KAJI SHRESTHA</t>
  </si>
  <si>
    <t>21-01-77-01672</t>
  </si>
  <si>
    <t>00407010108053</t>
  </si>
  <si>
    <t>1301370000264368</t>
  </si>
  <si>
    <t>Murari Prasad Kafle</t>
  </si>
  <si>
    <t>Jeevan Krishna Upadhayay</t>
  </si>
  <si>
    <t>Puspa Lal Kafle</t>
  </si>
  <si>
    <t>29075234</t>
  </si>
  <si>
    <t>4469446895524001</t>
  </si>
  <si>
    <t>1301570001052251</t>
  </si>
  <si>
    <t>HEJUN PANDEYA</t>
  </si>
  <si>
    <t>SHANGKAR PANDEYA/YAM KUMARI JUGJALI MAGAR</t>
  </si>
  <si>
    <t>DHARMAGAT PANDEYA</t>
  </si>
  <si>
    <t>2080052806653</t>
  </si>
  <si>
    <t>06311307618896000001</t>
  </si>
  <si>
    <t>1301110000090418</t>
  </si>
  <si>
    <t>DEEPAK KUMAR GYENWALEE</t>
  </si>
  <si>
    <t>PHANINDRA RAJ GYENWALEE</t>
  </si>
  <si>
    <t>TIKA BALLABH GYENWALEE</t>
  </si>
  <si>
    <t>40</t>
  </si>
  <si>
    <t>35007010000275</t>
  </si>
  <si>
    <t>1301650002360605</t>
  </si>
  <si>
    <t>CHUDAMANI OLI</t>
  </si>
  <si>
    <t>UDILAL OLI</t>
  </si>
  <si>
    <t>SHOBHARAM OLI /SABITA OLI</t>
  </si>
  <si>
    <t>523038975</t>
  </si>
  <si>
    <t>4160100226968010</t>
  </si>
  <si>
    <t>1301630000605887</t>
  </si>
  <si>
    <t>MADUSUDAN PANDEY</t>
  </si>
  <si>
    <t>KEDARNATH PANDEY/GITA DEVI PANDEY</t>
  </si>
  <si>
    <t>LAXMIKANT PANDEY</t>
  </si>
  <si>
    <t>49606/377</t>
  </si>
  <si>
    <t>1130163043600001</t>
  </si>
  <si>
    <t>1301770000673241</t>
  </si>
  <si>
    <t>SUNIL KUMAR MEHTA</t>
  </si>
  <si>
    <t>DIP NARAYAN MEHTA/PHUL KUMARI DEVI MEHTA</t>
  </si>
  <si>
    <t>SANT LAL MEHTA</t>
  </si>
  <si>
    <t>06017210850</t>
  </si>
  <si>
    <t>24522981260012</t>
  </si>
  <si>
    <t>1301120002561750</t>
  </si>
  <si>
    <t>SUJAN RAJ BHAT</t>
  </si>
  <si>
    <t>KRISHNA BDR RAJ</t>
  </si>
  <si>
    <t>LOK BDR RAJ</t>
  </si>
  <si>
    <t>46-01-70-03746</t>
  </si>
  <si>
    <t>01407010009986</t>
  </si>
  <si>
    <t>1301090000697115</t>
  </si>
  <si>
    <t>DOLAK BAHADUR BASNET</t>
  </si>
  <si>
    <t>ISHWOR BAHADUR BASNET</t>
  </si>
  <si>
    <t>9654</t>
  </si>
  <si>
    <t>00215198361</t>
  </si>
  <si>
    <t>1301120000606821</t>
  </si>
  <si>
    <t>BHIMSEN GHIMIRE</t>
  </si>
  <si>
    <t>CHETNATH CHIMIRE</t>
  </si>
  <si>
    <t>CHANDRA DATTA GHIMIRE</t>
  </si>
  <si>
    <t>99999</t>
  </si>
  <si>
    <t>04007010007461</t>
  </si>
  <si>
    <t>1301040000265297</t>
  </si>
  <si>
    <t>UDAYA YONJAN</t>
  </si>
  <si>
    <t>BIR BAHADUR TAMANG/MISHRI TAMANGNI</t>
  </si>
  <si>
    <t>TASHI LAMA YONJAN/CHANDRA BAHADUR TAMANG</t>
  </si>
  <si>
    <t>22-01-69-00026</t>
  </si>
  <si>
    <t>3510017513697</t>
  </si>
  <si>
    <t>1301440000424150</t>
  </si>
  <si>
    <t>SAUGAT THAPA</t>
  </si>
  <si>
    <t>CHIRANJIBI THAPA</t>
  </si>
  <si>
    <t>KAJIMAN THAPA</t>
  </si>
  <si>
    <t>011037/05</t>
  </si>
  <si>
    <t>05407010005127</t>
  </si>
  <si>
    <t>1301040000075983</t>
  </si>
  <si>
    <t>CHANDIKA KAFLE</t>
  </si>
  <si>
    <t>SHANKAR KAFLE</t>
  </si>
  <si>
    <t>MITRALAL KAFLE</t>
  </si>
  <si>
    <t>36244</t>
  </si>
  <si>
    <t>3510017504756</t>
  </si>
  <si>
    <t>1301120003073615</t>
  </si>
  <si>
    <t>Brij Kumar Mandal</t>
  </si>
  <si>
    <t>Ram Udgar Mandal</t>
  </si>
  <si>
    <t>Keshwar Mandal</t>
  </si>
  <si>
    <t>17-01-73-07555</t>
  </si>
  <si>
    <t>3154967046352401</t>
  </si>
  <si>
    <t>1301130000535500</t>
  </si>
  <si>
    <t>SHAILENDRA MISHRA</t>
  </si>
  <si>
    <t>SHANKAR PRASAD MISHRA</t>
  </si>
  <si>
    <t>LAXMI RAJ MISHRA</t>
  </si>
  <si>
    <t>10688</t>
  </si>
  <si>
    <t>15110017501046</t>
  </si>
  <si>
    <t>1301170001037163</t>
  </si>
  <si>
    <t>TARAMAN BHANDARI</t>
  </si>
  <si>
    <t>GORAKH BAHADUR BHANDARI</t>
  </si>
  <si>
    <t>KALU SINGH BHANDARI</t>
  </si>
  <si>
    <t>691024/5324</t>
  </si>
  <si>
    <t>ACHHAM</t>
  </si>
  <si>
    <t>0170100000193035</t>
  </si>
  <si>
    <t>1301040001863972</t>
  </si>
  <si>
    <t>NAVINA SHRESTHA</t>
  </si>
  <si>
    <t>SHYAM KAYASTHA/NILIMA KAYASTHA</t>
  </si>
  <si>
    <t>LATE RAJENDRA DAS SHRESTHA/LATE RAM BAHADUR SHRESTHA</t>
  </si>
  <si>
    <t>27-01-74-02957</t>
  </si>
  <si>
    <t>STANDARD CHARTERED BANK NEPAL LTD.(601)</t>
  </si>
  <si>
    <t>1301650001522099</t>
  </si>
  <si>
    <t>PASANG RAI</t>
  </si>
  <si>
    <t>RAM BHAKTA RAI</t>
  </si>
  <si>
    <t>DAMBAR SINGH RAI /</t>
  </si>
  <si>
    <t>143006623</t>
  </si>
  <si>
    <t>2370100009265010</t>
  </si>
  <si>
    <t>1301650000928162</t>
  </si>
  <si>
    <t>SHYAM SUBEDI</t>
  </si>
  <si>
    <t>KHEM NARAYAN SUBEDI</t>
  </si>
  <si>
    <t>DHANAPATI SUBEDI/-</t>
  </si>
  <si>
    <t>51017004819</t>
  </si>
  <si>
    <t>3400100013030010</t>
  </si>
  <si>
    <t>1301470000030793</t>
  </si>
  <si>
    <t>DIMPLE SHRESTHA</t>
  </si>
  <si>
    <t>OM HARI THA</t>
  </si>
  <si>
    <t>12091</t>
  </si>
  <si>
    <t>06820700366941000001</t>
  </si>
  <si>
    <t>1301070001641428</t>
  </si>
  <si>
    <t>ashok magar</t>
  </si>
  <si>
    <t>naina bahadur magar</t>
  </si>
  <si>
    <t>purna bahadur magar</t>
  </si>
  <si>
    <t>14141023/103168</t>
  </si>
  <si>
    <t>0710966032055001</t>
  </si>
  <si>
    <t>1301080000540790</t>
  </si>
  <si>
    <t>SUSHILA REGMI</t>
  </si>
  <si>
    <t>KRITINATH/BHIMA REGMI</t>
  </si>
  <si>
    <t>001146459</t>
  </si>
  <si>
    <t>144</t>
  </si>
  <si>
    <t>01910501207239</t>
  </si>
  <si>
    <t>1301260001958238</t>
  </si>
  <si>
    <t>SAGAR BABU CHAUDHARY</t>
  </si>
  <si>
    <t>SHRAWAN KUMAR CHAUDHARY /GITA DEVI CHAUDHARY</t>
  </si>
  <si>
    <t>LAL KISHOR CHAUDHARY</t>
  </si>
  <si>
    <t>280</t>
  </si>
  <si>
    <t>1370191000600019</t>
  </si>
  <si>
    <t>1301090000002761</t>
  </si>
  <si>
    <t>BIRJU TAMRAKAR</t>
  </si>
  <si>
    <t>BISHOW NATH TAMRAKAR</t>
  </si>
  <si>
    <t>KRISHNA BAHADUR TAMRAKAR</t>
  </si>
  <si>
    <t>24302</t>
  </si>
  <si>
    <t>01715306856</t>
  </si>
  <si>
    <t>1301240000187851</t>
  </si>
  <si>
    <t>BAL KUMAR RAI</t>
  </si>
  <si>
    <t>PADAM PRASAD RAI</t>
  </si>
  <si>
    <t>NANDA KUMAR RAI</t>
  </si>
  <si>
    <t>52774-597</t>
  </si>
  <si>
    <t>0120477012216001</t>
  </si>
  <si>
    <t>1301370007898509</t>
  </si>
  <si>
    <t>SHER BAHADUR BHANDARI</t>
  </si>
  <si>
    <t>MAN BAHADUR BHANDARI</t>
  </si>
  <si>
    <t>14511</t>
  </si>
  <si>
    <t>2785751451625001</t>
  </si>
  <si>
    <t>1301470000048061</t>
  </si>
  <si>
    <t>AARSHIA SHRESTHA</t>
  </si>
  <si>
    <t>SHYAM SUNDER THA</t>
  </si>
  <si>
    <t>711</t>
  </si>
  <si>
    <t>02721700404850000001</t>
  </si>
  <si>
    <t>1301260001958048</t>
  </si>
  <si>
    <t>GITA DEVI CHAUDHARY</t>
  </si>
  <si>
    <t>GALWAR THAKUR /SABITA THAKUR</t>
  </si>
  <si>
    <t>RAM FAL THAKUR</t>
  </si>
  <si>
    <t>18-1-001/677</t>
  </si>
  <si>
    <t>1370190898400015</t>
  </si>
  <si>
    <t>1301370005830225</t>
  </si>
  <si>
    <t>SUJATA GIRI</t>
  </si>
  <si>
    <t>SHIVA RAJ GIRI</t>
  </si>
  <si>
    <t>PADAM GIRI</t>
  </si>
  <si>
    <t>35048047</t>
  </si>
  <si>
    <t>1115751964852001</t>
  </si>
  <si>
    <t>1301480000052151</t>
  </si>
  <si>
    <t>MATRIDEVI LIMBU</t>
  </si>
  <si>
    <t>KARNA BAHADUR LIMBU</t>
  </si>
  <si>
    <t>MOTILAL LIMBU</t>
  </si>
  <si>
    <t>5128/172</t>
  </si>
  <si>
    <t>03610284557011</t>
  </si>
  <si>
    <t>1301120004403284</t>
  </si>
  <si>
    <t>KRISHNA PRASAD KANDEL</t>
  </si>
  <si>
    <t>HARI SHARMA KANDEL</t>
  </si>
  <si>
    <t>NARAHARI KANDEL</t>
  </si>
  <si>
    <t>4375</t>
  </si>
  <si>
    <t>09107010079152</t>
  </si>
  <si>
    <t>1301470000063806</t>
  </si>
  <si>
    <t>AASHIRA SHRESTHA</t>
  </si>
  <si>
    <t>SHYAM SUNDAR THA</t>
  </si>
  <si>
    <t>3400299</t>
  </si>
  <si>
    <t>02721700404853000001</t>
  </si>
  <si>
    <t>1301120004709390</t>
  </si>
  <si>
    <t>KALA KUMARI RAUT</t>
  </si>
  <si>
    <t>BIR BAHADUR RAUT</t>
  </si>
  <si>
    <t>PAHALMAN RAUT</t>
  </si>
  <si>
    <t>14-02-73-00224</t>
  </si>
  <si>
    <t>02207010190503</t>
  </si>
  <si>
    <t>1301650000654861</t>
  </si>
  <si>
    <t>KALPANA BASNET</t>
  </si>
  <si>
    <t>UDAV BAHADUR BASNET</t>
  </si>
  <si>
    <t>SUDARSHAN BASNET/</t>
  </si>
  <si>
    <t>3454236542</t>
  </si>
  <si>
    <t>1420100017290010</t>
  </si>
  <si>
    <t>1301260002581599</t>
  </si>
  <si>
    <t>SURESH KUMAR KHADKA</t>
  </si>
  <si>
    <t>JANGA BAHADUR KHADKA/PARBATI DEVI KHADKA</t>
  </si>
  <si>
    <t>DHARAM SINGH KHADKA</t>
  </si>
  <si>
    <t>22261</t>
  </si>
  <si>
    <t>1340117784000011</t>
  </si>
  <si>
    <t>1301390000036750</t>
  </si>
  <si>
    <t>KUSHAL BASNET</t>
  </si>
  <si>
    <t>KEDAR BASNET</t>
  </si>
  <si>
    <t>JIT BDR BASNET</t>
  </si>
  <si>
    <t>271060/118208</t>
  </si>
  <si>
    <t>0010101395000011</t>
  </si>
  <si>
    <t>1301470000047581</t>
  </si>
  <si>
    <t>ISHOWARI KUMAR THA</t>
  </si>
  <si>
    <t>4472</t>
  </si>
  <si>
    <t>06620500342436000001</t>
  </si>
  <si>
    <t>1301370000891976</t>
  </si>
  <si>
    <t>Bibek Raj Magar</t>
  </si>
  <si>
    <t>Durga Bahadur Magar</t>
  </si>
  <si>
    <t>Gunja Bahadur Magar</t>
  </si>
  <si>
    <t>151022/4042</t>
  </si>
  <si>
    <t>1087829662524001</t>
  </si>
  <si>
    <t>1301520001362871</t>
  </si>
  <si>
    <t>NARAYAN PRASAD SUBEDI</t>
  </si>
  <si>
    <t>HARI PRASAD SUBEDI</t>
  </si>
  <si>
    <t>NARAYAN DATTA SUBEDI</t>
  </si>
  <si>
    <t>4849/703</t>
  </si>
  <si>
    <t>0470021942400001</t>
  </si>
  <si>
    <t>1301650001912656</t>
  </si>
  <si>
    <t>RAM JEEWAN SAHANI</t>
  </si>
  <si>
    <t>SHREE  NARAYAN  SAHANI</t>
  </si>
  <si>
    <t>SHREE  DORIK  SAHANI/SILA  DEVI  SAHANI</t>
  </si>
  <si>
    <t>04673019</t>
  </si>
  <si>
    <t>1220100205975010</t>
  </si>
  <si>
    <t>1301040000038782</t>
  </si>
  <si>
    <t>SURYA KUMARI SHRESTHA</t>
  </si>
  <si>
    <t>NARAYAN KRISHNA MANANDHAR</t>
  </si>
  <si>
    <t>SHYAM KUMAR SHRESTHA/KRISHNA BIR MANANDHAR</t>
  </si>
  <si>
    <t>17516</t>
  </si>
  <si>
    <t>001000071830G</t>
  </si>
  <si>
    <t>1301370006869535</t>
  </si>
  <si>
    <t>BIKASH TAMANG</t>
  </si>
  <si>
    <t>DAN KANDHA TAMANG</t>
  </si>
  <si>
    <t>SURYMAN TAMANG</t>
  </si>
  <si>
    <t>30017607036</t>
  </si>
  <si>
    <t>3025751153355001</t>
  </si>
  <si>
    <t>1301060000987201</t>
  </si>
  <si>
    <t>BIJENDRA BIKRAM RANA</t>
  </si>
  <si>
    <t>HARISHCHANDRA BIKRAM RANA</t>
  </si>
  <si>
    <t>CHUDA BIKRAM RANA</t>
  </si>
  <si>
    <t>391066/218</t>
  </si>
  <si>
    <t>20705080011419</t>
  </si>
  <si>
    <t>1301040002484173</t>
  </si>
  <si>
    <t>SABINA ISHII</t>
  </si>
  <si>
    <t>SHYAM BAHADUR SHRESTHA/NILIMA SHRESTHA</t>
  </si>
  <si>
    <t>KATSUMI ISHII/RAM BAHADUR SHRESTHA</t>
  </si>
  <si>
    <t>1966</t>
  </si>
  <si>
    <t>0110013938201</t>
  </si>
  <si>
    <t>1301010000151216</t>
  </si>
  <si>
    <t>PREM BAHADUR SARKI</t>
  </si>
  <si>
    <t>MANJU SARKI/ KHAMBE BAHADUR SARKI</t>
  </si>
  <si>
    <t>27296</t>
  </si>
  <si>
    <t>1550100010031010</t>
  </si>
  <si>
    <t>1301520001970998</t>
  </si>
  <si>
    <t>NAVARAJ KARKI</t>
  </si>
  <si>
    <t>YAM BAHADUR KARKI / HEM KUMARI KARKI</t>
  </si>
  <si>
    <t>KHADAK BAHADUR KARKI</t>
  </si>
  <si>
    <t>391041/78</t>
  </si>
  <si>
    <t>2140310628800001</t>
  </si>
  <si>
    <t>1301650000530649</t>
  </si>
  <si>
    <t>TIKA RAM SHRESTHA</t>
  </si>
  <si>
    <t>HASTE BAHADUR SHRESTHA/</t>
  </si>
  <si>
    <t>071030883</t>
  </si>
  <si>
    <t>2160100032654010</t>
  </si>
  <si>
    <t>1301120001266799</t>
  </si>
  <si>
    <t>Basanti Bist Basanti Bist</t>
  </si>
  <si>
    <t>Hari singh thagunna</t>
  </si>
  <si>
    <t>dhani singh thagunna</t>
  </si>
  <si>
    <t>1180/24219</t>
  </si>
  <si>
    <t>00112010011657</t>
  </si>
  <si>
    <t>1301060000769961</t>
  </si>
  <si>
    <t>AADIP KHADKA</t>
  </si>
  <si>
    <t>PRADEEP KHADKA</t>
  </si>
  <si>
    <t>2710052379</t>
  </si>
  <si>
    <t>03005080271219</t>
  </si>
  <si>
    <t>1301040000038822</t>
  </si>
  <si>
    <t>SAMREEN SHRESTHA</t>
  </si>
  <si>
    <t>AMRIT SHRESTHA</t>
  </si>
  <si>
    <t>SHYAM KUMAR SHRESTHA</t>
  </si>
  <si>
    <t>1370</t>
  </si>
  <si>
    <t>05605050017784</t>
  </si>
  <si>
    <t>1301260001724255</t>
  </si>
  <si>
    <t>RABIN KARMACHARYA</t>
  </si>
  <si>
    <t>KARI KARMACHARYA /KABITA SHRESTHA</t>
  </si>
  <si>
    <t>JUN NARAYAN KARMACHARYA</t>
  </si>
  <si>
    <t>43-01-73-00836</t>
  </si>
  <si>
    <t>0200163394400011</t>
  </si>
  <si>
    <t>1301120000132978</t>
  </si>
  <si>
    <t>PREM BAHADUR BASNET</t>
  </si>
  <si>
    <t>PAL BAHADUR BASNET</t>
  </si>
  <si>
    <t>96376</t>
  </si>
  <si>
    <t>02807010002538</t>
  </si>
  <si>
    <t>1301260001229303</t>
  </si>
  <si>
    <t>BIJAYA KHANAL</t>
  </si>
  <si>
    <t>LAXMAN PRASAD KHANAL/RADHA KHANAL</t>
  </si>
  <si>
    <t>HEMLAL KHANAL</t>
  </si>
  <si>
    <t>94782</t>
  </si>
  <si>
    <t>0010176444800014</t>
  </si>
  <si>
    <t>1301370001402293</t>
  </si>
  <si>
    <t>Puja Khanal</t>
  </si>
  <si>
    <t>Binod Khanal</t>
  </si>
  <si>
    <t>Iccharam Khanal</t>
  </si>
  <si>
    <t>29-01-71-05043</t>
  </si>
  <si>
    <t>h002951102252401</t>
  </si>
  <si>
    <t>1301060000437115</t>
  </si>
  <si>
    <t>SURAJ RATNA KANSAKAR</t>
  </si>
  <si>
    <t>TIRTHA RATNA KANSAKAR</t>
  </si>
  <si>
    <t>MOTI RATNA KANSAKAR</t>
  </si>
  <si>
    <t>1060/68201</t>
  </si>
  <si>
    <t>00701300027045000001</t>
  </si>
  <si>
    <t>1301520000105612</t>
  </si>
  <si>
    <t>BIKASH GIRI</t>
  </si>
  <si>
    <t>JANGA BAHADUR GIRI</t>
  </si>
  <si>
    <t>BHIM PRASAD GIRI</t>
  </si>
  <si>
    <t>61079</t>
  </si>
  <si>
    <t>0040033154700001</t>
  </si>
  <si>
    <t>1301120000184220</t>
  </si>
  <si>
    <t>PARBATI BASNET</t>
  </si>
  <si>
    <t>PAL BAHADUR BANSET</t>
  </si>
  <si>
    <t>59836</t>
  </si>
  <si>
    <t>13510906579551000001</t>
  </si>
  <si>
    <t>1301060000439321</t>
  </si>
  <si>
    <t>NIRMALA KANSAKAR</t>
  </si>
  <si>
    <t>JAMBE RATNA TULADHAR</t>
  </si>
  <si>
    <t>RATNA SIDDHI TULADHAR</t>
  </si>
  <si>
    <t>604</t>
  </si>
  <si>
    <t>00711100027067000001</t>
  </si>
  <si>
    <t>1301040002431534</t>
  </si>
  <si>
    <t>NABARAJ THING</t>
  </si>
  <si>
    <t>TIKARAM THING/MAYA DEVI THING</t>
  </si>
  <si>
    <t>BASANTI LAMA THING/JAGAT LAL THING</t>
  </si>
  <si>
    <t>35017207473</t>
  </si>
  <si>
    <t>03910017514367</t>
  </si>
  <si>
    <t>1301040000263135</t>
  </si>
  <si>
    <t>PRAKASH RAJ BHATT</t>
  </si>
  <si>
    <t>KASHI RAM BHATT/HARULI DEVI BHATT</t>
  </si>
  <si>
    <t>SITA KUMARI JOSHI/MOTI RAM BHATT</t>
  </si>
  <si>
    <t>15501</t>
  </si>
  <si>
    <t>2810017504305</t>
  </si>
  <si>
    <t>1301040003086869</t>
  </si>
  <si>
    <t>SUHANA SHRESTHA</t>
  </si>
  <si>
    <t>SUNESH  SHRESTHA</t>
  </si>
  <si>
    <t>BAIJANATH  SHRESTHA</t>
  </si>
  <si>
    <t>30-01-76-04384</t>
  </si>
  <si>
    <t>09810017547278</t>
  </si>
  <si>
    <t>1301100000017411</t>
  </si>
  <si>
    <t>RUMEE MALLA</t>
  </si>
  <si>
    <t>KRISHNA PRASAD MALLA</t>
  </si>
  <si>
    <t>BISHWO SHANKAR PRADHANANGA</t>
  </si>
  <si>
    <t>7140</t>
  </si>
  <si>
    <t>01715649440</t>
  </si>
  <si>
    <t>1301540000048369</t>
  </si>
  <si>
    <t>Shashi Prakash Jaishy</t>
  </si>
  <si>
    <t>Ek Narayan Chapai Jaisi</t>
  </si>
  <si>
    <t>Mina Dhumre/Dharma Datta Chapai</t>
  </si>
  <si>
    <t>75256</t>
  </si>
  <si>
    <t>12601000000123401607</t>
  </si>
  <si>
    <t>1301040000859130</t>
  </si>
  <si>
    <t>NISHCHAL BHURTEL</t>
  </si>
  <si>
    <t>LOK NATH BHURTEL/NIRMALA BHURTEL</t>
  </si>
  <si>
    <t>TIKARAM BHURTEL/</t>
  </si>
  <si>
    <t>672002/54017</t>
  </si>
  <si>
    <t>02410017516670</t>
  </si>
  <si>
    <t>1301240001017492</t>
  </si>
  <si>
    <t>CHHABILAL SAHA</t>
  </si>
  <si>
    <t>GUNGA SAHA</t>
  </si>
  <si>
    <t>DHUKHA SAHA</t>
  </si>
  <si>
    <t>3190/2207</t>
  </si>
  <si>
    <t>1220100001217104</t>
  </si>
  <si>
    <t>1301040001392488</t>
  </si>
  <si>
    <t>UTTAM KHADKA</t>
  </si>
  <si>
    <t>ANUP KHADKA/GAMALA KHADKA</t>
  </si>
  <si>
    <t>DAL BAHADUR KHADKA/JEENA BASNET</t>
  </si>
  <si>
    <t>48496/112896</t>
  </si>
  <si>
    <t>1710017513031</t>
  </si>
  <si>
    <t>1301060001919784</t>
  </si>
  <si>
    <t>SARMILA SHARMA</t>
  </si>
  <si>
    <t>KRISHNA RAJ SHARMA</t>
  </si>
  <si>
    <t>MAYA RAM SHARMA</t>
  </si>
  <si>
    <t>3025/1158</t>
  </si>
  <si>
    <t>01705080151320</t>
  </si>
  <si>
    <t>1301060001846813</t>
  </si>
  <si>
    <t>KUMARI THAPA</t>
  </si>
  <si>
    <t>DAL BAHADUR BISTA CHHETRY</t>
  </si>
  <si>
    <t>PADAM BAHADUR BISTA</t>
  </si>
  <si>
    <t>053049/753</t>
  </si>
  <si>
    <t>05505050258074</t>
  </si>
  <si>
    <t>1301570001041478</t>
  </si>
  <si>
    <t>YOAV NEPALI</t>
  </si>
  <si>
    <t>CROSS KUMAR NEPALI/RENU TAMANG</t>
  </si>
  <si>
    <t>BHIM BAHADUR NEPALI</t>
  </si>
  <si>
    <t>2080022205025</t>
  </si>
  <si>
    <t>31501007557153000001</t>
  </si>
  <si>
    <t>1301120000257265</t>
  </si>
  <si>
    <t>Ujjal Wagley</t>
  </si>
  <si>
    <t>Diwakar Prasad Wagley</t>
  </si>
  <si>
    <t>Gopal Prasad Wagley</t>
  </si>
  <si>
    <t>30350</t>
  </si>
  <si>
    <t>1301040002879382</t>
  </si>
  <si>
    <t>RAMESH KUMAR SHRESTHA</t>
  </si>
  <si>
    <t>SUNDAR MAN SHRESTHA /LAXMI SHRESTHA</t>
  </si>
  <si>
    <t>RASMI SHRESTHA /KRISHNA KUMAR SHRESTHA</t>
  </si>
  <si>
    <t>9941</t>
  </si>
  <si>
    <t>05710017506138</t>
  </si>
  <si>
    <t>1301420000067391</t>
  </si>
  <si>
    <t>UPENDRA RAJ JOSHI</t>
  </si>
  <si>
    <t>CHET RAJ JOSHI</t>
  </si>
  <si>
    <t>DIJ RAJ JOSHI/URMILA JOSHI</t>
  </si>
  <si>
    <t>2412/224</t>
  </si>
  <si>
    <t>0400070928700013</t>
  </si>
  <si>
    <t>1301720000377189</t>
  </si>
  <si>
    <t>GANGA KUMARI SHAH</t>
  </si>
  <si>
    <t>LALIT NARAYAN SAH</t>
  </si>
  <si>
    <t>AANANA LAL SAH</t>
  </si>
  <si>
    <t>100112</t>
  </si>
  <si>
    <t>0601601770807019</t>
  </si>
  <si>
    <t>1301630000213820</t>
  </si>
  <si>
    <t>GAURAV ARYAL</t>
  </si>
  <si>
    <t>INDRA PRASAD ARYAL</t>
  </si>
  <si>
    <t>TANKA NATH ARYAL</t>
  </si>
  <si>
    <t>353015/371</t>
  </si>
  <si>
    <t>1770245194000001</t>
  </si>
  <si>
    <t>1301080000092701</t>
  </si>
  <si>
    <t>UDDHABA KUMAR KARKI</t>
  </si>
  <si>
    <t>SHREE KRISHNA KARKI</t>
  </si>
  <si>
    <t>3160</t>
  </si>
  <si>
    <t>00101000001349401608</t>
  </si>
  <si>
    <t>1301060000526144</t>
  </si>
  <si>
    <t>TRIPTI TIWARI</t>
  </si>
  <si>
    <t>TIKA RAM TIWARI</t>
  </si>
  <si>
    <t>DASHI RAM TIWARI</t>
  </si>
  <si>
    <t>43767/825</t>
  </si>
  <si>
    <t>03101000000137201664</t>
  </si>
  <si>
    <t>1301060003469454</t>
  </si>
  <si>
    <t>BINITA KARKI</t>
  </si>
  <si>
    <t>KAJI RAM KARKI/KAMALA KARKI</t>
  </si>
  <si>
    <t>26-01-76-05436</t>
  </si>
  <si>
    <t>30405420252973</t>
  </si>
  <si>
    <t>1301630000569241</t>
  </si>
  <si>
    <t>KHEMRAJ JAISI</t>
  </si>
  <si>
    <t>GOPICHANDRA JAISI /RATNAKALA JAISI</t>
  </si>
  <si>
    <t>BUDE JAISI</t>
  </si>
  <si>
    <t>63-01-74-00845</t>
  </si>
  <si>
    <t>2740171667200001</t>
  </si>
  <si>
    <t>1301120005375641</t>
  </si>
  <si>
    <t>BHAGISHIRI MAHATO</t>
  </si>
  <si>
    <t>MUKTI MAHATO</t>
  </si>
  <si>
    <t>SEWAK MAHATO</t>
  </si>
  <si>
    <t>352008/2153</t>
  </si>
  <si>
    <t>21007010008897</t>
  </si>
  <si>
    <t>1301370003703476</t>
  </si>
  <si>
    <t>DIPENDRA CHAUDHARY</t>
  </si>
  <si>
    <t>HASTALAL CHAUDHARY</t>
  </si>
  <si>
    <t>MANAKLAL CHAUDHARY</t>
  </si>
  <si>
    <t>151074-15457</t>
  </si>
  <si>
    <t>1345759996248001</t>
  </si>
  <si>
    <t>1301370005004854</t>
  </si>
  <si>
    <t>SANZOK SHRESTHA</t>
  </si>
  <si>
    <t>DIL BAHDUR SHRESTHA</t>
  </si>
  <si>
    <t>NANDALAL SHRESTHA</t>
  </si>
  <si>
    <t>26-01-77-05088</t>
  </si>
  <si>
    <t>2505751337313001</t>
  </si>
  <si>
    <t>1301370004055205</t>
  </si>
  <si>
    <t>RAJIB CHAUDHARY</t>
  </si>
  <si>
    <t>BHARAT MANI CHAUDHARY</t>
  </si>
  <si>
    <t>TAKESHWOR CHAUDHARY</t>
  </si>
  <si>
    <t>522009/870</t>
  </si>
  <si>
    <t>0987969140452401</t>
  </si>
  <si>
    <t>1301070000022786</t>
  </si>
  <si>
    <t>Bhanu Bhakta Pokharel</t>
  </si>
  <si>
    <t>Narayan Chandra Pokharel</t>
  </si>
  <si>
    <t>Krishna Chandra Pokharel</t>
  </si>
  <si>
    <t>4195</t>
  </si>
  <si>
    <t>01220000188</t>
  </si>
  <si>
    <t>1301440000392972</t>
  </si>
  <si>
    <t>MHD GAPHUR MIYAN</t>
  </si>
  <si>
    <t>GULAB MIYA</t>
  </si>
  <si>
    <t>CHEDI MIYA</t>
  </si>
  <si>
    <t>5689/4459</t>
  </si>
  <si>
    <t>03309012900849</t>
  </si>
  <si>
    <t>1301040000520621</t>
  </si>
  <si>
    <t>KSHITIJ DHAKAL</t>
  </si>
  <si>
    <t>RAJAN  DHAKAL / CHANDRA KALA DHAKAL</t>
  </si>
  <si>
    <t>RATNA BAHADUR DHAKAL</t>
  </si>
  <si>
    <t>351025/9613</t>
  </si>
  <si>
    <t>02410017516078</t>
  </si>
  <si>
    <t>1301060000573104</t>
  </si>
  <si>
    <t>BISHNU B K</t>
  </si>
  <si>
    <t>HASTABIR KAMI</t>
  </si>
  <si>
    <t>MANI RAJ KAMI</t>
  </si>
  <si>
    <t>7000</t>
  </si>
  <si>
    <t>1983956360524001</t>
  </si>
  <si>
    <t>1301120003908754</t>
  </si>
  <si>
    <t>MANISHA RAI</t>
  </si>
  <si>
    <t>RATNA KUMAR RAI</t>
  </si>
  <si>
    <t>SANTA KUMAR RAI</t>
  </si>
  <si>
    <t>739-23</t>
  </si>
  <si>
    <t>03309017500378</t>
  </si>
  <si>
    <t>1301720001317126</t>
  </si>
  <si>
    <t>JANAK KUMAR HAMAL</t>
  </si>
  <si>
    <t>BHIM CHANDRA HAMAL</t>
  </si>
  <si>
    <t>KRISHNA BAHADUR HAMAL</t>
  </si>
  <si>
    <t>585349</t>
  </si>
  <si>
    <t>MUGU</t>
  </si>
  <si>
    <t>0721605037961019</t>
  </si>
  <si>
    <t>1301040001498174</t>
  </si>
  <si>
    <t>MEMAN THAPA</t>
  </si>
  <si>
    <t>NAR BAHADUR THAPA/GAM MAYA THAPA</t>
  </si>
  <si>
    <t>DAN BAHADUR THAPA/</t>
  </si>
  <si>
    <t>39-02-73-00431</t>
  </si>
  <si>
    <t>4710017506943</t>
  </si>
  <si>
    <t>1301370000555041</t>
  </si>
  <si>
    <t>Keshar Jung Baral</t>
  </si>
  <si>
    <t>Khum Bahadur Baral</t>
  </si>
  <si>
    <t>Nar Beer Baral</t>
  </si>
  <si>
    <t>39-01-69-00881</t>
  </si>
  <si>
    <t>1611154905524001</t>
  </si>
  <si>
    <t>1301650002162351</t>
  </si>
  <si>
    <t>NIRMAL LAMA</t>
  </si>
  <si>
    <t>JAGAT BAHADUR LAMA</t>
  </si>
  <si>
    <t>GURU LAMA/</t>
  </si>
  <si>
    <t>31017000994</t>
  </si>
  <si>
    <t>MAKWANPUR</t>
  </si>
  <si>
    <t>1190100035220010</t>
  </si>
  <si>
    <t>1301380000053401</t>
  </si>
  <si>
    <t>SUMITRA AMGAIN</t>
  </si>
  <si>
    <t>RAMESH PD. AMGAIN</t>
  </si>
  <si>
    <t>RAKESH LAMICHHANE</t>
  </si>
  <si>
    <t>65635</t>
  </si>
  <si>
    <t>0100002158500011</t>
  </si>
  <si>
    <t>1301120000023886</t>
  </si>
  <si>
    <t>MEGH RAJ UPADHYAY</t>
  </si>
  <si>
    <t>GOPAL PRASAD POKHAREL</t>
  </si>
  <si>
    <t>KASHINATH POKHAREL</t>
  </si>
  <si>
    <t>1839</t>
  </si>
  <si>
    <t>00607010000050</t>
  </si>
  <si>
    <t>1301390000135418</t>
  </si>
  <si>
    <t>AMSANG SHERPA</t>
  </si>
  <si>
    <t>PEMNURBU SHERPA</t>
  </si>
  <si>
    <t>221024/62</t>
  </si>
  <si>
    <t>0040009641400016</t>
  </si>
  <si>
    <t>1301080000404782</t>
  </si>
  <si>
    <t>ASMITA KAFLE</t>
  </si>
  <si>
    <t>OM SHARMA KAFLE</t>
  </si>
  <si>
    <t>PUSPARAJ KAFLE</t>
  </si>
  <si>
    <t>653016/30</t>
  </si>
  <si>
    <t>06500525200173</t>
  </si>
  <si>
    <t>1301070000149013</t>
  </si>
  <si>
    <t>Bijul Raj Giri</t>
  </si>
  <si>
    <t>Ratna Raj Giri</t>
  </si>
  <si>
    <t>Bharat Giri</t>
  </si>
  <si>
    <t>454</t>
  </si>
  <si>
    <t>3410017508162</t>
  </si>
  <si>
    <t>1301630000274635</t>
  </si>
  <si>
    <t>OMKAR SHILPAKAR</t>
  </si>
  <si>
    <t>RABI SHILPAKAR/REKHA AMATYA</t>
  </si>
  <si>
    <t>RAM KUMAR SHILPAKAR</t>
  </si>
  <si>
    <t>2072071205162</t>
  </si>
  <si>
    <t>1510165777100001</t>
  </si>
  <si>
    <t>1301120000212352</t>
  </si>
  <si>
    <t>NEEMA POKHREL</t>
  </si>
  <si>
    <t>MEGH RAJ POKHREL</t>
  </si>
  <si>
    <t>GOPAL PRASAD POKHREL</t>
  </si>
  <si>
    <t>1417</t>
  </si>
  <si>
    <t>00300507060017</t>
  </si>
  <si>
    <t>1301570001016001</t>
  </si>
  <si>
    <t>BIHARI LAL BHAGAT</t>
  </si>
  <si>
    <t>BIJAY KUMAR BHAGAT/RADHA DEVI</t>
  </si>
  <si>
    <t>RAM NARAYAN BHAGAT</t>
  </si>
  <si>
    <t>161021/252</t>
  </si>
  <si>
    <t>02911907450030000001</t>
  </si>
  <si>
    <t>1301120001889030</t>
  </si>
  <si>
    <t>JAWAN RAI</t>
  </si>
  <si>
    <t>GOPAL SING RAI / DEV KUMARI RAI</t>
  </si>
  <si>
    <t>SARKIGUNJ RAI / BABITA RAI</t>
  </si>
  <si>
    <t>60109</t>
  </si>
  <si>
    <t>21807010003371</t>
  </si>
  <si>
    <t>1301120000212692</t>
  </si>
  <si>
    <t>NEETI POKHAREL</t>
  </si>
  <si>
    <t>MEGHA RAJ POKHAREL</t>
  </si>
  <si>
    <t>GOPAL  PRASAD POKHAREL</t>
  </si>
  <si>
    <t>76085434</t>
  </si>
  <si>
    <t>00300507220014</t>
  </si>
  <si>
    <t>1301120001177717</t>
  </si>
  <si>
    <t>DINESH KC</t>
  </si>
  <si>
    <t>BHUPAL DHWOJ KC./RAJKUMARI K.C.</t>
  </si>
  <si>
    <t>DEVI BAHADUR K.C./SANDHYA BASNET</t>
  </si>
  <si>
    <t>16870</t>
  </si>
  <si>
    <t>00607010003333</t>
  </si>
  <si>
    <t>1301350000079465</t>
  </si>
  <si>
    <t>KASHINATH POKHREL</t>
  </si>
  <si>
    <t>1839/2347</t>
  </si>
  <si>
    <t>32807010000888</t>
  </si>
  <si>
    <t>1301610001666739</t>
  </si>
  <si>
    <t>KAMLESH SHAHI</t>
  </si>
  <si>
    <t>JORA SINGH SHAHI</t>
  </si>
  <si>
    <t>KEHAR SHAHI</t>
  </si>
  <si>
    <t>69-02-74/00845</t>
  </si>
  <si>
    <t>0730967974400013</t>
  </si>
  <si>
    <t>1301730001454690</t>
  </si>
  <si>
    <t>RAM PRASAD GYAWALI</t>
  </si>
  <si>
    <t>RISHIRAM GYAWALI/PUNKALA GYAWALI</t>
  </si>
  <si>
    <t>GANGADHAR GYAWALI</t>
  </si>
  <si>
    <t>768</t>
  </si>
  <si>
    <t>29005350000420</t>
  </si>
  <si>
    <t>1301060000414256</t>
  </si>
  <si>
    <t>TRIPTI D.C.</t>
  </si>
  <si>
    <t>TEK BAHADER DANGI</t>
  </si>
  <si>
    <t>AMMAR RAJ DANGI</t>
  </si>
  <si>
    <t>9662/2393</t>
  </si>
  <si>
    <t>0100201233241019</t>
  </si>
  <si>
    <t>1301730001454215</t>
  </si>
  <si>
    <t>TULSI DEVI GYAWALI</t>
  </si>
  <si>
    <t>CHHABILAL GHIMIRE/LAXMI GHIMIRE</t>
  </si>
  <si>
    <t>NARAYAN GHIMIRE</t>
  </si>
  <si>
    <t>1558</t>
  </si>
  <si>
    <t>20905080028981</t>
  </si>
  <si>
    <t>1301240001708735</t>
  </si>
  <si>
    <t>NAINA RAI</t>
  </si>
  <si>
    <t>TIKA HARI RAI</t>
  </si>
  <si>
    <t>MEHERMAN RAI</t>
  </si>
  <si>
    <t>14-01-73-06337</t>
  </si>
  <si>
    <t>0540875901202001</t>
  </si>
  <si>
    <t>1301610000585747</t>
  </si>
  <si>
    <t>SHIVA CHHETRI</t>
  </si>
  <si>
    <t>HARI BAHADUR</t>
  </si>
  <si>
    <t>CHHETRI</t>
  </si>
  <si>
    <t>431022/147</t>
  </si>
  <si>
    <t>0020068410000015</t>
  </si>
  <si>
    <t>1301690000685611</t>
  </si>
  <si>
    <t>SAGHYAN SEDHAIN</t>
  </si>
  <si>
    <t>SURESHMANI SEDHAI</t>
  </si>
  <si>
    <t>BALA RAM SEDHAI</t>
  </si>
  <si>
    <t>13601000000020518742</t>
  </si>
  <si>
    <t>1301060002911056</t>
  </si>
  <si>
    <t>ANJU BOKHIM RAI</t>
  </si>
  <si>
    <t>PURNAHANG BOKHIM RAI</t>
  </si>
  <si>
    <t>SUK MAN BOKHIM RAI</t>
  </si>
  <si>
    <t>030223/1382</t>
  </si>
  <si>
    <t>05505220250993</t>
  </si>
  <si>
    <t>1301120003946891</t>
  </si>
  <si>
    <t>BIBEK KARKI</t>
  </si>
  <si>
    <t>YAGYA BAHADUR KARKI/JASUDA KARKI</t>
  </si>
  <si>
    <t>KHIM BAHADUR KARKI/ANU KHADKA</t>
  </si>
  <si>
    <t>106561</t>
  </si>
  <si>
    <t>00808010001385</t>
  </si>
  <si>
    <t>1301120002214458</t>
  </si>
  <si>
    <t>NISHA KHANAL</t>
  </si>
  <si>
    <t>DILLIRAM KHANAL</t>
  </si>
  <si>
    <t>CHARAPANI KHANAL</t>
  </si>
  <si>
    <t>422046/535</t>
  </si>
  <si>
    <t>21907010002008</t>
  </si>
  <si>
    <t>1301070000203598</t>
  </si>
  <si>
    <t>Arjun Thapa</t>
  </si>
  <si>
    <t>Bhakta Bahadur thapa</t>
  </si>
  <si>
    <t>Madan Bahadur Thapa</t>
  </si>
  <si>
    <t>8120/296</t>
  </si>
  <si>
    <t>00526017154</t>
  </si>
  <si>
    <t>1301820000168485</t>
  </si>
  <si>
    <t>HUM NATH BHANDARI</t>
  </si>
  <si>
    <t>BISHNU PRASAD BHANDARI/CHABIKALA BHANDARI</t>
  </si>
  <si>
    <t>OM LAL BHANDARI/CHANDA ADHIKARI</t>
  </si>
  <si>
    <t>391062/96</t>
  </si>
  <si>
    <t>09913600282346000001</t>
  </si>
  <si>
    <t>1301070000284851</t>
  </si>
  <si>
    <t>Durga Bista Thapa</t>
  </si>
  <si>
    <t>Dil Bahadur Thapa</t>
  </si>
  <si>
    <t>053020/644</t>
  </si>
  <si>
    <t>00623052666</t>
  </si>
  <si>
    <t>1301610001900549</t>
  </si>
  <si>
    <t>SUBODH KUMAR MAHATO</t>
  </si>
  <si>
    <t>BALDEV MAHATO KOIRI</t>
  </si>
  <si>
    <t>LAKHAN MAHATO</t>
  </si>
  <si>
    <t>18-01-75-08466</t>
  </si>
  <si>
    <t>1230081721300014</t>
  </si>
  <si>
    <t>1301840000092931</t>
  </si>
  <si>
    <t>NABARAJ DAHAL</t>
  </si>
  <si>
    <t>PADAM PRASAD DAHAL/BISHNU MAYA DAHAL</t>
  </si>
  <si>
    <t>LAXMI PRASAD DAHAL</t>
  </si>
  <si>
    <t>38494986</t>
  </si>
  <si>
    <t>03111400493487000001</t>
  </si>
  <si>
    <t>1301650001672766</t>
  </si>
  <si>
    <t>RUPA SUBEDI</t>
  </si>
  <si>
    <t>CHHABIRAMAN SUBEDI</t>
  </si>
  <si>
    <t>DEUNARAYAN SUBEDI/BIDUR KAFLE</t>
  </si>
  <si>
    <t>3516941062</t>
  </si>
  <si>
    <t>4570100001314010</t>
  </si>
  <si>
    <t>1301520001889569</t>
  </si>
  <si>
    <t>BRINDA SHRESTHA</t>
  </si>
  <si>
    <t>BIRENDRA RAJ SHRESTHA / BINA SHRESTHA</t>
  </si>
  <si>
    <t>GOVINDA RAJ SHRESTHA</t>
  </si>
  <si>
    <t>93936</t>
  </si>
  <si>
    <t>0010001752900001</t>
  </si>
  <si>
    <t>1301040001430894</t>
  </si>
  <si>
    <t>MADHU SIGDEL</t>
  </si>
  <si>
    <t>DANDAPANI SIGDEL/JANMAYA SIGDEL</t>
  </si>
  <si>
    <t>NAYANDUTT SIGDEL/SACHINA REGMI</t>
  </si>
  <si>
    <t>49819</t>
  </si>
  <si>
    <t>1510017500164</t>
  </si>
  <si>
    <t>1301040002119600</t>
  </si>
  <si>
    <t>PRAVIN GAIRE</t>
  </si>
  <si>
    <t>DHAKNATH GAIRE/SITA GAIRE</t>
  </si>
  <si>
    <t>/CHURAMANI GAIRE</t>
  </si>
  <si>
    <t>35-01-72-11653</t>
  </si>
  <si>
    <t>13010017502192</t>
  </si>
  <si>
    <t>1301120003878775</t>
  </si>
  <si>
    <t>SHYAM KUMAR SAH</t>
  </si>
  <si>
    <t>RAM KUMAR SAH/SUKINI DEVI SAH</t>
  </si>
  <si>
    <t>BAIJNATH SAH</t>
  </si>
  <si>
    <t>28424/2189</t>
  </si>
  <si>
    <t>03309011060354</t>
  </si>
  <si>
    <t>1301480000006974</t>
  </si>
  <si>
    <t>SHIVA LAMICHHANE</t>
  </si>
  <si>
    <t>NIL BAHADUR LAMICHHANE</t>
  </si>
  <si>
    <t>SHEER BAHADUR LAMICHHANE</t>
  </si>
  <si>
    <t>4158/8577</t>
  </si>
  <si>
    <t>0110010449201</t>
  </si>
  <si>
    <t>1301070000684591</t>
  </si>
  <si>
    <t>MANI KUMAR RAI</t>
  </si>
  <si>
    <t>PREM RAI</t>
  </si>
  <si>
    <t>HARKA LAL RAI</t>
  </si>
  <si>
    <t>30020/3759</t>
  </si>
  <si>
    <t>00524162763</t>
  </si>
  <si>
    <t>1301780000043936</t>
  </si>
  <si>
    <t>MANJU POUDEL</t>
  </si>
  <si>
    <t>KRISHNA LAL POUDEL,AXIMA POUDEL</t>
  </si>
  <si>
    <t>SHREE KRISHNA GHIMIRE,MEGH LAL POUDEL</t>
  </si>
  <si>
    <t>451012-21806</t>
  </si>
  <si>
    <t>03215193798</t>
  </si>
  <si>
    <t>1301520002183547</t>
  </si>
  <si>
    <t>KANHAIYA KUMAR CHAUDHARY</t>
  </si>
  <si>
    <t>RADHESHYAM MADWARI / GYATRI DEVI CHAUDHARY</t>
  </si>
  <si>
    <t>CHIRANJIVI LAL CHAUDHARY</t>
  </si>
  <si>
    <t>2109/2071</t>
  </si>
  <si>
    <t>1950301170600001</t>
  </si>
  <si>
    <t>1301260000754504</t>
  </si>
  <si>
    <t>ANITA DEVI BOHARA</t>
  </si>
  <si>
    <t>DAL BAHADUR BIST/LAXMI DEVI BIST</t>
  </si>
  <si>
    <t>JHUSE BIST</t>
  </si>
  <si>
    <t>213973/404</t>
  </si>
  <si>
    <t>0300170636200019</t>
  </si>
  <si>
    <t>1301370003855775</t>
  </si>
  <si>
    <t>BIKASH PANDEY</t>
  </si>
  <si>
    <t>TULSI RAM PANDEY</t>
  </si>
  <si>
    <t>TIKA RAM PANDEY</t>
  </si>
  <si>
    <t>36285</t>
  </si>
  <si>
    <t>1512188671524001</t>
  </si>
  <si>
    <t>1301190000105827</t>
  </si>
  <si>
    <t>ANITA BHATTARAI</t>
  </si>
  <si>
    <t>GHANSHYAM BHATTARAI</t>
  </si>
  <si>
    <t>BALARAM BHATTARAI</t>
  </si>
  <si>
    <t>40-01-74-00479</t>
  </si>
  <si>
    <t>00100700166366000001</t>
  </si>
  <si>
    <t>1301060002451648</t>
  </si>
  <si>
    <t>BIMALA SAPKOTA</t>
  </si>
  <si>
    <t>LILADHAR SAPKOTA</t>
  </si>
  <si>
    <t>RANGA LAL SAPKOTA</t>
  </si>
  <si>
    <t>41572</t>
  </si>
  <si>
    <t>01305050169172</t>
  </si>
  <si>
    <t>1301650002036201</t>
  </si>
  <si>
    <t>DIPAK DHITAL</t>
  </si>
  <si>
    <t>GANAKHAR DHITAL</t>
  </si>
  <si>
    <t>GANAKHA DHITAL/</t>
  </si>
  <si>
    <t>44017603448</t>
  </si>
  <si>
    <t>3240100005720010</t>
  </si>
  <si>
    <t>1301070000520652</t>
  </si>
  <si>
    <t>KHIM BAHADUR CHAND</t>
  </si>
  <si>
    <t>DAN BAHADUR CHAND</t>
  </si>
  <si>
    <t>TULA BAHADUR CHAND</t>
  </si>
  <si>
    <t>36400/902</t>
  </si>
  <si>
    <t>1621430933055001</t>
  </si>
  <si>
    <t>1301580001927226</t>
  </si>
  <si>
    <t>PRAKASH RIJAL</t>
  </si>
  <si>
    <t>NETRA PRASAD RIJAL / TARA DEVI RIJAL</t>
  </si>
  <si>
    <t>KESHARI DATTA RIJAL</t>
  </si>
  <si>
    <t>9538</t>
  </si>
  <si>
    <t>004011060008884</t>
  </si>
  <si>
    <t>1301090003378459</t>
  </si>
  <si>
    <t>RAJAN KOJU</t>
  </si>
  <si>
    <t>BALRAM KOJU</t>
  </si>
  <si>
    <t>KAJI BAHADUR KOJU</t>
  </si>
  <si>
    <t>29-01-067-01176</t>
  </si>
  <si>
    <t>01715415927</t>
  </si>
  <si>
    <t>1301760000903204</t>
  </si>
  <si>
    <t>PURNA BAHADUR GAHA</t>
  </si>
  <si>
    <t>JAHAR SING GAHA</t>
  </si>
  <si>
    <t>BINA BIRAL GAHA</t>
  </si>
  <si>
    <t>78599</t>
  </si>
  <si>
    <t>00911601174888000001</t>
  </si>
  <si>
    <t>1301100002769242</t>
  </si>
  <si>
    <t>SACHENDRA MAHARJAN</t>
  </si>
  <si>
    <t>BABUKAJI MAHARJAN</t>
  </si>
  <si>
    <t>CHALASI MAHARJAN</t>
  </si>
  <si>
    <t>283020/54</t>
  </si>
  <si>
    <t>0110005262100011</t>
  </si>
  <si>
    <t>1301370005290497</t>
  </si>
  <si>
    <t>SUSHANT ADHIKARI</t>
  </si>
  <si>
    <t>SUDHAN ADHIKARI</t>
  </si>
  <si>
    <t>RAMKRISHNA ADHIKARI</t>
  </si>
  <si>
    <t>31-13-75-00174</t>
  </si>
  <si>
    <t>0475751590914001</t>
  </si>
  <si>
    <t>1301650001771419</t>
  </si>
  <si>
    <t>ROSHAN BAM</t>
  </si>
  <si>
    <t>PUSHKAR BAHADUR BAM</t>
  </si>
  <si>
    <t>HARKA BAHADUR BAM/</t>
  </si>
  <si>
    <t>73027900287</t>
  </si>
  <si>
    <t>4170100042335010</t>
  </si>
  <si>
    <t>1301120001633344</t>
  </si>
  <si>
    <t>JAYENDRA SAH</t>
  </si>
  <si>
    <t>RAMDEV SAHU</t>
  </si>
  <si>
    <t>DURHI LAL SAHU</t>
  </si>
  <si>
    <t>06-01-69-08263</t>
  </si>
  <si>
    <t>25707010009406</t>
  </si>
  <si>
    <t>1301650001416369</t>
  </si>
  <si>
    <t>SABINA SUBBA</t>
  </si>
  <si>
    <t>DHURBA KAILASH LIMBU</t>
  </si>
  <si>
    <t>BAL BAHADUR LIMBU/</t>
  </si>
  <si>
    <t>04027502299</t>
  </si>
  <si>
    <t>2140100000193004</t>
  </si>
  <si>
    <t>1301100002288121</t>
  </si>
  <si>
    <t>MILAN RAI</t>
  </si>
  <si>
    <t>NAR BAHADUR RAI/DHYANMATI RAI</t>
  </si>
  <si>
    <t>GYAN BAHADUR RAI</t>
  </si>
  <si>
    <t>05-01-69-04320</t>
  </si>
  <si>
    <t>0590166988800015</t>
  </si>
  <si>
    <t>1301100003132693</t>
  </si>
  <si>
    <t>SUJAN CHAND</t>
  </si>
  <si>
    <t>MOHAN BAHADUR CHAND</t>
  </si>
  <si>
    <t>MAN BAHADUR CHAND</t>
  </si>
  <si>
    <t>75-01-80-01553</t>
  </si>
  <si>
    <t>0040241376800010</t>
  </si>
  <si>
    <t>1301580000467052</t>
  </si>
  <si>
    <t>JANUKA KUMARI KOIRALA</t>
  </si>
  <si>
    <t>MANAHARI KOIRALA/TULASHA KOIRALA</t>
  </si>
  <si>
    <t>KRISHNA PRASAD KOIRALA/KEDARPRASADBHATTARAI</t>
  </si>
  <si>
    <t>67583</t>
  </si>
  <si>
    <t>001011090002159</t>
  </si>
  <si>
    <t>1301650001433473</t>
  </si>
  <si>
    <t>ARJUN KUMAR OLI CHEETRI</t>
  </si>
  <si>
    <t>SHER BAHADUR OLI CHEETRI</t>
  </si>
  <si>
    <t>BIR BAHADUR CHEETRI /NA</t>
  </si>
  <si>
    <t>19768</t>
  </si>
  <si>
    <t>1301220000100912</t>
  </si>
  <si>
    <t>KRISHNA BAHADUR SHRESTHA</t>
  </si>
  <si>
    <t>PRITHIVI BAHADUR SHRESTHA</t>
  </si>
  <si>
    <t>024967</t>
  </si>
  <si>
    <t>3410017503387</t>
  </si>
  <si>
    <t>1301650001580983</t>
  </si>
  <si>
    <t>AKBAR ALAM</t>
  </si>
  <si>
    <t>FARUK MIYA</t>
  </si>
  <si>
    <t>ABUL MIYA/</t>
  </si>
  <si>
    <t>07017702376</t>
  </si>
  <si>
    <t>2630100004871010</t>
  </si>
  <si>
    <t>1301060001004013</t>
  </si>
  <si>
    <t>SWAYAM DHUNGANA</t>
  </si>
  <si>
    <t>SUNIT DHUNGANA</t>
  </si>
  <si>
    <t>VIJAY HARI SHARMA</t>
  </si>
  <si>
    <t>5703</t>
  </si>
  <si>
    <t>00405150252492</t>
  </si>
  <si>
    <t>1301650000577432</t>
  </si>
  <si>
    <t>NABIN YONJAN</t>
  </si>
  <si>
    <t>PADAM BAHADUR TAMANG</t>
  </si>
  <si>
    <t>PURNA BAHADUR TAMANG /MANGALI MAYA TAMANG</t>
  </si>
  <si>
    <t>21017300173</t>
  </si>
  <si>
    <t>1680100073594010</t>
  </si>
  <si>
    <t>1301120003485392</t>
  </si>
  <si>
    <t>BASANTA ADHIKARI</t>
  </si>
  <si>
    <t>BHAGAWAN ADHIKARI/JANUKA KUMARI ADHIKARI</t>
  </si>
  <si>
    <t>BISHNU PRASAD ADHIKARI</t>
  </si>
  <si>
    <t>30-01-75-02796</t>
  </si>
  <si>
    <t>21607010078144</t>
  </si>
  <si>
    <t>1301040002652966</t>
  </si>
  <si>
    <t>LAMA DAWA YOLMOPA</t>
  </si>
  <si>
    <t>MAHENDRA LAMA /KANCHHI MAYA LAMA</t>
  </si>
  <si>
    <t>/TAR LAMA</t>
  </si>
  <si>
    <t>243058/22</t>
  </si>
  <si>
    <t>00410017526611</t>
  </si>
  <si>
    <t>1301100003213409</t>
  </si>
  <si>
    <t>SAITU CHAUDHARY</t>
  </si>
  <si>
    <t>JOGIRAM CHAUDHARY</t>
  </si>
  <si>
    <t>MANIRAM DANGAURA</t>
  </si>
  <si>
    <t>64116</t>
  </si>
  <si>
    <t>1910247770000015</t>
  </si>
  <si>
    <t>1301650001224211</t>
  </si>
  <si>
    <t>RAM KUMAR LIMBU</t>
  </si>
  <si>
    <t>JIT BAHADUR LIMBU</t>
  </si>
  <si>
    <t>BIR BAHADUR LIMBU/MANITA CHEMJONG LIMBU</t>
  </si>
  <si>
    <t>101410926</t>
  </si>
  <si>
    <t>2360100000352010</t>
  </si>
  <si>
    <t>1301040002268421</t>
  </si>
  <si>
    <t>RAJIB SHRESTHA</t>
  </si>
  <si>
    <t>RAJU SHRESTHA/SANGITA SHRESTHA</t>
  </si>
  <si>
    <t>INDIRA SHRESTHA/KANCHHA SHRESTHA</t>
  </si>
  <si>
    <t>29-01-70-02185</t>
  </si>
  <si>
    <t>14110017502048</t>
  </si>
  <si>
    <t>1301060003322879</t>
  </si>
  <si>
    <t>NABIN KUMAR SHAHI</t>
  </si>
  <si>
    <t>BALKRISHNA SHAHI</t>
  </si>
  <si>
    <t>KHIL BHADUR SHAHI</t>
  </si>
  <si>
    <t>01-068-25260</t>
  </si>
  <si>
    <t>04005080284585</t>
  </si>
  <si>
    <t>1301770000363608</t>
  </si>
  <si>
    <t>ARJUN ROKKA</t>
  </si>
  <si>
    <t>MIN BAHDUR ROKKA/KUMARI ROKKA</t>
  </si>
  <si>
    <t>DHAN BAHADUR ROKKA/</t>
  </si>
  <si>
    <t>18657</t>
  </si>
  <si>
    <t>01201645680013</t>
  </si>
  <si>
    <t>1301440000441489</t>
  </si>
  <si>
    <t>PRAKASH PARIYAR</t>
  </si>
  <si>
    <t>GUMAN PARIYAR</t>
  </si>
  <si>
    <t>TIKARAM DAMAI</t>
  </si>
  <si>
    <t>651015/421</t>
  </si>
  <si>
    <t>03309011400263</t>
  </si>
  <si>
    <t>1301820000224543</t>
  </si>
  <si>
    <t>RIPESH KHATIWADA UPHADYA</t>
  </si>
  <si>
    <t>KALI PRASAD UPHADYA / RAMA DEVI PANERU</t>
  </si>
  <si>
    <t>HIRA DEVI UPHADYA</t>
  </si>
  <si>
    <t>04-02-74-01370</t>
  </si>
  <si>
    <t>06914100591393000001</t>
  </si>
  <si>
    <t>1301650002217497</t>
  </si>
  <si>
    <t>NIRAJAN GIRI</t>
  </si>
  <si>
    <t>PREM RAJ GIRI</t>
  </si>
  <si>
    <t>KIDA GIRI/</t>
  </si>
  <si>
    <t>70017800419</t>
  </si>
  <si>
    <t>4490100000208103</t>
  </si>
  <si>
    <t>1301100001404682</t>
  </si>
  <si>
    <t>GOVINDA LAMSAL</t>
  </si>
  <si>
    <t>YUBRAJ LAMSAL</t>
  </si>
  <si>
    <t>THANESHWOR LAMSAL</t>
  </si>
  <si>
    <t>37-02-71-11052</t>
  </si>
  <si>
    <t>0430149624300017</t>
  </si>
  <si>
    <t>1301070000385311</t>
  </si>
  <si>
    <t>SHYAM BDR BHARATI</t>
  </si>
  <si>
    <t>AMAR BDR BHARATI</t>
  </si>
  <si>
    <t>TEJ BDR BHARATI</t>
  </si>
  <si>
    <t>241034/721</t>
  </si>
  <si>
    <t>00926069598</t>
  </si>
  <si>
    <t>1301120003133321</t>
  </si>
  <si>
    <t>SAMJHANA SHAH</t>
  </si>
  <si>
    <t>KIRAN SHAH/MAYA CHALISE</t>
  </si>
  <si>
    <t>HARI DHOJ SHAH</t>
  </si>
  <si>
    <t>41-01-77-06013</t>
  </si>
  <si>
    <t>28007010001965</t>
  </si>
  <si>
    <t>1301040000084911</t>
  </si>
  <si>
    <t>RADIP UPRETI</t>
  </si>
  <si>
    <t>HEMANTA RAJ UPRETI</t>
  </si>
  <si>
    <t>CHOK PRASAD UPRETI</t>
  </si>
  <si>
    <t>96025</t>
  </si>
  <si>
    <t>1710017511926</t>
  </si>
  <si>
    <t>1301170001473161</t>
  </si>
  <si>
    <t>LHEMI SHERPA</t>
  </si>
  <si>
    <t>PASANG SHERPA</t>
  </si>
  <si>
    <t>NURI SHERPA</t>
  </si>
  <si>
    <t>4381/327</t>
  </si>
  <si>
    <t>0060100000371035</t>
  </si>
  <si>
    <t>1301170001906669</t>
  </si>
  <si>
    <t>CHHIRING SHERPA</t>
  </si>
  <si>
    <t>JANGBU SHERPA</t>
  </si>
  <si>
    <t>100247</t>
  </si>
  <si>
    <t>0060100004246041</t>
  </si>
  <si>
    <t>1301090000579876</t>
  </si>
  <si>
    <t>BIJAYA DABADI</t>
  </si>
  <si>
    <t>KEDAR PRASAD DAWADI</t>
  </si>
  <si>
    <t>TULSI PRASAD DAWADI</t>
  </si>
  <si>
    <t>2987</t>
  </si>
  <si>
    <t>00115165237</t>
  </si>
  <si>
    <t>1301440000438241</t>
  </si>
  <si>
    <t>BARSHA RANA</t>
  </si>
  <si>
    <t>DIPAK RANA</t>
  </si>
  <si>
    <t>KESAR BAHADUR RANA</t>
  </si>
  <si>
    <t>04-01-78-00868</t>
  </si>
  <si>
    <t>03607010325646</t>
  </si>
  <si>
    <t>1301080001007673</t>
  </si>
  <si>
    <t>KHADAK RAJ JOSHI</t>
  </si>
  <si>
    <t>DEVILAL JOSHI</t>
  </si>
  <si>
    <t>BIRBHADRA JOSHI</t>
  </si>
  <si>
    <t>711003/577</t>
  </si>
  <si>
    <t>07900501200900</t>
  </si>
  <si>
    <t>1301850000181588</t>
  </si>
  <si>
    <t>BISHNU BAHADUR WOLI</t>
  </si>
  <si>
    <t>NARAYANI WOLI CHHETRI</t>
  </si>
  <si>
    <t>DANDA BAHADUR WOLI</t>
  </si>
  <si>
    <t>401023678</t>
  </si>
  <si>
    <t>00212200603201000001</t>
  </si>
  <si>
    <t>1301250000485193</t>
  </si>
  <si>
    <t>SUNIL TAMANG</t>
  </si>
  <si>
    <t>`SANU BAHADUR TAMANG`</t>
  </si>
  <si>
    <t>30-01-72-10230</t>
  </si>
  <si>
    <t>05221600550874000001</t>
  </si>
  <si>
    <t>1301440000331680</t>
  </si>
  <si>
    <t>RAJAN TAMANG</t>
  </si>
  <si>
    <t>SUBBA TAMANG</t>
  </si>
  <si>
    <t>JUNGA BAHADUR TAMANG</t>
  </si>
  <si>
    <t>131013/58</t>
  </si>
  <si>
    <t>03309015012587</t>
  </si>
  <si>
    <t>1301120003140400</t>
  </si>
  <si>
    <t>PRAVIN KUMAR SAH</t>
  </si>
  <si>
    <t>ANHOJI LAL SAH</t>
  </si>
  <si>
    <t>SURUJ SAH TELI</t>
  </si>
  <si>
    <t>33-01-71-00835</t>
  </si>
  <si>
    <t>03309011065543</t>
  </si>
  <si>
    <t>1301170001459018</t>
  </si>
  <si>
    <t>NABA RAJ KHATRI</t>
  </si>
  <si>
    <t>BIR BAHADUR KHATRI</t>
  </si>
  <si>
    <t>10-02-77-01160</t>
  </si>
  <si>
    <t>0950100000426035</t>
  </si>
  <si>
    <t>1301440000403966</t>
  </si>
  <si>
    <t>DAMBAR BAHADUR SAUD</t>
  </si>
  <si>
    <t>DANE SAUD</t>
  </si>
  <si>
    <t>KEWAL SINGH SAUD</t>
  </si>
  <si>
    <t>69-01-71-01222</t>
  </si>
  <si>
    <t>03607010295512</t>
  </si>
  <si>
    <t>1301090004390410</t>
  </si>
  <si>
    <t>PURNIMA KARKI</t>
  </si>
  <si>
    <t>PURNA BAHADUR KARKI</t>
  </si>
  <si>
    <t>TILAK BAHADUR  KARKI</t>
  </si>
  <si>
    <t>171088/24</t>
  </si>
  <si>
    <t>55506496277</t>
  </si>
  <si>
    <t>1301570000978832</t>
  </si>
  <si>
    <t>RAMESH UPRETY</t>
  </si>
  <si>
    <t>KHADGA PRASAD UPRETY/BHAGIRATHA UPRETY</t>
  </si>
  <si>
    <t>RANGALAL UPRETY</t>
  </si>
  <si>
    <t>02/33</t>
  </si>
  <si>
    <t>08801007520863000001</t>
  </si>
  <si>
    <t>1301820000220116</t>
  </si>
  <si>
    <t>SHUSHIL TIMSINA</t>
  </si>
  <si>
    <t>HARILAL TIMSINA / TULSHI TIMSINA</t>
  </si>
  <si>
    <t>SARITA TIMSINA/LILADHAR TIMSINA</t>
  </si>
  <si>
    <t>26833</t>
  </si>
  <si>
    <t>01501901058773000001</t>
  </si>
  <si>
    <t>1301570000745376</t>
  </si>
  <si>
    <t>SHANTA WAIBA</t>
  </si>
  <si>
    <t>BUDDHIMAN WAIBA/MAILI MAYA WAIBA</t>
  </si>
  <si>
    <t>BHIM BAHADUR WAIBA</t>
  </si>
  <si>
    <t>311036/85574</t>
  </si>
  <si>
    <t>09301007170851000001</t>
  </si>
  <si>
    <t>1301600000247082</t>
  </si>
  <si>
    <t>BHANUBHAKTA UPRETY</t>
  </si>
  <si>
    <t>BHIMA DEVI UPRETY/PREM PRASAD UPRETY</t>
  </si>
  <si>
    <t>NA/PREM PRASAD UPRETY</t>
  </si>
  <si>
    <t>18242660</t>
  </si>
  <si>
    <t>3077082116800018</t>
  </si>
  <si>
    <t>1301370000363629</t>
  </si>
  <si>
    <t>Jamuna Kumari Bhujel</t>
  </si>
  <si>
    <t>Bhim Bahadur Bhujel</t>
  </si>
  <si>
    <t>Ganga Bahadur Bhujel</t>
  </si>
  <si>
    <t>39691177</t>
  </si>
  <si>
    <t>3100148558524001</t>
  </si>
  <si>
    <t>1301090002162175</t>
  </si>
  <si>
    <t>MINA THAPA MAGAR</t>
  </si>
  <si>
    <t>YAGYABAHADUR THAPAMAGAR</t>
  </si>
  <si>
    <t>KHANDAMAN BAHADUR THAPAMAGAR</t>
  </si>
  <si>
    <t>243049/88</t>
  </si>
  <si>
    <t>02415306977</t>
  </si>
  <si>
    <t>1301540000001142</t>
  </si>
  <si>
    <t>Purna Bahadur Gurung</t>
  </si>
  <si>
    <t>Krishna Bahadur Gurung</t>
  </si>
  <si>
    <t>Bhakta Bahadur Gurung</t>
  </si>
  <si>
    <t>11035</t>
  </si>
  <si>
    <t>00420300057786000001</t>
  </si>
  <si>
    <t>1301610000029011</t>
  </si>
  <si>
    <t>ANUJA GHIMIRE</t>
  </si>
  <si>
    <t>OMNATH GHIMIRE</t>
  </si>
  <si>
    <t>DURGA PRASAD GHIMIRE</t>
  </si>
  <si>
    <t>14018</t>
  </si>
  <si>
    <t>0250015155000013</t>
  </si>
  <si>
    <t>1301090003134970</t>
  </si>
  <si>
    <t>RABINDRA BAHADUR KARKI</t>
  </si>
  <si>
    <t>CHUK BAHADUR KARKI</t>
  </si>
  <si>
    <t>TALAK BAHADUR KARKI</t>
  </si>
  <si>
    <t>20-01-76-02928</t>
  </si>
  <si>
    <t>02118271020</t>
  </si>
  <si>
    <t>1301370001350091</t>
  </si>
  <si>
    <t>Durga Mani Bhandari</t>
  </si>
  <si>
    <t>Narayan Prasad Bhandari</t>
  </si>
  <si>
    <t>Daiba Datta Bhandari</t>
  </si>
  <si>
    <t>2349</t>
  </si>
  <si>
    <t>4102951155552401</t>
  </si>
  <si>
    <t>1301120000239877</t>
  </si>
  <si>
    <t>Seema Panday</t>
  </si>
  <si>
    <t>Gunja Bhahadur Panday</t>
  </si>
  <si>
    <t>Rudra Bahadur Panday/ Pramod Rijal</t>
  </si>
  <si>
    <t>40951</t>
  </si>
  <si>
    <t>9990038100700016</t>
  </si>
  <si>
    <t>1301370002012761</t>
  </si>
  <si>
    <t>Sayesha Dawadi</t>
  </si>
  <si>
    <t>Sudip Dawadi</t>
  </si>
  <si>
    <t>Shanbhu Prasad Dawadi</t>
  </si>
  <si>
    <t>2076050302569</t>
  </si>
  <si>
    <t>2825750901698001</t>
  </si>
  <si>
    <t>1301120004083494</t>
  </si>
  <si>
    <t>BIKASH CHHETRI</t>
  </si>
  <si>
    <t>RAM BAHADUR CHHETRI</t>
  </si>
  <si>
    <t>BASAJ CHHETRI</t>
  </si>
  <si>
    <t>036933</t>
  </si>
  <si>
    <t>03309018105041</t>
  </si>
  <si>
    <t>1301370002072021</t>
  </si>
  <si>
    <t>SHREYAN DAWADI</t>
  </si>
  <si>
    <t>SUDIP DAWADI</t>
  </si>
  <si>
    <t>SHAMBHU PRASAD DAWADI</t>
  </si>
  <si>
    <t>2068081302007</t>
  </si>
  <si>
    <t>2825750904167001</t>
  </si>
  <si>
    <t>1301130000153541</t>
  </si>
  <si>
    <t>HEMANTA GAUTAM</t>
  </si>
  <si>
    <t>MEGHRAJ GAUTAM</t>
  </si>
  <si>
    <t>LAXMI GAUTAM</t>
  </si>
  <si>
    <t>40-01-70-03526</t>
  </si>
  <si>
    <t>24949353790014</t>
  </si>
  <si>
    <t>1301070001902294</t>
  </si>
  <si>
    <t>Binita Dangal</t>
  </si>
  <si>
    <t>Chetnath Dangal</t>
  </si>
  <si>
    <t>Padam Prasad dangal</t>
  </si>
  <si>
    <t>30-01-71-03225</t>
  </si>
  <si>
    <t>06423009367</t>
  </si>
  <si>
    <t>1301370000179557</t>
  </si>
  <si>
    <t>Sadhana Bajimaya Kasaju</t>
  </si>
  <si>
    <t>Jyotindra Man Bajimaya</t>
  </si>
  <si>
    <t>Prajwal Prasad Kasaju</t>
  </si>
  <si>
    <t>2714861/1886</t>
  </si>
  <si>
    <t>3069431457524001</t>
  </si>
  <si>
    <t>1301370002196020</t>
  </si>
  <si>
    <t>CHAKRA PRASAD SHARMA DAWADI</t>
  </si>
  <si>
    <t>21123</t>
  </si>
  <si>
    <t>2825750895067001</t>
  </si>
  <si>
    <t>1301370001730596</t>
  </si>
  <si>
    <t>Anamika Kafle</t>
  </si>
  <si>
    <t>Subash Kafle</t>
  </si>
  <si>
    <t>Krishna Prasad Kafle</t>
  </si>
  <si>
    <t>309</t>
  </si>
  <si>
    <t>0375750550344001</t>
  </si>
  <si>
    <t>1301370002022611</t>
  </si>
  <si>
    <t>Rakshya Sharma</t>
  </si>
  <si>
    <t>Karna Raj Sharma</t>
  </si>
  <si>
    <t>Ruth Raj Sharma</t>
  </si>
  <si>
    <t>1646</t>
  </si>
  <si>
    <t>4714260566524001</t>
  </si>
  <si>
    <t>1301100003192939</t>
  </si>
  <si>
    <t>ANIL BASNET</t>
  </si>
  <si>
    <t>461001/7772</t>
  </si>
  <si>
    <t>1210093416700015</t>
  </si>
  <si>
    <t>1301090004416155</t>
  </si>
  <si>
    <t>ANANDA BAHADUR LAMA</t>
  </si>
  <si>
    <t>GYAN BAHADUR LAMA</t>
  </si>
  <si>
    <t>KUSUM BAHADUR LAMA</t>
  </si>
  <si>
    <t>176</t>
  </si>
  <si>
    <t>02415776720</t>
  </si>
  <si>
    <t>1301040001674427</t>
  </si>
  <si>
    <t>KABINDRA NEUPANE</t>
  </si>
  <si>
    <t>PARASH MANI NEUPANE/SARITA KUMARI NEUPANE</t>
  </si>
  <si>
    <t>PITAMBAR NEUPANE/</t>
  </si>
  <si>
    <t>56451</t>
  </si>
  <si>
    <t>00910017515908</t>
  </si>
  <si>
    <t>1301650001982492</t>
  </si>
  <si>
    <t>SANJEEP BASNET</t>
  </si>
  <si>
    <t>BOL BAHADUR BASNET/GANGA MAYA BASNET</t>
  </si>
  <si>
    <t>NAHAL SINGH BASNET</t>
  </si>
  <si>
    <t>323081-1009</t>
  </si>
  <si>
    <t>1130100000023210</t>
  </si>
  <si>
    <t>1301630000270611</t>
  </si>
  <si>
    <t>BABU RAM PANDEY</t>
  </si>
  <si>
    <t>CHHABI LAL PANDEY/GOVINDI PANDEY</t>
  </si>
  <si>
    <t>BUDDHI RAM PANDEY</t>
  </si>
  <si>
    <t>381020/2909</t>
  </si>
  <si>
    <t>2020173781500001</t>
  </si>
  <si>
    <t>1301040002298256</t>
  </si>
  <si>
    <t>CHINTAMANI DEVKOTA</t>
  </si>
  <si>
    <t>CHOLA PRASAD DEVKOTA/CHANDIKA DEVI DEVKOTA</t>
  </si>
  <si>
    <t>DIPA PANDEY DEVKOTA/ROMAKANTA DEVKOTA</t>
  </si>
  <si>
    <t>72097</t>
  </si>
  <si>
    <t>09210017503632</t>
  </si>
  <si>
    <t>1301060001357789</t>
  </si>
  <si>
    <t>AMUL BASNET</t>
  </si>
  <si>
    <t>BIMAL KUMAR BASNET</t>
  </si>
  <si>
    <t>UTTAM BAHADUR BASNET</t>
  </si>
  <si>
    <t>9140/829</t>
  </si>
  <si>
    <t>03CL068983NPR001</t>
  </si>
  <si>
    <t>1301360000012852</t>
  </si>
  <si>
    <t>MARY SHRESTHA</t>
  </si>
  <si>
    <t>KRISHNA MAN SHRESTHA</t>
  </si>
  <si>
    <t>271060/17982</t>
  </si>
  <si>
    <t>00810062789017</t>
  </si>
  <si>
    <t>1301370006643903</t>
  </si>
  <si>
    <t>PASANG TAMANG</t>
  </si>
  <si>
    <t>BHOLA BAHADUR TAMANG</t>
  </si>
  <si>
    <t>JAMAN SING TAMANG</t>
  </si>
  <si>
    <t>06-01-75-00734</t>
  </si>
  <si>
    <t>2445751583880001</t>
  </si>
  <si>
    <t>1301360000002637</t>
  </si>
  <si>
    <t>MENUKA DEVI SINGH(SHRESTHA)</t>
  </si>
  <si>
    <t>GOVINDA LAL SINGH</t>
  </si>
  <si>
    <t>4268</t>
  </si>
  <si>
    <t>00923000772</t>
  </si>
  <si>
    <t>1301080000840848</t>
  </si>
  <si>
    <t>AMRIT AACHARYA</t>
  </si>
  <si>
    <t>RAMESH AACHARYA/SUNITA AACHARYA</t>
  </si>
  <si>
    <t>DILARAM AACHARYA</t>
  </si>
  <si>
    <t>357</t>
  </si>
  <si>
    <t>07000520200045</t>
  </si>
  <si>
    <t>1301040001306317</t>
  </si>
  <si>
    <t>RABINDRA KAMATI</t>
  </si>
  <si>
    <t>SUDIP KAMATI/PRAMILA DEVI MANDAL</t>
  </si>
  <si>
    <t>BHAJAN KAMATI/</t>
  </si>
  <si>
    <t>15-01-73-05923</t>
  </si>
  <si>
    <t>08910017501782</t>
  </si>
  <si>
    <t>1301250001047955</t>
  </si>
  <si>
    <t>LOK BIKARAM K.C</t>
  </si>
  <si>
    <t>BIR BAHADUR KHATRI /JUNGLI KHATRI</t>
  </si>
  <si>
    <t>MAN BAHADUR KHATRI</t>
  </si>
  <si>
    <t>241/97</t>
  </si>
  <si>
    <t>04721600677383000001</t>
  </si>
  <si>
    <t>1301010000160501</t>
  </si>
  <si>
    <t>MILAN KAJI SHAKYA</t>
  </si>
  <si>
    <t>PANNA KAJI SHAKYA</t>
  </si>
  <si>
    <t>HARSHA RAJ SHAKYA / RABITA BAJRACHARYA SHAKYA</t>
  </si>
  <si>
    <t>1922</t>
  </si>
  <si>
    <t>1190073696100011</t>
  </si>
  <si>
    <t>1301010000160495</t>
  </si>
  <si>
    <t>RATNA BAJRACHARYA</t>
  </si>
  <si>
    <t>SHREEE RATNA BAJRACHARYA/ MILAN KAJI SHAKYA</t>
  </si>
  <si>
    <t>13615</t>
  </si>
  <si>
    <t>G455956447452401</t>
  </si>
  <si>
    <t>1301170002014145</t>
  </si>
  <si>
    <t>SUJENDRA GURUNG</t>
  </si>
  <si>
    <t>BISHNU GURUNG</t>
  </si>
  <si>
    <t>RATNA MAN GURUNG</t>
  </si>
  <si>
    <t>101006/590</t>
  </si>
  <si>
    <t>0540100001569041</t>
  </si>
  <si>
    <t>1301580001677484</t>
  </si>
  <si>
    <t>PRAKRITI DAHAL</t>
  </si>
  <si>
    <t>KRISHNA PRASAD DAHAL/JYOTI POKHAREL DAHAL</t>
  </si>
  <si>
    <t>SHIVARAM DAHAL</t>
  </si>
  <si>
    <t>2069092204802</t>
  </si>
  <si>
    <t>047011080000598</t>
  </si>
  <si>
    <t>1301010000160516</t>
  </si>
  <si>
    <t>SUSHARTHA SHAKYA</t>
  </si>
  <si>
    <t>27-01-75-02098</t>
  </si>
  <si>
    <t>1190073775000011</t>
  </si>
  <si>
    <t>1301370000453043</t>
  </si>
  <si>
    <t>Dinesh Bhattarai</t>
  </si>
  <si>
    <t>Bhim Prasad Bhattarai</t>
  </si>
  <si>
    <t>Krishna Prasad Bhattarai</t>
  </si>
  <si>
    <t>154 Lu.Pa.25347</t>
  </si>
  <si>
    <t>3312323973524001</t>
  </si>
  <si>
    <t>1301370000000833</t>
  </si>
  <si>
    <t>Ruby Shrestha</t>
  </si>
  <si>
    <t>Ramesh Shrestha</t>
  </si>
  <si>
    <t>Krishna Man Shrestha</t>
  </si>
  <si>
    <t>271060/85438</t>
  </si>
  <si>
    <t>4369023215524004</t>
  </si>
  <si>
    <t>1301120003776952</t>
  </si>
  <si>
    <t>BINU LAMA</t>
  </si>
  <si>
    <t>PREM BAHADUR TAMANG/SUN MAYA TAMANG</t>
  </si>
  <si>
    <t>BIR BAHADUR TAMANG/BISHAL LAMA</t>
  </si>
  <si>
    <t>120802/6068</t>
  </si>
  <si>
    <t>15907010012616</t>
  </si>
  <si>
    <t>1301310000279711</t>
  </si>
  <si>
    <t>HARI MAYA SHRESTHA</t>
  </si>
  <si>
    <t>KRISHNA BAHADUR SHRESTHA/AATI MAYA SHRESTHA</t>
  </si>
  <si>
    <t>NANDA BAHADUR SHRESTHA</t>
  </si>
  <si>
    <t>53308</t>
  </si>
  <si>
    <t>2495750464171001</t>
  </si>
  <si>
    <t>1301370000000979</t>
  </si>
  <si>
    <t>Mihir Shrestha</t>
  </si>
  <si>
    <t>27-01-75-09085</t>
  </si>
  <si>
    <t>4369375297524001</t>
  </si>
  <si>
    <t>1301090000014815</t>
  </si>
  <si>
    <t>DHANA MAN SHRESTHA</t>
  </si>
  <si>
    <t>2383/6779</t>
  </si>
  <si>
    <t>06SH018208NPR001</t>
  </si>
  <si>
    <t>1301120003750427</t>
  </si>
  <si>
    <t>PADAM LAL PANDEY</t>
  </si>
  <si>
    <t>JHABILAL PANDEY/GOBINDI PANDEY</t>
  </si>
  <si>
    <t>RUPAPATI PANDEY</t>
  </si>
  <si>
    <t>1410/2627</t>
  </si>
  <si>
    <t>24507010035945</t>
  </si>
  <si>
    <t>1301690000915472</t>
  </si>
  <si>
    <t>TEJ NARAYAN MEHTA</t>
  </si>
  <si>
    <t>MAHADEV MAHATO/TARO DEVI MEHTA</t>
  </si>
  <si>
    <t>DHAU MAHATO</t>
  </si>
  <si>
    <t>063030/362</t>
  </si>
  <si>
    <t>18401000000024001638</t>
  </si>
  <si>
    <t>1301040002967880</t>
  </si>
  <si>
    <t>SHARMILA SHARMA</t>
  </si>
  <si>
    <t>JYOTI PRASAD SHARMA</t>
  </si>
  <si>
    <t>DILLI RAJ POKHREL</t>
  </si>
  <si>
    <t>521020/4115</t>
  </si>
  <si>
    <t>09810017559081</t>
  </si>
  <si>
    <t>1301040001519894</t>
  </si>
  <si>
    <t>RITESH UPADHAYA</t>
  </si>
  <si>
    <t>KESHAV RAJ UPADHAYA/NITA UPADHAYA</t>
  </si>
  <si>
    <t>MOTI LAL UPADHAYA/BRINDA NEUPANE UPADHAYA</t>
  </si>
  <si>
    <t>42-01-72-01685</t>
  </si>
  <si>
    <t>04610017509887</t>
  </si>
  <si>
    <t>1301120000529236</t>
  </si>
  <si>
    <t>Bhuvan Kumar Shrestha</t>
  </si>
  <si>
    <t>Nhuchhe Kumar Shrestha</t>
  </si>
  <si>
    <t>Bishnu Das Shrestha/Sabitree Kumari Shrestha</t>
  </si>
  <si>
    <t>50278</t>
  </si>
  <si>
    <t>3117076257200018</t>
  </si>
  <si>
    <t>1301770000594921</t>
  </si>
  <si>
    <t>PUNIT KUMAR SAH</t>
  </si>
  <si>
    <t>KRISHNA DEV SAH</t>
  </si>
  <si>
    <t>RAM KHELAWAN SAH</t>
  </si>
  <si>
    <t>86832236</t>
  </si>
  <si>
    <t>06210284800016</t>
  </si>
  <si>
    <t>1301650002136044</t>
  </si>
  <si>
    <t>KRISHAN KUMAR MANDAL</t>
  </si>
  <si>
    <t>SUPHAL MANDAL</t>
  </si>
  <si>
    <t>BAHAUR KHATWE/</t>
  </si>
  <si>
    <t>18301231</t>
  </si>
  <si>
    <t>1270100049633010</t>
  </si>
  <si>
    <t>1301100002454463</t>
  </si>
  <si>
    <t>BINAYAK POUDEL</t>
  </si>
  <si>
    <t>ARJUN POUDEL</t>
  </si>
  <si>
    <t>DHARMANANDA POUDEL</t>
  </si>
  <si>
    <t>111</t>
  </si>
  <si>
    <t>1600176754100013</t>
  </si>
  <si>
    <t>1301040001684792</t>
  </si>
  <si>
    <t>BIBEK MAHARJAN</t>
  </si>
  <si>
    <t>KIRAN MAHARJAN /GYANI MAHARJAN</t>
  </si>
  <si>
    <t>RAM  MAHARJAN /</t>
  </si>
  <si>
    <t>28-01-070-02768</t>
  </si>
  <si>
    <t>00310017511056</t>
  </si>
  <si>
    <t>1301100001789430</t>
  </si>
  <si>
    <t>JHAMKA KUMARI THAPALIYA</t>
  </si>
  <si>
    <t>KESARI  DUTTA PANDEY</t>
  </si>
  <si>
    <t>NABARAJ THAPALIYA</t>
  </si>
  <si>
    <t>8186</t>
  </si>
  <si>
    <t>1210154369700010</t>
  </si>
  <si>
    <t>1301120005136074</t>
  </si>
  <si>
    <t>SHUBHASHREE KHANAL</t>
  </si>
  <si>
    <t>SAGAR KHANAL</t>
  </si>
  <si>
    <t>TRILOCHAN KHANAL</t>
  </si>
  <si>
    <t>2081050707494</t>
  </si>
  <si>
    <t>09107010100199</t>
  </si>
  <si>
    <t>1301090002771432</t>
  </si>
  <si>
    <t>HIMAL RAULE</t>
  </si>
  <si>
    <t>JUNGA BAHADUR RAULE</t>
  </si>
  <si>
    <t>JOGI RAULE</t>
  </si>
  <si>
    <t>11809257</t>
  </si>
  <si>
    <t>01715439843</t>
  </si>
  <si>
    <t>1301250001279740</t>
  </si>
  <si>
    <t>BHIM BAHADUR PUN MAGAR</t>
  </si>
  <si>
    <t>TUL BDR PUN MAGAR/BAHUMATI PUM MAGAR</t>
  </si>
  <si>
    <t>KHARU PUN MAGAR</t>
  </si>
  <si>
    <t>34105</t>
  </si>
  <si>
    <t>00520100399880000001</t>
  </si>
  <si>
    <t>1301650001519185</t>
  </si>
  <si>
    <t>KHADANANDA POUDEL/RADHA POUDEL</t>
  </si>
  <si>
    <t>37389</t>
  </si>
  <si>
    <t>3340100000223104</t>
  </si>
  <si>
    <t>1301100000046445</t>
  </si>
  <si>
    <t>TEJIK SHAKYA</t>
  </si>
  <si>
    <t>KIRAN SHAKYA</t>
  </si>
  <si>
    <t>CHINIYA KAJI SHAKYA</t>
  </si>
  <si>
    <t>2070100808493</t>
  </si>
  <si>
    <t>01720500382461000001</t>
  </si>
  <si>
    <t>1301650001296566</t>
  </si>
  <si>
    <t>BIGYAN BOHORA CHHETRI</t>
  </si>
  <si>
    <t>RAM RAJA BOHORA CHHETRI</t>
  </si>
  <si>
    <t>RANA BAHADUR BOHORA CHETR/</t>
  </si>
  <si>
    <t>30017406180</t>
  </si>
  <si>
    <t>1160100003862104</t>
  </si>
  <si>
    <t>1301040001707483</t>
  </si>
  <si>
    <t>SEKHAR SITOULA</t>
  </si>
  <si>
    <t>HOM NATH SITOULA/DEVI MAYA SITOULA</t>
  </si>
  <si>
    <t>NISHA GIRI/HARI PRASAD SITOULA</t>
  </si>
  <si>
    <t>04-01-69-12376</t>
  </si>
  <si>
    <t>2110017504544</t>
  </si>
  <si>
    <t>1301120002903522</t>
  </si>
  <si>
    <t>RAJU KANDEL</t>
  </si>
  <si>
    <t>PRITHIVI PRASAD KANDEL</t>
  </si>
  <si>
    <t>PASHUPATI KANDEL</t>
  </si>
  <si>
    <t>35855</t>
  </si>
  <si>
    <t>03309018101251</t>
  </si>
  <si>
    <t>1301080000657858</t>
  </si>
  <si>
    <t>HEMANT KUMAR MANANDHAR</t>
  </si>
  <si>
    <t>MANIK MAN MANANDHAR</t>
  </si>
  <si>
    <t>MANKAJI MANANDHAR</t>
  </si>
  <si>
    <t>1570</t>
  </si>
  <si>
    <t>01600516200482</t>
  </si>
  <si>
    <t>1301060000820261</t>
  </si>
  <si>
    <t>SHANKAR DAS SHRESTHA</t>
  </si>
  <si>
    <t>GANESH BAHADUR SHRESTHA</t>
  </si>
  <si>
    <t>6953</t>
  </si>
  <si>
    <t>00105010173734</t>
  </si>
  <si>
    <t>1301100000040025</t>
  </si>
  <si>
    <t>AASHA KAJI SHAKYA</t>
  </si>
  <si>
    <t>1792</t>
  </si>
  <si>
    <t>01720500382464000001</t>
  </si>
  <si>
    <t>1301320000047163</t>
  </si>
  <si>
    <t>Ashika Mahaseth</t>
  </si>
  <si>
    <t>Baija Nath Mahaseth</t>
  </si>
  <si>
    <t>Shah Dev Mahaseth</t>
  </si>
  <si>
    <t>171083/81</t>
  </si>
  <si>
    <t>21615241400836</t>
  </si>
  <si>
    <t>1301070000969369</t>
  </si>
  <si>
    <t>PARMESHWAR THAPA</t>
  </si>
  <si>
    <t>BHAGWAN THAPA</t>
  </si>
  <si>
    <t>YAM BAHADUR THAPA</t>
  </si>
  <si>
    <t>28-01-066-00789</t>
  </si>
  <si>
    <t>11325002798</t>
  </si>
  <si>
    <t>1301090001883572</t>
  </si>
  <si>
    <t>SAMIT MAHARJAN</t>
  </si>
  <si>
    <t>PRAKASH MAN MAHARJAN</t>
  </si>
  <si>
    <t>BIRINCHI NARAYAN DANGOL</t>
  </si>
  <si>
    <t>271060/34477</t>
  </si>
  <si>
    <t>00616478580</t>
  </si>
  <si>
    <t>1301120005239209</t>
  </si>
  <si>
    <t>RANGALAL RAJBANSHI</t>
  </si>
  <si>
    <t>SANISCHAR PRASAD RAJBANSHI</t>
  </si>
  <si>
    <t>AKLU RAJBANSHI</t>
  </si>
  <si>
    <t>7-606</t>
  </si>
  <si>
    <t>18207010129299</t>
  </si>
  <si>
    <t>1301090001020782</t>
  </si>
  <si>
    <t>SABIN PRASAIN</t>
  </si>
  <si>
    <t>RAJ KUMAR PRASAIN</t>
  </si>
  <si>
    <t>HARI NARAYAN PRASAIN</t>
  </si>
  <si>
    <t>103166/203166</t>
  </si>
  <si>
    <t>01015117357</t>
  </si>
  <si>
    <t>1301520000933660</t>
  </si>
  <si>
    <t>SANGAM NEPAL</t>
  </si>
  <si>
    <t>POSH PRASAD NEPAL</t>
  </si>
  <si>
    <t>BINDA NEPAL</t>
  </si>
  <si>
    <t>25-01-74-05979</t>
  </si>
  <si>
    <t>0370116797700001</t>
  </si>
  <si>
    <t>1301100001826765</t>
  </si>
  <si>
    <t>MAHESH BAHADUR SHAHI</t>
  </si>
  <si>
    <t>MANRAJ SHAHI</t>
  </si>
  <si>
    <t>JAYA SHAHI</t>
  </si>
  <si>
    <t>61-01-72-01728</t>
  </si>
  <si>
    <t>KALIKOT</t>
  </si>
  <si>
    <t>0010145861400015</t>
  </si>
  <si>
    <t>1301060002863919</t>
  </si>
  <si>
    <t>KRITIKA KUIKEL</t>
  </si>
  <si>
    <t>KIRAN PRAKASH KUIKEL</t>
  </si>
  <si>
    <t>NIRANJAN SHARMA KUIKEL</t>
  </si>
  <si>
    <t>2078061213868</t>
  </si>
  <si>
    <t>02105150031435</t>
  </si>
  <si>
    <t>1301370007758762</t>
  </si>
  <si>
    <t>NIRAJ BHATTARAI</t>
  </si>
  <si>
    <t>PRADIP PRASAD BHATTARAI</t>
  </si>
  <si>
    <t>HARI PRASAD BHATTARAI</t>
  </si>
  <si>
    <t>27-01-80-09643</t>
  </si>
  <si>
    <t>3585753274280001</t>
  </si>
  <si>
    <t>1301440000265164</t>
  </si>
  <si>
    <t>AASHISH BISTA</t>
  </si>
  <si>
    <t>HARI BAHADUR BISTA</t>
  </si>
  <si>
    <t>KESHAR BAHADUR BISTA</t>
  </si>
  <si>
    <t>27-01-73-11343</t>
  </si>
  <si>
    <t>03309015023252</t>
  </si>
  <si>
    <t>1301060000344343</t>
  </si>
  <si>
    <t>GRIHABILAS KUIKEL</t>
  </si>
  <si>
    <t>94246</t>
  </si>
  <si>
    <t>02105080020527</t>
  </si>
  <si>
    <t>1301650000074515</t>
  </si>
  <si>
    <t>ASIM PRASAD GAUCHAN</t>
  </si>
  <si>
    <t>DAL BAHADUR /PANCHI GAUCHAN</t>
  </si>
  <si>
    <t>LILA GAUCHAN</t>
  </si>
  <si>
    <t>53/1001/1027</t>
  </si>
  <si>
    <t>3120100000712104</t>
  </si>
  <si>
    <t>1301070000056602</t>
  </si>
  <si>
    <t>Narayan Adhikari</t>
  </si>
  <si>
    <t>Bhola Nath Adhikari</t>
  </si>
  <si>
    <t>Adhikari</t>
  </si>
  <si>
    <t>1635/8629</t>
  </si>
  <si>
    <t>02300501205756</t>
  </si>
  <si>
    <t>1301130000423572</t>
  </si>
  <si>
    <t>BHARAT BIST</t>
  </si>
  <si>
    <t>DIL BAHADUR BIST/ MATE BIST</t>
  </si>
  <si>
    <t>KARAN BAHADUR BIST</t>
  </si>
  <si>
    <t>751001/7549</t>
  </si>
  <si>
    <t>03907010001474</t>
  </si>
  <si>
    <t>1301780000052685</t>
  </si>
  <si>
    <t>AMAR DEEP RAYAMAJHI</t>
  </si>
  <si>
    <t>RUDRAMANI RAYAMAJHI/TIRTHA MAYA RAYAMAJHI</t>
  </si>
  <si>
    <t>KALPANA KUMARI KC RAYAMAJHI/TILAK BAHADUR RAYAMAJHI</t>
  </si>
  <si>
    <t>2397/060</t>
  </si>
  <si>
    <t>1500100000001008</t>
  </si>
  <si>
    <t>1301100000483844</t>
  </si>
  <si>
    <t>PUSKAR RAJ NATH</t>
  </si>
  <si>
    <t>SAMBHU NATH</t>
  </si>
  <si>
    <t>BALDEV NATH</t>
  </si>
  <si>
    <t>16258</t>
  </si>
  <si>
    <t>01820400134296000001</t>
  </si>
  <si>
    <t>1301140000084363</t>
  </si>
  <si>
    <t>SAROJ KAYASTHA</t>
  </si>
  <si>
    <t>DHURBA RAJ KAYASTHA</t>
  </si>
  <si>
    <t>BAIKUNTHA KAYASTHA</t>
  </si>
  <si>
    <t>25927</t>
  </si>
  <si>
    <t>4810017503789</t>
  </si>
  <si>
    <t>1301100000722652</t>
  </si>
  <si>
    <t>NARAYAN BAHADUR GHARTI MAGAR</t>
  </si>
  <si>
    <t>DHOM BAHADUR MAGAR/BINA GHARTI MAGAR</t>
  </si>
  <si>
    <t>YANU GHARTI MAGAR</t>
  </si>
  <si>
    <t>53-01-69-04715</t>
  </si>
  <si>
    <t>00127800616267000001</t>
  </si>
  <si>
    <t>1301120003349561</t>
  </si>
  <si>
    <t>LOMAS KUMAR BASTOLA</t>
  </si>
  <si>
    <t>BHIM PRASAD BASTOLA</t>
  </si>
  <si>
    <t>NARAPAT BASTOLA</t>
  </si>
  <si>
    <t>4637-940</t>
  </si>
  <si>
    <t>03309017500247</t>
  </si>
  <si>
    <t>1301080001167787</t>
  </si>
  <si>
    <t>BIJESH KUMAR GUPTA</t>
  </si>
  <si>
    <t>BIJAY KUMAR BANIYA</t>
  </si>
  <si>
    <t>HANUMAN PRASAD SAH</t>
  </si>
  <si>
    <t>160324438</t>
  </si>
  <si>
    <t>00600501221424</t>
  </si>
  <si>
    <t>1301650001749408</t>
  </si>
  <si>
    <t>KALPANA KUMARI K.C RAYAMAJHI</t>
  </si>
  <si>
    <t>GOBINDA BAHADUR K.C</t>
  </si>
  <si>
    <t>HEM BAHADUR K.C/AMAR DIP RAYAMAJHI</t>
  </si>
  <si>
    <t>35166444</t>
  </si>
  <si>
    <t>1500100005236010</t>
  </si>
  <si>
    <t>1301070000099896</t>
  </si>
  <si>
    <t>Saluja Pokharel</t>
  </si>
  <si>
    <t>Laxman Prasad pokharel</t>
  </si>
  <si>
    <t>Sundar Dahal</t>
  </si>
  <si>
    <t>7051</t>
  </si>
  <si>
    <t>3110017508303</t>
  </si>
  <si>
    <t>1301040003025938</t>
  </si>
  <si>
    <t>SUBANI THAPA</t>
  </si>
  <si>
    <t>RAKSHAK THAPA</t>
  </si>
  <si>
    <t>2080012102885</t>
  </si>
  <si>
    <t>16310017501333</t>
  </si>
  <si>
    <t>1301440000374923</t>
  </si>
  <si>
    <t>SURAJ BAHADUR SHERPA</t>
  </si>
  <si>
    <t>MINGMA NARBU SHERPA</t>
  </si>
  <si>
    <t>NIMA DORJE SHERPA</t>
  </si>
  <si>
    <t>081009/10457</t>
  </si>
  <si>
    <t>03607010263962</t>
  </si>
  <si>
    <t>1301090003215061</t>
  </si>
  <si>
    <t>PRAKASH BALAMI</t>
  </si>
  <si>
    <t>PADAM BAHADUR BALAMI/SUNTALI BALAMI</t>
  </si>
  <si>
    <t>MIN BAHADUR BALAMI</t>
  </si>
  <si>
    <t>27-06-74-00677</t>
  </si>
  <si>
    <t>00618446940</t>
  </si>
  <si>
    <t>1301060001216223</t>
  </si>
  <si>
    <t>RAJANI RAI</t>
  </si>
  <si>
    <t>SURYA BDR. RAI</t>
  </si>
  <si>
    <t>PUNAR SING RAI</t>
  </si>
  <si>
    <t>14942/16942</t>
  </si>
  <si>
    <t>0010133231200011</t>
  </si>
  <si>
    <t>1301110000034445</t>
  </si>
  <si>
    <t>JANAK RAJ PANT</t>
  </si>
  <si>
    <t>KAMAL RAJ PANT</t>
  </si>
  <si>
    <t>GIRI RAJ PANT</t>
  </si>
  <si>
    <t>17182</t>
  </si>
  <si>
    <t>30046075301</t>
  </si>
  <si>
    <t>1301060003266052</t>
  </si>
  <si>
    <t>KAILASH TAMANG</t>
  </si>
  <si>
    <t>KHAMAWA TAMANG/AITI TAMANG</t>
  </si>
  <si>
    <t>NURBU TAMANG</t>
  </si>
  <si>
    <t>241051/74</t>
  </si>
  <si>
    <t>10105080252010</t>
  </si>
  <si>
    <t>1301120004339179</t>
  </si>
  <si>
    <t>DHOUL SINGH SAUD</t>
  </si>
  <si>
    <t>UJJAL SINGH/KALASHA SAUD</t>
  </si>
  <si>
    <t>HARILAL SAUD</t>
  </si>
  <si>
    <t>73-01-70-04152</t>
  </si>
  <si>
    <t>T807010000419</t>
  </si>
  <si>
    <t>1301650001597471</t>
  </si>
  <si>
    <t>SANTOSH GIRI</t>
  </si>
  <si>
    <t>THAN GIRI</t>
  </si>
  <si>
    <t>NARSINGHA GIRI/</t>
  </si>
  <si>
    <t>51017201773</t>
  </si>
  <si>
    <t>3540100000054007</t>
  </si>
  <si>
    <t>1301060000170002</t>
  </si>
  <si>
    <t>HARI SHANKAR BUDHATHOKI</t>
  </si>
  <si>
    <t>CHUDA BAHADUR BUDHATHOKI</t>
  </si>
  <si>
    <t>SHALIGRAM BUDHATHOKI</t>
  </si>
  <si>
    <t>13266-5626</t>
  </si>
  <si>
    <t>00105080319140</t>
  </si>
  <si>
    <t>1301070001130827</t>
  </si>
  <si>
    <t>Rajeev Pariyar</t>
  </si>
  <si>
    <t>Aieta Bahadur Pariyar</t>
  </si>
  <si>
    <t>Santa Bahadur Pariyar</t>
  </si>
  <si>
    <t>431034/298</t>
  </si>
  <si>
    <t>2330668568055001</t>
  </si>
  <si>
    <t>1301630000022772</t>
  </si>
  <si>
    <t>LAXMI SHRESTHA</t>
  </si>
  <si>
    <t>RAM CHANDRA KHUJU</t>
  </si>
  <si>
    <t>HARSA BAHADUR KHUJU</t>
  </si>
  <si>
    <t>301013/167874</t>
  </si>
  <si>
    <t>2120204998800001</t>
  </si>
  <si>
    <t>1301120000247147</t>
  </si>
  <si>
    <t>DRONACHANDRA POUDEL</t>
  </si>
  <si>
    <t>CHIRANJIVI POUDEL</t>
  </si>
  <si>
    <t>CHINTAMANI POUDEL</t>
  </si>
  <si>
    <t>401040/1902</t>
  </si>
  <si>
    <t>0460000011312</t>
  </si>
  <si>
    <t>1301040000365775</t>
  </si>
  <si>
    <t>RAM BAHADUR TAMANG/MAILI TAMANG</t>
  </si>
  <si>
    <t>DHAN SING TAMANG/LAXMI TAMANG</t>
  </si>
  <si>
    <t>253041/15</t>
  </si>
  <si>
    <t>4610017501015</t>
  </si>
  <si>
    <t>1301020000144011</t>
  </si>
  <si>
    <t>SUBAS KANDANGWA</t>
  </si>
  <si>
    <t>GANGA BAHADUR LIMBU</t>
  </si>
  <si>
    <t>SUNITA RAI KANDANGWA/HARI BAHADUR LIMBU</t>
  </si>
  <si>
    <t>48/1693</t>
  </si>
  <si>
    <t>30207010000230</t>
  </si>
  <si>
    <t>1301060001138111</t>
  </si>
  <si>
    <t>BIPANA NEUPANE</t>
  </si>
  <si>
    <t>KHILA SHARMA NEUPANE</t>
  </si>
  <si>
    <t>CHIRENJIBI NEUPANE</t>
  </si>
  <si>
    <t>441026/435</t>
  </si>
  <si>
    <t>04005100250153</t>
  </si>
  <si>
    <t>1301070001644374</t>
  </si>
  <si>
    <t>suman baniya</t>
  </si>
  <si>
    <t>purna bahadur baniya</t>
  </si>
  <si>
    <t>padam bahadur baniya</t>
  </si>
  <si>
    <t>362008/1227</t>
  </si>
  <si>
    <t>05920043348</t>
  </si>
  <si>
    <t>1301250001279282</t>
  </si>
  <si>
    <t>AANVI SUBEDI</t>
  </si>
  <si>
    <t>BHARAT SUBEDI/BIPANA NEUPANE</t>
  </si>
  <si>
    <t>UMANATH SUBEDI</t>
  </si>
  <si>
    <t>2078072910494</t>
  </si>
  <si>
    <t>15922500973079000001</t>
  </si>
  <si>
    <t>1301040002157254</t>
  </si>
  <si>
    <t>KRISHANT TIMILSINA</t>
  </si>
  <si>
    <t>KRISHNA PRASAD TIMILSINA/RADHA SUBEDI TIMILSINA</t>
  </si>
  <si>
    <t>/BHUMI PRASAD TIMILSINA</t>
  </si>
  <si>
    <t>46-01-78-00725</t>
  </si>
  <si>
    <t>09810017501381</t>
  </si>
  <si>
    <t>1301670000277117</t>
  </si>
  <si>
    <t>MAIYA SUWAL</t>
  </si>
  <si>
    <t>RAM PRASAD SUWAL/JANN MAYA SUWAL</t>
  </si>
  <si>
    <t>RAJENDRA TAMRAKAR/RAM NATH SUWAL</t>
  </si>
  <si>
    <t>13946</t>
  </si>
  <si>
    <t>04912100669420000001</t>
  </si>
  <si>
    <t>1301040000541291</t>
  </si>
  <si>
    <t>LOKENDRA OLI</t>
  </si>
  <si>
    <t>NAVARAJ OLI</t>
  </si>
  <si>
    <t>JIBRAJ OLI</t>
  </si>
  <si>
    <t>55-01-75-03212</t>
  </si>
  <si>
    <t>2510017506665</t>
  </si>
  <si>
    <t>1301100000877042</t>
  </si>
  <si>
    <t>RITA KUNWAR</t>
  </si>
  <si>
    <t>KHADGA BDR KUNWAR</t>
  </si>
  <si>
    <t>TIKA RAM KUNWAR</t>
  </si>
  <si>
    <t>30-01-067-12536</t>
  </si>
  <si>
    <t>01321500404958000001</t>
  </si>
  <si>
    <t>1301260001514209</t>
  </si>
  <si>
    <t>RAM KUMAR BHANDARI</t>
  </si>
  <si>
    <t>RANA BAHADUR BHANDARI/JARMA KALA BHANDARI</t>
  </si>
  <si>
    <t>KASHI RAM BHANDARI</t>
  </si>
  <si>
    <t>632038/291</t>
  </si>
  <si>
    <t>05810017503509</t>
  </si>
  <si>
    <t>1301090000180128</t>
  </si>
  <si>
    <t>PANCHA MAYA DANGOL MAHARJAN</t>
  </si>
  <si>
    <t>RAM GOPAL MAHARJAN</t>
  </si>
  <si>
    <t>NANDA LAL MAHARJAN</t>
  </si>
  <si>
    <t>85081</t>
  </si>
  <si>
    <t>00915112947</t>
  </si>
  <si>
    <t>1301040000059114</t>
  </si>
  <si>
    <t>SHARDA MOOL</t>
  </si>
  <si>
    <t>JUKTA MAN PRADHAN</t>
  </si>
  <si>
    <t>KAMAL DAS MOOL/BAKHAT MAN PRADHAN</t>
  </si>
  <si>
    <t>6757/7168</t>
  </si>
  <si>
    <t>0210017540984</t>
  </si>
  <si>
    <t>1301140000065460</t>
  </si>
  <si>
    <t>SABIN KHADKA</t>
  </si>
  <si>
    <t>MOHAN KHADKA</t>
  </si>
  <si>
    <t>INDRA BAHADUR KHADKA</t>
  </si>
  <si>
    <t>211028/5161</t>
  </si>
  <si>
    <t>1996999971052401</t>
  </si>
  <si>
    <t>1301440000259912</t>
  </si>
  <si>
    <t>RAM KUMAR YAWA</t>
  </si>
  <si>
    <t>KHADKA BAHADRU YAWA</t>
  </si>
  <si>
    <t>DHAN BAHADUR YAWA</t>
  </si>
  <si>
    <t>021013/821</t>
  </si>
  <si>
    <t>03309015025294</t>
  </si>
  <si>
    <t>1301370005120776</t>
  </si>
  <si>
    <t>SURABI GHIMIRE</t>
  </si>
  <si>
    <t>BIKASH GHIMIRE</t>
  </si>
  <si>
    <t>SUBASI GHIMIRE</t>
  </si>
  <si>
    <t>10007</t>
  </si>
  <si>
    <t>3415751493331001</t>
  </si>
  <si>
    <t>1301650000255312</t>
  </si>
  <si>
    <t>PURNA BAHADUR KARKI / HARI MAYA RAUTE</t>
  </si>
  <si>
    <t>SHANTI KHATRI / PREM BAHADUR KARKI</t>
  </si>
  <si>
    <t>35</t>
  </si>
  <si>
    <t>1630100000767010</t>
  </si>
  <si>
    <t>1301190000012179</t>
  </si>
  <si>
    <t>KALPANA RAUT</t>
  </si>
  <si>
    <t>JHAPAT BAHADUR RAUT</t>
  </si>
  <si>
    <t>RIPU DHOJ RAUT</t>
  </si>
  <si>
    <t>23100/25100</t>
  </si>
  <si>
    <t>00120600005241000001</t>
  </si>
  <si>
    <t>1301010000548460</t>
  </si>
  <si>
    <t>BIBEK BASKOTA</t>
  </si>
  <si>
    <t>BINOD BASKOTA</t>
  </si>
  <si>
    <t>SUBARNA BASKOTA</t>
  </si>
  <si>
    <t>271058/99955</t>
  </si>
  <si>
    <t>50218424670</t>
  </si>
  <si>
    <t>1301100000343048</t>
  </si>
  <si>
    <t>SANJIB MAHATO</t>
  </si>
  <si>
    <t>RAM PRAKASH MAHATO</t>
  </si>
  <si>
    <t>SAHADEV MAHATO</t>
  </si>
  <si>
    <t>171101/175</t>
  </si>
  <si>
    <t>0300074324000011</t>
  </si>
  <si>
    <t>1301370000505169</t>
  </si>
  <si>
    <t>Banita Bastola</t>
  </si>
  <si>
    <t>Badri Prasad Bastola</t>
  </si>
  <si>
    <t>Arjun Babu Dhakal</t>
  </si>
  <si>
    <t>2623</t>
  </si>
  <si>
    <t>01900263940037</t>
  </si>
  <si>
    <t>1301260000833128</t>
  </si>
  <si>
    <t>DIPENDRA THAPA</t>
  </si>
  <si>
    <t>DEV BAHADUR THAPA/MUGAMATI THAPA</t>
  </si>
  <si>
    <t>CHAKRA BAHADUR THAPA</t>
  </si>
  <si>
    <t>491035/4661</t>
  </si>
  <si>
    <t>1530133289900011</t>
  </si>
  <si>
    <t>1301070000517257</t>
  </si>
  <si>
    <t>BAL KUMARI KHADKA</t>
  </si>
  <si>
    <t>NIR BAHADUR BASNET</t>
  </si>
  <si>
    <t>KAILASH KHADKA</t>
  </si>
  <si>
    <t>32392/063/64</t>
  </si>
  <si>
    <t>02323004828</t>
  </si>
  <si>
    <t>1301070001756792</t>
  </si>
  <si>
    <t>PRAKASH MAHARJAN</t>
  </si>
  <si>
    <t>BIMAL RAJ MAHARJAN</t>
  </si>
  <si>
    <t>JIT LAL MAHARJAN</t>
  </si>
  <si>
    <t>18942</t>
  </si>
  <si>
    <t>0360407241205001</t>
  </si>
  <si>
    <t>1301070000517261</t>
  </si>
  <si>
    <t>KRISHTINA KHADKA</t>
  </si>
  <si>
    <t>GOBINDA BAHADUR KHADKA</t>
  </si>
  <si>
    <t>06-02-80-00393</t>
  </si>
  <si>
    <t>02343003049</t>
  </si>
  <si>
    <t>1301060000321427</t>
  </si>
  <si>
    <t>MOHAN DAS RANJIT</t>
  </si>
  <si>
    <t>ANAND DAS RANJIT</t>
  </si>
  <si>
    <t>SHABRAM</t>
  </si>
  <si>
    <t>02401500119178000001</t>
  </si>
  <si>
    <t>1301040001113749</t>
  </si>
  <si>
    <t>SWAPNIL UPRETI</t>
  </si>
  <si>
    <t>JAYANT KUMAR UPRETI /NIVEDITA  SHARMA</t>
  </si>
  <si>
    <t>TIKA DATTA UPRETI /</t>
  </si>
  <si>
    <t>67-01-69-10781</t>
  </si>
  <si>
    <t>2810017505456</t>
  </si>
  <si>
    <t>1301520002157983</t>
  </si>
  <si>
    <t>HEMANTA SHRESTHA</t>
  </si>
  <si>
    <t>BHAKTA BAHADUR SHRESTHA</t>
  </si>
  <si>
    <t>JHAKENDRA BAHADUR SHRESTHA</t>
  </si>
  <si>
    <t>13-01-77-01479</t>
  </si>
  <si>
    <t>0430330183200001</t>
  </si>
  <si>
    <t>1301340000076957</t>
  </si>
  <si>
    <t>ARCHANA SHRESTHA</t>
  </si>
  <si>
    <t>YEK BAHADUR SHRESTHA/LAL KUMARI SHRESTHA</t>
  </si>
  <si>
    <t>PRAKASH SHRESTHA/DHAN BAHADUR SHRESTHA</t>
  </si>
  <si>
    <t>241053/15751</t>
  </si>
  <si>
    <t>0360828373225001</t>
  </si>
  <si>
    <t>1301120001348381</t>
  </si>
  <si>
    <t>Ganesh Bahadur Gurung</t>
  </si>
  <si>
    <t>Min Bahadur Gurung</t>
  </si>
  <si>
    <t>Jit Bahadur Gurung</t>
  </si>
  <si>
    <t>46648</t>
  </si>
  <si>
    <t>09207010001440</t>
  </si>
  <si>
    <t>1301120004733886</t>
  </si>
  <si>
    <t>ANITA PRASAI</t>
  </si>
  <si>
    <t>PREM PRASAD PRASAI</t>
  </si>
  <si>
    <t>HARI BHAKTA PRASAI</t>
  </si>
  <si>
    <t>33843/3379</t>
  </si>
  <si>
    <t>05807010148689</t>
  </si>
  <si>
    <t>1301370000071751</t>
  </si>
  <si>
    <t>Aja Bahadur Shahi</t>
  </si>
  <si>
    <t>Surath Bahadur Shahi</t>
  </si>
  <si>
    <t>Jay Lal Shahi</t>
  </si>
  <si>
    <t>5188</t>
  </si>
  <si>
    <t>1169390667524001</t>
  </si>
  <si>
    <t>1301760000443682</t>
  </si>
  <si>
    <t>RAM GURUNG</t>
  </si>
  <si>
    <t>BILL PRASAD GURUNG</t>
  </si>
  <si>
    <t>GANJA SINGH GURUNG</t>
  </si>
  <si>
    <t>45-01-71-00337</t>
  </si>
  <si>
    <t>06710900916081000001</t>
  </si>
  <si>
    <t>1301040000058159</t>
  </si>
  <si>
    <t>SHYAM HARI LAUDARI</t>
  </si>
  <si>
    <t>DHARMANANDA LAUDARI</t>
  </si>
  <si>
    <t>SHANTA WOSTI LAUDARI/KRISHNA DATTA LAUDARI</t>
  </si>
  <si>
    <t>264/36523</t>
  </si>
  <si>
    <t>0210017236601</t>
  </si>
  <si>
    <t>1301120003191777</t>
  </si>
  <si>
    <t>KALPANA DEVI TIWARI</t>
  </si>
  <si>
    <t>KRISHNA PRASAD TIWARI</t>
  </si>
  <si>
    <t>DEVI PRASAD TIWARI</t>
  </si>
  <si>
    <t>51-01-77-02723</t>
  </si>
  <si>
    <t>11207010003726</t>
  </si>
  <si>
    <t>1301040000303456</t>
  </si>
  <si>
    <t>BELI BALAMI</t>
  </si>
  <si>
    <t>CHUNI LAL BALAMI/RAM MAYA BALAMI</t>
  </si>
  <si>
    <t>HARSHA LAL BALAMI</t>
  </si>
  <si>
    <t>45/897</t>
  </si>
  <si>
    <t>1510017506461</t>
  </si>
  <si>
    <t>1301260000152803</t>
  </si>
  <si>
    <t>RABINA SHAKYA</t>
  </si>
  <si>
    <t>DRABYA RATNA SHAKYA</t>
  </si>
  <si>
    <t>BUDDHA RATNA SHAKYA</t>
  </si>
  <si>
    <t>2953/046</t>
  </si>
  <si>
    <t>1190073630600012</t>
  </si>
  <si>
    <t>1301370007415358</t>
  </si>
  <si>
    <t>JITENDRA RASAILI</t>
  </si>
  <si>
    <t>PADAM BAHADUR SUNAR</t>
  </si>
  <si>
    <t>BIRKHA LAL SUNAR</t>
  </si>
  <si>
    <t>90392</t>
  </si>
  <si>
    <t>2805752823820001</t>
  </si>
  <si>
    <t>1301120001327724</t>
  </si>
  <si>
    <t>AAYAM KAINI</t>
  </si>
  <si>
    <t>TIKARAJ KAINI/MANDIRA KAINI</t>
  </si>
  <si>
    <t>DANDAPANI KAINI</t>
  </si>
  <si>
    <t>2068113001601</t>
  </si>
  <si>
    <t>03510606653785000001</t>
  </si>
  <si>
    <t>1301370003438462</t>
  </si>
  <si>
    <t>SUNIL SURYABANSI</t>
  </si>
  <si>
    <t>DIL BAHADUR SURYABANKSHI</t>
  </si>
  <si>
    <t>TIL BAHADUR</t>
  </si>
  <si>
    <t>39-02-75-00985</t>
  </si>
  <si>
    <t>0325751167857001</t>
  </si>
  <si>
    <t>1301090000643808</t>
  </si>
  <si>
    <t>INDIRA BAHADUR BHUJEL</t>
  </si>
  <si>
    <t>DILLI  BAHADUR BHUJEL</t>
  </si>
  <si>
    <t>CHITRA BAHADUR BHUJEL</t>
  </si>
  <si>
    <t>20-01-61-04666</t>
  </si>
  <si>
    <t>02115072355</t>
  </si>
  <si>
    <t>1301260000148710</t>
  </si>
  <si>
    <t>GOBINDA RIJAL</t>
  </si>
  <si>
    <t>KAMAL BAHADUR RIJAL /REWATI DEBI RIJAL</t>
  </si>
  <si>
    <t>NARBAHADUR RIJAL</t>
  </si>
  <si>
    <t>533049/244</t>
  </si>
  <si>
    <t>1050101390400013</t>
  </si>
  <si>
    <t>1301570001033171</t>
  </si>
  <si>
    <t>MANOJ DAHAL</t>
  </si>
  <si>
    <t>PITAMBAR DAHAL/PABITRA DAHAL</t>
  </si>
  <si>
    <t>SHIVA RASAD DAHAL</t>
  </si>
  <si>
    <t>042046/1313</t>
  </si>
  <si>
    <t>08410707575770000001</t>
  </si>
  <si>
    <t>1301570000467680</t>
  </si>
  <si>
    <t>ALISH BUDHA</t>
  </si>
  <si>
    <t>TIRTH BAHADUR BUDHA /BIRMA GIRI</t>
  </si>
  <si>
    <t>BIRKA BAHADUR BUDHA</t>
  </si>
  <si>
    <t>12</t>
  </si>
  <si>
    <t>00210607058818000001</t>
  </si>
  <si>
    <t>1301580000156147</t>
  </si>
  <si>
    <t>MANISHA KOIRALA</t>
  </si>
  <si>
    <t>DEVRAJ KOIRALA/ UMA KOIRALA</t>
  </si>
  <si>
    <t>NARAYAN PRASAD KOIRALA</t>
  </si>
  <si>
    <t>78966</t>
  </si>
  <si>
    <t>015000008910N</t>
  </si>
  <si>
    <t>1301570001039057</t>
  </si>
  <si>
    <t>ASHREEYA OLI</t>
  </si>
  <si>
    <t>RAJESH OLI/SANJU BASNET</t>
  </si>
  <si>
    <t>DHAN BAHADUR OLI</t>
  </si>
  <si>
    <t>2078071008563</t>
  </si>
  <si>
    <t>00210607590301000001</t>
  </si>
  <si>
    <t>1301260002714584</t>
  </si>
  <si>
    <t>NETRA BAHADUR HAMAL</t>
  </si>
  <si>
    <t>LILA BAHADUR THAKURI/YAGYA KUMARI THAKURI</t>
  </si>
  <si>
    <t>NIR BAHADUR THAKURI</t>
  </si>
  <si>
    <t>69127</t>
  </si>
  <si>
    <t>0380229971700015</t>
  </si>
  <si>
    <t>1301060001409657</t>
  </si>
  <si>
    <t>SANTOSH SHRESTHA</t>
  </si>
  <si>
    <t>SATYA NARAYAN SHRESTHA</t>
  </si>
  <si>
    <t>221012/10</t>
  </si>
  <si>
    <t>02304640180017</t>
  </si>
  <si>
    <t>1301100000438727</t>
  </si>
  <si>
    <t>DURGA DHAKAL</t>
  </si>
  <si>
    <t>DEVI PRASAD DHAKAL</t>
  </si>
  <si>
    <t>SHIVA DATTA DHAKAL</t>
  </si>
  <si>
    <t>747</t>
  </si>
  <si>
    <t>06620700371251000001</t>
  </si>
  <si>
    <t>1301040001697100</t>
  </si>
  <si>
    <t>APSARA KARKI</t>
  </si>
  <si>
    <t>GANESH RAJ KARKI/OM KUMARI KARKI</t>
  </si>
  <si>
    <t>MANI KUMAR NEPAL/KARNA RAJ KARKI</t>
  </si>
  <si>
    <t>3415/3558</t>
  </si>
  <si>
    <t>1910017506587</t>
  </si>
  <si>
    <t>1301040002318136</t>
  </si>
  <si>
    <t>SANTOSH BUDHA</t>
  </si>
  <si>
    <t>BHEGUTYA BUDHA/KALU BUDHA</t>
  </si>
  <si>
    <t>MANJU BUDHA/KARNA BUDHA</t>
  </si>
  <si>
    <t>59-02-75/00070</t>
  </si>
  <si>
    <t>05810017511863</t>
  </si>
  <si>
    <t>1301070001753090</t>
  </si>
  <si>
    <t>RAM KRISHNA NEPALI</t>
  </si>
  <si>
    <t>GORE DAMAI (NEPALI)/HARI KUMARI NEPALI</t>
  </si>
  <si>
    <t>THUTE DAMAI NEPALI/URMILA NEPALI</t>
  </si>
  <si>
    <t>25455/110023</t>
  </si>
  <si>
    <t>01420002526</t>
  </si>
  <si>
    <t>1301090000129704</t>
  </si>
  <si>
    <t>BHUVANESWORI KUMARI UPADHYAY</t>
  </si>
  <si>
    <t>GAURI LAL UPADHYAY</t>
  </si>
  <si>
    <t>PRAYAG RAJ UPADHYAY</t>
  </si>
  <si>
    <t>711017</t>
  </si>
  <si>
    <t>1420100041703010</t>
  </si>
  <si>
    <t>1301520001627535</t>
  </si>
  <si>
    <t>NAWARAJ SHRESTHA</t>
  </si>
  <si>
    <t>GOPI KRISHNA SHRESTHA</t>
  </si>
  <si>
    <t>BUDDHA LAL SHRESTHA</t>
  </si>
  <si>
    <t>30-01-78-07167</t>
  </si>
  <si>
    <t>0050126807300001</t>
  </si>
  <si>
    <t>1301060002363116</t>
  </si>
  <si>
    <t>KALPANA KUMARI BHAT</t>
  </si>
  <si>
    <t>PRASADE BHAT / ISHARA DEVI BHAT</t>
  </si>
  <si>
    <t>JAGAT PRASAD BAHT / SAGAR PRASAD CHAUDHARY</t>
  </si>
  <si>
    <t>1665</t>
  </si>
  <si>
    <t>04905080253048</t>
  </si>
  <si>
    <t>1301100003230908</t>
  </si>
  <si>
    <t>SAGAR KHADKA</t>
  </si>
  <si>
    <t>YAGYA BAHADUR KHADKA</t>
  </si>
  <si>
    <t>04-02-72-01136</t>
  </si>
  <si>
    <t>0790207556200016</t>
  </si>
  <si>
    <t>1301370000150696</t>
  </si>
  <si>
    <t>Sudin Manandhar</t>
  </si>
  <si>
    <t>Surya Narayan Manandhar</t>
  </si>
  <si>
    <t>Bekha Narayan Manandhar</t>
  </si>
  <si>
    <t>19573</t>
  </si>
  <si>
    <t>05011200281508000001</t>
  </si>
  <si>
    <t>1301040002414231</t>
  </si>
  <si>
    <t>RUPA BADAL</t>
  </si>
  <si>
    <t>SHREEKRISHNA BADAL/SANTAMAYA SHRESTHA</t>
  </si>
  <si>
    <t>RAJAN SHRESTHA/INDRA BAHADUR BADAL</t>
  </si>
  <si>
    <t>30 01-068-27946</t>
  </si>
  <si>
    <t>12110017501074</t>
  </si>
  <si>
    <t>1301610001269546</t>
  </si>
  <si>
    <t>PRAKASH BHANDARI</t>
  </si>
  <si>
    <t>THAG BAHADUR BHANDARI</t>
  </si>
  <si>
    <t>LOK BAHADUR CHHETRI</t>
  </si>
  <si>
    <t>421009/233</t>
  </si>
  <si>
    <t>0190034781700011</t>
  </si>
  <si>
    <t>1301370000950864</t>
  </si>
  <si>
    <t>Madhav Shrestha</t>
  </si>
  <si>
    <t>Chet Man Shrestha</t>
  </si>
  <si>
    <t>Bishnu Das Shrestha</t>
  </si>
  <si>
    <t>7361/749</t>
  </si>
  <si>
    <t>3387986094952401</t>
  </si>
  <si>
    <t>1301610001846304</t>
  </si>
  <si>
    <t>BHAWANA SHRESTHA</t>
  </si>
  <si>
    <t>DEVCHANDRA SHRESTHA</t>
  </si>
  <si>
    <t>DURGA NARAYAN SHRESTHA</t>
  </si>
  <si>
    <t>1811</t>
  </si>
  <si>
    <t>1400990331500018</t>
  </si>
  <si>
    <t>1301390000229975</t>
  </si>
  <si>
    <t>SANGAM ACHARYA</t>
  </si>
  <si>
    <t>SHANKAR KUMAR ACHARYA</t>
  </si>
  <si>
    <t>NARDEV ACHARYA</t>
  </si>
  <si>
    <t>2026/2440</t>
  </si>
  <si>
    <t>0350026699500012</t>
  </si>
  <si>
    <t>1301370006602313</t>
  </si>
  <si>
    <t>SIKANDER BAHADUR KUNWAR</t>
  </si>
  <si>
    <t>SIDDHA BAHADUR KUNWAR</t>
  </si>
  <si>
    <t>KESAR KUNWAR</t>
  </si>
  <si>
    <t>672040/3219</t>
  </si>
  <si>
    <t>0285752663429001</t>
  </si>
  <si>
    <t>1301250000711490</t>
  </si>
  <si>
    <t>PRAYUSI BHANDARI</t>
  </si>
  <si>
    <t>SHESRAJ BHANDARI/SANGITA GAUTAM BHANDARI</t>
  </si>
  <si>
    <t>BHOJRAJ BHANDARI</t>
  </si>
  <si>
    <t>2075100504383</t>
  </si>
  <si>
    <t>04920700665944000001</t>
  </si>
  <si>
    <t>1301620000015067</t>
  </si>
  <si>
    <t>Nayan Krishna Joshi</t>
  </si>
  <si>
    <t>Arjun Krishna Joshi/ Shanti Joshi</t>
  </si>
  <si>
    <t>Bhairab Lal JOshi</t>
  </si>
  <si>
    <t>73544</t>
  </si>
  <si>
    <t>GUHESHWORI MERCHANT BANKING FINANCE LTD.(9915)</t>
  </si>
  <si>
    <t>10111000009422</t>
  </si>
  <si>
    <t>1301240000790342</t>
  </si>
  <si>
    <t>PREM KUMAR KARKI</t>
  </si>
  <si>
    <t>21-01-70-40042</t>
  </si>
  <si>
    <t>0810775430299001</t>
  </si>
  <si>
    <t>1301440000229391</t>
  </si>
  <si>
    <t>OSIN LAMA</t>
  </si>
  <si>
    <t>SAILA TAMANG</t>
  </si>
  <si>
    <t>KAJI MAN BLON</t>
  </si>
  <si>
    <t>01067-5228</t>
  </si>
  <si>
    <t>03309015009652</t>
  </si>
  <si>
    <t>1301100003012840</t>
  </si>
  <si>
    <t>HUKUM SINGH GURUNG</t>
  </si>
  <si>
    <t>HOM PRASAD GURUNG</t>
  </si>
  <si>
    <t>MAN LAL GURUNG</t>
  </si>
  <si>
    <t>18372</t>
  </si>
  <si>
    <t>1230112751600016</t>
  </si>
  <si>
    <t>1301120003615353</t>
  </si>
  <si>
    <t>SURAJ GHIMIRE</t>
  </si>
  <si>
    <t>TEK BAHADUR GHIMIRE</t>
  </si>
  <si>
    <t>BHIM BAHADUR GHIMIRE</t>
  </si>
  <si>
    <t>362006-970</t>
  </si>
  <si>
    <t>03309018102340</t>
  </si>
  <si>
    <t>1301090002520632</t>
  </si>
  <si>
    <t>DHIRAJ BISHWAS</t>
  </si>
  <si>
    <t>BAIJU BISHWAS</t>
  </si>
  <si>
    <t>BIRJU BISHWAS</t>
  </si>
  <si>
    <t>05-01-74-10085</t>
  </si>
  <si>
    <t>00315177632</t>
  </si>
  <si>
    <t>1301530000660891</t>
  </si>
  <si>
    <t>BIRENDRA KUMAR SHRESTHA/USHA SHRESTHA</t>
  </si>
  <si>
    <t>MAN BAHADUR SHRESTHA</t>
  </si>
  <si>
    <t>55-01-75-01261</t>
  </si>
  <si>
    <t>42015243400042</t>
  </si>
  <si>
    <t>1301120004288019</t>
  </si>
  <si>
    <t>AAN SINGH BADAL</t>
  </si>
  <si>
    <t>BIR SINGH BADAL/KALI DEVI BADAL</t>
  </si>
  <si>
    <t>MAHADEV BADAL/CHADANI KHATI BADAL</t>
  </si>
  <si>
    <t>72/1/13/63424</t>
  </si>
  <si>
    <t>19007010001925</t>
  </si>
  <si>
    <t>1301140000088621</t>
  </si>
  <si>
    <t>NAVIN KUMAR ACHARYA</t>
  </si>
  <si>
    <t>DHURBA ACHARYA</t>
  </si>
  <si>
    <t>DEVI PRASAD ACHARYA</t>
  </si>
  <si>
    <t>1750</t>
  </si>
  <si>
    <t>02807010003355</t>
  </si>
  <si>
    <t>1301220000018357</t>
  </si>
  <si>
    <t>GITA SAMBA LIMBU</t>
  </si>
  <si>
    <t>DHAN PRASAD LIMBU</t>
  </si>
  <si>
    <t>JESH BAHADUR LIMBU</t>
  </si>
  <si>
    <t>36863/4353</t>
  </si>
  <si>
    <t>18113900201</t>
  </si>
  <si>
    <t>1301710000001786</t>
  </si>
  <si>
    <t>Dinesh Prasad Mainali</t>
  </si>
  <si>
    <t>Krishna Prasad Mainali</t>
  </si>
  <si>
    <t>Shiva Narayan Mainali</t>
  </si>
  <si>
    <t>24180</t>
  </si>
  <si>
    <t>17715240037399</t>
  </si>
  <si>
    <t>1301790000526158</t>
  </si>
  <si>
    <t>AASIF RAJA ALAM</t>
  </si>
  <si>
    <t>MANZOOR ALAM/SAHJAHAN KHATUN</t>
  </si>
  <si>
    <t>HADIS MIYA</t>
  </si>
  <si>
    <t>34-01-74-08779</t>
  </si>
  <si>
    <t>06401300470978000001</t>
  </si>
  <si>
    <t>1301370000063651</t>
  </si>
  <si>
    <t>Ganga Pradhan</t>
  </si>
  <si>
    <t>Chiniya Lal Pradhan</t>
  </si>
  <si>
    <t>Krishna Mehar Pradhan</t>
  </si>
  <si>
    <t>28-01-71-02445</t>
  </si>
  <si>
    <t>05510400212912000001</t>
  </si>
  <si>
    <t>1301120005371533</t>
  </si>
  <si>
    <t>ARUN KUMAR RAI</t>
  </si>
  <si>
    <t>SUMAN RAI</t>
  </si>
  <si>
    <t>JASDHWAJ RAI</t>
  </si>
  <si>
    <t>03-01-73-03953</t>
  </si>
  <si>
    <t>04007010086790</t>
  </si>
  <si>
    <t>1301370003254149</t>
  </si>
  <si>
    <t>NETRA PRASAD POKHREL</t>
  </si>
  <si>
    <t>KRISHNA PRASAD POKHREL</t>
  </si>
  <si>
    <t>URMIOLA DEVI POKHREL</t>
  </si>
  <si>
    <t>10162/882</t>
  </si>
  <si>
    <t>1295751131631001</t>
  </si>
  <si>
    <t>1301070000912535</t>
  </si>
  <si>
    <t>Bhumiraj Kunwar</t>
  </si>
  <si>
    <t>Beg Bahadur Kunwar</t>
  </si>
  <si>
    <t>Bal Bahadur Kunwar</t>
  </si>
  <si>
    <t>502056/15437</t>
  </si>
  <si>
    <t>05655000199</t>
  </si>
  <si>
    <t>1301020000146760</t>
  </si>
  <si>
    <t>GAURI MAYA SAPKOTA</t>
  </si>
  <si>
    <t>HUTA NANDA SAPKOTA</t>
  </si>
  <si>
    <t>SHAILESH POKHAREL/JAGA PATI SAPKOTA</t>
  </si>
  <si>
    <t>3661</t>
  </si>
  <si>
    <t>0507400292001010</t>
  </si>
  <si>
    <t>1301100000402597</t>
  </si>
  <si>
    <t>RAJ KUMAR DEVKOTA</t>
  </si>
  <si>
    <t>JAGAT PRASAD DEVKOTA</t>
  </si>
  <si>
    <t>PRAM LAL DEVKOTA</t>
  </si>
  <si>
    <t>27226</t>
  </si>
  <si>
    <t>0660033525000013</t>
  </si>
  <si>
    <t>1301370000205381</t>
  </si>
  <si>
    <t>Gopal Bahadur Thapa Kshetri</t>
  </si>
  <si>
    <t>Nar Bahadur Thapa Kshetri</t>
  </si>
  <si>
    <t>Dharma Dhoj Thapa Kshetri</t>
  </si>
  <si>
    <t>18600104</t>
  </si>
  <si>
    <t>6765377187524001</t>
  </si>
  <si>
    <t>1301090003179222</t>
  </si>
  <si>
    <t>AADESH KHAMBU</t>
  </si>
  <si>
    <t>JEBI RAI</t>
  </si>
  <si>
    <t>BALAM DHOJ RAI</t>
  </si>
  <si>
    <t>10-01-71-00188</t>
  </si>
  <si>
    <t>02616005750</t>
  </si>
  <si>
    <t>1301060000476288</t>
  </si>
  <si>
    <t>ANISHA SHRESTHA</t>
  </si>
  <si>
    <t>KRISHNA BAHADUR SHRESTHA/TARA DEVI SHRESTHA</t>
  </si>
  <si>
    <t>TIKA BAHADUR SHRESTHA</t>
  </si>
  <si>
    <t>271060/43001</t>
  </si>
  <si>
    <t>038000012410N</t>
  </si>
  <si>
    <t>1301090004420442</t>
  </si>
  <si>
    <t>ANUP MAHARJAN</t>
  </si>
  <si>
    <t>TIRTHA MAHARJAN</t>
  </si>
  <si>
    <t>SAICHA MAHARJAN</t>
  </si>
  <si>
    <t>27-01-76-11172</t>
  </si>
  <si>
    <t>00120472130</t>
  </si>
  <si>
    <t>1301240000439259</t>
  </si>
  <si>
    <t>GOPAL THAPA</t>
  </si>
  <si>
    <t>GAURI THAPA</t>
  </si>
  <si>
    <t>prem bahadur thapa</t>
  </si>
  <si>
    <t>29-01-70-01544</t>
  </si>
  <si>
    <t>0180388181209001</t>
  </si>
  <si>
    <t>1301370001542350</t>
  </si>
  <si>
    <t>Ram Naresh Yadav</t>
  </si>
  <si>
    <t>Ram Dev Ray Yadav</t>
  </si>
  <si>
    <t>Benee Ray Yadav</t>
  </si>
  <si>
    <t>87420006</t>
  </si>
  <si>
    <t>1400238765524001</t>
  </si>
  <si>
    <t>1301610000177029</t>
  </si>
  <si>
    <t>NAGENDRA MANI SHRESTHA</t>
  </si>
  <si>
    <t>NARA BIR SHRESTHA</t>
  </si>
  <si>
    <t>14962</t>
  </si>
  <si>
    <t>0200008971800012</t>
  </si>
  <si>
    <t>1301120002820845</t>
  </si>
  <si>
    <t>bhim kumar gaire</t>
  </si>
  <si>
    <t>bal bahadur gaire</t>
  </si>
  <si>
    <t>dal bahadur sarki</t>
  </si>
  <si>
    <t>451060/14618</t>
  </si>
  <si>
    <t>16107010000420</t>
  </si>
  <si>
    <t>1301480000037010</t>
  </si>
  <si>
    <t>DIPENDRA KC</t>
  </si>
  <si>
    <t>KRITI BAHADUR KC</t>
  </si>
  <si>
    <t>RANA DHOJ KC</t>
  </si>
  <si>
    <t>219</t>
  </si>
  <si>
    <t>0010000031800018</t>
  </si>
  <si>
    <t>1301100000970791</t>
  </si>
  <si>
    <t>LAXMAN KUMAR SHRESTHA</t>
  </si>
  <si>
    <t>BUDDHI DAS SHRESTHA</t>
  </si>
  <si>
    <t>TEJ MAN SHRESTHA/BHOJ KUMARI SHRESTHA</t>
  </si>
  <si>
    <t>5571</t>
  </si>
  <si>
    <t>0210011588600012</t>
  </si>
  <si>
    <t>1301370001621981</t>
  </si>
  <si>
    <t>Menuka Paudel</t>
  </si>
  <si>
    <t>Shiv Prasad Paudel</t>
  </si>
  <si>
    <t>Chudamani Paudel</t>
  </si>
  <si>
    <t>671007/13204</t>
  </si>
  <si>
    <t>3957034109752401</t>
  </si>
  <si>
    <t>1301120000386671</t>
  </si>
  <si>
    <t>SUNIL MAHARJAN</t>
  </si>
  <si>
    <t>LOK BAHADUR MAHARJAN</t>
  </si>
  <si>
    <t>MAHILA MAHARJAN</t>
  </si>
  <si>
    <t>28-01-067-06306</t>
  </si>
  <si>
    <t>08007010004926</t>
  </si>
  <si>
    <t>1301090001428878</t>
  </si>
  <si>
    <t>GYANENDRA BAHADUR BOGATI</t>
  </si>
  <si>
    <t>DHRUB BAHADUR BOGATI/RADHA BOGATI</t>
  </si>
  <si>
    <t>KRISHNA BAHADUR/GITA CHAUDHARY</t>
  </si>
  <si>
    <t>57107</t>
  </si>
  <si>
    <t>02015134715</t>
  </si>
  <si>
    <t>1301480000032956</t>
  </si>
  <si>
    <t>PRAVEEN SHRESTHA</t>
  </si>
  <si>
    <t>4712</t>
  </si>
  <si>
    <t>4910017503306</t>
  </si>
  <si>
    <t>1301370003211495</t>
  </si>
  <si>
    <t>KEWAL BUDHATHOKI</t>
  </si>
  <si>
    <t>BHIM BAHADUR BUDHATHOKI</t>
  </si>
  <si>
    <t>PADAM BAHADUR BUDHATHOKI</t>
  </si>
  <si>
    <t>03-01-72-00294</t>
  </si>
  <si>
    <t>2898634953524001</t>
  </si>
  <si>
    <t>1301480000063961</t>
  </si>
  <si>
    <t>AMIR MAN RAJBHANDARI</t>
  </si>
  <si>
    <t>KRISHNA MAN RAJBHANDARI</t>
  </si>
  <si>
    <t>JIT MAN RAJBHANDARI</t>
  </si>
  <si>
    <t>1842</t>
  </si>
  <si>
    <t>1420100021953010</t>
  </si>
  <si>
    <t>1301120001126066</t>
  </si>
  <si>
    <t>Til Chandra Acharya</t>
  </si>
  <si>
    <t>Shiva Lal Acharya/Manma Kumari Acharya</t>
  </si>
  <si>
    <t>Ratna Lal Acharya/Tika Bista Acharya</t>
  </si>
  <si>
    <t>3640/42291</t>
  </si>
  <si>
    <t>05007010004654</t>
  </si>
  <si>
    <t>1301120004427926</t>
  </si>
  <si>
    <t>INDRA MAN BALAMI</t>
  </si>
  <si>
    <t>SURYA MAN BALAMI/RAMPAYRI BALAMI</t>
  </si>
  <si>
    <t>BISHNU MAN BALAMI</t>
  </si>
  <si>
    <t>2244</t>
  </si>
  <si>
    <t>23909018100069</t>
  </si>
  <si>
    <t>1301170001177993</t>
  </si>
  <si>
    <t>DIKSHYA KAFLE</t>
  </si>
  <si>
    <t>DIPAK KAFLE</t>
  </si>
  <si>
    <t>NATH BAHADUR KAFLE</t>
  </si>
  <si>
    <t>05-02-75-03715</t>
  </si>
  <si>
    <t>0560100000018045</t>
  </si>
  <si>
    <t>1301610000788072</t>
  </si>
  <si>
    <t>SABITRA PAUDEL</t>
  </si>
  <si>
    <t>BUDDHI SAGAR PAUDEL</t>
  </si>
  <si>
    <t>HARI PRASAD UPADHYAY</t>
  </si>
  <si>
    <t>87652</t>
  </si>
  <si>
    <t>0070077818300011</t>
  </si>
  <si>
    <t>1301070001191169</t>
  </si>
  <si>
    <t>SUJATA KHADKA</t>
  </si>
  <si>
    <t>GOPAL BAHADUR KHADKA/RANJANA KHADKA</t>
  </si>
  <si>
    <t>PHATA BAHADUR KHADKA</t>
  </si>
  <si>
    <t>21-01-71-48870</t>
  </si>
  <si>
    <t>13123001081</t>
  </si>
  <si>
    <t>1301770000328516</t>
  </si>
  <si>
    <t>SHOVIT KUMAR SAH</t>
  </si>
  <si>
    <t>CHANDRESHOWER SAH/SONIYA SAH</t>
  </si>
  <si>
    <t>SATYANARAYAN SAH/</t>
  </si>
  <si>
    <t>88933404</t>
  </si>
  <si>
    <t>1301170002192975</t>
  </si>
  <si>
    <t>PRABIN KARKI</t>
  </si>
  <si>
    <t>KATAK BAHADUR KARKI</t>
  </si>
  <si>
    <t>MAN BAHADUR KARKI</t>
  </si>
  <si>
    <t>131045/339</t>
  </si>
  <si>
    <t>0090100003345041</t>
  </si>
  <si>
    <t>1301310000065517</t>
  </si>
  <si>
    <t>SHYAM BAHADUR SHRESTHA</t>
  </si>
  <si>
    <t>6355</t>
  </si>
  <si>
    <t>0390028362100018</t>
  </si>
  <si>
    <t>1301040002656576</t>
  </si>
  <si>
    <t>ADITYA GAIN</t>
  </si>
  <si>
    <t>ASHWANI KUMAR GAIN/PUNAM KUMARI</t>
  </si>
  <si>
    <t>/BAIDANATH GAIN</t>
  </si>
  <si>
    <t>15-01-78-16678</t>
  </si>
  <si>
    <t>09810017527474</t>
  </si>
  <si>
    <t>1301370000498680</t>
  </si>
  <si>
    <t>Binod Jung Rana</t>
  </si>
  <si>
    <t>Udit Jung Rana</t>
  </si>
  <si>
    <t>Prachanda Jung Rana</t>
  </si>
  <si>
    <t>62731</t>
  </si>
  <si>
    <t>3769479870524001</t>
  </si>
  <si>
    <t>1301120001940181</t>
  </si>
  <si>
    <t>DRISTI SAPKOTA</t>
  </si>
  <si>
    <t>DILA RAM SAPKOTA/YAMUNA DEVI SAPKOTA</t>
  </si>
  <si>
    <t>27-01-76-06007</t>
  </si>
  <si>
    <t>18607010009099</t>
  </si>
  <si>
    <t>1301110000468151</t>
  </si>
  <si>
    <t>AAYUSH KUMAR LAL DAS</t>
  </si>
  <si>
    <t>PRAMOD KUMAR LAL DAS</t>
  </si>
  <si>
    <t>KHOM LAL SUBEDI</t>
  </si>
  <si>
    <t>37-01-76-10931</t>
  </si>
  <si>
    <t>32107010015516</t>
  </si>
  <si>
    <t>1301650001884315</t>
  </si>
  <si>
    <t>POOJA PANDEY</t>
  </si>
  <si>
    <t>SANTOSH KUMAR PANDEY</t>
  </si>
  <si>
    <t>RAM ACHAL PANDEY/PRAMESH TRIPATHI</t>
  </si>
  <si>
    <t>380106709667</t>
  </si>
  <si>
    <t>1480100000020011</t>
  </si>
  <si>
    <t>1301240000542256</t>
  </si>
  <si>
    <t>YAM PRASAD PANDEY</t>
  </si>
  <si>
    <t>PURNA PRASAD PANDEY</t>
  </si>
  <si>
    <t>DEVI DATTA PANDEY</t>
  </si>
  <si>
    <t>522041-3862</t>
  </si>
  <si>
    <t>0710799338216001</t>
  </si>
  <si>
    <t>1301090003484161</t>
  </si>
  <si>
    <t>DHAN PRASAD CHARMAKAR</t>
  </si>
  <si>
    <t>DIL KUMAR CHARMAKAR</t>
  </si>
  <si>
    <t>LOKMAN CHARMAKAR</t>
  </si>
  <si>
    <t>053013/704</t>
  </si>
  <si>
    <t>00719039006</t>
  </si>
  <si>
    <t>1301440000077180</t>
  </si>
  <si>
    <t>Shankar Budhathoki</t>
  </si>
  <si>
    <t>Ganesh Bahadur Budhathoki</t>
  </si>
  <si>
    <t>Bhuban Singh Budhathoki</t>
  </si>
  <si>
    <t>51896</t>
  </si>
  <si>
    <t>1280100000313104</t>
  </si>
  <si>
    <t>1301040001522565</t>
  </si>
  <si>
    <t>SIRIJ GURUNG</t>
  </si>
  <si>
    <t>KULBIR GURUNG/SHYAM KUMARI GURUNG</t>
  </si>
  <si>
    <t>YAM BAHADUR GURUNG/</t>
  </si>
  <si>
    <t>42-01-74-04352</t>
  </si>
  <si>
    <t>01210017526393</t>
  </si>
  <si>
    <t>1301120001949944</t>
  </si>
  <si>
    <t>SITESH BHATTARAI</t>
  </si>
  <si>
    <t>NEERAJ KUMAR BHATTARAI</t>
  </si>
  <si>
    <t>BISHWESH PRASAD BHATTARAI</t>
  </si>
  <si>
    <t>7864</t>
  </si>
  <si>
    <t>19708010000850</t>
  </si>
  <si>
    <t>1301650000019132</t>
  </si>
  <si>
    <t>RAJENDRA KUMAR RAUT</t>
  </si>
  <si>
    <t>GYANEDRA BAHADUR RAUT/ JANUKA DEVI RAUT</t>
  </si>
  <si>
    <t>MINA KUMARI KHADKA / GANGA BAHADUR RAUT</t>
  </si>
  <si>
    <t>41103408</t>
  </si>
  <si>
    <t>1280100005946010</t>
  </si>
  <si>
    <t>1301370005615192</t>
  </si>
  <si>
    <t>KRISHNA SAH</t>
  </si>
  <si>
    <t>LAXMI NARAYAN SAH SUDI</t>
  </si>
  <si>
    <t>RAM GULAM SAH</t>
  </si>
  <si>
    <t>171049/311</t>
  </si>
  <si>
    <t>1685751761924003</t>
  </si>
  <si>
    <t>1301370000081164</t>
  </si>
  <si>
    <t>Durga Prasad Aryal</t>
  </si>
  <si>
    <t>Ganga Ram Aryal</t>
  </si>
  <si>
    <t>Gangadhar Aryal</t>
  </si>
  <si>
    <t>36389</t>
  </si>
  <si>
    <t>2169400825524001</t>
  </si>
  <si>
    <t>1301260000810273</t>
  </si>
  <si>
    <t>LAVISHA SINGH</t>
  </si>
  <si>
    <t>BISHNU SINGH/DEBAKI CHAND</t>
  </si>
  <si>
    <t>AIN BAHADUR SINGH</t>
  </si>
  <si>
    <t>100608</t>
  </si>
  <si>
    <t>0780170924700018</t>
  </si>
  <si>
    <t>1301370000883188</t>
  </si>
  <si>
    <t>Sudhan Kumar Shrestha</t>
  </si>
  <si>
    <t>Dilli Bahadur Shrestha</t>
  </si>
  <si>
    <t>Tek Bahadur Shrestha</t>
  </si>
  <si>
    <t>5118/736</t>
  </si>
  <si>
    <t>2687592878524001</t>
  </si>
  <si>
    <t>1301040001567940</t>
  </si>
  <si>
    <t>SUMAN THAPA MAGAR</t>
  </si>
  <si>
    <t>TEK BAHADUR  THAPA MAGAR/DEVI MAYA THAPA MAGAR</t>
  </si>
  <si>
    <t>CHITRA BAHADUR THAPA MAGAR/</t>
  </si>
  <si>
    <t>203014/75</t>
  </si>
  <si>
    <t>04110017505507</t>
  </si>
  <si>
    <t>1301310000073735</t>
  </si>
  <si>
    <t>MANOJ BAHADUR NYACHHYON</t>
  </si>
  <si>
    <t>PUSPA BAHADUR NYACHHYON</t>
  </si>
  <si>
    <t>PUSPA BAHADUR NYACHHYON/GITA MAIYA SHRESTHA</t>
  </si>
  <si>
    <t>6350</t>
  </si>
  <si>
    <t>00405010037215</t>
  </si>
  <si>
    <t>1301090004369971</t>
  </si>
  <si>
    <t>PHURSANGMU SHERPA TAMANG</t>
  </si>
  <si>
    <t>CHHIRING FINJU SHERPA</t>
  </si>
  <si>
    <t>SONAM SHERPA</t>
  </si>
  <si>
    <t>241003/7589</t>
  </si>
  <si>
    <t>02415176157</t>
  </si>
  <si>
    <t>1301610001780575</t>
  </si>
  <si>
    <t>AMAR TAMANG</t>
  </si>
  <si>
    <t>PAL SINGH TAMANG</t>
  </si>
  <si>
    <t>81613</t>
  </si>
  <si>
    <t>0070007051700019</t>
  </si>
  <si>
    <t>1301690000606526</t>
  </si>
  <si>
    <t>ROHIT RAJTHALA</t>
  </si>
  <si>
    <t>RAJU RAJTHALA</t>
  </si>
  <si>
    <t>KANCHHA RAJTHALA</t>
  </si>
  <si>
    <t>31-01-77-08363</t>
  </si>
  <si>
    <t>12801000000186801616</t>
  </si>
  <si>
    <t>1301580002008048</t>
  </si>
  <si>
    <t>NABIN KISHOR DAHAL</t>
  </si>
  <si>
    <t>OM KRISHNA DAHAL PABITRA DAHAL</t>
  </si>
  <si>
    <t>AGNI PRASAD DAHAL</t>
  </si>
  <si>
    <t>042044/72</t>
  </si>
  <si>
    <t>008011070000039</t>
  </si>
  <si>
    <t>1301730001462448</t>
  </si>
  <si>
    <t>BIKASH POKHAREL</t>
  </si>
  <si>
    <t>HARIBHAKTA POKHAREL/MAYA DEVI POKHAREL</t>
  </si>
  <si>
    <t>SHREE NARAYAN POKHAREL</t>
  </si>
  <si>
    <t>333/156</t>
  </si>
  <si>
    <t>01805080331371</t>
  </si>
  <si>
    <t>1301790000308506</t>
  </si>
  <si>
    <t>MENAKA JAISHI</t>
  </si>
  <si>
    <t>CHAKRA RAJ JAISHI/JAIKALA JAISI</t>
  </si>
  <si>
    <t>BHAKTA JAISI</t>
  </si>
  <si>
    <t>65-01-77-01619</t>
  </si>
  <si>
    <t>04411300349805000001</t>
  </si>
  <si>
    <t>1301090004093915</t>
  </si>
  <si>
    <t>AARABHI LAMSAL</t>
  </si>
  <si>
    <t>SUDARSAN LAMSAL</t>
  </si>
  <si>
    <t>RAM CHANDRA LAMSAL</t>
  </si>
  <si>
    <t>2070090300048</t>
  </si>
  <si>
    <t>55503987635</t>
  </si>
  <si>
    <t>1301470000057680</t>
  </si>
  <si>
    <t>BABU BASNET</t>
  </si>
  <si>
    <t>DIL BAHADUR BASNET</t>
  </si>
  <si>
    <t>BUDDHI BAHADUR BASNET</t>
  </si>
  <si>
    <t>90251</t>
  </si>
  <si>
    <t>00107010047171</t>
  </si>
  <si>
    <t>1301080000994561</t>
  </si>
  <si>
    <t>DRISTI KAFLE</t>
  </si>
  <si>
    <t>SANTOSH KAFLE</t>
  </si>
  <si>
    <t>BALARAM KAFLE</t>
  </si>
  <si>
    <t>2078022004679</t>
  </si>
  <si>
    <t>00100501228171</t>
  </si>
  <si>
    <t>1301090004256619</t>
  </si>
  <si>
    <t>GOMA KUMARI KHADKA DHAKAL</t>
  </si>
  <si>
    <t>HARI BAHADUR KHADKA</t>
  </si>
  <si>
    <t>BHAKTA BAHADUR KHADKA/INDRA KUMAR DHAKAL</t>
  </si>
  <si>
    <t>197-18866</t>
  </si>
  <si>
    <t>55503585118</t>
  </si>
  <si>
    <t>1301090000123717</t>
  </si>
  <si>
    <t>PREM RAJ DHAKAL</t>
  </si>
  <si>
    <t>EAK RAJ DHAKAL</t>
  </si>
  <si>
    <t>CHANDRA DATTA DHAKAL</t>
  </si>
  <si>
    <t>44183068</t>
  </si>
  <si>
    <t>02415167845</t>
  </si>
  <si>
    <t>1301580001002395</t>
  </si>
  <si>
    <t>AAHAN MIRINGCHING</t>
  </si>
  <si>
    <t>DAN BAHADUR MIRINGCHING/TARA KUMARI LAMA</t>
  </si>
  <si>
    <t>NOK BAHADUR MIRINGCHING</t>
  </si>
  <si>
    <t>28</t>
  </si>
  <si>
    <t>047011080000253</t>
  </si>
  <si>
    <t>1301100000040462</t>
  </si>
  <si>
    <t>KANCHAN KUMARI JAISWAL</t>
  </si>
  <si>
    <t>RAJ KISHORE PD CHAUDHARY</t>
  </si>
  <si>
    <t>MISHRI LAL CHAUDHARY</t>
  </si>
  <si>
    <t>1673</t>
  </si>
  <si>
    <t>0210017517357</t>
  </si>
  <si>
    <t>1301090000253407</t>
  </si>
  <si>
    <t>KEDAR MAN SHRESTHA</t>
  </si>
  <si>
    <t>HARKAMAN SHRESTHA</t>
  </si>
  <si>
    <t>SURYAMAN SHRESTHA</t>
  </si>
  <si>
    <t>477</t>
  </si>
  <si>
    <t>00615031368</t>
  </si>
  <si>
    <t>1301370005007553</t>
  </si>
  <si>
    <t>HIRALAL SHRESTHA</t>
  </si>
  <si>
    <t>CHITRA BAHADUR SHRESTHA</t>
  </si>
  <si>
    <t>GOPAL SHRESTHA</t>
  </si>
  <si>
    <t>107936</t>
  </si>
  <si>
    <t>0735751505074001</t>
  </si>
  <si>
    <t>1301370000417148</t>
  </si>
  <si>
    <t>Buddhi Prasad Prasai</t>
  </si>
  <si>
    <t>Ganesh Prasad Prasai</t>
  </si>
  <si>
    <t>Ram Prasad Prasai</t>
  </si>
  <si>
    <t>1954984596</t>
  </si>
  <si>
    <t>4555399592524001</t>
  </si>
  <si>
    <t>1301060000955247</t>
  </si>
  <si>
    <t>RAMCHANDRA LAMSAL</t>
  </si>
  <si>
    <t>DHUNDIRAJ LAMSAL</t>
  </si>
  <si>
    <t>15619</t>
  </si>
  <si>
    <t>01705080048125</t>
  </si>
  <si>
    <t>1301040000042535</t>
  </si>
  <si>
    <t>CHANDRA HERA SHRESTHACHARYA</t>
  </si>
  <si>
    <t>DAYANANDA SHRESTHACHARYA</t>
  </si>
  <si>
    <t>YOGANANDA SHRESTHACHARYA</t>
  </si>
  <si>
    <t>2464</t>
  </si>
  <si>
    <t>03610420007839000002</t>
  </si>
  <si>
    <t>1301690001304405</t>
  </si>
  <si>
    <t>BINOD KUMAR YADAV</t>
  </si>
  <si>
    <t>JOGI YADAV</t>
  </si>
  <si>
    <t>SHREE CHANDRA DEV YADAV</t>
  </si>
  <si>
    <t>68231-15743320</t>
  </si>
  <si>
    <t>19901000000040120196</t>
  </si>
  <si>
    <t>1301090002646833</t>
  </si>
  <si>
    <t>DURGA BAHADUR THAPA</t>
  </si>
  <si>
    <t>CHHABI LAL THAPA/DEVI MAYA THAPA</t>
  </si>
  <si>
    <t>RANA KESHAR THAPA/RAMA KUMARI MAINALI</t>
  </si>
  <si>
    <t>8511</t>
  </si>
  <si>
    <t>50317070620</t>
  </si>
  <si>
    <t>1301370004189761</t>
  </si>
  <si>
    <t>PRADEEP KUMAR KAFLE</t>
  </si>
  <si>
    <t>LUPTA PRASAD KAFLE</t>
  </si>
  <si>
    <t>BADIRNATH KAFLE</t>
  </si>
  <si>
    <t>49626378</t>
  </si>
  <si>
    <t>5200266680524001</t>
  </si>
  <si>
    <t>1301650000534979</t>
  </si>
  <si>
    <t>BINISHA MANANDHAR</t>
  </si>
  <si>
    <t>BIJAYA KRISHAN MANANDHAR / NIMA MANANDHAR</t>
  </si>
  <si>
    <t>SHYAM KRISHNA MANANDHAR</t>
  </si>
  <si>
    <t>0017/1139</t>
  </si>
  <si>
    <t>06510606950561000001</t>
  </si>
  <si>
    <t>1301380000054270</t>
  </si>
  <si>
    <t>PRADEEP JUNG K.C.</t>
  </si>
  <si>
    <t>NARA BDR. K.C.</t>
  </si>
  <si>
    <t>LAXMI K.C.</t>
  </si>
  <si>
    <t>3706</t>
  </si>
  <si>
    <t>00111010005315</t>
  </si>
  <si>
    <t>1301440000189712</t>
  </si>
  <si>
    <t>Netra Kumari Limbu</t>
  </si>
  <si>
    <t>Narendra Bahadur Sangbo Limbu</t>
  </si>
  <si>
    <t>Buddhi Prasad Sangbo Limbu</t>
  </si>
  <si>
    <t>420152/405</t>
  </si>
  <si>
    <t>03309015007116</t>
  </si>
  <si>
    <t>1301230000020840</t>
  </si>
  <si>
    <t>MANJU KUMARI AGRAWAL</t>
  </si>
  <si>
    <t>Tara Chand Agarwal</t>
  </si>
  <si>
    <t>Rajesh Kumar Rungta / Sohan Lal Agarwal</t>
  </si>
  <si>
    <t>1324</t>
  </si>
  <si>
    <t>01806863590017</t>
  </si>
  <si>
    <t>1301060000443296</t>
  </si>
  <si>
    <t>KUNJ PRASAD JOSHI</t>
  </si>
  <si>
    <t>GIRIJA PRASAD JOSHI</t>
  </si>
  <si>
    <t>DEV PRASAD JOSHI</t>
  </si>
  <si>
    <t>6873/1055/2372</t>
  </si>
  <si>
    <t>4314246906524001</t>
  </si>
  <si>
    <t>1301370004438151</t>
  </si>
  <si>
    <t>SAMARPAN MAHAT</t>
  </si>
  <si>
    <t>ANUJ KUMAR MAHAT</t>
  </si>
  <si>
    <t>AMAR BAHADUR MAHAT</t>
  </si>
  <si>
    <t>2075051100105</t>
  </si>
  <si>
    <t>0105751402016001</t>
  </si>
  <si>
    <t>1301070000551613</t>
  </si>
  <si>
    <t>Rabin Raj Thapaliya</t>
  </si>
  <si>
    <t>Manahari Thapaliya</t>
  </si>
  <si>
    <t>Chain Bahadur Thapaliya</t>
  </si>
  <si>
    <t>31998</t>
  </si>
  <si>
    <t>04920008504</t>
  </si>
  <si>
    <t>1301320000005986</t>
  </si>
  <si>
    <t>Babulal Agrawal</t>
  </si>
  <si>
    <t>Ramniwas Agrawal</t>
  </si>
  <si>
    <t>Ram kumar agrawal</t>
  </si>
  <si>
    <t>2112/7758</t>
  </si>
  <si>
    <t>00200501001350</t>
  </si>
  <si>
    <t>1301120003888758</t>
  </si>
  <si>
    <t>SAKHAA DHONJU SHRESTHA</t>
  </si>
  <si>
    <t>SANJAYA DHONJU SHRESTHA/NIRMALA SHRESTHA</t>
  </si>
  <si>
    <t>BALRAM DHONJU SHRESTHA</t>
  </si>
  <si>
    <t>2074120600765</t>
  </si>
  <si>
    <t>1735751788338001</t>
  </si>
  <si>
    <t>1301370002240132</t>
  </si>
  <si>
    <t>DIVAY KUMAR BANIYA</t>
  </si>
  <si>
    <t>NABRAJ BAHADUR BANIYA</t>
  </si>
  <si>
    <t>BHAKTA BAHADUR BANIYA</t>
  </si>
  <si>
    <t>38490445</t>
  </si>
  <si>
    <t>2725750946659001</t>
  </si>
  <si>
    <t>1301370005575929</t>
  </si>
  <si>
    <t>BALRAM DHOJU SHRESTHA</t>
  </si>
  <si>
    <t>LOKNATH DHOJU SHRESTHA</t>
  </si>
  <si>
    <t>KALI DAS DHOJU SHRESTHA</t>
  </si>
  <si>
    <t>134335</t>
  </si>
  <si>
    <t>1735751751657001</t>
  </si>
  <si>
    <t>1301120002378999</t>
  </si>
  <si>
    <t>BRAJESH ADHIKARI</t>
  </si>
  <si>
    <t>BHAGWAN ADHIKARI</t>
  </si>
  <si>
    <t>301007/182884</t>
  </si>
  <si>
    <t>06107010003804</t>
  </si>
  <si>
    <t>1301650002083892</t>
  </si>
  <si>
    <t>KASHIRAM YADAV</t>
  </si>
  <si>
    <t>RAJ KISHOR YADAV</t>
  </si>
  <si>
    <t>SITARAM YADAV/</t>
  </si>
  <si>
    <t>15017805580</t>
  </si>
  <si>
    <t>2390100007591010</t>
  </si>
  <si>
    <t>1301790000060427</t>
  </si>
  <si>
    <t>KABIN THAPA</t>
  </si>
  <si>
    <t>KAMAL BAHADUR THAPA</t>
  </si>
  <si>
    <t>NAINA BAHADUR THAPA</t>
  </si>
  <si>
    <t>273</t>
  </si>
  <si>
    <t>05010400304803000001</t>
  </si>
  <si>
    <t>1301370006993812</t>
  </si>
  <si>
    <t>RAJAN BABU SAH KANU</t>
  </si>
  <si>
    <t>JAGDISH SAH KANU</t>
  </si>
  <si>
    <t>GAHREKH SAH KANU</t>
  </si>
  <si>
    <t>32-01-78-00305</t>
  </si>
  <si>
    <t>0465759470267001</t>
  </si>
  <si>
    <t>1301070001762177</t>
  </si>
  <si>
    <t>THIR LAL NEUPANE</t>
  </si>
  <si>
    <t>JHILU NEUPANE</t>
  </si>
  <si>
    <t>17162</t>
  </si>
  <si>
    <t>0711424343055001</t>
  </si>
  <si>
    <t>1301650000168937</t>
  </si>
  <si>
    <t>NURU LAMA SHERPA</t>
  </si>
  <si>
    <t>NIMA TENZI LAMA / DOMA LAMA</t>
  </si>
  <si>
    <t>PEMA SHERPA / RINJI LAMA</t>
  </si>
  <si>
    <t>598/632/34</t>
  </si>
  <si>
    <t>2020100024518010</t>
  </si>
  <si>
    <t>1301100003045401</t>
  </si>
  <si>
    <t>PUJAN GURUNG</t>
  </si>
  <si>
    <t>GAUTAM BAHADUR GURUNG/DHAN MAYA GURUNG</t>
  </si>
  <si>
    <t>LAXMAN GURUNG/SAKILA GURUNG</t>
  </si>
  <si>
    <t>513019/31</t>
  </si>
  <si>
    <t>1950230984700015</t>
  </si>
  <si>
    <t>1301170000017164</t>
  </si>
  <si>
    <t>DEEPA SHARMA</t>
  </si>
  <si>
    <t>DURGA KUMAR SHARMA</t>
  </si>
  <si>
    <t>DEBI PRASAD SHARMA</t>
  </si>
  <si>
    <t>47630</t>
  </si>
  <si>
    <t>0170100000466020</t>
  </si>
  <si>
    <t>1301170000083688</t>
  </si>
  <si>
    <t>KRISHNA MANI DIXIT</t>
  </si>
  <si>
    <t>GYAN MANI DIXIT</t>
  </si>
  <si>
    <t>LAXMI MANI DIXIT</t>
  </si>
  <si>
    <t>5034/024</t>
  </si>
  <si>
    <t>1301100003234328</t>
  </si>
  <si>
    <t>MARK SHRESTHA</t>
  </si>
  <si>
    <t>RAJU SHRESTHA</t>
  </si>
  <si>
    <t>271060/5229</t>
  </si>
  <si>
    <t>0010207124300019</t>
  </si>
  <si>
    <t>1301260000171541</t>
  </si>
  <si>
    <t>MUNA DHAKAL</t>
  </si>
  <si>
    <t>DILLI RAM DHAKAL/RADHIKA DHAKAL</t>
  </si>
  <si>
    <t>MODH NATH DHAKAL</t>
  </si>
  <si>
    <t>44-01-71-03661</t>
  </si>
  <si>
    <t>13205080060356</t>
  </si>
  <si>
    <t>1301060003348101</t>
  </si>
  <si>
    <t>RABI CHANDRA KARKI</t>
  </si>
  <si>
    <t>DHAL BAHADUR KARKI</t>
  </si>
  <si>
    <t>70494</t>
  </si>
  <si>
    <t>01205080013729</t>
  </si>
  <si>
    <t>1301240000147966</t>
  </si>
  <si>
    <t>MADHAB PRASAD SUBEDI</t>
  </si>
  <si>
    <t>DEVI LAL SUBEDI</t>
  </si>
  <si>
    <t>PRAJAPATI SUBEDI</t>
  </si>
  <si>
    <t>20434</t>
  </si>
  <si>
    <t>07201000375534000001</t>
  </si>
  <si>
    <t>1301090000146648</t>
  </si>
  <si>
    <t>OMKUMAR SHRESTHA</t>
  </si>
  <si>
    <t>KAJIMAN SHRESTHA</t>
  </si>
  <si>
    <t>430</t>
  </si>
  <si>
    <t>1110021887200011</t>
  </si>
  <si>
    <t>1301260002387696</t>
  </si>
  <si>
    <t>AAHAN ACHARYA</t>
  </si>
  <si>
    <t>RAVI ACHARYA/ARCHANA ADHIKARI</t>
  </si>
  <si>
    <t>2079112807264</t>
  </si>
  <si>
    <t>1970235323000010</t>
  </si>
  <si>
    <t>1301110000049099</t>
  </si>
  <si>
    <t>PRAMITA CHAPAGAIN</t>
  </si>
  <si>
    <t>PRALHAD CHAPAGAIN</t>
  </si>
  <si>
    <t>KAMAL PRASAD CHAPAGAIN</t>
  </si>
  <si>
    <t>103</t>
  </si>
  <si>
    <t>31907010002424</t>
  </si>
  <si>
    <t>1301120003993596</t>
  </si>
  <si>
    <t>BISHNU KUNWAR</t>
  </si>
  <si>
    <t>BIN BAHADUR KUNWAR</t>
  </si>
  <si>
    <t>DAL BAHADUR KUNWAR</t>
  </si>
  <si>
    <t>922/401005</t>
  </si>
  <si>
    <t>2140308705300001</t>
  </si>
  <si>
    <t>1301090001215607</t>
  </si>
  <si>
    <t>REGAN LAMA</t>
  </si>
  <si>
    <t>NISCHAL LAMA / MAYA LAMA</t>
  </si>
  <si>
    <t>KALU LAMA / SUN MAYA TAMANG</t>
  </si>
  <si>
    <t>271019/44929/78</t>
  </si>
  <si>
    <t>02415560830</t>
  </si>
  <si>
    <t>1301090000150992</t>
  </si>
  <si>
    <t>SHANKER AGRAWAL</t>
  </si>
  <si>
    <t>BABU LAL AGRAWAL</t>
  </si>
  <si>
    <t>RAMNIWAS AGRAWAL/POOJA AGRAWAL</t>
  </si>
  <si>
    <t>9597</t>
  </si>
  <si>
    <t>0510017500508</t>
  </si>
  <si>
    <t>1301650002015411</t>
  </si>
  <si>
    <t>SARSWOTI OLI</t>
  </si>
  <si>
    <t>KRISHNA BAHADUR OLI</t>
  </si>
  <si>
    <t>TEK BAHADUR OLI/RAJEEB PANDEY</t>
  </si>
  <si>
    <t>2230165</t>
  </si>
  <si>
    <t>1420100058906010</t>
  </si>
  <si>
    <t>1301570000244135</t>
  </si>
  <si>
    <t>GOBARDAN SILWAL/GOPINI SILWAL</t>
  </si>
  <si>
    <t>BHUPENDRA SILWAL</t>
  </si>
  <si>
    <t>28-01-064-01162</t>
  </si>
  <si>
    <t>0415751123254001</t>
  </si>
  <si>
    <t>1301370000863642</t>
  </si>
  <si>
    <t>Rabin Sapkota</t>
  </si>
  <si>
    <t>Rishi Ram Sapkota</t>
  </si>
  <si>
    <t>Murali Prasad Sapkota</t>
  </si>
  <si>
    <t>271010/55520</t>
  </si>
  <si>
    <t>3787589036524001</t>
  </si>
  <si>
    <t>1301090003898155</t>
  </si>
  <si>
    <t>SARAD SHRESTHA</t>
  </si>
  <si>
    <t>BED NARAYAN SHRESTHA</t>
  </si>
  <si>
    <t>27-01-72-05941</t>
  </si>
  <si>
    <t>50219650260</t>
  </si>
  <si>
    <t>1301550000000186</t>
  </si>
  <si>
    <t>UMANGA REGMI</t>
  </si>
  <si>
    <t>UMESH REGMI</t>
  </si>
  <si>
    <t>AMRIT NATH REGMI</t>
  </si>
  <si>
    <t>27-01-74-12725</t>
  </si>
  <si>
    <t>0010035493900016</t>
  </si>
  <si>
    <t>1301170002325806</t>
  </si>
  <si>
    <t>GEETA BURJA MAGAR</t>
  </si>
  <si>
    <t>RAMHARI DAHAL</t>
  </si>
  <si>
    <t>DILLIRAM DAHAL</t>
  </si>
  <si>
    <t>141037/84607</t>
  </si>
  <si>
    <t>0240100001546041</t>
  </si>
  <si>
    <t>1301250000285149</t>
  </si>
  <si>
    <t>PRAKASH POKHREL</t>
  </si>
  <si>
    <t>RAMCHANDRA POKHREL</t>
  </si>
  <si>
    <t>CHHABILAL POKHREL</t>
  </si>
  <si>
    <t>141044/12533</t>
  </si>
  <si>
    <t>04520300260866000001</t>
  </si>
  <si>
    <t>1301370005547941</t>
  </si>
  <si>
    <t>GOPINI SILWAL</t>
  </si>
  <si>
    <t>BADRI BAHADUR KC</t>
  </si>
  <si>
    <t>GOBARDHAN SILWAL</t>
  </si>
  <si>
    <t>478</t>
  </si>
  <si>
    <t>1775759493820001</t>
  </si>
  <si>
    <t>1301100001267551</t>
  </si>
  <si>
    <t>MENUKA UDAS</t>
  </si>
  <si>
    <t>ASHA KAJI UDAS</t>
  </si>
  <si>
    <t>RATNA BAHADUR UDAS</t>
  </si>
  <si>
    <t>283022/106</t>
  </si>
  <si>
    <t>0110012595700011</t>
  </si>
  <si>
    <t>1301370000108951</t>
  </si>
  <si>
    <t>Uma Aryal</t>
  </si>
  <si>
    <t>Shri Dhar Aryal</t>
  </si>
  <si>
    <t>Kamal Acharya</t>
  </si>
  <si>
    <t>14891</t>
  </si>
  <si>
    <t>2169410479524001</t>
  </si>
  <si>
    <t>1301060000071991</t>
  </si>
  <si>
    <t>ANANDA KRISHNA BHATTA</t>
  </si>
  <si>
    <t>KESHAB PRASAD BHATTA</t>
  </si>
  <si>
    <t>BIDHYANATH BHATTA/SUNITA KUMARI SAPKOTA</t>
  </si>
  <si>
    <t>690</t>
  </si>
  <si>
    <t>01815189993</t>
  </si>
  <si>
    <t>1301420000041375</t>
  </si>
  <si>
    <t>JAYA POKHAREL</t>
  </si>
  <si>
    <t>BEDHANIDHI POKHAREL</t>
  </si>
  <si>
    <t>NARAYANDATTA POKHAREL</t>
  </si>
  <si>
    <t>13/1224</t>
  </si>
  <si>
    <t>2156934878524001</t>
  </si>
  <si>
    <t>1301080001173370</t>
  </si>
  <si>
    <t>RAMESH KUMAR KHATRI</t>
  </si>
  <si>
    <t>DIL BAHADUR KHATRI/ PURNA KUMARI KHATRI</t>
  </si>
  <si>
    <t>BIRKHA BAHADUR KHATRI/ INDIRA KATUWAL</t>
  </si>
  <si>
    <t>061017/137791</t>
  </si>
  <si>
    <t>01700528200031</t>
  </si>
  <si>
    <t>1301580002002240</t>
  </si>
  <si>
    <t>MUSKAN DHAKAL</t>
  </si>
  <si>
    <t>YEK BAHADUR DHAKAL MILAN DHAKAL</t>
  </si>
  <si>
    <t>KHAMBA BAHADUR DHAKAL</t>
  </si>
  <si>
    <t>30-01-73-05623</t>
  </si>
  <si>
    <t>135011090000858</t>
  </si>
  <si>
    <t>1301240000133750</t>
  </si>
  <si>
    <t>SITARAM KHATIWADA</t>
  </si>
  <si>
    <t>JIWANATH KHATIWADA</t>
  </si>
  <si>
    <t>NETRA PRASAD KHATIWADA</t>
  </si>
  <si>
    <t>18601725</t>
  </si>
  <si>
    <t>2210100030279010</t>
  </si>
  <si>
    <t>1301120000790905</t>
  </si>
  <si>
    <t>SUBAGYA SHRESTHA</t>
  </si>
  <si>
    <t>BIBHUSHAN SHRESTHA</t>
  </si>
  <si>
    <t>OM PRAKASH SHRESTHA</t>
  </si>
  <si>
    <t>22</t>
  </si>
  <si>
    <t>07507010010414</t>
  </si>
  <si>
    <t>1301100000304686</t>
  </si>
  <si>
    <t>ISHWARI KUMAR POUDYAL</t>
  </si>
  <si>
    <t>NETRA PRASAD POUDYAL</t>
  </si>
  <si>
    <t>LAXMIKANTA POUDYALO</t>
  </si>
  <si>
    <t>85241515</t>
  </si>
  <si>
    <t>06220600505855000001</t>
  </si>
  <si>
    <t>1301060001736692</t>
  </si>
  <si>
    <t>NISCHAL TRITAL</t>
  </si>
  <si>
    <t>GHANENDRA RAJ TRITAL/HEM KUMARI TRITAL</t>
  </si>
  <si>
    <t>DIL BAHADUR TRITAL</t>
  </si>
  <si>
    <t>05-01-75-01485</t>
  </si>
  <si>
    <t>02805080417532</t>
  </si>
  <si>
    <t>1301120002433333</t>
  </si>
  <si>
    <t>BAIKUNTHA CHAULAGAIN</t>
  </si>
  <si>
    <t>OM PRASAD CHAULAGAIN</t>
  </si>
  <si>
    <t>BHIM PRASAD CHAULAGAIN</t>
  </si>
  <si>
    <t>22-01-69-00896</t>
  </si>
  <si>
    <t>28207010001532</t>
  </si>
  <si>
    <t>1301120004998528</t>
  </si>
  <si>
    <t>DHIRENDRA MARKAN</t>
  </si>
  <si>
    <t>SHYAM MARKAN</t>
  </si>
  <si>
    <t>DAN SINGH MARKAN</t>
  </si>
  <si>
    <t>72-01-79-03864</t>
  </si>
  <si>
    <t>04307010477321</t>
  </si>
  <si>
    <t>1301070001943981</t>
  </si>
  <si>
    <t>HIKMAT MAHARJAN</t>
  </si>
  <si>
    <t>KAJI RAM MAHARJAN</t>
  </si>
  <si>
    <t>BABU KAJI MAHARJAN</t>
  </si>
  <si>
    <t>283012/162</t>
  </si>
  <si>
    <t>04210165885014</t>
  </si>
  <si>
    <t>1301650001087528</t>
  </si>
  <si>
    <t>GANESH PRASAD KHAREL</t>
  </si>
  <si>
    <t>DILLI KUMAR KHAREL</t>
  </si>
  <si>
    <t>GANGA PRASAD KHAREL/ISHWARA KHAREL</t>
  </si>
  <si>
    <t>18424263</t>
  </si>
  <si>
    <t>2220100000181104</t>
  </si>
  <si>
    <t>1301650002404272</t>
  </si>
  <si>
    <t>SIKINDRA THAKUR</t>
  </si>
  <si>
    <t>DHANMA BADAHI</t>
  </si>
  <si>
    <t>KRIPAL BADAHI/ANITA KUMARI THAKUR</t>
  </si>
  <si>
    <t>23194833 18</t>
  </si>
  <si>
    <t>5280100000004210</t>
  </si>
  <si>
    <t>1301120002647063</t>
  </si>
  <si>
    <t>BHUWAN GURUNG</t>
  </si>
  <si>
    <t>LAKSHUMAN GURUNG/YAMMAYA GURUNG</t>
  </si>
  <si>
    <t>NANDA MAN GURUNG</t>
  </si>
  <si>
    <t>011026/554</t>
  </si>
  <si>
    <t>05807010003189</t>
  </si>
  <si>
    <t>1301120002180795</t>
  </si>
  <si>
    <t>RABINDRA POKHAREL</t>
  </si>
  <si>
    <t>RAM CHANDRA KHATRI POKHREL</t>
  </si>
  <si>
    <t>BHURISHARBA POKHREL</t>
  </si>
  <si>
    <t>221050/401</t>
  </si>
  <si>
    <t>03407010000728</t>
  </si>
  <si>
    <t>1301650002228718</t>
  </si>
  <si>
    <t>POOJA DEO</t>
  </si>
  <si>
    <t>SHAMBHU PRASAD DEO</t>
  </si>
  <si>
    <t>SHIV NARAYAN LAL DEO/SURAJ PRAKASH DEO</t>
  </si>
  <si>
    <t>16101144</t>
  </si>
  <si>
    <t>2180100000205004</t>
  </si>
  <si>
    <t>1301080001136813</t>
  </si>
  <si>
    <t>MANJAY KUMAR MANDAL</t>
  </si>
  <si>
    <t>CHANDRA MANDAL</t>
  </si>
  <si>
    <t>SUNAR MANDAL</t>
  </si>
  <si>
    <t>151095/18653</t>
  </si>
  <si>
    <t>07400501200489</t>
  </si>
  <si>
    <t>1301650000524238</t>
  </si>
  <si>
    <t>BUDDHA MAYA TEHGIM</t>
  </si>
  <si>
    <t>MEHERMAN LIMBU</t>
  </si>
  <si>
    <t>LALHANG LIMBU/</t>
  </si>
  <si>
    <t>03257000461</t>
  </si>
  <si>
    <t>2280100051661010</t>
  </si>
  <si>
    <t>1301790000090116</t>
  </si>
  <si>
    <t>LAXMI NARAYAN SHARMA</t>
  </si>
  <si>
    <t>SHADANANDA KOIRALA</t>
  </si>
  <si>
    <t>PADAMLAL KOIRALA</t>
  </si>
  <si>
    <t>63/1075</t>
  </si>
  <si>
    <t>04711300312455000001</t>
  </si>
  <si>
    <t>1301120003110103</t>
  </si>
  <si>
    <t>SHLESHMA KOIRALA</t>
  </si>
  <si>
    <t>DEVAHARI KOIRALA</t>
  </si>
  <si>
    <t>CHET NATH KOIRALA</t>
  </si>
  <si>
    <t>07507010015970</t>
  </si>
  <si>
    <t>1301730001278513</t>
  </si>
  <si>
    <t>RAKSHYA SHARMA</t>
  </si>
  <si>
    <t>RISHI RAM SHARMA/BHESU SHARMA</t>
  </si>
  <si>
    <t>TIKA RAM PANGALI</t>
  </si>
  <si>
    <t>64-01-69-02285</t>
  </si>
  <si>
    <t>02205350254830</t>
  </si>
  <si>
    <t>1301090004264541</t>
  </si>
  <si>
    <t>PHURA SHERPA/SHERKINI SHERPA</t>
  </si>
  <si>
    <t>KINARBU SHERPA</t>
  </si>
  <si>
    <t>121069/343</t>
  </si>
  <si>
    <t>55504003994</t>
  </si>
  <si>
    <t>1301100001064531</t>
  </si>
  <si>
    <t>NIMITA SHRESTHA</t>
  </si>
  <si>
    <t>HARI KUMAR SHRESTHA/NIRMALA SHRESTHA</t>
  </si>
  <si>
    <t>SANTA MAN SHRESTHA/SHIVA SHRESTHA</t>
  </si>
  <si>
    <t>44042/233</t>
  </si>
  <si>
    <t>1530127158300013</t>
  </si>
  <si>
    <t>1301040002458343</t>
  </si>
  <si>
    <t>ALANA SHAKYA</t>
  </si>
  <si>
    <t>NIK RAJ SHAKYA/UNNATI BAJRACHARYA</t>
  </si>
  <si>
    <t>/DEV MUNI SHAKYA</t>
  </si>
  <si>
    <t>2076081201871</t>
  </si>
  <si>
    <t>16710017500551</t>
  </si>
  <si>
    <t>1301100000159278</t>
  </si>
  <si>
    <t>MANOJ SILWAL</t>
  </si>
  <si>
    <t>NARENDRA BIKRAM SILWAL</t>
  </si>
  <si>
    <t>KSHETRA BIKRAM SILWAL</t>
  </si>
  <si>
    <t>1782/35142</t>
  </si>
  <si>
    <t>01400516201063</t>
  </si>
  <si>
    <t>1301110000809314</t>
  </si>
  <si>
    <t>BALIRAM KUMAR KAMKAR</t>
  </si>
  <si>
    <t>DHURUP PRASAD KAMKAR</t>
  </si>
  <si>
    <t>MAHADEV MAHATO</t>
  </si>
  <si>
    <t>34-01-69-03116</t>
  </si>
  <si>
    <t>30907010009207</t>
  </si>
  <si>
    <t>1301070001795042</t>
  </si>
  <si>
    <t>NAMRATA GHIMIRE</t>
  </si>
  <si>
    <t>29-01-79-04183</t>
  </si>
  <si>
    <t>03543006003</t>
  </si>
  <si>
    <t>1301100001064204</t>
  </si>
  <si>
    <t>SHUVA SHRESTHA</t>
  </si>
  <si>
    <t>SHIVA SHRESTHA/NIMITA SHRESTHA</t>
  </si>
  <si>
    <t>BISHNU PRASAD SHRESTHA</t>
  </si>
  <si>
    <t>B.C158</t>
  </si>
  <si>
    <t>1530108115800018</t>
  </si>
  <si>
    <t>1301370000424529</t>
  </si>
  <si>
    <t>Bal Krishna Manandhar</t>
  </si>
  <si>
    <t>Dev Bahadur Manandhar</t>
  </si>
  <si>
    <t>Dev Raj Manadhar</t>
  </si>
  <si>
    <t>655</t>
  </si>
  <si>
    <t>3011096815524001</t>
  </si>
  <si>
    <t>1301770000478856</t>
  </si>
  <si>
    <t>KRITARTHA SHRIVASTAV</t>
  </si>
  <si>
    <t>PRADEEP KUMAR SHRIVASTAV/AMITA SHRIVASTAV</t>
  </si>
  <si>
    <t>RAMDEV PRASAD SHRIVASTAV/</t>
  </si>
  <si>
    <t>143</t>
  </si>
  <si>
    <t>21853528260015</t>
  </si>
  <si>
    <t>1301040000052254</t>
  </si>
  <si>
    <t>PUSHPA POKHREL</t>
  </si>
  <si>
    <t>SHATRUGHAN PRASAD BHATTARAI</t>
  </si>
  <si>
    <t>PRAYAG RAJ UPADHYAY/MAHA PRASAD BHATTRAI</t>
  </si>
  <si>
    <t>4003348</t>
  </si>
  <si>
    <t>001000002970L</t>
  </si>
  <si>
    <t>1301770000478837</t>
  </si>
  <si>
    <t>VASTAVIKTA SHRIVASTAV</t>
  </si>
  <si>
    <t>37-02-75-02398</t>
  </si>
  <si>
    <t>21857164360014</t>
  </si>
  <si>
    <t>1301370006845497</t>
  </si>
  <si>
    <t>SUJAN BHATTARAI</t>
  </si>
  <si>
    <t>PREM NARAYAN BHATTARAI</t>
  </si>
  <si>
    <t>BHIMLAL BHATTARAI</t>
  </si>
  <si>
    <t>35-01-79-03239</t>
  </si>
  <si>
    <t>0495752838861001</t>
  </si>
  <si>
    <t>1301580001490987</t>
  </si>
  <si>
    <t>THARKA BAHADUR SEN THAKURI</t>
  </si>
  <si>
    <t>BAL BAHADUR SEN THAKURI/ MAN KUMARI SEN THAKURI</t>
  </si>
  <si>
    <t>NAR BAHADUR SEN THAKURI/ KALPANA SEN THAKURI</t>
  </si>
  <si>
    <t>160/18753</t>
  </si>
  <si>
    <t>001011140000165</t>
  </si>
  <si>
    <t>1301060003319625</t>
  </si>
  <si>
    <t>BISHNU KUMAR GURUNG</t>
  </si>
  <si>
    <t>GAM BAHADUR GURUNG</t>
  </si>
  <si>
    <t>RUNCHE GURUNG</t>
  </si>
  <si>
    <t>49105</t>
  </si>
  <si>
    <t>01305390274685</t>
  </si>
  <si>
    <t>1301130000376835</t>
  </si>
  <si>
    <t>LAXMI KUMARI AYER</t>
  </si>
  <si>
    <t>GHANSHYAM AYER</t>
  </si>
  <si>
    <t>BHUWAN  SINGH AYER</t>
  </si>
  <si>
    <t>63330</t>
  </si>
  <si>
    <t>04810017506361</t>
  </si>
  <si>
    <t>1301090004234734</t>
  </si>
  <si>
    <t>SALONI KUMARI</t>
  </si>
  <si>
    <t>CHANDESHWAR SAHANI / REKHA DEVI</t>
  </si>
  <si>
    <t>RAMAKANT SAHANI GODHI</t>
  </si>
  <si>
    <t>2075081712713</t>
  </si>
  <si>
    <t>55505312622</t>
  </si>
  <si>
    <t>1301090003355678</t>
  </si>
  <si>
    <t>BABI PRAJAPATI</t>
  </si>
  <si>
    <t>BADRI PRASAD PRAJAPATI</t>
  </si>
  <si>
    <t>JAGANATH PRAJAPATI</t>
  </si>
  <si>
    <t>29-01-72-01299</t>
  </si>
  <si>
    <t>01719091560</t>
  </si>
  <si>
    <t>1301180000185174</t>
  </si>
  <si>
    <t>RAHUL PODDAR</t>
  </si>
  <si>
    <t>BAL KRISHNA PODDAR</t>
  </si>
  <si>
    <t>BHAGWATI PRASAD PODDAR</t>
  </si>
  <si>
    <t>89910</t>
  </si>
  <si>
    <t>00540325326</t>
  </si>
  <si>
    <t>1301090004234409</t>
  </si>
  <si>
    <t>RUTVI SAHANI</t>
  </si>
  <si>
    <t>CHANDESHWAR SAHANI  / REKHA DEVI</t>
  </si>
  <si>
    <t>2080061604104</t>
  </si>
  <si>
    <t>55505240662</t>
  </si>
  <si>
    <t>1301630000632064</t>
  </si>
  <si>
    <t>CHANDRA BAHADUR TAMANG/GANESH KUMARI TAMANG</t>
  </si>
  <si>
    <t>BUDDHA SINGH TAMANG</t>
  </si>
  <si>
    <t>968/044</t>
  </si>
  <si>
    <t>1770208385500001</t>
  </si>
  <si>
    <t>1301090004208203</t>
  </si>
  <si>
    <t>CHANDESHWAR SAHANI</t>
  </si>
  <si>
    <t>RAMAKANT SAHANI GODHI / KESHIYA DEVI GODHI</t>
  </si>
  <si>
    <t>SHANKAR SAHANI GODHI / REKHA DEVI</t>
  </si>
  <si>
    <t>343014/131</t>
  </si>
  <si>
    <t>55504676772</t>
  </si>
  <si>
    <t>1301120005140251</t>
  </si>
  <si>
    <t>DHARMA RAJ GURUNG</t>
  </si>
  <si>
    <t>THALLU GURUNG</t>
  </si>
  <si>
    <t>GAMBHAR SINGH GURUNG</t>
  </si>
  <si>
    <t>15057</t>
  </si>
  <si>
    <t>09608010000182</t>
  </si>
  <si>
    <t>1301620000004169</t>
  </si>
  <si>
    <t>Krishna Lal Shrestha</t>
  </si>
  <si>
    <t>Gobind Lal Shrestha</t>
  </si>
  <si>
    <t>Purn Bahadur Shrestha</t>
  </si>
  <si>
    <t>160309957</t>
  </si>
  <si>
    <t>8002951778952401</t>
  </si>
  <si>
    <t>1301370000406083</t>
  </si>
  <si>
    <t>Palistha Manandhar</t>
  </si>
  <si>
    <t>271060-114140</t>
  </si>
  <si>
    <t>4383482598524001</t>
  </si>
  <si>
    <t>1301090000410550</t>
  </si>
  <si>
    <t>RISHIKESH BHATTARAI</t>
  </si>
  <si>
    <t>TIKARAM BHATTARAI</t>
  </si>
  <si>
    <t>KOMAL PRASAD BHATTARAI</t>
  </si>
  <si>
    <t>461004/178</t>
  </si>
  <si>
    <t>00101200118503000001</t>
  </si>
  <si>
    <t>1301360000019051</t>
  </si>
  <si>
    <t>SABITA KAYASTHA (SHRESTHA)</t>
  </si>
  <si>
    <t>ARUN GOPAL SHRESTHA</t>
  </si>
  <si>
    <t>9131</t>
  </si>
  <si>
    <t>0230022598300011</t>
  </si>
  <si>
    <t>1301090001328862</t>
  </si>
  <si>
    <t>BUDHAN YADAV</t>
  </si>
  <si>
    <t>NIRGUN YADAV / RUDLI DEVI</t>
  </si>
  <si>
    <t>LAKHAN DEV YADAV</t>
  </si>
  <si>
    <t>18-01-75-02079</t>
  </si>
  <si>
    <t>02015791350</t>
  </si>
  <si>
    <t>1301260000276777</t>
  </si>
  <si>
    <t>SANDIP BHANDARI</t>
  </si>
  <si>
    <t>AATMARAM BHANDARI/CHANDRAKALA BHANDARI</t>
  </si>
  <si>
    <t>PEU NARAYAN BHANDARI</t>
  </si>
  <si>
    <t>411045-79309</t>
  </si>
  <si>
    <t>1580100000046041</t>
  </si>
  <si>
    <t>1301360000019045</t>
  </si>
  <si>
    <t>HARI GOPAL SHRESTHA</t>
  </si>
  <si>
    <t>93353</t>
  </si>
  <si>
    <t>0070100001900016</t>
  </si>
  <si>
    <t>1301520000597360</t>
  </si>
  <si>
    <t>PAHAL BAHADUR KHATRI</t>
  </si>
  <si>
    <t>DAMBAR BAHADUR KHATRI</t>
  </si>
  <si>
    <t>TULA BAHADUR KHATRI</t>
  </si>
  <si>
    <t>496</t>
  </si>
  <si>
    <t>0920049407800001</t>
  </si>
  <si>
    <t>1301110000178131</t>
  </si>
  <si>
    <t>KALPANA UPRETI</t>
  </si>
  <si>
    <t>RAM PRASAD UPRETI</t>
  </si>
  <si>
    <t>PADAM KESAR UPRETI</t>
  </si>
  <si>
    <t>16085</t>
  </si>
  <si>
    <t>31907010009971</t>
  </si>
  <si>
    <t>1301120005317914</t>
  </si>
  <si>
    <t>MERINA RAI</t>
  </si>
  <si>
    <t>AMRIT KUMAR RAI</t>
  </si>
  <si>
    <t>JAGAT BAHADUR RAI</t>
  </si>
  <si>
    <t>03-01-75-02631</t>
  </si>
  <si>
    <t>02707010009952</t>
  </si>
  <si>
    <t>1301260002471524</t>
  </si>
  <si>
    <t>DHIRAJ KUMAR SHRESTHA</t>
  </si>
  <si>
    <t>HARI KRISHNA SHRESTHA/RASHMILA DEVI SHRESTHA</t>
  </si>
  <si>
    <t>JEET BAHADUR SHRESTHA</t>
  </si>
  <si>
    <t>1961</t>
  </si>
  <si>
    <t>0010003556700011</t>
  </si>
  <si>
    <t>1301370007493021</t>
  </si>
  <si>
    <t>SUMANTA RAJ PAUDEL</t>
  </si>
  <si>
    <t>KALADHAR PAUDEL JAISI</t>
  </si>
  <si>
    <t>TIKADEVI PAUDEL</t>
  </si>
  <si>
    <t>10152-681679</t>
  </si>
  <si>
    <t>1575759986090001</t>
  </si>
  <si>
    <t>1301070000017043</t>
  </si>
  <si>
    <t>Chandan Maharjan</t>
  </si>
  <si>
    <t>Mangal Das Maharjan</t>
  </si>
  <si>
    <t>Purna Lal Maharjan</t>
  </si>
  <si>
    <t>28-01-066-04429</t>
  </si>
  <si>
    <t>02807010002222</t>
  </si>
  <si>
    <t>1301040001173788</t>
  </si>
  <si>
    <t>TEK BAHADUR TIWARI</t>
  </si>
  <si>
    <t>AMBER BAHADUR TIWARI/BUDHA MAYA TIWARI</t>
  </si>
  <si>
    <t>HIT BAHADUR TIWARI/SANGITA BASNET</t>
  </si>
  <si>
    <t>95862/96862</t>
  </si>
  <si>
    <t>11910017500043</t>
  </si>
  <si>
    <t>1301040000232423</t>
  </si>
  <si>
    <t>KEDAR ADHIKARI</t>
  </si>
  <si>
    <t>KHENDRA ADHIKARI</t>
  </si>
  <si>
    <t>DEVI BAHADUR ADHIKARI/LAXMI KAPRI ADHIKARI</t>
  </si>
  <si>
    <t>5761</t>
  </si>
  <si>
    <t>2010017508374</t>
  </si>
  <si>
    <t>1301120004403381</t>
  </si>
  <si>
    <t>LAXMAN THAPA</t>
  </si>
  <si>
    <t>KATAK BAHADUR THAPA</t>
  </si>
  <si>
    <t>50-01-74-04020</t>
  </si>
  <si>
    <t>17307010083182</t>
  </si>
  <si>
    <t>1301040003024442</t>
  </si>
  <si>
    <t>KARUNA THAPA</t>
  </si>
  <si>
    <t>HARKA BAHADUR THAPA</t>
  </si>
  <si>
    <t>GANGA BAHADUR THAPA</t>
  </si>
  <si>
    <t>44964/066/67</t>
  </si>
  <si>
    <t>01610017520831</t>
  </si>
  <si>
    <t>1301060000833454</t>
  </si>
  <si>
    <t>BINOD PANT</t>
  </si>
  <si>
    <t>KALIDAS PANT</t>
  </si>
  <si>
    <t>RAMCHANDRA PANT</t>
  </si>
  <si>
    <t>9833/320</t>
  </si>
  <si>
    <t>01805120250061</t>
  </si>
  <si>
    <t>1301440000410325</t>
  </si>
  <si>
    <t>KANCHHAMAN TAMANG</t>
  </si>
  <si>
    <t>CHANDRADHOJ TAMANG</t>
  </si>
  <si>
    <t>CHYANGBA TAMANG</t>
  </si>
  <si>
    <t>144504</t>
  </si>
  <si>
    <t>03609015000385</t>
  </si>
  <si>
    <t>1301040000256265</t>
  </si>
  <si>
    <t>GITA RAUT</t>
  </si>
  <si>
    <t>SHER BAHADUR RAUT/ GYANI RAUT</t>
  </si>
  <si>
    <t>BHAKTA BAHADUR RAUT</t>
  </si>
  <si>
    <t>23142</t>
  </si>
  <si>
    <t>1810017502768</t>
  </si>
  <si>
    <t>1301060000605718</t>
  </si>
  <si>
    <t>SUMAN SAPKOTA</t>
  </si>
  <si>
    <t>SOM PD SAPKOTA</t>
  </si>
  <si>
    <t>KUL PD SAPKOTA</t>
  </si>
  <si>
    <t>31345</t>
  </si>
  <si>
    <t>0210017541994</t>
  </si>
  <si>
    <t>1301440000293956</t>
  </si>
  <si>
    <t>PRABESH ADHIKARI</t>
  </si>
  <si>
    <t>KRISHNA PRASAD ADHIKARI</t>
  </si>
  <si>
    <t>LAXMAN ADHIKARI</t>
  </si>
  <si>
    <t>35-01-78-02270</t>
  </si>
  <si>
    <t>0460221670000019</t>
  </si>
  <si>
    <t>1301070001911541</t>
  </si>
  <si>
    <t>KRISHNA SINGH BOHARA</t>
  </si>
  <si>
    <t>NARBHAN BOHARA</t>
  </si>
  <si>
    <t>BIR BOHARA</t>
  </si>
  <si>
    <t>19132</t>
  </si>
  <si>
    <t>0830565623205001</t>
  </si>
  <si>
    <t>1301950000006566</t>
  </si>
  <si>
    <t>BISHNU BHUSAL</t>
  </si>
  <si>
    <t>HIMLAL BHUSAL/BHAVI BHUSAL</t>
  </si>
  <si>
    <t>BINIRAM BHUSAL</t>
  </si>
  <si>
    <t>403013/2015</t>
  </si>
  <si>
    <t>03607010241069</t>
  </si>
  <si>
    <t>1301120000161849</t>
  </si>
  <si>
    <t>Pancha Laxmi Manandhar</t>
  </si>
  <si>
    <t>Yam Narayan Manandhar</t>
  </si>
  <si>
    <t>Buddhiman Manandhar</t>
  </si>
  <si>
    <t>130</t>
  </si>
  <si>
    <t>0130003004400016</t>
  </si>
  <si>
    <t>1301060001853945</t>
  </si>
  <si>
    <t>SANAM KARMACHARYA</t>
  </si>
  <si>
    <t>KRISHNA PRASAD KARMACHARYA</t>
  </si>
  <si>
    <t>ASHA KAJI KARMACHARYA</t>
  </si>
  <si>
    <t>98440</t>
  </si>
  <si>
    <t>01605080004292</t>
  </si>
  <si>
    <t>1301580001227574</t>
  </si>
  <si>
    <t>DILIP KHATIWADA</t>
  </si>
  <si>
    <t>DURGA PRASAD KHATIWADA/CHUDA KUMARI  KHATIWADA</t>
  </si>
  <si>
    <t>RAM PRASAD KHATIWADA/NIRU ADHIKARI</t>
  </si>
  <si>
    <t>25-01-71-04732</t>
  </si>
  <si>
    <t>038011060000219</t>
  </si>
  <si>
    <t>1301370001690066</t>
  </si>
  <si>
    <t>Baibhav Pant</t>
  </si>
  <si>
    <t>Binod Pant</t>
  </si>
  <si>
    <t>Kalidas Pant</t>
  </si>
  <si>
    <t>138</t>
  </si>
  <si>
    <t>1057041771652401</t>
  </si>
  <si>
    <t>1301650001552489</t>
  </si>
  <si>
    <t>LALIT KHADKA</t>
  </si>
  <si>
    <t>LAMBAR BAHADUR KHADKA/</t>
  </si>
  <si>
    <t>22302866</t>
  </si>
  <si>
    <t>1060100000582219</t>
  </si>
  <si>
    <t>1301100002678594</t>
  </si>
  <si>
    <t>SUNIL THAPA</t>
  </si>
  <si>
    <t>CHOK BAHADUR THAPA</t>
  </si>
  <si>
    <t>RATNA BAHADUR THAPA</t>
  </si>
  <si>
    <t>42-01-72-03406</t>
  </si>
  <si>
    <t>0830078674300011</t>
  </si>
  <si>
    <t>1301370000047796</t>
  </si>
  <si>
    <t>Prakash Raj Sharma</t>
  </si>
  <si>
    <t>Tulasi Ram Upadhyay</t>
  </si>
  <si>
    <t>Reshmi Raj Upadhyay</t>
  </si>
  <si>
    <t>51/4184</t>
  </si>
  <si>
    <t>3369314472524002</t>
  </si>
  <si>
    <t>1301650001837828</t>
  </si>
  <si>
    <t>PUSHP KUMAR JHA</t>
  </si>
  <si>
    <t>RAMCHANDRA JHA</t>
  </si>
  <si>
    <t>JAMUNA JHA/SANJU JHA</t>
  </si>
  <si>
    <t>3142</t>
  </si>
  <si>
    <t>4340100005881010</t>
  </si>
  <si>
    <t>1301120000052776</t>
  </si>
  <si>
    <t>Prem Bahadur Bhandari</t>
  </si>
  <si>
    <t>Min Bahadur Bhandari</t>
  </si>
  <si>
    <t>Mim Bahadur Bhandari</t>
  </si>
  <si>
    <t>37736</t>
  </si>
  <si>
    <t>00807010008397</t>
  </si>
  <si>
    <t>1301060003471077</t>
  </si>
  <si>
    <t>BHUPAL SING TAMANG</t>
  </si>
  <si>
    <t>JANGE TAMANG /MANGSIR MAYA TAMANG</t>
  </si>
  <si>
    <t>241046/46</t>
  </si>
  <si>
    <t>10105350250733</t>
  </si>
  <si>
    <t>1301060001459715</t>
  </si>
  <si>
    <t>PUSHPA PANT</t>
  </si>
  <si>
    <t>SANDIP PANT</t>
  </si>
  <si>
    <t>KALINATH PANT</t>
  </si>
  <si>
    <t>716</t>
  </si>
  <si>
    <t>01705080133340</t>
  </si>
  <si>
    <t>1301040002635355</t>
  </si>
  <si>
    <t>MO FAIYAJ KHAN</t>
  </si>
  <si>
    <t>AMARUL KHA PAITHAN/AMINA KHATUN</t>
  </si>
  <si>
    <t>/BIJU KHA PAITHAN</t>
  </si>
  <si>
    <t>32-01-80-06913</t>
  </si>
  <si>
    <t>22610017502717</t>
  </si>
  <si>
    <t>1301260001810800</t>
  </si>
  <si>
    <t>BOUDHRAM YADAV</t>
  </si>
  <si>
    <t>MAHADEV YADAV/KHUKUNI DEVI YADAV</t>
  </si>
  <si>
    <t>CHHUTHARU YADAV</t>
  </si>
  <si>
    <t>76084259</t>
  </si>
  <si>
    <t>0690145472100016</t>
  </si>
  <si>
    <t>1301060001460851</t>
  </si>
  <si>
    <t>BIPUL PANT</t>
  </si>
  <si>
    <t>522</t>
  </si>
  <si>
    <t>01805150251426</t>
  </si>
  <si>
    <t>1301120000053653</t>
  </si>
  <si>
    <t>Priya Kumari Ghimire</t>
  </si>
  <si>
    <t>Kul Bdr Ghimire</t>
  </si>
  <si>
    <t>nar Bdr Ghimire</t>
  </si>
  <si>
    <t>2005/420</t>
  </si>
  <si>
    <t>03609015000679</t>
  </si>
  <si>
    <t>1301120005231229</t>
  </si>
  <si>
    <t>PRAMESH DHIMAL</t>
  </si>
  <si>
    <t>KUL BAHADUR DHIMAL</t>
  </si>
  <si>
    <t>PACHULAL DHIMAL</t>
  </si>
  <si>
    <t>052011-15246</t>
  </si>
  <si>
    <t>03707010207638</t>
  </si>
  <si>
    <t>1301060000949406</t>
  </si>
  <si>
    <t>RAMIT KUMAR SHAH</t>
  </si>
  <si>
    <t>RAJ KISHOR SHAH</t>
  </si>
  <si>
    <t>RAM NARAYAN SHAH</t>
  </si>
  <si>
    <t>17274</t>
  </si>
  <si>
    <t>4187963349252401</t>
  </si>
  <si>
    <t>1301650000575279</t>
  </si>
  <si>
    <t>NISHA SHRESTHA</t>
  </si>
  <si>
    <t>MOHAN  PRASAD SHRESTHA</t>
  </si>
  <si>
    <t>DAMBAR DWOJ SHRESTHA /KRISHNA SUNDRA SHRESTHA</t>
  </si>
  <si>
    <t>11587251</t>
  </si>
  <si>
    <t>4100100008164010</t>
  </si>
  <si>
    <t>1301370000208853</t>
  </si>
  <si>
    <t>Shiva Kumar Maharjan</t>
  </si>
  <si>
    <t>Ashamaru Maharjan</t>
  </si>
  <si>
    <t>Sinhabir Maharjan</t>
  </si>
  <si>
    <t>6333</t>
  </si>
  <si>
    <t>0130003319800015</t>
  </si>
  <si>
    <t>1301120005337162</t>
  </si>
  <si>
    <t>LINTON PHAGAMI</t>
  </si>
  <si>
    <t>OM BAHADUR PHAGAMI</t>
  </si>
  <si>
    <t>MAYA BAHADUR PHAGAMI</t>
  </si>
  <si>
    <t>49-01-76-02642</t>
  </si>
  <si>
    <t>01407010209519</t>
  </si>
  <si>
    <t>1301120000472414</t>
  </si>
  <si>
    <t>Rashmi Shrestha</t>
  </si>
  <si>
    <t>Gyan Bahadur Shrestha</t>
  </si>
  <si>
    <t>Asha Lal Shrestha/Rabindra Lal Shrestha</t>
  </si>
  <si>
    <t>5218</t>
  </si>
  <si>
    <t>01915022793</t>
  </si>
  <si>
    <t>1301580001788934</t>
  </si>
  <si>
    <t>DHARMENDRA KUMAR CHAUDHARY</t>
  </si>
  <si>
    <t>RAJ NARAYAN CHAUDHARY/KASAM BATI CHAUDHARY</t>
  </si>
  <si>
    <t>SHIV LAL CHAUDHARY</t>
  </si>
  <si>
    <t>6800</t>
  </si>
  <si>
    <t>028011060005313</t>
  </si>
  <si>
    <t>1301370000413411</t>
  </si>
  <si>
    <t>Suraj Kathayat</t>
  </si>
  <si>
    <t>Tanka Bahadur Kathayat</t>
  </si>
  <si>
    <t>Padam Bahadur Kathayat</t>
  </si>
  <si>
    <t>051066/7650</t>
  </si>
  <si>
    <t>02LS011683NPR001</t>
  </si>
  <si>
    <t>1301060001959481</t>
  </si>
  <si>
    <t>AJAR MAHARJAN</t>
  </si>
  <si>
    <t>OM PRAKASH MAHARJAN</t>
  </si>
  <si>
    <t>AASHMAN MAHARJAN</t>
  </si>
  <si>
    <t>271058/62184</t>
  </si>
  <si>
    <t>1550100000007203</t>
  </si>
  <si>
    <t>1301070000107948</t>
  </si>
  <si>
    <t>Gunjan Dhonju</t>
  </si>
  <si>
    <t>Udaya Lal Dhonju</t>
  </si>
  <si>
    <t>Shyam Lal Dhonju</t>
  </si>
  <si>
    <t>15198</t>
  </si>
  <si>
    <t>01015094023</t>
  </si>
  <si>
    <t>1301720000014551</t>
  </si>
  <si>
    <t>MANISHA K.C.</t>
  </si>
  <si>
    <t>ARJUN KUMAR K.C.</t>
  </si>
  <si>
    <t>KRISHNA DHWOJ K.C.</t>
  </si>
  <si>
    <t>21211035/25566</t>
  </si>
  <si>
    <t>1006801264165017</t>
  </si>
  <si>
    <t>1301100001504094</t>
  </si>
  <si>
    <t>UMESH KUMAR YADAV</t>
  </si>
  <si>
    <t>RAM CHALITRA YADAV/JAYLAL DEVI YADAV</t>
  </si>
  <si>
    <t>SAGAM YADAV</t>
  </si>
  <si>
    <t>87213842</t>
  </si>
  <si>
    <t>1120065522800017</t>
  </si>
  <si>
    <t>1301100000305622</t>
  </si>
  <si>
    <t>MENUKA POUDYAL</t>
  </si>
  <si>
    <t>RAJNATH OJHA</t>
  </si>
  <si>
    <t>HARI BHAKTA OJHA/ISHWORI KUMAR POUDYAL</t>
  </si>
  <si>
    <t>62/541</t>
  </si>
  <si>
    <t>06220700508428000001</t>
  </si>
  <si>
    <t>1301650002256661</t>
  </si>
  <si>
    <t>MINA SHAHI</t>
  </si>
  <si>
    <t>BHUVAN SHAHI</t>
  </si>
  <si>
    <t>LAXMAN SHAHI/NARENDRA BAHADUR CHAND</t>
  </si>
  <si>
    <t>641010105806</t>
  </si>
  <si>
    <t>5110100000002011</t>
  </si>
  <si>
    <t>1301170002216524</t>
  </si>
  <si>
    <t>ABIRAL PANT</t>
  </si>
  <si>
    <t>ABINASH PANT</t>
  </si>
  <si>
    <t>BODH BIKRAM PANT</t>
  </si>
  <si>
    <t>271026/18876</t>
  </si>
  <si>
    <t>0010100001791016</t>
  </si>
  <si>
    <t>1301610000428691</t>
  </si>
  <si>
    <t>TILAK GAUTAM</t>
  </si>
  <si>
    <t>DAYA RAM GAUTAM</t>
  </si>
  <si>
    <t>RAM DUTTA GAUTAM</t>
  </si>
  <si>
    <t>35916</t>
  </si>
  <si>
    <t>0390075252900011</t>
  </si>
  <si>
    <t>1301440000319540</t>
  </si>
  <si>
    <t>LATA PATHAK SIWAKOTI</t>
  </si>
  <si>
    <t>KASHAB PRASAD PATHAK</t>
  </si>
  <si>
    <t>MIN PRASAD PATHAK</t>
  </si>
  <si>
    <t>04-01-69-04299</t>
  </si>
  <si>
    <t>03609015001746</t>
  </si>
  <si>
    <t>1301040002561321</t>
  </si>
  <si>
    <t>SUJAN ADHIKARI</t>
  </si>
  <si>
    <t>SUDHIR ADHIKARI/SUBHADRA ADHIKARI</t>
  </si>
  <si>
    <t>SUMI RAI/LATE ISHWORI BAHADUR ADHIKARI</t>
  </si>
  <si>
    <t>136079</t>
  </si>
  <si>
    <t>15310017501117</t>
  </si>
  <si>
    <t>1301040001813371</t>
  </si>
  <si>
    <t>MUKUNDA GHIMIRE</t>
  </si>
  <si>
    <t>KHAGENDRA GHIMIRE/GAYATRI GHIMIRE</t>
  </si>
  <si>
    <t>/DINA NATH GHIMIRE</t>
  </si>
  <si>
    <t>38-01-71-04955</t>
  </si>
  <si>
    <t>4610017508583</t>
  </si>
  <si>
    <t>1301120000363829</t>
  </si>
  <si>
    <t>Arbind Kumar Singh</t>
  </si>
  <si>
    <t>Ram Chandra Prasad Singh</t>
  </si>
  <si>
    <t>Indra Dev Singh/ Asha Singh</t>
  </si>
  <si>
    <t>541</t>
  </si>
  <si>
    <t>00210251217011</t>
  </si>
  <si>
    <t>1301650001894486</t>
  </si>
  <si>
    <t>RASHMIKA KOIRALA</t>
  </si>
  <si>
    <t>RAJESH KOIRALA</t>
  </si>
  <si>
    <t>MAYANATH KOIRALA</t>
  </si>
  <si>
    <t>2079092703596</t>
  </si>
  <si>
    <t>3050100000132005</t>
  </si>
  <si>
    <t>1301690000860054</t>
  </si>
  <si>
    <t>SUJAN NEPAL</t>
  </si>
  <si>
    <t>GOBINDA PRASAD NEPAL /LILA DEVI NEPAL</t>
  </si>
  <si>
    <t>HARI LAL NEPAL</t>
  </si>
  <si>
    <t>24-01-72-01796</t>
  </si>
  <si>
    <t>01001000000598201645</t>
  </si>
  <si>
    <t>1301650001766926</t>
  </si>
  <si>
    <t>PRATIMA CHAUDHARY</t>
  </si>
  <si>
    <t>PRADIP KUMAR CHAUDHARY</t>
  </si>
  <si>
    <t>RAM PRASAD CHAUDHARY/</t>
  </si>
  <si>
    <t>1520053249</t>
  </si>
  <si>
    <t>1160100034350010</t>
  </si>
  <si>
    <t>1301080000858849</t>
  </si>
  <si>
    <t>RITU THAKUR</t>
  </si>
  <si>
    <t>NAMONATH JHA</t>
  </si>
  <si>
    <t>RAMSHOVARAT JHA</t>
  </si>
  <si>
    <t>321023-1</t>
  </si>
  <si>
    <t>04600512200080</t>
  </si>
  <si>
    <t>1301040000632372</t>
  </si>
  <si>
    <t>BIBEK KUMAR YADAV</t>
  </si>
  <si>
    <t>RAM SWARTH YADAV</t>
  </si>
  <si>
    <t>RAM KISHUN YADAV</t>
  </si>
  <si>
    <t>1056/225</t>
  </si>
  <si>
    <t>1910017514008</t>
  </si>
  <si>
    <t>1301440000286406</t>
  </si>
  <si>
    <t>SUBASH PAUDEL</t>
  </si>
  <si>
    <t>TEK NATH SHARMA PAUDEL</t>
  </si>
  <si>
    <t>DEVI PRASAD PAUDEL</t>
  </si>
  <si>
    <t>51-01-71-00585</t>
  </si>
  <si>
    <t>03309015012573</t>
  </si>
  <si>
    <t>1301650001767423</t>
  </si>
  <si>
    <t>PREKSHA CHAUDHARY</t>
  </si>
  <si>
    <t>PASHUPATI KUMAR CHAUDHARY</t>
  </si>
  <si>
    <t>NATHAR CHAUDHARY</t>
  </si>
  <si>
    <t>2077102103123</t>
  </si>
  <si>
    <t>1160100034351010</t>
  </si>
  <si>
    <t>1301120005430121</t>
  </si>
  <si>
    <t>MD MUSTAK SHAH</t>
  </si>
  <si>
    <t>ENUS HAH</t>
  </si>
  <si>
    <t>MUSLIM SHAH</t>
  </si>
  <si>
    <t>17-01-73-08287</t>
  </si>
  <si>
    <t>30107010032566</t>
  </si>
  <si>
    <t>1301720001156696</t>
  </si>
  <si>
    <t>KAMAL TIMILSINA</t>
  </si>
  <si>
    <t>DHANA PRASAD TIMILSINA</t>
  </si>
  <si>
    <t>MAHARUDRA TIMILSINA</t>
  </si>
  <si>
    <t>213046819</t>
  </si>
  <si>
    <t>0210000039989011</t>
  </si>
  <si>
    <t>1301090003934866</t>
  </si>
  <si>
    <t>ANUP ALE</t>
  </si>
  <si>
    <t>GOPAL BAHADUR ALE MAGAR/DIL KUMARI ALE MAGAR</t>
  </si>
  <si>
    <t>GUNA BAHADUR ALE</t>
  </si>
  <si>
    <t>20-01-74-03413</t>
  </si>
  <si>
    <t>55500511671</t>
  </si>
  <si>
    <t>1301370003439772</t>
  </si>
  <si>
    <t>SURAJ PRASAD KUSHWAHA</t>
  </si>
  <si>
    <t>GAYA MAHATO KURMI</t>
  </si>
  <si>
    <t>GODAR KOIRI MAHATO</t>
  </si>
  <si>
    <t>33-01-71-02744</t>
  </si>
  <si>
    <t>C587594837524001</t>
  </si>
  <si>
    <t>1301250000230118</t>
  </si>
  <si>
    <t>MAITA BAHADUR LIBANG</t>
  </si>
  <si>
    <t>TILOKSING LIBANG</t>
  </si>
  <si>
    <t>LILA KUMARI LIBANG / MAHANATH LIBANG</t>
  </si>
  <si>
    <t>623/8461</t>
  </si>
  <si>
    <t>05822301292979000001</t>
  </si>
  <si>
    <t>1301240001078940</t>
  </si>
  <si>
    <t>AMBIKA ACHARYA</t>
  </si>
  <si>
    <t>TULASI PRASAD RUPAKHETI</t>
  </si>
  <si>
    <t>SHIVARAM ACHARYA</t>
  </si>
  <si>
    <t>72198</t>
  </si>
  <si>
    <t>03610190677013</t>
  </si>
  <si>
    <t>1301540000006326</t>
  </si>
  <si>
    <t>Buddhi Sagar Ghimire</t>
  </si>
  <si>
    <t>Him Lal Ghimire</t>
  </si>
  <si>
    <t>150062</t>
  </si>
  <si>
    <t>13901000000110401969</t>
  </si>
  <si>
    <t>1301020000117091</t>
  </si>
  <si>
    <t>PRAMANANDA SHARMA</t>
  </si>
  <si>
    <t>MENUKA SHARMA/HEM NATH SHARMA BHANDARY</t>
  </si>
  <si>
    <t>977/2892</t>
  </si>
  <si>
    <t>3287605288524001</t>
  </si>
  <si>
    <t>1301090000150249</t>
  </si>
  <si>
    <t>RUBY BAHADUR SHRESTHA</t>
  </si>
  <si>
    <t>RABI BAHADUR SHRESTHA</t>
  </si>
  <si>
    <t>RAJ BHAKTA SHRESTHA / SARITA SHERCHAN</t>
  </si>
  <si>
    <t>13177</t>
  </si>
  <si>
    <t>23715241401772</t>
  </si>
  <si>
    <t>1301080000696127</t>
  </si>
  <si>
    <t>ANIL ACHARYA</t>
  </si>
  <si>
    <t>SHIVA RAM ACHARYA</t>
  </si>
  <si>
    <t>BAIKUNTHA PRASAD ACHARYA</t>
  </si>
  <si>
    <t>34183</t>
  </si>
  <si>
    <t>00100516211933</t>
  </si>
  <si>
    <t>1301060000189478</t>
  </si>
  <si>
    <t>KESHAB PRASAD PAUDYAL</t>
  </si>
  <si>
    <t>RAMCHANDRA PAUDEL</t>
  </si>
  <si>
    <t>INDUDEVI DEVKOTA PAUDEL</t>
  </si>
  <si>
    <t>1367</t>
  </si>
  <si>
    <t>0240015044100012</t>
  </si>
  <si>
    <t>1301440000414879</t>
  </si>
  <si>
    <t>YAGYA PRASAD SHARMA</t>
  </si>
  <si>
    <t>BHUWANANDA UPADHAYAYA</t>
  </si>
  <si>
    <t>HARI PRASAD UPADHYAYA</t>
  </si>
  <si>
    <t>35375</t>
  </si>
  <si>
    <t>03607010303361</t>
  </si>
  <si>
    <t>1301650001728341</t>
  </si>
  <si>
    <t>NISCHAL MAINALI</t>
  </si>
  <si>
    <t>NABRAJ PRASAD MAINALI</t>
  </si>
  <si>
    <t>KRISHNA PRASAD MAINALI/</t>
  </si>
  <si>
    <t>05017205692</t>
  </si>
  <si>
    <t>2190100000001210</t>
  </si>
  <si>
    <t>1301120005418581</t>
  </si>
  <si>
    <t>RESHAM ADHIKARI</t>
  </si>
  <si>
    <t>PREM BAHADUR ADHIKARI</t>
  </si>
  <si>
    <t>GAMVAR SINGH ADHIKARI</t>
  </si>
  <si>
    <t>79144</t>
  </si>
  <si>
    <t>03007010202718</t>
  </si>
  <si>
    <t>1301370006128046</t>
  </si>
  <si>
    <t>PRASHANTA SHRESTHA</t>
  </si>
  <si>
    <t>HOM NATH SHRESTHA</t>
  </si>
  <si>
    <t>BAL BAHADUR SHRESTHA</t>
  </si>
  <si>
    <t>042044/2034</t>
  </si>
  <si>
    <t>2555752234859001</t>
  </si>
  <si>
    <t>1301020000125934</t>
  </si>
  <si>
    <t>MENUKA SHARMA</t>
  </si>
  <si>
    <t>OM KUMAR BHATTARAI</t>
  </si>
  <si>
    <t>4285</t>
  </si>
  <si>
    <t>08407010000899</t>
  </si>
  <si>
    <t>1301580001248913</t>
  </si>
  <si>
    <t>MANOJ SHRESTHA</t>
  </si>
  <si>
    <t>TEJ KUMAR SHRESTHA</t>
  </si>
  <si>
    <t>26-01-74-06929</t>
  </si>
  <si>
    <t>004011060013343</t>
  </si>
  <si>
    <t>1301650001799221</t>
  </si>
  <si>
    <t>PUNAM POKHREL</t>
  </si>
  <si>
    <t>BED PRASAD POKHREL</t>
  </si>
  <si>
    <t>NETRANARAYAN POKHREL/YUBRAJ POUDEL</t>
  </si>
  <si>
    <t>42017502339</t>
  </si>
  <si>
    <t>3020100001183104</t>
  </si>
  <si>
    <t>1301650002054774</t>
  </si>
  <si>
    <t>KRISHYA KHATRI</t>
  </si>
  <si>
    <t>KRISHNA KUMAR KHATRI</t>
  </si>
  <si>
    <t>BIRENDRA KUMAR KHATRI/YAMUNA KHULAL</t>
  </si>
  <si>
    <t>2079073010169</t>
  </si>
  <si>
    <t>1960100000641010</t>
  </si>
  <si>
    <t>1301060003207152</t>
  </si>
  <si>
    <t>SABITRI CHHETRI KC</t>
  </si>
  <si>
    <t>GAM BAHADUR CHHETRI/KAMALA CHHETRI</t>
  </si>
  <si>
    <t>TAK BAHADUR CHHETRI</t>
  </si>
  <si>
    <t>42-01-78-01807</t>
  </si>
  <si>
    <t>20305080032490</t>
  </si>
  <si>
    <t>1301290000057029</t>
  </si>
  <si>
    <t>KESHAV RAJ JOSHI</t>
  </si>
  <si>
    <t>SURYA DUTTA JOSHI</t>
  </si>
  <si>
    <t>KUMARI DUTTA JOSHI</t>
  </si>
  <si>
    <t>1666</t>
  </si>
  <si>
    <t>0210017542696</t>
  </si>
  <si>
    <t>1301310000336444</t>
  </si>
  <si>
    <t>MAMATA SHAHI</t>
  </si>
  <si>
    <t>BHIM BAHADUR SHAHI/DEVI DHARA SHAHI</t>
  </si>
  <si>
    <t>BHANU SHAHI/KARNA BAHADUR SHAHI</t>
  </si>
  <si>
    <t>64-01-71-01740</t>
  </si>
  <si>
    <t>4080100000001210</t>
  </si>
  <si>
    <t>1301100000524814</t>
  </si>
  <si>
    <t>RAJESH NEPAL</t>
  </si>
  <si>
    <t>SHYAM KUMAR NEPAL</t>
  </si>
  <si>
    <t>GOKUL PRASAD NEPAL</t>
  </si>
  <si>
    <t>332081/23402</t>
  </si>
  <si>
    <t>07420500547521000001</t>
  </si>
  <si>
    <t>1301120002462656</t>
  </si>
  <si>
    <t>SANJIT ARYAL</t>
  </si>
  <si>
    <t>NETRALAL ARYAL/MAMATA ARYAL</t>
  </si>
  <si>
    <t>TOP NARAYAN ARYAL</t>
  </si>
  <si>
    <t>503042/145</t>
  </si>
  <si>
    <t>1775750475842001</t>
  </si>
  <si>
    <t>1301690000353010</t>
  </si>
  <si>
    <t>BALIBHADRA BHUSAL/THAGI BHUSAL</t>
  </si>
  <si>
    <t>ANKADHAR BHUSAL/SUMANTARAJ PAUDEL</t>
  </si>
  <si>
    <t>503052/742</t>
  </si>
  <si>
    <t>18701000000000320153</t>
  </si>
  <si>
    <t>1301320000132846</t>
  </si>
  <si>
    <t>Hari Prasad Lamichhane</t>
  </si>
  <si>
    <t>Purna Bhadra Lamichhane</t>
  </si>
  <si>
    <t>Rudra Datta Lamichhane</t>
  </si>
  <si>
    <t>71</t>
  </si>
  <si>
    <t>0310017503920</t>
  </si>
  <si>
    <t>1301090001426720</t>
  </si>
  <si>
    <t>SHANTI DEVI</t>
  </si>
  <si>
    <t>THAGA BAITHA / KISHUNI DEVI</t>
  </si>
  <si>
    <t>JITAN BAITHA / RABINDRA BAITHA</t>
  </si>
  <si>
    <t>00872278</t>
  </si>
  <si>
    <t>00216062040</t>
  </si>
  <si>
    <t>1301080000183533</t>
  </si>
  <si>
    <t>RASHMI RAJ POKHREL</t>
  </si>
  <si>
    <t>GOPIRAJ POKHREL</t>
  </si>
  <si>
    <t>JAYARAJ POKHREL</t>
  </si>
  <si>
    <t>46-01-73-07855</t>
  </si>
  <si>
    <t>0010036988700013</t>
  </si>
  <si>
    <t>1301090001049717</t>
  </si>
  <si>
    <t>SANGITA AMATYA</t>
  </si>
  <si>
    <t>LAXMI BAHADUR AMATYA</t>
  </si>
  <si>
    <t>KRISHNA BAHADUR AMATYA</t>
  </si>
  <si>
    <t>32326</t>
  </si>
  <si>
    <t>03315033284</t>
  </si>
  <si>
    <t>1301350000172101</t>
  </si>
  <si>
    <t>SALIK RAM KAFLE</t>
  </si>
  <si>
    <t>KHAGESHOR KAFLE / RADHIKA KAFLE</t>
  </si>
  <si>
    <t>SABITRA KAFLE</t>
  </si>
  <si>
    <t>28234</t>
  </si>
  <si>
    <t>00107010040659</t>
  </si>
  <si>
    <t>1301060000190175</t>
  </si>
  <si>
    <t>ANUP SAPKOTA</t>
  </si>
  <si>
    <t>DURGA PRASAD SAPKOTA</t>
  </si>
  <si>
    <t>INDRA NATH SAPKOTA</t>
  </si>
  <si>
    <t>301001/160974</t>
  </si>
  <si>
    <t>0390036287100011</t>
  </si>
  <si>
    <t>1301390000225311</t>
  </si>
  <si>
    <t>PRABHA SHAKYA</t>
  </si>
  <si>
    <t>DHAN RAJ SHAKYA</t>
  </si>
  <si>
    <t>TEZ MAN SHAKYA</t>
  </si>
  <si>
    <t>51393</t>
  </si>
  <si>
    <t>0970100162100018</t>
  </si>
  <si>
    <t>1301100002684359</t>
  </si>
  <si>
    <t>RAM PRASAD ACHARYA</t>
  </si>
  <si>
    <t>SIDDI PRASAD ACHARYA</t>
  </si>
  <si>
    <t>NAMANIDHI ACHARYA</t>
  </si>
  <si>
    <t>13482/3104</t>
  </si>
  <si>
    <t>0410025028400011</t>
  </si>
  <si>
    <t>1301070000956862</t>
  </si>
  <si>
    <t>MEENA KUMARI SHAKYA</t>
  </si>
  <si>
    <t>KAJI MAN SHAKYA</t>
  </si>
  <si>
    <t>CHANDRA MAN SHAKYA</t>
  </si>
  <si>
    <t>50595</t>
  </si>
  <si>
    <t>11444000206</t>
  </si>
  <si>
    <t>1301650002365052</t>
  </si>
  <si>
    <t>SUMAN SHRESTHA</t>
  </si>
  <si>
    <t>LAL BAHADUR SHRESTHA</t>
  </si>
  <si>
    <t>RUP LAL SHRESTHA/HIRA SHRESTHA</t>
  </si>
  <si>
    <t>26147227</t>
  </si>
  <si>
    <t>1420100046188010</t>
  </si>
  <si>
    <t>1301120000705020</t>
  </si>
  <si>
    <t>BHABESH PARAJULI</t>
  </si>
  <si>
    <t>CHANDRA PRASAD PARAJULI</t>
  </si>
  <si>
    <t>MITRA PRASAD PARAJULI</t>
  </si>
  <si>
    <t>052028/32904</t>
  </si>
  <si>
    <t>02810502630015</t>
  </si>
  <si>
    <t>1301370005836094</t>
  </si>
  <si>
    <t>SACHIN KHADKA</t>
  </si>
  <si>
    <t>MOHAN BAHADUR KHADKA</t>
  </si>
  <si>
    <t>BALI RAM KHADKA</t>
  </si>
  <si>
    <t>52-02-74-06218</t>
  </si>
  <si>
    <t>0325751037240001</t>
  </si>
  <si>
    <t>1301770000597880</t>
  </si>
  <si>
    <t>GANESH JAMKATEL</t>
  </si>
  <si>
    <t>HARI PRASAD JAMKATEL</t>
  </si>
  <si>
    <t>TILAK PRASAD JAMKATAEL</t>
  </si>
  <si>
    <t>26-01-73-05632</t>
  </si>
  <si>
    <t>22122361700025</t>
  </si>
  <si>
    <t>1301650001878225</t>
  </si>
  <si>
    <t>GYANENDRA PRASAD SUBEDI</t>
  </si>
  <si>
    <t>VESH KUMAR SUBEDI</t>
  </si>
  <si>
    <t>BALBHADRA SUBEDI/DURGA SUBEDI</t>
  </si>
  <si>
    <t>14956</t>
  </si>
  <si>
    <t>1080100002566010</t>
  </si>
  <si>
    <t>1301120000392645</t>
  </si>
  <si>
    <t>Ishu Pradhan</t>
  </si>
  <si>
    <t>Ram Shankar Pradhan</t>
  </si>
  <si>
    <t>Janak Bdr Pradhan</t>
  </si>
  <si>
    <t>271060/6437</t>
  </si>
  <si>
    <t>00408010001210</t>
  </si>
  <si>
    <t>1301440000151435</t>
  </si>
  <si>
    <t>Sarswati Gurung</t>
  </si>
  <si>
    <t>Netra Bahadur Gurung</t>
  </si>
  <si>
    <t>Hasta Bahadur Gurung</t>
  </si>
  <si>
    <t>221007/48</t>
  </si>
  <si>
    <t>2230477148055001</t>
  </si>
  <si>
    <t>1301040000138063</t>
  </si>
  <si>
    <t>VIBEK HARI RAJBHANDARY</t>
  </si>
  <si>
    <t>BISHWA HARI RAJBHANDARY</t>
  </si>
  <si>
    <t>HEM BAHADUR RAJBHANDARY</t>
  </si>
  <si>
    <t>29170013</t>
  </si>
  <si>
    <t>4200241880524001</t>
  </si>
  <si>
    <t>1301120000704785</t>
  </si>
  <si>
    <t>Sajan Gamal</t>
  </si>
  <si>
    <t>Subba Bahadur Gamal</t>
  </si>
  <si>
    <t>Harka Lal Gamal</t>
  </si>
  <si>
    <t>31-01-76-00988</t>
  </si>
  <si>
    <t>06707010021410</t>
  </si>
  <si>
    <t>1301440000363402</t>
  </si>
  <si>
    <t>ANGDAWA TAMANG</t>
  </si>
  <si>
    <t>MUNGA BAHADUR TAMANG</t>
  </si>
  <si>
    <t>11-01-69-00634</t>
  </si>
  <si>
    <t>03309015009368</t>
  </si>
  <si>
    <t>1301070001859606</t>
  </si>
  <si>
    <t>Phurbi Lhamusang Tamang</t>
  </si>
  <si>
    <t>Som Bahadur Tamang</t>
  </si>
  <si>
    <t>Sunlama Tamang</t>
  </si>
  <si>
    <t>2081071505745</t>
  </si>
  <si>
    <t>0281583597082001</t>
  </si>
  <si>
    <t>1301240001183147</t>
  </si>
  <si>
    <t>PURNIMA TAMANG</t>
  </si>
  <si>
    <t>LAL BAHADUR TAMANG</t>
  </si>
  <si>
    <t>25-01-72-00439</t>
  </si>
  <si>
    <t>0330930802202001</t>
  </si>
  <si>
    <t>1301080000022635</t>
  </si>
  <si>
    <t>MADHAV PRASAD KHANAL</t>
  </si>
  <si>
    <t>SHESH KANT KHANAL</t>
  </si>
  <si>
    <t>JIV NATH THAPA</t>
  </si>
  <si>
    <t>731(2409)040/41</t>
  </si>
  <si>
    <t>00700501201971</t>
  </si>
  <si>
    <t>1301260001991681</t>
  </si>
  <si>
    <t>PHATTA BAHADUR SARU</t>
  </si>
  <si>
    <t>LOK BAHADUR SARU MAGAR/HUMA KUMARI SARU MAGAR</t>
  </si>
  <si>
    <t>PURNA BAHADUR SARU MAGAR</t>
  </si>
  <si>
    <t>21173</t>
  </si>
  <si>
    <t>0890057026000031</t>
  </si>
  <si>
    <t>1301070000861428</t>
  </si>
  <si>
    <t>Kushma Shrestha</t>
  </si>
  <si>
    <t>Kaji bahadur Shrestha</t>
  </si>
  <si>
    <t>Bhakta Ram Karanjit</t>
  </si>
  <si>
    <t>03-1-037/88832</t>
  </si>
  <si>
    <t>03545001020</t>
  </si>
  <si>
    <t>1301250001088483</t>
  </si>
  <si>
    <t>MINA RAI</t>
  </si>
  <si>
    <t>KRISHNA BAHADUR LIMBU /PURNI MAYA LIMBU</t>
  </si>
  <si>
    <t>051037/782</t>
  </si>
  <si>
    <t>14021600653437000001</t>
  </si>
  <si>
    <t>1301060000091581</t>
  </si>
  <si>
    <t>SUMITA BISTA</t>
  </si>
  <si>
    <t>NARAYAN RAJ BISTA</t>
  </si>
  <si>
    <t>NABA RAJ BISTA</t>
  </si>
  <si>
    <t>7734</t>
  </si>
  <si>
    <t>5210100000079010</t>
  </si>
  <si>
    <t>1301100002622249</t>
  </si>
  <si>
    <t>PRAKASH GAUTAM</t>
  </si>
  <si>
    <t>BISHNU PRASAD GAUTAM</t>
  </si>
  <si>
    <t>TULSIRAM GAUTAM</t>
  </si>
  <si>
    <t>383004/75</t>
  </si>
  <si>
    <t>0350171412100016</t>
  </si>
  <si>
    <t>1301010000250270</t>
  </si>
  <si>
    <t>SICHAN SHRESTHA</t>
  </si>
  <si>
    <t>SHYAM KRISHNA SHRESTHA/ MEENA SHRESTHA</t>
  </si>
  <si>
    <t>MANISHA SINGH/ PURNA SHRESTHA</t>
  </si>
  <si>
    <t>1546</t>
  </si>
  <si>
    <t>00415187251</t>
  </si>
  <si>
    <t>1301010000168437</t>
  </si>
  <si>
    <t>GANESH KUMAR G.C</t>
  </si>
  <si>
    <t>BOT BAHADUR GHARTI</t>
  </si>
  <si>
    <t>BIMALA KARKI/  PADAM BAHADUR GHARTI</t>
  </si>
  <si>
    <t>56045</t>
  </si>
  <si>
    <t>1100100002902104</t>
  </si>
  <si>
    <t>1301240001479344</t>
  </si>
  <si>
    <t>SAGAR PAYANGU LIMBU</t>
  </si>
  <si>
    <t>GHUM PRASAD LIMBU/DHAN KUMARI LIMBU</t>
  </si>
  <si>
    <t>NAR BAHADUR LIMBU</t>
  </si>
  <si>
    <t>34523/287</t>
  </si>
  <si>
    <t>0640687020299001</t>
  </si>
  <si>
    <t>1301070001901058</t>
  </si>
  <si>
    <t>HOM BAHADUR SHRESTHA</t>
  </si>
  <si>
    <t>PURNA BAHADUR SHRESTHA</t>
  </si>
  <si>
    <t>21-01-73-00888</t>
  </si>
  <si>
    <t>0711603966055001</t>
  </si>
  <si>
    <t>1301080000547481</t>
  </si>
  <si>
    <t>OM RAJ BHANDARI</t>
  </si>
  <si>
    <t>GITARAM BHANDARI</t>
  </si>
  <si>
    <t>KALADHAR BHANDARI</t>
  </si>
  <si>
    <t>38-SA6/653</t>
  </si>
  <si>
    <t>02000501000147</t>
  </si>
  <si>
    <t>1301090004366305</t>
  </si>
  <si>
    <t>MADHAV PRASAD LAMICHHANE</t>
  </si>
  <si>
    <t>NARESHWAR LAMICHHANE</t>
  </si>
  <si>
    <t>SHOBHAKHAR LAMICHHANE</t>
  </si>
  <si>
    <t>4260</t>
  </si>
  <si>
    <t>55504352395</t>
  </si>
  <si>
    <t>1301090003307112</t>
  </si>
  <si>
    <t>JITENDRA SAH</t>
  </si>
  <si>
    <t>SANDIP SAH / KOSHILA DEVI SAH</t>
  </si>
  <si>
    <t>RAM BHAJAN SAH</t>
  </si>
  <si>
    <t>17-01-72-03709</t>
  </si>
  <si>
    <t>02018823530</t>
  </si>
  <si>
    <t>1301670000200805</t>
  </si>
  <si>
    <t>ANJU MALI</t>
  </si>
  <si>
    <t>MOHAN MALI/MAIYA MALI</t>
  </si>
  <si>
    <t>PHURBA SHERPA/SHIVA MALI</t>
  </si>
  <si>
    <t>27-01-74-07133</t>
  </si>
  <si>
    <t>06112100573670000001</t>
  </si>
  <si>
    <t>1301090004231505</t>
  </si>
  <si>
    <t>KAMAL PRASAD CHAULAGAIN</t>
  </si>
  <si>
    <t>BISHNU PRASAD CHAULAGAIN / RATNA MAYA CHAULAGAIN</t>
  </si>
  <si>
    <t>CHANDRA PRASAD CHAULAGAIN</t>
  </si>
  <si>
    <t>102027/978</t>
  </si>
  <si>
    <t>55503587897</t>
  </si>
  <si>
    <t>1301120000525816</t>
  </si>
  <si>
    <t>Pankaj Kumar Gupta</t>
  </si>
  <si>
    <t>Ram Chandra Prasaad Rauniyar</t>
  </si>
  <si>
    <t>Muneshwar Ram  Rauniyar/Salu Gupta</t>
  </si>
  <si>
    <t>5706</t>
  </si>
  <si>
    <t>0133967266524001</t>
  </si>
  <si>
    <t>1301370004881013</t>
  </si>
  <si>
    <t>SAYAN RAI</t>
  </si>
  <si>
    <t>RABIN RAI</t>
  </si>
  <si>
    <t>RAN BAHADUR RAI</t>
  </si>
  <si>
    <t>04-02-77-01540</t>
  </si>
  <si>
    <t>2475751314434001</t>
  </si>
  <si>
    <t>1301060002433831</t>
  </si>
  <si>
    <t>USHA GYAWALI</t>
  </si>
  <si>
    <t>DADHIRAM GYAWALI</t>
  </si>
  <si>
    <t>PADMALOCHAN GYAWALI</t>
  </si>
  <si>
    <t>755/2028</t>
  </si>
  <si>
    <t>03005030270816</t>
  </si>
  <si>
    <t>1301720001080460</t>
  </si>
  <si>
    <t>BIJAY KUMAR SAH</t>
  </si>
  <si>
    <t>PHULAGEN SAHU TELI</t>
  </si>
  <si>
    <t>MANSHIPH SAH</t>
  </si>
  <si>
    <t>171066265</t>
  </si>
  <si>
    <t>1005605026592015</t>
  </si>
  <si>
    <t>1301120004494742</t>
  </si>
  <si>
    <t>DEEPAK PANTH</t>
  </si>
  <si>
    <t>THANESHWOR PANTH</t>
  </si>
  <si>
    <t>JIBLAL PANTH</t>
  </si>
  <si>
    <t>54189</t>
  </si>
  <si>
    <t>01707010010204</t>
  </si>
  <si>
    <t>1301090002100897</t>
  </si>
  <si>
    <t>NIKENDRA RAWAL</t>
  </si>
  <si>
    <t>AMAR SINGH RAWAL</t>
  </si>
  <si>
    <t>RATAN BAHADUR RAWAL</t>
  </si>
  <si>
    <t>672040-53963</t>
  </si>
  <si>
    <t>01715462233</t>
  </si>
  <si>
    <t>1301090000890681</t>
  </si>
  <si>
    <t>MANOR DIN SHAIYED</t>
  </si>
  <si>
    <t>NASIB DIN MIYA SHAIYED</t>
  </si>
  <si>
    <t>SAKUR MIYA</t>
  </si>
  <si>
    <t>12395</t>
  </si>
  <si>
    <t>01915078564</t>
  </si>
  <si>
    <t>1301090002617787</t>
  </si>
  <si>
    <t>DAVIS BHANDARI</t>
  </si>
  <si>
    <t>DABAL BHANDARI</t>
  </si>
  <si>
    <t>REWAT BHANDARI</t>
  </si>
  <si>
    <t>04-01-75-02294</t>
  </si>
  <si>
    <t>02217452170</t>
  </si>
  <si>
    <t>1301440000363168</t>
  </si>
  <si>
    <t>BIKRAM BHATTARAI</t>
  </si>
  <si>
    <t>KHAGESHWAR BHATTARAI</t>
  </si>
  <si>
    <t>NAMADEV BHATTARAI</t>
  </si>
  <si>
    <t>51-02-76-00841</t>
  </si>
  <si>
    <t>03607010247610</t>
  </si>
  <si>
    <t>1301520002131308</t>
  </si>
  <si>
    <t>ARCHANA THAPA OLI</t>
  </si>
  <si>
    <t>CHANDRA BAHADUR THAPA / MUNA DEVI KARKI</t>
  </si>
  <si>
    <t>07-071019/765</t>
  </si>
  <si>
    <t>0190331113700001</t>
  </si>
  <si>
    <t>1301390000021518</t>
  </si>
  <si>
    <t>PRAKASH ADHIKARI</t>
  </si>
  <si>
    <t>KHAGENDRA ADHIKARI</t>
  </si>
  <si>
    <t>132003/8741</t>
  </si>
  <si>
    <t>1090077059600012</t>
  </si>
  <si>
    <t>1301120004702800</t>
  </si>
  <si>
    <t>LOKESH BHURTEL</t>
  </si>
  <si>
    <t>LOK NATH BHURTEL</t>
  </si>
  <si>
    <t>TIKARAM BHURTEL</t>
  </si>
  <si>
    <t>67-01-73-06601</t>
  </si>
  <si>
    <t>01807010013628</t>
  </si>
  <si>
    <t>1301100002433276</t>
  </si>
  <si>
    <t>RAJESH SHARMA SAPKOTA</t>
  </si>
  <si>
    <t>DIWAKAR SHARMA SAPKOTA/DIL KUMARI SAPKOTA</t>
  </si>
  <si>
    <t>SHREEKRISHNA SAPKOTA</t>
  </si>
  <si>
    <t>8359</t>
  </si>
  <si>
    <t>1320099615300018</t>
  </si>
  <si>
    <t>1301120004485841</t>
  </si>
  <si>
    <t>BIBEK BHATTARAI CHHETRI</t>
  </si>
  <si>
    <t>TUL BAHADUR BHATTARAI CHHETRI</t>
  </si>
  <si>
    <t>BHIM BAHADUR BHATTARAI CHHETRI</t>
  </si>
  <si>
    <t>39-01-75-03091</t>
  </si>
  <si>
    <t>22807010053288</t>
  </si>
  <si>
    <t>1301090001978337</t>
  </si>
  <si>
    <t>AMIT KUMAR RAI</t>
  </si>
  <si>
    <t>KAMAL BAHADUR RAI</t>
  </si>
  <si>
    <t>NAWAPHA SINGH RAI</t>
  </si>
  <si>
    <t>11-01-73-01957</t>
  </si>
  <si>
    <t>03315045942</t>
  </si>
  <si>
    <t>1301390000274051</t>
  </si>
  <si>
    <t>SHANTA SAPKOTA</t>
  </si>
  <si>
    <t>UDDHAB RAJ SAPKOTA</t>
  </si>
  <si>
    <t>LAXMI PRASAD SAPKOTA</t>
  </si>
  <si>
    <t>261/20053</t>
  </si>
  <si>
    <t>1200096036500011</t>
  </si>
  <si>
    <t>1301070000749418</t>
  </si>
  <si>
    <t>BANDANA PANDEY</t>
  </si>
  <si>
    <t>MAHENDRA RAJ PANDEY</t>
  </si>
  <si>
    <t>NARENDRA PRASAD BANSKOTA</t>
  </si>
  <si>
    <t>10284</t>
  </si>
  <si>
    <t>00740006259</t>
  </si>
  <si>
    <t>1301150000002231</t>
  </si>
  <si>
    <t>HARI BHAKTA UPRETY</t>
  </si>
  <si>
    <t>TIKA DEV BHAKTA UPRETY</t>
  </si>
  <si>
    <t>LAXMI BHAKTA UPRETY</t>
  </si>
  <si>
    <t>35-5601</t>
  </si>
  <si>
    <t>0430102882700019</t>
  </si>
  <si>
    <t>1301120002702774</t>
  </si>
  <si>
    <t>RAJENDRA DHAKAL</t>
  </si>
  <si>
    <t>CHANDRA BAHADUR DHAKAL</t>
  </si>
  <si>
    <t>MAN BAHADUR DHAKAL</t>
  </si>
  <si>
    <t>81636</t>
  </si>
  <si>
    <t>06507010003721</t>
  </si>
  <si>
    <t>1301060000067174</t>
  </si>
  <si>
    <t>RAJENDRA RATNA BAJRACHARYA</t>
  </si>
  <si>
    <t>HIRA RATNA BAJRACHARYA</t>
  </si>
  <si>
    <t>BIRINCHI RATNA BAJRACHARYA</t>
  </si>
  <si>
    <t>2455</t>
  </si>
  <si>
    <t>00705090004527</t>
  </si>
  <si>
    <t>1301060000493130</t>
  </si>
  <si>
    <t>ANJU BAJRACHARYA</t>
  </si>
  <si>
    <t>GYAN MAN BAJRACHARY</t>
  </si>
  <si>
    <t>BHOJ MAN PATI BAJRACHARY</t>
  </si>
  <si>
    <t>1914</t>
  </si>
  <si>
    <t>00723117566</t>
  </si>
  <si>
    <t>1301170001589183</t>
  </si>
  <si>
    <t>SURAJ KUMAR DC</t>
  </si>
  <si>
    <t>KRAMCHAND DANGI</t>
  </si>
  <si>
    <t>KESH BAHADUR DANGI</t>
  </si>
  <si>
    <t>522035/1620</t>
  </si>
  <si>
    <t>0670100000303041</t>
  </si>
  <si>
    <t>1301370007854997</t>
  </si>
  <si>
    <t>PREM MAGAR</t>
  </si>
  <si>
    <t>DAMBER BAHADUR MAGAR</t>
  </si>
  <si>
    <t>RATNA BAHADURA MAGAR</t>
  </si>
  <si>
    <t>12-15-65-00069</t>
  </si>
  <si>
    <t>0045753158566001</t>
  </si>
  <si>
    <t>1301090000428380</t>
  </si>
  <si>
    <t>NIRAJ MANANDHAR</t>
  </si>
  <si>
    <t>RAJU MANANDHAR</t>
  </si>
  <si>
    <t>KRISHNA BAHADUE MANANDHAR</t>
  </si>
  <si>
    <t>1060/95307</t>
  </si>
  <si>
    <t>01915141922</t>
  </si>
  <si>
    <t>1301070000111521</t>
  </si>
  <si>
    <t>Samridhi Baidar</t>
  </si>
  <si>
    <t>Omkar Man Baidar</t>
  </si>
  <si>
    <t>Chakraman Baidar</t>
  </si>
  <si>
    <t>301051/164786</t>
  </si>
  <si>
    <t>1810100005244010</t>
  </si>
  <si>
    <t>1301650002284256</t>
  </si>
  <si>
    <t>PRABIN DHAKAL</t>
  </si>
  <si>
    <t>MANHARI DHAKAL</t>
  </si>
  <si>
    <t>DEVI PRASAD DHAKAL/</t>
  </si>
  <si>
    <t>43017806521</t>
  </si>
  <si>
    <t>1730100011710010</t>
  </si>
  <si>
    <t>1301760000960924</t>
  </si>
  <si>
    <t>EKADEV BHATTARAI</t>
  </si>
  <si>
    <t>GUNAKHAR BHATTARAI,BALAPA BHATTARAI</t>
  </si>
  <si>
    <t>KULANANDA BHATTARAI</t>
  </si>
  <si>
    <t>16866</t>
  </si>
  <si>
    <t>05911601221086000003</t>
  </si>
  <si>
    <t>1301190000052784</t>
  </si>
  <si>
    <t>BHARATI BHETWAL SAPKOTA</t>
  </si>
  <si>
    <t>BALABHADRA BHETWAL</t>
  </si>
  <si>
    <t>BIDUR PRASAD SAPKOTA</t>
  </si>
  <si>
    <t>3415/18015</t>
  </si>
  <si>
    <t>1290063168100001</t>
  </si>
  <si>
    <t>1301760000751559</t>
  </si>
  <si>
    <t>SHALIK RAM BASHYAL</t>
  </si>
  <si>
    <t>BUDDHI SAGAR BASHYAL</t>
  </si>
  <si>
    <t>KALA BASHYAL</t>
  </si>
  <si>
    <t>8794</t>
  </si>
  <si>
    <t>00211601081993000002</t>
  </si>
  <si>
    <t>1301730001829815</t>
  </si>
  <si>
    <t>ALEEZA DANGOL</t>
  </si>
  <si>
    <t>NAWARAJ DANGOL/KAMALA KUMARI PANDEY</t>
  </si>
  <si>
    <t>SANTA BAHADUR DANGOL</t>
  </si>
  <si>
    <t>80</t>
  </si>
  <si>
    <t>25505350007801</t>
  </si>
  <si>
    <t>1301370004245146</t>
  </si>
  <si>
    <t>KRISHALA NAGARKOTI SHRESTHA</t>
  </si>
  <si>
    <t>LALIT BAHADUR NAGARKOTI SHRESTHA</t>
  </si>
  <si>
    <t>BALMAN SHRESTHA</t>
  </si>
  <si>
    <t>18-1-074/42</t>
  </si>
  <si>
    <t>1754334890524001</t>
  </si>
  <si>
    <t>1301090000177706</t>
  </si>
  <si>
    <t>ANUP UPADHYAYA</t>
  </si>
  <si>
    <t>ANIL UPADHYAYA</t>
  </si>
  <si>
    <t>PADAM NATH UPADHYAYA</t>
  </si>
  <si>
    <t>51384</t>
  </si>
  <si>
    <t>01808010027836</t>
  </si>
  <si>
    <t>1301120001931831</t>
  </si>
  <si>
    <t>PATRUS TAMANG</t>
  </si>
  <si>
    <t>SHAKTI TAMANG</t>
  </si>
  <si>
    <t>AMIN KUMARI TAMANG</t>
  </si>
  <si>
    <t>1/57731</t>
  </si>
  <si>
    <t>03507010013530</t>
  </si>
  <si>
    <t>1301220000147201</t>
  </si>
  <si>
    <t>PRAKASH CHAUDHARY</t>
  </si>
  <si>
    <t>HIRDAY RAM THARU</t>
  </si>
  <si>
    <t>SHREE RAM THARU</t>
  </si>
  <si>
    <t>1/21327</t>
  </si>
  <si>
    <t>19807010000697</t>
  </si>
  <si>
    <t>1301090004198101</t>
  </si>
  <si>
    <t>PRABIN POUDEL</t>
  </si>
  <si>
    <t>INDRA BAHADUR POUDEL</t>
  </si>
  <si>
    <t>TEJ BAHADUR POUDEL</t>
  </si>
  <si>
    <t>251002/127</t>
  </si>
  <si>
    <t>01715271325</t>
  </si>
  <si>
    <t>1301240001550197</t>
  </si>
  <si>
    <t>SUBASH KARKI</t>
  </si>
  <si>
    <t>PUSKAR KARKI</t>
  </si>
  <si>
    <t>RAM BAHADUR KARKI</t>
  </si>
  <si>
    <t>46/30808</t>
  </si>
  <si>
    <t>0711169660216001</t>
  </si>
  <si>
    <t>1301120003486679</t>
  </si>
  <si>
    <t>SURENDRA SHARMA</t>
  </si>
  <si>
    <t>JAYALAL SHARMA/KALIKA SHARMA</t>
  </si>
  <si>
    <t>TULSIRAM SHARMA</t>
  </si>
  <si>
    <t>41-20-74-00909</t>
  </si>
  <si>
    <t>04707010009496</t>
  </si>
  <si>
    <t>1301170001638240</t>
  </si>
  <si>
    <t>HEMRAJ MAHATO</t>
  </si>
  <si>
    <t>KOSHIRAM THARU / BHOJMATIYA MAHATO THARUNI</t>
  </si>
  <si>
    <t>TILAK RAM THARU</t>
  </si>
  <si>
    <t>77-01-76-00968</t>
  </si>
  <si>
    <t>1340100000026029</t>
  </si>
  <si>
    <t>1301070001909650</t>
  </si>
  <si>
    <t>UMA DHUNGEL</t>
  </si>
  <si>
    <t>NIDHI NATH DAHAL</t>
  </si>
  <si>
    <t>BRIHASPATI DAHAL</t>
  </si>
  <si>
    <t>16063</t>
  </si>
  <si>
    <t>1290487740055001</t>
  </si>
  <si>
    <t>1301040001696905</t>
  </si>
  <si>
    <t>MANI KUMAR NEPAL</t>
  </si>
  <si>
    <t>DEVI PRASAD NEPAL/KRISH MAYA NEPAL</t>
  </si>
  <si>
    <t>APSARA KARKI/TRILOCHAN NEPAL</t>
  </si>
  <si>
    <t>2246/469</t>
  </si>
  <si>
    <t>0210017521727</t>
  </si>
  <si>
    <t>1301120003903737</t>
  </si>
  <si>
    <t>SHYAM SUNDER KAWAN</t>
  </si>
  <si>
    <t>RAJA RAM KAWAN/RAJ MAYA KAWAN</t>
  </si>
  <si>
    <t>HEL BAHADUR KAWAN</t>
  </si>
  <si>
    <t>27684</t>
  </si>
  <si>
    <t>00507010002321</t>
  </si>
  <si>
    <t>1301650000485801</t>
  </si>
  <si>
    <t>ANGEL KARKI</t>
  </si>
  <si>
    <t>SHAMBHU KARKI</t>
  </si>
  <si>
    <t>JAGAT BAHADUR KARKI /</t>
  </si>
  <si>
    <t>14017305101</t>
  </si>
  <si>
    <t>2090100000008210</t>
  </si>
  <si>
    <t>1301770000087962</t>
  </si>
  <si>
    <t>BIJESHWORI RANJIT</t>
  </si>
  <si>
    <t>GOPAL KRISHNA/PRAVATI</t>
  </si>
  <si>
    <t>BINOD RANJIT/TEJ MAN RANJIT</t>
  </si>
  <si>
    <t>40571</t>
  </si>
  <si>
    <t>01809026430019</t>
  </si>
  <si>
    <t>1301370004219637</t>
  </si>
  <si>
    <t>SUROJ SHRESTHA</t>
  </si>
  <si>
    <t>1046/54027</t>
  </si>
  <si>
    <t>H202955187152401</t>
  </si>
  <si>
    <t>1301090001169798</t>
  </si>
  <si>
    <t>ARJUN SHARMA</t>
  </si>
  <si>
    <t>KHAGESHOR SHARMA/ MENUKA SHARMA</t>
  </si>
  <si>
    <t>JAYA LAL SHARMA</t>
  </si>
  <si>
    <t>50-01-71-00346</t>
  </si>
  <si>
    <t>00815374051</t>
  </si>
  <si>
    <t>1301650001435341</t>
  </si>
  <si>
    <t>MANISH RAUT</t>
  </si>
  <si>
    <t>CHIRANJIBI RAUT</t>
  </si>
  <si>
    <t>BHIM BAHADUR RAUT/</t>
  </si>
  <si>
    <t>22017700071</t>
  </si>
  <si>
    <t>1610100000009210</t>
  </si>
  <si>
    <t>1301300000010787</t>
  </si>
  <si>
    <t>SUSHIL GHIMIRE</t>
  </si>
  <si>
    <t>SHIVA PRASAD GHIMIRE</t>
  </si>
  <si>
    <t>BHAWANI SHANKAR</t>
  </si>
  <si>
    <t>5998</t>
  </si>
  <si>
    <t>00507010003722</t>
  </si>
  <si>
    <t>1301120004769182</t>
  </si>
  <si>
    <t>SHINING BAJRACHARYA</t>
  </si>
  <si>
    <t>JEETENDRA BAJRACHARYA</t>
  </si>
  <si>
    <t>GYAN BAHADUR BAJRACHARYA</t>
  </si>
  <si>
    <t>28-01-79-03695</t>
  </si>
  <si>
    <t>27707010046792</t>
  </si>
  <si>
    <t>1301570001119356</t>
  </si>
  <si>
    <t>BISHNU SHARMA</t>
  </si>
  <si>
    <t>LILAMANI SHARMA/SARASWOTI SHARMA</t>
  </si>
  <si>
    <t>CHURAMANI SHARMA</t>
  </si>
  <si>
    <t>37-02-74-05973</t>
  </si>
  <si>
    <t>23501706610705000001</t>
  </si>
  <si>
    <t>1301760000652625</t>
  </si>
  <si>
    <t>THAMAN BAHADUR POKHREL CHHETRI</t>
  </si>
  <si>
    <t>RUDRA KUMAR POKHREL</t>
  </si>
  <si>
    <t>RESHAM LAL POKHREL</t>
  </si>
  <si>
    <t>1254</t>
  </si>
  <si>
    <t>06310900961247000001</t>
  </si>
  <si>
    <t>1301040003049201</t>
  </si>
  <si>
    <t>ISHWOR BASNET</t>
  </si>
  <si>
    <t>GYAN BAHADUR B C</t>
  </si>
  <si>
    <t>HUM BAHADUR BASNET</t>
  </si>
  <si>
    <t>40-01-78-04989</t>
  </si>
  <si>
    <t>17610017510002</t>
  </si>
  <si>
    <t>1301160000031800</t>
  </si>
  <si>
    <t>KUSHAL NIROULA</t>
  </si>
  <si>
    <t>RISHIKESH NIRAULA</t>
  </si>
  <si>
    <t>RANGLAL NIRAULA</t>
  </si>
  <si>
    <t>51224</t>
  </si>
  <si>
    <t>01205030112912</t>
  </si>
  <si>
    <t>1301370004468600</t>
  </si>
  <si>
    <t>SAGAR THAPA MAGAR</t>
  </si>
  <si>
    <t>RESHAM LAL THAPA MGAR</t>
  </si>
  <si>
    <t>BOM BAHADUR THAPA MAGAR</t>
  </si>
  <si>
    <t>77017602500</t>
  </si>
  <si>
    <t>0765751412025001</t>
  </si>
  <si>
    <t>1301060001565065</t>
  </si>
  <si>
    <t>SIKHA CHAURASIYA</t>
  </si>
  <si>
    <t>CHANDRA BHUSHAN PRASAD CHAURASIYA/REKHA CHAURASIYA</t>
  </si>
  <si>
    <t>MAKHULAL PD. CHAURASIYA</t>
  </si>
  <si>
    <t>34-01-73-11322</t>
  </si>
  <si>
    <t>00610017505627</t>
  </si>
  <si>
    <t>1301010000804043</t>
  </si>
  <si>
    <t>JENISHA BAJRACHARYA</t>
  </si>
  <si>
    <t>28-01-070-04074</t>
  </si>
  <si>
    <t>21253798910014</t>
  </si>
  <si>
    <t>1301090000621028</t>
  </si>
  <si>
    <t>SIRJANA SHARMA</t>
  </si>
  <si>
    <t>HARI PARSAD SUBEDI</t>
  </si>
  <si>
    <t>NAR NATH UPADHYAY</t>
  </si>
  <si>
    <t>25340</t>
  </si>
  <si>
    <t>1310100036304010</t>
  </si>
  <si>
    <t>1301650000622888</t>
  </si>
  <si>
    <t>SAUGAT POUDEL</t>
  </si>
  <si>
    <t>SHESH KANTA PADHYAY</t>
  </si>
  <si>
    <t>52</t>
  </si>
  <si>
    <t>1310100000131005</t>
  </si>
  <si>
    <t>1301570001147846</t>
  </si>
  <si>
    <t>HIRAMAYA SYANGTAN</t>
  </si>
  <si>
    <t>DIL BHADUR SYANGTAN</t>
  </si>
  <si>
    <t>THAKUR SINGH SYANGTAN</t>
  </si>
  <si>
    <t>5263</t>
  </si>
  <si>
    <t>04801106571563000001</t>
  </si>
  <si>
    <t>1301120002015844</t>
  </si>
  <si>
    <t>MAKAR BAHADUR KHADKA</t>
  </si>
  <si>
    <t>BHARAT BAHADUR KHADKA/JANAKI DEBI KHADKA</t>
  </si>
  <si>
    <t>DEV BAHADUR KHADKA/LILA KUMARI KHADKA</t>
  </si>
  <si>
    <t>2/25901/3474</t>
  </si>
  <si>
    <t>09008010000106</t>
  </si>
  <si>
    <t>1301650001960337</t>
  </si>
  <si>
    <t>PARAS GYAWALI</t>
  </si>
  <si>
    <t>SHOBHAKHAR GYAWALI</t>
  </si>
  <si>
    <t>KULANANDA GYAWALI/</t>
  </si>
  <si>
    <t>41017503358</t>
  </si>
  <si>
    <t>5230100000021010</t>
  </si>
  <si>
    <t>1301770000668102</t>
  </si>
  <si>
    <t>RAJAN GURUNG</t>
  </si>
  <si>
    <t>AMBAR GURUNG/BIMALA GURUNG</t>
  </si>
  <si>
    <t>TIL BAHADUR GURUNG</t>
  </si>
  <si>
    <t>37102340806</t>
  </si>
  <si>
    <t>01721577000018</t>
  </si>
  <si>
    <t>1301120001477331</t>
  </si>
  <si>
    <t>Rabindra Kunwar</t>
  </si>
  <si>
    <t>Bharat Bahadur Kunwar</t>
  </si>
  <si>
    <t>Fatta Bahadur Kunwar</t>
  </si>
  <si>
    <t>128622</t>
  </si>
  <si>
    <t>13007010000958</t>
  </si>
  <si>
    <t>1301120001483041</t>
  </si>
  <si>
    <t>Jenisha Kunwar</t>
  </si>
  <si>
    <t>575</t>
  </si>
  <si>
    <t>13007010000962</t>
  </si>
  <si>
    <t>1301100000391225</t>
  </si>
  <si>
    <t>MANOJ KUMAR LAMA</t>
  </si>
  <si>
    <t>LAL BAHADUR LAMA</t>
  </si>
  <si>
    <t>6856/2516</t>
  </si>
  <si>
    <t>01721500495769000001</t>
  </si>
  <si>
    <t>1301170001174365</t>
  </si>
  <si>
    <t>BIVEK KUMAR YADAV</t>
  </si>
  <si>
    <t>GYANENDRA YADAV/SUNITA KUMAARI YADAV</t>
  </si>
  <si>
    <t>RAMDINESH YADAV</t>
  </si>
  <si>
    <t>18-01-71-01186</t>
  </si>
  <si>
    <t>1020100000146041</t>
  </si>
  <si>
    <t>1301520002182674</t>
  </si>
  <si>
    <t>PRANAV BASTOLA</t>
  </si>
  <si>
    <t>BALKRISHNA BASTOLA / LAXMI POKHREL BASTOLA</t>
  </si>
  <si>
    <t>DASHRATH BASTOLA</t>
  </si>
  <si>
    <t>2067101703023</t>
  </si>
  <si>
    <t>2240165731300001</t>
  </si>
  <si>
    <t>1301060003455711</t>
  </si>
  <si>
    <t>CHET BAHADUR KHAKURAL</t>
  </si>
  <si>
    <t>PURNA BAHADUR KHAKURAL/MAHALAXMI KHAKURAL</t>
  </si>
  <si>
    <t>INDRA BAHADUR KHAKURAL</t>
  </si>
  <si>
    <t>1707</t>
  </si>
  <si>
    <t>16705300001113</t>
  </si>
  <si>
    <t>1301420000026006</t>
  </si>
  <si>
    <t>PUN NARAYAN SHRESTHA</t>
  </si>
  <si>
    <t>211025/18323</t>
  </si>
  <si>
    <t>0210017552807</t>
  </si>
  <si>
    <t>1301120005399481</t>
  </si>
  <si>
    <t>URMILA CHAUDHARY</t>
  </si>
  <si>
    <t>JOGI DANGAURA</t>
  </si>
  <si>
    <t>PARNU DANGAURA</t>
  </si>
  <si>
    <t>672032-43089</t>
  </si>
  <si>
    <t>02407010011326</t>
  </si>
  <si>
    <t>1301440000343996</t>
  </si>
  <si>
    <t>ISHWOR KARKI</t>
  </si>
  <si>
    <t>BHOTU KARKI</t>
  </si>
  <si>
    <t>311028/56912</t>
  </si>
  <si>
    <t>03307012918785</t>
  </si>
  <si>
    <t>1301760000635485</t>
  </si>
  <si>
    <t>GOKUL PRASAD ADHIKARI</t>
  </si>
  <si>
    <t>TANKA PRASAD ADHIKARI</t>
  </si>
  <si>
    <t>52724/290</t>
  </si>
  <si>
    <t>02201900808882000001</t>
  </si>
  <si>
    <t>1301520002041765</t>
  </si>
  <si>
    <t>RAJAN CHALISE</t>
  </si>
  <si>
    <t>HOM PRASAD CHALISE / TIKA DEVI CHALISE</t>
  </si>
  <si>
    <t>UMAKANTHA CHALISE</t>
  </si>
  <si>
    <t>035871</t>
  </si>
  <si>
    <t>0220284516700001</t>
  </si>
  <si>
    <t>1301080000385226</t>
  </si>
  <si>
    <t>DIL BAHADUR KHADKA/GHANA KUMARI KHADKA</t>
  </si>
  <si>
    <t>NAR BAHADUR KHADKA/ NIRMALA KHADKA</t>
  </si>
  <si>
    <t>78340</t>
  </si>
  <si>
    <t>04300501205147</t>
  </si>
  <si>
    <t>1301650002063491</t>
  </si>
  <si>
    <t>ANJALI KUMAR</t>
  </si>
  <si>
    <t>DIPENDRA KUMAR THAKUR</t>
  </si>
  <si>
    <t>SHREE KRISHNA THAKUR/</t>
  </si>
  <si>
    <t>18077804890</t>
  </si>
  <si>
    <t>1270100087838010</t>
  </si>
  <si>
    <t>1301440000249680</t>
  </si>
  <si>
    <t>KARNA BAHADUR MAGAR</t>
  </si>
  <si>
    <t>PARSAD SHING MAGAR</t>
  </si>
  <si>
    <t>JAS BAHADUR MAGAR</t>
  </si>
  <si>
    <t>05-02-72-05103</t>
  </si>
  <si>
    <t>03309015013811</t>
  </si>
  <si>
    <t>1301770000643683</t>
  </si>
  <si>
    <t>GOPAL BASYAL</t>
  </si>
  <si>
    <t>SHIVA NATH BASYAL/MINA KALA BASYAL</t>
  </si>
  <si>
    <t>HARI NARAYAN BASYAL</t>
  </si>
  <si>
    <t>23964</t>
  </si>
  <si>
    <t>02222061950017</t>
  </si>
  <si>
    <t>1301120000581151</t>
  </si>
  <si>
    <t>Ramesh Maharjan</t>
  </si>
  <si>
    <t>Jagat Bahadur Maharjan</t>
  </si>
  <si>
    <t>Krishna Bahadur Maharjan/Reju Maharjan</t>
  </si>
  <si>
    <t>10107</t>
  </si>
  <si>
    <t>4354951150524001</t>
  </si>
  <si>
    <t>1301120000675776</t>
  </si>
  <si>
    <t>KRISHNA THAPA CHHETRI</t>
  </si>
  <si>
    <t>NOOR JUNG THAPA CHHETRI</t>
  </si>
  <si>
    <t>RAM BAHADUR THAPA</t>
  </si>
  <si>
    <t>8803</t>
  </si>
  <si>
    <t>01707010016400</t>
  </si>
  <si>
    <t>1301790000557431</t>
  </si>
  <si>
    <t>BISHNU BAHADUR TAMANG</t>
  </si>
  <si>
    <t>HARKA BAHADUR TAMANG/SHERPU TAMANG</t>
  </si>
  <si>
    <t>SHREE MAN TAMANG</t>
  </si>
  <si>
    <t>66530</t>
  </si>
  <si>
    <t>09101200181770000001</t>
  </si>
  <si>
    <t>1301260001906742</t>
  </si>
  <si>
    <t>ARUN KUMAR YADAV</t>
  </si>
  <si>
    <t>RAJENDRA PRASAD YADAV/MANJU YADAV</t>
  </si>
  <si>
    <t>RAM NARESH YADAV</t>
  </si>
  <si>
    <t>37-01-72-05724</t>
  </si>
  <si>
    <t>0780196524700012</t>
  </si>
  <si>
    <t>1301060000305183</t>
  </si>
  <si>
    <t>RUCHANA SHRESTHA</t>
  </si>
  <si>
    <t>HARI BHAKTA SHRESTHA</t>
  </si>
  <si>
    <t>SUMAN MAN SHRESTHA</t>
  </si>
  <si>
    <t>1/1852</t>
  </si>
  <si>
    <t>06823700346475000001</t>
  </si>
  <si>
    <t>1301120004796679</t>
  </si>
  <si>
    <t>SUNDAR BASHYAL</t>
  </si>
  <si>
    <t>RESHMI RAJ BASHYAL</t>
  </si>
  <si>
    <t>SHYAM PRASAD BASHYAL</t>
  </si>
  <si>
    <t>39-01-69-01077</t>
  </si>
  <si>
    <t>12907010077048</t>
  </si>
  <si>
    <t>1301080000476058</t>
  </si>
  <si>
    <t>GOPAL HYOJU</t>
  </si>
  <si>
    <t>GOVINDA PRASAD HYOJU</t>
  </si>
  <si>
    <t>KRISHNA PRASAD HYOJU</t>
  </si>
  <si>
    <t>8488</t>
  </si>
  <si>
    <t>01400516200253</t>
  </si>
  <si>
    <t>1301120000775209</t>
  </si>
  <si>
    <t>ANUP K.C</t>
  </si>
  <si>
    <t>KESHAB KHATRI</t>
  </si>
  <si>
    <t>DIL BAHADUR KC</t>
  </si>
  <si>
    <t>271045/104639</t>
  </si>
  <si>
    <t>1210100000008046</t>
  </si>
  <si>
    <t>1301370007835813</t>
  </si>
  <si>
    <t>LAXMI KANDEL</t>
  </si>
  <si>
    <t>DADIRAM KANDEL</t>
  </si>
  <si>
    <t>BALIBHADRA KANDEL</t>
  </si>
  <si>
    <t>383001-70</t>
  </si>
  <si>
    <t>F887541975524001</t>
  </si>
  <si>
    <t>1301370001726811</t>
  </si>
  <si>
    <t>Ashmita Kuinkel</t>
  </si>
  <si>
    <t>Suresh Kuinkel</t>
  </si>
  <si>
    <t>Kul Prasad Kuinkel</t>
  </si>
  <si>
    <t>27-02-76-00099</t>
  </si>
  <si>
    <t>1685750546541001</t>
  </si>
  <si>
    <t>1301720001266901</t>
  </si>
  <si>
    <t>FEKAN KUMAR SAH</t>
  </si>
  <si>
    <t>MAHENDRA SAH LAHERI</t>
  </si>
  <si>
    <t>Nuja Sah Laheri</t>
  </si>
  <si>
    <t>171001192</t>
  </si>
  <si>
    <t>1005501786389015</t>
  </si>
  <si>
    <t>1301370003257986</t>
  </si>
  <si>
    <t>AKASH TAMANG</t>
  </si>
  <si>
    <t>KRITIMAN TAMANG</t>
  </si>
  <si>
    <t>NADHURAM TAMANG</t>
  </si>
  <si>
    <t>25-01-69-06658</t>
  </si>
  <si>
    <t>G502954476252401</t>
  </si>
  <si>
    <t>1301650000239917</t>
  </si>
  <si>
    <t>YAM BAHADUR SHRESTHA</t>
  </si>
  <si>
    <t>HIRA BAHADUR/ SITALAXMI SHRESTHA</t>
  </si>
  <si>
    <t>BABULAL SHRESTHA</t>
  </si>
  <si>
    <t>21-01-72-02661</t>
  </si>
  <si>
    <t>1680100017145010</t>
  </si>
  <si>
    <t>1301120003237384</t>
  </si>
  <si>
    <t>NABIN KUMAR REGMI</t>
  </si>
  <si>
    <t>DHARMA RAJ REGMI/KAMALA REGMI</t>
  </si>
  <si>
    <t>LOK RAJ REGMI/ANSHU SHARMA</t>
  </si>
  <si>
    <t>548/1077</t>
  </si>
  <si>
    <t>31407010005411</t>
  </si>
  <si>
    <t>1301610000258336</t>
  </si>
  <si>
    <t>HEMRAJ SUBEDI</t>
  </si>
  <si>
    <t>TIKARAM SUBEDI</t>
  </si>
  <si>
    <t>1004/181</t>
  </si>
  <si>
    <t>0480041593700011</t>
  </si>
  <si>
    <t>1301170000501978</t>
  </si>
  <si>
    <t>BASANTI SHAHI</t>
  </si>
  <si>
    <t>CHANDARA BAHADUR SINGH /DHANSARA SINGH</t>
  </si>
  <si>
    <t>MYRAME SINGH /MUKUM BAHADUR SHAHI</t>
  </si>
  <si>
    <t>591007/77</t>
  </si>
  <si>
    <t>0270100000612027</t>
  </si>
  <si>
    <t>1301220000256802</t>
  </si>
  <si>
    <t>SITA TAMANG</t>
  </si>
  <si>
    <t>DINDUP TAMANG</t>
  </si>
  <si>
    <t>DAWA TAMANG</t>
  </si>
  <si>
    <t>3189/226</t>
  </si>
  <si>
    <t>17507010018218</t>
  </si>
  <si>
    <t>1301230000040504</t>
  </si>
  <si>
    <t>Rudra Nath Bashyal</t>
  </si>
  <si>
    <t>Padma Pani Bashyal</t>
  </si>
  <si>
    <t>Tulasi Devi Bashyal/Purushottam Bashyal</t>
  </si>
  <si>
    <t>95</t>
  </si>
  <si>
    <t>0110004190200011</t>
  </si>
  <si>
    <t>1301070001563183</t>
  </si>
  <si>
    <t>MANASWI BANSKOTA</t>
  </si>
  <si>
    <t>NARAYAN BANSKOTA</t>
  </si>
  <si>
    <t>27-01-77-00206</t>
  </si>
  <si>
    <t>01243000734</t>
  </si>
  <si>
    <t>1301440000299884</t>
  </si>
  <si>
    <t>CHOK BAHADUR PHAKAMI MAGAR</t>
  </si>
  <si>
    <t>GAMBI PHAKAMI MAGAR</t>
  </si>
  <si>
    <t>DEURAM PHAKAMI MAGAR</t>
  </si>
  <si>
    <t>51-01-72-03761</t>
  </si>
  <si>
    <t>03607010218481</t>
  </si>
  <si>
    <t>1301170000444479</t>
  </si>
  <si>
    <t>GAUTAM MANANDHAR</t>
  </si>
  <si>
    <t>PURUSHOTTAM NARAYAN MANANDHAR</t>
  </si>
  <si>
    <t>HARSA NARAYAN MANANDHAR</t>
  </si>
  <si>
    <t>439/1306</t>
  </si>
  <si>
    <t>0150100000076030</t>
  </si>
  <si>
    <t>1301610000490773</t>
  </si>
  <si>
    <t>SHAILESH ALE</t>
  </si>
  <si>
    <t>CHANDRA BAHADUR ALE</t>
  </si>
  <si>
    <t>Asmita Ale</t>
  </si>
  <si>
    <t>441012/740</t>
  </si>
  <si>
    <t>0960045117700001</t>
  </si>
  <si>
    <t>1301250000001999</t>
  </si>
  <si>
    <t>BHAWANI POKHAREL</t>
  </si>
  <si>
    <t>TULSHI RAM POKHAREL</t>
  </si>
  <si>
    <t>GIRIRAJ KAFLE / DUEMANI POKHAREL</t>
  </si>
  <si>
    <t>37/15476</t>
  </si>
  <si>
    <t>0110023204300011</t>
  </si>
  <si>
    <t>1301640000016964</t>
  </si>
  <si>
    <t>LILA DEVI SHRESTHA</t>
  </si>
  <si>
    <t>TILAK BAHADUR SHRESTHA</t>
  </si>
  <si>
    <t>1700100001263104</t>
  </si>
  <si>
    <t>1301370000406288</t>
  </si>
  <si>
    <t>Rita Devi Manandhar</t>
  </si>
  <si>
    <t>Nhuchhe Bahadur Manandhar</t>
  </si>
  <si>
    <t>Krishna Bahadur Manandhar</t>
  </si>
  <si>
    <t>10208</t>
  </si>
  <si>
    <t>3011096816524001</t>
  </si>
  <si>
    <t>1301040001477766</t>
  </si>
  <si>
    <t>PRAKRITI KUMARI JHA</t>
  </si>
  <si>
    <t>JITENDRA NATH JHA/MINU KUMARI THAKUR</t>
  </si>
  <si>
    <t>SHIV NARAYAN JHA/</t>
  </si>
  <si>
    <t>27-01-79-08012</t>
  </si>
  <si>
    <t>00510017514304</t>
  </si>
  <si>
    <t>1301240000021011</t>
  </si>
  <si>
    <t>BIRENDRA HAMAL</t>
  </si>
  <si>
    <t>JAGAT PRASAD HAMAL</t>
  </si>
  <si>
    <t>RISHI RAJ HAMAL</t>
  </si>
  <si>
    <t>1913</t>
  </si>
  <si>
    <t>0690425410214001</t>
  </si>
  <si>
    <t>1301510000110051</t>
  </si>
  <si>
    <t>BIMAL BHUSAL</t>
  </si>
  <si>
    <t>HOM LAL BHUSAL</t>
  </si>
  <si>
    <t>REKHA ACHARYA BHUSAL/UMA LAL JAISHI BHUSAL</t>
  </si>
  <si>
    <t>523020/767</t>
  </si>
  <si>
    <t>19610017501989</t>
  </si>
  <si>
    <t>1301060000869850</t>
  </si>
  <si>
    <t>UMESH LAL KARN</t>
  </si>
  <si>
    <t>KAUSHAL KISHOR LAL</t>
  </si>
  <si>
    <t>SRI NARAYAN LAL</t>
  </si>
  <si>
    <t>1821</t>
  </si>
  <si>
    <t>01205080285193</t>
  </si>
  <si>
    <t>1301510000037176</t>
  </si>
  <si>
    <t>ASHISH MAN SINGH PRADHAN</t>
  </si>
  <si>
    <t>SAROJ MAN SINGH PRADHAN</t>
  </si>
  <si>
    <t>KESHAR MAN SINGH PRADHAN</t>
  </si>
  <si>
    <t>1060/81369</t>
  </si>
  <si>
    <t>17310017505019</t>
  </si>
  <si>
    <t>1301650001786881</t>
  </si>
  <si>
    <t>RITA KUMARI KARKI</t>
  </si>
  <si>
    <t>GOPAL KARKI</t>
  </si>
  <si>
    <t>BHUBANSHIN KARKI/</t>
  </si>
  <si>
    <t>21017600557</t>
  </si>
  <si>
    <t>1680100073907010</t>
  </si>
  <si>
    <t>1301090001074655</t>
  </si>
  <si>
    <t>PRAJJWAL PAUDEL</t>
  </si>
  <si>
    <t>RIT BAHADUR KHATRI</t>
  </si>
  <si>
    <t>CHHABINDRA BAHADUR KHATRI</t>
  </si>
  <si>
    <t>20-01-71-02742</t>
  </si>
  <si>
    <t>02315057852</t>
  </si>
  <si>
    <t>1301310000265293</t>
  </si>
  <si>
    <t>RAJENDRA PAUDEL</t>
  </si>
  <si>
    <t>BHIM PRASAD PAUDEL/ NIRMAYA PAUDEL</t>
  </si>
  <si>
    <t>GAURI PAUDEL/ DURGA DATTA PAUDEL</t>
  </si>
  <si>
    <t>33559</t>
  </si>
  <si>
    <t>01115184332</t>
  </si>
  <si>
    <t>1301090003847488</t>
  </si>
  <si>
    <t>KRISHNA BAHADUR BASNET</t>
  </si>
  <si>
    <t>MAN BAHADUR BASNET</t>
  </si>
  <si>
    <t>03-2-027/2472</t>
  </si>
  <si>
    <t>55500130430</t>
  </si>
  <si>
    <t>1301310000368506</t>
  </si>
  <si>
    <t>BALARAM BHANDARI</t>
  </si>
  <si>
    <t>KHADANANDA BHANDARI</t>
  </si>
  <si>
    <t>CHAKRAPANI BHANDARI</t>
  </si>
  <si>
    <t>641008/1999</t>
  </si>
  <si>
    <t>4080100303299010</t>
  </si>
  <si>
    <t>1301060000059925</t>
  </si>
  <si>
    <t>DHANPATI PANDEY</t>
  </si>
  <si>
    <t>NAMDEV PANDEY</t>
  </si>
  <si>
    <t>PURUSHOTTAM PANDEY</t>
  </si>
  <si>
    <t>46912</t>
  </si>
  <si>
    <t>01905080153225</t>
  </si>
  <si>
    <t>1301370003067325</t>
  </si>
  <si>
    <t>RAM KRISHNA REGMI</t>
  </si>
  <si>
    <t>RANGALAL REGMI</t>
  </si>
  <si>
    <t>BIREL REGMI</t>
  </si>
  <si>
    <t>711020/355</t>
  </si>
  <si>
    <t>1301520002191459</t>
  </si>
  <si>
    <t>SABRE ALAM KHAN</t>
  </si>
  <si>
    <t>HANIF DHODI / LAILAN NISA</t>
  </si>
  <si>
    <t>RAUF DHODI</t>
  </si>
  <si>
    <t>17515</t>
  </si>
  <si>
    <t>0160061020100001</t>
  </si>
  <si>
    <t>1301370002833671</t>
  </si>
  <si>
    <t>TARA SHARMA</t>
  </si>
  <si>
    <t>DIPLAL SHARMA</t>
  </si>
  <si>
    <t>BISHWAS DHAKAL</t>
  </si>
  <si>
    <t>651015/1526</t>
  </si>
  <si>
    <t>B287988684152401</t>
  </si>
  <si>
    <t>1301650002028414</t>
  </si>
  <si>
    <t>SANJIT KUMAR THAKUR</t>
  </si>
  <si>
    <t>LAL BABU THAKUR</t>
  </si>
  <si>
    <t>RAMANAND THAKUR/</t>
  </si>
  <si>
    <t>32017808880</t>
  </si>
  <si>
    <t>1730100016020010</t>
  </si>
  <si>
    <t>1301120003502495</t>
  </si>
  <si>
    <t>SUMIT SHAHI</t>
  </si>
  <si>
    <t>PRITTAM  KUMAR SHAHI</t>
  </si>
  <si>
    <t>BEKHA NARAYAN SHAHI</t>
  </si>
  <si>
    <t>28-01-065-01549</t>
  </si>
  <si>
    <t>08007010005508</t>
  </si>
  <si>
    <t>1301040001771995</t>
  </si>
  <si>
    <t>RAM KRISHNA SUWAL</t>
  </si>
  <si>
    <t>KANCHHA SUWAL /KANCHHI SUWAL</t>
  </si>
  <si>
    <t>/HEMNARA SUWAL</t>
  </si>
  <si>
    <t>9958</t>
  </si>
  <si>
    <t>08110017503036</t>
  </si>
  <si>
    <t>1301120004966145</t>
  </si>
  <si>
    <t>SHYAM BAHADUR LIMBU</t>
  </si>
  <si>
    <t>DAL BAHADUR LIMBU/KEK MAYA LIMBU</t>
  </si>
  <si>
    <t>SINGH BAHADUR LIMBU</t>
  </si>
  <si>
    <t>25212/164</t>
  </si>
  <si>
    <t>03309011450200</t>
  </si>
  <si>
    <t>1301040000450037</t>
  </si>
  <si>
    <t>SUNIL KARKI</t>
  </si>
  <si>
    <t>DILIP KUMAR KARKI/NIRU KARKI</t>
  </si>
  <si>
    <t>BISHNU BAHADUR KARKI</t>
  </si>
  <si>
    <t>27-02-73-00159</t>
  </si>
  <si>
    <t>12710017500594</t>
  </si>
  <si>
    <t>1301370003064552</t>
  </si>
  <si>
    <t>RADHA KRISHNA SHRESTHA</t>
  </si>
  <si>
    <t>KHADGA PRASAD SHRESTHA</t>
  </si>
  <si>
    <t>20-01-72-03172</t>
  </si>
  <si>
    <t>C587621057524001</t>
  </si>
  <si>
    <t>1301190000030118</t>
  </si>
  <si>
    <t>TANUJA KHATRI</t>
  </si>
  <si>
    <t>KHADGA RAJ KHATRI</t>
  </si>
  <si>
    <t>LAL BAHADUR KHATRI</t>
  </si>
  <si>
    <t>27-01-074-03457</t>
  </si>
  <si>
    <t>00127800613392000001</t>
  </si>
  <si>
    <t>1301120004221732</t>
  </si>
  <si>
    <t>DINUP GIRI</t>
  </si>
  <si>
    <t>DIPAK CHHETRI GIRI/ GITA GIRI</t>
  </si>
  <si>
    <t>DAL BAHADUR CHHETRI/ BISHNU BHARATI</t>
  </si>
  <si>
    <t>421062/9/109</t>
  </si>
  <si>
    <t>01407010174527</t>
  </si>
  <si>
    <t>1301570000874759</t>
  </si>
  <si>
    <t>DIMAN RAI</t>
  </si>
  <si>
    <t>DHAN KUMAR RAI/LAXMI DEVI RAI</t>
  </si>
  <si>
    <t>BAL BAHADUR RAI</t>
  </si>
  <si>
    <t>15104/174</t>
  </si>
  <si>
    <t>23301006614859000001</t>
  </si>
  <si>
    <t>1301770000461289</t>
  </si>
  <si>
    <t>BISHESH RANJIT</t>
  </si>
  <si>
    <t>BINOD RANJIT/BIJESHWORI RANJIT</t>
  </si>
  <si>
    <t>ASHOK KUMAR RANJITKAR/</t>
  </si>
  <si>
    <t>771</t>
  </si>
  <si>
    <t>01810266930017</t>
  </si>
  <si>
    <t>1301120001124491</t>
  </si>
  <si>
    <t>SEEMA KUMARI CHAND</t>
  </si>
  <si>
    <t>AMAR NATH CHAND</t>
  </si>
  <si>
    <t>MAN BDR CHAND</t>
  </si>
  <si>
    <t>17150</t>
  </si>
  <si>
    <t>1301220000000512</t>
  </si>
  <si>
    <t>ANIL SHRESTHA</t>
  </si>
  <si>
    <t>JYAN BAHADUR SHRESTHA</t>
  </si>
  <si>
    <t>12959</t>
  </si>
  <si>
    <t>1970006635524007</t>
  </si>
  <si>
    <t>1301360000042083</t>
  </si>
  <si>
    <t>KANAK RATNA SHAKYA</t>
  </si>
  <si>
    <t>BHAJU RATNA SHAKYA</t>
  </si>
  <si>
    <t>8411</t>
  </si>
  <si>
    <t>00415122924</t>
  </si>
  <si>
    <t>1301090000930485</t>
  </si>
  <si>
    <t>SHREERAM ACHARYA</t>
  </si>
  <si>
    <t>BASUDEV ACHARYA</t>
  </si>
  <si>
    <t>152</t>
  </si>
  <si>
    <t>01315091815</t>
  </si>
  <si>
    <t>1301370000131001</t>
  </si>
  <si>
    <t>Mina Kumari Rana</t>
  </si>
  <si>
    <t>Tek Bahadur Rana</t>
  </si>
  <si>
    <t>Dambar Singh Rana</t>
  </si>
  <si>
    <t>73480</t>
  </si>
  <si>
    <t>2169206782524002</t>
  </si>
  <si>
    <t>1301090000532115</t>
  </si>
  <si>
    <t>SITA DHITAL</t>
  </si>
  <si>
    <t>PREM NARAYAN PANDEY</t>
  </si>
  <si>
    <t>GANGA PRASAD PANDEY</t>
  </si>
  <si>
    <t>341/032</t>
  </si>
  <si>
    <t>0210000038238011</t>
  </si>
  <si>
    <t>1301100000352274</t>
  </si>
  <si>
    <t>ASHMITA MANANDHAR</t>
  </si>
  <si>
    <t>RAJENDRA MANANDHAR</t>
  </si>
  <si>
    <t>KRISHNA NARAYAN MANANDHAR</t>
  </si>
  <si>
    <t>27-01-71-02722</t>
  </si>
  <si>
    <t>1060100021301011</t>
  </si>
  <si>
    <t>1301450000057551</t>
  </si>
  <si>
    <t>BHIM TAMANG</t>
  </si>
  <si>
    <t>DHURBA TAMANG</t>
  </si>
  <si>
    <t>HARSHA BAHADUR TAMANG</t>
  </si>
  <si>
    <t>28-01-070-04868</t>
  </si>
  <si>
    <t>0650095220200013</t>
  </si>
  <si>
    <t>1301370007452014</t>
  </si>
  <si>
    <t>RAMESH PRASAD HUMAGAIN</t>
  </si>
  <si>
    <t>BADRI PRASAD HUMAGAIN</t>
  </si>
  <si>
    <t>KUL PRASAD HUMAGAIN</t>
  </si>
  <si>
    <t>143564</t>
  </si>
  <si>
    <t>3485753071936001</t>
  </si>
  <si>
    <t>1301170001605073</t>
  </si>
  <si>
    <t>TEEKEN LIMBU</t>
  </si>
  <si>
    <t>RAJENDRA KUMAR LIMBU</t>
  </si>
  <si>
    <t>DEVI PRASAD LIMBU</t>
  </si>
  <si>
    <t>01-01-76-01476</t>
  </si>
  <si>
    <t>0840100000141045</t>
  </si>
  <si>
    <t>1301650000077841</t>
  </si>
  <si>
    <t>SUDHAN KUMAR PAUDEL</t>
  </si>
  <si>
    <t>STHANESHWOR/SARASWOTI PAUDEL</t>
  </si>
  <si>
    <t>DURGA SHARMA/MITRA LAL UPADHAYA</t>
  </si>
  <si>
    <t>535/1073/044</t>
  </si>
  <si>
    <t>1090101050607010</t>
  </si>
  <si>
    <t>1301720000900663</t>
  </si>
  <si>
    <t>Milan Sherpa</t>
  </si>
  <si>
    <t>Ngima Tenji Sherpa</t>
  </si>
  <si>
    <t>Pemba Sherpa</t>
  </si>
  <si>
    <t>011006-363</t>
  </si>
  <si>
    <t>0602702011436019</t>
  </si>
  <si>
    <t>1301570000520923</t>
  </si>
  <si>
    <t>SUBASH GHARTI</t>
  </si>
  <si>
    <t>DHAN BAHADUR GHARTI/LAXMI GHARTI</t>
  </si>
  <si>
    <t>BIR BAHADUR GHARTI</t>
  </si>
  <si>
    <t>45-01-73-01735</t>
  </si>
  <si>
    <t>15301007089754000001</t>
  </si>
  <si>
    <t>1301060002355219</t>
  </si>
  <si>
    <t>DEEPIKA ARYAL</t>
  </si>
  <si>
    <t>SHER BAHADUR ARYAL</t>
  </si>
  <si>
    <t>PADAM BAHADUR ARYAL</t>
  </si>
  <si>
    <t>1063/137</t>
  </si>
  <si>
    <t>02105120291828</t>
  </si>
  <si>
    <t>1301940000008414</t>
  </si>
  <si>
    <t>RENU SITAULA</t>
  </si>
  <si>
    <t>KAMAL PRASAD SITAULA</t>
  </si>
  <si>
    <t>KESHAV RAJ SITAULA</t>
  </si>
  <si>
    <t>261/27462</t>
  </si>
  <si>
    <t>013011090001166</t>
  </si>
  <si>
    <t>1301370001120793</t>
  </si>
  <si>
    <t>Shiwani Chaulagain</t>
  </si>
  <si>
    <t>Ganga Prasad Chaulagain</t>
  </si>
  <si>
    <t>Loknath Chaulagain</t>
  </si>
  <si>
    <t>22-01-71-07347</t>
  </si>
  <si>
    <t>0687977996152401</t>
  </si>
  <si>
    <t>1301090001794159</t>
  </si>
  <si>
    <t>BIJAYA MANANDHAR</t>
  </si>
  <si>
    <t>YUBA BAHADUR MANANDHAR</t>
  </si>
  <si>
    <t>MAN BAHADUR MANANDHAR</t>
  </si>
  <si>
    <t>21-01-70-39155</t>
  </si>
  <si>
    <t>03315059572</t>
  </si>
  <si>
    <t>1301760000261269</t>
  </si>
  <si>
    <t>ROSY PRADHAN</t>
  </si>
  <si>
    <t>BHARAT KUMAR PRADHAN</t>
  </si>
  <si>
    <t>MOTI KUMAR PRADHAN</t>
  </si>
  <si>
    <t>362/034/35</t>
  </si>
  <si>
    <t>03001300814168000001</t>
  </si>
  <si>
    <t>1301610001119073</t>
  </si>
  <si>
    <t>NIRAJ PATEL</t>
  </si>
  <si>
    <t>LAL BAHADUR PRASAD KURMI</t>
  </si>
  <si>
    <t>SHIV RAUT KURMI</t>
  </si>
  <si>
    <t>341022/15906</t>
  </si>
  <si>
    <t>0040034827000012</t>
  </si>
  <si>
    <t>1301760000291441</t>
  </si>
  <si>
    <t>HRIT AMATYA</t>
  </si>
  <si>
    <t>RAJDEEP AMATYA</t>
  </si>
  <si>
    <t>DURGA AMATYA</t>
  </si>
  <si>
    <t>37-01-78-01072</t>
  </si>
  <si>
    <t>09210900890447000001</t>
  </si>
  <si>
    <t>1301020000040506</t>
  </si>
  <si>
    <t>JANARDAN DEV PANT</t>
  </si>
  <si>
    <t>HARIHAR DEV PANT</t>
  </si>
  <si>
    <t>ANJU PANDEY/BHAIRAB DEV PANT</t>
  </si>
  <si>
    <t>3517003010200018</t>
  </si>
  <si>
    <t>1301770000670751</t>
  </si>
  <si>
    <t>DINESH KAFLE</t>
  </si>
  <si>
    <t>HARI PRASAD KAFLE/NARI KALA KAFLE</t>
  </si>
  <si>
    <t>MOTI LAL KAFLE</t>
  </si>
  <si>
    <t>20</t>
  </si>
  <si>
    <t>00200568880012</t>
  </si>
  <si>
    <t>1301440000393125</t>
  </si>
  <si>
    <t>TEJ NARAYAN GANESH</t>
  </si>
  <si>
    <t>DIL BAHADUR GANESH</t>
  </si>
  <si>
    <t>MAGHU GANESH</t>
  </si>
  <si>
    <t>04-01-74-08098</t>
  </si>
  <si>
    <t>03607010281065</t>
  </si>
  <si>
    <t>1301760000289001</t>
  </si>
  <si>
    <t>HRICHA AMATYA</t>
  </si>
  <si>
    <t>100159</t>
  </si>
  <si>
    <t>09210900890455000001</t>
  </si>
  <si>
    <t>1301240001556642</t>
  </si>
  <si>
    <t>Shankar Rayamajhi</t>
  </si>
  <si>
    <t>Samsher Bahadur / Sarita Rayamajhi</t>
  </si>
  <si>
    <t>Khamba Singh Rayamajhi</t>
  </si>
  <si>
    <t>04-01-78-02975</t>
  </si>
  <si>
    <t>0391174352205001</t>
  </si>
  <si>
    <t>1301140000115804</t>
  </si>
  <si>
    <t>SAHADEV ROKAYA</t>
  </si>
  <si>
    <t>KUL BAHADUR SARKI</t>
  </si>
  <si>
    <t>CHINNE SARKI</t>
  </si>
  <si>
    <t>22-01-74-01713</t>
  </si>
  <si>
    <t>04010017510000</t>
  </si>
  <si>
    <t>1301720000975227</t>
  </si>
  <si>
    <t>SAFAL ADHIKARI</t>
  </si>
  <si>
    <t>Shiva Bahadur Adhikari</t>
  </si>
  <si>
    <t>Om Bahadur Adhikari</t>
  </si>
  <si>
    <t>100327</t>
  </si>
  <si>
    <t>0228202014127013</t>
  </si>
  <si>
    <t>1301520000060601</t>
  </si>
  <si>
    <t>BINOD SHRESTHA</t>
  </si>
  <si>
    <t>CHANDRA PRASAD SHRESTHA</t>
  </si>
  <si>
    <t>BHUDDHIMAN SHRESTHA</t>
  </si>
  <si>
    <t>11923/12604</t>
  </si>
  <si>
    <t>0250015245600001</t>
  </si>
  <si>
    <t>1301060002337493</t>
  </si>
  <si>
    <t>BASANTA KUMAR THAPA</t>
  </si>
  <si>
    <t>SITA RAM THAPA</t>
  </si>
  <si>
    <t>KALU THAPA</t>
  </si>
  <si>
    <t>7203</t>
  </si>
  <si>
    <t>01705080168595</t>
  </si>
  <si>
    <t>1301120005315649</t>
  </si>
  <si>
    <t>DAMBAR BAHADUR ARJEL KHATRI</t>
  </si>
  <si>
    <t>UDAY BAHADUR ARJEL KHATRI</t>
  </si>
  <si>
    <t>RIPUMADAN ARJEL KHATRI</t>
  </si>
  <si>
    <t>05-01-72-00291</t>
  </si>
  <si>
    <t>03309012800926</t>
  </si>
  <si>
    <t>1301060000083460</t>
  </si>
  <si>
    <t>AMAN SHRESTHA</t>
  </si>
  <si>
    <t>NANIKAJI SHRESTHA/ AMITA SHRESTHA</t>
  </si>
  <si>
    <t>CHANDAR BAHADUR SHRESTHA</t>
  </si>
  <si>
    <t>221009/40</t>
  </si>
  <si>
    <t>01705080124690</t>
  </si>
  <si>
    <t>1301720001241697</t>
  </si>
  <si>
    <t>AISHWARYA POUDEL</t>
  </si>
  <si>
    <t>pankaj mani poudyal</t>
  </si>
  <si>
    <t>bholanath poudyal</t>
  </si>
  <si>
    <t>061005153775</t>
  </si>
  <si>
    <t>0601802023921010</t>
  </si>
  <si>
    <t>1301570000622425</t>
  </si>
  <si>
    <t>SHARMILA THAPA</t>
  </si>
  <si>
    <t>JANAK BAHADUR THAPA/KABITA THAPA (NEPAL)</t>
  </si>
  <si>
    <t>BHAKTA BAHADUR THAPA</t>
  </si>
  <si>
    <t>24-01-76-05112</t>
  </si>
  <si>
    <t>04701607117715000001</t>
  </si>
  <si>
    <t>1301260001107466</t>
  </si>
  <si>
    <t>RAMA ACHARYA</t>
  </si>
  <si>
    <t>SADANANDA DAHAL/KHINA MAYA DAHAL</t>
  </si>
  <si>
    <t>DEVI PRASAD DAHAL</t>
  </si>
  <si>
    <t>333011/2426</t>
  </si>
  <si>
    <t>0580129905900011</t>
  </si>
  <si>
    <t>1301680000059221</t>
  </si>
  <si>
    <t>KUNJ BIHARI KOHAR</t>
  </si>
  <si>
    <t>RAMACHAL KOHAR</t>
  </si>
  <si>
    <t>BASHU DEV KOHAR</t>
  </si>
  <si>
    <t>371023/2/37586</t>
  </si>
  <si>
    <t>01310017508270</t>
  </si>
  <si>
    <t>1301060002000850</t>
  </si>
  <si>
    <t>RAJU PARIYAR</t>
  </si>
  <si>
    <t>CHUDARAM DAMAI</t>
  </si>
  <si>
    <t>RAME DAMAI</t>
  </si>
  <si>
    <t>20-01-74-03996</t>
  </si>
  <si>
    <t>05005080268509</t>
  </si>
  <si>
    <t>1301440000437514</t>
  </si>
  <si>
    <t>DEEPAK KHARAL</t>
  </si>
  <si>
    <t>YAM PRASAD ADHIKARI</t>
  </si>
  <si>
    <t>THANESHWOR KAHRAL</t>
  </si>
  <si>
    <t>411041/66058</t>
  </si>
  <si>
    <t>03607010062505</t>
  </si>
  <si>
    <t>1301040001327941</t>
  </si>
  <si>
    <t>PRATIKSHYA TAMANG</t>
  </si>
  <si>
    <t>PREM BAHADUR TAMANG/SHUBHA LAXMI TAMANG</t>
  </si>
  <si>
    <t>BHIM BAHADUR TAMANG/</t>
  </si>
  <si>
    <t>24-77-74-211</t>
  </si>
  <si>
    <t>05110017507211</t>
  </si>
  <si>
    <t>1301070001363688</t>
  </si>
  <si>
    <t>Raj Kumar Tamang</t>
  </si>
  <si>
    <t>Indra Bahadur Tamang</t>
  </si>
  <si>
    <t>Dal Gambhir Tamang</t>
  </si>
  <si>
    <t>731</t>
  </si>
  <si>
    <t>02826087906</t>
  </si>
  <si>
    <t>1301090004358602</t>
  </si>
  <si>
    <t>SHIBA BAHADUR THAPA</t>
  </si>
  <si>
    <t>NIR  BAHADUR  THAPA</t>
  </si>
  <si>
    <t>HARKA BAHADUR  THAPA</t>
  </si>
  <si>
    <t>45233/197</t>
  </si>
  <si>
    <t>55504231241</t>
  </si>
  <si>
    <t>1301740000095079</t>
  </si>
  <si>
    <t>AAYUSHMA DAHAL</t>
  </si>
  <si>
    <t>SAJAN KUMAR DAHAL/ASHMITA BHATTARAI DAHAL</t>
  </si>
  <si>
    <t>SHREE BAHADUR DAHAL</t>
  </si>
  <si>
    <t>20791213306874</t>
  </si>
  <si>
    <t>00614000105194000001</t>
  </si>
  <si>
    <t>1301720000844421</t>
  </si>
  <si>
    <t>BAL BAHADUR MUKHIYA</t>
  </si>
  <si>
    <t>BIR BAHADUR KUMAL</t>
  </si>
  <si>
    <t>KARNA BAHADUR KUMAL</t>
  </si>
  <si>
    <t>40-01-73-05434</t>
  </si>
  <si>
    <t>0416101306419013</t>
  </si>
  <si>
    <t>1301720000165650</t>
  </si>
  <si>
    <t>PRADEEP SHARMA</t>
  </si>
  <si>
    <t>PRAKASH TIMSINA</t>
  </si>
  <si>
    <t>MUKTINATH TIMSINA</t>
  </si>
  <si>
    <t>126836</t>
  </si>
  <si>
    <t>0316400219499019</t>
  </si>
  <si>
    <t>1301650000055948</t>
  </si>
  <si>
    <t>TEJ BAHADUR MAGAR</t>
  </si>
  <si>
    <t>MAN BAHADUR MAGAR/ INDRA KUMARI MAGAR</t>
  </si>
  <si>
    <t>GAYNU MAYA MAGAR/ KHADK BAHADUR MAGAR</t>
  </si>
  <si>
    <t>2/3231</t>
  </si>
  <si>
    <t>1030100017355010</t>
  </si>
  <si>
    <t>1301740000095064</t>
  </si>
  <si>
    <t>AAYUSHA DAHAL</t>
  </si>
  <si>
    <t>2079121306825</t>
  </si>
  <si>
    <t>00614000105193000001</t>
  </si>
  <si>
    <t>1301370003063204</t>
  </si>
  <si>
    <t>DINESH PARAJULI</t>
  </si>
  <si>
    <t>BISHNU PRASAD PARAJULI</t>
  </si>
  <si>
    <t>JAGANIDHI PARAJULI</t>
  </si>
  <si>
    <t>25-01-74-01167</t>
  </si>
  <si>
    <t>7098607810524001</t>
  </si>
  <si>
    <t>1301610000622839</t>
  </si>
  <si>
    <t>SHIVAM SHARMA</t>
  </si>
  <si>
    <t>2072022603036</t>
  </si>
  <si>
    <t>0050092899000015</t>
  </si>
  <si>
    <t>1301090004513442</t>
  </si>
  <si>
    <t>MANOJ BHANDARI</t>
  </si>
  <si>
    <t>BUDDHI BAHADUR BHANDARI</t>
  </si>
  <si>
    <t>NETRA BAHADUR BHANDARI</t>
  </si>
  <si>
    <t>93114</t>
  </si>
  <si>
    <t>55505288699</t>
  </si>
  <si>
    <t>1301610000622921</t>
  </si>
  <si>
    <t>RAGHAV SHARMA</t>
  </si>
  <si>
    <t>PRAKASH SHARMA</t>
  </si>
  <si>
    <t>2074090503239</t>
  </si>
  <si>
    <t>0050092899100015</t>
  </si>
  <si>
    <t>1301350000024565</t>
  </si>
  <si>
    <t>MANI DEV PANT</t>
  </si>
  <si>
    <t>GOPAL DEV PANT</t>
  </si>
  <si>
    <t>SHANKAR DEV PANT</t>
  </si>
  <si>
    <t>271060-121585</t>
  </si>
  <si>
    <t>3787920241524001</t>
  </si>
  <si>
    <t>1301720001311255</t>
  </si>
  <si>
    <t>JHARANA KARKI</t>
  </si>
  <si>
    <t>BHESHA BAHADUR KARKI</t>
  </si>
  <si>
    <t>RANA BAHADUR KHARKI</t>
  </si>
  <si>
    <t>2078072902354</t>
  </si>
  <si>
    <t>0602305403507012</t>
  </si>
  <si>
    <t>1301090000098508</t>
  </si>
  <si>
    <t>RAMESH BHANDARI</t>
  </si>
  <si>
    <t>KHIMANANDA BHANDARI</t>
  </si>
  <si>
    <t>HIMLAL BHANDARI</t>
  </si>
  <si>
    <t>3899</t>
  </si>
  <si>
    <t>00815002489</t>
  </si>
  <si>
    <t>1301090000122557</t>
  </si>
  <si>
    <t>SABITRI KHAREL</t>
  </si>
  <si>
    <t>BASUDEV KHAREL</t>
  </si>
  <si>
    <t>RAMESHWAR KHAREL</t>
  </si>
  <si>
    <t>26374</t>
  </si>
  <si>
    <t>00188199120</t>
  </si>
  <si>
    <t>1301370002307832</t>
  </si>
  <si>
    <t>PUSHPA RAJ DHAKAL</t>
  </si>
  <si>
    <t>HARI PRASAD DHAKAL</t>
  </si>
  <si>
    <t>RISHI RAM DHAKAL</t>
  </si>
  <si>
    <t>43-01-730-00203</t>
  </si>
  <si>
    <t>A087914265524001</t>
  </si>
  <si>
    <t>1301770000489243</t>
  </si>
  <si>
    <t>SHANKAR LAMA</t>
  </si>
  <si>
    <t>ARJUN KUMAR LAMA/SITA KUMARI LAMA</t>
  </si>
  <si>
    <t>BIR BAHADUR LAMA/</t>
  </si>
  <si>
    <t>16/12109</t>
  </si>
  <si>
    <t>01106377970019</t>
  </si>
  <si>
    <t>1301770000083778</t>
  </si>
  <si>
    <t>PURUSOTAM PARIYAR</t>
  </si>
  <si>
    <t>SHRAWAN KUMAR PARIYAR/KAMALA PARIYAR</t>
  </si>
  <si>
    <t>AMAR PARIYAR</t>
  </si>
  <si>
    <t>351020/354</t>
  </si>
  <si>
    <t>00707755320017</t>
  </si>
  <si>
    <t>1301650002053810</t>
  </si>
  <si>
    <t>RIJAN BISTA</t>
  </si>
  <si>
    <t>KRISHNA BAHADUR BISTA/ LILA DEVI SHRESTHA</t>
  </si>
  <si>
    <t>HIRA BAHADUR BISTA</t>
  </si>
  <si>
    <t>284</t>
  </si>
  <si>
    <t>1700100019815010</t>
  </si>
  <si>
    <t>1301570000833095</t>
  </si>
  <si>
    <t>SUDHA GIRI</t>
  </si>
  <si>
    <t>UMA GIRI/NIRMALA GIRI</t>
  </si>
  <si>
    <t>RATNA GIRI</t>
  </si>
  <si>
    <t>461001/7581</t>
  </si>
  <si>
    <t>31301107261749000001</t>
  </si>
  <si>
    <t>1301040001750092</t>
  </si>
  <si>
    <t>MUKESH MONEY SINGH</t>
  </si>
  <si>
    <t>DIP NARAYAN SINGH/SUMINTRA KUMARI SINGH</t>
  </si>
  <si>
    <t>/LAXMI MAHATO</t>
  </si>
  <si>
    <t>151048/4476</t>
  </si>
  <si>
    <t>12010017502020</t>
  </si>
  <si>
    <t>1301090004047296</t>
  </si>
  <si>
    <t>BALARAM GAUTAM</t>
  </si>
  <si>
    <t>KHIM LAL GAUTAM</t>
  </si>
  <si>
    <t>BHOLANATH GAUTAM</t>
  </si>
  <si>
    <t>461042-666</t>
  </si>
  <si>
    <t>55501676540</t>
  </si>
  <si>
    <t>1301120005191934</t>
  </si>
  <si>
    <t>PRADIP BARAL</t>
  </si>
  <si>
    <t>UMALAL BARAL</t>
  </si>
  <si>
    <t>CHATNARAYAN BARAL</t>
  </si>
  <si>
    <t>41-01-79-05029</t>
  </si>
  <si>
    <t>08507010088886</t>
  </si>
  <si>
    <t>1301520001676068</t>
  </si>
  <si>
    <t>BIDUR GAUTAM</t>
  </si>
  <si>
    <t>ACHET PRASAD GAUTAM / SATYADEVI GAUTAM</t>
  </si>
  <si>
    <t>RAM PRASAD GAUTAM</t>
  </si>
  <si>
    <t>271040/78159</t>
  </si>
  <si>
    <t>0050273108500001</t>
  </si>
  <si>
    <t>1301580000874952</t>
  </si>
  <si>
    <t>AFROJ ANSARI</t>
  </si>
  <si>
    <t>RAJAK MIYA/SAMILA KHATOON</t>
  </si>
  <si>
    <t>MOLBI MIYA</t>
  </si>
  <si>
    <t>19-01-71-04816</t>
  </si>
  <si>
    <t>047011060001043</t>
  </si>
  <si>
    <t>1301520001942991</t>
  </si>
  <si>
    <t>ITISHREE GHIMIRE</t>
  </si>
  <si>
    <t>KAUMODKI KUMAR GHIMIRE / NARBADA GHIMIRE</t>
  </si>
  <si>
    <t>MODANATH UPADHYAYE</t>
  </si>
  <si>
    <t>271060/21429</t>
  </si>
  <si>
    <t>1130305994900001</t>
  </si>
  <si>
    <t>1301370000262282</t>
  </si>
  <si>
    <t>Soni Shrestha</t>
  </si>
  <si>
    <t>Shree Krishna Shrestha</t>
  </si>
  <si>
    <t>Manuj Lakhey</t>
  </si>
  <si>
    <t>14873</t>
  </si>
  <si>
    <t>3269449081524001</t>
  </si>
  <si>
    <t>1301770000174580</t>
  </si>
  <si>
    <t>BINOD RANJIT</t>
  </si>
  <si>
    <t>ASHOK KUMAR RANJIT/YASHODHARA RANJIT</t>
  </si>
  <si>
    <t>BIJESHWORI RANJIT/BALKRISHNA RANJIT</t>
  </si>
  <si>
    <t>4365</t>
  </si>
  <si>
    <t>01801911900013</t>
  </si>
  <si>
    <t>1301060000516444</t>
  </si>
  <si>
    <t>SUDHIR KAFLE</t>
  </si>
  <si>
    <t>GRISHMA/GYANU</t>
  </si>
  <si>
    <t>DHAKARAM/SRIJANA</t>
  </si>
  <si>
    <t>258411</t>
  </si>
  <si>
    <t>04105050262064</t>
  </si>
  <si>
    <t>1301040001318715</t>
  </si>
  <si>
    <t>SHYAM KRISHNA SHRESTHA/YAMUNA SHRESTHA</t>
  </si>
  <si>
    <t>RAM BAHADUR SHRESTHA/</t>
  </si>
  <si>
    <t>28-01-069-03219</t>
  </si>
  <si>
    <t>03200501207957</t>
  </si>
  <si>
    <t>1301370000325667</t>
  </si>
  <si>
    <t>Jibeshwor Lakhey</t>
  </si>
  <si>
    <t>Jit Lal Lakhey</t>
  </si>
  <si>
    <t>24-01-75-01558</t>
  </si>
  <si>
    <t>3269459659524001</t>
  </si>
  <si>
    <t>1301420000083973</t>
  </si>
  <si>
    <t>KOSHISH KHAREL</t>
  </si>
  <si>
    <t>BHIM PRASAD KHAREL</t>
  </si>
  <si>
    <t>NARA PRASAD KHAREL</t>
  </si>
  <si>
    <t>217</t>
  </si>
  <si>
    <t>3077080252600018</t>
  </si>
  <si>
    <t>1301120000272275</t>
  </si>
  <si>
    <t>Puskar Basnet</t>
  </si>
  <si>
    <t>Makar Bahadur Basnet</t>
  </si>
  <si>
    <t>Ratna Man Basnet/ Merina Basnet Budhathoki</t>
  </si>
  <si>
    <t>858/1968/10707</t>
  </si>
  <si>
    <t>00108010020386</t>
  </si>
  <si>
    <t>1301060000807945</t>
  </si>
  <si>
    <t>LATE RISHAV KRISHNA</t>
  </si>
  <si>
    <t>LATE NARAYAN PSD/ LAYE SUDHIR</t>
  </si>
  <si>
    <t>9403</t>
  </si>
  <si>
    <t>03810017509135</t>
  </si>
  <si>
    <t>1301110000412530</t>
  </si>
  <si>
    <t>BISHAL KUMAR SUNAR</t>
  </si>
  <si>
    <t>KRISHNA BAHADUR SUNAR</t>
  </si>
  <si>
    <t>SANTA RAM SUNAR</t>
  </si>
  <si>
    <t>633029/10</t>
  </si>
  <si>
    <t>31507010002301</t>
  </si>
  <si>
    <t>1301820000107972</t>
  </si>
  <si>
    <t>HOM RAJ RAI</t>
  </si>
  <si>
    <t>DEVI BAHADUR RAI</t>
  </si>
  <si>
    <t>AJAPA MAN RAI</t>
  </si>
  <si>
    <t>122017569</t>
  </si>
  <si>
    <t>08610017504180</t>
  </si>
  <si>
    <t>1301090001588846</t>
  </si>
  <si>
    <t>MAN BAHADUR THAPA/BIMALA KUMARI THAPA</t>
  </si>
  <si>
    <t>KHADGA BAHADUR THAPA</t>
  </si>
  <si>
    <t>19-2095-633</t>
  </si>
  <si>
    <t>50314003495</t>
  </si>
  <si>
    <t>1301260002536583</t>
  </si>
  <si>
    <t>GEETA SHARMA</t>
  </si>
  <si>
    <t>NEELAM KUMAR SHARMA/KHIMA SHARMA</t>
  </si>
  <si>
    <t>PRAMANANDA BHUSAL</t>
  </si>
  <si>
    <t>30714</t>
  </si>
  <si>
    <t>0040009547700011</t>
  </si>
  <si>
    <t>1301090002946534</t>
  </si>
  <si>
    <t>UTTAM ACHARYA</t>
  </si>
  <si>
    <t>BASUDEV ACHARYA/BIMALA ACHARYA</t>
  </si>
  <si>
    <t>SHEKHARNATH ACHARYA/SUSMA ACHARYA</t>
  </si>
  <si>
    <t>139515</t>
  </si>
  <si>
    <t>01315182780</t>
  </si>
  <si>
    <t>1301650002299431</t>
  </si>
  <si>
    <t>LOKNATH LIMBU</t>
  </si>
  <si>
    <t>JAHAR SINGH LIMBU</t>
  </si>
  <si>
    <t>DHAN BAHADUR LIMBU/NIRMALA LIMBU</t>
  </si>
  <si>
    <t>5616</t>
  </si>
  <si>
    <t>2430100028206010</t>
  </si>
  <si>
    <t>1301260001371283</t>
  </si>
  <si>
    <t>DIVYANTI DEVI</t>
  </si>
  <si>
    <t>BILAT SHAH/PARWATI SHAH</t>
  </si>
  <si>
    <t>GULAB SHAH</t>
  </si>
  <si>
    <t>16-01-78-00150</t>
  </si>
  <si>
    <t>0440179953100016</t>
  </si>
  <si>
    <t>1301080001041311</t>
  </si>
  <si>
    <t>INSAN DHEKE</t>
  </si>
  <si>
    <t>INDRA BAHADUR DHEKE</t>
  </si>
  <si>
    <t>DHARMA NARAYAN DHEKE</t>
  </si>
  <si>
    <t>29-01-065-00198</t>
  </si>
  <si>
    <t>00100501209352</t>
  </si>
  <si>
    <t>1301070000181727</t>
  </si>
  <si>
    <t>Sailesh Gurung</t>
  </si>
  <si>
    <t>Lekh Bahadur Gurung</t>
  </si>
  <si>
    <t>Chandra Bahadur Gurung</t>
  </si>
  <si>
    <t>2/10333</t>
  </si>
  <si>
    <t>02621000107809000003</t>
  </si>
  <si>
    <t>1301580000193747</t>
  </si>
  <si>
    <t>SAROJ RAUT</t>
  </si>
  <si>
    <t>CHET BAHADUR RAUT</t>
  </si>
  <si>
    <t>KUL BAHADUR RAUT</t>
  </si>
  <si>
    <t>201046/356</t>
  </si>
  <si>
    <t>2150100000002106</t>
  </si>
  <si>
    <t>1301240000351326</t>
  </si>
  <si>
    <t>ganesh thakuri</t>
  </si>
  <si>
    <t>bal krishna thakuri</t>
  </si>
  <si>
    <t>krishna bahadur thakuri</t>
  </si>
  <si>
    <t>463001/2284</t>
  </si>
  <si>
    <t>0350406882205001</t>
  </si>
  <si>
    <t>1301730000536609</t>
  </si>
  <si>
    <t>NABARAJ PAKUWAL</t>
  </si>
  <si>
    <t>GANESH PRASAD PAKUWAL/MITHU PAKUWAL</t>
  </si>
  <si>
    <t>JAYA PRAKASH PAKUWAL</t>
  </si>
  <si>
    <t>37334</t>
  </si>
  <si>
    <t>02105350251303</t>
  </si>
  <si>
    <t>1301090004049922</t>
  </si>
  <si>
    <t>HOM KUMARI KHADKA</t>
  </si>
  <si>
    <t>KAMAL BAHADUR KHADKA</t>
  </si>
  <si>
    <t>DHILLI BAHADUR KHADKA</t>
  </si>
  <si>
    <t>13-01-71-03036</t>
  </si>
  <si>
    <t>55503108061</t>
  </si>
  <si>
    <t>1301090004131941</t>
  </si>
  <si>
    <t>KRISHNA BAHADUR POKHREL</t>
  </si>
  <si>
    <t>PUSPA LAL POKHREL/AMBIKA DEVI  PAHADI</t>
  </si>
  <si>
    <t>HIRA LAL PAHADI/REKHA POKHREL</t>
  </si>
  <si>
    <t>16058</t>
  </si>
  <si>
    <t>55503584818</t>
  </si>
  <si>
    <t>1301100001632152</t>
  </si>
  <si>
    <t>PRAKASH SAPKOTA</t>
  </si>
  <si>
    <t>CHABILAL SAPKOTA</t>
  </si>
  <si>
    <t>BISHNU PRASAD SAPKOTA</t>
  </si>
  <si>
    <t>37-01-69-06248</t>
  </si>
  <si>
    <t>0340029082100016</t>
  </si>
  <si>
    <t>1301120003085988</t>
  </si>
  <si>
    <t>SABIN RIMAL</t>
  </si>
  <si>
    <t>DAMODAR RIMAL</t>
  </si>
  <si>
    <t>TILAK PRASAD RIMAL</t>
  </si>
  <si>
    <t>25-01-70-14502</t>
  </si>
  <si>
    <t>10808010000029</t>
  </si>
  <si>
    <t>1301370001457140</t>
  </si>
  <si>
    <t>Pristina Pant</t>
  </si>
  <si>
    <t>Sunil Babu Pant</t>
  </si>
  <si>
    <t>Mohan Prasad Pant</t>
  </si>
  <si>
    <t>2075051301539</t>
  </si>
  <si>
    <t>A402000299552401</t>
  </si>
  <si>
    <t>1301070001919365</t>
  </si>
  <si>
    <t>BIKASH KHADKA</t>
  </si>
  <si>
    <t>JAGADISH KHADKA</t>
  </si>
  <si>
    <t>PRASHU RAM KHADKA</t>
  </si>
  <si>
    <t>061043/171603</t>
  </si>
  <si>
    <t>1721620691205001</t>
  </si>
  <si>
    <t>1301370000738298</t>
  </si>
  <si>
    <t>Nimisha Pant</t>
  </si>
  <si>
    <t>82</t>
  </si>
  <si>
    <t>A457814775524001</t>
  </si>
  <si>
    <t>1301600000338203</t>
  </si>
  <si>
    <t>PASHUPATI KUMARI CHAUDHARY</t>
  </si>
  <si>
    <t>NATHAR CHAUDHARY THARU/MAKHAN DEVI CHAUDHARY</t>
  </si>
  <si>
    <t>MUSHURU CHAUDHARY</t>
  </si>
  <si>
    <t>1097/272</t>
  </si>
  <si>
    <t>3517027990600028</t>
  </si>
  <si>
    <t>1301650000396301</t>
  </si>
  <si>
    <t>NIRAJAN CHAURASIYA</t>
  </si>
  <si>
    <t>KAMESHWAR RAUT/ MANJU DEVI</t>
  </si>
  <si>
    <t>SONELAL RAUT</t>
  </si>
  <si>
    <t>18-01-70-08983</t>
  </si>
  <si>
    <t>1700100017787010</t>
  </si>
  <si>
    <t>1301100003017055</t>
  </si>
  <si>
    <t>LOCHAN MAGAR</t>
  </si>
  <si>
    <t>HEM CHANDRA MAGAR / KAMALA MAGAR</t>
  </si>
  <si>
    <t>PREM BAHADUR MAGAR</t>
  </si>
  <si>
    <t>05-02-77-04728</t>
  </si>
  <si>
    <t>0610209271800019</t>
  </si>
  <si>
    <t>1301370007880113</t>
  </si>
  <si>
    <t>RESAM DEV RAI</t>
  </si>
  <si>
    <t>DILLI PRASAD RAI</t>
  </si>
  <si>
    <t>SUBHDHOJ RAI</t>
  </si>
  <si>
    <t>730-5</t>
  </si>
  <si>
    <t>0045751371263001</t>
  </si>
  <si>
    <t>1301230000185378</t>
  </si>
  <si>
    <t>DHAN KUMAR SHRESTHA</t>
  </si>
  <si>
    <t>NETRA BAHADUR SHRESTHA / NIRMALA SHRESTHA</t>
  </si>
  <si>
    <t>GANGA DEVI SHRESTHA / KRISHNA KUMAR SHRESTHA</t>
  </si>
  <si>
    <t>40570</t>
  </si>
  <si>
    <t>2140100024257010</t>
  </si>
  <si>
    <t>1301040001234806</t>
  </si>
  <si>
    <t>KESHARI BHATTARAI</t>
  </si>
  <si>
    <t>YADU PRASAD BHATTARAI /KRISHNA KUMARI BHATTARAI</t>
  </si>
  <si>
    <t>CHUDAMANI PRASAD BHATTARAi/</t>
  </si>
  <si>
    <t>44-01-72-03444</t>
  </si>
  <si>
    <t>00310017509272</t>
  </si>
  <si>
    <t>1301100003059123</t>
  </si>
  <si>
    <t>SABIN SHARMA DHUNGANA</t>
  </si>
  <si>
    <t>PRAMANANDA SHARMA/DAMBER MAYA BASKOTA</t>
  </si>
  <si>
    <t>DEVI CHARAN DHUNGANA</t>
  </si>
  <si>
    <t>03-01-71-00274</t>
  </si>
  <si>
    <t>0280233710400013</t>
  </si>
  <si>
    <t>1301260000037539</t>
  </si>
  <si>
    <t>YAGYA BAHADUR GURUNG</t>
  </si>
  <si>
    <t>BALIMAN GURUNG/SUKMAYA GURUNG</t>
  </si>
  <si>
    <t>SANMAN GURUNG / JHAPAT MAYA GURUNG</t>
  </si>
  <si>
    <t>0570049576500011</t>
  </si>
  <si>
    <t>1301260000030187</t>
  </si>
  <si>
    <t>NANI MAIYA GURUNG</t>
  </si>
  <si>
    <t>YAGYA BDR GURUNG/JHAPAT MAYA GURUNG</t>
  </si>
  <si>
    <t>LOKESH KARN/BALMAN GURUNG</t>
  </si>
  <si>
    <t>14130</t>
  </si>
  <si>
    <t>1180049817200021</t>
  </si>
  <si>
    <t>1301650002001605</t>
  </si>
  <si>
    <t>ROJAN RAI</t>
  </si>
  <si>
    <t>BUDDHI BAHADUR RAI</t>
  </si>
  <si>
    <t>HAIKALE RAI/GANA MAYA RAI</t>
  </si>
  <si>
    <t>51904445</t>
  </si>
  <si>
    <t>1430100000102007</t>
  </si>
  <si>
    <t>1301260000030172</t>
  </si>
  <si>
    <t>TARA DEVI GURUNG</t>
  </si>
  <si>
    <t>YAGYA BDR GURUNG/ JAPAR MAYA GURUNG</t>
  </si>
  <si>
    <t>BALIMAN GURUNG</t>
  </si>
  <si>
    <t>07/052</t>
  </si>
  <si>
    <t>1180049817300021</t>
  </si>
  <si>
    <t>1301610000826567</t>
  </si>
  <si>
    <t>IRA SHRESTHA</t>
  </si>
  <si>
    <t>BIJAY  SHRESTHA</t>
  </si>
  <si>
    <t>BHIM BDR SHRESTHA</t>
  </si>
  <si>
    <t>2348</t>
  </si>
  <si>
    <t>1730102212900011</t>
  </si>
  <si>
    <t>1301040002562952</t>
  </si>
  <si>
    <t>TARA DEVI PAUDEL</t>
  </si>
  <si>
    <t>KESHAR BAHADUR POUDEL/FUL MAYA POUDEL</t>
  </si>
  <si>
    <t>PREM BAHADUR KATUWAL/KHAMBA SINGH POUDEL</t>
  </si>
  <si>
    <t>4132/198</t>
  </si>
  <si>
    <t>15210017501046</t>
  </si>
  <si>
    <t>1301040002377245</t>
  </si>
  <si>
    <t>RUPESH SHRESTHA</t>
  </si>
  <si>
    <t>DIPESH KUMAR SHRESTHA/USHA BHANDARI</t>
  </si>
  <si>
    <t>/CHANDRA BAHADUR SHRESTHA</t>
  </si>
  <si>
    <t>18-2-074/377</t>
  </si>
  <si>
    <t>03510017521669</t>
  </si>
  <si>
    <t>1301120002125623</t>
  </si>
  <si>
    <t>BHUVANESHWAR TIMILSINA</t>
  </si>
  <si>
    <t>KUL PRASAD TIMILSINA/ LAXMI TIMILSINA</t>
  </si>
  <si>
    <t>JAYA PRASAD TIMILSINA/ NISHA GHIMIRE</t>
  </si>
  <si>
    <t>21795</t>
  </si>
  <si>
    <t>01407010012629</t>
  </si>
  <si>
    <t>1301120000143838</t>
  </si>
  <si>
    <t>Samjhana Pyakurel</t>
  </si>
  <si>
    <t>Shreekrishna Pyakurel</t>
  </si>
  <si>
    <t>Surath Bhadur Pyakurel</t>
  </si>
  <si>
    <t>13961</t>
  </si>
  <si>
    <t>00210099313018</t>
  </si>
  <si>
    <t>1301570000551046</t>
  </si>
  <si>
    <t>SITA MAYA SHERPA</t>
  </si>
  <si>
    <t>JIT BAHADUR SHRESTHA /UMA SHRESTHA</t>
  </si>
  <si>
    <t>800/4416/7380</t>
  </si>
  <si>
    <t>00201000502474000001</t>
  </si>
  <si>
    <t>1301090003076313</t>
  </si>
  <si>
    <t>DAWA TENZING SHERPA</t>
  </si>
  <si>
    <t>LHAKPA DIKI SHERPA</t>
  </si>
  <si>
    <t>LHAKPA SHERPA</t>
  </si>
  <si>
    <t>1530</t>
  </si>
  <si>
    <t>02815008661</t>
  </si>
  <si>
    <t>1301040001230651</t>
  </si>
  <si>
    <t>SRIJANA GURUNG</t>
  </si>
  <si>
    <t>KHAMAN SINGH GURUNG/JAMUNA GURUNG</t>
  </si>
  <si>
    <t>BEKH BAHADUR GURUNG/</t>
  </si>
  <si>
    <t>44-01-76-00180</t>
  </si>
  <si>
    <t>01810017506658</t>
  </si>
  <si>
    <t>1301040000461484</t>
  </si>
  <si>
    <t>PRAKASH PANT</t>
  </si>
  <si>
    <t>SURYA BAHADUR PANT/BISNAKALA PANT</t>
  </si>
  <si>
    <t>NAR BAHADUR PANT</t>
  </si>
  <si>
    <t>106459/3719</t>
  </si>
  <si>
    <t>5810017500643</t>
  </si>
  <si>
    <t>1301250000478173</t>
  </si>
  <si>
    <t>SURESH THAPALIYA</t>
  </si>
  <si>
    <t>NABARAJ THAPALIYA/JHAMAKA KUMARI THAPALIYA</t>
  </si>
  <si>
    <t>UMAKANTA THAPALIYA</t>
  </si>
  <si>
    <t>26-01-72-10546</t>
  </si>
  <si>
    <t>02020100250852000001</t>
  </si>
  <si>
    <t>1301340000022915</t>
  </si>
  <si>
    <t>UDAYA RAJ REGMI</t>
  </si>
  <si>
    <t>CHUDAMANI REGMI</t>
  </si>
  <si>
    <t>BHUMI NANDA REGMI</t>
  </si>
  <si>
    <t>858/22067</t>
  </si>
  <si>
    <t>01900061280019</t>
  </si>
  <si>
    <t>1301120004948761</t>
  </si>
  <si>
    <t>HIRA BAHADUR CHAND</t>
  </si>
  <si>
    <t>PIM BAHADUR CAHND</t>
  </si>
  <si>
    <t>PAHAL MAN CHAND</t>
  </si>
  <si>
    <t>21191/316</t>
  </si>
  <si>
    <t>00507010087364</t>
  </si>
  <si>
    <t>1301610001585645</t>
  </si>
  <si>
    <t>ADITYA ADHIKARI</t>
  </si>
  <si>
    <t>PUSHKAR RAJ ADHIKARI</t>
  </si>
  <si>
    <t>BALRAM ADHIKARI</t>
  </si>
  <si>
    <t>1001-973</t>
  </si>
  <si>
    <t>0040016776300013</t>
  </si>
  <si>
    <t>1301720000585740</t>
  </si>
  <si>
    <t>ALANKAR POKHREL</t>
  </si>
  <si>
    <t>SURESH KAMAL POKHREL</t>
  </si>
  <si>
    <t>NANDA PRASAD SHARMA</t>
  </si>
  <si>
    <t>2025/3656</t>
  </si>
  <si>
    <t>0210302005690012</t>
  </si>
  <si>
    <t>1301320000064147</t>
  </si>
  <si>
    <t>Shyam Thapa</t>
  </si>
  <si>
    <t>Nur Bahadur Thapa</t>
  </si>
  <si>
    <t>Chet Bahadur Thapa</t>
  </si>
  <si>
    <t>70725</t>
  </si>
  <si>
    <t>13407010098069</t>
  </si>
  <si>
    <t>1301040002815110</t>
  </si>
  <si>
    <t>NGIMLAKAPA SHERPA</t>
  </si>
  <si>
    <t>BHUDHAMAN SHERPA/ANGLAMU SHERPA</t>
  </si>
  <si>
    <t>/DOMCHHIRI SHERPA</t>
  </si>
  <si>
    <t>22-02-74-01760</t>
  </si>
  <si>
    <t>17210017511457</t>
  </si>
  <si>
    <t>1301370007775503</t>
  </si>
  <si>
    <t>MOHAN KAJI MAHARJAN</t>
  </si>
  <si>
    <t>CHAIT NARAYAN MAHARJAN</t>
  </si>
  <si>
    <t>SANU MAHARJAN</t>
  </si>
  <si>
    <t>271031/48348</t>
  </si>
  <si>
    <t>6487013606752401</t>
  </si>
  <si>
    <t>1301370005395443</t>
  </si>
  <si>
    <t>BHESH BAHADUR SUNAR</t>
  </si>
  <si>
    <t>PINE KAMI</t>
  </si>
  <si>
    <t>BUDHA KAMI</t>
  </si>
  <si>
    <t>41-01-72-02205</t>
  </si>
  <si>
    <t>1488967100952401</t>
  </si>
  <si>
    <t>1301580001180978</t>
  </si>
  <si>
    <t>OJASH NEUPANE</t>
  </si>
  <si>
    <t>BAL KRISHNA NEUPANE/SABINA LAMICHHANE NEUPANE</t>
  </si>
  <si>
    <t>BUDDHI SAGAR NEUPANE</t>
  </si>
  <si>
    <t>120720309235018</t>
  </si>
  <si>
    <t>003011080000525</t>
  </si>
  <si>
    <t>1301580001180963</t>
  </si>
  <si>
    <t>SABINA LAMICHHANE NEUPANE</t>
  </si>
  <si>
    <t>DEVI PRASAD LAMICHHANE/SHUBADRA LAMICHHANE</t>
  </si>
  <si>
    <t>SHARDAKHAR LAMICHANNE/BAL KRISHNA LAMICHHANE</t>
  </si>
  <si>
    <t>30241</t>
  </si>
  <si>
    <t>003011090003076</t>
  </si>
  <si>
    <t>1301580000883756</t>
  </si>
  <si>
    <t>KHADAK JOSHI</t>
  </si>
  <si>
    <t>PADAM RAJ JAISHI/SARU DEVI JAISHI</t>
  </si>
  <si>
    <t>KULANAD UPDHYA</t>
  </si>
  <si>
    <t>672003/63581</t>
  </si>
  <si>
    <t>015011060000161</t>
  </si>
  <si>
    <t>1301580001179964</t>
  </si>
  <si>
    <t>BAL KRISHNA NEUPANE</t>
  </si>
  <si>
    <t>BUDDHI SAGAR NEUPANE/BED MAYA NEUPANE</t>
  </si>
  <si>
    <t>SHADA NANDA NEUPANE/SABINA LAMICHHANE NEUPANE</t>
  </si>
  <si>
    <t>102/95412</t>
  </si>
  <si>
    <t>003011060004410</t>
  </si>
  <si>
    <t>1301120004257953</t>
  </si>
  <si>
    <t>IKSA LIMBU</t>
  </si>
  <si>
    <t>NARESH NEMBANG LIMBU</t>
  </si>
  <si>
    <t>PANCHADAL NEMBANG LIMBU</t>
  </si>
  <si>
    <t>2073100212884</t>
  </si>
  <si>
    <t>03309017500379</t>
  </si>
  <si>
    <t>1301120004257706</t>
  </si>
  <si>
    <t>NISAM LIMBU</t>
  </si>
  <si>
    <t>PANCHADAL NEMBANGLIMBU</t>
  </si>
  <si>
    <t>2070111604808</t>
  </si>
  <si>
    <t>03309017500380</t>
  </si>
  <si>
    <t>1301220000158336</t>
  </si>
  <si>
    <t>NAWARAJ THAPA</t>
  </si>
  <si>
    <t>BISHOW BAHADUR THAPA</t>
  </si>
  <si>
    <t>JEET BAHADUR THAPA</t>
  </si>
  <si>
    <t>01-067-6177</t>
  </si>
  <si>
    <t>21607010001227</t>
  </si>
  <si>
    <t>1301060003490442</t>
  </si>
  <si>
    <t>NIRAJAN KHUJU SHRESTHA</t>
  </si>
  <si>
    <t>RAM KRISHNA KHUJU SHRESTHA</t>
  </si>
  <si>
    <t>KANCHHA KHUJU SHRESTHA</t>
  </si>
  <si>
    <t>293001/267</t>
  </si>
  <si>
    <t>00205220250108</t>
  </si>
  <si>
    <t>1301120004629068</t>
  </si>
  <si>
    <t>MANIKA RAI</t>
  </si>
  <si>
    <t>KARNA KUMAR RAI/BIMALA RAI</t>
  </si>
  <si>
    <t>PADMADHOJ RAI</t>
  </si>
  <si>
    <t>2386/286</t>
  </si>
  <si>
    <t>32207010018559</t>
  </si>
  <si>
    <t>1301090004115748</t>
  </si>
  <si>
    <t>HOM NATH LAMICHHANE</t>
  </si>
  <si>
    <t>SAGARNATH LAMICHHANE/LILA DEVI LAMICHHANE</t>
  </si>
  <si>
    <t>RAM PRASAD LAMICHHANE/SABINA CHAPAGAIN LAMICHHANE</t>
  </si>
  <si>
    <t>111646</t>
  </si>
  <si>
    <t>55503186713</t>
  </si>
  <si>
    <t>1301080001054221</t>
  </si>
  <si>
    <t>sujata koirala</t>
  </si>
  <si>
    <t>prakash koirala</t>
  </si>
  <si>
    <t>uma nath koirala</t>
  </si>
  <si>
    <t>3116/061</t>
  </si>
  <si>
    <t>00300501212933</t>
  </si>
  <si>
    <t>1301120004986060</t>
  </si>
  <si>
    <t>ANGAJ KUMAR YADAV</t>
  </si>
  <si>
    <t>DHANJIT RAY YADAV</t>
  </si>
  <si>
    <t>BADARI RAY YADAV</t>
  </si>
  <si>
    <t>182050/2709</t>
  </si>
  <si>
    <t>08409012696055</t>
  </si>
  <si>
    <t>1301250000757563</t>
  </si>
  <si>
    <t>OM BAHADUR BASNET/DIL MAYA BASNET</t>
  </si>
  <si>
    <t>KHADKA BAHADUR BASNET</t>
  </si>
  <si>
    <t>2605</t>
  </si>
  <si>
    <t>12221600676536000001</t>
  </si>
  <si>
    <t>1301100001697681</t>
  </si>
  <si>
    <t>NABA RAJ GIRI</t>
  </si>
  <si>
    <t>TILAK BAHADUR GIRI</t>
  </si>
  <si>
    <t>BAL BAHADUR GIRI</t>
  </si>
  <si>
    <t>13-01-74-03173</t>
  </si>
  <si>
    <t>1070153789500013</t>
  </si>
  <si>
    <t>1301630000099158</t>
  </si>
  <si>
    <t>KUSHAL LIMBU</t>
  </si>
  <si>
    <t>KUMAR BAHADUR LIMBU</t>
  </si>
  <si>
    <t>MAN BAHADUR LIMBU</t>
  </si>
  <si>
    <t>083011/14</t>
  </si>
  <si>
    <t>2570225971300001</t>
  </si>
  <si>
    <t>1301730000782282</t>
  </si>
  <si>
    <t>PAWAN THAPA CHHETRI</t>
  </si>
  <si>
    <t>LOK BAHADUR THAPA</t>
  </si>
  <si>
    <t>CHITRA BAHADUR THAPA</t>
  </si>
  <si>
    <t>23301</t>
  </si>
  <si>
    <t>02105080299794</t>
  </si>
  <si>
    <t>1301060000093481</t>
  </si>
  <si>
    <t>BINOD KUMAR KARKI</t>
  </si>
  <si>
    <t>HARI BAHADUR KARKI</t>
  </si>
  <si>
    <t>SURYA BAHADUR KARKI</t>
  </si>
  <si>
    <t>27601</t>
  </si>
  <si>
    <t>01905020047296</t>
  </si>
  <si>
    <t>1301720000473886</t>
  </si>
  <si>
    <t>TAMAN BAHADUR RANA</t>
  </si>
  <si>
    <t>RAN BAHADUR RANA</t>
  </si>
  <si>
    <t>MANISHWOR RANA</t>
  </si>
  <si>
    <t>2603</t>
  </si>
  <si>
    <t>0711567036055001</t>
  </si>
  <si>
    <t>1301370002415517</t>
  </si>
  <si>
    <t>SAROJ SUBEDI</t>
  </si>
  <si>
    <t>KHIMA NAND SUBEDI</t>
  </si>
  <si>
    <t>65-01-69-01043</t>
  </si>
  <si>
    <t>1125750776270001</t>
  </si>
  <si>
    <t>1301090003594863</t>
  </si>
  <si>
    <t>BHESH BAHADUR KHADKA</t>
  </si>
  <si>
    <t>TOP BAHADUR KHADKA</t>
  </si>
  <si>
    <t>RUDRA BAHADUR KHADKA</t>
  </si>
  <si>
    <t>18-05-76-01850</t>
  </si>
  <si>
    <t>15207010002568</t>
  </si>
  <si>
    <t>1301120004178789</t>
  </si>
  <si>
    <t>RAM NARAYAN THAKUR</t>
  </si>
  <si>
    <t>SHREEKANT THAKUR/SHANTI DEVI THAKUR</t>
  </si>
  <si>
    <t>NATHAR THAKUR</t>
  </si>
  <si>
    <t>81918</t>
  </si>
  <si>
    <t>02207010002624</t>
  </si>
  <si>
    <t>1301650000902357</t>
  </si>
  <si>
    <t>SULAKSHYA NYAUPANE</t>
  </si>
  <si>
    <t>SUBAS KUMAR NYAUPANE</t>
  </si>
  <si>
    <t>101</t>
  </si>
  <si>
    <t>1980100000067010</t>
  </si>
  <si>
    <t>1301100003153686</t>
  </si>
  <si>
    <t>ARJUN PANTHI</t>
  </si>
  <si>
    <t>PASHUPATI PANTHI</t>
  </si>
  <si>
    <t>KHAGESHWOR PANTHI</t>
  </si>
  <si>
    <t>411074/99215</t>
  </si>
  <si>
    <t>0170025842200011</t>
  </si>
  <si>
    <t>1301100002844315</t>
  </si>
  <si>
    <t>GAURI SHANKAR MAHATO</t>
  </si>
  <si>
    <t>SANJAY KUMAR MAHATO / PASO DEVI</t>
  </si>
  <si>
    <t>RAM NARESH MAHATO</t>
  </si>
  <si>
    <t>19-01-78-01747</t>
  </si>
  <si>
    <t>1790213376800012</t>
  </si>
  <si>
    <t>1301390000287998</t>
  </si>
  <si>
    <t>HOMESH PAUDEL</t>
  </si>
  <si>
    <t>RISHIRAM PAUDEL/SITA PARAJULI</t>
  </si>
  <si>
    <t>JYOTIMBAR PAUDEL/BINA GAIRE</t>
  </si>
  <si>
    <t>380106923466</t>
  </si>
  <si>
    <t>1410107813700016</t>
  </si>
  <si>
    <t>1301260002270970</t>
  </si>
  <si>
    <t>RAMESH KUMAR KANWAR</t>
  </si>
  <si>
    <t>NUR BAHADUR KUNWAR/RAMBHA DEVI KUNWAR</t>
  </si>
  <si>
    <t>RAM SINGH KUNWAR</t>
  </si>
  <si>
    <t>63995</t>
  </si>
  <si>
    <t>0280060319600011</t>
  </si>
  <si>
    <t>1301060000917101</t>
  </si>
  <si>
    <t>NIMA GOMBO TAMANG</t>
  </si>
  <si>
    <t>PURPU L. TAMANG</t>
  </si>
  <si>
    <t>SABITA TAMANG</t>
  </si>
  <si>
    <t>30/1368</t>
  </si>
  <si>
    <t>04705050252218</t>
  </si>
  <si>
    <t>1301090003383433</t>
  </si>
  <si>
    <t>ARBIN GURUNG</t>
  </si>
  <si>
    <t>SURYA LAL GURUNG</t>
  </si>
  <si>
    <t>66-01-71-08035</t>
  </si>
  <si>
    <t>01018813897</t>
  </si>
  <si>
    <t>1301770000253571</t>
  </si>
  <si>
    <t>NIKESH MAGAR</t>
  </si>
  <si>
    <t>DHAN BAHADUR MAGAR</t>
  </si>
  <si>
    <t>KRISHNA BAHADUR MAGAR</t>
  </si>
  <si>
    <t>4701254</t>
  </si>
  <si>
    <t>01903835110013</t>
  </si>
  <si>
    <t>1301690000521782</t>
  </si>
  <si>
    <t>AISHA TANDAN</t>
  </si>
  <si>
    <t>IMAN BAHADUR TANDAN/MIRA TANDAN CHHETRI</t>
  </si>
  <si>
    <t>TEJ BAHADUR TANDAN</t>
  </si>
  <si>
    <t>40-01-72-00985</t>
  </si>
  <si>
    <t>19001000000057918754</t>
  </si>
  <si>
    <t>1301380000054266</t>
  </si>
  <si>
    <t>DHURBA BDR. K.C.</t>
  </si>
  <si>
    <t>6/7450</t>
  </si>
  <si>
    <t>08NB030007NPR001</t>
  </si>
  <si>
    <t>1301520001398602</t>
  </si>
  <si>
    <t>MUKUNDA BISTA</t>
  </si>
  <si>
    <t>MACHINDRA BAHADUR BISTA</t>
  </si>
  <si>
    <t>09-02-75-01018</t>
  </si>
  <si>
    <t>0070133344800001</t>
  </si>
  <si>
    <t>1301380000054285</t>
  </si>
  <si>
    <t>PUJAN JUNG K.C.</t>
  </si>
  <si>
    <t>29-01-069-03111</t>
  </si>
  <si>
    <t>0814002871524002</t>
  </si>
  <si>
    <t>1301060000000408</t>
  </si>
  <si>
    <t>JANAK RAJ SINGH</t>
  </si>
  <si>
    <t>HARI NARAYAN DANGOL</t>
  </si>
  <si>
    <t>KRISHNA MAN DANGOL</t>
  </si>
  <si>
    <t>672</t>
  </si>
  <si>
    <t>20510017502228</t>
  </si>
  <si>
    <t>1301610001465729</t>
  </si>
  <si>
    <t>KEVIN RAM KARKEE</t>
  </si>
  <si>
    <t>RAM BAHAHDUR KARKEE</t>
  </si>
  <si>
    <t>06-01-71-11820</t>
  </si>
  <si>
    <t>0390946163100015</t>
  </si>
  <si>
    <t>1301010000136546</t>
  </si>
  <si>
    <t>MINA BISTA</t>
  </si>
  <si>
    <t>NAWARAJ BISTA/ RAJ KUMAR BASTOLA</t>
  </si>
  <si>
    <t>10414</t>
  </si>
  <si>
    <t>0200111865524001</t>
  </si>
  <si>
    <t>1301730001596109</t>
  </si>
  <si>
    <t>GANGA SHRESTHA</t>
  </si>
  <si>
    <t>DHAN BAHADUR SHRESTHA/RAMA SHRESTHA</t>
  </si>
  <si>
    <t>KANCHHA SHRESTHA</t>
  </si>
  <si>
    <t>16624</t>
  </si>
  <si>
    <t>00205350265386</t>
  </si>
  <si>
    <t>1301370007514657</t>
  </si>
  <si>
    <t>INDRAJEET CHAUDHARY</t>
  </si>
  <si>
    <t>SHIV SHANKAR THARU</t>
  </si>
  <si>
    <t>PIYARE THARU</t>
  </si>
  <si>
    <t>36-01-73-05722</t>
  </si>
  <si>
    <t>1965750688367001</t>
  </si>
  <si>
    <t>1301040002212513</t>
  </si>
  <si>
    <t>PRAMOD KUMAR BARNAWAL</t>
  </si>
  <si>
    <t>DEV PRAKASH BARNAWAL /USHA DEVI</t>
  </si>
  <si>
    <t>NEHA BARNAWAL/JAGDISH PRASAD BARNAWAL</t>
  </si>
  <si>
    <t>343022-13/703</t>
  </si>
  <si>
    <t>00610017511619</t>
  </si>
  <si>
    <t>1301090000142360</t>
  </si>
  <si>
    <t>PRABHA MISHRA</t>
  </si>
  <si>
    <t>SUNDESHWAR MISHRA</t>
  </si>
  <si>
    <t>RAM NANDAN MISHRA</t>
  </si>
  <si>
    <t>469/056/57</t>
  </si>
  <si>
    <t>01001000000100301685</t>
  </si>
  <si>
    <t>1301760000835381</t>
  </si>
  <si>
    <t>ASMITA KUMARI THARU</t>
  </si>
  <si>
    <t>BISHWO PATI THARU</t>
  </si>
  <si>
    <t>SOMAI DARYARIYA THARU</t>
  </si>
  <si>
    <t>37-02-73-04238</t>
  </si>
  <si>
    <t>04210901122255000001</t>
  </si>
  <si>
    <t>1301950000039450</t>
  </si>
  <si>
    <t>YADU NATH UPRETI</t>
  </si>
  <si>
    <t>HARI PRASAD UPRETI/MANDODHARI UPRETI</t>
  </si>
  <si>
    <t>JAGANNATH UPRETI/SHARADA PANT UPRETI</t>
  </si>
  <si>
    <t>675</t>
  </si>
  <si>
    <t>02510271142027</t>
  </si>
  <si>
    <t>1301650002357949</t>
  </si>
  <si>
    <t>HIMA DAHAL</t>
  </si>
  <si>
    <t>HARI PRASAD DAHAL</t>
  </si>
  <si>
    <t>BHIM LAL DAHAL/</t>
  </si>
  <si>
    <t>2414</t>
  </si>
  <si>
    <t>2210100024054010</t>
  </si>
  <si>
    <t>1301090000171377</t>
  </si>
  <si>
    <t>DEEPA SHRESTHA</t>
  </si>
  <si>
    <t>DUS BAHADUR SHRESTHA / RAM MAN SHRESTHA</t>
  </si>
  <si>
    <t>28-01-066-02422</t>
  </si>
  <si>
    <t>01815040234</t>
  </si>
  <si>
    <t>1301590000267201</t>
  </si>
  <si>
    <t>PRANAV ADHIKARI</t>
  </si>
  <si>
    <t>DIPENDRA NATH UPADHAYAY</t>
  </si>
  <si>
    <t>HARIHAR NATH UPADHAYAY</t>
  </si>
  <si>
    <t>18-2-063/625</t>
  </si>
  <si>
    <t>023011040000929</t>
  </si>
  <si>
    <t>1301380000004949</t>
  </si>
  <si>
    <t>SHANKAR PRASAD SHIWAKOTI</t>
  </si>
  <si>
    <t>KRISHNA PRASAD SHIWAKOTI</t>
  </si>
  <si>
    <t>GOKARNA SHIWAKOTI</t>
  </si>
  <si>
    <t>1354/76</t>
  </si>
  <si>
    <t>0170017452700019</t>
  </si>
  <si>
    <t>1301300000044884</t>
  </si>
  <si>
    <t>MASHANTA KUMAR MAHARJAN</t>
  </si>
  <si>
    <t>GOPAL BAHADUR MAHARJAN</t>
  </si>
  <si>
    <t>MAN KRISHNA MAHARJAN</t>
  </si>
  <si>
    <t>0010020190900001</t>
  </si>
  <si>
    <t>1301120000203660</t>
  </si>
  <si>
    <t>Fayal Subedi</t>
  </si>
  <si>
    <t>Ramchandra Subedi</t>
  </si>
  <si>
    <t>Lalmani Subedi</t>
  </si>
  <si>
    <t>1086</t>
  </si>
  <si>
    <t>00407600060462000014</t>
  </si>
  <si>
    <t>1301650002433732</t>
  </si>
  <si>
    <t>OM PRAKASH KATHARIYA</t>
  </si>
  <si>
    <t>RAM TAHAL CHAUDHARY</t>
  </si>
  <si>
    <t>NA/TARA THARU</t>
  </si>
  <si>
    <t>37027002857</t>
  </si>
  <si>
    <t>3030100000111104</t>
  </si>
  <si>
    <t>1301610000381658</t>
  </si>
  <si>
    <t>SARALA KHATRI RANA</t>
  </si>
  <si>
    <t>PADAM BAHADUR KHATRI</t>
  </si>
  <si>
    <t>MITRA BAHADUR SHARMA</t>
  </si>
  <si>
    <t>491016/3318</t>
  </si>
  <si>
    <t>1650097147500017</t>
  </si>
  <si>
    <t>1301060002825701</t>
  </si>
  <si>
    <t>SUDIP SHRESTHA</t>
  </si>
  <si>
    <t>PANCHA BAHADUR SHRESTHA</t>
  </si>
  <si>
    <t>301026/178951</t>
  </si>
  <si>
    <t>01807010171205</t>
  </si>
  <si>
    <t>1301390000275528</t>
  </si>
  <si>
    <t>SABINA TIMALSINA</t>
  </si>
  <si>
    <t>THAKUR PRASAD TIMALSINA</t>
  </si>
  <si>
    <t>GOVINDA TIMALSINA</t>
  </si>
  <si>
    <t>250369/334</t>
  </si>
  <si>
    <t>1010112397200011</t>
  </si>
  <si>
    <t>1301530000622545</t>
  </si>
  <si>
    <t>MITHA K.C. PUN</t>
  </si>
  <si>
    <t>TORAN BAHADUR KC / BASANTA KC</t>
  </si>
  <si>
    <t>TULA RAM PUN / GANESH KHATRI</t>
  </si>
  <si>
    <t>53-01-79-02074</t>
  </si>
  <si>
    <t>41415243401202</t>
  </si>
  <si>
    <t>1301040002097679</t>
  </si>
  <si>
    <t>KALKI BAHADUR SUNAR</t>
  </si>
  <si>
    <t>HANSHA BAHADUR SUNAR/GOMA DEVI SUNAR</t>
  </si>
  <si>
    <t>PRATIMA SUNAR/GOTHEY SUNAR</t>
  </si>
  <si>
    <t>75/57797790</t>
  </si>
  <si>
    <t>03910017513643</t>
  </si>
  <si>
    <t>1301260002621755</t>
  </si>
  <si>
    <t>KHAGESHWOR DHITAL JAISE</t>
  </si>
  <si>
    <t>BEDH PRASAD DHITAL JAISI/PABITRA DHITAL</t>
  </si>
  <si>
    <t>JIBANATH DHITAL</t>
  </si>
  <si>
    <t>38569</t>
  </si>
  <si>
    <t>2020207219800012</t>
  </si>
  <si>
    <t>1301060003459813</t>
  </si>
  <si>
    <t>komal prasad ghimire</t>
  </si>
  <si>
    <t>hans charan ghimire</t>
  </si>
  <si>
    <t>khadananda ghimire</t>
  </si>
  <si>
    <t>19868</t>
  </si>
  <si>
    <t>00105010156034</t>
  </si>
  <si>
    <t>1301260001518431</t>
  </si>
  <si>
    <t>SRICHA GURUNG</t>
  </si>
  <si>
    <t>CHANDRA BAHADUR GURUNG /GARBI KUMARI GURUNG</t>
  </si>
  <si>
    <t>MANKAJI GURUNG</t>
  </si>
  <si>
    <t>46-01-73-03419</t>
  </si>
  <si>
    <t>1370138481100013</t>
  </si>
  <si>
    <t>1301090004231961</t>
  </si>
  <si>
    <t>AYAN PANDEY</t>
  </si>
  <si>
    <t>POOJA SAPKOTA</t>
  </si>
  <si>
    <t>LILA PRASAD PANDEY</t>
  </si>
  <si>
    <t>PA2271666</t>
  </si>
  <si>
    <t>55505395500</t>
  </si>
  <si>
    <t>1301120000220264</t>
  </si>
  <si>
    <t>AMRIT PRASAD SHRESTHA</t>
  </si>
  <si>
    <t>AYODHYA PRASAD SHRESTHA</t>
  </si>
  <si>
    <t>HIRA BAHADUR SHRESTHA</t>
  </si>
  <si>
    <t>5939/026</t>
  </si>
  <si>
    <t>0430026265800001</t>
  </si>
  <si>
    <t>1301310000365602</t>
  </si>
  <si>
    <t>AMBESWORI SHRESTHA</t>
  </si>
  <si>
    <t>SUGANDH MAHARJAN</t>
  </si>
  <si>
    <t>BASANT KUMAR SHRESTHA</t>
  </si>
  <si>
    <t>55-01-78-00115</t>
  </si>
  <si>
    <t>01505080361965</t>
  </si>
  <si>
    <t>1301120000039438</t>
  </si>
  <si>
    <t>RAMESH SAPKOTA</t>
  </si>
  <si>
    <t>DHURBA PRD SAPKOTA</t>
  </si>
  <si>
    <t>TOYA NATH SAPKOTA</t>
  </si>
  <si>
    <t>1370/051</t>
  </si>
  <si>
    <t>29207010024392</t>
  </si>
  <si>
    <t>1301040002192443</t>
  </si>
  <si>
    <t>MANIRAM NEUPANE</t>
  </si>
  <si>
    <t>RATNALAL NEUPANE/BAKLUMARI NEUPANE</t>
  </si>
  <si>
    <t>/TIKARAM NEUPANE</t>
  </si>
  <si>
    <t>64-01-74-05777</t>
  </si>
  <si>
    <t>05810017510984</t>
  </si>
  <si>
    <t>1301090003618144</t>
  </si>
  <si>
    <t>MINA KANDEL</t>
  </si>
  <si>
    <t>BHIM BAHADUR KANDEL CHHETRI</t>
  </si>
  <si>
    <t>KHAGRAJ KANDEL</t>
  </si>
  <si>
    <t>2/10/58750</t>
  </si>
  <si>
    <t>01318491230</t>
  </si>
  <si>
    <t>1301120000417333</t>
  </si>
  <si>
    <t>SHANTA ARYAL SAPKOTA</t>
  </si>
  <si>
    <t>DILLI RAJ ARYAL</t>
  </si>
  <si>
    <t>00</t>
  </si>
  <si>
    <t>341</t>
  </si>
  <si>
    <t>1301080001160192</t>
  </si>
  <si>
    <t>BABU KANDEL</t>
  </si>
  <si>
    <t>GAURISHWAR KANDEL</t>
  </si>
  <si>
    <t>TULSI RAM KANDEL/SARASWATI KANDEL</t>
  </si>
  <si>
    <t>5608/044</t>
  </si>
  <si>
    <t>09000501201280</t>
  </si>
  <si>
    <t>1301120000417261</t>
  </si>
  <si>
    <t>SHREEJA SAPKOTA</t>
  </si>
  <si>
    <t>2170181944500001</t>
  </si>
  <si>
    <t>1301120004541781</t>
  </si>
  <si>
    <t>RIZUL SAPKOTA</t>
  </si>
  <si>
    <t>RAMESH SAPKOTA/SHANTA ARYAL</t>
  </si>
  <si>
    <t>DHURBA SAPKOTA</t>
  </si>
  <si>
    <t>2074030516713</t>
  </si>
  <si>
    <t>29207010024471</t>
  </si>
  <si>
    <t>1301440000368128</t>
  </si>
  <si>
    <t>BIJU KHAJUM</t>
  </si>
  <si>
    <t>PURNBA BAHADUR LIMBU</t>
  </si>
  <si>
    <t>TEK BAHADUR KHAJUM</t>
  </si>
  <si>
    <t>04-01-73-05903</t>
  </si>
  <si>
    <t>03607010250030</t>
  </si>
  <si>
    <t>1301170001337088</t>
  </si>
  <si>
    <t>LHACHEN PEMA LAMA</t>
  </si>
  <si>
    <t>TSERING LAMA</t>
  </si>
  <si>
    <t>KANCHA LAMA</t>
  </si>
  <si>
    <t>24-01-77-05903</t>
  </si>
  <si>
    <t>0060100000340045</t>
  </si>
  <si>
    <t>1301120002784529</t>
  </si>
  <si>
    <t>TANKA BAHADUR KHADKA</t>
  </si>
  <si>
    <t>KHAMBA BAHADUR KHADKA</t>
  </si>
  <si>
    <t>BHAKTA BAHADUR KHADKA</t>
  </si>
  <si>
    <t>37554/12310</t>
  </si>
  <si>
    <t>03309011470151</t>
  </si>
  <si>
    <t>1301090002104570</t>
  </si>
  <si>
    <t>HARERAM SAH</t>
  </si>
  <si>
    <t>SITARAM SAH TELI</t>
  </si>
  <si>
    <t>RAMSHARAN SAH</t>
  </si>
  <si>
    <t>17-01-75-02936</t>
  </si>
  <si>
    <t>01716711310</t>
  </si>
  <si>
    <t>1301150000008571</t>
  </si>
  <si>
    <t>BISHESH ARYAL</t>
  </si>
  <si>
    <t>BADRI PRASAD ARYAL</t>
  </si>
  <si>
    <t>STHIRA MANI ARYAL</t>
  </si>
  <si>
    <t>271060/1336</t>
  </si>
  <si>
    <t>25450210780017</t>
  </si>
  <si>
    <t>1301120004371407</t>
  </si>
  <si>
    <t>KESHAR BAHADUR NEPAL</t>
  </si>
  <si>
    <t>PURNA BAHADUR NEPAL/DEVI MAYA NEPAL</t>
  </si>
  <si>
    <t>KHADGDA BAHADUR NEPAL</t>
  </si>
  <si>
    <t>424006/1048</t>
  </si>
  <si>
    <t>3309011550710</t>
  </si>
  <si>
    <t>1301120000485284</t>
  </si>
  <si>
    <t>Sanu Raja Maharjan</t>
  </si>
  <si>
    <t>Nhuchhe Maharjan</t>
  </si>
  <si>
    <t>Asta Man Maharjan/Ram Devi Maharjan</t>
  </si>
  <si>
    <t>8633/373</t>
  </si>
  <si>
    <t>1360100025916010</t>
  </si>
  <si>
    <t>1301040002554544</t>
  </si>
  <si>
    <t>AAYUSHMA MALLA</t>
  </si>
  <si>
    <t>BISHOW PRAKASH MALLA/MANISHA BOHRA MALLA</t>
  </si>
  <si>
    <t>/BAL BAHADUR MALLA</t>
  </si>
  <si>
    <t>RUKUM (PASHCHIM)</t>
  </si>
  <si>
    <t>23010017502040</t>
  </si>
  <si>
    <t>1301100003231103</t>
  </si>
  <si>
    <t>BHOJRAJ SAPKOTA</t>
  </si>
  <si>
    <t>GANESH PRASAD SAPKOTA</t>
  </si>
  <si>
    <t>BHUWANANDA SAPKOTA</t>
  </si>
  <si>
    <t>17080</t>
  </si>
  <si>
    <t>0340021137100011</t>
  </si>
  <si>
    <t>1301040002554603</t>
  </si>
  <si>
    <t>MANISHA BOHRA MALLA</t>
  </si>
  <si>
    <t>AMAR BAHADUR BOHRA/TAKMA BOHRA</t>
  </si>
  <si>
    <t>BISHWO PRAKASH MALLA/TIL BAHADUR BOHRA</t>
  </si>
  <si>
    <t>56-01-69-01772</t>
  </si>
  <si>
    <t>23010017502037</t>
  </si>
  <si>
    <t>1301550000200331</t>
  </si>
  <si>
    <t>SHRADHA K.C.</t>
  </si>
  <si>
    <t>KISHOR K.C.</t>
  </si>
  <si>
    <t>SHYAM K.C.</t>
  </si>
  <si>
    <t>271060/124423</t>
  </si>
  <si>
    <t>1690100005210010</t>
  </si>
  <si>
    <t>1301120004684991</t>
  </si>
  <si>
    <t>DINANATH RAUNIYAR</t>
  </si>
  <si>
    <t>KRISHNA MURARI RAUNIYAR</t>
  </si>
  <si>
    <t>SARJUG SHAH RAUNIYAR</t>
  </si>
  <si>
    <t>34-01-76-08209</t>
  </si>
  <si>
    <t>00607010130783</t>
  </si>
  <si>
    <t>1301730000906362</t>
  </si>
  <si>
    <t>KOPILA ADHIKARI</t>
  </si>
  <si>
    <t>BHIM NATH ADHIKARI/DHANMAYA ADHIKARI</t>
  </si>
  <si>
    <t>451059/5728</t>
  </si>
  <si>
    <t>25805330000352</t>
  </si>
  <si>
    <t>1301440000222662</t>
  </si>
  <si>
    <t>ANG CHHIRING BHOTE</t>
  </si>
  <si>
    <t>PEMBA BHOTE</t>
  </si>
  <si>
    <t>NIMA BHOTE</t>
  </si>
  <si>
    <t>10-01-71-02009</t>
  </si>
  <si>
    <t>03309015016055</t>
  </si>
  <si>
    <t>1301610000751871</t>
  </si>
  <si>
    <t>HOM NATH TIMALSINA</t>
  </si>
  <si>
    <t>THAKUR DATTA TIMALSINA</t>
  </si>
  <si>
    <t>DHARMA DATTA TIMALSINA</t>
  </si>
  <si>
    <t>80165506</t>
  </si>
  <si>
    <t>0470088218700015</t>
  </si>
  <si>
    <t>1301580000860863</t>
  </si>
  <si>
    <t>MENUKA DHUNGANA</t>
  </si>
  <si>
    <t>RAJ KUMAR DHUNGANA/MAIYA KUMARI DHUNGANA</t>
  </si>
  <si>
    <t>RAM KRISHNA DHUNGANA</t>
  </si>
  <si>
    <t>24-01-80-03912</t>
  </si>
  <si>
    <t>015011080000384</t>
  </si>
  <si>
    <t>1301620000002799</t>
  </si>
  <si>
    <t>Bel Bahadur Gurung</t>
  </si>
  <si>
    <t>Bal Bahadur Gurung</t>
  </si>
  <si>
    <t>Pahal Singh Gurung</t>
  </si>
  <si>
    <t>21</t>
  </si>
  <si>
    <t>02401000000073801662</t>
  </si>
  <si>
    <t>1301260002716693</t>
  </si>
  <si>
    <t>RABIN BHANDARI</t>
  </si>
  <si>
    <t>RAJESH BHANDARI/SHIBAJALA BHANDARI</t>
  </si>
  <si>
    <t>BHIM BAHADUR BHANDARI</t>
  </si>
  <si>
    <t>71017802479</t>
  </si>
  <si>
    <t>0010238621400018</t>
  </si>
  <si>
    <t>1301530000170217</t>
  </si>
  <si>
    <t>Sandesh Pathak</t>
  </si>
  <si>
    <t>Krishna Prasad Pathak</t>
  </si>
  <si>
    <t>Gehakant Pathak</t>
  </si>
  <si>
    <t>167875</t>
  </si>
  <si>
    <t>1910017505255</t>
  </si>
  <si>
    <t>1301370000353817</t>
  </si>
  <si>
    <t>Rajan Dahal</t>
  </si>
  <si>
    <t>Ram Prasad Dahal</t>
  </si>
  <si>
    <t>Devi Prasad Dahal</t>
  </si>
  <si>
    <t>147487</t>
  </si>
  <si>
    <t>07SB036847NPR001</t>
  </si>
  <si>
    <t>1301090003435787</t>
  </si>
  <si>
    <t>UMESH DAHAL</t>
  </si>
  <si>
    <t>YANENDRA KUMAR DAHAL</t>
  </si>
  <si>
    <t>SASHIDHAR DAHAL</t>
  </si>
  <si>
    <t>141045/125000</t>
  </si>
  <si>
    <t>02619125230</t>
  </si>
  <si>
    <t>1301570000279301</t>
  </si>
  <si>
    <t>PRADIP THAPA</t>
  </si>
  <si>
    <t>RAJESH THAPA CHHETRI/MAILI THAPA</t>
  </si>
  <si>
    <t>AMRITA BISTA THAPA/RAMGOPAL THAPA CHHETRI</t>
  </si>
  <si>
    <t>29-01-067-02100</t>
  </si>
  <si>
    <t>04701000685358000001</t>
  </si>
  <si>
    <t>1301370001418550</t>
  </si>
  <si>
    <t>Sanjit Tharu</t>
  </si>
  <si>
    <t>Maghe Tharu</t>
  </si>
  <si>
    <t>Chheduwa Tharu</t>
  </si>
  <si>
    <t>083009/33</t>
  </si>
  <si>
    <t>7187000995652401</t>
  </si>
  <si>
    <t>1301100003069218</t>
  </si>
  <si>
    <t>SHRESTA GHIMIRE</t>
  </si>
  <si>
    <t>RAMMANI GHIMIRE/SHANTA GHIMIRE</t>
  </si>
  <si>
    <t>DINANATH GHIMIRE</t>
  </si>
  <si>
    <t>271060/115927</t>
  </si>
  <si>
    <t>0270228569300013</t>
  </si>
  <si>
    <t>1301090002590747</t>
  </si>
  <si>
    <t>DEVI MAYA MAGAR RAI</t>
  </si>
  <si>
    <t>THAMAN SINGH MAGAR</t>
  </si>
  <si>
    <t>121028/542</t>
  </si>
  <si>
    <t>01615597520</t>
  </si>
  <si>
    <t>1301760001017075</t>
  </si>
  <si>
    <t>MANOJ KUMAR RANABHAT</t>
  </si>
  <si>
    <t>PURNA BAHADUR RANABHAT / BHAGIRATHI RANABHAT</t>
  </si>
  <si>
    <t>KHIM BAHADUR RANABHAT</t>
  </si>
  <si>
    <t>128549</t>
  </si>
  <si>
    <t>00810901093316000001</t>
  </si>
  <si>
    <t>1301580001975705</t>
  </si>
  <si>
    <t>MANISHA KARKI</t>
  </si>
  <si>
    <t>TARA BAHADUR KARKI / NAEEL KUMARI KARKI</t>
  </si>
  <si>
    <t>24-01-79-03186</t>
  </si>
  <si>
    <t>005011100001633</t>
  </si>
  <si>
    <t>1301060002819624</t>
  </si>
  <si>
    <t>SUSMITA BANIYA</t>
  </si>
  <si>
    <t>HEM BAHADUR BANIYA</t>
  </si>
  <si>
    <t>DAMBAR BAHADUR BANIYA</t>
  </si>
  <si>
    <t>75-02-74-01261</t>
  </si>
  <si>
    <t>02005050032258</t>
  </si>
  <si>
    <t>1301090004360069</t>
  </si>
  <si>
    <t>SUMAN BASNET</t>
  </si>
  <si>
    <t>YAM BAHADUR BASNET</t>
  </si>
  <si>
    <t>NARA BAHADUR BASNET</t>
  </si>
  <si>
    <t>24-01-75-06436</t>
  </si>
  <si>
    <t>55500921300</t>
  </si>
  <si>
    <t>1301790000600081</t>
  </si>
  <si>
    <t>LAXMAN PANDEY</t>
  </si>
  <si>
    <t>YEK DEV PANDEY/TULSA DEVI PANDEY</t>
  </si>
  <si>
    <t>39-01-69-02062</t>
  </si>
  <si>
    <t>02411500571338000001</t>
  </si>
  <si>
    <t>1301060000897139</t>
  </si>
  <si>
    <t>AVATAR VERMA</t>
  </si>
  <si>
    <t>RAM LAKHAN VERMA</t>
  </si>
  <si>
    <t>GOMATI SUNAR</t>
  </si>
  <si>
    <t>2/08/59943</t>
  </si>
  <si>
    <t>01305050145251</t>
  </si>
  <si>
    <t>1301370003283554</t>
  </si>
  <si>
    <t>USHA NEPAL</t>
  </si>
  <si>
    <t>SHIVA PRASAD NEPAL</t>
  </si>
  <si>
    <t>INDRA PRASAD NEPAL</t>
  </si>
  <si>
    <t>33-01-71-00677</t>
  </si>
  <si>
    <t>2615751151102001</t>
  </si>
  <si>
    <t>1301600000641941</t>
  </si>
  <si>
    <t>RAMA THING</t>
  </si>
  <si>
    <t>SHREEMAN MOKTAN/BHADRA MAYA MOKTAN</t>
  </si>
  <si>
    <t>GOVINDA THING/BUDDHIMAN MOKTAN</t>
  </si>
  <si>
    <t>30-3074/219</t>
  </si>
  <si>
    <t>3517031693100018</t>
  </si>
  <si>
    <t>1301250000864210</t>
  </si>
  <si>
    <t>KHUM LAL SHARMA</t>
  </si>
  <si>
    <t>RUPLAL JAISHI/NAINA SARA JAISHI</t>
  </si>
  <si>
    <t>BALU JAISHI</t>
  </si>
  <si>
    <t>65-01-70-01021</t>
  </si>
  <si>
    <t>02411020193328000001</t>
  </si>
  <si>
    <t>1301040000635485</t>
  </si>
  <si>
    <t>BIBEK SAPKOTA</t>
  </si>
  <si>
    <t>DEEP BAHADUR SAPKOTA</t>
  </si>
  <si>
    <t>KULA BAHADUR SAPKOTA</t>
  </si>
  <si>
    <t>30-01-71-05106</t>
  </si>
  <si>
    <t>09810017529152</t>
  </si>
  <si>
    <t>1301440000213835</t>
  </si>
  <si>
    <t>Rabi Krishna Rai</t>
  </si>
  <si>
    <t>Bal Krishna Rai</t>
  </si>
  <si>
    <t>Hasta Bahadur Rai</t>
  </si>
  <si>
    <t>84412</t>
  </si>
  <si>
    <t>03309105017044</t>
  </si>
  <si>
    <t>1301730001919886</t>
  </si>
  <si>
    <t>BALDEV BHATT</t>
  </si>
  <si>
    <t>KALUDATTBHATT/KALAWATIBHATT</t>
  </si>
  <si>
    <t>PRATAVBHATT</t>
  </si>
  <si>
    <t>54065</t>
  </si>
  <si>
    <t>13005300002042</t>
  </si>
  <si>
    <t>1301080001193184</t>
  </si>
  <si>
    <t>BISHNU TAMANG</t>
  </si>
  <si>
    <t>IMAN SINGH TAMANG/PHULMAYA TAMANG</t>
  </si>
  <si>
    <t>241062/31</t>
  </si>
  <si>
    <t>01800504200989</t>
  </si>
  <si>
    <t>1301100000190751</t>
  </si>
  <si>
    <t>SANJIV LUINTEL</t>
  </si>
  <si>
    <t>BISHNU PRASAD LUINTEL</t>
  </si>
  <si>
    <t>BADRI NATH  LUINTEL</t>
  </si>
  <si>
    <t>1504</t>
  </si>
  <si>
    <t>8110017500440</t>
  </si>
  <si>
    <t>1301280000278582</t>
  </si>
  <si>
    <t>KRIYANSH KHAREL</t>
  </si>
  <si>
    <t>KISHOR KHAREL</t>
  </si>
  <si>
    <t>GANGA DHAR KHAREL</t>
  </si>
  <si>
    <t>2079091012858</t>
  </si>
  <si>
    <t>01910017524906</t>
  </si>
  <si>
    <t>1301080000389201</t>
  </si>
  <si>
    <t>BHUPENDRA RAWAL</t>
  </si>
  <si>
    <t>BHIM BAHADUR RAWAL</t>
  </si>
  <si>
    <t>YATU RAWAL</t>
  </si>
  <si>
    <t>562007/151</t>
  </si>
  <si>
    <t>RUKUM (PURBA)</t>
  </si>
  <si>
    <t>00100501226247</t>
  </si>
  <si>
    <t>1301090000195113</t>
  </si>
  <si>
    <t>NAGENDRA PRASAD ACHARYA</t>
  </si>
  <si>
    <t>DILLI PRASAD ACHARYA</t>
  </si>
  <si>
    <t>MITRA LAL ACHARYA</t>
  </si>
  <si>
    <t>707</t>
  </si>
  <si>
    <t>03017976570</t>
  </si>
  <si>
    <t>1301610001728569</t>
  </si>
  <si>
    <t>JANAK GAIRE</t>
  </si>
  <si>
    <t>SALIKRAM GAIRE</t>
  </si>
  <si>
    <t>BHUWANANDA GAIRE</t>
  </si>
  <si>
    <t>41017503635</t>
  </si>
  <si>
    <t>0440075842600014</t>
  </si>
  <si>
    <t>1301230000271412</t>
  </si>
  <si>
    <t>Homnath Khatiwada</t>
  </si>
  <si>
    <t>Benu Prasad Khatiwada/ Goma Devi</t>
  </si>
  <si>
    <t>Kalpana Khatiwada/ Brahmalal Khatiwada</t>
  </si>
  <si>
    <t>41850</t>
  </si>
  <si>
    <t>19707010049489</t>
  </si>
  <si>
    <t>1301370005094622</t>
  </si>
  <si>
    <t>SHREE KRISHNA KHADKA</t>
  </si>
  <si>
    <t>RAMESH KHADKA</t>
  </si>
  <si>
    <t>DAMBAR BAHADUR KHADKA</t>
  </si>
  <si>
    <t>29-01-069-02004</t>
  </si>
  <si>
    <t>0268750712459001</t>
  </si>
  <si>
    <t>1301370007708632</t>
  </si>
  <si>
    <t>MANISHA BELBASE</t>
  </si>
  <si>
    <t>RISHI RAJ BELBASE</t>
  </si>
  <si>
    <t>DEVI PRASAD BELBASE</t>
  </si>
  <si>
    <t>52-06-79-02295</t>
  </si>
  <si>
    <t>2495753175752001</t>
  </si>
  <si>
    <t>1301670000097425</t>
  </si>
  <si>
    <t>RAM SUNDAR DUWAL</t>
  </si>
  <si>
    <t>LAXMI NARAYAN DUWAL/GYAN KUMARI DUWAL</t>
  </si>
  <si>
    <t>PRABHA DUWAL/HARKALAL DUWAL</t>
  </si>
  <si>
    <t>14913</t>
  </si>
  <si>
    <t>04912100251656000012</t>
  </si>
  <si>
    <t>1301110000685589</t>
  </si>
  <si>
    <t>ashok kumar gupta</t>
  </si>
  <si>
    <t>ram ekwal prasad</t>
  </si>
  <si>
    <t>bilash shah</t>
  </si>
  <si>
    <t>349</t>
  </si>
  <si>
    <t>03407010039734</t>
  </si>
  <si>
    <t>1301120000374370</t>
  </si>
  <si>
    <t>Narayan Prasad Pokhrel</t>
  </si>
  <si>
    <t>Jayram Pokhrel</t>
  </si>
  <si>
    <t>Balibhadra Pokhrel/Saraswati Khanal</t>
  </si>
  <si>
    <t>12274/3639</t>
  </si>
  <si>
    <t>0040005565700017</t>
  </si>
  <si>
    <t>1301040002287801</t>
  </si>
  <si>
    <t>GYAN DEV RAY DANUWAR</t>
  </si>
  <si>
    <t>RAJ NARAYAN RAY DANUWAR/KAUSHILY DEVI RAY DANUWAR</t>
  </si>
  <si>
    <t>PRAMILA RAY DANUWAR /THAKAI RAY DANUWAR</t>
  </si>
  <si>
    <t>81133301</t>
  </si>
  <si>
    <t>15810017501129</t>
  </si>
  <si>
    <t>1301040003021266</t>
  </si>
  <si>
    <t>PRAMIT SHRESTHA</t>
  </si>
  <si>
    <t>PRAGUN SHRESTHA</t>
  </si>
  <si>
    <t>PURNA  RAM SHRESTHA</t>
  </si>
  <si>
    <t>34</t>
  </si>
  <si>
    <t>05010017517066</t>
  </si>
  <si>
    <t>1301040003021515</t>
  </si>
  <si>
    <t>PRAMIL SHRESTHA</t>
  </si>
  <si>
    <t>PRAGUN  SHRESTHA</t>
  </si>
  <si>
    <t>2073011402935</t>
  </si>
  <si>
    <t>05010017517068</t>
  </si>
  <si>
    <t>1301250001225994</t>
  </si>
  <si>
    <t>AKRITI BHATTA</t>
  </si>
  <si>
    <t>RISHI BHATTA/TARA DEVI BHATTA</t>
  </si>
  <si>
    <t>GOKARNA PARSAD BHATTA</t>
  </si>
  <si>
    <t>44-01-77-01051</t>
  </si>
  <si>
    <t>02722300733372000001</t>
  </si>
  <si>
    <t>1301690000693439</t>
  </si>
  <si>
    <t>PRATIMA KUMARI</t>
  </si>
  <si>
    <t>YOGENDRA PANDIT KUMHAR/SUNAINA DEVI</t>
  </si>
  <si>
    <t>RUP NARAYAN PANDIT/SANJAY KUMAR PRAJAPTI</t>
  </si>
  <si>
    <t>34-01-75-02656</t>
  </si>
  <si>
    <t>02901000000781001679</t>
  </si>
  <si>
    <t>1301580001119564</t>
  </si>
  <si>
    <t>ARYAN KUMAR PRAJAPATI</t>
  </si>
  <si>
    <t>SANJAY KUMAR PRAJAPATI/PRATIMA KUMARI</t>
  </si>
  <si>
    <t>LAXMAN PRASAD KUMHAR</t>
  </si>
  <si>
    <t>77</t>
  </si>
  <si>
    <t>021011080000543</t>
  </si>
  <si>
    <t>1301310000002154</t>
  </si>
  <si>
    <t>DHANKUMARI SITAULA</t>
  </si>
  <si>
    <t>DILLI RAM SITAULA</t>
  </si>
  <si>
    <t>MUKUND SITAULA</t>
  </si>
  <si>
    <t>0469120839</t>
  </si>
  <si>
    <t>2814079382524001</t>
  </si>
  <si>
    <t>1301650001697772</t>
  </si>
  <si>
    <t>MANOJ BISWOKARMA</t>
  </si>
  <si>
    <t>PARBATI MAYA BISWOKARMA</t>
  </si>
  <si>
    <t>KABILAL BISWOKARMA/</t>
  </si>
  <si>
    <t>0410331172</t>
  </si>
  <si>
    <t>2140100028068010</t>
  </si>
  <si>
    <t>1301090001957758</t>
  </si>
  <si>
    <t>GYAN KAJI TAMANG</t>
  </si>
  <si>
    <t>LAL KAJI TAMANG</t>
  </si>
  <si>
    <t>JUDDHA LAL TAMANG</t>
  </si>
  <si>
    <t>223009/88</t>
  </si>
  <si>
    <t>02415264674</t>
  </si>
  <si>
    <t>1301170001714108</t>
  </si>
  <si>
    <t>BIKASH NEPALI</t>
  </si>
  <si>
    <t>KRISHNA BAHADUR NEPALI</t>
  </si>
  <si>
    <t>44441023/548</t>
  </si>
  <si>
    <t>0590100000728032</t>
  </si>
  <si>
    <t>1301120005052507</t>
  </si>
  <si>
    <t>SHIVA BAHADUR KHATRI</t>
  </si>
  <si>
    <t>GOVINDA BAHADUR KHATRI</t>
  </si>
  <si>
    <t>50766</t>
  </si>
  <si>
    <t>03607010033983</t>
  </si>
  <si>
    <t>1301060003004884</t>
  </si>
  <si>
    <t>JITENDRA KUMAR RAY</t>
  </si>
  <si>
    <t>DEV NARAYAN RAY</t>
  </si>
  <si>
    <t>ACHHE LAL RAY</t>
  </si>
  <si>
    <t>81136061</t>
  </si>
  <si>
    <t>01405050253994</t>
  </si>
  <si>
    <t>1301370002300174</t>
  </si>
  <si>
    <t>JWALA SHRESTHA</t>
  </si>
  <si>
    <t>SHYAM PRASAD SHRESTHA</t>
  </si>
  <si>
    <t>39-01-73-06198</t>
  </si>
  <si>
    <t>1875750731340001</t>
  </si>
  <si>
    <t>1301310000193383</t>
  </si>
  <si>
    <t>ANITA SINGH</t>
  </si>
  <si>
    <t>AKHILESHOR PRASAD SINGH/ PRABHAWATI SINGH</t>
  </si>
  <si>
    <t>BISHNUDEV SINGH</t>
  </si>
  <si>
    <t>08151281</t>
  </si>
  <si>
    <t>0400027578100011</t>
  </si>
  <si>
    <t>1301610001642331</t>
  </si>
  <si>
    <t>AARUSHI SINGH</t>
  </si>
  <si>
    <t>AMBIKA PRASAD SHARMA</t>
  </si>
  <si>
    <t>AGAMLAL SUPIHAR</t>
  </si>
  <si>
    <t>19017310835</t>
  </si>
  <si>
    <t>0400048555200017</t>
  </si>
  <si>
    <t>1301100000214902</t>
  </si>
  <si>
    <t>KIRAN DHUNGANA</t>
  </si>
  <si>
    <t>KUMAR DHUNGANA</t>
  </si>
  <si>
    <t>KUL PARASAD DHUNGANA</t>
  </si>
  <si>
    <t>271050/23210</t>
  </si>
  <si>
    <t>00115163440</t>
  </si>
  <si>
    <t>1301130000063903</t>
  </si>
  <si>
    <t>PAWAN THAPA</t>
  </si>
  <si>
    <t>JAYARAM THAPA</t>
  </si>
  <si>
    <t>RUDRA BD THAPA</t>
  </si>
  <si>
    <t>5225</t>
  </si>
  <si>
    <t>32607010003143</t>
  </si>
  <si>
    <t>1301360000005623</t>
  </si>
  <si>
    <t>KHAGENDRA BAHADUR JOSHI</t>
  </si>
  <si>
    <t>SHER BAHADUR JOSHI</t>
  </si>
  <si>
    <t>RAJ KUMAR JOSHI</t>
  </si>
  <si>
    <t>8327</t>
  </si>
  <si>
    <t>2987865864524001</t>
  </si>
  <si>
    <t>1301600000066515</t>
  </si>
  <si>
    <t>JANAK KUMAR RAI</t>
  </si>
  <si>
    <t>JOKH MAN RAI</t>
  </si>
  <si>
    <t>JARE RAI</t>
  </si>
  <si>
    <t>768/4003</t>
  </si>
  <si>
    <t>3097022549500018</t>
  </si>
  <si>
    <t>1301470000029357</t>
  </si>
  <si>
    <t>SHYAM SHRESTHA</t>
  </si>
  <si>
    <t>SHYAM LAL SHRESTHA</t>
  </si>
  <si>
    <t>KRISHNA DAS SHRESTHA</t>
  </si>
  <si>
    <t>701/4525</t>
  </si>
  <si>
    <t>4810017500676</t>
  </si>
  <si>
    <t>1301650001215382</t>
  </si>
  <si>
    <t>NIROJ THAPA</t>
  </si>
  <si>
    <t>KUMAR THAPA</t>
  </si>
  <si>
    <t>KHADGA BAHADUR THAPA/</t>
  </si>
  <si>
    <t>441030889</t>
  </si>
  <si>
    <t>1120100024380010</t>
  </si>
  <si>
    <t>1301170000051155</t>
  </si>
  <si>
    <t>ARGAV LAMSAL</t>
  </si>
  <si>
    <t>RADHESHYAM LAMSAL</t>
  </si>
  <si>
    <t>BISHNU PRASAD LAMSAL</t>
  </si>
  <si>
    <t>11000</t>
  </si>
  <si>
    <t>0070100000101024</t>
  </si>
  <si>
    <t>1301090000071319</t>
  </si>
  <si>
    <t>RACHANA SHAKYA</t>
  </si>
  <si>
    <t>NARAYAN SHAKYA</t>
  </si>
  <si>
    <t>DEVRAJ SHAKYA</t>
  </si>
  <si>
    <t>44724/066/67</t>
  </si>
  <si>
    <t>04111200205500000001</t>
  </si>
  <si>
    <t>1301220000005958</t>
  </si>
  <si>
    <t>ABINASH KHANAL</t>
  </si>
  <si>
    <t>KESHAB PRASAD KHANAL</t>
  </si>
  <si>
    <t>CHHABI LAL KHANAL</t>
  </si>
  <si>
    <t>1026/96761</t>
  </si>
  <si>
    <t>09005080069700</t>
  </si>
  <si>
    <t>1301090002939094</t>
  </si>
  <si>
    <t>RAHUL PRASAD KASAUDHAN</t>
  </si>
  <si>
    <t>RAM LAUTAN KASAUDHAN/SHAKUNTALA DEVI KASAUDHAN</t>
  </si>
  <si>
    <t>SHALIK RAM KASAUDHAN</t>
  </si>
  <si>
    <t>38-01-76-03269</t>
  </si>
  <si>
    <t>02716654354</t>
  </si>
  <si>
    <t>1301220000005981</t>
  </si>
  <si>
    <t>ISWARI NEUPANE KHANAL</t>
  </si>
  <si>
    <t>DANDAPANI NEUPANE</t>
  </si>
  <si>
    <t>82813</t>
  </si>
  <si>
    <t>09005080069687</t>
  </si>
  <si>
    <t>1301650002012157</t>
  </si>
  <si>
    <t>BHUPESH THAPA</t>
  </si>
  <si>
    <t>1120101034899010</t>
  </si>
  <si>
    <t>1301100000552899</t>
  </si>
  <si>
    <t>RUKMINA DHAKAL</t>
  </si>
  <si>
    <t>MOHANRAJ DHAKAL</t>
  </si>
  <si>
    <t>NANDARAM DHAKAL/LEKHNATH DHAKAL</t>
  </si>
  <si>
    <t>063019/3819</t>
  </si>
  <si>
    <t>06320600331103000001</t>
  </si>
  <si>
    <t>1301060001502291</t>
  </si>
  <si>
    <t>PRACHIT THAPA</t>
  </si>
  <si>
    <t>PRADEEP THAPA</t>
  </si>
  <si>
    <t>2070081500036</t>
  </si>
  <si>
    <t>03005150256735</t>
  </si>
  <si>
    <t>1301080000028090</t>
  </si>
  <si>
    <t>SAMJHANA SHARMA  ACHARYA</t>
  </si>
  <si>
    <t>MATRIKA PRASAD ACHARYA</t>
  </si>
  <si>
    <t>PURNA PRASAD ACHARYA</t>
  </si>
  <si>
    <t>12946</t>
  </si>
  <si>
    <t>0010002837600011</t>
  </si>
  <si>
    <t>1301060001502287</t>
  </si>
  <si>
    <t>SUPRIYA THAPA</t>
  </si>
  <si>
    <t>1600162</t>
  </si>
  <si>
    <t>03005150256742</t>
  </si>
  <si>
    <t>1301010000350286</t>
  </si>
  <si>
    <t>SUMAN PRASAD RANA</t>
  </si>
  <si>
    <t>HARILAL RANA</t>
  </si>
  <si>
    <t>SHIWALAL RANA</t>
  </si>
  <si>
    <t>551188/1931</t>
  </si>
  <si>
    <t>23549889990014</t>
  </si>
  <si>
    <t>1301520000087972</t>
  </si>
  <si>
    <t>PRABIN RAI</t>
  </si>
  <si>
    <t>UTTRA DHAN RAI</t>
  </si>
  <si>
    <t>AAGMAN RAI</t>
  </si>
  <si>
    <t>111012/114</t>
  </si>
  <si>
    <t>0010017296700001</t>
  </si>
  <si>
    <t>1301060003114513</t>
  </si>
  <si>
    <t>LEKH BAHADUR GHARTI</t>
  </si>
  <si>
    <t>PREM BAHADUR GHARTI/DEVI GHARTI</t>
  </si>
  <si>
    <t>CHINTA BAHADUR GHARTI</t>
  </si>
  <si>
    <t>423062/409</t>
  </si>
  <si>
    <t>22605050250597</t>
  </si>
  <si>
    <t>1301650002058798</t>
  </si>
  <si>
    <t>KUNDAN THAPALIYA</t>
  </si>
  <si>
    <t>KEDAR THAPALIYA</t>
  </si>
  <si>
    <t>SOMRAJ THAPALIYA</t>
  </si>
  <si>
    <t>2074052311639</t>
  </si>
  <si>
    <t>1360100034376010</t>
  </si>
  <si>
    <t>1301060002348391</t>
  </si>
  <si>
    <t>HEMRAJ POUDEL</t>
  </si>
  <si>
    <t>PURUSHOTTAM POUDEL</t>
  </si>
  <si>
    <t>TIRTHARAJ POUDEL</t>
  </si>
  <si>
    <t>20549960950017</t>
  </si>
  <si>
    <t>1301040002955328</t>
  </si>
  <si>
    <t>SAMRAT BELBASE</t>
  </si>
  <si>
    <t>YAJNAYA PRASAD BELBASE</t>
  </si>
  <si>
    <t>LALMANI BELBASE</t>
  </si>
  <si>
    <t>2081060106109</t>
  </si>
  <si>
    <t>01310017515501</t>
  </si>
  <si>
    <t>1301650002058804</t>
  </si>
  <si>
    <t>KRITIKA THAPALIYA</t>
  </si>
  <si>
    <t>2068081904034</t>
  </si>
  <si>
    <t>1360100034377010</t>
  </si>
  <si>
    <t>1301550000088589</t>
  </si>
  <si>
    <t>SHREEHARI SUBEDI</t>
  </si>
  <si>
    <t>LAXMAN PRASAD SUBEDI</t>
  </si>
  <si>
    <t>BISHNU PRASAD SUBEDI</t>
  </si>
  <si>
    <t>93135</t>
  </si>
  <si>
    <t>00405100001858</t>
  </si>
  <si>
    <t>1301370000355658</t>
  </si>
  <si>
    <t>Prem Prasad Sharma</t>
  </si>
  <si>
    <t>Hari Lal Jaisi</t>
  </si>
  <si>
    <t>Shree Ballav Jaisi</t>
  </si>
  <si>
    <t>03/1606</t>
  </si>
  <si>
    <t>4169463706524001</t>
  </si>
  <si>
    <t>1301260000682632</t>
  </si>
  <si>
    <t>NIRAJ AWASTHI</t>
  </si>
  <si>
    <t>NAV RAJ AWASTHI/LAXMI AWASTHI</t>
  </si>
  <si>
    <t>LAXMI KANT AWASTHI</t>
  </si>
  <si>
    <t>75-01-74-12129</t>
  </si>
  <si>
    <t>1810169838400012</t>
  </si>
  <si>
    <t>1301090000451760</t>
  </si>
  <si>
    <t>DIPESH GURUNG</t>
  </si>
  <si>
    <t>DINESH GURUNG</t>
  </si>
  <si>
    <t>RIKCHE GURUNG</t>
  </si>
  <si>
    <t>27-01-78-09715</t>
  </si>
  <si>
    <t>01615229783</t>
  </si>
  <si>
    <t>1301370004076956</t>
  </si>
  <si>
    <t>SANGITA THAPA MAGAR</t>
  </si>
  <si>
    <t>DEVENDRA BAHADUR THAPA MAGAR</t>
  </si>
  <si>
    <t>BHIMSEN BAHADUR THAPA MAGAR</t>
  </si>
  <si>
    <t>26-01-73-10305</t>
  </si>
  <si>
    <t>0887792137524001</t>
  </si>
  <si>
    <t>1301320000001432</t>
  </si>
  <si>
    <t>Navin Shrestha</t>
  </si>
  <si>
    <t>Karuna Govinda Shrestha</t>
  </si>
  <si>
    <t>Indra Govinda Shrestha</t>
  </si>
  <si>
    <t>9332</t>
  </si>
  <si>
    <t>001000000900L</t>
  </si>
  <si>
    <t>1301120000932785</t>
  </si>
  <si>
    <t>KRISHNA BAHADUR KC</t>
  </si>
  <si>
    <t>JIB LAL</t>
  </si>
  <si>
    <t>NARSING</t>
  </si>
  <si>
    <t>4015011/509/250</t>
  </si>
  <si>
    <t>03807010007894</t>
  </si>
  <si>
    <t>1301310000002325</t>
  </si>
  <si>
    <t>ACHYUT KUMAR THAPA</t>
  </si>
  <si>
    <t>KOMAL BAHADUR THAPA</t>
  </si>
  <si>
    <t>LALIT BAHADUR THAPA</t>
  </si>
  <si>
    <t>5988</t>
  </si>
  <si>
    <t>50214109085</t>
  </si>
  <si>
    <t>1301060000103832</t>
  </si>
  <si>
    <t>ANAMOL RATNA JOSHI</t>
  </si>
  <si>
    <t>GANESH DAS JOSHI</t>
  </si>
  <si>
    <t>PRAMILA JOSHI</t>
  </si>
  <si>
    <t>2093</t>
  </si>
  <si>
    <t>00405080266192</t>
  </si>
  <si>
    <t>1301040002512632</t>
  </si>
  <si>
    <t>CHANDAN CHAUDHARY</t>
  </si>
  <si>
    <t>AMRIT LAL CHAUDHARY/MUHANI DEVI CHAUDHARY</t>
  </si>
  <si>
    <t>/NANI LAL CHAUDHARY</t>
  </si>
  <si>
    <t>16-01-78-04052</t>
  </si>
  <si>
    <t>09810017524917</t>
  </si>
  <si>
    <t>1301690000556961</t>
  </si>
  <si>
    <t>SOBIT KHADKA</t>
  </si>
  <si>
    <t>HEM BAHADUR KHADKA/DEVI MAYA KHADKA</t>
  </si>
  <si>
    <t>DILLI BAHADUR KHADKA</t>
  </si>
  <si>
    <t>071022/1152</t>
  </si>
  <si>
    <t>05101000000006301676</t>
  </si>
  <si>
    <t>1301060001553748</t>
  </si>
  <si>
    <t>SAGAR ACHARYA</t>
  </si>
  <si>
    <t>RISHIRAM ACHARYA</t>
  </si>
  <si>
    <t>MOTILAL ACHARYA</t>
  </si>
  <si>
    <t>46-01-73-02084</t>
  </si>
  <si>
    <t>04205080259835</t>
  </si>
  <si>
    <t>1301610000771343</t>
  </si>
  <si>
    <t>YOGENDRA RAI</t>
  </si>
  <si>
    <t>BIRKHA RAJ RAI</t>
  </si>
  <si>
    <t>DHAN BAHADUR RAI</t>
  </si>
  <si>
    <t>15846</t>
  </si>
  <si>
    <t>0210009864400011</t>
  </si>
  <si>
    <t>1301040001881886</t>
  </si>
  <si>
    <t>YUBARAJ GHARTI MAGAR</t>
  </si>
  <si>
    <t>SAMUNDRA GHARTI MAGAR/PREM KUMARI GHARTI MAGAR</t>
  </si>
  <si>
    <t>/MAN BAHADUR GHARTI MAGAR</t>
  </si>
  <si>
    <t>562016/382</t>
  </si>
  <si>
    <t>2610017505208</t>
  </si>
  <si>
    <t>1301170002058662</t>
  </si>
  <si>
    <t>BIRENDRA GUPTA</t>
  </si>
  <si>
    <t>BIJAY KUMAR SAH/BINA DEVI</t>
  </si>
  <si>
    <t>SHIVJI SAH JANAKPURI/NITU KUMARI GUPTA</t>
  </si>
  <si>
    <t>181013-193</t>
  </si>
  <si>
    <t>0960100002304045</t>
  </si>
  <si>
    <t>1301370005504595</t>
  </si>
  <si>
    <t>PURNA TAMANG</t>
  </si>
  <si>
    <t>GUNJAMAN TAMANG</t>
  </si>
  <si>
    <t>30-01-71-06924</t>
  </si>
  <si>
    <t>1887970930852401</t>
  </si>
  <si>
    <t>1301570001178163</t>
  </si>
  <si>
    <t>BIDUR KHAREL</t>
  </si>
  <si>
    <t>GHANASHYAM KHAREL</t>
  </si>
  <si>
    <t>BISHNULAL KHAREL</t>
  </si>
  <si>
    <t>8524398</t>
  </si>
  <si>
    <t>14713307824941000001</t>
  </si>
  <si>
    <t>1301550000038138</t>
  </si>
  <si>
    <t>PANAB BHANDARI</t>
  </si>
  <si>
    <t>PREM BAHADUR BHANDARI</t>
  </si>
  <si>
    <t>MIN BAHADUR BHANDARI</t>
  </si>
  <si>
    <t>1200085602000018</t>
  </si>
  <si>
    <t>1301780000029949</t>
  </si>
  <si>
    <t>HIRENDRA BAHADUR BUDHA</t>
  </si>
  <si>
    <t>BAL BAHADUR BUDHA/UJJALA DEVI BUDHA</t>
  </si>
  <si>
    <t>DHAN SINGH BUDHA</t>
  </si>
  <si>
    <t>70-01-75-00696</t>
  </si>
  <si>
    <t>12910017501922</t>
  </si>
  <si>
    <t>1301060001252171</t>
  </si>
  <si>
    <t>UTSAH AMATYA</t>
  </si>
  <si>
    <t>UMESH MAN AMATYA</t>
  </si>
  <si>
    <t>AMRIT MAN AMATYA</t>
  </si>
  <si>
    <t>01905150044864</t>
  </si>
  <si>
    <t>1301070001723967</t>
  </si>
  <si>
    <t>Ramita Lama</t>
  </si>
  <si>
    <t>Santa Bahadur Thokar</t>
  </si>
  <si>
    <t>Dhan Bahadur Thokar</t>
  </si>
  <si>
    <t>31-01-69-08395</t>
  </si>
  <si>
    <t>01823010930</t>
  </si>
  <si>
    <t>1301370004987128</t>
  </si>
  <si>
    <t>DEV CHANDRA KUMAR YADAV</t>
  </si>
  <si>
    <t>SHIVSHANKAR YADAV</t>
  </si>
  <si>
    <t>ANUP LAL YADAV</t>
  </si>
  <si>
    <t>15-01-77-00293</t>
  </si>
  <si>
    <t>0525751580025001</t>
  </si>
  <si>
    <t>1301070000081249</t>
  </si>
  <si>
    <t>Sayon Sharma Poudel</t>
  </si>
  <si>
    <t>Bijay Sharma</t>
  </si>
  <si>
    <t>Laxmi Prasad Upadhaya</t>
  </si>
  <si>
    <t>68</t>
  </si>
  <si>
    <t>1130100049207010</t>
  </si>
  <si>
    <t>1301070001846204</t>
  </si>
  <si>
    <t>GOVINDA LIMBU</t>
  </si>
  <si>
    <t>HARKA RAJ LIMBU</t>
  </si>
  <si>
    <t>JASH BAHADUR LIMBU</t>
  </si>
  <si>
    <t>071021/3807</t>
  </si>
  <si>
    <t>02820002353</t>
  </si>
  <si>
    <t>1301650002403101</t>
  </si>
  <si>
    <t>PRABITA RAI</t>
  </si>
  <si>
    <t>HARKA BAHADUR RAI</t>
  </si>
  <si>
    <t>SHREE BAHADUR RAI/-</t>
  </si>
  <si>
    <t>093002368</t>
  </si>
  <si>
    <t>2430100029361010</t>
  </si>
  <si>
    <t>1301120002209245</t>
  </si>
  <si>
    <t>ram bahadur tamang</t>
  </si>
  <si>
    <t>nara bahadur tamang</t>
  </si>
  <si>
    <t>rithu man tamang</t>
  </si>
  <si>
    <t>9826/2623</t>
  </si>
  <si>
    <t>06907010000153</t>
  </si>
  <si>
    <t>1301170000424291</t>
  </si>
  <si>
    <t>BHARAT CHAUDHARY</t>
  </si>
  <si>
    <t>LALAKU CHAUDHARY</t>
  </si>
  <si>
    <t>MUNAR CHAUDHARY</t>
  </si>
  <si>
    <t>4402</t>
  </si>
  <si>
    <t>0080100000818013</t>
  </si>
  <si>
    <t>1301570000135541</t>
  </si>
  <si>
    <t>SUSHIL DHALACHHE SHRESTHA</t>
  </si>
  <si>
    <t>INDRA RAJ DHALACHE/ MENUKA MAYA DHALACHE</t>
  </si>
  <si>
    <t>MITA SHRESTHA/ MOTI CHANDRA DHALACHE</t>
  </si>
  <si>
    <t>136258</t>
  </si>
  <si>
    <t>01501006909566000001</t>
  </si>
  <si>
    <t>1301060000750572</t>
  </si>
  <si>
    <t>SUSHILA DEVI NIRAULA</t>
  </si>
  <si>
    <t>BHUPA MANI NIRAULA</t>
  </si>
  <si>
    <t>DHARMANANDA NIRAULA</t>
  </si>
  <si>
    <t>1214/2649</t>
  </si>
  <si>
    <t>0110045632600015</t>
  </si>
  <si>
    <t>1301060000269306</t>
  </si>
  <si>
    <t>RATNA MAN AMATYA</t>
  </si>
  <si>
    <t>RUDRA MAN AMATYA</t>
  </si>
  <si>
    <t>14603</t>
  </si>
  <si>
    <t>01905020033682</t>
  </si>
  <si>
    <t>1301070001680719</t>
  </si>
  <si>
    <t>Mamta kumari sharma</t>
  </si>
  <si>
    <t>Ramlalan thakur</t>
  </si>
  <si>
    <t>Deban thakur</t>
  </si>
  <si>
    <t>18-01-79-03604</t>
  </si>
  <si>
    <t>2391307526023001</t>
  </si>
  <si>
    <t>1301170001767735</t>
  </si>
  <si>
    <t>ABHIMANDU KOIRALA</t>
  </si>
  <si>
    <t>RAM PRASAD KOIRALA/BIMALA KOIRALA</t>
  </si>
  <si>
    <t>DHANAJAY KOIRALA</t>
  </si>
  <si>
    <t>201020/44</t>
  </si>
  <si>
    <t>0150100000130014</t>
  </si>
  <si>
    <t>1301420000097376</t>
  </si>
  <si>
    <t>KAMAL BAHADUR CHAUHAN</t>
  </si>
  <si>
    <t>RAMESH KUMAR CHAUHAN</t>
  </si>
  <si>
    <t>NARA BAHADUR CHAUHAN</t>
  </si>
  <si>
    <t>576</t>
  </si>
  <si>
    <t>15001006952334000001</t>
  </si>
  <si>
    <t>1301170000584690</t>
  </si>
  <si>
    <t>SUNIL KUMAR MAHATO</t>
  </si>
  <si>
    <t>RAM BIJAY MAHATO</t>
  </si>
  <si>
    <t>SUNDAR MAHATO</t>
  </si>
  <si>
    <t>18-01-70/06750</t>
  </si>
  <si>
    <t>0010100001069011</t>
  </si>
  <si>
    <t>1301650000219212</t>
  </si>
  <si>
    <t>BHAKTA BAHADUR GURUNG</t>
  </si>
  <si>
    <t>107710/3469</t>
  </si>
  <si>
    <t>4080100049667010</t>
  </si>
  <si>
    <t>1301120005359465</t>
  </si>
  <si>
    <t>BIKRAM GURUNG</t>
  </si>
  <si>
    <t>KHUSI MAN GURUNG</t>
  </si>
  <si>
    <t>TEK BAHADUR GURUNG</t>
  </si>
  <si>
    <t>371023234272</t>
  </si>
  <si>
    <t>03307010092117</t>
  </si>
  <si>
    <t>1301100000076888</t>
  </si>
  <si>
    <t>KISHOR RAJ PANT</t>
  </si>
  <si>
    <t>SHYAM RAJ PANT</t>
  </si>
  <si>
    <t>TANK RAJ PANT</t>
  </si>
  <si>
    <t>803/029/030</t>
  </si>
  <si>
    <t>00108300007897000005</t>
  </si>
  <si>
    <t>1301100000575914</t>
  </si>
  <si>
    <t>TARA DHAKAL</t>
  </si>
  <si>
    <t>MOHAN RAJ DHAKAL</t>
  </si>
  <si>
    <t>NANDARAM DHAKAL</t>
  </si>
  <si>
    <t>061019/145235</t>
  </si>
  <si>
    <t>06320400308747000005</t>
  </si>
  <si>
    <t>1301530000228543</t>
  </si>
  <si>
    <t>Haris Chandra Neupane</t>
  </si>
  <si>
    <t>Tara Prasad Neupane/Bhagawati Neupane</t>
  </si>
  <si>
    <t>Khem Kanta Neupane</t>
  </si>
  <si>
    <t>362016/8811</t>
  </si>
  <si>
    <t>14722300710512000001</t>
  </si>
  <si>
    <t>1301370001333517</t>
  </si>
  <si>
    <t>Aarohee Nakarmi</t>
  </si>
  <si>
    <t>Purushotam Nakarmi</t>
  </si>
  <si>
    <t>Shyam Bahadur Nakarmi</t>
  </si>
  <si>
    <t>28-01-71-03450</t>
  </si>
  <si>
    <t>2687963453552401</t>
  </si>
  <si>
    <t>1301060001092099</t>
  </si>
  <si>
    <t>PRIYA BHATTRAI .</t>
  </si>
  <si>
    <t>KESHAR BAHADUR BHATTRAI</t>
  </si>
  <si>
    <t>RABI LAL BHATTRAI</t>
  </si>
  <si>
    <t>64-01-70-03023</t>
  </si>
  <si>
    <t>02205050281096</t>
  </si>
  <si>
    <t>1301070000506684</t>
  </si>
  <si>
    <t>RUPA ADHIKARI</t>
  </si>
  <si>
    <t>KEADR ADHIKARI</t>
  </si>
  <si>
    <t>BALARAM ADHIKARI</t>
  </si>
  <si>
    <t>31320</t>
  </si>
  <si>
    <t>06223002698</t>
  </si>
  <si>
    <t>1301020000234650</t>
  </si>
  <si>
    <t>SURYA NARAYAN SHRESTHA</t>
  </si>
  <si>
    <t>JYAPU KAJI SHRESTHA</t>
  </si>
  <si>
    <t>HARI MAN SHRESTHA /RAMITA KARMACHARYA</t>
  </si>
  <si>
    <t>5576</t>
  </si>
  <si>
    <t>01610029164017</t>
  </si>
  <si>
    <t>1301080000123211</t>
  </si>
  <si>
    <t>SURESH KUMAR KACHHAPATI</t>
  </si>
  <si>
    <t>KESHAB LAL KACHHAPATI</t>
  </si>
  <si>
    <t>BISHNU LAL KACHHAPATI</t>
  </si>
  <si>
    <t>93280</t>
  </si>
  <si>
    <t>00100501219971</t>
  </si>
  <si>
    <t>1301340000005509</t>
  </si>
  <si>
    <t>WISHAD SHRESTHA</t>
  </si>
  <si>
    <t>SHEKHAR CHANDRA SHRESTHA</t>
  </si>
  <si>
    <t>BAL KRISHNA SHRESTHA</t>
  </si>
  <si>
    <t>1060/89557</t>
  </si>
  <si>
    <t>4810017502735</t>
  </si>
  <si>
    <t>1301090000505602</t>
  </si>
  <si>
    <t>SRIJANA SHRESTHA</t>
  </si>
  <si>
    <t>BHAWANI PRASAD RAJBHANDARI</t>
  </si>
  <si>
    <t>GANGA PRASAD RAJBHANDARI / SHAIL SHRESTHA</t>
  </si>
  <si>
    <t>17705</t>
  </si>
  <si>
    <t>00115298424</t>
  </si>
  <si>
    <t>1301550000223752</t>
  </si>
  <si>
    <t>SHAIL RAJ SHRESTHA</t>
  </si>
  <si>
    <t>KHEM RAJ SHRESTHA</t>
  </si>
  <si>
    <t>DILLI MAN SHRESTHA</t>
  </si>
  <si>
    <t>21008</t>
  </si>
  <si>
    <t>05501800143187000002</t>
  </si>
  <si>
    <t>1301060001132255</t>
  </si>
  <si>
    <t>MRITYUNJAYA GURUNG</t>
  </si>
  <si>
    <t>GOPAL GURUNG/ JUN MAYA GURUNG</t>
  </si>
  <si>
    <t>NAND RAM GURUNG</t>
  </si>
  <si>
    <t>661019/1635</t>
  </si>
  <si>
    <t>01505050274937</t>
  </si>
  <si>
    <t>1301650002374960</t>
  </si>
  <si>
    <t>TEMBA BHOTE</t>
  </si>
  <si>
    <t>CHHIPTEMBA BHOTE</t>
  </si>
  <si>
    <t>DORJEE BHOTE/MIKMA RIJEK BHOTE LAMA</t>
  </si>
  <si>
    <t>66401105</t>
  </si>
  <si>
    <t>1420100042763010</t>
  </si>
  <si>
    <t>1301090001375476</t>
  </si>
  <si>
    <t>GAURI KULUNG</t>
  </si>
  <si>
    <t>PARSHU RAM RAI</t>
  </si>
  <si>
    <t>SANA BAHADUR RAI</t>
  </si>
  <si>
    <t>113005-567</t>
  </si>
  <si>
    <t>02415294074</t>
  </si>
  <si>
    <t>1301370000764645</t>
  </si>
  <si>
    <t>Suresh Maharjan</t>
  </si>
  <si>
    <t>Ramesh  Maharjan</t>
  </si>
  <si>
    <t>Mahila Maharjan</t>
  </si>
  <si>
    <t>32277</t>
  </si>
  <si>
    <t>12910017500588</t>
  </si>
  <si>
    <t>1301520002189646</t>
  </si>
  <si>
    <t>PUSPA GAUTAM</t>
  </si>
  <si>
    <t>MITRA LAL GAUTAM / DHAKA GAUTAM</t>
  </si>
  <si>
    <t>LAXMI DHAR GAUTAM</t>
  </si>
  <si>
    <t>501040/684</t>
  </si>
  <si>
    <t>0650188758600001</t>
  </si>
  <si>
    <t>1301170000019955</t>
  </si>
  <si>
    <t>SUKRITI KOIRALA</t>
  </si>
  <si>
    <t>HARIRAM KOIRALA</t>
  </si>
  <si>
    <t>GOVINDA PRASAD KOIRALA</t>
  </si>
  <si>
    <t>13951</t>
  </si>
  <si>
    <t>0010100000023026</t>
  </si>
  <si>
    <t>1301120004893231</t>
  </si>
  <si>
    <t>INDRA BAHADUR RANA</t>
  </si>
  <si>
    <t>JIT BAHADUR RANA/MAN KUMARI RANA</t>
  </si>
  <si>
    <t>PREM BAHADUR RANA/KALPANA PUN RANA</t>
  </si>
  <si>
    <t>36631</t>
  </si>
  <si>
    <t>07007010304467</t>
  </si>
  <si>
    <t>1301370000162982</t>
  </si>
  <si>
    <t>Adrija Acharya</t>
  </si>
  <si>
    <t>Rajendra Kumar Acharya</t>
  </si>
  <si>
    <t>272</t>
  </si>
  <si>
    <t>2169426152524001</t>
  </si>
  <si>
    <t>1301070000108498</t>
  </si>
  <si>
    <t>Jamuna Shrestha Amatya</t>
  </si>
  <si>
    <t>Krishna Man shrestha</t>
  </si>
  <si>
    <t>Suresh Bahadur Amatya</t>
  </si>
  <si>
    <t>62393</t>
  </si>
  <si>
    <t>01823000032</t>
  </si>
  <si>
    <t>1301220000407978</t>
  </si>
  <si>
    <t>TULA RAM GHIMIRE</t>
  </si>
  <si>
    <t>2543/7334</t>
  </si>
  <si>
    <t>17707010001086</t>
  </si>
  <si>
    <t>1301390000015107</t>
  </si>
  <si>
    <t>UNNAT SHRESTHA</t>
  </si>
  <si>
    <t>KESHAV CHANDRA SHRESTHA</t>
  </si>
  <si>
    <t>27-01-75-11688</t>
  </si>
  <si>
    <t>0010000748200013</t>
  </si>
  <si>
    <t>1301370002800392</t>
  </si>
  <si>
    <t>PREM THAPA</t>
  </si>
  <si>
    <t>DHAN KESHAR THAPA</t>
  </si>
  <si>
    <t>CHANDRA SINGH THAPA</t>
  </si>
  <si>
    <t>391054/484</t>
  </si>
  <si>
    <t>9302005187452401</t>
  </si>
  <si>
    <t>1301120003508064</t>
  </si>
  <si>
    <t>RAJU PRASAD ADHIKARI</t>
  </si>
  <si>
    <t>PUSPA RAJ ADHIKARI</t>
  </si>
  <si>
    <t>PADAM LAL ADHIKARI</t>
  </si>
  <si>
    <t>118242</t>
  </si>
  <si>
    <t>03309018101687</t>
  </si>
  <si>
    <t>1301180000008925</t>
  </si>
  <si>
    <t>SAGUN RAJBHANDARY</t>
  </si>
  <si>
    <t>DHURBA LAL RAJBHANDARY</t>
  </si>
  <si>
    <t>REEMA RAJBHANDARY/KRISHNA LAL RAJBHANDARY</t>
  </si>
  <si>
    <t>33637</t>
  </si>
  <si>
    <t>0310035175214001</t>
  </si>
  <si>
    <t>1301520000010862</t>
  </si>
  <si>
    <t>DAMBER BAHADUR GAHA</t>
  </si>
  <si>
    <t>RABI LAL GAHA</t>
  </si>
  <si>
    <t>TARA BAHADUR GAHA</t>
  </si>
  <si>
    <t>11868</t>
  </si>
  <si>
    <t>03307012918217</t>
  </si>
  <si>
    <t>1301390000016873</t>
  </si>
  <si>
    <t>15188</t>
  </si>
  <si>
    <t>0870070455700011</t>
  </si>
  <si>
    <t>1301720000349351</t>
  </si>
  <si>
    <t>ISHWORI CHHETRI</t>
  </si>
  <si>
    <t>KHIM BAHADUR CHHANDRA CHHETRI</t>
  </si>
  <si>
    <t>RUDRA BAHADUR CHHETRI</t>
  </si>
  <si>
    <t>2264/476/044</t>
  </si>
  <si>
    <t>0316401670454017</t>
  </si>
  <si>
    <t>1301180000125990</t>
  </si>
  <si>
    <t>KUL BAHADUR KUNWAR</t>
  </si>
  <si>
    <t>TIKA BAHADUR KUNWAR</t>
  </si>
  <si>
    <t>BHIM BAHADUR KUNWAR/RADHIKA BASNET</t>
  </si>
  <si>
    <t>4213/647</t>
  </si>
  <si>
    <t>00807010000710</t>
  </si>
  <si>
    <t>1301610001496770</t>
  </si>
  <si>
    <t>YAM BAHADUR KARKI</t>
  </si>
  <si>
    <t>BHOLA MAN KARKI</t>
  </si>
  <si>
    <t>PRITHI MAN KARKI</t>
  </si>
  <si>
    <t>10302/1081</t>
  </si>
  <si>
    <t>0470042940900013</t>
  </si>
  <si>
    <t>1301370002324932</t>
  </si>
  <si>
    <t>MAHADEV PURI</t>
  </si>
  <si>
    <t>NANDA LAL PURI</t>
  </si>
  <si>
    <t>PAHAL MAN PURI</t>
  </si>
  <si>
    <t>12 1069/565</t>
  </si>
  <si>
    <t>0600250477692001</t>
  </si>
  <si>
    <t>1301650001472234</t>
  </si>
  <si>
    <t>RAJ KUMAR ACHARYA</t>
  </si>
  <si>
    <t>BHANU BHAKTA ACHARYA</t>
  </si>
  <si>
    <t>BHOJ PRASAD ACHARYA/</t>
  </si>
  <si>
    <t>12017105277</t>
  </si>
  <si>
    <t>2630100002112104</t>
  </si>
  <si>
    <t>1301060002380051</t>
  </si>
  <si>
    <t>RENU PUN</t>
  </si>
  <si>
    <t>TILAK BAHADUR PUN</t>
  </si>
  <si>
    <t>DIL BAHADUR PUN</t>
  </si>
  <si>
    <t>36-01-74-06218</t>
  </si>
  <si>
    <t>03800700443262000001</t>
  </si>
  <si>
    <t>1301650002101061</t>
  </si>
  <si>
    <t>NISHAN TAMANG</t>
  </si>
  <si>
    <t>BISHNU LAL TAMANG</t>
  </si>
  <si>
    <t>SOM BAHADUR TAMANG/</t>
  </si>
  <si>
    <t>21017602850</t>
  </si>
  <si>
    <t>1880100002988010</t>
  </si>
  <si>
    <t>1301100001993637</t>
  </si>
  <si>
    <t>BIBEK RAI</t>
  </si>
  <si>
    <t>MANIBAL RAI</t>
  </si>
  <si>
    <t>100060</t>
  </si>
  <si>
    <t>0600091805600010</t>
  </si>
  <si>
    <t>1301040000071691</t>
  </si>
  <si>
    <t>BEGAM KUMARI SHRESTHA</t>
  </si>
  <si>
    <t>JAGAT BAHADUR SHRESTHA</t>
  </si>
  <si>
    <t>1447</t>
  </si>
  <si>
    <t>4810017503295</t>
  </si>
  <si>
    <t>1301070000447378</t>
  </si>
  <si>
    <t>Nabaraj Ghimire</t>
  </si>
  <si>
    <t>Tanka Prasad Ghimire</t>
  </si>
  <si>
    <t>Ratna Hari Ghimire</t>
  </si>
  <si>
    <t>28417/254</t>
  </si>
  <si>
    <t>03524101291</t>
  </si>
  <si>
    <t>1301120000204719</t>
  </si>
  <si>
    <t>INDIRA POKHAREL SHIWAKOTI</t>
  </si>
  <si>
    <t>KRISHNA PRASAD POKHAREL</t>
  </si>
  <si>
    <t>RAM PRASAD POKHAREL</t>
  </si>
  <si>
    <t>243/8062</t>
  </si>
  <si>
    <t>17310017507005</t>
  </si>
  <si>
    <t>1301070000106676</t>
  </si>
  <si>
    <t>Shiva Bahadur Karki</t>
  </si>
  <si>
    <t>Lal Bahadur Karki</t>
  </si>
  <si>
    <t>Bhuwan Singh Karki</t>
  </si>
  <si>
    <t>13508</t>
  </si>
  <si>
    <t>03SH030934NPR001</t>
  </si>
  <si>
    <t>1301040001847751</t>
  </si>
  <si>
    <t>HIRA PUN THAPA</t>
  </si>
  <si>
    <t>RISHIRAM PUN/RUPA PUN</t>
  </si>
  <si>
    <t>PADAM BAHADUR THAPA/BAL BAHADUR PUN</t>
  </si>
  <si>
    <t>34099</t>
  </si>
  <si>
    <t>01010017512761</t>
  </si>
  <si>
    <t>1301650001618471</t>
  </si>
  <si>
    <t>MOHAN THARU</t>
  </si>
  <si>
    <t>POKHRAJ THARU</t>
  </si>
  <si>
    <t>SIWA SHANKAR THARU /</t>
  </si>
  <si>
    <t>38017302554</t>
  </si>
  <si>
    <t>3360100001566104</t>
  </si>
  <si>
    <t>1301240000757053</t>
  </si>
  <si>
    <t>SAMIP BISHWOKARMA</t>
  </si>
  <si>
    <t>INDRA BAHADUR BISHWOKARMA</t>
  </si>
  <si>
    <t>SUK BAHADUR BISHWOKARMA</t>
  </si>
  <si>
    <t>453057/27</t>
  </si>
  <si>
    <t>0270571096205001</t>
  </si>
  <si>
    <t>1301070000164515</t>
  </si>
  <si>
    <t>Saraswoti Dahal Ghimire</t>
  </si>
  <si>
    <t>Kapil Prasad Dahal</t>
  </si>
  <si>
    <t>Bishnu Prasad Dahal</t>
  </si>
  <si>
    <t>131030/87</t>
  </si>
  <si>
    <t>03524106162</t>
  </si>
  <si>
    <t>1301690001193621</t>
  </si>
  <si>
    <t>INU LAMICHHANE</t>
  </si>
  <si>
    <t>RAJU LAMICHHANE/ISHU MALLA</t>
  </si>
  <si>
    <t>KAMAL PRASAD LAMICHHANE</t>
  </si>
  <si>
    <t>2075012018255</t>
  </si>
  <si>
    <t>00501000000007018176</t>
  </si>
  <si>
    <t>1301100000001283</t>
  </si>
  <si>
    <t>RUNUNOO CHAPAGAIN</t>
  </si>
  <si>
    <t>MEGH BAHADUR KHATRI</t>
  </si>
  <si>
    <t>JAYA PRASAD CHAPAGAIN/DEVI BAHADUR KHATRI</t>
  </si>
  <si>
    <t>1101/033/034</t>
  </si>
  <si>
    <t>0090100000548020</t>
  </si>
  <si>
    <t>1301510000000234</t>
  </si>
  <si>
    <t>ANJITA SINGH K.C. MAHAT</t>
  </si>
  <si>
    <t>KIRENDRA SINGH K.C.</t>
  </si>
  <si>
    <t>BIRENDRA SINGH K.C.</t>
  </si>
  <si>
    <t>22227/42289</t>
  </si>
  <si>
    <t>17310017510823</t>
  </si>
  <si>
    <t>1301510000000044</t>
  </si>
  <si>
    <t>BINOD KUMAR MAHAT</t>
  </si>
  <si>
    <t>KATAK BAHADUR MAHAT</t>
  </si>
  <si>
    <t>JIT BAHADUR MAHAT</t>
  </si>
  <si>
    <t>17555</t>
  </si>
  <si>
    <t>02100172217001</t>
  </si>
  <si>
    <t>1301650000007319</t>
  </si>
  <si>
    <t>HEM BAHADUR BOGATI</t>
  </si>
  <si>
    <t>AMBAR BAHADUR BOGATI / CHHATRA KUMARI BOGATI</t>
  </si>
  <si>
    <t>SAMJHANA BOGATI / BHAKTA BAHADUR BOGATI</t>
  </si>
  <si>
    <t>46959/2620</t>
  </si>
  <si>
    <t>2020100000007104</t>
  </si>
  <si>
    <t>1301120004683107</t>
  </si>
  <si>
    <t>SIRISH MALLA</t>
  </si>
  <si>
    <t>SITARAM MALLA</t>
  </si>
  <si>
    <t>GHANSHYAM MALLA</t>
  </si>
  <si>
    <t>27-02-75-00469</t>
  </si>
  <si>
    <t>32607010010300</t>
  </si>
  <si>
    <t>1301180000005261</t>
  </si>
  <si>
    <t>ARJUN JUNG SILWAL</t>
  </si>
  <si>
    <t>PREM NATH SILWAL</t>
  </si>
  <si>
    <t>LAXMI POUDEL CHHETRI/GAGAN KANTA SILWAL</t>
  </si>
  <si>
    <t>9258</t>
  </si>
  <si>
    <t>0430196285200001</t>
  </si>
  <si>
    <t>1301650000858815</t>
  </si>
  <si>
    <t>SAMJHANA PAUDEL BOGATI</t>
  </si>
  <si>
    <t>TIRTHA BAHADUR PAUDEL</t>
  </si>
  <si>
    <t>DHANA BAHADUR PAUDEL/HEM BAHADUR BOGATI</t>
  </si>
  <si>
    <t>21101813835</t>
  </si>
  <si>
    <t>1120100022580010</t>
  </si>
  <si>
    <t>1301060001171926</t>
  </si>
  <si>
    <t>ANUPA THAPA</t>
  </si>
  <si>
    <t>TEK BAHADUR THAPA</t>
  </si>
  <si>
    <t>RANA BAHADUR THAPA</t>
  </si>
  <si>
    <t>49233</t>
  </si>
  <si>
    <t>01305050190718</t>
  </si>
  <si>
    <t>1301730000170862</t>
  </si>
  <si>
    <t>AAYAN PYAKUREL</t>
  </si>
  <si>
    <t>RAJ KUMAR PYAKUREL</t>
  </si>
  <si>
    <t>RAMHARI PYAKUREL</t>
  </si>
  <si>
    <t>10000125</t>
  </si>
  <si>
    <t>13205150002783</t>
  </si>
  <si>
    <t>1301570000782674</t>
  </si>
  <si>
    <t>PRATIVA KAFLE</t>
  </si>
  <si>
    <t>DRONA RAJ KAFLE/SARITA KAFLR</t>
  </si>
  <si>
    <t>ISHWORI PRASAD KAFLE</t>
  </si>
  <si>
    <t>422041/31</t>
  </si>
  <si>
    <t>2240234231600018</t>
  </si>
  <si>
    <t>1301120000093646</t>
  </si>
  <si>
    <t>RAJU BHUSAL</t>
  </si>
  <si>
    <t>DILLIRAJ BHUSAL</t>
  </si>
  <si>
    <t>CHINTAMANI BHUSAL / RANJITA KHAREL</t>
  </si>
  <si>
    <t>50629</t>
  </si>
  <si>
    <t>07007010017023</t>
  </si>
  <si>
    <t>1301060000922105</t>
  </si>
  <si>
    <t>SUSHRUSHA SHRESTHA</t>
  </si>
  <si>
    <t>JANAK BAHADUR SHRESTHA</t>
  </si>
  <si>
    <t>341022/4258</t>
  </si>
  <si>
    <t>00305080301619</t>
  </si>
  <si>
    <t>1301010000149331</t>
  </si>
  <si>
    <t>ARJUN KUMAR SAPKOTA</t>
  </si>
  <si>
    <t>SHER BAHADUR SAPKOTA</t>
  </si>
  <si>
    <t>MUKTINATH SAPKOTA</t>
  </si>
  <si>
    <t>354</t>
  </si>
  <si>
    <t>02405080323994</t>
  </si>
  <si>
    <t>1301580002014288</t>
  </si>
  <si>
    <t>KALPANA BUDHA MAGAR</t>
  </si>
  <si>
    <t>HARKA SINGHE BUDHA NANNI BUDHA MAGAR</t>
  </si>
  <si>
    <t>DHAN BIR BUDHA</t>
  </si>
  <si>
    <t>52-01-79-03231</t>
  </si>
  <si>
    <t>027011090001962</t>
  </si>
  <si>
    <t>1301570000785276</t>
  </si>
  <si>
    <t>AMIT MAINALI</t>
  </si>
  <si>
    <t>TEK NATH MAINALI/THIR MAYA MAINALI</t>
  </si>
  <si>
    <t>CHHABILAL MAINALI</t>
  </si>
  <si>
    <t>041003/882</t>
  </si>
  <si>
    <t>2240234148200011</t>
  </si>
  <si>
    <t>1301370000402093</t>
  </si>
  <si>
    <t>Ram Kumari Parajuli</t>
  </si>
  <si>
    <t>Dhurba Prasad Parajuli</t>
  </si>
  <si>
    <t>Kiran Sapkota</t>
  </si>
  <si>
    <t>72704</t>
  </si>
  <si>
    <t>3283476666524001</t>
  </si>
  <si>
    <t>1301370000296434</t>
  </si>
  <si>
    <t>Durga Prasad Sapkota</t>
  </si>
  <si>
    <t>Tika Prasad Sapkota</t>
  </si>
  <si>
    <t>57546</t>
  </si>
  <si>
    <t>3263158674524002</t>
  </si>
  <si>
    <t>1301040002575391</t>
  </si>
  <si>
    <t>NAR BAHADUR KAWAR</t>
  </si>
  <si>
    <t>JOG BAHADUR KAWAR/RAMAWATI KUNWAR</t>
  </si>
  <si>
    <t>MUNA DEVI KUNWAR/KHADKA BAHADUR KAWAR</t>
  </si>
  <si>
    <t>74977</t>
  </si>
  <si>
    <t>12810017503124</t>
  </si>
  <si>
    <t>1301060003244066</t>
  </si>
  <si>
    <t>ROHIT SHRESTHA</t>
  </si>
  <si>
    <t>RAJENDRA SHRESTHA</t>
  </si>
  <si>
    <t>362014/200</t>
  </si>
  <si>
    <t>02105080064512</t>
  </si>
  <si>
    <t>1301370001113108</t>
  </si>
  <si>
    <t>Binita Magar</t>
  </si>
  <si>
    <t>Krishna Bahadur Magar</t>
  </si>
  <si>
    <t>Ganesh Kumar Magar</t>
  </si>
  <si>
    <t>7598</t>
  </si>
  <si>
    <t>C587977402052401</t>
  </si>
  <si>
    <t>1301650000580521</t>
  </si>
  <si>
    <t>PRADIP KUMAR JHA</t>
  </si>
  <si>
    <t>ARUN KUMAR JHA</t>
  </si>
  <si>
    <t>FEKAN JHA/MINI JHA</t>
  </si>
  <si>
    <t>24431938</t>
  </si>
  <si>
    <t>1520100017557011</t>
  </si>
  <si>
    <t>1301180000025552</t>
  </si>
  <si>
    <t>ABYANI SILWAL</t>
  </si>
  <si>
    <t>64</t>
  </si>
  <si>
    <t>0090213710200001</t>
  </si>
  <si>
    <t>1301260001993499</t>
  </si>
  <si>
    <t>BISHNU THAPA</t>
  </si>
  <si>
    <t>YAM BAHADUR THAPA /HARIKALA THAPA</t>
  </si>
  <si>
    <t>PAHAL BAHADUR THAPA</t>
  </si>
  <si>
    <t>50-01-71-00015</t>
  </si>
  <si>
    <t>1670191598300024</t>
  </si>
  <si>
    <t>1301370006523231</t>
  </si>
  <si>
    <t>SAURABH SHANKHI</t>
  </si>
  <si>
    <t>SUKLAMAN SHANKHI</t>
  </si>
  <si>
    <t>MAN BALLAV SHANKHI</t>
  </si>
  <si>
    <t>362016/1792</t>
  </si>
  <si>
    <t>7687901516524001</t>
  </si>
  <si>
    <t>1301370000383219</t>
  </si>
  <si>
    <t>Radheshyam Silpakar</t>
  </si>
  <si>
    <t>Tirtharam Silpakar</t>
  </si>
  <si>
    <t>Ram Bhakta Silpakar</t>
  </si>
  <si>
    <t>14575</t>
  </si>
  <si>
    <t>08SH016891NPR001</t>
  </si>
  <si>
    <t>1302080000009011</t>
  </si>
  <si>
    <t>JIT BIR MAHARJAN</t>
  </si>
  <si>
    <t>9-28-01-81-0021</t>
  </si>
  <si>
    <t>06707010033886</t>
  </si>
  <si>
    <t>1301650001648534</t>
  </si>
  <si>
    <t>MADHAV PRASAD DAHAL</t>
  </si>
  <si>
    <t>DANDAPANI DAHAL</t>
  </si>
  <si>
    <t>NARPATI DAHAL /NIRMALA DAHAL</t>
  </si>
  <si>
    <t>3638</t>
  </si>
  <si>
    <t>1310100038756010</t>
  </si>
  <si>
    <t>1301650001895631</t>
  </si>
  <si>
    <t>URMILA PRASAIN</t>
  </si>
  <si>
    <t>DILLI PRASAD PRASAIN</t>
  </si>
  <si>
    <t>TRILOCHAN PRASAD PRASAIN/KAMALA BARAL</t>
  </si>
  <si>
    <t>7499575995</t>
  </si>
  <si>
    <t>2610100000008210</t>
  </si>
  <si>
    <t>1301630000241472</t>
  </si>
  <si>
    <t>EVVAN JUNG THAPA</t>
  </si>
  <si>
    <t>KOKIL THAPA</t>
  </si>
  <si>
    <t>DAMBER BAHADUR THAPA</t>
  </si>
  <si>
    <t>2074111602739</t>
  </si>
  <si>
    <t>2400233461100001</t>
  </si>
  <si>
    <t>1301120000439923</t>
  </si>
  <si>
    <t>Sanuj Shakya</t>
  </si>
  <si>
    <t>Surya Man Shakya</t>
  </si>
  <si>
    <t>Asta Man Shakya</t>
  </si>
  <si>
    <t>35727</t>
  </si>
  <si>
    <t>2810017506103</t>
  </si>
  <si>
    <t>1301630000576692</t>
  </si>
  <si>
    <t>DIWASH ARYAL</t>
  </si>
  <si>
    <t>DIPENDRA ARYAL/SARITA KARKI ARYAL</t>
  </si>
  <si>
    <t>HARI BAHADUR ARYAL</t>
  </si>
  <si>
    <t>35-01-75-07476</t>
  </si>
  <si>
    <t>1430164226000001</t>
  </si>
  <si>
    <t>1301060000514812</t>
  </si>
  <si>
    <t>BHARAT CHITRAKAR</t>
  </si>
  <si>
    <t>PANNA MAN SINGH</t>
  </si>
  <si>
    <t>LOK MAN SINGH</t>
  </si>
  <si>
    <t>271060/18139</t>
  </si>
  <si>
    <t>GOODWILL FINANCE LTD.(9001)</t>
  </si>
  <si>
    <t>1060100182</t>
  </si>
  <si>
    <t>1301120000799644</t>
  </si>
  <si>
    <t>Dhan Narayan Shrestha</t>
  </si>
  <si>
    <t>Dev Narayan Shrestha</t>
  </si>
  <si>
    <t>Man Krishna Shrestha</t>
  </si>
  <si>
    <t>1665/044</t>
  </si>
  <si>
    <t>1130100000915104</t>
  </si>
  <si>
    <t>1301380000147855</t>
  </si>
  <si>
    <t>AARUSHI SHRESTHA</t>
  </si>
  <si>
    <t>DEEPENDRA SHRESTHA</t>
  </si>
  <si>
    <t>RAM KRISHNA SHRESTHA</t>
  </si>
  <si>
    <t>2076051006334</t>
  </si>
  <si>
    <t>25910606856048000001</t>
  </si>
  <si>
    <t>1301060000470860</t>
  </si>
  <si>
    <t>INDIRA CHITRAKAR</t>
  </si>
  <si>
    <t>TRI RATNA CHITRAKAR</t>
  </si>
  <si>
    <t>MANI RATNA CHITRAKAR</t>
  </si>
  <si>
    <t>3394</t>
  </si>
  <si>
    <t>1060100271</t>
  </si>
  <si>
    <t>1301060003003384</t>
  </si>
  <si>
    <t>KRISHNA BAHADUR PAHARI</t>
  </si>
  <si>
    <t>RITTHEY PAHARI/DHAN MAYA PAHARI</t>
  </si>
  <si>
    <t>KALLU PAHARI</t>
  </si>
  <si>
    <t>35146/2057/1817</t>
  </si>
  <si>
    <t>26905080006224</t>
  </si>
  <si>
    <t>1301260001039166</t>
  </si>
  <si>
    <t>SUBANI NIROULA</t>
  </si>
  <si>
    <t>DEG PRASAD NIROULA/SUSHILA KUMARI PAUDYAL</t>
  </si>
  <si>
    <t>TIRTHA PRASAD NIROULA</t>
  </si>
  <si>
    <t>042045/1608</t>
  </si>
  <si>
    <t>0110079671300015</t>
  </si>
  <si>
    <t>1301370000457622</t>
  </si>
  <si>
    <t>Bom Bahadur Katwal</t>
  </si>
  <si>
    <t>Tek Bahadur Katwal</t>
  </si>
  <si>
    <t>Jit Bahadur Katwal</t>
  </si>
  <si>
    <t>271021/118554</t>
  </si>
  <si>
    <t>1369977565524001</t>
  </si>
  <si>
    <t>1301170001592424</t>
  </si>
  <si>
    <t>DHAN PRASAD BUDHA</t>
  </si>
  <si>
    <t>SURENDRA BUDHA</t>
  </si>
  <si>
    <t>HASTA BUDHA</t>
  </si>
  <si>
    <t>57-01-74-00197</t>
  </si>
  <si>
    <t>0350100001275009</t>
  </si>
  <si>
    <t>1301370000457447</t>
  </si>
  <si>
    <t>Purna Adhikari Katwal</t>
  </si>
  <si>
    <t>Chandra Bahadur Adhikari</t>
  </si>
  <si>
    <t>57596/58596/297</t>
  </si>
  <si>
    <t>1383977652524001</t>
  </si>
  <si>
    <t>1301170000147842</t>
  </si>
  <si>
    <t>RAJENDRA MAHARJAN</t>
  </si>
  <si>
    <t>BUDDHI BAHADUR MAHARJAN</t>
  </si>
  <si>
    <t>BEKHA LAL MAHARJAN</t>
  </si>
  <si>
    <t>27/1898/2259</t>
  </si>
  <si>
    <t>0210100000086013</t>
  </si>
  <si>
    <t>1301170000147838</t>
  </si>
  <si>
    <t>KRISHNA KUMARI MAHARJAN</t>
  </si>
  <si>
    <t>HARI KRISHNA MAHARJAN</t>
  </si>
  <si>
    <t>841/046</t>
  </si>
  <si>
    <t>0210100001577010</t>
  </si>
  <si>
    <t>1301060000423157</t>
  </si>
  <si>
    <t>KAMAL PAUDEL</t>
  </si>
  <si>
    <t>TAL PRASAD PAUDEL</t>
  </si>
  <si>
    <t>CHHABILAL PAUDEL</t>
  </si>
  <si>
    <t>421055/69</t>
  </si>
  <si>
    <t>MANJUSHREE FINANCE LTD.(9935)</t>
  </si>
  <si>
    <t>010000034020</t>
  </si>
  <si>
    <t>1301090002550171</t>
  </si>
  <si>
    <t>PRANSU RAUT</t>
  </si>
  <si>
    <t>RAJENDRA KUMAR RAUT/MINA KUMARI KHADKA</t>
  </si>
  <si>
    <t>GAYANDRA BAHADUR RAUT</t>
  </si>
  <si>
    <t>31</t>
  </si>
  <si>
    <t>02317386470</t>
  </si>
  <si>
    <t>1301060003323036</t>
  </si>
  <si>
    <t>AASHISH BHANDARI</t>
  </si>
  <si>
    <t>RAM BAHADUR BHANDARI</t>
  </si>
  <si>
    <t>LALITMAN BHANDARI</t>
  </si>
  <si>
    <t>43-01-80-02444</t>
  </si>
  <si>
    <t>05205080294966</t>
  </si>
  <si>
    <t>1301110000152987</t>
  </si>
  <si>
    <t>Shanta Bahadur B.C.</t>
  </si>
  <si>
    <t>Nar Bahadur Budha</t>
  </si>
  <si>
    <t>Man Bahadur Budha</t>
  </si>
  <si>
    <t>13159</t>
  </si>
  <si>
    <t>08307010002404</t>
  </si>
  <si>
    <t>1301370004447827</t>
  </si>
  <si>
    <t>SABITA KUMARI MAHATO</t>
  </si>
  <si>
    <t>RAJARAM MAHATO</t>
  </si>
  <si>
    <t>KRISHNA DEV SINGH</t>
  </si>
  <si>
    <t>19-01-72-04555</t>
  </si>
  <si>
    <t>2725759518824001</t>
  </si>
  <si>
    <t>1301020000037041</t>
  </si>
  <si>
    <t>SHIVA BIKRAM SHAH</t>
  </si>
  <si>
    <t>PURNA BIKRAM SHAH</t>
  </si>
  <si>
    <t>SITA SHAH/RAMESH BIKRAM SHAH</t>
  </si>
  <si>
    <t>160318106</t>
  </si>
  <si>
    <t>05005050025659</t>
  </si>
  <si>
    <t>1301180000025869</t>
  </si>
  <si>
    <t>LAXMI POUDEL CHHETRI SILWAL</t>
  </si>
  <si>
    <t>DEVI DHOJ POUDEL</t>
  </si>
  <si>
    <t>13/225</t>
  </si>
  <si>
    <t>0090224874000001</t>
  </si>
  <si>
    <t>1301060001337897</t>
  </si>
  <si>
    <t>ABHILASHA CHAUDHARY</t>
  </si>
  <si>
    <t>RAJ KUMAR CHAUDHARY</t>
  </si>
  <si>
    <t>BIDHYANANDA CHAUDHARY</t>
  </si>
  <si>
    <t>48086</t>
  </si>
  <si>
    <t>01905080216258</t>
  </si>
  <si>
    <t>1301170000147804</t>
  </si>
  <si>
    <t>LIKESH MAHARJAN</t>
  </si>
  <si>
    <t>BUDDHI MAHARJAN</t>
  </si>
  <si>
    <t>27/1058/103268</t>
  </si>
  <si>
    <t>0545751024621001</t>
  </si>
  <si>
    <t>1301240001387975</t>
  </si>
  <si>
    <t>MAHENDRA CHAULAGAI</t>
  </si>
  <si>
    <t>KRISHNA PRASAD CHAULAGAI</t>
  </si>
  <si>
    <t>MOTI PRASAD CHAULAGAI</t>
  </si>
  <si>
    <t>28105</t>
  </si>
  <si>
    <t>0040641684208001</t>
  </si>
  <si>
    <t>1301120002673556</t>
  </si>
  <si>
    <t>KARAN KHADKA</t>
  </si>
  <si>
    <t>KHADAK JIT KHADKA</t>
  </si>
  <si>
    <t>SIRKHA BAHADUR KHADKA</t>
  </si>
  <si>
    <t>422012-801</t>
  </si>
  <si>
    <t>10207010001485</t>
  </si>
  <si>
    <t>1301020000037056</t>
  </si>
  <si>
    <t>SITA SHAH</t>
  </si>
  <si>
    <t>CHANDRA BHUSHAN SINGH</t>
  </si>
  <si>
    <t>SHIVA BIKRAM SHAH/SHIVARAJ SINGH</t>
  </si>
  <si>
    <t>160321741</t>
  </si>
  <si>
    <t>05005050032042</t>
  </si>
  <si>
    <t>1301020000025247</t>
  </si>
  <si>
    <t>KAMALA DHAKAL/NANDA PRASAD DHAKAL</t>
  </si>
  <si>
    <t>2339</t>
  </si>
  <si>
    <t>00108300005089000001</t>
  </si>
  <si>
    <t>1301930000026293</t>
  </si>
  <si>
    <t>INDRA PRASAD NYAUPANE</t>
  </si>
  <si>
    <t>TIKARAM NYAUPANE</t>
  </si>
  <si>
    <t>203009/34</t>
  </si>
  <si>
    <t>00307010003810</t>
  </si>
  <si>
    <t>1301120000900267</t>
  </si>
  <si>
    <t>SHIRIYA POKHREL</t>
  </si>
  <si>
    <t>SAILESH KUMAR POKHREL</t>
  </si>
  <si>
    <t>RAM NATH POKHREL</t>
  </si>
  <si>
    <t>34-01-73-03357</t>
  </si>
  <si>
    <t>01107010013410</t>
  </si>
  <si>
    <t>1301370006346025</t>
  </si>
  <si>
    <t>VYSHNAVI CHHETRI</t>
  </si>
  <si>
    <t>RAJU CHHETRI</t>
  </si>
  <si>
    <t>KESHAV RAJ CHHETRI</t>
  </si>
  <si>
    <t>77-01-79-01818</t>
  </si>
  <si>
    <t>0765752436390001</t>
  </si>
  <si>
    <t>1301120001969587</t>
  </si>
  <si>
    <t>DURGESH KUMAR MAHATO</t>
  </si>
  <si>
    <t>RAM ASHISH MAHATO /</t>
  </si>
  <si>
    <t>RAM BILASH MAHATO</t>
  </si>
  <si>
    <t>15-02-74-01929</t>
  </si>
  <si>
    <t>03607010012306</t>
  </si>
  <si>
    <t>1301850000300790</t>
  </si>
  <si>
    <t>DEVI CHHETRI</t>
  </si>
  <si>
    <t>KRISHNA BAHADUR THAPA CHHETRI</t>
  </si>
  <si>
    <t>BHIMLAL THAPA CHHETRI</t>
  </si>
  <si>
    <t>50-01-74-00792</t>
  </si>
  <si>
    <t>08612300614595000001</t>
  </si>
  <si>
    <t>1301530000318390</t>
  </si>
  <si>
    <t>Kushal Babu Mishra</t>
  </si>
  <si>
    <t>Manorath Mishra/Tara Devi Dhungana</t>
  </si>
  <si>
    <t>Narapati Mishra</t>
  </si>
  <si>
    <t>04-01-69-02435</t>
  </si>
  <si>
    <t>23115241400964</t>
  </si>
  <si>
    <t>1301240001061001</t>
  </si>
  <si>
    <t>SOM BAHADUR TAMANG</t>
  </si>
  <si>
    <t>SUN LAMA TAMANG</t>
  </si>
  <si>
    <t>KANUKANCHA TAMANG</t>
  </si>
  <si>
    <t>243076/14</t>
  </si>
  <si>
    <t>0330372850205001</t>
  </si>
  <si>
    <t>1301120000708190</t>
  </si>
  <si>
    <t>Kumar Prasad Chimoriya</t>
  </si>
  <si>
    <t>Kamal Prasad Chimoriya</t>
  </si>
  <si>
    <t>Prem Prasad Chimoriya</t>
  </si>
  <si>
    <t>149252</t>
  </si>
  <si>
    <t>01015141147</t>
  </si>
  <si>
    <t>1301080000332800</t>
  </si>
  <si>
    <t>DAVID KC</t>
  </si>
  <si>
    <t>DIPAK LAMICHHANE</t>
  </si>
  <si>
    <t>KRISHNA BAHADUR LAMICHHANE</t>
  </si>
  <si>
    <t>29-01-065-00295</t>
  </si>
  <si>
    <t>01700501203254</t>
  </si>
  <si>
    <t>1301100000122317</t>
  </si>
  <si>
    <t>SUNITA NANDWANA</t>
  </si>
  <si>
    <t>BIPIN CHANDRA</t>
  </si>
  <si>
    <t>BRIJ BALLABH</t>
  </si>
  <si>
    <t>39</t>
  </si>
  <si>
    <t>0510017507959</t>
  </si>
  <si>
    <t>1301120000768402</t>
  </si>
  <si>
    <t>PRAKASH LAMSAL</t>
  </si>
  <si>
    <t>TEJ PRASAD LAMSAL</t>
  </si>
  <si>
    <t>EKDEV LAMSAL</t>
  </si>
  <si>
    <t>29</t>
  </si>
  <si>
    <t>00120400022215000001</t>
  </si>
  <si>
    <t>1301370003854851</t>
  </si>
  <si>
    <t>DEEPAK TAMANG</t>
  </si>
  <si>
    <t>RAM KUMAR TAMANG</t>
  </si>
  <si>
    <t>25-01-71-02399</t>
  </si>
  <si>
    <t>5587899659524001</t>
  </si>
  <si>
    <t>1301080000354402</t>
  </si>
  <si>
    <t>LAXMIDHAR GAUTAM</t>
  </si>
  <si>
    <t>BISWANATH GAUTAM</t>
  </si>
  <si>
    <t>BHAGWATI PRASAD GAUTAM</t>
  </si>
  <si>
    <t>23290</t>
  </si>
  <si>
    <t>00200501208949</t>
  </si>
  <si>
    <t>1301370002488373</t>
  </si>
  <si>
    <t>ANJALI RAI</t>
  </si>
  <si>
    <t>PRADEEP KUMAR RAI</t>
  </si>
  <si>
    <t>KUL BAHADUR RAI</t>
  </si>
  <si>
    <t>042044/11735</t>
  </si>
  <si>
    <t>2785750802227001</t>
  </si>
  <si>
    <t>1301260000949082</t>
  </si>
  <si>
    <t>SHREE MAYA THAPA</t>
  </si>
  <si>
    <t>YAM BAHADUR THAPA/CHANDRA KUMARI THAPA</t>
  </si>
  <si>
    <t>GOMAN SINGH THAPA</t>
  </si>
  <si>
    <t>95398</t>
  </si>
  <si>
    <t>1000110450300012</t>
  </si>
  <si>
    <t>1301040002233257</t>
  </si>
  <si>
    <t>INDRA CHAUDHARY</t>
  </si>
  <si>
    <t>AGBANIYA CHAUDHARY/LAHANI DEVI CHAUDHARY</t>
  </si>
  <si>
    <t>MANTAJ DEVI CHAUDHARY/ANTA RAM CHAUDHARY</t>
  </si>
  <si>
    <t>753003/1128</t>
  </si>
  <si>
    <t>11410017502154</t>
  </si>
  <si>
    <t>1301040002373099</t>
  </si>
  <si>
    <t>SUNITA KUMARI CHAUDHARY</t>
  </si>
  <si>
    <t>MANI RAM CHAUDHARY/LILAMATI DEVI CHAUDHARY</t>
  </si>
  <si>
    <t>/DHANJU CHAUDHARY</t>
  </si>
  <si>
    <t>751003-297</t>
  </si>
  <si>
    <t>18110017507172</t>
  </si>
  <si>
    <t>1301040002296360</t>
  </si>
  <si>
    <t>JEEBAN KUMAR SUNUWAR</t>
  </si>
  <si>
    <t>SUKMAN SUNUWAR/BHIM KUMARI SUNUWAR</t>
  </si>
  <si>
    <t>/MAN BAHADUR SUNUWAR</t>
  </si>
  <si>
    <t>39943</t>
  </si>
  <si>
    <t>01710017528460</t>
  </si>
  <si>
    <t>1301060000800842</t>
  </si>
  <si>
    <t>YASU NHASIJU SHRESTHA</t>
  </si>
  <si>
    <t>OM PRASAD NHASIJU</t>
  </si>
  <si>
    <t>AASHA KAJI NHASIJU/MANI RAM TAKHACHHE</t>
  </si>
  <si>
    <t>77501</t>
  </si>
  <si>
    <t>00505030016019</t>
  </si>
  <si>
    <t>1301060000959957</t>
  </si>
  <si>
    <t>KESHARI KUNWAR</t>
  </si>
  <si>
    <t>YAMALAL KUNWAR</t>
  </si>
  <si>
    <t>VADRA BAHADUR KUNWAR</t>
  </si>
  <si>
    <t>413062/520</t>
  </si>
  <si>
    <t>3080100000042106</t>
  </si>
  <si>
    <t>1301610000523335</t>
  </si>
  <si>
    <t>SHOBHA MAIYA MUNANKARMI</t>
  </si>
  <si>
    <t>KAMAL BHAKTA MUNANKARMI</t>
  </si>
  <si>
    <t>LAXMI BHAKTA MUNANKARMI</t>
  </si>
  <si>
    <t>2/1088</t>
  </si>
  <si>
    <t>0250053674200012</t>
  </si>
  <si>
    <t>1301500000018922</t>
  </si>
  <si>
    <t>REENUSHA TAMRAKAR</t>
  </si>
  <si>
    <t>BAL KRISHNA TAMRAKAR</t>
  </si>
  <si>
    <t>TULSHI LAL TAMRAKAR</t>
  </si>
  <si>
    <t>85393</t>
  </si>
  <si>
    <t>14205330001236</t>
  </si>
  <si>
    <t>1301020000050360</t>
  </si>
  <si>
    <t>RITA SHARMA PYAKUREL</t>
  </si>
  <si>
    <t>SHIVA PRASAD SHARMA</t>
  </si>
  <si>
    <t>SHANKER PYAKUREL/RUDRA PRASAD UPADHAYAYA</t>
  </si>
  <si>
    <t>19082/20770</t>
  </si>
  <si>
    <t>09005330013345</t>
  </si>
  <si>
    <t>1301730001215053</t>
  </si>
  <si>
    <t>GAJENDRA SAPKOTA</t>
  </si>
  <si>
    <t>YUBARAJ SAPKOTA/ZYANUKA SAPKOTA</t>
  </si>
  <si>
    <t>JAGANNATH SAPKOTA</t>
  </si>
  <si>
    <t>32933</t>
  </si>
  <si>
    <t>25805080000345</t>
  </si>
  <si>
    <t>1301060001014393</t>
  </si>
  <si>
    <t>SARKI SHERPA</t>
  </si>
  <si>
    <t>TUNDU SHERPA</t>
  </si>
  <si>
    <t>5079</t>
  </si>
  <si>
    <t>02705050257022</t>
  </si>
  <si>
    <t>1301060001646499</t>
  </si>
  <si>
    <t>ROOJA MAHARJAN</t>
  </si>
  <si>
    <t>GANGARAM MAHARJAN/NANI MAHARJAN</t>
  </si>
  <si>
    <t>KAJI BAHADUR MAHARJAN</t>
  </si>
  <si>
    <t>27-01-72-01584</t>
  </si>
  <si>
    <t>05205050029406</t>
  </si>
  <si>
    <t>1301650001386793</t>
  </si>
  <si>
    <t>YADAV RANA MAGAR</t>
  </si>
  <si>
    <t>YAM BAHADUR RANA MAGAR</t>
  </si>
  <si>
    <t>BAL CHANDRA RANA MAGAR/BIMALA GURUNG</t>
  </si>
  <si>
    <t>351032169</t>
  </si>
  <si>
    <t>1500100004510010</t>
  </si>
  <si>
    <t>1301250000141997</t>
  </si>
  <si>
    <t>KALPANA UPRETY</t>
  </si>
  <si>
    <t>KHARAJ UPRETY</t>
  </si>
  <si>
    <t>SUDEEP RAMAN MAINALI / BEDRAJ UPRETY</t>
  </si>
  <si>
    <t>300106600372</t>
  </si>
  <si>
    <t>1910017506507</t>
  </si>
  <si>
    <t>1301720000361677</t>
  </si>
  <si>
    <t>APOORWA GAUTAM</t>
  </si>
  <si>
    <t>ABIRAL GAUTAM</t>
  </si>
  <si>
    <t>SUSHIL GAUTAM</t>
  </si>
  <si>
    <t>2075010507523</t>
  </si>
  <si>
    <t>0100201406140019</t>
  </si>
  <si>
    <t>1301010000643881</t>
  </si>
  <si>
    <t>RAJESH BARAHI</t>
  </si>
  <si>
    <t>SINGH BAHADUR BARAHI</t>
  </si>
  <si>
    <t>HARKHA BAHADUR BARAHI</t>
  </si>
  <si>
    <t>79355</t>
  </si>
  <si>
    <t>00917606080</t>
  </si>
  <si>
    <t>1301720001210134</t>
  </si>
  <si>
    <t>INDIRA SUBEDI</t>
  </si>
  <si>
    <t>LAL PRASAD SUBEDI</t>
  </si>
  <si>
    <t>NANDA LAL SUBEDI</t>
  </si>
  <si>
    <t>13-01+76-02940</t>
  </si>
  <si>
    <t>1125701721505010</t>
  </si>
  <si>
    <t>1301530000502097</t>
  </si>
  <si>
    <t>BHARAT SAH</t>
  </si>
  <si>
    <t>KAPILDEV SAH TELI / DANA DEVI</t>
  </si>
  <si>
    <t>RAM AVATAR SAH</t>
  </si>
  <si>
    <t>26862602</t>
  </si>
  <si>
    <t>18815240704209</t>
  </si>
  <si>
    <t>1301120000813503</t>
  </si>
  <si>
    <t>indra dhwaj subedi</t>
  </si>
  <si>
    <t>tank dhwaj subedi</t>
  </si>
  <si>
    <t>samar dhwaj subedi</t>
  </si>
  <si>
    <t>1427762/11177</t>
  </si>
  <si>
    <t>06607010000915</t>
  </si>
  <si>
    <t>1301240000404994</t>
  </si>
  <si>
    <t>mina twanabasu</t>
  </si>
  <si>
    <t>mangal suwal</t>
  </si>
  <si>
    <t>bulal suwal</t>
  </si>
  <si>
    <t>13505</t>
  </si>
  <si>
    <t>01810048616017</t>
  </si>
  <si>
    <t>1301100000501503</t>
  </si>
  <si>
    <t>CHINTA MANI BASYAL</t>
  </si>
  <si>
    <t>DOLRAJ BASYAL</t>
  </si>
  <si>
    <t>TIRTHA RAJ BASYAL</t>
  </si>
  <si>
    <t>111632</t>
  </si>
  <si>
    <t>07220400533580000001</t>
  </si>
  <si>
    <t>1301090000227079</t>
  </si>
  <si>
    <t>MADHU RAJ LAMSAL</t>
  </si>
  <si>
    <t>KHEMRAJ LAMSAL</t>
  </si>
  <si>
    <t>CHHYADATTA LAMSAL</t>
  </si>
  <si>
    <t>1407</t>
  </si>
  <si>
    <t>01205030117237</t>
  </si>
  <si>
    <t>1301610000692219</t>
  </si>
  <si>
    <t>SAJAN KUMAR SHRESTHA</t>
  </si>
  <si>
    <t>PARBATI SHRESTHA/KRISHNA SHRESTHA</t>
  </si>
  <si>
    <t>CHHETRA BAHADUR SHRESTHA</t>
  </si>
  <si>
    <t>22963</t>
  </si>
  <si>
    <t>0030100652800016</t>
  </si>
  <si>
    <t>1301610000106402</t>
  </si>
  <si>
    <t>MAN KAJI TAMANG</t>
  </si>
  <si>
    <t>DHAN  BAHADUR TAMANG/KABITA TAMANG</t>
  </si>
  <si>
    <t>51147</t>
  </si>
  <si>
    <t>0230055545300017</t>
  </si>
  <si>
    <t>1301080000555640</t>
  </si>
  <si>
    <t>KRITI BOHRA</t>
  </si>
  <si>
    <t>JAGDISH BOHRA</t>
  </si>
  <si>
    <t>MOHAN LAL BOHRA</t>
  </si>
  <si>
    <t>05-01-74-08549</t>
  </si>
  <si>
    <t>00800501215339</t>
  </si>
  <si>
    <t>1301250001428832</t>
  </si>
  <si>
    <t>UMA ARYAL</t>
  </si>
  <si>
    <t>RUKMAGATH NEUPANE/JAMUNA NEUPANE</t>
  </si>
  <si>
    <t>LALUPRASSAD NEUPANE</t>
  </si>
  <si>
    <t>37017013418</t>
  </si>
  <si>
    <t>09722300979042000001</t>
  </si>
  <si>
    <t>1301320000011658</t>
  </si>
  <si>
    <t>Anjana K.C</t>
  </si>
  <si>
    <t>Surath Bahadur Karki</t>
  </si>
  <si>
    <t>293006/89</t>
  </si>
  <si>
    <t>01715101827</t>
  </si>
  <si>
    <t>1301060002126059</t>
  </si>
  <si>
    <t>ANIL NEUPANE</t>
  </si>
  <si>
    <t>KHECHAR NATH NEUPANE</t>
  </si>
  <si>
    <t>HARI PRASAD NEUPANE</t>
  </si>
  <si>
    <t>26-01-71-01318</t>
  </si>
  <si>
    <t>1635751144135001</t>
  </si>
  <si>
    <t>1301720000607140</t>
  </si>
  <si>
    <t>SHREEJANA PUDASAINI</t>
  </si>
  <si>
    <t>MAHANANDA PUDASAINI/GETA PUDASAINI</t>
  </si>
  <si>
    <t>BEDHNIDHI PUDASAINI</t>
  </si>
  <si>
    <t>31-01-69-11573</t>
  </si>
  <si>
    <t>0508501179693016</t>
  </si>
  <si>
    <t>1301090000327158</t>
  </si>
  <si>
    <t>RAMESH NEPAL</t>
  </si>
  <si>
    <t>KEDAR NEPAL</t>
  </si>
  <si>
    <t>HARI PRASAD NEUPANE / NABINA NEPAL</t>
  </si>
  <si>
    <t>131735</t>
  </si>
  <si>
    <t>01724300529291000001</t>
  </si>
  <si>
    <t>1301580001212901</t>
  </si>
  <si>
    <t>GARBI KUMARI GURUNG</t>
  </si>
  <si>
    <t>MAN KAJI GURUNG/TAI KUMARI GURUNG</t>
  </si>
  <si>
    <t>HARKA BAHADUR GURUNG</t>
  </si>
  <si>
    <t>27045</t>
  </si>
  <si>
    <t>023011090004605</t>
  </si>
  <si>
    <t>1301120002559572</t>
  </si>
  <si>
    <t>SARINA ALE MAGAR</t>
  </si>
  <si>
    <t>CHITRA BAHADUR MAGAR/ LAL MAYA MAGAR</t>
  </si>
  <si>
    <t>46-01-69-02958</t>
  </si>
  <si>
    <t>01407010014369</t>
  </si>
  <si>
    <t>1301070000052291</t>
  </si>
  <si>
    <t>SHIVA PRASAD ARYAL</t>
  </si>
  <si>
    <t>Amar Raj Aryal</t>
  </si>
  <si>
    <t>Pashupati Nath Aryal</t>
  </si>
  <si>
    <t>26142</t>
  </si>
  <si>
    <t>5114312964524001</t>
  </si>
  <si>
    <t>1301120002176339</t>
  </si>
  <si>
    <t>RAJESH KATTEL</t>
  </si>
  <si>
    <t>RAM BAHADUR KATTEL/ MAN MAYA KATTEL</t>
  </si>
  <si>
    <t>BAL BAHADUR KATTEL/ RANJITA KHATRI KATTEL</t>
  </si>
  <si>
    <t>1148</t>
  </si>
  <si>
    <t>00807010002100</t>
  </si>
  <si>
    <t>1301320000009995</t>
  </si>
  <si>
    <t>Hirakaji Budhathoki</t>
  </si>
  <si>
    <t>Birendra Bahadur Budhathoki</t>
  </si>
  <si>
    <t>Nar Bahadur Budhathoki</t>
  </si>
  <si>
    <t>13452/1010/9792</t>
  </si>
  <si>
    <t>0190074810700015</t>
  </si>
  <si>
    <t>1301370006447642</t>
  </si>
  <si>
    <t>SUPRINA PHUYAL</t>
  </si>
  <si>
    <t>2073040910288</t>
  </si>
  <si>
    <t>0195752547947001</t>
  </si>
  <si>
    <t>1301060000510005</t>
  </si>
  <si>
    <t>BEGAN SIPAI SHRESTHA</t>
  </si>
  <si>
    <t>RAJENDRA KUMAR SIPAI</t>
  </si>
  <si>
    <t>KASAM KUMAR SIPAI</t>
  </si>
  <si>
    <t>1060/3566/1745</t>
  </si>
  <si>
    <t>01905080073228</t>
  </si>
  <si>
    <t>1301090003746348</t>
  </si>
  <si>
    <t>SANDESH SHRESTHA</t>
  </si>
  <si>
    <t>DAN BAHADUR SHRESTHA/MATI MAYA SHRESTHA</t>
  </si>
  <si>
    <t>RANJIT  PRASAD SHRESTHA /PARIJANA MAHARJAN</t>
  </si>
  <si>
    <t>041007/234</t>
  </si>
  <si>
    <t>02215012166</t>
  </si>
  <si>
    <t>1301090000171100</t>
  </si>
  <si>
    <t>BHIM KUMARI ROKKA</t>
  </si>
  <si>
    <t>BHIM BAHADUR  G.C.</t>
  </si>
  <si>
    <t>RABI LAL G.C.</t>
  </si>
  <si>
    <t>6300</t>
  </si>
  <si>
    <t>03216841530</t>
  </si>
  <si>
    <t>1301610001559304</t>
  </si>
  <si>
    <t>GANESH KUMAR THAPA</t>
  </si>
  <si>
    <t>BIR BAHADUR THAPA</t>
  </si>
  <si>
    <t>HARJ BAHADUR THAPA</t>
  </si>
  <si>
    <t>66143-439</t>
  </si>
  <si>
    <t>1590955446900018</t>
  </si>
  <si>
    <t>1301850000244223</t>
  </si>
  <si>
    <t>PREM BAHADUR KHANAL</t>
  </si>
  <si>
    <t>DURGA BAHADUR KHANAL</t>
  </si>
  <si>
    <t>LAL BAHADUR KHANAL</t>
  </si>
  <si>
    <t>5083</t>
  </si>
  <si>
    <t>00212200011392000002</t>
  </si>
  <si>
    <t>1301100002977614</t>
  </si>
  <si>
    <t>SAGUN RAI</t>
  </si>
  <si>
    <t>PRADIP RAI</t>
  </si>
  <si>
    <t>MULUK LAL RAI</t>
  </si>
  <si>
    <t>091051/212</t>
  </si>
  <si>
    <t>0550222663500013</t>
  </si>
  <si>
    <t>1301370000166398</t>
  </si>
  <si>
    <t>Arjun Bahadur Shrestha</t>
  </si>
  <si>
    <t>Sanu Bahadur Shrestha</t>
  </si>
  <si>
    <t>Gopilal Shrestha</t>
  </si>
  <si>
    <t>4206</t>
  </si>
  <si>
    <t>00201706891776000001</t>
  </si>
  <si>
    <t>1301060001861477</t>
  </si>
  <si>
    <t>ARUN KHADKA</t>
  </si>
  <si>
    <t>TULASI BHAKTA KHADKA</t>
  </si>
  <si>
    <t>18041/518</t>
  </si>
  <si>
    <t>05205050060661</t>
  </si>
  <si>
    <t>1301080000223056</t>
  </si>
  <si>
    <t>ABISHNA KHADKA</t>
  </si>
  <si>
    <t>TULASHI BHAKTA KHADKA</t>
  </si>
  <si>
    <t>2064021100171</t>
  </si>
  <si>
    <t>02900501209757</t>
  </si>
  <si>
    <t>1301100002149701</t>
  </si>
  <si>
    <t>MADHU BHANDARI</t>
  </si>
  <si>
    <t>BHIM RAJ BHANDARI</t>
  </si>
  <si>
    <t>JHABI LAL BHANDARI</t>
  </si>
  <si>
    <t>42/02/75/05169</t>
  </si>
  <si>
    <t>0360155544400012</t>
  </si>
  <si>
    <t>1301060002829022</t>
  </si>
  <si>
    <t>TIKA RAM ADHIKARI</t>
  </si>
  <si>
    <t>DILLI RAM ADHIKARI</t>
  </si>
  <si>
    <t>2429</t>
  </si>
  <si>
    <t>01305220254045</t>
  </si>
  <si>
    <t>1301370002985626</t>
  </si>
  <si>
    <t>RINA KHADKA</t>
  </si>
  <si>
    <t>14166</t>
  </si>
  <si>
    <t>0395751107414001</t>
  </si>
  <si>
    <t>1301170000994702</t>
  </si>
  <si>
    <t>DHANSARA SINGH SHAHI</t>
  </si>
  <si>
    <t>JANAK BAHADUR SINGH</t>
  </si>
  <si>
    <t>KALDHAR SINGH</t>
  </si>
  <si>
    <t>1368</t>
  </si>
  <si>
    <t>JAJARKOT</t>
  </si>
  <si>
    <t>0360100000069027</t>
  </si>
  <si>
    <t>1301090003638853</t>
  </si>
  <si>
    <t>MEGHRAJ SAHANI</t>
  </si>
  <si>
    <t>RAMESHWAR PRASAD SAHANI</t>
  </si>
  <si>
    <t>SHANKAR SAHANI</t>
  </si>
  <si>
    <t>33-01-75-08807</t>
  </si>
  <si>
    <t>00215626835</t>
  </si>
  <si>
    <t>1301060000471300</t>
  </si>
  <si>
    <t>BISHNU KUMARI BASNET PYAKUREL</t>
  </si>
  <si>
    <t>GOVINDA BAHADUR BASNET</t>
  </si>
  <si>
    <t>PAHALMAN BASNET</t>
  </si>
  <si>
    <t>735</t>
  </si>
  <si>
    <t>03605030266109</t>
  </si>
  <si>
    <t>1301690000316485</t>
  </si>
  <si>
    <t>SULAV DHAKAL</t>
  </si>
  <si>
    <t>BABURAM UPADHYAYA/ISHWORI UPADHYAYA</t>
  </si>
  <si>
    <t>KHAJESHOR UPADHYAYA</t>
  </si>
  <si>
    <t>351025/3170</t>
  </si>
  <si>
    <t>1490100000534041</t>
  </si>
  <si>
    <t>1301470000010139</t>
  </si>
  <si>
    <t>POST BAHADUR THAPA</t>
  </si>
  <si>
    <t>TEKA BAHADUR  THAPA</t>
  </si>
  <si>
    <t>SANAP SINGH THAPA</t>
  </si>
  <si>
    <t>8279/2295</t>
  </si>
  <si>
    <t>09005340000710</t>
  </si>
  <si>
    <t>1301790000099708</t>
  </si>
  <si>
    <t>SAROJ BIST</t>
  </si>
  <si>
    <t>KESHAV SINGH BIST/MALATI DEVI BIST</t>
  </si>
  <si>
    <t>BISHRAM SINGH BIST</t>
  </si>
  <si>
    <t>75-01-75-10070</t>
  </si>
  <si>
    <t>07311300315863000001</t>
  </si>
  <si>
    <t>1301610000209501</t>
  </si>
  <si>
    <t>KUMAR POKHREL</t>
  </si>
  <si>
    <t>JHAPAT BAHADUR POKHREL CHHETRI</t>
  </si>
  <si>
    <t>TILAK BAHADUR POKHREL</t>
  </si>
  <si>
    <t>76940</t>
  </si>
  <si>
    <t>0050009259200011</t>
  </si>
  <si>
    <t>1301390000012942</t>
  </si>
  <si>
    <t>BISHNU ARYAL</t>
  </si>
  <si>
    <t>THAKUR PRASAD ARYAL</t>
  </si>
  <si>
    <t>PARSHURAM ARYAL</t>
  </si>
  <si>
    <t>411011/82655</t>
  </si>
  <si>
    <t>3010100094839010</t>
  </si>
  <si>
    <t>1301060002782479</t>
  </si>
  <si>
    <t>SIDDHI THAKURI</t>
  </si>
  <si>
    <t>PUSHKAR THAKURI</t>
  </si>
  <si>
    <t>YOG BAHADUR THAKURI</t>
  </si>
  <si>
    <t>12626803</t>
  </si>
  <si>
    <t>00105150272636</t>
  </si>
  <si>
    <t>1301610000006167</t>
  </si>
  <si>
    <t>HEM BAHADUR KATUWAL</t>
  </si>
  <si>
    <t>TANKA BAHADUR KATWAL</t>
  </si>
  <si>
    <t>YASHODA POKHREL</t>
  </si>
  <si>
    <t>2008-201</t>
  </si>
  <si>
    <t>0200046430900014</t>
  </si>
  <si>
    <t>1301610001116401</t>
  </si>
  <si>
    <t>SUJA KHATIWADA</t>
  </si>
  <si>
    <t>PARASHURAM KHATIWADA</t>
  </si>
  <si>
    <t>CHUDAMANI KHATIWADA</t>
  </si>
  <si>
    <t>362035174</t>
  </si>
  <si>
    <t>0260033000900016</t>
  </si>
  <si>
    <t>1301610001116471</t>
  </si>
  <si>
    <t>SHAKTI KUMAR CHALISE</t>
  </si>
  <si>
    <t>MADHAV PRASAD CHALISE</t>
  </si>
  <si>
    <t>AGNI SHANTA CHALISE</t>
  </si>
  <si>
    <t>15655</t>
  </si>
  <si>
    <t>0390056230500016</t>
  </si>
  <si>
    <t>1301010000304277</t>
  </si>
  <si>
    <t>MUKUNDA NEUPANE</t>
  </si>
  <si>
    <t>SHREE PRASHAD NEUPANE/ TARA NEUPANE</t>
  </si>
  <si>
    <t>BANDANA PANDE/ DURGA PRASHAD NEUPANE</t>
  </si>
  <si>
    <t>10812/4329</t>
  </si>
  <si>
    <t>02201000000013604550</t>
  </si>
  <si>
    <t>1301370001337108</t>
  </si>
  <si>
    <t>Basanta Kumar Lohani</t>
  </si>
  <si>
    <t>Bed Prasad Lohani</t>
  </si>
  <si>
    <t>Rudra Prasad Lohani</t>
  </si>
  <si>
    <t>5262</t>
  </si>
  <si>
    <t>6387953828052401</t>
  </si>
  <si>
    <t>1301100000629530</t>
  </si>
  <si>
    <t>SHISHIR TAMANG</t>
  </si>
  <si>
    <t>MAITA TAMANG</t>
  </si>
  <si>
    <t>261/47178</t>
  </si>
  <si>
    <t>0760059719200013</t>
  </si>
  <si>
    <t>1301080001161139</t>
  </si>
  <si>
    <t>RAMRAJ THAPA</t>
  </si>
  <si>
    <t>CHINIYA KAJI THAPA</t>
  </si>
  <si>
    <t>6564/11510</t>
  </si>
  <si>
    <t>07500501200367</t>
  </si>
  <si>
    <t>1301440000273821</t>
  </si>
  <si>
    <t>DIPAK MIJAR</t>
  </si>
  <si>
    <t>RAMESH MIJAR</t>
  </si>
  <si>
    <t>BAL BAHADUR MIJAR</t>
  </si>
  <si>
    <t>30-01-73-05870</t>
  </si>
  <si>
    <t>23907010081698</t>
  </si>
  <si>
    <t>1301100000319686</t>
  </si>
  <si>
    <t>HIMAL BAHADUR ROKAYA</t>
  </si>
  <si>
    <t>PARU ROKAYA</t>
  </si>
  <si>
    <t>KARA ROKAYA</t>
  </si>
  <si>
    <t>27015</t>
  </si>
  <si>
    <t>01026139417</t>
  </si>
  <si>
    <t>1301370007642721</t>
  </si>
  <si>
    <t>BAL BAHADUR CHOCHANGI MAGAR</t>
  </si>
  <si>
    <t>KAL BAHADUR CHOCHANGI MAGAR</t>
  </si>
  <si>
    <t>NARBIR CHOCHANGI MAGAR</t>
  </si>
  <si>
    <t>511029/19</t>
  </si>
  <si>
    <t>0165750960971001</t>
  </si>
  <si>
    <t>1301090002574131</t>
  </si>
  <si>
    <t>BIBEK PAUDEL</t>
  </si>
  <si>
    <t>RAM PRASAD PAUDEL</t>
  </si>
  <si>
    <t>LALU PADHYA PAUDEL</t>
  </si>
  <si>
    <t>6660</t>
  </si>
  <si>
    <t>01215004185</t>
  </si>
  <si>
    <t>1301440000403081</t>
  </si>
  <si>
    <t>AMRIT BIKRAM MALLA</t>
  </si>
  <si>
    <t>TEK BAHADUR MALLA</t>
  </si>
  <si>
    <t>KABIR MALLA</t>
  </si>
  <si>
    <t>651001/2168</t>
  </si>
  <si>
    <t>03607010031736</t>
  </si>
  <si>
    <t>1301370007902193</t>
  </si>
  <si>
    <t>SAMAYADIN GADARIYA</t>
  </si>
  <si>
    <t>DULARE GADARIYA</t>
  </si>
  <si>
    <t>KOILE GADARIYA</t>
  </si>
  <si>
    <t>661017-340</t>
  </si>
  <si>
    <t>2185751578044002</t>
  </si>
  <si>
    <t>1301120000149050</t>
  </si>
  <si>
    <t>Ganesh Prasad Mishra</t>
  </si>
  <si>
    <t>Netra Prasad Mishra</t>
  </si>
  <si>
    <t>Janak Lal Mishra</t>
  </si>
  <si>
    <t>4107</t>
  </si>
  <si>
    <t>045000001410E</t>
  </si>
  <si>
    <t>1301650000209185</t>
  </si>
  <si>
    <t>RESHAM BAHADUR THAPA</t>
  </si>
  <si>
    <t>SHASIRAM THAPA</t>
  </si>
  <si>
    <t>GAN BAHADUR THAPA</t>
  </si>
  <si>
    <t>6804/2278</t>
  </si>
  <si>
    <t>1160100002903104</t>
  </si>
  <si>
    <t>1301250000876401</t>
  </si>
  <si>
    <t>YUBARAJ NIROULA</t>
  </si>
  <si>
    <t>ISHORI PRASAD NIROULA/MAIYA DEVI NIROULA</t>
  </si>
  <si>
    <t>UMA NATH NIROULA</t>
  </si>
  <si>
    <t>052043/5424</t>
  </si>
  <si>
    <t>03607010293563</t>
  </si>
  <si>
    <t>1301150000035770</t>
  </si>
  <si>
    <t>BHIM RAI</t>
  </si>
  <si>
    <t>LAHUMAN RAI</t>
  </si>
  <si>
    <t>399/974</t>
  </si>
  <si>
    <t>1130100046742010</t>
  </si>
  <si>
    <t>1301720000577216</t>
  </si>
  <si>
    <t>SUBASH BELBASE</t>
  </si>
  <si>
    <t>PUNA RAM BELBASE</t>
  </si>
  <si>
    <t>JIBA LAL BELBASE</t>
  </si>
  <si>
    <t>37-02-72-00221</t>
  </si>
  <si>
    <t>0414701699867012</t>
  </si>
  <si>
    <t>1301040002014221</t>
  </si>
  <si>
    <t>MADAN DULAL</t>
  </si>
  <si>
    <t>SHEKHAR KANTA DULAL/SITA DULAL</t>
  </si>
  <si>
    <t>/DURGA DAS DULAL</t>
  </si>
  <si>
    <t>30-01-73-12507</t>
  </si>
  <si>
    <t>01510017515588</t>
  </si>
  <si>
    <t>1302200000007779</t>
  </si>
  <si>
    <t>Deepak Limbu</t>
  </si>
  <si>
    <t>Yug Bahadur Limbu/Parbati Limbu</t>
  </si>
  <si>
    <t>Ghalindra Limbu</t>
  </si>
  <si>
    <t>3171</t>
  </si>
  <si>
    <t>00204187360018</t>
  </si>
  <si>
    <t>1301240000001738</t>
  </si>
  <si>
    <t>SURENDRA BHUSAN DHAUBHADEL</t>
  </si>
  <si>
    <t>ISHWORI BHAKTA DHAUBHADEL</t>
  </si>
  <si>
    <t>LAXMI BHAKTA DHAUBHADEL/KAMALI VAIDYA(DHAUBHADEL)</t>
  </si>
  <si>
    <t>214/024/25</t>
  </si>
  <si>
    <t>0690421653214001</t>
  </si>
  <si>
    <t>1301570000970531</t>
  </si>
  <si>
    <t>DIPENDRA KUMAR SINGH</t>
  </si>
  <si>
    <t>BIRENDRA KUMAR SINGH/FUL KUMARI DEVI</t>
  </si>
  <si>
    <t>DUKHI MAHATO</t>
  </si>
  <si>
    <t>151073/18467</t>
  </si>
  <si>
    <t>04110707533927000001</t>
  </si>
  <si>
    <t>1301470000007263</t>
  </si>
  <si>
    <t>SHYAM KRISHNA CHANDYO SHRESTHA</t>
  </si>
  <si>
    <t>KRISHNA HARI CHANDYO</t>
  </si>
  <si>
    <t>LAXMI NARAYAN CHANDYO</t>
  </si>
  <si>
    <t>2080</t>
  </si>
  <si>
    <t>00105010098672</t>
  </si>
  <si>
    <t>1301060003085937</t>
  </si>
  <si>
    <t>RAMAN KHULAL</t>
  </si>
  <si>
    <t>GOPAL KHULAL KHATRI/SARASWATI KHULAL</t>
  </si>
  <si>
    <t>FATA BAHADUR KHULAL</t>
  </si>
  <si>
    <t>301024/184417</t>
  </si>
  <si>
    <t>11405080011570</t>
  </si>
  <si>
    <t>1301120002573384</t>
  </si>
  <si>
    <t>Sandesh Khatiwada</t>
  </si>
  <si>
    <t>Govinda Prasad Khatiwada/ Tulasa Devi Devkota</t>
  </si>
  <si>
    <t>Loknath Khatiwada</t>
  </si>
  <si>
    <t>31-01-70-05277</t>
  </si>
  <si>
    <t>04607010001150</t>
  </si>
  <si>
    <t>1301770000657578</t>
  </si>
  <si>
    <t>GITA PARAJULI</t>
  </si>
  <si>
    <t>HIRAMANI PARAJULI/AMBIKA PARAJULI</t>
  </si>
  <si>
    <t>RUDRA PRASAD PARAJULI</t>
  </si>
  <si>
    <t>300106714814</t>
  </si>
  <si>
    <t>04622565040017</t>
  </si>
  <si>
    <t>1301520000059410</t>
  </si>
  <si>
    <t>SHER BAHADUR THAPA</t>
  </si>
  <si>
    <t>CHAMPHA THAPA</t>
  </si>
  <si>
    <t>870</t>
  </si>
  <si>
    <t>0270016021400001</t>
  </si>
  <si>
    <t>1301120000056407</t>
  </si>
  <si>
    <t>SIMRAN MAHARJAN</t>
  </si>
  <si>
    <t>GYANI BABU MAHARJAN</t>
  </si>
  <si>
    <t>BUDDHA MAHARJAN</t>
  </si>
  <si>
    <t>27-01-75-12256</t>
  </si>
  <si>
    <t>0230007858500011</t>
  </si>
  <si>
    <t>1301090003037533</t>
  </si>
  <si>
    <t>BHAKTIRAM POKHAREL</t>
  </si>
  <si>
    <t>KHADANANDA/TULKADEVI POKHAREL</t>
  </si>
  <si>
    <t>GOPIRAM POKHAREL/SHARADA POKHAREL</t>
  </si>
  <si>
    <t>404014430/737</t>
  </si>
  <si>
    <t>01615420351</t>
  </si>
  <si>
    <t>1301100001291745</t>
  </si>
  <si>
    <t>binaya bhusal</t>
  </si>
  <si>
    <t>moti bhusal</t>
  </si>
  <si>
    <t>keshab raj bhusal</t>
  </si>
  <si>
    <t>36-02-74-03003</t>
  </si>
  <si>
    <t>0910084806000016</t>
  </si>
  <si>
    <t>1301120000056411</t>
  </si>
  <si>
    <t>SIMRIKA MAHARJAN</t>
  </si>
  <si>
    <t>GYANIBABU MAHARJAN</t>
  </si>
  <si>
    <t>27-01-79-14139</t>
  </si>
  <si>
    <t>0230007858400011</t>
  </si>
  <si>
    <t>1301120000056445</t>
  </si>
  <si>
    <t>SHARMILA MAHARJAN</t>
  </si>
  <si>
    <t>PURNA MAHARJAN</t>
  </si>
  <si>
    <t>BAKHAT MAN MAHARJAN/GYANI BABU MAHARJAN</t>
  </si>
  <si>
    <t>2336/1640</t>
  </si>
  <si>
    <t>0230007858300011</t>
  </si>
  <si>
    <t>1301120000056430</t>
  </si>
  <si>
    <t>KANCHA MAHARJAN/SHARMILA MAHARJAN</t>
  </si>
  <si>
    <t>2182</t>
  </si>
  <si>
    <t>0230007858200011</t>
  </si>
  <si>
    <t>1301650000308748</t>
  </si>
  <si>
    <t>SHILA ARYAL</t>
  </si>
  <si>
    <t>RAM PRASAD ARYAL / SABITA ARYAL</t>
  </si>
  <si>
    <t>BUDDI RAM ARYAL / BISHNU PRASAD KHANAL</t>
  </si>
  <si>
    <t>3-11-72768</t>
  </si>
  <si>
    <t>3530100000468012</t>
  </si>
  <si>
    <t>1301090000888634</t>
  </si>
  <si>
    <t>BHOJRAJ BHUSAL</t>
  </si>
  <si>
    <t>JIBRAJ BHUSAL/DHANADEVI BHUSAL</t>
  </si>
  <si>
    <t>CHINTAMANI BHUSAL/ RANJANA BHATTA BHUSAL</t>
  </si>
  <si>
    <t>33980</t>
  </si>
  <si>
    <t>01315089411</t>
  </si>
  <si>
    <t>1301170000410111</t>
  </si>
  <si>
    <t>DR LEKHANATH BARAL</t>
  </si>
  <si>
    <t>DEVI DATTA BARAL</t>
  </si>
  <si>
    <t>TILU BARAL</t>
  </si>
  <si>
    <t>89767</t>
  </si>
  <si>
    <t>0050100001017027</t>
  </si>
  <si>
    <t>1301090000963589</t>
  </si>
  <si>
    <t>JUN KAJI GURUNG</t>
  </si>
  <si>
    <t>INDRA BAHADUR GURUNG</t>
  </si>
  <si>
    <t>243010/24</t>
  </si>
  <si>
    <t>01715307270</t>
  </si>
  <si>
    <t>1301440000432379</t>
  </si>
  <si>
    <t>PRAKASH RAI</t>
  </si>
  <si>
    <t>BIRMAN RAI</t>
  </si>
  <si>
    <t>ASDHAN RAI</t>
  </si>
  <si>
    <t>11-01-70-00080</t>
  </si>
  <si>
    <t>03607010057442</t>
  </si>
  <si>
    <t>1301600000814229</t>
  </si>
  <si>
    <t>ANU BASNET</t>
  </si>
  <si>
    <t>RABINDRA BASNET/RAJ KUMARI BASNET</t>
  </si>
  <si>
    <t>14-01-73-04831</t>
  </si>
  <si>
    <t>2698750649814001</t>
  </si>
  <si>
    <t>1301080000079040</t>
  </si>
  <si>
    <t>SURAJ BAHADUR CHAND</t>
  </si>
  <si>
    <t>AMARNATH CHAND</t>
  </si>
  <si>
    <t>32787</t>
  </si>
  <si>
    <t>02700516201203</t>
  </si>
  <si>
    <t>1301070001511529</t>
  </si>
  <si>
    <t>PARISHA HUMAGAIN</t>
  </si>
  <si>
    <t>RAM CHANDRA HUMAGAIN</t>
  </si>
  <si>
    <t>BISHNU PRASAD HUMAGAIN</t>
  </si>
  <si>
    <t>2078090904565</t>
  </si>
  <si>
    <t>03543006562</t>
  </si>
  <si>
    <t>1301580000104201</t>
  </si>
  <si>
    <t>ACHYUT RAJ BHANDARI</t>
  </si>
  <si>
    <t>HARI PRASAD BHANDARI</t>
  </si>
  <si>
    <t>GAURI SHANKAR BHANDARI</t>
  </si>
  <si>
    <t>50948</t>
  </si>
  <si>
    <t>009011040001290</t>
  </si>
  <si>
    <t>1301520002106315</t>
  </si>
  <si>
    <t>SHANKAR PRASAD KHATIWODA</t>
  </si>
  <si>
    <t>BHOLA NATH KHATIWODA / NARA DEVI KHATIWODA</t>
  </si>
  <si>
    <t>PUSPALAL KHATIWODA</t>
  </si>
  <si>
    <t>436</t>
  </si>
  <si>
    <t>0070317268000001</t>
  </si>
  <si>
    <t>1301170001458846</t>
  </si>
  <si>
    <t>APEKSHA PANTHI</t>
  </si>
  <si>
    <t>ASHOK PANTHI</t>
  </si>
  <si>
    <t>CHUDAMANI PANTHI</t>
  </si>
  <si>
    <t>40-01-74-01566</t>
  </si>
  <si>
    <t>1230100000077041</t>
  </si>
  <si>
    <t>1301060002142096</t>
  </si>
  <si>
    <t>SUBASH SUBEDI</t>
  </si>
  <si>
    <t>KAPIL PRASAD SUBEDI</t>
  </si>
  <si>
    <t>GOVINDA PRASAD SUBEDI</t>
  </si>
  <si>
    <t>30-01-76-04118</t>
  </si>
  <si>
    <t>00505080347334</t>
  </si>
  <si>
    <t>1301090001759559</t>
  </si>
  <si>
    <t>MINA NEUPANE</t>
  </si>
  <si>
    <t>DHUNDURAJ NEUPANE</t>
  </si>
  <si>
    <t>DRONACHARYA NEUPANE</t>
  </si>
  <si>
    <t>25-01-70-14319</t>
  </si>
  <si>
    <t>00416297340</t>
  </si>
  <si>
    <t>1301230000042438</t>
  </si>
  <si>
    <t>MAHENDRA PRASAD SHAH TELI</t>
  </si>
  <si>
    <t>MANORATH PRASAD SHAH TELI</t>
  </si>
  <si>
    <t>PINKI KUMARI / DASAI SHAH</t>
  </si>
  <si>
    <t>1308/918</t>
  </si>
  <si>
    <t>0710017505530</t>
  </si>
  <si>
    <t>1301370004818829</t>
  </si>
  <si>
    <t>RADHA KRISHANA MAHTO</t>
  </si>
  <si>
    <t>RAM EKWAL MAHATO</t>
  </si>
  <si>
    <t>RAMESHWOR MAHATO</t>
  </si>
  <si>
    <t>19-01-70-06976</t>
  </si>
  <si>
    <t>0425751464260001</t>
  </si>
  <si>
    <t>1301040002862313</t>
  </si>
  <si>
    <t>SHYAM BABU SHAH</t>
  </si>
  <si>
    <t>MAHENDRA SAHU TELI /BINODIYA DEVI SAH</t>
  </si>
  <si>
    <t>/GANGA RAM SAH</t>
  </si>
  <si>
    <t>152005/8353</t>
  </si>
  <si>
    <t>08010017506488</t>
  </si>
  <si>
    <t>1301220000461749</t>
  </si>
  <si>
    <t>DEEPA BUDHA MAGAR</t>
  </si>
  <si>
    <t>BHOJ BIKRAM BUDHA MAGAR</t>
  </si>
  <si>
    <t>KULMAN BUDHA MAGAR</t>
  </si>
  <si>
    <t>53-01-75-02212</t>
  </si>
  <si>
    <t>25707010006834</t>
  </si>
  <si>
    <t>1301770000621304</t>
  </si>
  <si>
    <t>SANTOSH UPADHYAYA</t>
  </si>
  <si>
    <t>MADHUSUDAN PRASAD UPADHYAYA/GYANU DEVI DHUNGANA</t>
  </si>
  <si>
    <t>HARIHAR PRASAD UPADHYAYA</t>
  </si>
  <si>
    <t>12437</t>
  </si>
  <si>
    <t>03300575760017</t>
  </si>
  <si>
    <t>1301370003278801</t>
  </si>
  <si>
    <t>MAMATA CHAUDHARY</t>
  </si>
  <si>
    <t>JAYA SING CHAUDHARY</t>
  </si>
  <si>
    <t>SUDIP CHAUDHARY</t>
  </si>
  <si>
    <t>86-01-70-14418</t>
  </si>
  <si>
    <t>2565750906795001</t>
  </si>
  <si>
    <t>1301730000644374</t>
  </si>
  <si>
    <t>KAMAL REGMI</t>
  </si>
  <si>
    <t>DABAL PRASAD REGMI/LAXMI REGMI</t>
  </si>
  <si>
    <t>BHESH RAJ REGMI</t>
  </si>
  <si>
    <t>422041/36263</t>
  </si>
  <si>
    <t>17905280000697</t>
  </si>
  <si>
    <t>1301370004324572</t>
  </si>
  <si>
    <t>KRISHA CHAUDHARY</t>
  </si>
  <si>
    <t>CHANDRIKA CHAUDHARY</t>
  </si>
  <si>
    <t>2077092502653</t>
  </si>
  <si>
    <t>2565751389965001</t>
  </si>
  <si>
    <t>1301650000907507</t>
  </si>
  <si>
    <t>BHOLA MANI DAHAL</t>
  </si>
  <si>
    <t>KUNJAR MANI DAHAL</t>
  </si>
  <si>
    <t>NAR NATH DAHAL/RAMALA KUMARI PAUDEL</t>
  </si>
  <si>
    <t>191</t>
  </si>
  <si>
    <t>2070100016186010</t>
  </si>
  <si>
    <t>1301360000030261</t>
  </si>
  <si>
    <t>MUKESH SHRESTHA</t>
  </si>
  <si>
    <t>RATNA BAHADUR SHRESTHA</t>
  </si>
  <si>
    <t>2165/36097</t>
  </si>
  <si>
    <t>00201000487468000001</t>
  </si>
  <si>
    <t>1301370004095937</t>
  </si>
  <si>
    <t>Om Neupane</t>
  </si>
  <si>
    <t>Jagdishwor Neupane</t>
  </si>
  <si>
    <t>Than Prasad Neupane</t>
  </si>
  <si>
    <t>27-01-76-09580</t>
  </si>
  <si>
    <t>0605751387207001</t>
  </si>
  <si>
    <t>1301070001658313</t>
  </si>
  <si>
    <t>BIJESH RAJ TULADHAR</t>
  </si>
  <si>
    <t>DIL RAJ TULADHAR</t>
  </si>
  <si>
    <t>DHANI RAJ TULADHAR</t>
  </si>
  <si>
    <t>2864</t>
  </si>
  <si>
    <t>1901306120055654</t>
  </si>
  <si>
    <t>1301100002175571</t>
  </si>
  <si>
    <t>PUNAM ACHARYA</t>
  </si>
  <si>
    <t>JAYA SHANKAR ACHARYA</t>
  </si>
  <si>
    <t>JAGANNATH ACHARYA</t>
  </si>
  <si>
    <t>28-01-71-02171</t>
  </si>
  <si>
    <t>1990163925400010</t>
  </si>
  <si>
    <t>1301260001129277</t>
  </si>
  <si>
    <t>BIKRAM KHATRI</t>
  </si>
  <si>
    <t>DURGA BAHADUR KHATRI/BHUMA DEVI KHATRI</t>
  </si>
  <si>
    <t>SHASHIDER KHATRI</t>
  </si>
  <si>
    <t>41-01-74-05-298</t>
  </si>
  <si>
    <t>0020174939400012</t>
  </si>
  <si>
    <t>1301370000568633</t>
  </si>
  <si>
    <t>Sabina Pokharel</t>
  </si>
  <si>
    <t>Madhav Prasad Pokharel</t>
  </si>
  <si>
    <t>Sanjeev Timalsina</t>
  </si>
  <si>
    <t>29-01-066-00062</t>
  </si>
  <si>
    <t>3969937632524001</t>
  </si>
  <si>
    <t>1301370001337165</t>
  </si>
  <si>
    <t>Biswa Ram Twati</t>
  </si>
  <si>
    <t>Suku Narayan Twati</t>
  </si>
  <si>
    <t>Bhakta Narayan Twati</t>
  </si>
  <si>
    <t>136</t>
  </si>
  <si>
    <t>08SB023126NPR001</t>
  </si>
  <si>
    <t>1301060003156672</t>
  </si>
  <si>
    <t>RUPESH CHAUDHARY</t>
  </si>
  <si>
    <t>RAMESH CHAUDHARY/RENU CHAUDHARY</t>
  </si>
  <si>
    <t>BAL KISHOR CHAUDHARY</t>
  </si>
  <si>
    <t>183026/9</t>
  </si>
  <si>
    <t>01905080066981</t>
  </si>
  <si>
    <t>1301310000024881</t>
  </si>
  <si>
    <t>RAM BAHADUR KUNWAR</t>
  </si>
  <si>
    <t>KRISHNA BAHADUR KUNWAR</t>
  </si>
  <si>
    <t>HARKA BAHADUR KUNWAR</t>
  </si>
  <si>
    <t>29-01-065-02430</t>
  </si>
  <si>
    <t>00720243107</t>
  </si>
  <si>
    <t>1301120005141916</t>
  </si>
  <si>
    <t>ANIL KUMAR CHAUDHARY</t>
  </si>
  <si>
    <t>RAM GOPAL CHAUDHARY</t>
  </si>
  <si>
    <t>SITA RAM DANGAURA THARU</t>
  </si>
  <si>
    <t>673023/674</t>
  </si>
  <si>
    <t>08807010099846</t>
  </si>
  <si>
    <t>1301040001143311</t>
  </si>
  <si>
    <t>KAILASH NEUPANE</t>
  </si>
  <si>
    <t>NABARAJ NEUPANE/KALIKA NEUPANE</t>
  </si>
  <si>
    <t>MOTI PRASAD NEUPANE/</t>
  </si>
  <si>
    <t>22-1-77-00312</t>
  </si>
  <si>
    <t>04010017507468</t>
  </si>
  <si>
    <t>1301100000415528</t>
  </si>
  <si>
    <t>RACHEET SAH</t>
  </si>
  <si>
    <t>SHATRUDHAN SAH</t>
  </si>
  <si>
    <t>YOGENDRA SAH</t>
  </si>
  <si>
    <t>180</t>
  </si>
  <si>
    <t>06920500505969000001</t>
  </si>
  <si>
    <t>1301430000002750</t>
  </si>
  <si>
    <t>Dipak Bhandari</t>
  </si>
  <si>
    <t>Kabiram Bhandari</t>
  </si>
  <si>
    <t>Damodar Bhandari</t>
  </si>
  <si>
    <t>17603</t>
  </si>
  <si>
    <t>00526300455</t>
  </si>
  <si>
    <t>1301120001119111</t>
  </si>
  <si>
    <t>roshan bhakta suwal</t>
  </si>
  <si>
    <t>tulsi bhakta suwal</t>
  </si>
  <si>
    <t>laxmi bhakta suwal</t>
  </si>
  <si>
    <t>297354</t>
  </si>
  <si>
    <t>08007010007084</t>
  </si>
  <si>
    <t>1301370004528184</t>
  </si>
  <si>
    <t>SHIVAM SINHA</t>
  </si>
  <si>
    <t>UJJWAL PRAKASH</t>
  </si>
  <si>
    <t>ARUN KUMAR SINHA</t>
  </si>
  <si>
    <t>024</t>
  </si>
  <si>
    <t>2635751428615001</t>
  </si>
  <si>
    <t>1301120001171409</t>
  </si>
  <si>
    <t>RABI LAL ARYAL</t>
  </si>
  <si>
    <t>GAYATRI RAJ ARYAL/AMBIKA DEVI ARYAL</t>
  </si>
  <si>
    <t>RUKMANGAT ARYAL/SARITA ARYAL</t>
  </si>
  <si>
    <t>59260</t>
  </si>
  <si>
    <t>03309017000098</t>
  </si>
  <si>
    <t>1301120001265533</t>
  </si>
  <si>
    <t>SHREERAM NEUPANE</t>
  </si>
  <si>
    <t>LALSARMA NEUPANE</t>
  </si>
  <si>
    <t>UMAKANT NEUPANE</t>
  </si>
  <si>
    <t>411023-88946</t>
  </si>
  <si>
    <t>03309015008788</t>
  </si>
  <si>
    <t>1301840000000051</t>
  </si>
  <si>
    <t>SUDHA GAUTAM SILWAL</t>
  </si>
  <si>
    <t>PRADEEP SILWAL/NIRMALA SILWAL</t>
  </si>
  <si>
    <t>MILAN GAUTAM/BHOLA SILWAL</t>
  </si>
  <si>
    <t>17551</t>
  </si>
  <si>
    <t>02501400013341000002</t>
  </si>
  <si>
    <t>1301100002279459</t>
  </si>
  <si>
    <t>SUWAS RAI</t>
  </si>
  <si>
    <t>BHAKTA KUMAR RAI</t>
  </si>
  <si>
    <t>DHAN PATI RAI</t>
  </si>
  <si>
    <t>12633</t>
  </si>
  <si>
    <t>0790166635300019</t>
  </si>
  <si>
    <t>1301520000608179</t>
  </si>
  <si>
    <t>RAJENDRA NYAUPANE</t>
  </si>
  <si>
    <t>NARAYAN PRASAD NYAUPANE</t>
  </si>
  <si>
    <t>NARADEV NYAUPANE</t>
  </si>
  <si>
    <t>411030/120</t>
  </si>
  <si>
    <t>0860036140700001</t>
  </si>
  <si>
    <t>1301090003849850</t>
  </si>
  <si>
    <t>KEDAR KHADKA</t>
  </si>
  <si>
    <t>PREM BAHADUR KHADKA</t>
  </si>
  <si>
    <t>AMAR BAHADUR KHADKA / KOPILA BISTA KHADKA</t>
  </si>
  <si>
    <t>129</t>
  </si>
  <si>
    <t>55500698068</t>
  </si>
  <si>
    <t>1301510000126211</t>
  </si>
  <si>
    <t>MOHAN KARKI</t>
  </si>
  <si>
    <t>DEVI BAHADUR KARKI</t>
  </si>
  <si>
    <t>NANU MAYA POKHAREL/BHIM BAHADUR KARKI</t>
  </si>
  <si>
    <t>2654</t>
  </si>
  <si>
    <t>20510017501143</t>
  </si>
  <si>
    <t>1301070001763565</t>
  </si>
  <si>
    <t>BHUP RAJ ADHIKARI</t>
  </si>
  <si>
    <t>DAMMAR DEV ADHIKARI</t>
  </si>
  <si>
    <t>TILACHAM ADHIKARI</t>
  </si>
  <si>
    <t>14656</t>
  </si>
  <si>
    <t>0711422447055001</t>
  </si>
  <si>
    <t>1301120004684168</t>
  </si>
  <si>
    <t>GYAN PRASAD BHURTEL</t>
  </si>
  <si>
    <t>MUKTI PRASAD BHURTEL</t>
  </si>
  <si>
    <t>PRABHAKHAR BHURTEL</t>
  </si>
  <si>
    <t>16677</t>
  </si>
  <si>
    <t>03309013094990</t>
  </si>
  <si>
    <t>1301370001300962</t>
  </si>
  <si>
    <t>Khaga Raj Subedi</t>
  </si>
  <si>
    <t>Bhanu Bhakta Subedi</t>
  </si>
  <si>
    <t>Maheshwor Subedi</t>
  </si>
  <si>
    <t>51-01-69-01309</t>
  </si>
  <si>
    <t>1662982904524001</t>
  </si>
  <si>
    <t>1301690000529612</t>
  </si>
  <si>
    <t>KESHAR BAHADUR SHAHI/JAMUNA SHAHI</t>
  </si>
  <si>
    <t>JAY BAHADUR SHAHI/GANGA SINGH SHAHI</t>
  </si>
  <si>
    <t>3576</t>
  </si>
  <si>
    <t>03001000000256201653</t>
  </si>
  <si>
    <t>1301370000233939</t>
  </si>
  <si>
    <t>Narayan Prasad Kandel</t>
  </si>
  <si>
    <t>Prajapati Kandel</t>
  </si>
  <si>
    <t>Pasupati Kandel</t>
  </si>
  <si>
    <t>1830</t>
  </si>
  <si>
    <t>025000004790E</t>
  </si>
  <si>
    <t>1301090001101458</t>
  </si>
  <si>
    <t>ANJU ADHIKARI</t>
  </si>
  <si>
    <t>KHADANANDA ADHIKARI</t>
  </si>
  <si>
    <t>JEVLAL ADHIKARI</t>
  </si>
  <si>
    <t>2/32639</t>
  </si>
  <si>
    <t>00415054919</t>
  </si>
  <si>
    <t>1301610001261251</t>
  </si>
  <si>
    <t>MILAN SHAKYA</t>
  </si>
  <si>
    <t>KHADKA MAN BADA</t>
  </si>
  <si>
    <t>MENUKA SHAKYA SHRESTHA</t>
  </si>
  <si>
    <t>33/190</t>
  </si>
  <si>
    <t>0120075091600018</t>
  </si>
  <si>
    <t>1301040000364275</t>
  </si>
  <si>
    <t>KAPIL TAMANG</t>
  </si>
  <si>
    <t>LANGDE TAMANG/PADAM MAYA MOKTAN</t>
  </si>
  <si>
    <t>GANGA BAHADUR TAMANG</t>
  </si>
  <si>
    <t>22-01-72-03005</t>
  </si>
  <si>
    <t>1510017504727</t>
  </si>
  <si>
    <t>1301120001821313</t>
  </si>
  <si>
    <t>KASIM SHRESTHA</t>
  </si>
  <si>
    <t>KAPIL SHRESTHA</t>
  </si>
  <si>
    <t>THAKUR LAL SHRESTHA</t>
  </si>
  <si>
    <t>10092</t>
  </si>
  <si>
    <t>29707010000098</t>
  </si>
  <si>
    <t>1301370005301189</t>
  </si>
  <si>
    <t>SMRITI THAPA</t>
  </si>
  <si>
    <t>DAL BAHDUR THAPA</t>
  </si>
  <si>
    <t>GYAN BAHADUR THAPA</t>
  </si>
  <si>
    <t>21-01-78-04375</t>
  </si>
  <si>
    <t>0125751604560001</t>
  </si>
  <si>
    <t>1301060000350091</t>
  </si>
  <si>
    <t>ARJUN KUMAR POUDEL</t>
  </si>
  <si>
    <t>DILLI RAM POUDEL</t>
  </si>
  <si>
    <t>PADAM PANI POUDEL</t>
  </si>
  <si>
    <t>363</t>
  </si>
  <si>
    <t>0230022725500011</t>
  </si>
  <si>
    <t>1301520002031516</t>
  </si>
  <si>
    <t>HARI CHANDRA ARAN</t>
  </si>
  <si>
    <t>MANI RAJ ARAN / DAMBAR KUMARI ARAN</t>
  </si>
  <si>
    <t>AMRIT RAJ ARAN</t>
  </si>
  <si>
    <t>211038-8649</t>
  </si>
  <si>
    <t>2350320617900001</t>
  </si>
  <si>
    <t>1301100000160165</t>
  </si>
  <si>
    <t>RAMESH KUMAR AGRAWAL</t>
  </si>
  <si>
    <t>VISWANATH AGRAWAL</t>
  </si>
  <si>
    <t>RAMCHANDRA AGRAWAL</t>
  </si>
  <si>
    <t>00900879360014</t>
  </si>
  <si>
    <t>1301560000053605</t>
  </si>
  <si>
    <t>DEEPAK BAHADUR ADHIKARI</t>
  </si>
  <si>
    <t>CHET BAHADUR ADHIKARI</t>
  </si>
  <si>
    <t>7682403</t>
  </si>
  <si>
    <t>009011050000558</t>
  </si>
  <si>
    <t>1301090004383477</t>
  </si>
  <si>
    <t>SURENDRA CHHETRI</t>
  </si>
  <si>
    <t>372037-78420</t>
  </si>
  <si>
    <t>55505299543</t>
  </si>
  <si>
    <t>1301390000026797</t>
  </si>
  <si>
    <t>NIRMALA KOIRALA</t>
  </si>
  <si>
    <t>PASHUPATINATH KOIRALA</t>
  </si>
  <si>
    <t>RAJAN PARAJULI/PADAM PD KOIRALA</t>
  </si>
  <si>
    <t>3778/1032</t>
  </si>
  <si>
    <t>0160016716000011</t>
  </si>
  <si>
    <t>1301730001864605</t>
  </si>
  <si>
    <t>BISWAS TAMANG</t>
  </si>
  <si>
    <t>TEK BAHADUR TAMANG/BISHNU MAYA TAMANG</t>
  </si>
  <si>
    <t>AITA BAHADUR TAMANG</t>
  </si>
  <si>
    <t>581/4025/1158</t>
  </si>
  <si>
    <t>28905350002097</t>
  </si>
  <si>
    <t>1301080000837710</t>
  </si>
  <si>
    <t>MOHAN SINGH RAWAL/ GUMA DEVI RAWAL</t>
  </si>
  <si>
    <t>BUDDHI SINGH RAWAL /SRIJANA RAWAL</t>
  </si>
  <si>
    <t>691039/2242</t>
  </si>
  <si>
    <t>05000501205225</t>
  </si>
  <si>
    <t>1301230000160416</t>
  </si>
  <si>
    <t>RAM BABU AGRAWAL</t>
  </si>
  <si>
    <t>TIRKHA RAM AGRAWAL /SAVITRI DEVI AGRAWAL</t>
  </si>
  <si>
    <t>MANJU AGRAWAL /DALU RAM AGRAWAL</t>
  </si>
  <si>
    <t>42/046/47</t>
  </si>
  <si>
    <t>2120100019140010</t>
  </si>
  <si>
    <t>1301520000096683</t>
  </si>
  <si>
    <t>INDIRA RAUT</t>
  </si>
  <si>
    <t>MOHAN BAHADUR RAUT</t>
  </si>
  <si>
    <t>PADAM BAHADUR RAUT</t>
  </si>
  <si>
    <t>116705</t>
  </si>
  <si>
    <t>0070007210800001</t>
  </si>
  <si>
    <t>1301100003163483</t>
  </si>
  <si>
    <t>SOM RAJ TAMANG</t>
  </si>
  <si>
    <t>POTE TAMANG</t>
  </si>
  <si>
    <t>KAMPA TAMANG</t>
  </si>
  <si>
    <t>45/044</t>
  </si>
  <si>
    <t>0750131127700013</t>
  </si>
  <si>
    <t>1301120005025935</t>
  </si>
  <si>
    <t>RAJ KUMAR BK</t>
  </si>
  <si>
    <t>SHYAM KUMAR KAMI</t>
  </si>
  <si>
    <t>CHYANTE KAMI</t>
  </si>
  <si>
    <t>31-01-71-11546</t>
  </si>
  <si>
    <t>03807010171526</t>
  </si>
  <si>
    <t>1301260000574734</t>
  </si>
  <si>
    <t>CHANDRA PRASAD KHATIWADA/NANDA KUMARI KHATIWADA</t>
  </si>
  <si>
    <t>GANGA PRASAD KHATIWADA</t>
  </si>
  <si>
    <t>6481</t>
  </si>
  <si>
    <t>0540116855900011</t>
  </si>
  <si>
    <t>1301100001111619</t>
  </si>
  <si>
    <t>DHRUBA KUMAR KHATIWADA</t>
  </si>
  <si>
    <t>DEVI PRASAD KHATIWADA</t>
  </si>
  <si>
    <t>DELI RAM KHATIWADA</t>
  </si>
  <si>
    <t>27122/29122</t>
  </si>
  <si>
    <t>0080128454100010</t>
  </si>
  <si>
    <t>1301240001670820</t>
  </si>
  <si>
    <t>MD AZIZUL RAHMAN</t>
  </si>
  <si>
    <t>MD JABBAR MIYA/JAMILA KHATUN</t>
  </si>
  <si>
    <t>MD RAMZAN MIYA/RUBEDA KHATUN</t>
  </si>
  <si>
    <t>161056/81</t>
  </si>
  <si>
    <t>02410114186016</t>
  </si>
  <si>
    <t>1301570000788511</t>
  </si>
  <si>
    <t>ASMIN PAUDEL</t>
  </si>
  <si>
    <t>GANESH PAUDEL/MAMATA SAPKOTA</t>
  </si>
  <si>
    <t>PURA PRASAD PAUDEL</t>
  </si>
  <si>
    <t>2072042305349</t>
  </si>
  <si>
    <t>19401807114549000001</t>
  </si>
  <si>
    <t>1301650001710355</t>
  </si>
  <si>
    <t>ASHMINA KOIRALA</t>
  </si>
  <si>
    <t>MEJAN KOIRALA</t>
  </si>
  <si>
    <t>BALRAM KOIRALA</t>
  </si>
  <si>
    <t>2078060305095</t>
  </si>
  <si>
    <t>1150100044687010</t>
  </si>
  <si>
    <t>1301770000279824</t>
  </si>
  <si>
    <t>RAJ DAS SHRESTHA</t>
  </si>
  <si>
    <t>3694/9208</t>
  </si>
  <si>
    <t>00309575400017</t>
  </si>
  <si>
    <t>1301120000711353</t>
  </si>
  <si>
    <t>SANTOSH KUMAR KHATIWADA</t>
  </si>
  <si>
    <t>RAMHARI PRASAD KHATIWADA</t>
  </si>
  <si>
    <t>LAXMINARAYAN KHATIWADA</t>
  </si>
  <si>
    <t>271060/55890</t>
  </si>
  <si>
    <t>08907010000515</t>
  </si>
  <si>
    <t>1301370001612421</t>
  </si>
  <si>
    <t>Basanta Shrestha</t>
  </si>
  <si>
    <t>Bishnu Lal Shrestha</t>
  </si>
  <si>
    <t>Indra Bahadur Shrestha</t>
  </si>
  <si>
    <t>71778</t>
  </si>
  <si>
    <t>J587963237652401</t>
  </si>
  <si>
    <t>1301170002018095</t>
  </si>
  <si>
    <t>SAROJ KUMAR SINGH</t>
  </si>
  <si>
    <t>BAIJNATH SINGH GANGAI</t>
  </si>
  <si>
    <t>HIRA LAL SINGH</t>
  </si>
  <si>
    <t>05-06-76-00417</t>
  </si>
  <si>
    <t>1860100000301041</t>
  </si>
  <si>
    <t>1301580000351987</t>
  </si>
  <si>
    <t>TIKAMAYA SUBEDI</t>
  </si>
  <si>
    <t>ARKALAL POKHREL</t>
  </si>
  <si>
    <t>DEVI CHARAN POKHREL</t>
  </si>
  <si>
    <t>9781</t>
  </si>
  <si>
    <t>043011050000171</t>
  </si>
  <si>
    <t>1301040001204002</t>
  </si>
  <si>
    <t>PRABIN SHRESTHA</t>
  </si>
  <si>
    <t>DIRGHA MAN SHRESTHA/RUPA SHRESTHA</t>
  </si>
  <si>
    <t>GUNJA MANA SHRESTHA/</t>
  </si>
  <si>
    <t>441050/479</t>
  </si>
  <si>
    <t>4710017505255</t>
  </si>
  <si>
    <t>1301170001878556</t>
  </si>
  <si>
    <t>BHUPENDRA CHAND</t>
  </si>
  <si>
    <t>BUDDHACHAN THAKURI</t>
  </si>
  <si>
    <t>DATTU CHAND THAKURI</t>
  </si>
  <si>
    <t>65-01-71-01090</t>
  </si>
  <si>
    <t>0820100000001056</t>
  </si>
  <si>
    <t>1301060003441341</t>
  </si>
  <si>
    <t>ATAL SUBEDI</t>
  </si>
  <si>
    <t>KAPIL SUBEDI / NISHA GHIMIRE</t>
  </si>
  <si>
    <t>CHHABI RAMAN SUBEDI</t>
  </si>
  <si>
    <t>2081061500581</t>
  </si>
  <si>
    <t>02805080465649</t>
  </si>
  <si>
    <t>1301770000088003</t>
  </si>
  <si>
    <t>BIJINA RANJIT</t>
  </si>
  <si>
    <t>ASHOK KUMAR RANJIT</t>
  </si>
  <si>
    <t>27-01-74-02285</t>
  </si>
  <si>
    <t>01807720510019</t>
  </si>
  <si>
    <t>1301370003071836</t>
  </si>
  <si>
    <t>NILMANI KUMARI</t>
  </si>
  <si>
    <t>SHUBHCHANDRA MANDAL</t>
  </si>
  <si>
    <t>SONELAL MANDAL</t>
  </si>
  <si>
    <t>4560</t>
  </si>
  <si>
    <t>6187003655152401</t>
  </si>
  <si>
    <t>1301760000453817</t>
  </si>
  <si>
    <t>RENUKA KUMARI RANA</t>
  </si>
  <si>
    <t>HUM BAHADUR THAPA</t>
  </si>
  <si>
    <t>38659</t>
  </si>
  <si>
    <t>00101300002574000001</t>
  </si>
  <si>
    <t>1301090004369403</t>
  </si>
  <si>
    <t>GAUTAM GURUNG</t>
  </si>
  <si>
    <t>AMBAR BAHADUR GURUNG</t>
  </si>
  <si>
    <t>MANN BAHADUR GURUNG</t>
  </si>
  <si>
    <t>461001/16523</t>
  </si>
  <si>
    <t>55503587994</t>
  </si>
  <si>
    <t>1301440000438708</t>
  </si>
  <si>
    <t>DINESH ARYAL</t>
  </si>
  <si>
    <t>KRISHNA BAHADUR ARYAL</t>
  </si>
  <si>
    <t>HARI ARYAL</t>
  </si>
  <si>
    <t>25-01-69-03956</t>
  </si>
  <si>
    <t>27907010056610</t>
  </si>
  <si>
    <t>1301290000180091</t>
  </si>
  <si>
    <t>CHHIRING LAMA</t>
  </si>
  <si>
    <t>MEGH BAHADUR LAMA</t>
  </si>
  <si>
    <t>HIRA BAHADUR LAMA</t>
  </si>
  <si>
    <t>241036/212</t>
  </si>
  <si>
    <t>2670215533000001</t>
  </si>
  <si>
    <t>1301120002118694</t>
  </si>
  <si>
    <t>RUSHMA SHRESTHA</t>
  </si>
  <si>
    <t>TIRTHA MAN SHRESTHA</t>
  </si>
  <si>
    <t>301010/158040</t>
  </si>
  <si>
    <t>25707010004707</t>
  </si>
  <si>
    <t>1301730000936051</t>
  </si>
  <si>
    <t>HOOM MANI KANDEL</t>
  </si>
  <si>
    <t>MANI BHADRA KANDEL/TUL MAYA KANDEL</t>
  </si>
  <si>
    <t>BHAGIRATH KANDEL</t>
  </si>
  <si>
    <t>36-02-76-02020</t>
  </si>
  <si>
    <t>20105350001687</t>
  </si>
  <si>
    <t>1301080001240210</t>
  </si>
  <si>
    <t>SUBEKSHA BASNET</t>
  </si>
  <si>
    <t>RAJENDRA KUMAR BASNET</t>
  </si>
  <si>
    <t>HARKA BAHADUR BASNET</t>
  </si>
  <si>
    <t>21-01-75-02498</t>
  </si>
  <si>
    <t>10500501201242</t>
  </si>
  <si>
    <t>1301040000862593</t>
  </si>
  <si>
    <t>SANJEEV KUMAR SAH</t>
  </si>
  <si>
    <t>MAHADEV SAH/ARUNA SAH</t>
  </si>
  <si>
    <t>GHURAN SAH/</t>
  </si>
  <si>
    <t>39696860</t>
  </si>
  <si>
    <t>05210017505877</t>
  </si>
  <si>
    <t>1301170001972561</t>
  </si>
  <si>
    <t>AMAR PUDASAINI</t>
  </si>
  <si>
    <t>HARI PRASAD PUDASAINI</t>
  </si>
  <si>
    <t>BAL KRISHNA PUDASAINI</t>
  </si>
  <si>
    <t>27-20-74-00013</t>
  </si>
  <si>
    <t>1240100000457041</t>
  </si>
  <si>
    <t>1301130000099457</t>
  </si>
  <si>
    <t>SHRAWAN KUMAR YADAV</t>
  </si>
  <si>
    <t>RAM CHANDRA YADAV</t>
  </si>
  <si>
    <t>MUKHIYA YADAV</t>
  </si>
  <si>
    <t>173048/1047</t>
  </si>
  <si>
    <t>047011060000994</t>
  </si>
  <si>
    <t>1301250000192970</t>
  </si>
  <si>
    <t>ISHU MALLA</t>
  </si>
  <si>
    <t>YUDDA BAHADUR MALLA</t>
  </si>
  <si>
    <t>RAJU LAMICHHANE / CHANDRA BAHADUR MALLA</t>
  </si>
  <si>
    <t>351008/749</t>
  </si>
  <si>
    <t>04213020133503000001</t>
  </si>
  <si>
    <t>1301120004463456</t>
  </si>
  <si>
    <t>BISHAL GYAWALI</t>
  </si>
  <si>
    <t>KAMALRAJ GYAWALI</t>
  </si>
  <si>
    <t>GHANASHYAM GYAWALI</t>
  </si>
  <si>
    <t>391012/696</t>
  </si>
  <si>
    <t>24707010033664</t>
  </si>
  <si>
    <t>1301680000047007</t>
  </si>
  <si>
    <t>SAMIKSHYA BHATTA</t>
  </si>
  <si>
    <t>TEK NATH BHATTA</t>
  </si>
  <si>
    <t>SHIVA PRASAD BHATTA</t>
  </si>
  <si>
    <t>181</t>
  </si>
  <si>
    <t>13910017503226</t>
  </si>
  <si>
    <t>1301550000065151</t>
  </si>
  <si>
    <t>LAXMI DIXIT</t>
  </si>
  <si>
    <t>KRISHNA PRASAD DIXIT</t>
  </si>
  <si>
    <t>BHAIRAV PRASAD DIXIT</t>
  </si>
  <si>
    <t>99845</t>
  </si>
  <si>
    <t>002100172190601</t>
  </si>
  <si>
    <t>1301140000073218</t>
  </si>
  <si>
    <t>AMMUKA KHADKA</t>
  </si>
  <si>
    <t>UPENDRA BAHADUR THAPA</t>
  </si>
  <si>
    <t>KATAK BAHADUR THAPA/MOHAN KHADKA</t>
  </si>
  <si>
    <t>1153</t>
  </si>
  <si>
    <t>0480100000181030</t>
  </si>
  <si>
    <t>1301080000923316</t>
  </si>
  <si>
    <t>GIRIRAJ KUNWAR</t>
  </si>
  <si>
    <t>REMLAL KUNWAR</t>
  </si>
  <si>
    <t>PRITHVI MAN KUNWAR</t>
  </si>
  <si>
    <t>207</t>
  </si>
  <si>
    <t>03900501203236</t>
  </si>
  <si>
    <t>1301250000005104</t>
  </si>
  <si>
    <t>RAJU LAMICHHANE</t>
  </si>
  <si>
    <t>Kamal Prasad Lamichhane</t>
  </si>
  <si>
    <t>Tri-lochan Lamichhane</t>
  </si>
  <si>
    <t>34197</t>
  </si>
  <si>
    <t>01205080060268</t>
  </si>
  <si>
    <t>1301170001603684</t>
  </si>
  <si>
    <t>DEEPAK ACHARYA</t>
  </si>
  <si>
    <t>BHIM PRASAD ACHARYA</t>
  </si>
  <si>
    <t>DANDA PANI ACHARYA</t>
  </si>
  <si>
    <t>110043</t>
  </si>
  <si>
    <t>0040100000389041</t>
  </si>
  <si>
    <t>1301770000589717</t>
  </si>
  <si>
    <t>GUNJAMAN SHRESTHA/MIRA KUMARI SHRESTHA</t>
  </si>
  <si>
    <t>TARA LAL SHRESTHA</t>
  </si>
  <si>
    <t>4410061350</t>
  </si>
  <si>
    <t>1301520002195833</t>
  </si>
  <si>
    <t>RABINA DHIMAL</t>
  </si>
  <si>
    <t>HADU RAJDIN DHIMAL / RANJANI DHIMAL</t>
  </si>
  <si>
    <t>MAHA BIR DHIMAL</t>
  </si>
  <si>
    <t>042044</t>
  </si>
  <si>
    <t>0200121931200001</t>
  </si>
  <si>
    <t>1301380000198843</t>
  </si>
  <si>
    <t>RAHUL THAPA</t>
  </si>
  <si>
    <t>PREM BAHADUR THAPA</t>
  </si>
  <si>
    <t>HARI BAHADUR THAPA</t>
  </si>
  <si>
    <t>40-01-77-04846</t>
  </si>
  <si>
    <t>1895751853233001</t>
  </si>
  <si>
    <t>1301260001797128</t>
  </si>
  <si>
    <t>JANUKA PAUDEL</t>
  </si>
  <si>
    <t>CHHTRA BHADUR PAUDEL/TARA DEVI PAUDEL</t>
  </si>
  <si>
    <t>PADAM BHADUR PAUDEL</t>
  </si>
  <si>
    <t>14-02-74-00607</t>
  </si>
  <si>
    <t>0620186572400018</t>
  </si>
  <si>
    <t>1301040003048991</t>
  </si>
  <si>
    <t>MADHAVI BHATTA</t>
  </si>
  <si>
    <t>649-2081</t>
  </si>
  <si>
    <t>13910017504836</t>
  </si>
  <si>
    <t>1301570000311047</t>
  </si>
  <si>
    <t>KALYANI KHADKA BASNET</t>
  </si>
  <si>
    <t>GANESH BAHADUR KHADKA/CHHAY DEVI KHADKA</t>
  </si>
  <si>
    <t>213023-53</t>
  </si>
  <si>
    <t>23301106983270000001</t>
  </si>
  <si>
    <t>1301010000656276</t>
  </si>
  <si>
    <t>SURESH SINGH BHAT</t>
  </si>
  <si>
    <t>GAJUWA BHAT / JASHU BHAT</t>
  </si>
  <si>
    <t>BISHWA BHAT</t>
  </si>
  <si>
    <t>73-01-70-03903</t>
  </si>
  <si>
    <t>28951946090018</t>
  </si>
  <si>
    <t>1301120005160331</t>
  </si>
  <si>
    <t>PRABISHA POUDEL</t>
  </si>
  <si>
    <t>BISHNU POUDEL</t>
  </si>
  <si>
    <t>SHIVLAL POUDEL</t>
  </si>
  <si>
    <t>2081031403924</t>
  </si>
  <si>
    <t>20907010274227</t>
  </si>
  <si>
    <t>1301520002019870</t>
  </si>
  <si>
    <t>TEJULA KUMARI POKHREL</t>
  </si>
  <si>
    <t>GANGA PRASAD POKHREL / USHA POKHREL</t>
  </si>
  <si>
    <t>RUDRA PRASAD POKHREL</t>
  </si>
  <si>
    <t>203044/214</t>
  </si>
  <si>
    <t>2310185821600001</t>
  </si>
  <si>
    <t>1301010000373637</t>
  </si>
  <si>
    <t>SURAJ KUMAR MASKEY</t>
  </si>
  <si>
    <t>NARAYAN KUMAR MASKEY</t>
  </si>
  <si>
    <t>DIL BAHADUR MASKEY</t>
  </si>
  <si>
    <t>98165</t>
  </si>
  <si>
    <t>04800501212001</t>
  </si>
  <si>
    <t>1301370006339710</t>
  </si>
  <si>
    <t>SABITA BAYALKOTI</t>
  </si>
  <si>
    <t>KRISHNA BAHADUR BAYALKOTI</t>
  </si>
  <si>
    <t>SAHILA BAYALKOTI</t>
  </si>
  <si>
    <t>271060/114751</t>
  </si>
  <si>
    <t>01015140431</t>
  </si>
  <si>
    <t>1301370005438235</t>
  </si>
  <si>
    <t>SAURABI RAUT</t>
  </si>
  <si>
    <t>SANJAY KUMAR RAUT</t>
  </si>
  <si>
    <t>YAGYA BAHADUR RAUT</t>
  </si>
  <si>
    <t>2078071901528</t>
  </si>
  <si>
    <t>3035751676287001</t>
  </si>
  <si>
    <t>1301610001210261</t>
  </si>
  <si>
    <t>BINOD THAPA</t>
  </si>
  <si>
    <t>IM BAHADUR THAPA</t>
  </si>
  <si>
    <t>PADAM BAHADUR THAPA</t>
  </si>
  <si>
    <t>431024/124744</t>
  </si>
  <si>
    <t>0020035805500016</t>
  </si>
  <si>
    <t>1301520001956257</t>
  </si>
  <si>
    <t>BHOTMAN RAI</t>
  </si>
  <si>
    <t>BRIJA BAHADUR RAI</t>
  </si>
  <si>
    <t>18113-577</t>
  </si>
  <si>
    <t>03307012655901</t>
  </si>
  <si>
    <t>1301260002659481</t>
  </si>
  <si>
    <t>SRIMATI KRISHNA DEVI SHRESTHA</t>
  </si>
  <si>
    <t>TEJ PRASAD JOSHI/SUBARNA JOSHI</t>
  </si>
  <si>
    <t>DHANAMANTA JOSHI</t>
  </si>
  <si>
    <t>949</t>
  </si>
  <si>
    <t>0520064900100014</t>
  </si>
  <si>
    <t>1301370007488079</t>
  </si>
  <si>
    <t>DEEPAK KUMAR SHARMA</t>
  </si>
  <si>
    <t>BIKASH SHARMA</t>
  </si>
  <si>
    <t>MAHENDRA SHARMA</t>
  </si>
  <si>
    <t>051025/796</t>
  </si>
  <si>
    <t>0285750490670001</t>
  </si>
  <si>
    <t>1301400000122705</t>
  </si>
  <si>
    <t>AMIT SHAH</t>
  </si>
  <si>
    <t>BADRI SHAH/KALAWATI DEVI SHAH</t>
  </si>
  <si>
    <t>BANBIHARI SHAH</t>
  </si>
  <si>
    <t>052024/2223</t>
  </si>
  <si>
    <t>0095751129790001</t>
  </si>
  <si>
    <t>1301370000548002</t>
  </si>
  <si>
    <t>Ankur Kumar Goyanka</t>
  </si>
  <si>
    <t>Raj Kumar Marwari</t>
  </si>
  <si>
    <t>Om Prakash Marwari</t>
  </si>
  <si>
    <t>341022/63</t>
  </si>
  <si>
    <t>2269948370524001</t>
  </si>
  <si>
    <t>1301580001931002</t>
  </si>
  <si>
    <t>DIPAK SHARAN RIMAL</t>
  </si>
  <si>
    <t>TUL BAHADUR RIMAL / KANCHI RIMAL</t>
  </si>
  <si>
    <t>KUL BAHADUR RIMAL</t>
  </si>
  <si>
    <t>93752</t>
  </si>
  <si>
    <t>001011170002798</t>
  </si>
  <si>
    <t>1301040000322080</t>
  </si>
  <si>
    <t>SANDHYA KHANAL</t>
  </si>
  <si>
    <t>DINESH KHANAL/SHARADA DEVI MISHRA</t>
  </si>
  <si>
    <t>TEJ NIDHI KHANAL</t>
  </si>
  <si>
    <t>271060-119105</t>
  </si>
  <si>
    <t>4710017503513</t>
  </si>
  <si>
    <t>1301040000757054</t>
  </si>
  <si>
    <t>SIDDHIHANG RAI</t>
  </si>
  <si>
    <t>RAMKUMAR RAI</t>
  </si>
  <si>
    <t>PURKHAMAN RAI</t>
  </si>
  <si>
    <t>042044-11636</t>
  </si>
  <si>
    <t>3810017507841</t>
  </si>
  <si>
    <t>1301720000270539</t>
  </si>
  <si>
    <t>DHARMA RAJ MARASINI</t>
  </si>
  <si>
    <t>LALMANI UPADHYA</t>
  </si>
  <si>
    <t>MITRA LAL UPADHYA</t>
  </si>
  <si>
    <t>372027/65004</t>
  </si>
  <si>
    <t>0414701524563010</t>
  </si>
  <si>
    <t>1301090002563514</t>
  </si>
  <si>
    <t>ROMASH SHRESTHA</t>
  </si>
  <si>
    <t>KRISHNA  PRASAD SHRESTHA/KRISHNA DEVI SHRESTHA</t>
  </si>
  <si>
    <t>JAGAT SHRESTHA</t>
  </si>
  <si>
    <t>63-01-73-00800</t>
  </si>
  <si>
    <t>01015082588</t>
  </si>
  <si>
    <t>1301120003307571</t>
  </si>
  <si>
    <t>SMRITI SHAKYA</t>
  </si>
  <si>
    <t>ASHISH SHAKYA/ANJANA SHAKYA</t>
  </si>
  <si>
    <t>PREM SHAKYA</t>
  </si>
  <si>
    <t>102035/766</t>
  </si>
  <si>
    <t>09107010000350</t>
  </si>
  <si>
    <t>1301530000378237</t>
  </si>
  <si>
    <t>Binaisha Neupane</t>
  </si>
  <si>
    <t>Bishnu Parshad Neupane/ Jamuna Shrestha</t>
  </si>
  <si>
    <t>Indramani Neupane</t>
  </si>
  <si>
    <t>2658</t>
  </si>
  <si>
    <t>24815240700297</t>
  </si>
  <si>
    <t>1301100000165995</t>
  </si>
  <si>
    <t>NABIN KARMACHARYA</t>
  </si>
  <si>
    <t>BALRAM KARMACHARYA</t>
  </si>
  <si>
    <t>TIRTHA MAN KARMACHARYA/RAMILA SHRESTHA</t>
  </si>
  <si>
    <t>12288</t>
  </si>
  <si>
    <t>00124100389990000001</t>
  </si>
  <si>
    <t>1301260002439211</t>
  </si>
  <si>
    <t>PRAVAT PANDAY</t>
  </si>
  <si>
    <t>AJAY KUMAR PANDEY/BABITA KUMARI</t>
  </si>
  <si>
    <t>SATYA NARAYAN PANDEY</t>
  </si>
  <si>
    <t>18017408136</t>
  </si>
  <si>
    <t>0010237173800017</t>
  </si>
  <si>
    <t>1301370006717669</t>
  </si>
  <si>
    <t>Anjana Tamang Lama</t>
  </si>
  <si>
    <t>Janga Bahadur Tamang Lama</t>
  </si>
  <si>
    <t>Sher Bahadur Tamang</t>
  </si>
  <si>
    <t>30-01-76-01617</t>
  </si>
  <si>
    <t>0185752757513001</t>
  </si>
  <si>
    <t>1301760000359364</t>
  </si>
  <si>
    <t>ABHIYAN SHRESTHA</t>
  </si>
  <si>
    <t>TULSA PRASAD SHRESTHA</t>
  </si>
  <si>
    <t>KUL PRASAD SHRESTHA</t>
  </si>
  <si>
    <t>100362</t>
  </si>
  <si>
    <t>06810900905615000001</t>
  </si>
  <si>
    <t>1301070000415244</t>
  </si>
  <si>
    <t>Roshan Prasad Khatiwada</t>
  </si>
  <si>
    <t>Raman Prasad Khatiwada</t>
  </si>
  <si>
    <t>Dambaru Khatuwada</t>
  </si>
  <si>
    <t>45189/2202</t>
  </si>
  <si>
    <t>01220176508</t>
  </si>
  <si>
    <t>1301070001887448</t>
  </si>
  <si>
    <t>SURESH RAJ SHAKYA</t>
  </si>
  <si>
    <t>MANIK RAJ SHAKYA</t>
  </si>
  <si>
    <t>SHAMBHU SHAKYA</t>
  </si>
  <si>
    <t>28-01-065-03825</t>
  </si>
  <si>
    <t>0420529157299001</t>
  </si>
  <si>
    <t>1301120002371541</t>
  </si>
  <si>
    <t>MADHAV PRASAD BHUSAL</t>
  </si>
  <si>
    <t>BHOJRAJ BHUSAL/PABITRA BHUSAL</t>
  </si>
  <si>
    <t>FARSHU RAM BHUSAL</t>
  </si>
  <si>
    <t>40-01-72-03245</t>
  </si>
  <si>
    <t>02907010009892</t>
  </si>
  <si>
    <t>1301370006952032</t>
  </si>
  <si>
    <t>BABURAM KHADKA</t>
  </si>
  <si>
    <t>BHIM BAHADUR KHADKA</t>
  </si>
  <si>
    <t>HIT BAHADUR KHADKA</t>
  </si>
  <si>
    <t>21-01-78-01472</t>
  </si>
  <si>
    <t>1225751745761001</t>
  </si>
  <si>
    <t>1301170001097808</t>
  </si>
  <si>
    <t>TANKA PRASAD KHANAL</t>
  </si>
  <si>
    <t>DILARAM KHANAL</t>
  </si>
  <si>
    <t>PURSHATAM KHANAL</t>
  </si>
  <si>
    <t>2736/555</t>
  </si>
  <si>
    <t>0120100001206041</t>
  </si>
  <si>
    <t>1301370002908622</t>
  </si>
  <si>
    <t>AMAR KUMAR YADAV</t>
  </si>
  <si>
    <t>RAM CHHABILA RAY</t>
  </si>
  <si>
    <t>LALDEV RAY YADAV</t>
  </si>
  <si>
    <t>19-01-76-00769</t>
  </si>
  <si>
    <t>0315759975763001</t>
  </si>
  <si>
    <t>1301080000628651</t>
  </si>
  <si>
    <t>RAJENDRA BHATTARAI</t>
  </si>
  <si>
    <t>DURGA PRASAD BHATTARAI</t>
  </si>
  <si>
    <t>SHALIK RAM BHATTARAI</t>
  </si>
  <si>
    <t>12026/059</t>
  </si>
  <si>
    <t>02500501201474</t>
  </si>
  <si>
    <t>1301370000208186</t>
  </si>
  <si>
    <t>Rabindra Kumar Neupane</t>
  </si>
  <si>
    <t>Ramesh Kumar Neupane</t>
  </si>
  <si>
    <t>Ram Prasad Neupane</t>
  </si>
  <si>
    <t>484</t>
  </si>
  <si>
    <t>1369439227524001</t>
  </si>
  <si>
    <t>1301750000004215</t>
  </si>
  <si>
    <t>ANJEELA LAMA NEUPANE</t>
  </si>
  <si>
    <t>MADAN LAMA</t>
  </si>
  <si>
    <t>SER BAHADUR LAMA</t>
  </si>
  <si>
    <t>4093</t>
  </si>
  <si>
    <t>01902316910022</t>
  </si>
  <si>
    <t>1301730000856755</t>
  </si>
  <si>
    <t>KESHAB BASNET</t>
  </si>
  <si>
    <t>RAMJI BASNET</t>
  </si>
  <si>
    <t>BIRKHA BAHADUR BASNET</t>
  </si>
  <si>
    <t>22221007/71</t>
  </si>
  <si>
    <t>09905080063142</t>
  </si>
  <si>
    <t>1301650000888177</t>
  </si>
  <si>
    <t>RAMBABU SHA GODH</t>
  </si>
  <si>
    <t>BAGAD SAH GODH</t>
  </si>
  <si>
    <t>MATHURA SAH GODH/SHOBHA DEVI</t>
  </si>
  <si>
    <t>09462779</t>
  </si>
  <si>
    <t>1040100019404010</t>
  </si>
  <si>
    <t>1301370006694598</t>
  </si>
  <si>
    <t>DHARMENDRA KUMAR SHAH</t>
  </si>
  <si>
    <t>RAM BABU SHAH</t>
  </si>
  <si>
    <t>MISHRI SHAH</t>
  </si>
  <si>
    <t>15-01-78-16022</t>
  </si>
  <si>
    <t>0085752739731001</t>
  </si>
  <si>
    <t>1301060002392268</t>
  </si>
  <si>
    <t>DHAN KUMARI BHUJEL</t>
  </si>
  <si>
    <t>KARNA BAHADUR BHUJEL</t>
  </si>
  <si>
    <t>RAM BAHADUR BHUJEL</t>
  </si>
  <si>
    <t>163014/69</t>
  </si>
  <si>
    <t>03805280254465</t>
  </si>
  <si>
    <t>1301370000036446</t>
  </si>
  <si>
    <t>Bhimsen Bidari</t>
  </si>
  <si>
    <t>Khemnath Bidari</t>
  </si>
  <si>
    <t>Lila Nath Bidari</t>
  </si>
  <si>
    <t>8736</t>
  </si>
  <si>
    <t>1169391386524001</t>
  </si>
  <si>
    <t>1301260000043103</t>
  </si>
  <si>
    <t>LEKHANATH NEUPANE</t>
  </si>
  <si>
    <t>MOTILAL NEUPANE</t>
  </si>
  <si>
    <t>DADHIRAM NEUPANE / PRAMILA BANIYA</t>
  </si>
  <si>
    <t>14740/2103/385</t>
  </si>
  <si>
    <t>1090001147700011</t>
  </si>
  <si>
    <t>1301090004052076</t>
  </si>
  <si>
    <t>SHIWALAK THAKUR</t>
  </si>
  <si>
    <t>CHULAHAI THAKUR</t>
  </si>
  <si>
    <t>HARI THAKUR</t>
  </si>
  <si>
    <t>19-01-77-22595</t>
  </si>
  <si>
    <t>55502824001</t>
  </si>
  <si>
    <t>1301090003938501</t>
  </si>
  <si>
    <t>ARBIN KUMAR CHHETRI</t>
  </si>
  <si>
    <t>BHIM BAHADUR DHAKAL CHHETRI / NAINAKALA CHHETRI</t>
  </si>
  <si>
    <t>BHUWANI SHANKAR DHAKAL / SARMILA CHHETRI</t>
  </si>
  <si>
    <t>91067</t>
  </si>
  <si>
    <t>55502420142</t>
  </si>
  <si>
    <t>1301080000062541</t>
  </si>
  <si>
    <t>SACHI GURAGAIN</t>
  </si>
  <si>
    <t>GOPAL PRASAD GURAGAIN</t>
  </si>
  <si>
    <t>BISHNU PRASAD GURAGAIN</t>
  </si>
  <si>
    <t>18817</t>
  </si>
  <si>
    <t>01400516200251</t>
  </si>
  <si>
    <t>1301080000138912</t>
  </si>
  <si>
    <t>SANTOSH SAH</t>
  </si>
  <si>
    <t>SHIV PRASAD SAH</t>
  </si>
  <si>
    <t>BIBHA SAH</t>
  </si>
  <si>
    <t>332056/31285</t>
  </si>
  <si>
    <t>55501114156</t>
  </si>
  <si>
    <t>1301440000094029</t>
  </si>
  <si>
    <t>Parbati Shrestha</t>
  </si>
  <si>
    <t>Durga Prasad Shrestha</t>
  </si>
  <si>
    <t>Ganesh Prasad Shrestha</t>
  </si>
  <si>
    <t>2/10/77334</t>
  </si>
  <si>
    <t>5210017502577</t>
  </si>
  <si>
    <t>1301090000672225</t>
  </si>
  <si>
    <t>HRITU MISHRA</t>
  </si>
  <si>
    <t>SUBODH MISHRA</t>
  </si>
  <si>
    <t>ANUP KUMAR MANDAL</t>
  </si>
  <si>
    <t>171085/146</t>
  </si>
  <si>
    <t>1120100020144010</t>
  </si>
  <si>
    <t>1301520000380395</t>
  </si>
  <si>
    <t>JIBAN RAI</t>
  </si>
  <si>
    <t>RANA BAHADUR RAI</t>
  </si>
  <si>
    <t>GUNISHER RAI</t>
  </si>
  <si>
    <t>121048/205</t>
  </si>
  <si>
    <t>0070007609800001</t>
  </si>
  <si>
    <t>1301770000461791</t>
  </si>
  <si>
    <t>HARI PRASAD ADHIKARI</t>
  </si>
  <si>
    <t>BALRAM ADHIKARI/INDRA KUMARI ADHIKARI</t>
  </si>
  <si>
    <t>BEDNATH ADHIKARI/</t>
  </si>
  <si>
    <t>49-237</t>
  </si>
  <si>
    <t>00610227470019</t>
  </si>
  <si>
    <t>1301120003654342</t>
  </si>
  <si>
    <t>LOK BAHADUR GHIMIRE KHATRI</t>
  </si>
  <si>
    <t>04-01-70-17364</t>
  </si>
  <si>
    <t>05807010004749</t>
  </si>
  <si>
    <t>1301120003149724</t>
  </si>
  <si>
    <t>SAMJHANA KUMAL</t>
  </si>
  <si>
    <t>BAAIRE KUMAL/SUNTAULI KUMAL</t>
  </si>
  <si>
    <t>MAKHAMALE KUMAL</t>
  </si>
  <si>
    <t>261/29995</t>
  </si>
  <si>
    <t>00707010010058</t>
  </si>
  <si>
    <t>1301100003096037</t>
  </si>
  <si>
    <t>PUSHPA NIDHI AMGAIN</t>
  </si>
  <si>
    <t>MAYANATH AMGAIN</t>
  </si>
  <si>
    <t>BHAIRABDATTA AMGAIN</t>
  </si>
  <si>
    <t>74467</t>
  </si>
  <si>
    <t>1210093703700011</t>
  </si>
  <si>
    <t>1301650000800173</t>
  </si>
  <si>
    <t>JAGAT BAHADUR TAMANG</t>
  </si>
  <si>
    <t>MAN MAYA TAMANG/</t>
  </si>
  <si>
    <t>891</t>
  </si>
  <si>
    <t>1120100000030009</t>
  </si>
  <si>
    <t>1301070001792056</t>
  </si>
  <si>
    <t>DHURBA PRASAD KADEL</t>
  </si>
  <si>
    <t>DEVIDATTA KADEL</t>
  </si>
  <si>
    <t>PASHUPATI KADEL</t>
  </si>
  <si>
    <t>22512</t>
  </si>
  <si>
    <t>0520422472216001</t>
  </si>
  <si>
    <t>1301070000259487</t>
  </si>
  <si>
    <t>Surendra Kunwar</t>
  </si>
  <si>
    <t>Chetman Kunwar</t>
  </si>
  <si>
    <t>Jhagar Singh Kunwar</t>
  </si>
  <si>
    <t>24947</t>
  </si>
  <si>
    <t>05840000061</t>
  </si>
  <si>
    <t>1301120003709152</t>
  </si>
  <si>
    <t>BISHWA RAJ RAMTEL</t>
  </si>
  <si>
    <t>DIP BAHADUR RAMTEL</t>
  </si>
  <si>
    <t>SANTA BAHADUR RAMTEL</t>
  </si>
  <si>
    <t>21-01-72-01753</t>
  </si>
  <si>
    <t>03607010293440</t>
  </si>
  <si>
    <t>1301040002635944</t>
  </si>
  <si>
    <t>PEMBA CHHIRING LAMA</t>
  </si>
  <si>
    <t>MIMA DORJE/DEMA LAMA</t>
  </si>
  <si>
    <t>/TENZIN</t>
  </si>
  <si>
    <t>44-01-73-08456</t>
  </si>
  <si>
    <t>3210017510506</t>
  </si>
  <si>
    <t>1301080000826001</t>
  </si>
  <si>
    <t>SANJOK G T</t>
  </si>
  <si>
    <t>SURYA BAHADUR G T / MUWA DEVI G T</t>
  </si>
  <si>
    <t>FATTA BAHADUR G T</t>
  </si>
  <si>
    <t>42-01-73-04456</t>
  </si>
  <si>
    <t>04500501205390</t>
  </si>
  <si>
    <t>1301120004534533</t>
  </si>
  <si>
    <t>JHAKASH BK</t>
  </si>
  <si>
    <t>LILAMAN KAMI / CHAITI KAMI</t>
  </si>
  <si>
    <t>TEKE KAMI</t>
  </si>
  <si>
    <t>54-01-78-01651</t>
  </si>
  <si>
    <t>03607010187589</t>
  </si>
  <si>
    <t>1301370001029489</t>
  </si>
  <si>
    <t>Ambika Pokhrel</t>
  </si>
  <si>
    <t>Tanka Nath Pokhrel</t>
  </si>
  <si>
    <t>Chabilal Pokhrel/Nirajan Chapagin</t>
  </si>
  <si>
    <t>533</t>
  </si>
  <si>
    <t>9787978500952401</t>
  </si>
  <si>
    <t>1301950000035080</t>
  </si>
  <si>
    <t>BHARAT MAHARJAN/MINA MAHARJAN</t>
  </si>
  <si>
    <t>LAXMAN MAHARJAN/</t>
  </si>
  <si>
    <t>28-01-74-03174</t>
  </si>
  <si>
    <t>0130939321900015</t>
  </si>
  <si>
    <t>1301650001214604</t>
  </si>
  <si>
    <t>SURAJ KHATRI</t>
  </si>
  <si>
    <t>BHIMSEN KHATRI</t>
  </si>
  <si>
    <t>NIL BAHADUR KHATRI/</t>
  </si>
  <si>
    <t>34987</t>
  </si>
  <si>
    <t>1980100000176010</t>
  </si>
  <si>
    <t>1301120001468481</t>
  </si>
  <si>
    <t>KESHAV NEUPANE</t>
  </si>
  <si>
    <t>KABI RAJ UPADHYAY</t>
  </si>
  <si>
    <t>CHANDRA LAL UPADHYAY</t>
  </si>
  <si>
    <t>60/589</t>
  </si>
  <si>
    <t>03607010015915</t>
  </si>
  <si>
    <t>1301520000154753</t>
  </si>
  <si>
    <t>Homlal Sharma</t>
  </si>
  <si>
    <t>Kulpat Sharma</t>
  </si>
  <si>
    <t>Dalu Jaisi</t>
  </si>
  <si>
    <t>561028/284</t>
  </si>
  <si>
    <t>0350057842400001</t>
  </si>
  <si>
    <t>1301570000139831</t>
  </si>
  <si>
    <t>AMBIKA KUMARI KHADKA</t>
  </si>
  <si>
    <t>LAL BAHADUR KHADKA/DIL MAYA KHADKA</t>
  </si>
  <si>
    <t>ARJUN KOIRALA</t>
  </si>
  <si>
    <t>05301000021960000001</t>
  </si>
  <si>
    <t>1301570000139924</t>
  </si>
  <si>
    <t>KRISHNA BAHADUR KOIRALA/</t>
  </si>
  <si>
    <t>AMBIKA KUMARI KHADKA/</t>
  </si>
  <si>
    <t>37</t>
  </si>
  <si>
    <t>05301000022749000001</t>
  </si>
  <si>
    <t>1301650001328937</t>
  </si>
  <si>
    <t>KASHI RAM SHRESTHA</t>
  </si>
  <si>
    <t>BISHNU LAL SHRESTHA</t>
  </si>
  <si>
    <t>KRISHNA MAN SHRESTHA/PAYAL TAMANG</t>
  </si>
  <si>
    <t>27044</t>
  </si>
  <si>
    <t>1170100603965010</t>
  </si>
  <si>
    <t>1301650001750451</t>
  </si>
  <si>
    <t>AASHUTOSH SINGH</t>
  </si>
  <si>
    <t>VIJAY KUMAR SINGH</t>
  </si>
  <si>
    <t>RAM EKWAL PRASAD /</t>
  </si>
  <si>
    <t>32017403725</t>
  </si>
  <si>
    <t>1210100030627010</t>
  </si>
  <si>
    <t>1301600000548357</t>
  </si>
  <si>
    <t>BIJAY SAH</t>
  </si>
  <si>
    <t>SATYA NARAYAN SAH / PHOOL DEVI</t>
  </si>
  <si>
    <t>REKHA KUMARI / DAKHAN SAH</t>
  </si>
  <si>
    <t>173102/2783</t>
  </si>
  <si>
    <t>2247040435200018</t>
  </si>
  <si>
    <t>1301600000549861</t>
  </si>
  <si>
    <t>REKHA KUMARI</t>
  </si>
  <si>
    <t>DHANESHWAR SAH / URMILA DEVI</t>
  </si>
  <si>
    <t>BIJAY SAH / SHIVARAM SAH</t>
  </si>
  <si>
    <t>396910724</t>
  </si>
  <si>
    <t>2247068468600018</t>
  </si>
  <si>
    <t>1301600000502723</t>
  </si>
  <si>
    <t>PREM SAH</t>
  </si>
  <si>
    <t>VIJAY SAH/BEKHA KUMARI</t>
  </si>
  <si>
    <t>SATNARAYAN SAH</t>
  </si>
  <si>
    <t>171102/8763</t>
  </si>
  <si>
    <t>2247037364100018</t>
  </si>
  <si>
    <t>1301170001790944</t>
  </si>
  <si>
    <t>GIRITH BAHADUR THAPA</t>
  </si>
  <si>
    <t>RAM BAHADUR THAPA/DHAN KUMARI THAPA</t>
  </si>
  <si>
    <t>ANA BAHADUR THAPA/MATI SARA THAPA</t>
  </si>
  <si>
    <t>43752</t>
  </si>
  <si>
    <t>0920100001353041</t>
  </si>
  <si>
    <t>1301370001962305</t>
  </si>
  <si>
    <t>Sanjeev Bashyal</t>
  </si>
  <si>
    <t>Bishnu Bashyal</t>
  </si>
  <si>
    <t>Jadupati Bashyal</t>
  </si>
  <si>
    <t>37-02-73-04582</t>
  </si>
  <si>
    <t>0155759986837001</t>
  </si>
  <si>
    <t>1301610000088378</t>
  </si>
  <si>
    <t>BISHNU BASYAL</t>
  </si>
  <si>
    <t>JADUPATI BASYAL</t>
  </si>
  <si>
    <t>KAMALAPATI BASYAL</t>
  </si>
  <si>
    <t>45156</t>
  </si>
  <si>
    <t>0230010587000017</t>
  </si>
  <si>
    <t>1301370000074752</t>
  </si>
  <si>
    <t>Juju Kaji Bajracharya</t>
  </si>
  <si>
    <t>Munindra Bhadra Bajracharya</t>
  </si>
  <si>
    <t>Kanak Bhadra Bajracharya</t>
  </si>
  <si>
    <t>5450-55675</t>
  </si>
  <si>
    <t>11DB061427NPR001</t>
  </si>
  <si>
    <t>1301090000372733</t>
  </si>
  <si>
    <t>NARAYAN BUDHAPRITHI</t>
  </si>
  <si>
    <t>GUN BAHADUR PARIYAR</t>
  </si>
  <si>
    <t>433024/38</t>
  </si>
  <si>
    <t>00615081945</t>
  </si>
  <si>
    <t>1301240000273252</t>
  </si>
  <si>
    <t>PUSPA MAHATA</t>
  </si>
  <si>
    <t>GAGAN SINGH MAHATA</t>
  </si>
  <si>
    <t>KALU SINGH MAHATA</t>
  </si>
  <si>
    <t>53420</t>
  </si>
  <si>
    <t>0090411850214001</t>
  </si>
  <si>
    <t>1301530000262929</t>
  </si>
  <si>
    <t>Kamal Prasad Bhattarai</t>
  </si>
  <si>
    <t>Bishnu Prasad Bhattarai</t>
  </si>
  <si>
    <t>Dhanpati Bhattarai</t>
  </si>
  <si>
    <t>18241830</t>
  </si>
  <si>
    <t>2620100000020210</t>
  </si>
  <si>
    <t>1301370006103215</t>
  </si>
  <si>
    <t>BIBEK KUMAR SINGH</t>
  </si>
  <si>
    <t>SURSH MAHATO</t>
  </si>
  <si>
    <t>SHREE SHIYASARAN MAHATO</t>
  </si>
  <si>
    <t>18-01-77-00593</t>
  </si>
  <si>
    <t>2375759477985001</t>
  </si>
  <si>
    <t>1301370004981656</t>
  </si>
  <si>
    <t>YOGENDRA CHAUDHARY</t>
  </si>
  <si>
    <t>RAMUJAN THARU</t>
  </si>
  <si>
    <t>JUGEUNA THARU</t>
  </si>
  <si>
    <t>38-01-067-08985</t>
  </si>
  <si>
    <t>F888962545852401</t>
  </si>
  <si>
    <t>1301350000230281</t>
  </si>
  <si>
    <t>MANMAYA LIMBU</t>
  </si>
  <si>
    <t>BAL BAHADUR LIMBU</t>
  </si>
  <si>
    <t>9901169</t>
  </si>
  <si>
    <t>1700100000764104</t>
  </si>
  <si>
    <t>1301100001736863</t>
  </si>
  <si>
    <t>MANISH KUMAR SHRESTHA</t>
  </si>
  <si>
    <t>PIPAL KUMAR SHRESTHA</t>
  </si>
  <si>
    <t>20-01-77-00071</t>
  </si>
  <si>
    <t>0160154316100015</t>
  </si>
  <si>
    <t>1301610001747987</t>
  </si>
  <si>
    <t>RAHUL KUMAR GUPTA</t>
  </si>
  <si>
    <t>ADITYA KUMAR GUPTA</t>
  </si>
  <si>
    <t>RADHE RAMAN SAHU RAUNIYAR</t>
  </si>
  <si>
    <t>16-02-80-01706</t>
  </si>
  <si>
    <t>1390980308700019</t>
  </si>
  <si>
    <t>1301040002108911</t>
  </si>
  <si>
    <t>SHIVADHAR MAHATO</t>
  </si>
  <si>
    <t>JENA MAHATO/JAYAMTIYA THARUNI</t>
  </si>
  <si>
    <t>JEENA LIMBU SUBBA/BHUKHAL MAHATO</t>
  </si>
  <si>
    <t>4571/062</t>
  </si>
  <si>
    <t>06410017503117</t>
  </si>
  <si>
    <t>1301720000673590</t>
  </si>
  <si>
    <t>MADAN POUDEL</t>
  </si>
  <si>
    <t>SUSHIL RAJ POUDEL</t>
  </si>
  <si>
    <t>KRISHNA PRASAD POUDEL</t>
  </si>
  <si>
    <t>52-06-75-02771</t>
  </si>
  <si>
    <t>0919001383169014</t>
  </si>
  <si>
    <t>1301650001750975</t>
  </si>
  <si>
    <t>BINOD GAUTAM</t>
  </si>
  <si>
    <t>RAJENDRA GAUTAM</t>
  </si>
  <si>
    <t>BHIM PRASAD GAUTAM/RITU KATTEL</t>
  </si>
  <si>
    <t>05205510656</t>
  </si>
  <si>
    <t>1550100017834010</t>
  </si>
  <si>
    <t>1301170002039170</t>
  </si>
  <si>
    <t>ISHAK CHHINAL</t>
  </si>
  <si>
    <t>RAJAN CHINAL/ MAYA CHHINAL</t>
  </si>
  <si>
    <t>BABURAM CHHINAL</t>
  </si>
  <si>
    <t>441001-6694</t>
  </si>
  <si>
    <t>12201000000018023499</t>
  </si>
  <si>
    <t>1301090000051767</t>
  </si>
  <si>
    <t>SARITA KARKI</t>
  </si>
  <si>
    <t>JANAK BAHADUR KARKI</t>
  </si>
  <si>
    <t>16332</t>
  </si>
  <si>
    <t>01917609430</t>
  </si>
  <si>
    <t>1301080001165775</t>
  </si>
  <si>
    <t>DHARMENDRA TELI</t>
  </si>
  <si>
    <t>SHYAMLAL TELI</t>
  </si>
  <si>
    <t>ORI TERI</t>
  </si>
  <si>
    <t>01-06928556</t>
  </si>
  <si>
    <t>03800501213925</t>
  </si>
  <si>
    <t>1301650000466873</t>
  </si>
  <si>
    <t>DIPU DAHAL</t>
  </si>
  <si>
    <t>SHANKAR PRASAD DAHAL</t>
  </si>
  <si>
    <t>SHANKAR PRASAD DAHAL/</t>
  </si>
  <si>
    <t>1710901361</t>
  </si>
  <si>
    <t>1930100000443010</t>
  </si>
  <si>
    <t>1301570000977503</t>
  </si>
  <si>
    <t>PAWAN RAJ SWARNAKAR</t>
  </si>
  <si>
    <t>SHAMBHU KUMAR SWARNAKAR/MANJU SAH SWARNAKAR</t>
  </si>
  <si>
    <t>HIRALAL SAH SONAR</t>
  </si>
  <si>
    <t>163009/40</t>
  </si>
  <si>
    <t>07101007349893000001</t>
  </si>
  <si>
    <t>1301170001837726</t>
  </si>
  <si>
    <t>OM PRAKASH BHANDARI</t>
  </si>
  <si>
    <t>GOVINDA PRASAD BHANDARI</t>
  </si>
  <si>
    <t>CHUDAMANI BHANDARI</t>
  </si>
  <si>
    <t>391052/593</t>
  </si>
  <si>
    <t>1550100000460045</t>
  </si>
  <si>
    <t>1301120003903682</t>
  </si>
  <si>
    <t>BASUNDHARA MAHARJAN</t>
  </si>
  <si>
    <t>SHIVA SHARAN MAHARJAN/KAMALA MAHARJAN</t>
  </si>
  <si>
    <t>PURNA LAL MAHARJAN</t>
  </si>
  <si>
    <t>15239</t>
  </si>
  <si>
    <t>00507010000208</t>
  </si>
  <si>
    <t>1301650002163321</t>
  </si>
  <si>
    <t>SAMIR RAI</t>
  </si>
  <si>
    <t>BUDDHI KAMAL RAI</t>
  </si>
  <si>
    <t>BISHNA SHING RAI/BABITA RAI</t>
  </si>
  <si>
    <t>101010120</t>
  </si>
  <si>
    <t>2160100000093210</t>
  </si>
  <si>
    <t>1301340000049952</t>
  </si>
  <si>
    <t>MANISH PANERU</t>
  </si>
  <si>
    <t>KHUM BAHADUR PANERU/HIMA PANERU</t>
  </si>
  <si>
    <t>LAL BAHADUR PANERU</t>
  </si>
  <si>
    <t>44-01-75-06671</t>
  </si>
  <si>
    <t>27907010001263</t>
  </si>
  <si>
    <t>1301070001790671</t>
  </si>
  <si>
    <t>LAXMI GHIMIRE</t>
  </si>
  <si>
    <t>BISHOWNATH PRASAD GAUTM</t>
  </si>
  <si>
    <t>JANAKI PRASAD GAUTAM</t>
  </si>
  <si>
    <t>063022/3378</t>
  </si>
  <si>
    <t>02120048043</t>
  </si>
  <si>
    <t>1301390000099636</t>
  </si>
  <si>
    <t>YANGZI SHERPA</t>
  </si>
  <si>
    <t>TSHERING DAWA LAMA</t>
  </si>
  <si>
    <t>KAMI LAMA</t>
  </si>
  <si>
    <t>01/266</t>
  </si>
  <si>
    <t>1180009181100083</t>
  </si>
  <si>
    <t>1301040000057651</t>
  </si>
  <si>
    <t>ANITA SHRESTHA</t>
  </si>
  <si>
    <t>DIBENDRA BAHADUR KARKI KSHETRI/DAL BAHADUR SHRESTHA</t>
  </si>
  <si>
    <t>17809</t>
  </si>
  <si>
    <t>0210017514703</t>
  </si>
  <si>
    <t>1301520002041385</t>
  </si>
  <si>
    <t>SUDIP RAJ PATHAK</t>
  </si>
  <si>
    <t>PALLAB RAJ PATHAK / DAMMAR KUMARI PATHAK</t>
  </si>
  <si>
    <t>EAK BAHADUR PATHAK</t>
  </si>
  <si>
    <t>59463</t>
  </si>
  <si>
    <t>1930320829900001</t>
  </si>
  <si>
    <t>1301120005421520</t>
  </si>
  <si>
    <t>BINDU GIRI SANYASI</t>
  </si>
  <si>
    <t>PREM BAHADUR SANYASI</t>
  </si>
  <si>
    <t>TILAK SANYASI</t>
  </si>
  <si>
    <t>35-01-77-09118</t>
  </si>
  <si>
    <t>11507010036120</t>
  </si>
  <si>
    <t>1301040000424551</t>
  </si>
  <si>
    <t>SAMIR BAHADUR LAMTARI</t>
  </si>
  <si>
    <t>DIL BAHADUR LAMTARI / MINA KUMARI LAMTARI</t>
  </si>
  <si>
    <t>SHREE MAN LAMTARI</t>
  </si>
  <si>
    <t>39-01-71-02533</t>
  </si>
  <si>
    <t>10810017504761</t>
  </si>
  <si>
    <t>1301320000139894</t>
  </si>
  <si>
    <t>Gaurab Bahadur G.C.</t>
  </si>
  <si>
    <t>Gagan Sing Chhetri/Ratnadevi Chhetri</t>
  </si>
  <si>
    <t>Hasta Bahadur Chhetri</t>
  </si>
  <si>
    <t>99908/2869</t>
  </si>
  <si>
    <t>03309011060255</t>
  </si>
  <si>
    <t>1301260000134163</t>
  </si>
  <si>
    <t>KRISHNA K.C. THAPA</t>
  </si>
  <si>
    <t>GUNJA BAHADUR KHATRI/LAXMI KHATRI</t>
  </si>
  <si>
    <t>TEK BAHADUR K.C</t>
  </si>
  <si>
    <t>50-01-73-02322</t>
  </si>
  <si>
    <t>1670111875900011</t>
  </si>
  <si>
    <t>1301170002111808</t>
  </si>
  <si>
    <t>KANCHAN ACHARYA</t>
  </si>
  <si>
    <t>TOP BAHADUR ACHARYA/ HEMA SUBEDI ACHARYA</t>
  </si>
  <si>
    <t>BIDUR BAHADUR ACHARYA</t>
  </si>
  <si>
    <t>35-01-79-05731</t>
  </si>
  <si>
    <t>1190100000667045</t>
  </si>
  <si>
    <t>1301260000928047</t>
  </si>
  <si>
    <t>PADAM BAHADUR TAMANG/BAL KUMARI TAMANG</t>
  </si>
  <si>
    <t>JANAK BAHADUR TAMANG</t>
  </si>
  <si>
    <t>016203949</t>
  </si>
  <si>
    <t>01615514606</t>
  </si>
  <si>
    <t>1301090000165331</t>
  </si>
  <si>
    <t>TOYANATH KHATIWADA</t>
  </si>
  <si>
    <t>TEJ PRASAD KHATIWADA</t>
  </si>
  <si>
    <t>MUKSESWOR KHATIWADA / RENUKA ARYAL</t>
  </si>
  <si>
    <t>16252</t>
  </si>
  <si>
    <t>03407010040268</t>
  </si>
  <si>
    <t>1301090001110948</t>
  </si>
  <si>
    <t>PUJA SHAH</t>
  </si>
  <si>
    <t>UDAY PRASAD SHAH/PUNAM SHAH</t>
  </si>
  <si>
    <t>MAHADEV PRASAD SHAH</t>
  </si>
  <si>
    <t>27-01-74-15975</t>
  </si>
  <si>
    <t>00415197934</t>
  </si>
  <si>
    <t>1301010000701227</t>
  </si>
  <si>
    <t>JHARNA THEBE</t>
  </si>
  <si>
    <t>HARK BAHADUR THEBE / CHANDRA MAYA  NEMBANG</t>
  </si>
  <si>
    <t>NAR BAHADUR THEBE</t>
  </si>
  <si>
    <t>052049-36129</t>
  </si>
  <si>
    <t>21454613200011</t>
  </si>
  <si>
    <t>1301070001719549</t>
  </si>
  <si>
    <t>DILIP KUMAR SHRESTHA</t>
  </si>
  <si>
    <t>RAM BABU SHRESTHA</t>
  </si>
  <si>
    <t>NARAYAN PRASAD SHRESTHA</t>
  </si>
  <si>
    <t>42169</t>
  </si>
  <si>
    <t>2171366113205001</t>
  </si>
  <si>
    <t>1301120001395905</t>
  </si>
  <si>
    <t>NGIMA CHHEDAR SHERPA</t>
  </si>
  <si>
    <t>MIMA GELJE  SHERPA/DACHHOKI SHERPA</t>
  </si>
  <si>
    <t>NIMA NAMGYAL SHERPA/LAMU SHERPA</t>
  </si>
  <si>
    <t>113025-545</t>
  </si>
  <si>
    <t>02207010012083</t>
  </si>
  <si>
    <t>1301120000428841</t>
  </si>
  <si>
    <t>Nita Sharma</t>
  </si>
  <si>
    <t>Bidur Prasad Khatiwda</t>
  </si>
  <si>
    <t>Badri Prasad Khatiwada/Bishwa Raj Nepal</t>
  </si>
  <si>
    <t>4412</t>
  </si>
  <si>
    <t>1420100031259010</t>
  </si>
  <si>
    <t>1301060001583154</t>
  </si>
  <si>
    <t>SANGEETA PRASAI THAPA</t>
  </si>
  <si>
    <t>LAXMAN BAHADUR PRASAI</t>
  </si>
  <si>
    <t>PURNA BAHADUR PRASAI/BIDUR BAHADUR THAPA</t>
  </si>
  <si>
    <t>3233593</t>
  </si>
  <si>
    <t>01205030112725</t>
  </si>
  <si>
    <t>1301770000617631</t>
  </si>
  <si>
    <t>HIMAL PARIYAR</t>
  </si>
  <si>
    <t>BAL BAHADUR PARIYAR/GOPI MAYA PARIYAR</t>
  </si>
  <si>
    <t>BASANTE PARIYAR</t>
  </si>
  <si>
    <t>362020173</t>
  </si>
  <si>
    <t>03822664180023</t>
  </si>
  <si>
    <t>1301120005320091</t>
  </si>
  <si>
    <t>PRAKASH NEPALI</t>
  </si>
  <si>
    <t>HARILAL SARKI NEPALI</t>
  </si>
  <si>
    <t>BHUPAL SINGH SARKI</t>
  </si>
  <si>
    <t>40-01-77-03762</t>
  </si>
  <si>
    <t>04907010180771</t>
  </si>
  <si>
    <t>1301110000018596</t>
  </si>
  <si>
    <t>RUKUMANI THAPA KHADKA</t>
  </si>
  <si>
    <t>NARAYANHARI KHADKA</t>
  </si>
  <si>
    <t>DURGA BAHADUR KHADKA</t>
  </si>
  <si>
    <t>10729</t>
  </si>
  <si>
    <t>32607010000384</t>
  </si>
  <si>
    <t>1301570000444481</t>
  </si>
  <si>
    <t>BIBEK BHATTARAI</t>
  </si>
  <si>
    <t>SURYA PRASAD BHATTARAI/LEK MAYA BHATTARAI</t>
  </si>
  <si>
    <t>DEVI PRASAD BHATTARAI</t>
  </si>
  <si>
    <t>05-01-71-33580</t>
  </si>
  <si>
    <t>25301606869870000001</t>
  </si>
  <si>
    <t>1301110000018581</t>
  </si>
  <si>
    <t>SHREERAM THAPA</t>
  </si>
  <si>
    <t>3468</t>
  </si>
  <si>
    <t>32607010000144</t>
  </si>
  <si>
    <t>1301060000782805</t>
  </si>
  <si>
    <t>DIPENDRA KUMAR JHA</t>
  </si>
  <si>
    <t>BHOLA JHA</t>
  </si>
  <si>
    <t>YADHU JHA</t>
  </si>
  <si>
    <t>79032942</t>
  </si>
  <si>
    <t>1030600850</t>
  </si>
  <si>
    <t>1301120005431750</t>
  </si>
  <si>
    <t>SANTOSH PANDEY</t>
  </si>
  <si>
    <t>PHANINDRA BAHADUR PANDEYY</t>
  </si>
  <si>
    <t>RANA BAHADUR PANDEY</t>
  </si>
  <si>
    <t>441022/227</t>
  </si>
  <si>
    <t>03507010008200</t>
  </si>
  <si>
    <t>1301510000137616</t>
  </si>
  <si>
    <t>PRADIP RANA</t>
  </si>
  <si>
    <t>KUL BAHADUR RANA</t>
  </si>
  <si>
    <t>DIL BAHADUR RANA</t>
  </si>
  <si>
    <t>43-01-73-05114</t>
  </si>
  <si>
    <t>05710017505300</t>
  </si>
  <si>
    <t>1301180000025567</t>
  </si>
  <si>
    <t>ABHINAB JUNG SILWAL</t>
  </si>
  <si>
    <t>27-01-73-11581</t>
  </si>
  <si>
    <t>0050239788200001</t>
  </si>
  <si>
    <t>1301040001864484</t>
  </si>
  <si>
    <t>SHANKAR PRASAD GYAWALI</t>
  </si>
  <si>
    <t>YAKDAV GYAWALI/PADMA GYAWALI</t>
  </si>
  <si>
    <t>SABITRA GYAWALI/GHANASHAYAM GYAWALI</t>
  </si>
  <si>
    <t>39-01-72-06859</t>
  </si>
  <si>
    <t>04010017506518</t>
  </si>
  <si>
    <t>1301240001761272</t>
  </si>
  <si>
    <t>Abhik Bhandari</t>
  </si>
  <si>
    <t>Ramesh Bhandari/Puja Bhattarai</t>
  </si>
  <si>
    <t>Badri Prasad Bhandari</t>
  </si>
  <si>
    <t>2080061002267</t>
  </si>
  <si>
    <t>0391405949205001</t>
  </si>
  <si>
    <t>1301120003841113</t>
  </si>
  <si>
    <t>DEEPAK BHATTARAI</t>
  </si>
  <si>
    <t>CHETNATH BHATTARAI / MAN KUMARI BHATTARAI</t>
  </si>
  <si>
    <t>DHANAPATI BHATTARAI</t>
  </si>
  <si>
    <t>3222</t>
  </si>
  <si>
    <t>07107010006297</t>
  </si>
  <si>
    <t>1301040001663037</t>
  </si>
  <si>
    <t>SHANTI BHATTA</t>
  </si>
  <si>
    <t>HARDEV BHATT/KAMALA BHATTA</t>
  </si>
  <si>
    <t>HADNARAM BHATTA/LALIT BHATTA</t>
  </si>
  <si>
    <t>73-01-73-03332</t>
  </si>
  <si>
    <t>02910017512150</t>
  </si>
  <si>
    <t>1301240000469328</t>
  </si>
  <si>
    <t>Lakpa Sherpa</t>
  </si>
  <si>
    <t>Nimchhring Sherpa/Nim Lamu Sherpa</t>
  </si>
  <si>
    <t>Ning Mara Sherpa/DaLhamu Sherpa</t>
  </si>
  <si>
    <t>0410034390</t>
  </si>
  <si>
    <t>0130456377055001</t>
  </si>
  <si>
    <t>1301130000433652</t>
  </si>
  <si>
    <t>RAM CHANDRA SHARMA</t>
  </si>
  <si>
    <t>MANI DEV SHARMA</t>
  </si>
  <si>
    <t>GURU DEV SHARMA</t>
  </si>
  <si>
    <t>44007</t>
  </si>
  <si>
    <t>0645750992683001</t>
  </si>
  <si>
    <t>1301100000630086</t>
  </si>
  <si>
    <t>TANKA BAHADUR SHRESTHA</t>
  </si>
  <si>
    <t>MOTILAL SHRESTHA</t>
  </si>
  <si>
    <t>50256</t>
  </si>
  <si>
    <t>08421500597367000001</t>
  </si>
  <si>
    <t>1301080000506723</t>
  </si>
  <si>
    <t>NIRBHIK PAUDEL</t>
  </si>
  <si>
    <t>INDRA PRASAD PAUDEL</t>
  </si>
  <si>
    <t>TARA NATH PAUDEL</t>
  </si>
  <si>
    <t>2077052502222</t>
  </si>
  <si>
    <t>05700501203060</t>
  </si>
  <si>
    <t>1301060000029326</t>
  </si>
  <si>
    <t>NIRMALA ADHIKARI</t>
  </si>
  <si>
    <t>144430</t>
  </si>
  <si>
    <t>01620400198696000001</t>
  </si>
  <si>
    <t>1301780000063150</t>
  </si>
  <si>
    <t>SAROJ MAINALI</t>
  </si>
  <si>
    <t>SHANKAR PRASAD MAINALI/DEVI MAINALI</t>
  </si>
  <si>
    <t>KRISHNA PRASAD MAINALI</t>
  </si>
  <si>
    <t>30-01-75-04778</t>
  </si>
  <si>
    <t>31613307442733000002</t>
  </si>
  <si>
    <t>1301450000020263</t>
  </si>
  <si>
    <t>GAURA PRASAI</t>
  </si>
  <si>
    <t>RANGA LALL PRASAI</t>
  </si>
  <si>
    <t>DHARMA NATH SUBEDI</t>
  </si>
  <si>
    <t>2084/2291204142</t>
  </si>
  <si>
    <t>1360100012349010</t>
  </si>
  <si>
    <t>1301530000652443</t>
  </si>
  <si>
    <t>BIMAL SAUDEN</t>
  </si>
  <si>
    <t>MAN BAHADUR SAUDEN/BUDH MAYA SAUDEN</t>
  </si>
  <si>
    <t>CHANDRA BAHADUR SAUDEN</t>
  </si>
  <si>
    <t>03-01-72-01330</t>
  </si>
  <si>
    <t>21115240801612</t>
  </si>
  <si>
    <t>1301570000616033</t>
  </si>
  <si>
    <t>RAJAN RAI</t>
  </si>
  <si>
    <t>BALARAM RAI/VIM KUMARI RAI</t>
  </si>
  <si>
    <t>09-01-74-02219</t>
  </si>
  <si>
    <t>01601607114771000001</t>
  </si>
  <si>
    <t>1301260000281498</t>
  </si>
  <si>
    <t>RUPESH KUMAL</t>
  </si>
  <si>
    <t>RAM BAHADUR KUMAL/KAMALA KUMAL</t>
  </si>
  <si>
    <t>LOK BAHADUR KUMAL</t>
  </si>
  <si>
    <t>44-01-74-01327</t>
  </si>
  <si>
    <t>E487028948852401</t>
  </si>
  <si>
    <t>1301720000602406</t>
  </si>
  <si>
    <t>RAJENDRA PRAKASH SHIWAKOTI</t>
  </si>
  <si>
    <t>TAPENDRA PRASAD SHIWAKOTI</t>
  </si>
  <si>
    <t>INDIRA POKHAREL</t>
  </si>
  <si>
    <t>532/5722</t>
  </si>
  <si>
    <t>03510707394398000001</t>
  </si>
  <si>
    <t>1301070001848370</t>
  </si>
  <si>
    <t>PRANESH THAPA</t>
  </si>
  <si>
    <t>50-01-77-03912</t>
  </si>
  <si>
    <t>03607010321624</t>
  </si>
  <si>
    <t>1301040002302400</t>
  </si>
  <si>
    <t>SARU BHATTARAI</t>
  </si>
  <si>
    <t>LILADHAR BHATTARAI/MINA BHATTARAI</t>
  </si>
  <si>
    <t>/BALARAM BHATTARAI</t>
  </si>
  <si>
    <t>37-02-71-13228</t>
  </si>
  <si>
    <t>19110017504456</t>
  </si>
  <si>
    <t>1301480000153175</t>
  </si>
  <si>
    <t>SAGAR GIRI</t>
  </si>
  <si>
    <t>TIKA RAM GIRI</t>
  </si>
  <si>
    <t>LETTER GIRI</t>
  </si>
  <si>
    <t>431013/120752</t>
  </si>
  <si>
    <t>01607508180018</t>
  </si>
  <si>
    <t>1301770000052920</t>
  </si>
  <si>
    <t>SHAKUNTALA SHRESTHA</t>
  </si>
  <si>
    <t>DAN BAHADUR SHRESTHA/MUMA KUMARI SHRESTHA</t>
  </si>
  <si>
    <t>RATNA MAN SHRESTHA</t>
  </si>
  <si>
    <t>1886</t>
  </si>
  <si>
    <t>01706045450019</t>
  </si>
  <si>
    <t>1301580000118789</t>
  </si>
  <si>
    <t>DEEPAK LAMA</t>
  </si>
  <si>
    <t>253027/0717</t>
  </si>
  <si>
    <t>0280000007312</t>
  </si>
  <si>
    <t>1301570000575399</t>
  </si>
  <si>
    <t>LAL BAHADUR TAMANG/DHAN MAYA TAMANG</t>
  </si>
  <si>
    <t>SUN BAHADUR TAMANG</t>
  </si>
  <si>
    <t>35518</t>
  </si>
  <si>
    <t>19101000176514000001</t>
  </si>
  <si>
    <t>1301420000058938</t>
  </si>
  <si>
    <t>KALPANA SHRESTHA</t>
  </si>
  <si>
    <t>NARAYAN BAHADUR SHRESTHA</t>
  </si>
  <si>
    <t>LALIT BAHADUR SHRESTHA/JYOTI BAHADUR SHRESTHA</t>
  </si>
  <si>
    <t>15976</t>
  </si>
  <si>
    <t>00105010128455</t>
  </si>
  <si>
    <t>1301120002014534</t>
  </si>
  <si>
    <t>GANESH BUDHATHOKI</t>
  </si>
  <si>
    <t>YAGYA BAHADUR BUDHATHOKI</t>
  </si>
  <si>
    <t>ADIMARDAN BUDHATHOKI</t>
  </si>
  <si>
    <t>06-01-71-01151</t>
  </si>
  <si>
    <t>05107010010261</t>
  </si>
  <si>
    <t>1301120000013996</t>
  </si>
  <si>
    <t>AMIT SHRESTHA</t>
  </si>
  <si>
    <t>AMIR MAN SHRESTHA</t>
  </si>
  <si>
    <t>MANILA VAIDYA</t>
  </si>
  <si>
    <t>15524</t>
  </si>
  <si>
    <t>08007010000358</t>
  </si>
  <si>
    <t>1301090000348744</t>
  </si>
  <si>
    <t>KRISHNA RAM SHRESTHA</t>
  </si>
  <si>
    <t>RATNA BAHADUR SHRESTHA / SAPANA SHRESTHA</t>
  </si>
  <si>
    <t>6002/7577</t>
  </si>
  <si>
    <t>50215043855</t>
  </si>
  <si>
    <t>1301120000013981</t>
  </si>
  <si>
    <t>KRISHNA MAN VAIDYA</t>
  </si>
  <si>
    <t>4876</t>
  </si>
  <si>
    <t>08007010004766</t>
  </si>
  <si>
    <t>1301060000278207</t>
  </si>
  <si>
    <t>BHOLA BIKRAM THAPA</t>
  </si>
  <si>
    <t>KHADGA BIKRAM THAPA</t>
  </si>
  <si>
    <t>TRIBHUVAN BIKRAM THAPA</t>
  </si>
  <si>
    <t>2920/082</t>
  </si>
  <si>
    <t>00105010010106</t>
  </si>
  <si>
    <t>1301940000004346</t>
  </si>
  <si>
    <t>YOUNIK SHRESTHA</t>
  </si>
  <si>
    <t>JAY BAHADUR SHRESTHA</t>
  </si>
  <si>
    <t>241073/19761</t>
  </si>
  <si>
    <t>03309012411034</t>
  </si>
  <si>
    <t>1301440000399754</t>
  </si>
  <si>
    <t>HIMAL ARYAL</t>
  </si>
  <si>
    <t>DURGA PRASAD ARYAL</t>
  </si>
  <si>
    <t>BHOJRAJ ARYAL</t>
  </si>
  <si>
    <t>41-01-72-04721</t>
  </si>
  <si>
    <t>03607010027414</t>
  </si>
  <si>
    <t>1301120001261260</t>
  </si>
  <si>
    <t>BIPAN KUMAR THAPA</t>
  </si>
  <si>
    <t>MOHAN BAHADUR THAPA/MAN KUMARI THAPA</t>
  </si>
  <si>
    <t>SOVIT BAHADUR THAPA/RATNA THAPA</t>
  </si>
  <si>
    <t>67060</t>
  </si>
  <si>
    <t>08607010002575</t>
  </si>
  <si>
    <t>1301040002374453</t>
  </si>
  <si>
    <t>DURGA CHAUDHARY</t>
  </si>
  <si>
    <t>JIT BA THARU/CHAMFI DEVI THARU</t>
  </si>
  <si>
    <t>/MISHRALAL THARU</t>
  </si>
  <si>
    <t>672041/46704</t>
  </si>
  <si>
    <t>05910017508856</t>
  </si>
  <si>
    <t>1301650000578041</t>
  </si>
  <si>
    <t>AWASAR DEVKOTA</t>
  </si>
  <si>
    <t>BIRENDRA PRASAD DEVKOTA</t>
  </si>
  <si>
    <t>kanai lal jaisi</t>
  </si>
  <si>
    <t>1207305065750</t>
  </si>
  <si>
    <t>2550100052462010</t>
  </si>
  <si>
    <t>1301250000059959</t>
  </si>
  <si>
    <t>Nilan bajracharya</t>
  </si>
  <si>
    <t>dev ratna bajracharya</t>
  </si>
  <si>
    <t>rupa bajracharya/ kul jyoti bajracharya</t>
  </si>
  <si>
    <t>10643</t>
  </si>
  <si>
    <t>08007010008653</t>
  </si>
  <si>
    <t>1301040000063036</t>
  </si>
  <si>
    <t>JAYA SHRESTHA</t>
  </si>
  <si>
    <t>28-01-069-01623</t>
  </si>
  <si>
    <t>0210017523301</t>
  </si>
  <si>
    <t>1301120001482255</t>
  </si>
  <si>
    <t>MINA BHANDARI</t>
  </si>
  <si>
    <t>SURYA BAHADUR BHANDARI/SARASOTI BHANDARI</t>
  </si>
  <si>
    <t>SANTA BAHADUR BHANDARI</t>
  </si>
  <si>
    <t>93209</t>
  </si>
  <si>
    <t>01007010010673</t>
  </si>
  <si>
    <t>1301550000264219</t>
  </si>
  <si>
    <t>BINA MAHARJAN</t>
  </si>
  <si>
    <t>NUCHA NARAYAN MAHARJAN</t>
  </si>
  <si>
    <t>AASHA NARAYAN MAHARJAN</t>
  </si>
  <si>
    <t>0390982103700013</t>
  </si>
  <si>
    <t>1301650000578056</t>
  </si>
  <si>
    <t>AYAN DEVKOTA</t>
  </si>
  <si>
    <t>BIRENDRA PRASAD DEVKOTA/krishna kumari bista</t>
  </si>
  <si>
    <t>kanhai lal jaisi</t>
  </si>
  <si>
    <t>2076111703276</t>
  </si>
  <si>
    <t>2550100052459010</t>
  </si>
  <si>
    <t>1301120004813655</t>
  </si>
  <si>
    <t>KRITIKA KOIRALA</t>
  </si>
  <si>
    <t>KRISHNA KOIRALA</t>
  </si>
  <si>
    <t>MUKTI PRASAD KOIRALA</t>
  </si>
  <si>
    <t>2075120200126</t>
  </si>
  <si>
    <t>33007010011361</t>
  </si>
  <si>
    <t>1301080000576857</t>
  </si>
  <si>
    <t>SARU BHANDARI</t>
  </si>
  <si>
    <t>BHARAT RAJ BHANDARI</t>
  </si>
  <si>
    <t>SUBASH THAPA</t>
  </si>
  <si>
    <t>271060/44087</t>
  </si>
  <si>
    <t>06700501200877</t>
  </si>
  <si>
    <t>1301120005056573</t>
  </si>
  <si>
    <t>SAHARA KC</t>
  </si>
  <si>
    <t>NITESH KC</t>
  </si>
  <si>
    <t>KISHOR KC</t>
  </si>
  <si>
    <t>2079090909849</t>
  </si>
  <si>
    <t>01007010155335</t>
  </si>
  <si>
    <t>1301510000024671</t>
  </si>
  <si>
    <t>MANOHAR THAPA</t>
  </si>
  <si>
    <t>BALARAM THAPA</t>
  </si>
  <si>
    <t>29-01-064-01657</t>
  </si>
  <si>
    <t>06700524200023</t>
  </si>
  <si>
    <t>1301090000428570</t>
  </si>
  <si>
    <t>RUBINA MALLA</t>
  </si>
  <si>
    <t>RATNA BIR MALLA</t>
  </si>
  <si>
    <t>PREM BAHADUR MALLA</t>
  </si>
  <si>
    <t>28-01-068-02682</t>
  </si>
  <si>
    <t>0270077610200013</t>
  </si>
  <si>
    <t>1301060000481277</t>
  </si>
  <si>
    <t>AASHRA BAJRACHARYA</t>
  </si>
  <si>
    <t>27-01-73-03861</t>
  </si>
  <si>
    <t>00705150261180</t>
  </si>
  <si>
    <t>1301060003335468</t>
  </si>
  <si>
    <t>SANJEEV BANJADE</t>
  </si>
  <si>
    <t>KASHINATH BANJADE/JANAKI KANDEL</t>
  </si>
  <si>
    <t>JANAK NARAYAN BANJADE</t>
  </si>
  <si>
    <t>37-02-81-00680</t>
  </si>
  <si>
    <t>12605390265775</t>
  </si>
  <si>
    <t>1301120004885942</t>
  </si>
  <si>
    <t>RAMESH KUMAR MAHATO</t>
  </si>
  <si>
    <t>TULASI PRASAD MAHATO /SURYAKALA DEVI</t>
  </si>
  <si>
    <t>RUPLAL MAHATO / MINU KUMARI SAH</t>
  </si>
  <si>
    <t>321009/1166</t>
  </si>
  <si>
    <t>17207010002006</t>
  </si>
  <si>
    <t>1301440000457482</t>
  </si>
  <si>
    <t>RAKESH KATHAYAT</t>
  </si>
  <si>
    <t>HARKA BAHADUR KATHAYAT</t>
  </si>
  <si>
    <t>SARJANE KATHATAT</t>
  </si>
  <si>
    <t>653029/103</t>
  </si>
  <si>
    <t>03607010342711</t>
  </si>
  <si>
    <t>1301550000264179</t>
  </si>
  <si>
    <t>MACHA KAJI MAHARJAN</t>
  </si>
  <si>
    <t>ASHA NARAYAN MAHARJAN</t>
  </si>
  <si>
    <t>AASHA KAJI MAHARJAN</t>
  </si>
  <si>
    <t>6212</t>
  </si>
  <si>
    <t>00115097575</t>
  </si>
  <si>
    <t>1301170002343251</t>
  </si>
  <si>
    <t>SANDIP PUN MAGAR</t>
  </si>
  <si>
    <t>MANGAL KUMAR PUN</t>
  </si>
  <si>
    <t>SHER BAHADUR PUN</t>
  </si>
  <si>
    <t>76-01-79-00381</t>
  </si>
  <si>
    <t>0190100000696045</t>
  </si>
  <si>
    <t>1301080000035243</t>
  </si>
  <si>
    <t>ARUN RAJ PANDEY</t>
  </si>
  <si>
    <t>EK RAJ SHARMA PANDEY</t>
  </si>
  <si>
    <t>SINGH RAJ PANDEU GURUHARANA</t>
  </si>
  <si>
    <t>1943</t>
  </si>
  <si>
    <t>00407010100739</t>
  </si>
  <si>
    <t>1301120004697521</t>
  </si>
  <si>
    <t>BHARATH KUMAR MAHATO</t>
  </si>
  <si>
    <t>RAMASIS MAHATO</t>
  </si>
  <si>
    <t>RAMEE MAHATO</t>
  </si>
  <si>
    <t>15-03-53-123</t>
  </si>
  <si>
    <t>03309012800850</t>
  </si>
  <si>
    <t>1301260002613955</t>
  </si>
  <si>
    <t>DIPAK PRASAD BHATTTA</t>
  </si>
  <si>
    <t>SHANTA PRASAD BHATTA/DEV KUMARI BHATTTA</t>
  </si>
  <si>
    <t>GHANA NATH BHATTA</t>
  </si>
  <si>
    <t>251047161</t>
  </si>
  <si>
    <t>0410037321100011</t>
  </si>
  <si>
    <t>1301610001824016</t>
  </si>
  <si>
    <t>SUSHMITA DHAKAL</t>
  </si>
  <si>
    <t>RAM PRASAD DHAKAL</t>
  </si>
  <si>
    <t>ISHOWARI PRASAD DHAKAL</t>
  </si>
  <si>
    <t>31-01-71-01402</t>
  </si>
  <si>
    <t>0470069746600014</t>
  </si>
  <si>
    <t>1301370000571703</t>
  </si>
  <si>
    <t>Baburam Thapa</t>
  </si>
  <si>
    <t>Dharma Dhwoj Thapa</t>
  </si>
  <si>
    <t>Karna Dhwoj Thapa</t>
  </si>
  <si>
    <t>25573/3035</t>
  </si>
  <si>
    <t>0200100001842041</t>
  </si>
  <si>
    <t>1301060002034510</t>
  </si>
  <si>
    <t>KRISHNA PANDEY</t>
  </si>
  <si>
    <t>TEK NARAYAN PANDEY</t>
  </si>
  <si>
    <t>HIRAMANI PANDEY</t>
  </si>
  <si>
    <t>411063-65952</t>
  </si>
  <si>
    <t>00100700003876000001</t>
  </si>
  <si>
    <t>1301570000477342</t>
  </si>
  <si>
    <t>BABITA GHIMIRE</t>
  </si>
  <si>
    <t>MOHAN PRASAD GHIMIRE/BIMILA GHIMIRE</t>
  </si>
  <si>
    <t>RAGHU NATH GHIMIRE</t>
  </si>
  <si>
    <t>3004229</t>
  </si>
  <si>
    <t>19101200178647000001</t>
  </si>
  <si>
    <t>1301040000072944</t>
  </si>
  <si>
    <t>SATISH CHANDRA ARYAL</t>
  </si>
  <si>
    <t>NARENDRA RAJ ARYAL</t>
  </si>
  <si>
    <t>PUNAKALA ARYAL/PHARSHURAM ARYAL</t>
  </si>
  <si>
    <t>61417</t>
  </si>
  <si>
    <t>7007010023517</t>
  </si>
  <si>
    <t>1301110000777606</t>
  </si>
  <si>
    <t>PRAJWAL PURI</t>
  </si>
  <si>
    <t>HOM KARNA PURI/NAOMI PURI</t>
  </si>
  <si>
    <t>KUL PURI</t>
  </si>
  <si>
    <t>06-02-71-00403</t>
  </si>
  <si>
    <t>33607010002536</t>
  </si>
  <si>
    <t>1301070000546736</t>
  </si>
  <si>
    <t>SHYAM BAHADUR KHADKA</t>
  </si>
  <si>
    <t>FURSHA BAHADUR KHADKA</t>
  </si>
  <si>
    <t>ROMAN SINGH KHADKA</t>
  </si>
  <si>
    <t>411076/267</t>
  </si>
  <si>
    <t>02020047827</t>
  </si>
  <si>
    <t>1301080000694191</t>
  </si>
  <si>
    <t>PUSKAR BISUNKHE</t>
  </si>
  <si>
    <t>HARKE SARKI BISUNKHE</t>
  </si>
  <si>
    <t>KALE BAHADUR SARKI</t>
  </si>
  <si>
    <t>221050/38</t>
  </si>
  <si>
    <t>00200501216695</t>
  </si>
  <si>
    <t>1301580002039047</t>
  </si>
  <si>
    <t>ABINASH ADHIKARI</t>
  </si>
  <si>
    <t>BASU DEV ADHIKARI YAMUNA UPADHYAYA ADHIKARI</t>
  </si>
  <si>
    <t>35-01-72-02916</t>
  </si>
  <si>
    <t>007011060001742</t>
  </si>
  <si>
    <t>1301740000015931</t>
  </si>
  <si>
    <t>ASHMITA BHATTARAI DAHAL</t>
  </si>
  <si>
    <t>DILLINATH BHATTARAI</t>
  </si>
  <si>
    <t>NANDAKHAR BHATTARAI</t>
  </si>
  <si>
    <t>22-01-74-05371</t>
  </si>
  <si>
    <t>00607800075447000001</t>
  </si>
  <si>
    <t>1301090000414686</t>
  </si>
  <si>
    <t>KUL KUMARI THAPA</t>
  </si>
  <si>
    <t>FATHA BAHADUR KARKI</t>
  </si>
  <si>
    <t>MANBIR KARKI</t>
  </si>
  <si>
    <t>9004</t>
  </si>
  <si>
    <t>03214130743</t>
  </si>
  <si>
    <t>1301120001661853</t>
  </si>
  <si>
    <t>ANKITA BELBASE</t>
  </si>
  <si>
    <t>KRISHNA PRASAD BELBASE / PABITRA BELBASE</t>
  </si>
  <si>
    <t>KHIMANANDA BELBASE</t>
  </si>
  <si>
    <t>401021/902</t>
  </si>
  <si>
    <t>08807010000664</t>
  </si>
  <si>
    <t>1301120001136583</t>
  </si>
  <si>
    <t>LAXMI ADHIKARI</t>
  </si>
  <si>
    <t>CHIRANJIBI ADHIKARI</t>
  </si>
  <si>
    <t>431021/107151</t>
  </si>
  <si>
    <t>09107010002720</t>
  </si>
  <si>
    <t>1301120001066691</t>
  </si>
  <si>
    <t>SURENDRA RAJ GAULI</t>
  </si>
  <si>
    <t>LOKRAJ GAULI/RAMA GAULI</t>
  </si>
  <si>
    <t>CHUDAMANI GAULI/BHAGAWATI GAULI</t>
  </si>
  <si>
    <t>65002</t>
  </si>
  <si>
    <t>00308010000602</t>
  </si>
  <si>
    <t>1301060002708647</t>
  </si>
  <si>
    <t>KABIR SINGH SHRESTHA</t>
  </si>
  <si>
    <t>111794</t>
  </si>
  <si>
    <t>04705120254984</t>
  </si>
  <si>
    <t>1301520002136821</t>
  </si>
  <si>
    <t>GAUTAM TULADHAR</t>
  </si>
  <si>
    <t>KEDAR TULADHAR / RATNA MAYA TULADHAR</t>
  </si>
  <si>
    <t>KRISHNA BAHADUR TULADHAR</t>
  </si>
  <si>
    <t>4579</t>
  </si>
  <si>
    <t>0090214525900001</t>
  </si>
  <si>
    <t>1301440000453357</t>
  </si>
  <si>
    <t>KRISHNA KUMAR GURUNG</t>
  </si>
  <si>
    <t>NAR BAHADUR GURUNG</t>
  </si>
  <si>
    <t>SURBIR GURUNG</t>
  </si>
  <si>
    <t>40064-2130</t>
  </si>
  <si>
    <t>03307012919571</t>
  </si>
  <si>
    <t>1301250001498172</t>
  </si>
  <si>
    <t>DEU BAHADUR SHRESTHA/PREM KUMARI SHRESTHA</t>
  </si>
  <si>
    <t>KAS NARAYAN SHRESTHA</t>
  </si>
  <si>
    <t>422063/438</t>
  </si>
  <si>
    <t>01822301090456000001</t>
  </si>
  <si>
    <t>1301440000333111</t>
  </si>
  <si>
    <t>MANISHA KHORJA PUN</t>
  </si>
  <si>
    <t>KEM BAHADUR KHORJA PUN</t>
  </si>
  <si>
    <t>RAN BAHADUR KHORJA PUN</t>
  </si>
  <si>
    <t>51-01-73-02607</t>
  </si>
  <si>
    <t>03607010260602</t>
  </si>
  <si>
    <t>1301060001425582</t>
  </si>
  <si>
    <t>AAYUSH MAHATO</t>
  </si>
  <si>
    <t>NANDA KISHOR /NILAM KUMARI MAHATO</t>
  </si>
  <si>
    <t>MISHREE SAH SUDI</t>
  </si>
  <si>
    <t>2069111102912</t>
  </si>
  <si>
    <t>01705150051703</t>
  </si>
  <si>
    <t>1301370006176413</t>
  </si>
  <si>
    <t>BHADRA KUMARI KALIKOTE</t>
  </si>
  <si>
    <t>DILLI BAHADUR KARKI</t>
  </si>
  <si>
    <t>223004/106</t>
  </si>
  <si>
    <t>2505752253536001</t>
  </si>
  <si>
    <t>1301640000017024</t>
  </si>
  <si>
    <t>RINA NAGARKOTI</t>
  </si>
  <si>
    <t>SANAT BAHADUR NAGARKOTI</t>
  </si>
  <si>
    <t>BHAJBIR NAGARKOTI</t>
  </si>
  <si>
    <t>280106601333</t>
  </si>
  <si>
    <t>1700100001287104</t>
  </si>
  <si>
    <t>1301610000923284</t>
  </si>
  <si>
    <t>RAMESHWAR PRASAD RAUNIYAR</t>
  </si>
  <si>
    <t>SATYANARAYAN PRASAD RAUNIYAR</t>
  </si>
  <si>
    <t>JAGARAM SAH</t>
  </si>
  <si>
    <t>1644181476</t>
  </si>
  <si>
    <t>1390084126000011</t>
  </si>
  <si>
    <t>1301330000010877</t>
  </si>
  <si>
    <t>Dipendra Kadariya</t>
  </si>
  <si>
    <t>Debaraj kadariya</t>
  </si>
  <si>
    <t>Tirtha raj kadariya</t>
  </si>
  <si>
    <t>10910</t>
  </si>
  <si>
    <t>11412010000002</t>
  </si>
  <si>
    <t>1301120004320934</t>
  </si>
  <si>
    <t>BABURAM RAI/INDRA KUMARI RAI</t>
  </si>
  <si>
    <t>LAL BAHADUR RAI</t>
  </si>
  <si>
    <t>093003/46</t>
  </si>
  <si>
    <t>12807010005381</t>
  </si>
  <si>
    <t>1301170001148841</t>
  </si>
  <si>
    <t>PARBATI ARYAL</t>
  </si>
  <si>
    <t>TANKA PRASAD ARYAL</t>
  </si>
  <si>
    <t>HUMLAL ARYAL</t>
  </si>
  <si>
    <t>17641</t>
  </si>
  <si>
    <t>0540100000712041</t>
  </si>
  <si>
    <t>1301090000113506</t>
  </si>
  <si>
    <t>RAJU RAM THAPA</t>
  </si>
  <si>
    <t>GYAN THAPA</t>
  </si>
  <si>
    <t>SHYAM THAPA</t>
  </si>
  <si>
    <t>252</t>
  </si>
  <si>
    <t>0601601023181011</t>
  </si>
  <si>
    <t>1301370002321528</t>
  </si>
  <si>
    <t>DHAN BAHADUR PANDEY</t>
  </si>
  <si>
    <t>DAMBAR BAHADUR PANDEY</t>
  </si>
  <si>
    <t>HARKA BAHADUR PANDEY</t>
  </si>
  <si>
    <t>04-02-72-01958</t>
  </si>
  <si>
    <t>07113020187631000001</t>
  </si>
  <si>
    <t>1301260001173301</t>
  </si>
  <si>
    <t>MANISH SHRESTHA</t>
  </si>
  <si>
    <t>BIMAL PRASAD SHRESTHA/SHARADA SHRESTHA</t>
  </si>
  <si>
    <t>BHAGAWAT PRASAD SHRESTHA</t>
  </si>
  <si>
    <t>10920</t>
  </si>
  <si>
    <t>0030007365000011</t>
  </si>
  <si>
    <t>1301650000571483</t>
  </si>
  <si>
    <t>JHALAK DHAKAL</t>
  </si>
  <si>
    <t>DIWAKAR DHAKAL</t>
  </si>
  <si>
    <t>GOBARDHAN DHAKAL/</t>
  </si>
  <si>
    <t>42148384</t>
  </si>
  <si>
    <t>3270100000656010</t>
  </si>
  <si>
    <t>1301770000367976</t>
  </si>
  <si>
    <t>PEMCHHIRI SHERPA</t>
  </si>
  <si>
    <t>KAMIDAWA SHERPA/NIMULI SHERPA</t>
  </si>
  <si>
    <t>DAWAFINJO SHERPA</t>
  </si>
  <si>
    <t>77669</t>
  </si>
  <si>
    <t>00604493620013</t>
  </si>
  <si>
    <t>1301100003199501</t>
  </si>
  <si>
    <t>RAJ SUNAR</t>
  </si>
  <si>
    <t>PURNA BAHADUR SUNAR</t>
  </si>
  <si>
    <t>MAN BAHADUR SUNAR</t>
  </si>
  <si>
    <t>36-01-77-05770</t>
  </si>
  <si>
    <t>0340219233400014</t>
  </si>
  <si>
    <t>1301290000002868</t>
  </si>
  <si>
    <t>HEMANT GOLCHHA</t>
  </si>
  <si>
    <t>LOKMANYA GOLCHHA</t>
  </si>
  <si>
    <t>LATE. SRI HANSRAJ GOLCHHA</t>
  </si>
  <si>
    <t>19249</t>
  </si>
  <si>
    <t>00200501201854</t>
  </si>
  <si>
    <t>1301290000002891</t>
  </si>
  <si>
    <t>AAKASH GOLCHHA</t>
  </si>
  <si>
    <t>LATE. SRI  HANSRAJ GOLCHHA</t>
  </si>
  <si>
    <t>20352</t>
  </si>
  <si>
    <t>01000501201672</t>
  </si>
  <si>
    <t>1301290000002872</t>
  </si>
  <si>
    <t>ARYAMAN GOLCHHA</t>
  </si>
  <si>
    <t>HEMANTA GOLCHHA</t>
  </si>
  <si>
    <t>1533</t>
  </si>
  <si>
    <t>03450501000017</t>
  </si>
  <si>
    <t>1301290000002912</t>
  </si>
  <si>
    <t>AARAV GOLCHHA</t>
  </si>
  <si>
    <t>1547</t>
  </si>
  <si>
    <t>0605300935524001</t>
  </si>
  <si>
    <t>1301290000002927</t>
  </si>
  <si>
    <t>ANAIYA GOLCHHA</t>
  </si>
  <si>
    <t>0614071246524005</t>
  </si>
  <si>
    <t>1301120000948297</t>
  </si>
  <si>
    <t>RUPA BAYALKOTY</t>
  </si>
  <si>
    <t>DHAN BAHADUR BAYALKOTY</t>
  </si>
  <si>
    <t>DIL PRASAD BAYALKOTY</t>
  </si>
  <si>
    <t>423340</t>
  </si>
  <si>
    <t>01507010005815</t>
  </si>
  <si>
    <t>1301100001073479</t>
  </si>
  <si>
    <t>POSHANA ADHIKARI</t>
  </si>
  <si>
    <t>MUKUNDA PRASAD ADHIKARI/LAXMI ADHIKARI</t>
  </si>
  <si>
    <t>KHAGENDRA ADHIKARI/MANOJ DHITAL</t>
  </si>
  <si>
    <t>431029/1127</t>
  </si>
  <si>
    <t>13007010002308</t>
  </si>
  <si>
    <t>1301820000463591</t>
  </si>
  <si>
    <t>SUSHANT LACOUL</t>
  </si>
  <si>
    <t>MADHU PRASAD LACOUL / PRADITA LACOUL</t>
  </si>
  <si>
    <t>MOHAN LACOUL</t>
  </si>
  <si>
    <t>391066/4414</t>
  </si>
  <si>
    <t>03214600815758000001</t>
  </si>
  <si>
    <t>1301290000002887</t>
  </si>
  <si>
    <t>JAI GOLCHHA</t>
  </si>
  <si>
    <t>271060/120644</t>
  </si>
  <si>
    <t>0314005838524010</t>
  </si>
  <si>
    <t>1301120001411434</t>
  </si>
  <si>
    <t>Ambika Achrya</t>
  </si>
  <si>
    <t>Nar Hari Acharya</t>
  </si>
  <si>
    <t>Chakrapani Acharya</t>
  </si>
  <si>
    <t>6695</t>
  </si>
  <si>
    <t>09708010000003</t>
  </si>
  <si>
    <t>1301120000712971</t>
  </si>
  <si>
    <t>Sandip Pokhrel</t>
  </si>
  <si>
    <t>Kopial Prasad Pokhrel</t>
  </si>
  <si>
    <t>Bhoraja Pokhrel / Shristi Ghimire</t>
  </si>
  <si>
    <t>253038</t>
  </si>
  <si>
    <t>17407010008298</t>
  </si>
  <si>
    <t>1301480000142340</t>
  </si>
  <si>
    <t>SANJITA DAHAL</t>
  </si>
  <si>
    <t>KUL PRASAD DAHAL</t>
  </si>
  <si>
    <t>DEVDUTTA DAHAL</t>
  </si>
  <si>
    <t>46-13-70/00592</t>
  </si>
  <si>
    <t>08411300312035000001</t>
  </si>
  <si>
    <t>1301370000978069</t>
  </si>
  <si>
    <t>Lal Bahadur Dhakal</t>
  </si>
  <si>
    <t>Netra Bahadur Dhakal</t>
  </si>
  <si>
    <t>Mandhwas Dhakal</t>
  </si>
  <si>
    <t>2095</t>
  </si>
  <si>
    <t>0487486609524001</t>
  </si>
  <si>
    <t>1301590000294092</t>
  </si>
  <si>
    <t>KUMAR SHRESTHA</t>
  </si>
  <si>
    <t>22-01-73-05017</t>
  </si>
  <si>
    <t>02620063324</t>
  </si>
  <si>
    <t>1301060000014691</t>
  </si>
  <si>
    <t>Kiran Kishor Amatya</t>
  </si>
  <si>
    <t>Ram Bahadur Amatya</t>
  </si>
  <si>
    <t>Krishna Bahadur Amatya</t>
  </si>
  <si>
    <t>29972</t>
  </si>
  <si>
    <t>00420600039888000001</t>
  </si>
  <si>
    <t>1301650002182239</t>
  </si>
  <si>
    <t>ABHYUDAYA SINGH DEUJA</t>
  </si>
  <si>
    <t>MRIGENDRA</t>
  </si>
  <si>
    <t>HARI SHARAN DEUJA</t>
  </si>
  <si>
    <t>2079080117098</t>
  </si>
  <si>
    <t>1160100000067005</t>
  </si>
  <si>
    <t>1301020000093204</t>
  </si>
  <si>
    <t>UMESH RAJ RIJAL</t>
  </si>
  <si>
    <t>NARAYAN  PRASAD RIJAL</t>
  </si>
  <si>
    <t>LOKNATH  UPDHAYAY</t>
  </si>
  <si>
    <t>160321792</t>
  </si>
  <si>
    <t>0100200126514014</t>
  </si>
  <si>
    <t>1301060000168911</t>
  </si>
  <si>
    <t>NIVA SHRESTHA</t>
  </si>
  <si>
    <t>663</t>
  </si>
  <si>
    <t>0130003066600016</t>
  </si>
  <si>
    <t>1301650000498517</t>
  </si>
  <si>
    <t>ANUSUYA DEUJA</t>
  </si>
  <si>
    <t>MRIGENDRA DEUJA</t>
  </si>
  <si>
    <t>00196</t>
  </si>
  <si>
    <t>1100100000009005</t>
  </si>
  <si>
    <t>1301170002333114</t>
  </si>
  <si>
    <t>GANESH KUMAR SAH</t>
  </si>
  <si>
    <t>RAM KUMAR SAH KALWAR</t>
  </si>
  <si>
    <t>LAXMAN SAH</t>
  </si>
  <si>
    <t>17-01-76-14755</t>
  </si>
  <si>
    <t>0960100002425045</t>
  </si>
  <si>
    <t>1301770000310549</t>
  </si>
  <si>
    <t>NAWA RAJ GIRI</t>
  </si>
  <si>
    <t>YAM BAHADUR GIRI</t>
  </si>
  <si>
    <t>CHAKRA BAHADUR GIRI</t>
  </si>
  <si>
    <t>146014</t>
  </si>
  <si>
    <t>04304246440011</t>
  </si>
  <si>
    <t>1301170001393367</t>
  </si>
  <si>
    <t>SHISHIR GYAWALI</t>
  </si>
  <si>
    <t>SHANAD KUMAR GYAWALI</t>
  </si>
  <si>
    <t>DILLIRAJ UPADHYAY</t>
  </si>
  <si>
    <t>68040</t>
  </si>
  <si>
    <t>1550100002092049</t>
  </si>
  <si>
    <t>1301040001120361</t>
  </si>
  <si>
    <t>RISHIRAJ CHAURASIYA</t>
  </si>
  <si>
    <t>SHAMBHU PRASAD RAUT BARAI/NIRMALA CHAURASIYA</t>
  </si>
  <si>
    <t>BISHNU DEV RAUT/</t>
  </si>
  <si>
    <t>15-01-72-00489</t>
  </si>
  <si>
    <t>10710017500296</t>
  </si>
  <si>
    <t>1301270000002587</t>
  </si>
  <si>
    <t>Shankar Shrestha</t>
  </si>
  <si>
    <t>Jit Bahadur Shrestha</t>
  </si>
  <si>
    <t>6777</t>
  </si>
  <si>
    <t>00400836010</t>
  </si>
  <si>
    <t>1301120000702906</t>
  </si>
  <si>
    <t>BIJAY ADHIKARI</t>
  </si>
  <si>
    <t>DHALAK BAHADUR ADHIKARI</t>
  </si>
  <si>
    <t>TIKA BAHADUR ADHIKARI</t>
  </si>
  <si>
    <t>4552/5771</t>
  </si>
  <si>
    <t>00807010005301</t>
  </si>
  <si>
    <t>1301370007320804</t>
  </si>
  <si>
    <t>DILIP KUMAR MAHATO</t>
  </si>
  <si>
    <t>HEM NARAYAN MAHATO</t>
  </si>
  <si>
    <t>RAM BALAM MAHATO</t>
  </si>
  <si>
    <t>19-01-79-09024</t>
  </si>
  <si>
    <t>2495752653255001</t>
  </si>
  <si>
    <t>1301720000973652</t>
  </si>
  <si>
    <t>BHANU BHAKT KHATRI</t>
  </si>
  <si>
    <t>PAHALSINGH KHATRI</t>
  </si>
  <si>
    <t>BIRBAL KHATRI</t>
  </si>
  <si>
    <t>64104887305</t>
  </si>
  <si>
    <t>0720901049541011</t>
  </si>
  <si>
    <t>1301530000082365</t>
  </si>
  <si>
    <t>Arpana Rai</t>
  </si>
  <si>
    <t>Bir Bahadur Rai/Bishnu Maya Rai</t>
  </si>
  <si>
    <t>Dal Bahadur Rai</t>
  </si>
  <si>
    <t>251035/4932</t>
  </si>
  <si>
    <t>0213401669961020</t>
  </si>
  <si>
    <t>1301170000079301</t>
  </si>
  <si>
    <t>JUNU RANA</t>
  </si>
  <si>
    <t>TARA PRASAD RANA</t>
  </si>
  <si>
    <t>2/3212</t>
  </si>
  <si>
    <t>0080100000079020</t>
  </si>
  <si>
    <t>1301260000667850</t>
  </si>
  <si>
    <t>MADAN RAJ PANT</t>
  </si>
  <si>
    <t>SHANTI RAJ PANT /DAMMURU DEVI PANT</t>
  </si>
  <si>
    <t>DASHRATH PANT</t>
  </si>
  <si>
    <t>370</t>
  </si>
  <si>
    <t>0290024276000011</t>
  </si>
  <si>
    <t>1301060000852148</t>
  </si>
  <si>
    <t>SAGAR ADHIKARI</t>
  </si>
  <si>
    <t>AATMA RAM ADHIKARI</t>
  </si>
  <si>
    <t>KASHI NATH ADHIKARI</t>
  </si>
  <si>
    <t>44337</t>
  </si>
  <si>
    <t>00405080358316</t>
  </si>
  <si>
    <t>1301060001540200</t>
  </si>
  <si>
    <t>BUDDHIMAN TAMANG</t>
  </si>
  <si>
    <t>BALBIR TAMANG</t>
  </si>
  <si>
    <t>MANGIT TAMANG</t>
  </si>
  <si>
    <t>9939</t>
  </si>
  <si>
    <t>01905120268929</t>
  </si>
  <si>
    <t>1301120000760802</t>
  </si>
  <si>
    <t>AVANI ADHIKARI</t>
  </si>
  <si>
    <t>03507010012159</t>
  </si>
  <si>
    <t>1301080000828672</t>
  </si>
  <si>
    <t>DOR PRASAD ADHIKARI</t>
  </si>
  <si>
    <t>CHANDRA PRASAD ADHIKARI</t>
  </si>
  <si>
    <t>GANGADHAR ADHIKARI</t>
  </si>
  <si>
    <t>32  2081/98</t>
  </si>
  <si>
    <t>00200504202398</t>
  </si>
  <si>
    <t>1301120000703169</t>
  </si>
  <si>
    <t>BIJAL ADHIKARI</t>
  </si>
  <si>
    <t>47</t>
  </si>
  <si>
    <t>03507010006424</t>
  </si>
  <si>
    <t>1301280000122806</t>
  </si>
  <si>
    <t>BHOJ RAJ KANDEL</t>
  </si>
  <si>
    <t>DADHI RAM KANDEL</t>
  </si>
  <si>
    <t>36-02-74-05844</t>
  </si>
  <si>
    <t>0105751050677001</t>
  </si>
  <si>
    <t>1301100002822791</t>
  </si>
  <si>
    <t>AAYAN KUMAIN KHATRI</t>
  </si>
  <si>
    <t>MAHESH KUMAIN</t>
  </si>
  <si>
    <t>KRISHNA PRASAD KUMAIN</t>
  </si>
  <si>
    <t>2079101808378</t>
  </si>
  <si>
    <t>0290210214300015</t>
  </si>
  <si>
    <t>1301370001060557</t>
  </si>
  <si>
    <t>Jamuna Tamrakar Sayami</t>
  </si>
  <si>
    <t>Janak Bahadur Tamrakar</t>
  </si>
  <si>
    <t>Arun Sayami</t>
  </si>
  <si>
    <t>4870/6079</t>
  </si>
  <si>
    <t>1387977388752401</t>
  </si>
  <si>
    <t>1301040001582872</t>
  </si>
  <si>
    <t>ANISHKA SINGH</t>
  </si>
  <si>
    <t>AMIT KUMAR SINGH/DIVYA SINGH</t>
  </si>
  <si>
    <t>ARJUN SINGH RAJPUT/</t>
  </si>
  <si>
    <t>100231</t>
  </si>
  <si>
    <t>10710017501634</t>
  </si>
  <si>
    <t>1301040001582703</t>
  </si>
  <si>
    <t>AANYA SINGH</t>
  </si>
  <si>
    <t>100232</t>
  </si>
  <si>
    <t>10710017501635</t>
  </si>
  <si>
    <t>1301090000015308</t>
  </si>
  <si>
    <t>NAWA RAJ SUBBA</t>
  </si>
  <si>
    <t>AITA RAJ SUBBA</t>
  </si>
  <si>
    <t>ASHAL BAHADUR SUBBA</t>
  </si>
  <si>
    <t>338/03</t>
  </si>
  <si>
    <t>00315049291</t>
  </si>
  <si>
    <t>1301580000060281</t>
  </si>
  <si>
    <t>NANDA PAUDEL REGMI</t>
  </si>
  <si>
    <t>BALA RAM PAUDEL</t>
  </si>
  <si>
    <t>LAXMI PRASAD PAUDEL/SHANTI PRASAD REGMI</t>
  </si>
  <si>
    <t>80785</t>
  </si>
  <si>
    <t>030000001130N</t>
  </si>
  <si>
    <t>1301120005154674</t>
  </si>
  <si>
    <t>SANJIT ACHHAMI</t>
  </si>
  <si>
    <t>SUK BAHADUR SARKI</t>
  </si>
  <si>
    <t>BATULE SARKI</t>
  </si>
  <si>
    <t>45-01-74-04190</t>
  </si>
  <si>
    <t>09607010063382</t>
  </si>
  <si>
    <t>1301260002743305</t>
  </si>
  <si>
    <t>TOPLAL PANDEY</t>
  </si>
  <si>
    <t>PREM LAL PANDEY/GOMA KUMARI PANDEY</t>
  </si>
  <si>
    <t>NAAM DEV PANDEY</t>
  </si>
  <si>
    <t>39106245</t>
  </si>
  <si>
    <t>1010017510132</t>
  </si>
  <si>
    <t>1301060001395166</t>
  </si>
  <si>
    <t>GORMAN RAI</t>
  </si>
  <si>
    <t>SHYAM BAHADUR RAI</t>
  </si>
  <si>
    <t>UMA LAL RAI</t>
  </si>
  <si>
    <t>231122042</t>
  </si>
  <si>
    <t>06605050254199</t>
  </si>
  <si>
    <t>1301690000068227</t>
  </si>
  <si>
    <t>SARASWOTI UPRETI TIWARI</t>
  </si>
  <si>
    <t>LOK RAJ UPRETI/BHAGAWATI UPRETI</t>
  </si>
  <si>
    <t>DANDA PANI UPRETI/RAJENDRA UPRETI</t>
  </si>
  <si>
    <t>37374</t>
  </si>
  <si>
    <t>02801000000014618770</t>
  </si>
  <si>
    <t>1301610000895101</t>
  </si>
  <si>
    <t>BISHNU MAHARJAN</t>
  </si>
  <si>
    <t>MAILA MAHARJAN</t>
  </si>
  <si>
    <t>HAMBE KANCCHA MAHARJAAN</t>
  </si>
  <si>
    <t>9451</t>
  </si>
  <si>
    <t>1590100319800011</t>
  </si>
  <si>
    <t>1301370004966019</t>
  </si>
  <si>
    <t>SURAJ SHRESTHA</t>
  </si>
  <si>
    <t>44-01-76-02606</t>
  </si>
  <si>
    <t>1475750644810001</t>
  </si>
  <si>
    <t>1301590000097741</t>
  </si>
  <si>
    <t>CHANDNI GUPTA</t>
  </si>
  <si>
    <t>PREM KISHOR GUPTA</t>
  </si>
  <si>
    <t>JIMDAR PRASAD GUPTA</t>
  </si>
  <si>
    <t>1031/791</t>
  </si>
  <si>
    <t>0130045594600011</t>
  </si>
  <si>
    <t>1301770000507981</t>
  </si>
  <si>
    <t>PHANINDRA CHAPAGAIN</t>
  </si>
  <si>
    <t>BHANU BHAKTA CHAPAGAIN</t>
  </si>
  <si>
    <t>HOME NATH CHAPAGAIN</t>
  </si>
  <si>
    <t>30517/3302</t>
  </si>
  <si>
    <t>04507594600012</t>
  </si>
  <si>
    <t>1301080000956496</t>
  </si>
  <si>
    <t>LAXMI KALA KULUNG</t>
  </si>
  <si>
    <t>BADRA KUBIR RAI/PANKHA MANI KULUNG</t>
  </si>
  <si>
    <t>GANESH KUMAR RAI</t>
  </si>
  <si>
    <t>11-02-77-00278</t>
  </si>
  <si>
    <t>08300501201514</t>
  </si>
  <si>
    <t>1301570000911821</t>
  </si>
  <si>
    <t>KRITAGYA BASNET</t>
  </si>
  <si>
    <t>GANESH BIKRAM BASNET/KABINA MAHARJAN</t>
  </si>
  <si>
    <t>MADHAV BAHADUR BASNET</t>
  </si>
  <si>
    <t>2077081502987</t>
  </si>
  <si>
    <t>00210607414271000001</t>
  </si>
  <si>
    <t>1301380000059800</t>
  </si>
  <si>
    <t>BINOD SITAULA</t>
  </si>
  <si>
    <t>GURU PD. SITAULA</t>
  </si>
  <si>
    <t>SHREE PD. SITAULA</t>
  </si>
  <si>
    <t>10874</t>
  </si>
  <si>
    <t>1420100028723011</t>
  </si>
  <si>
    <t>1301950000025849</t>
  </si>
  <si>
    <t>NANI BABU THAPA</t>
  </si>
  <si>
    <t>BAL RAM THAPA/ MUNE THAPA</t>
  </si>
  <si>
    <t>TEJ BAHADUR THAPA/ DEVIKA THAPA</t>
  </si>
  <si>
    <t>4715</t>
  </si>
  <si>
    <t>015011050001372</t>
  </si>
  <si>
    <t>1301380000061588</t>
  </si>
  <si>
    <t>DEEPA REGMI</t>
  </si>
  <si>
    <t>SHIVA RAM REGMI</t>
  </si>
  <si>
    <t>BINOD SITAULA(HUSBAND)</t>
  </si>
  <si>
    <t>1420100001019004</t>
  </si>
  <si>
    <t>1301120003042791</t>
  </si>
  <si>
    <t>GHANSHYAM GIRI</t>
  </si>
  <si>
    <t>BEDAN GIRI/UMA DEVI GIRI</t>
  </si>
  <si>
    <t>BAHADUR GIRI/PABITRA BHARATI GIRI</t>
  </si>
  <si>
    <t>1/8</t>
  </si>
  <si>
    <t>23407010000230</t>
  </si>
  <si>
    <t>1301100002736227</t>
  </si>
  <si>
    <t>NIJAM GARBUJA</t>
  </si>
  <si>
    <t>GANGA PRASAD GARBUJA/LILA GARBUJA</t>
  </si>
  <si>
    <t>SAM BAHADUR GARBUJA</t>
  </si>
  <si>
    <t>49-01-78-00186</t>
  </si>
  <si>
    <t>1980199635000014</t>
  </si>
  <si>
    <t>1301440000299924</t>
  </si>
  <si>
    <t>BAL BAHADUR CHAND</t>
  </si>
  <si>
    <t>JAGAT CHAND</t>
  </si>
  <si>
    <t>JOLA CHAND</t>
  </si>
  <si>
    <t>11736</t>
  </si>
  <si>
    <t>04307010001960</t>
  </si>
  <si>
    <t>1301380000138059</t>
  </si>
  <si>
    <t>BINAMRATA SITAULA</t>
  </si>
  <si>
    <t>GUNA PRASAD SITAULA</t>
  </si>
  <si>
    <t>2068020701319</t>
  </si>
  <si>
    <t>1420100068140010</t>
  </si>
  <si>
    <t>1301650001715577</t>
  </si>
  <si>
    <t>YISARA BUDHATHOKI</t>
  </si>
  <si>
    <t>BHUMIRAJ BUDHATHOKI</t>
  </si>
  <si>
    <t>PARSURAM BUDHATHOKI</t>
  </si>
  <si>
    <t>155</t>
  </si>
  <si>
    <t>1680100074605010</t>
  </si>
  <si>
    <t>1301220000360442</t>
  </si>
  <si>
    <t>PUNAM PARAJULI</t>
  </si>
  <si>
    <t>GANGADHAR PARAJULI</t>
  </si>
  <si>
    <t>RAM CHANDRA PARAJULI</t>
  </si>
  <si>
    <t>36-01-72-02541</t>
  </si>
  <si>
    <t>22407010006272</t>
  </si>
  <si>
    <t>1301650000136039</t>
  </si>
  <si>
    <t>APSARA KC</t>
  </si>
  <si>
    <t>HARKA BAHADUR KC</t>
  </si>
  <si>
    <t>211031/1865</t>
  </si>
  <si>
    <t>1680100015739010</t>
  </si>
  <si>
    <t>1301070000188245</t>
  </si>
  <si>
    <t>Bidur Nanda Neupane</t>
  </si>
  <si>
    <t>Dhrubananda Neupane</t>
  </si>
  <si>
    <t>Khadananda Neupane</t>
  </si>
  <si>
    <t>912/44</t>
  </si>
  <si>
    <t>01526117960</t>
  </si>
  <si>
    <t>1301110000013931</t>
  </si>
  <si>
    <t>RAJENDRA KUMAR SHARMA</t>
  </si>
  <si>
    <t>KRISHNA KUMAR SHARMA</t>
  </si>
  <si>
    <t>ROSHANI SHRESTHA</t>
  </si>
  <si>
    <t>12847</t>
  </si>
  <si>
    <t>02805120260565</t>
  </si>
  <si>
    <t>1301590000509648</t>
  </si>
  <si>
    <t>RAMCHANDRA PRASAD YADAV</t>
  </si>
  <si>
    <t>INDRASHAN RAUT AHIR</t>
  </si>
  <si>
    <t>BABULAL RAUT</t>
  </si>
  <si>
    <t>1312/0924</t>
  </si>
  <si>
    <t>21910017501161</t>
  </si>
  <si>
    <t>1301090003121931</t>
  </si>
  <si>
    <t>KRISHNA BAHADUR THAPA MAGAR</t>
  </si>
  <si>
    <t>KUL BAHADUR THAPA MAGAR</t>
  </si>
  <si>
    <t>24-6374/346</t>
  </si>
  <si>
    <t>02416305350</t>
  </si>
  <si>
    <t>1301060002417870</t>
  </si>
  <si>
    <t>MAHESH KAFLE</t>
  </si>
  <si>
    <t>DOL RAJ KAFLE</t>
  </si>
  <si>
    <t>RAMESHWOR KAFLE</t>
  </si>
  <si>
    <t>36-01-74-06797</t>
  </si>
  <si>
    <t>00600400163968000001</t>
  </si>
  <si>
    <t>1301120003704665</t>
  </si>
  <si>
    <t>ASHESH SHAKYA</t>
  </si>
  <si>
    <t>DHANYAMAN SHAKYA/NARAYANI DEVI TULADHAR</t>
  </si>
  <si>
    <t>TIKA SHAKYA</t>
  </si>
  <si>
    <t>27-01-73-09538</t>
  </si>
  <si>
    <t>00507010079204</t>
  </si>
  <si>
    <t>1301720000081114</t>
  </si>
  <si>
    <t>ALWIN TAMANG</t>
  </si>
  <si>
    <t>AJAY TAMANG THOKAR</t>
  </si>
  <si>
    <t>INDIRA TAMANG</t>
  </si>
  <si>
    <t>100046</t>
  </si>
  <si>
    <t>0227301370309015</t>
  </si>
  <si>
    <t>1301170000142065</t>
  </si>
  <si>
    <t>HARI SHARAN BAIJU</t>
  </si>
  <si>
    <t>HARI BHAKTA BAIJU</t>
  </si>
  <si>
    <t>SHANKAR BAIJU</t>
  </si>
  <si>
    <t>4/4168</t>
  </si>
  <si>
    <t>0300100000029030</t>
  </si>
  <si>
    <t>1301650000715651</t>
  </si>
  <si>
    <t>BHUPENDRA THAPA</t>
  </si>
  <si>
    <t>OM PRAKASH THAPA MAGAR / KHAT KUMAR THAPA</t>
  </si>
  <si>
    <t>PANCHA RAM THAPA / SUN KUMARI THAPA</t>
  </si>
  <si>
    <t>106805410505724</t>
  </si>
  <si>
    <t>1100100005042104</t>
  </si>
  <si>
    <t>1301370000599860</t>
  </si>
  <si>
    <t>Krishna Prasad Lamsal</t>
  </si>
  <si>
    <t>Kritinath Lamsal</t>
  </si>
  <si>
    <t>Bidu Padhya</t>
  </si>
  <si>
    <t>488/031/032</t>
  </si>
  <si>
    <t>7370485159524001</t>
  </si>
  <si>
    <t>1301300000001848</t>
  </si>
  <si>
    <t>LALIT BAHADUR KUNWAR</t>
  </si>
  <si>
    <t>JUNG BAHADUR KUNWAR</t>
  </si>
  <si>
    <t>DIP BAHADUR KUNWAR</t>
  </si>
  <si>
    <t>5</t>
  </si>
  <si>
    <t>00526029749</t>
  </si>
  <si>
    <t>1301070001018481</t>
  </si>
  <si>
    <t>aayan neupane</t>
  </si>
  <si>
    <t>bidur nanda neupane</t>
  </si>
  <si>
    <t>dhurba nanda neupane</t>
  </si>
  <si>
    <t>2076082004142</t>
  </si>
  <si>
    <t>06643000577</t>
  </si>
  <si>
    <t>1301020000061653</t>
  </si>
  <si>
    <t>GOKARNA ADHIKARI</t>
  </si>
  <si>
    <t>BIMALA BHETUWAL/YOGNATH ADHIKARI</t>
  </si>
  <si>
    <t>3870/87240</t>
  </si>
  <si>
    <t>3110017509273</t>
  </si>
  <si>
    <t>1301580002039294</t>
  </si>
  <si>
    <t>DEEPAK THAPA</t>
  </si>
  <si>
    <t>GUN BAHADUR THAPA BIBA THAPA</t>
  </si>
  <si>
    <t>THAM BAHADUR THAPA</t>
  </si>
  <si>
    <t>362024-2362</t>
  </si>
  <si>
    <t>003011010000223</t>
  </si>
  <si>
    <t>1301520000004145</t>
  </si>
  <si>
    <t>MALATI GURUNG</t>
  </si>
  <si>
    <t>PRABHU RAJ GURUNG</t>
  </si>
  <si>
    <t>06465386</t>
  </si>
  <si>
    <t>50215022724</t>
  </si>
  <si>
    <t>1301370005937240</t>
  </si>
  <si>
    <t>OM JHA</t>
  </si>
  <si>
    <t>SHEKHAR KUMAR JHA</t>
  </si>
  <si>
    <t>RAM CHANDRA JHA</t>
  </si>
  <si>
    <t>15-01-78-00807</t>
  </si>
  <si>
    <t>0525751704060001</t>
  </si>
  <si>
    <t>1301110000103001</t>
  </si>
  <si>
    <t>SAILESH RAJBANSHI</t>
  </si>
  <si>
    <t>KAMESHWAR PRASAD RAJBANSHI</t>
  </si>
  <si>
    <t>DEVI PRASAD RAJBANSHI</t>
  </si>
  <si>
    <t>7655-1226</t>
  </si>
  <si>
    <t>30807010000440</t>
  </si>
  <si>
    <t>1301580001976411</t>
  </si>
  <si>
    <t>AASHISH TAMANG</t>
  </si>
  <si>
    <t>AAITA SINGH TAMANG / NAKKALI TAMANG</t>
  </si>
  <si>
    <t>BIR BAL TAMANG</t>
  </si>
  <si>
    <t>30-01-78-04097</t>
  </si>
  <si>
    <t>013011060009734</t>
  </si>
  <si>
    <t>1301580001743001</t>
  </si>
  <si>
    <t>UMESH BAHADUR CHAND</t>
  </si>
  <si>
    <t>TARA CHAND / GANGA CHAND</t>
  </si>
  <si>
    <t>KALYAN CHAND</t>
  </si>
  <si>
    <t>73-01-72-00998</t>
  </si>
  <si>
    <t>026011200000115</t>
  </si>
  <si>
    <t>1301130000433671</t>
  </si>
  <si>
    <t>YASHODA KUMARI JOSHI</t>
  </si>
  <si>
    <t>CHAKRADHAR JOSHI</t>
  </si>
  <si>
    <t>NARAD JOSHI</t>
  </si>
  <si>
    <t>671020/9803</t>
  </si>
  <si>
    <t>0135751122812001</t>
  </si>
  <si>
    <t>1301720001137964</t>
  </si>
  <si>
    <t>AARAV PATHAK</t>
  </si>
  <si>
    <t>ARJUN BAHADUR PATHAK</t>
  </si>
  <si>
    <t>KUL BAHADUR PATHAK</t>
  </si>
  <si>
    <t>2078071808814</t>
  </si>
  <si>
    <t>0424505302829017</t>
  </si>
  <si>
    <t>1301170000074753</t>
  </si>
  <si>
    <t>RAJENDRA PRASAD SHRESTHA</t>
  </si>
  <si>
    <t>KRISHNA PRASAD SHRESTHA</t>
  </si>
  <si>
    <t>RUDRA LAL SHRESTHA</t>
  </si>
  <si>
    <t>7830</t>
  </si>
  <si>
    <t>0400100000226016</t>
  </si>
  <si>
    <t>1301040001583327</t>
  </si>
  <si>
    <t>DIVYA SINGH</t>
  </si>
  <si>
    <t>BABLU KUMAR SINGH/RUBI KUMARI SINGH</t>
  </si>
  <si>
    <t>SATRUDHAN PRASAD SINGH/AMIT KUMAR SINGH</t>
  </si>
  <si>
    <t>15-01-78-02108</t>
  </si>
  <si>
    <t>10710017501641</t>
  </si>
  <si>
    <t>1301090003932022</t>
  </si>
  <si>
    <t>ROJAN NAPIT</t>
  </si>
  <si>
    <t>JIT KUMAR NAPIT</t>
  </si>
  <si>
    <t>PURNA BAHADUR NAPIT</t>
  </si>
  <si>
    <t>167</t>
  </si>
  <si>
    <t>55502285123</t>
  </si>
  <si>
    <t>1301310000222086</t>
  </si>
  <si>
    <t>MERINA POUDEL</t>
  </si>
  <si>
    <t>HOM RAJ POUDEL/LAXMI POUDEL</t>
  </si>
  <si>
    <t>MAHESHWOR POUDEL</t>
  </si>
  <si>
    <t>351032/1224</t>
  </si>
  <si>
    <t>1130100053783010</t>
  </si>
  <si>
    <t>1301060000126351</t>
  </si>
  <si>
    <t>RASHMI KAFLE</t>
  </si>
  <si>
    <t>BISHNU RAJ KAFLE</t>
  </si>
  <si>
    <t>HARI NARAYAN KAFLE</t>
  </si>
  <si>
    <t>73755</t>
  </si>
  <si>
    <t>00600349250017</t>
  </si>
  <si>
    <t>1301770000449719</t>
  </si>
  <si>
    <t>DEEPAK RAJ GHIMIRE</t>
  </si>
  <si>
    <t>GANESH PRASAD GHIMIRE/CHET MAYA GHIMIRE</t>
  </si>
  <si>
    <t>BISHNU PRASAD GHIMIRE/</t>
  </si>
  <si>
    <t>121027-257</t>
  </si>
  <si>
    <t>1301090000378619</t>
  </si>
  <si>
    <t>DIPA KUMARI CHAUDHARY</t>
  </si>
  <si>
    <t>TULARAM CHAUDHARY</t>
  </si>
  <si>
    <t>SHUBHASH CHAUDHARY</t>
  </si>
  <si>
    <t>4309</t>
  </si>
  <si>
    <t>00120526201597</t>
  </si>
  <si>
    <t>1301060003094063</t>
  </si>
  <si>
    <t>BUDDHA BABU RAJBAHAK</t>
  </si>
  <si>
    <t>NHUCHHE LAL RAJ BAHAK</t>
  </si>
  <si>
    <t>LAXMI DAS RAJ BAHAK</t>
  </si>
  <si>
    <t>7814</t>
  </si>
  <si>
    <t>22205080051606</t>
  </si>
  <si>
    <t>1301760000407033</t>
  </si>
  <si>
    <t>SUDIP NEUPANE</t>
  </si>
  <si>
    <t>PARAS KUMAR NEUPANE</t>
  </si>
  <si>
    <t>TARKA RAJ NEUPANE</t>
  </si>
  <si>
    <t>06(119508)</t>
  </si>
  <si>
    <t>09801900903388000001</t>
  </si>
  <si>
    <t>1301730000558614</t>
  </si>
  <si>
    <t>AMRIT DAHAL</t>
  </si>
  <si>
    <t>PREM PRASAD DAHAL</t>
  </si>
  <si>
    <t>HIRALAL DAHAL</t>
  </si>
  <si>
    <t>46-01-75-04285</t>
  </si>
  <si>
    <t>21205080008402</t>
  </si>
  <si>
    <t>1301370006675448</t>
  </si>
  <si>
    <t>KRISHAN PURI</t>
  </si>
  <si>
    <t>MAN PURI</t>
  </si>
  <si>
    <t>SURYA PURI</t>
  </si>
  <si>
    <t>14620</t>
  </si>
  <si>
    <t>1645759464435001</t>
  </si>
  <si>
    <t>1301380000054291</t>
  </si>
  <si>
    <t>PRATIK JUNG K.C.</t>
  </si>
  <si>
    <t>29-01-70-01882</t>
  </si>
  <si>
    <t>0814002878524002</t>
  </si>
  <si>
    <t>1301240000947813</t>
  </si>
  <si>
    <t>MANJU LIMBU</t>
  </si>
  <si>
    <t>SUK BAHADUR LIMBU</t>
  </si>
  <si>
    <t>04-01-72-04499</t>
  </si>
  <si>
    <t>0100569587202001</t>
  </si>
  <si>
    <t>1301120004452131</t>
  </si>
  <si>
    <t>RAJENDRA SHARMA GAUTAM</t>
  </si>
  <si>
    <t>RUDRA PRASAD SHARMA GAUTAM</t>
  </si>
  <si>
    <t>PUSHPA RAJ SHARMA GAUTAM</t>
  </si>
  <si>
    <t>37891</t>
  </si>
  <si>
    <t>06607010000765</t>
  </si>
  <si>
    <t>1301760000454411</t>
  </si>
  <si>
    <t>RAMESH KHADIYA</t>
  </si>
  <si>
    <t>MOHAN LAKHAN KHADIYA</t>
  </si>
  <si>
    <t>BIRSHA KHADIYA</t>
  </si>
  <si>
    <t>04-01-69-04950</t>
  </si>
  <si>
    <t>05201700758907000001</t>
  </si>
  <si>
    <t>1301650001147287</t>
  </si>
  <si>
    <t>BHAVIKA SHAH</t>
  </si>
  <si>
    <t>PRAKASH CHANDRA SHAH</t>
  </si>
  <si>
    <t>JITENDRA PRASAD SAH</t>
  </si>
  <si>
    <t>09</t>
  </si>
  <si>
    <t>2390100000018005</t>
  </si>
  <si>
    <t>1301260001028194</t>
  </si>
  <si>
    <t>YOGESH BHANDARI</t>
  </si>
  <si>
    <t>KRISHNA BAHADUR BHANDARI/DAMBAR KUMARI BHANDARI</t>
  </si>
  <si>
    <t>HIRA SINGH BHANDARI</t>
  </si>
  <si>
    <t>6720004/23235</t>
  </si>
  <si>
    <t>1340174311000012</t>
  </si>
  <si>
    <t>1301650000074325</t>
  </si>
  <si>
    <t>KALAM BAHADUR SHAHI</t>
  </si>
  <si>
    <t>PRADIP SHAHI / NAMSARA SHAHI</t>
  </si>
  <si>
    <t>MINA KUMARI SHAHI / SHINGH RUP SHAHI</t>
  </si>
  <si>
    <t>13784</t>
  </si>
  <si>
    <t>3120100000303104</t>
  </si>
  <si>
    <t>1301360000010192</t>
  </si>
  <si>
    <t>SHIVA PRASAD ADHIKARI</t>
  </si>
  <si>
    <t>MODA  NATH ADHIKARI</t>
  </si>
  <si>
    <t>GANGA DATTA ADHIKARI</t>
  </si>
  <si>
    <t>3645</t>
  </si>
  <si>
    <t>1750100000122010</t>
  </si>
  <si>
    <t>1301070001668577</t>
  </si>
  <si>
    <t>BHUWANESHWOR PRADHAN</t>
  </si>
  <si>
    <t>KATAK BAHADUR</t>
  </si>
  <si>
    <t>BISHNU LAL PRADHAN</t>
  </si>
  <si>
    <t>1552/1945</t>
  </si>
  <si>
    <t>02644009935</t>
  </si>
  <si>
    <t>1301600000192798</t>
  </si>
  <si>
    <t>SUBASH ADHIKARI</t>
  </si>
  <si>
    <t>TEJ NARAYAN ADHIKARI</t>
  </si>
  <si>
    <t>SALIK RAM ADHIKARI</t>
  </si>
  <si>
    <t>46/3/002/2475</t>
  </si>
  <si>
    <t>23807010001998</t>
  </si>
  <si>
    <t>1301370001927893</t>
  </si>
  <si>
    <t>Gaurav Khanal</t>
  </si>
  <si>
    <t>Narayan Prasad Khanal</t>
  </si>
  <si>
    <t>Mahananda Khanal</t>
  </si>
  <si>
    <t>40-01-70-00795</t>
  </si>
  <si>
    <t>3387755132524001</t>
  </si>
  <si>
    <t>1301260002376969</t>
  </si>
  <si>
    <t>SUJAN BHANDARI</t>
  </si>
  <si>
    <t>GAGAN BAHADUR BHANDARI/BAL KUMARI BHANDARI</t>
  </si>
  <si>
    <t>NARA BAHADUR BHANDARI</t>
  </si>
  <si>
    <t>30017701981</t>
  </si>
  <si>
    <t>0430199883800018</t>
  </si>
  <si>
    <t>1301070001946471</t>
  </si>
  <si>
    <t>MINGMA DORJI SHERPA</t>
  </si>
  <si>
    <t>PHURBA SHERPA</t>
  </si>
  <si>
    <t>03-02-75-01039</t>
  </si>
  <si>
    <t>03026051061</t>
  </si>
  <si>
    <t>1301120000654751</t>
  </si>
  <si>
    <t>NABIN CHANDRA DHAKAL</t>
  </si>
  <si>
    <t>GHANASHYAM DHAKAL</t>
  </si>
  <si>
    <t>106760</t>
  </si>
  <si>
    <t>01007010139908</t>
  </si>
  <si>
    <t>1301060001845351</t>
  </si>
  <si>
    <t>SHIRSHAK SHARMA</t>
  </si>
  <si>
    <t>KUL PRASAD SHARMA</t>
  </si>
  <si>
    <t>BAL KRISHNA SHARMA</t>
  </si>
  <si>
    <t>207303</t>
  </si>
  <si>
    <t>01105080253420</t>
  </si>
  <si>
    <t>1301060001909841</t>
  </si>
  <si>
    <t>BALKRISHNA SHARMA</t>
  </si>
  <si>
    <t>BHIM PRASAD UPADHAYA</t>
  </si>
  <si>
    <t>2581/377</t>
  </si>
  <si>
    <t>01105080316781</t>
  </si>
  <si>
    <t>1301150000012514</t>
  </si>
  <si>
    <t>SANJAY BAHDUR MALLA</t>
  </si>
  <si>
    <t>BHAKTA BAHADUR MALLA</t>
  </si>
  <si>
    <t>BUDDHI BAHADUR MALLA</t>
  </si>
  <si>
    <t>11380/2191</t>
  </si>
  <si>
    <t>2110164493400001</t>
  </si>
  <si>
    <t>1301120002853248</t>
  </si>
  <si>
    <t>KHUSBOO SHAH</t>
  </si>
  <si>
    <t>RAM BAHADUR SAH/LALITA DEVI SAH</t>
  </si>
  <si>
    <t>RAM CHALITAR SAH/SUMIT KUMAR SAH</t>
  </si>
  <si>
    <t>18-01-71-04324</t>
  </si>
  <si>
    <t>08807010005506</t>
  </si>
  <si>
    <t>1301090002148971</t>
  </si>
  <si>
    <t>ISMIT PANDEY</t>
  </si>
  <si>
    <t>SHYAM PANDEY/ TULASA PANDEY</t>
  </si>
  <si>
    <t>TANK BAHADUR PANDEY</t>
  </si>
  <si>
    <t>1392</t>
  </si>
  <si>
    <t>02616889700</t>
  </si>
  <si>
    <t>1301120002069041</t>
  </si>
  <si>
    <t>MITHILESH KUMAR YADAV</t>
  </si>
  <si>
    <t>GANGA RAM YADAV/ BHAUSHI DEVI YADAV</t>
  </si>
  <si>
    <t>SUBI YADAV</t>
  </si>
  <si>
    <t>161001/4261</t>
  </si>
  <si>
    <t>06307010003817</t>
  </si>
  <si>
    <t>1301120002847960</t>
  </si>
  <si>
    <t>RESHMEE KUMARI SAH</t>
  </si>
  <si>
    <t>SUMIT KUMAR SAH/KHUSBOO SHAH</t>
  </si>
  <si>
    <t>SURAJ PRASAD SAH</t>
  </si>
  <si>
    <t>86</t>
  </si>
  <si>
    <t>08807010006825</t>
  </si>
  <si>
    <t>1301040002703110</t>
  </si>
  <si>
    <t>MANDIP SHERPA</t>
  </si>
  <si>
    <t>DORJEE SHERPA/URMILA SHERPA</t>
  </si>
  <si>
    <t>/SANGEE SHERPA</t>
  </si>
  <si>
    <t>09-01-75-00502</t>
  </si>
  <si>
    <t>02210017514483</t>
  </si>
  <si>
    <t>1301370000638930</t>
  </si>
  <si>
    <t>Rachana Samari</t>
  </si>
  <si>
    <t>Raj Kumar Samari</t>
  </si>
  <si>
    <t>Bhuwal Bahadur Samari</t>
  </si>
  <si>
    <t>26-01-78-07078</t>
  </si>
  <si>
    <t>3387893811524001</t>
  </si>
  <si>
    <t>1301650000921441</t>
  </si>
  <si>
    <t>MOHAN KUMAR YADAV</t>
  </si>
  <si>
    <t>BIRWAL YADAV</t>
  </si>
  <si>
    <t>JAGNNATH YADAV/PRIYA YADAV</t>
  </si>
  <si>
    <t>88367</t>
  </si>
  <si>
    <t>3460100000079104</t>
  </si>
  <si>
    <t>1301080000532397</t>
  </si>
  <si>
    <t>ASHARFI PRASAD KURMI</t>
  </si>
  <si>
    <t>TULSI PRASAD KURMI</t>
  </si>
  <si>
    <t>SUK DEV RAUT KURMI</t>
  </si>
  <si>
    <t>60502750</t>
  </si>
  <si>
    <t>02500516201045</t>
  </si>
  <si>
    <t>1301240001634809</t>
  </si>
  <si>
    <t>MINGMA SHERPA</t>
  </si>
  <si>
    <t>PASANG CHHIRING SHERPA</t>
  </si>
  <si>
    <t>JYAMPAL TENGJI SHERPA</t>
  </si>
  <si>
    <t>45985</t>
  </si>
  <si>
    <t>0280475894216001</t>
  </si>
  <si>
    <t>1301260000050030</t>
  </si>
  <si>
    <t>SHYAM PRASAD SHARMA ADHIKARI</t>
  </si>
  <si>
    <t>BISHWO NATH ADHIKARI/DURGA KUMARI ADHIKARI</t>
  </si>
  <si>
    <t>JAYA RUDRA UPADHYA / RANJU ADHIKARI DHAKAL</t>
  </si>
  <si>
    <t>33-01-71-02884</t>
  </si>
  <si>
    <t>0210000050427010</t>
  </si>
  <si>
    <t>1301370006961974</t>
  </si>
  <si>
    <t>SAWAN KUMAR MAHATO</t>
  </si>
  <si>
    <t>RAMKEBAL MAHATO</t>
  </si>
  <si>
    <t>RAM SAGAR MAHATO</t>
  </si>
  <si>
    <t>19-01-78-02272</t>
  </si>
  <si>
    <t>2725751501634001</t>
  </si>
  <si>
    <t>1301580000789168</t>
  </si>
  <si>
    <t>NABIN RAJ GAUTAM</t>
  </si>
  <si>
    <t>NIL RAJ GAUTAM/DEVI GAUTAM</t>
  </si>
  <si>
    <t>DAYA RAM GAUTAM/DRISTI POUDEL</t>
  </si>
  <si>
    <t>162155</t>
  </si>
  <si>
    <t>048011140000082</t>
  </si>
  <si>
    <t>1301060000367371</t>
  </si>
  <si>
    <t>SANDEEP KHANAL</t>
  </si>
  <si>
    <t>MEGH NATH KHANAL</t>
  </si>
  <si>
    <t>TEJ PRASAD KHANAL</t>
  </si>
  <si>
    <t>431047/105135</t>
  </si>
  <si>
    <t>01715115010</t>
  </si>
  <si>
    <t>1301090003987171</t>
  </si>
  <si>
    <t>UJWAL LAMSAL</t>
  </si>
  <si>
    <t>KRISHNA PRASAD LAMSAL / JANUKA LAMSAL</t>
  </si>
  <si>
    <t>JAGANNATH LAMSAL /</t>
  </si>
  <si>
    <t>26-01-79-03340</t>
  </si>
  <si>
    <t>55500915691</t>
  </si>
  <si>
    <t>1301060000293825</t>
  </si>
  <si>
    <t>SOM PRASAD PANERU</t>
  </si>
  <si>
    <t>POKHARI PRASAD PANERU</t>
  </si>
  <si>
    <t>GANGA PRASAD PANERU</t>
  </si>
  <si>
    <t>7191</t>
  </si>
  <si>
    <t>00405090250436</t>
  </si>
  <si>
    <t>1301080000789171</t>
  </si>
  <si>
    <t>RAKSHYA GIRI</t>
  </si>
  <si>
    <t>BISHNU BIRI</t>
  </si>
  <si>
    <t>SETU GIRI</t>
  </si>
  <si>
    <t>353026/468</t>
  </si>
  <si>
    <t>04800501200231</t>
  </si>
  <si>
    <t>1301740000004896</t>
  </si>
  <si>
    <t>RAM KRISHNA NEUPANE</t>
  </si>
  <si>
    <t>KASHINATH NEUPANE</t>
  </si>
  <si>
    <t>RAGHU NATH NEUPANE</t>
  </si>
  <si>
    <t>8705/060</t>
  </si>
  <si>
    <t>01308900071675000001</t>
  </si>
  <si>
    <t>1301170001263132</t>
  </si>
  <si>
    <t>ABHIMANYU NEPAL</t>
  </si>
  <si>
    <t>TEK PRASAD NEPAL</t>
  </si>
  <si>
    <t>DILLI PRASAD NEPAL</t>
  </si>
  <si>
    <t>2069072504825</t>
  </si>
  <si>
    <t>0010100004916041</t>
  </si>
  <si>
    <t>1301440000450303</t>
  </si>
  <si>
    <t>RABIN JOGI</t>
  </si>
  <si>
    <t>KUL BAHADUR JOGI</t>
  </si>
  <si>
    <t>PADAM BAHADUR JOGI</t>
  </si>
  <si>
    <t>131035/313</t>
  </si>
  <si>
    <t>23907010164009</t>
  </si>
  <si>
    <t>1301100000757111</t>
  </si>
  <si>
    <t>AMAR LAL MAHARJAN</t>
  </si>
  <si>
    <t>SANU BABU MAHARJAN/DHANA MAYA MAHARJAN</t>
  </si>
  <si>
    <t>TUYU SINGH MAHARJAN/BINDU SINGH DONGOL</t>
  </si>
  <si>
    <t>3/461</t>
  </si>
  <si>
    <t>0010050482400011</t>
  </si>
  <si>
    <t>1301090004342778</t>
  </si>
  <si>
    <t>SUMAN SARKI</t>
  </si>
  <si>
    <t>JHABINDRA BAHADUR SARKI</t>
  </si>
  <si>
    <t>CHURA BAHADUR SARKI</t>
  </si>
  <si>
    <t>40-01-74-04078</t>
  </si>
  <si>
    <t>55507079527</t>
  </si>
  <si>
    <t>1301120000381099</t>
  </si>
  <si>
    <t>SHRIJU DC</t>
  </si>
  <si>
    <t>TEK BAHADUR DANGI</t>
  </si>
  <si>
    <t>AAMAR RAJ DANGI</t>
  </si>
  <si>
    <t>8236</t>
  </si>
  <si>
    <t>4570100000342010</t>
  </si>
  <si>
    <t>1301040002476388</t>
  </si>
  <si>
    <t>KRISHNA POKHREL</t>
  </si>
  <si>
    <t>CHUDA MANI POKHREL/DAMBAR KUMARI POKHREL</t>
  </si>
  <si>
    <t>RENUKA GAUTAM/PADMALAL POKHREL</t>
  </si>
  <si>
    <t>1410045/90633</t>
  </si>
  <si>
    <t>3410017507901</t>
  </si>
  <si>
    <t>1301370005413252</t>
  </si>
  <si>
    <t>RAJESH KARKI</t>
  </si>
  <si>
    <t>UDDHAB KARKI</t>
  </si>
  <si>
    <t>JAY BAHADHUR KARKI</t>
  </si>
  <si>
    <t>22017702752</t>
  </si>
  <si>
    <t>23907010067315</t>
  </si>
  <si>
    <t>1301100000256449</t>
  </si>
  <si>
    <t>BOBBY SHRESTHA</t>
  </si>
  <si>
    <t>PREM KUMAR SHRESTHA</t>
  </si>
  <si>
    <t>SHARAD LAL SHRESTHA</t>
  </si>
  <si>
    <t>4504/19225</t>
  </si>
  <si>
    <t>02920700426615000001</t>
  </si>
  <si>
    <t>1301100002429316</t>
  </si>
  <si>
    <t>CHANDRA KUMARI BHATTARAI</t>
  </si>
  <si>
    <t>KRIP BAHADUR BHATTARAI</t>
  </si>
  <si>
    <t>HASTA BAHADUR BHATTARAI</t>
  </si>
  <si>
    <t>10-02-75-00893</t>
  </si>
  <si>
    <t>0790169260400017</t>
  </si>
  <si>
    <t>1301510000229285</t>
  </si>
  <si>
    <t>ANISH RIJAL</t>
  </si>
  <si>
    <t>RISHI KESH RIJAL</t>
  </si>
  <si>
    <t>MIN RAJ RIJAL</t>
  </si>
  <si>
    <t>27-01-77-03044</t>
  </si>
  <si>
    <t>19310017501481</t>
  </si>
  <si>
    <t>1301020000221979</t>
  </si>
  <si>
    <t>PARBIN JNAWALI</t>
  </si>
  <si>
    <t>ANIL JNAWALI</t>
  </si>
  <si>
    <t>LILA MANI JNAWALI</t>
  </si>
  <si>
    <t>34675</t>
  </si>
  <si>
    <t>1810017502731</t>
  </si>
  <si>
    <t>1301060000040652</t>
  </si>
  <si>
    <t>SHOVA PANDEY</t>
  </si>
  <si>
    <t>SHIVA RAJ PANT</t>
  </si>
  <si>
    <t>PRADIP RAJ PANDEY</t>
  </si>
  <si>
    <t>226</t>
  </si>
  <si>
    <t>06311100320029000005</t>
  </si>
  <si>
    <t>1301040000430871</t>
  </si>
  <si>
    <t>JIRI MAYA LAMA</t>
  </si>
  <si>
    <t>HASTA BAHADUR LAMA/ PHUL MAYA LAMA</t>
  </si>
  <si>
    <t>CHEWONG DORJE LAMA</t>
  </si>
  <si>
    <t>332011/33148</t>
  </si>
  <si>
    <t>8410017500240</t>
  </si>
  <si>
    <t>1301320000105330</t>
  </si>
  <si>
    <t>Sourish Man Amatya</t>
  </si>
  <si>
    <t>Samrat Amatya</t>
  </si>
  <si>
    <t>Surendra Man Amatya</t>
  </si>
  <si>
    <t>2076091801561</t>
  </si>
  <si>
    <t>00943001203</t>
  </si>
  <si>
    <t>1301060001180827</t>
  </si>
  <si>
    <t>DOLESWOR SAPKOTA</t>
  </si>
  <si>
    <t>BADRI PRASAD SAPKOTA</t>
  </si>
  <si>
    <t>SHANTI RAM SAPKOTA</t>
  </si>
  <si>
    <t>1283</t>
  </si>
  <si>
    <t>00505030012529</t>
  </si>
  <si>
    <t>1301120002725272</t>
  </si>
  <si>
    <t>BHIM BAHADUR GARBUJA</t>
  </si>
  <si>
    <t>CHITRA PRASAD GARBUJA/TIKA DEVI GARBUJA</t>
  </si>
  <si>
    <t>JHAG BAHADUR GARBUJA</t>
  </si>
  <si>
    <t>49-01-75-01279</t>
  </si>
  <si>
    <t>08807010006719</t>
  </si>
  <si>
    <t>1301370007450984</t>
  </si>
  <si>
    <t>DINESH YADAV</t>
  </si>
  <si>
    <t>JIT NARAYAN YADAV</t>
  </si>
  <si>
    <t>BATHU YADAV</t>
  </si>
  <si>
    <t>171053-754</t>
  </si>
  <si>
    <t>2705751589953001</t>
  </si>
  <si>
    <t>1301650000044051</t>
  </si>
  <si>
    <t>DIP BAHADUR BUDHATHOKI</t>
  </si>
  <si>
    <t>GANESH BAHADUR BUDHATHOKI / KISNA BUDHATHOKI</t>
  </si>
  <si>
    <t>KAMALA BUDHATHOKI / INDRA BAHADUR BUDHATHOKI</t>
  </si>
  <si>
    <t>40302</t>
  </si>
  <si>
    <t>1190100019553010</t>
  </si>
  <si>
    <t>1301610001886048</t>
  </si>
  <si>
    <t>BIPIN GURUNG</t>
  </si>
  <si>
    <t>MEKH BDR GURUNG</t>
  </si>
  <si>
    <t>NAR KAJI GURUNG</t>
  </si>
  <si>
    <t>46-01-73-06348</t>
  </si>
  <si>
    <t>0290034473800011</t>
  </si>
  <si>
    <t>1301370000313921</t>
  </si>
  <si>
    <t>Grishma Gewali</t>
  </si>
  <si>
    <t>Mohan Bikram Gewali</t>
  </si>
  <si>
    <t>Surya Bikram Gewali</t>
  </si>
  <si>
    <t>18679</t>
  </si>
  <si>
    <t>19111900181994000001</t>
  </si>
  <si>
    <t>1301100002585201</t>
  </si>
  <si>
    <t>RAJAN KUNWAR</t>
  </si>
  <si>
    <t>MAN BAHADUR KUNWAR</t>
  </si>
  <si>
    <t>PADAMLAL KUNWAR</t>
  </si>
  <si>
    <t>1311/192/26</t>
  </si>
  <si>
    <t>0010183500100018</t>
  </si>
  <si>
    <t>1301120005021225</t>
  </si>
  <si>
    <t>RAHIM MIYA</t>
  </si>
  <si>
    <t>SIKANDAR MIYA</t>
  </si>
  <si>
    <t>SUBJAN MIYA</t>
  </si>
  <si>
    <t>34-01-76-00351</t>
  </si>
  <si>
    <t>01107010222075</t>
  </si>
  <si>
    <t>1301120001479624</t>
  </si>
  <si>
    <t>ALINA ADHIKARI</t>
  </si>
  <si>
    <t>DHAN BAHADUR ADHIKARI</t>
  </si>
  <si>
    <t>24-01-73-08766</t>
  </si>
  <si>
    <t>13608010000265</t>
  </si>
  <si>
    <t>1301130000253329</t>
  </si>
  <si>
    <t>PRADEEP GC</t>
  </si>
  <si>
    <t>PREM BAHADUR GC</t>
  </si>
  <si>
    <t>MAN BAHADUR GC</t>
  </si>
  <si>
    <t>6291</t>
  </si>
  <si>
    <t>11801000000080401621</t>
  </si>
  <si>
    <t>1301520001094381</t>
  </si>
  <si>
    <t>CHALAKH SANKHAR RAI</t>
  </si>
  <si>
    <t>LADDE BAHADUR RAI</t>
  </si>
  <si>
    <t>DHANKESHAR RAI</t>
  </si>
  <si>
    <t>113007-64</t>
  </si>
  <si>
    <t>1301650001863702</t>
  </si>
  <si>
    <t>SHIVA BAHADUR THAPA</t>
  </si>
  <si>
    <t>DHAN BAHADUR THAPA/</t>
  </si>
  <si>
    <t>44017311220</t>
  </si>
  <si>
    <t>1310100061216010</t>
  </si>
  <si>
    <t>1301650000044281</t>
  </si>
  <si>
    <t>PREM BAHADUR TAMANG</t>
  </si>
  <si>
    <t>SINGH BAHADUR TAMANG / DHANA MAYA TAMANG</t>
  </si>
  <si>
    <t>SANGDOLMO TAMANG / DALABIR TAMANG</t>
  </si>
  <si>
    <t>55559</t>
  </si>
  <si>
    <t>1690100005297203</t>
  </si>
  <si>
    <t>1301650000435650</t>
  </si>
  <si>
    <t>NABIN JIREL</t>
  </si>
  <si>
    <t>BHOJ BAHADUR JIREL/GUNA MAYA JIREL</t>
  </si>
  <si>
    <t>BAKA SINGH JIREL</t>
  </si>
  <si>
    <t>22-01-70-1374</t>
  </si>
  <si>
    <t>1100100001870104</t>
  </si>
  <si>
    <t>1301090000241009</t>
  </si>
  <si>
    <t>BIJAY MAHARJAN</t>
  </si>
  <si>
    <t>PANDAB MAHARJAN</t>
  </si>
  <si>
    <t>BHAILAL MAHARJAN / GYANI MAIYA MAHARJAN</t>
  </si>
  <si>
    <t>61837</t>
  </si>
  <si>
    <t>00710070188012</t>
  </si>
  <si>
    <t>1301060001753906</t>
  </si>
  <si>
    <t>SHANTI LAMA</t>
  </si>
  <si>
    <t>RANGA BIR DONG</t>
  </si>
  <si>
    <t>SHUR BIR DONG</t>
  </si>
  <si>
    <t>301070/159153</t>
  </si>
  <si>
    <t>17010017500445</t>
  </si>
  <si>
    <t>1301120002732425</t>
  </si>
  <si>
    <t>BHARGAVI DAHAL</t>
  </si>
  <si>
    <t>PEEYUSH DAHAL</t>
  </si>
  <si>
    <t>DHARANI DHAR DAHAL</t>
  </si>
  <si>
    <t>03-120</t>
  </si>
  <si>
    <t>00207010019770</t>
  </si>
  <si>
    <t>1301040001017757</t>
  </si>
  <si>
    <t>AMIT KUMAR SINGH</t>
  </si>
  <si>
    <t>ARJUNE SINGH RAJPUT/SIYA DEVI SINGH</t>
  </si>
  <si>
    <t>DIVYA SINGH/JADUNANDAN SINGH</t>
  </si>
  <si>
    <t>153085/545</t>
  </si>
  <si>
    <t>10710017501052</t>
  </si>
  <si>
    <t>1301120002394565</t>
  </si>
  <si>
    <t>SANJITA GHIMIRE</t>
  </si>
  <si>
    <t>PUNYA PRASAD GHIMIRE</t>
  </si>
  <si>
    <t>GANGADHAR GHIMIRE</t>
  </si>
  <si>
    <t>833</t>
  </si>
  <si>
    <t>17407010008151</t>
  </si>
  <si>
    <t>1301520002188997</t>
  </si>
  <si>
    <t>DIPENDRA NATH</t>
  </si>
  <si>
    <t>MANSINGH NATH / BISHNA NATH</t>
  </si>
  <si>
    <t>NARAD NATH</t>
  </si>
  <si>
    <t>73-01-78-02494</t>
  </si>
  <si>
    <t>0100125686500001</t>
  </si>
  <si>
    <t>1301370003675587</t>
  </si>
  <si>
    <t>SANTOSH DHUNGANA</t>
  </si>
  <si>
    <t>KESHAB PRASAD DHUNGANA</t>
  </si>
  <si>
    <t>ANANTA LAL DHUNGANA</t>
  </si>
  <si>
    <t>07822790</t>
  </si>
  <si>
    <t>2035751240667001</t>
  </si>
  <si>
    <t>1301090000265309</t>
  </si>
  <si>
    <t>BHARAT PRASAD DHAKAL</t>
  </si>
  <si>
    <t>CHANDRA PRASAD DHAKAL</t>
  </si>
  <si>
    <t>KALI PRASAD DHAKAL / BHAWANA DHAKAL</t>
  </si>
  <si>
    <t>1597</t>
  </si>
  <si>
    <t>3269464146524001</t>
  </si>
  <si>
    <t>1301090000419612</t>
  </si>
  <si>
    <t>BABA CHAMLING</t>
  </si>
  <si>
    <t>PARASHURAM RAI</t>
  </si>
  <si>
    <t>JIWAN KUMAR RAI</t>
  </si>
  <si>
    <t>18608380</t>
  </si>
  <si>
    <t>01801000000016404568</t>
  </si>
  <si>
    <t>1301600000162959</t>
  </si>
  <si>
    <t>BIKESH SHRESTHA</t>
  </si>
  <si>
    <t>ARUN SHRESTHA / RADHA SHRESTHA</t>
  </si>
  <si>
    <t>NA / LAL BAGHADUR SHRESTHA</t>
  </si>
  <si>
    <t>27-01-74-08328</t>
  </si>
  <si>
    <t>2477056275100018</t>
  </si>
  <si>
    <t>1301120004184830</t>
  </si>
  <si>
    <t>Ujjwal Thapa</t>
  </si>
  <si>
    <t>Kapil Thapa/Nanumaya Thapa</t>
  </si>
  <si>
    <t>Samandas Thapa</t>
  </si>
  <si>
    <t>79840</t>
  </si>
  <si>
    <t>01507010170239</t>
  </si>
  <si>
    <t>1301490000007681</t>
  </si>
  <si>
    <t>AYUSHMAN SHRESTHA</t>
  </si>
  <si>
    <t>BHARATRAJ SHRESTHA</t>
  </si>
  <si>
    <t>HARKA NARAYAN SHRESTHA</t>
  </si>
  <si>
    <t>33507</t>
  </si>
  <si>
    <t>07624200456451000001</t>
  </si>
  <si>
    <t>1301650000115050</t>
  </si>
  <si>
    <t>TULASI RAM MISHRA</t>
  </si>
  <si>
    <t>DURGA PRASAD MISHRA/ YAM KALA MISHRA</t>
  </si>
  <si>
    <t>BHIM LAL MISHRA/ KAMALA MISHRA</t>
  </si>
  <si>
    <t>228/2460</t>
  </si>
  <si>
    <t>3050100013768010</t>
  </si>
  <si>
    <t>1301570000891747</t>
  </si>
  <si>
    <t>SHIVA YADAV</t>
  </si>
  <si>
    <t>SUKHSEN YADAV/SUNNI YADAV</t>
  </si>
  <si>
    <t>BINDESHARI YADAV</t>
  </si>
  <si>
    <t>16-01-78-08517</t>
  </si>
  <si>
    <t>01301607155875000001</t>
  </si>
  <si>
    <t>1301650002328402</t>
  </si>
  <si>
    <t>ANMOL KHADKA</t>
  </si>
  <si>
    <t>DIPAK KHADKA</t>
  </si>
  <si>
    <t>TEK BAHADUR KHADKA/</t>
  </si>
  <si>
    <t>03017700385</t>
  </si>
  <si>
    <t>2460100005214010</t>
  </si>
  <si>
    <t>1301310000343960</t>
  </si>
  <si>
    <t>BHARAT BAHADUR KHADKA</t>
  </si>
  <si>
    <t>AMAR BAHADUR KHADKA/MANMAYA KHADKA</t>
  </si>
  <si>
    <t>BACHCHI KHADKA/RATNA BAHADUR KHADKA</t>
  </si>
  <si>
    <t>27836/16062</t>
  </si>
  <si>
    <t>0210700228505018</t>
  </si>
  <si>
    <t>1301370007769637</t>
  </si>
  <si>
    <t>PINKI KUMARI YADAV</t>
  </si>
  <si>
    <t>SHUSHIL KUMAR YADAV</t>
  </si>
  <si>
    <t>ANIRUDH YADAV</t>
  </si>
  <si>
    <t>15-01-76-15010</t>
  </si>
  <si>
    <t>1300930089000083</t>
  </si>
  <si>
    <t>1301170000201981</t>
  </si>
  <si>
    <t>SAMJHANA BASUKALA</t>
  </si>
  <si>
    <t>BAL MUKUNDA BASUKALA</t>
  </si>
  <si>
    <t>KRISHNA BAHADUR BASUKALA</t>
  </si>
  <si>
    <t>21210</t>
  </si>
  <si>
    <t>0300100000385035</t>
  </si>
  <si>
    <t>1301060000662036</t>
  </si>
  <si>
    <t>SUDARSHAN GORA</t>
  </si>
  <si>
    <t>LAXMI PRASAD GORA</t>
  </si>
  <si>
    <t>RAM BAHADUR GORA</t>
  </si>
  <si>
    <t>29-01-069-03142</t>
  </si>
  <si>
    <t>00205080311021</t>
  </si>
  <si>
    <t>1301570001168011</t>
  </si>
  <si>
    <t>SHANTI KUMARI DHANT</t>
  </si>
  <si>
    <t>KAMAL SINGH DHANT</t>
  </si>
  <si>
    <t>JOGI DHANT</t>
  </si>
  <si>
    <t>74-0180-01250</t>
  </si>
  <si>
    <t>16301107595801000001</t>
  </si>
  <si>
    <t>1301110000168562</t>
  </si>
  <si>
    <t>DEBAKI TIMALSINA</t>
  </si>
  <si>
    <t>INDRA PRASAD TIMALSINA</t>
  </si>
  <si>
    <t>SHREE RAM GHORASAINE</t>
  </si>
  <si>
    <t>132895</t>
  </si>
  <si>
    <t>21607010096449</t>
  </si>
  <si>
    <t>1301390000111861</t>
  </si>
  <si>
    <t>KHADGA BAHADUR ACHARYA</t>
  </si>
  <si>
    <t>AKKAL BAHADUR ACHARYA</t>
  </si>
  <si>
    <t>ABHAYA SING ACHARYA</t>
  </si>
  <si>
    <t>708/17815</t>
  </si>
  <si>
    <t>0620090537300011</t>
  </si>
  <si>
    <t>1301650001010004</t>
  </si>
  <si>
    <t>AASHISH CHAUDHARY</t>
  </si>
  <si>
    <t>DASHI RAM CHAUDAHARY</t>
  </si>
  <si>
    <t>RAM CHANDRA CHAUDHARY/</t>
  </si>
  <si>
    <t>67017200719</t>
  </si>
  <si>
    <t>4490100001102010</t>
  </si>
  <si>
    <t>1301110000478913</t>
  </si>
  <si>
    <t>Shreenidi Ghorsaine</t>
  </si>
  <si>
    <t>Shreeram Ghorsaine/ Debaki Timalsina</t>
  </si>
  <si>
    <t>Tilak Chandra Ghorsaine</t>
  </si>
  <si>
    <t>2074070805869</t>
  </si>
  <si>
    <t>08907010120412</t>
  </si>
  <si>
    <t>1301010000031245</t>
  </si>
  <si>
    <t>JARNA BAHADUR RAI</t>
  </si>
  <si>
    <t>BIDHU KALA RAI/ RANA SUR RAI</t>
  </si>
  <si>
    <t>0354472939524001</t>
  </si>
  <si>
    <t>1301120005098694</t>
  </si>
  <si>
    <t>SHREEDESH GHORSAINE</t>
  </si>
  <si>
    <t>SHREERAM GHORSAINE</t>
  </si>
  <si>
    <t>TILAK CHANDRA GHORSAINE</t>
  </si>
  <si>
    <t>2077122514652</t>
  </si>
  <si>
    <t>08907011238770</t>
  </si>
  <si>
    <t>1301040002920311</t>
  </si>
  <si>
    <t>JIT  BAHADUR THAPA</t>
  </si>
  <si>
    <t>2441087/117519</t>
  </si>
  <si>
    <t>04610017509463</t>
  </si>
  <si>
    <t>1301260000001303</t>
  </si>
  <si>
    <t>NARENDRA BAHADUR TAMRAKAR</t>
  </si>
  <si>
    <t>GOVINDA BAHADUR TAMRAKAR / ROOP KESHARI TAMRAKAR</t>
  </si>
  <si>
    <t>HARSHA BAHADUR TAMRAKAR /BABITA SHRESTHA TAMRAKAR</t>
  </si>
  <si>
    <t>2297/1244</t>
  </si>
  <si>
    <t>00107010013337</t>
  </si>
  <si>
    <t>1301370001994031</t>
  </si>
  <si>
    <t>SURAJ KHAWAS</t>
  </si>
  <si>
    <t>HANS RAJ KHAWAS</t>
  </si>
  <si>
    <t>ADHIK LAL KHAWAS</t>
  </si>
  <si>
    <t>05-01-69-03215</t>
  </si>
  <si>
    <t>A887725117524001</t>
  </si>
  <si>
    <t>1301480000032878</t>
  </si>
  <si>
    <t>BINA PAUDEL</t>
  </si>
  <si>
    <t>YUB RAJ PAUDEL</t>
  </si>
  <si>
    <t>ANIL SUBEDI</t>
  </si>
  <si>
    <t>463021/199</t>
  </si>
  <si>
    <t>1430100017925011</t>
  </si>
  <si>
    <t>1301040000020967</t>
  </si>
  <si>
    <t>DHAN BAHADUR GAUTAM</t>
  </si>
  <si>
    <t>DAMBER BAHADUR GAUTAM</t>
  </si>
  <si>
    <t>NAR DHOJ GAUTAM/SUSHMA GAUTAM</t>
  </si>
  <si>
    <t>231170848</t>
  </si>
  <si>
    <t>00105080349635</t>
  </si>
  <si>
    <t>1301370004891127</t>
  </si>
  <si>
    <t>DEWAN RAI</t>
  </si>
  <si>
    <t>KALI BAHADUR RAI</t>
  </si>
  <si>
    <t>SAMSER MAN RAI</t>
  </si>
  <si>
    <t>093047-204</t>
  </si>
  <si>
    <t>2854389647524001</t>
  </si>
  <si>
    <t>1301080000613457</t>
  </si>
  <si>
    <t>BHIM RAJ KULUNG</t>
  </si>
  <si>
    <t>SANTA KUBIR RAI</t>
  </si>
  <si>
    <t>AMBAR SINGA RAI</t>
  </si>
  <si>
    <t>11-01-77-00049</t>
  </si>
  <si>
    <t>01800501220533</t>
  </si>
  <si>
    <t>1301650001980024</t>
  </si>
  <si>
    <t>SUMNIMA RAI</t>
  </si>
  <si>
    <t>HARI PRASHAD RAI</t>
  </si>
  <si>
    <t>RAM KUMAR RAI/</t>
  </si>
  <si>
    <t>12027900497</t>
  </si>
  <si>
    <t>1370100029660010</t>
  </si>
  <si>
    <t>1301650000321292</t>
  </si>
  <si>
    <t>EVA SUBEDI</t>
  </si>
  <si>
    <t>ANIL SUBEDI / BINA PAUDEL</t>
  </si>
  <si>
    <t>CHHABI LAL SUBEDI</t>
  </si>
  <si>
    <t>207110905552</t>
  </si>
  <si>
    <t>3020100000078005</t>
  </si>
  <si>
    <t>1301650001889615</t>
  </si>
  <si>
    <t>IVANSHI SUBEDI</t>
  </si>
  <si>
    <t>2079052903024</t>
  </si>
  <si>
    <t>3020100000083005</t>
  </si>
  <si>
    <t>1301350000151691</t>
  </si>
  <si>
    <t>NIMKALA NEUPANE</t>
  </si>
  <si>
    <t>ANANTARAJA PANDEY</t>
  </si>
  <si>
    <t>JAYAMURTI PANDEY</t>
  </si>
  <si>
    <t>902</t>
  </si>
  <si>
    <t>04707010007283</t>
  </si>
  <si>
    <t>1301720001301156</t>
  </si>
  <si>
    <t>RABINDRA PRASAD SINGH</t>
  </si>
  <si>
    <t>RAM DYAL MAHATO KOIRI</t>
  </si>
  <si>
    <t>SARJUG MAHATO</t>
  </si>
  <si>
    <t>171092548</t>
  </si>
  <si>
    <t>1026905281690016</t>
  </si>
  <si>
    <t>1301690000738173</t>
  </si>
  <si>
    <t>AMAN KUMAR CHAUDHARY</t>
  </si>
  <si>
    <t>KULDIP CHAUDHARY/HIRA DEVI CHAUDHARY</t>
  </si>
  <si>
    <t>JITANLAL CHAUDHARY</t>
  </si>
  <si>
    <t>06-01-75-01953</t>
  </si>
  <si>
    <t>21601000000008401648</t>
  </si>
  <si>
    <t>1301370000596929</t>
  </si>
  <si>
    <t>Prakash Bahadur Bist</t>
  </si>
  <si>
    <t>Man Bahadur Bist</t>
  </si>
  <si>
    <t>Ran Sing Bist</t>
  </si>
  <si>
    <t>34672</t>
  </si>
  <si>
    <t>4180100026706011</t>
  </si>
  <si>
    <t>1301120001498926</t>
  </si>
  <si>
    <t>BIPPAN NEPAL</t>
  </si>
  <si>
    <t>DHURBA PRASAD NEPAL</t>
  </si>
  <si>
    <t>DADIRAM NEPAL</t>
  </si>
  <si>
    <t>39-01-75-02928</t>
  </si>
  <si>
    <t>24507010001970</t>
  </si>
  <si>
    <t>1301370002976554</t>
  </si>
  <si>
    <t>SANJAY KUMAR DAS</t>
  </si>
  <si>
    <t>SURYA DAS</t>
  </si>
  <si>
    <t>MISHRI DAS</t>
  </si>
  <si>
    <t>17-01-75-16041</t>
  </si>
  <si>
    <t>2335759976100001</t>
  </si>
  <si>
    <t>1301650000297507</t>
  </si>
  <si>
    <t>BIHAN BIST</t>
  </si>
  <si>
    <t>PRAKASH BAHADUR BIST / ICHCHHA KC</t>
  </si>
  <si>
    <t>MAN BAHADUR BIST</t>
  </si>
  <si>
    <t>100013</t>
  </si>
  <si>
    <t>4110100000030005</t>
  </si>
  <si>
    <t>1301250000273232</t>
  </si>
  <si>
    <t>DEVI TAMANG</t>
  </si>
  <si>
    <t>BIR DHOJ TAMANG</t>
  </si>
  <si>
    <t>DHANBIR TAMANG</t>
  </si>
  <si>
    <t>66-01-74-07430</t>
  </si>
  <si>
    <t>12021600567672000001</t>
  </si>
  <si>
    <t>1301250000482986</t>
  </si>
  <si>
    <t>SARASWATI GURUNG</t>
  </si>
  <si>
    <t>MRITYUNJAYA GURUNG/DEVI  TAMANG</t>
  </si>
  <si>
    <t>GOPAL GURUNG</t>
  </si>
  <si>
    <t>2077090401098</t>
  </si>
  <si>
    <t>12021600618816000001</t>
  </si>
  <si>
    <t>1301120000761274</t>
  </si>
  <si>
    <t>Ram Prasad Poudel</t>
  </si>
  <si>
    <t>Bed Prasad Poudel</t>
  </si>
  <si>
    <t>Surya Prasad Poudel/Pratigya Gautam Poudel</t>
  </si>
  <si>
    <t>86350/87350</t>
  </si>
  <si>
    <t>05107010005292</t>
  </si>
  <si>
    <t>1301040001536181</t>
  </si>
  <si>
    <t>PRATIBHA GHALE</t>
  </si>
  <si>
    <t>PRAKASH GHALE/BASANTA GHALE</t>
  </si>
  <si>
    <t>RUDRA BAHADUR GHALE/</t>
  </si>
  <si>
    <t>37017306718</t>
  </si>
  <si>
    <t>1310017506240</t>
  </si>
  <si>
    <t>1301590000929951</t>
  </si>
  <si>
    <t>DHANPATI SUBEDI</t>
  </si>
  <si>
    <t>BHIM PRASAD SUBEDI/TULASI DEVI SUBEDI</t>
  </si>
  <si>
    <t>LAXMI SUBEDI/BHHAGE SUBEDI</t>
  </si>
  <si>
    <t>117844</t>
  </si>
  <si>
    <t>Green Development Bank Ltd.(7517)</t>
  </si>
  <si>
    <t>00521800038363000001</t>
  </si>
  <si>
    <t>1301120002680713</t>
  </si>
  <si>
    <t>BINDESHWAR YADAV/RAJBATI DEVI YADAV</t>
  </si>
  <si>
    <t>RAGHUNI YADAV</t>
  </si>
  <si>
    <t>15-01-73/03045</t>
  </si>
  <si>
    <t>01507010008778</t>
  </si>
  <si>
    <t>1301090001519832</t>
  </si>
  <si>
    <t>TOLA KANTA BASHYAL</t>
  </si>
  <si>
    <t>RAM PRASAD BASHYAL</t>
  </si>
  <si>
    <t>RUKMAGAT BASHYAL</t>
  </si>
  <si>
    <t>393032/599</t>
  </si>
  <si>
    <t>01315008823</t>
  </si>
  <si>
    <t>1301100003049480</t>
  </si>
  <si>
    <t>SUMAN LAMA</t>
  </si>
  <si>
    <t>SANTOSH LAMA</t>
  </si>
  <si>
    <t>BHIM BAHADUR LAMA</t>
  </si>
  <si>
    <t>27-01-71-09494</t>
  </si>
  <si>
    <t>0270231683100018</t>
  </si>
  <si>
    <t>1301370005013166</t>
  </si>
  <si>
    <t>SUNITA KANDEL</t>
  </si>
  <si>
    <t>RAM PRASAD KANDEL</t>
  </si>
  <si>
    <t>KRISHNA LAL KANDEL</t>
  </si>
  <si>
    <t>35-01-77-02078</t>
  </si>
  <si>
    <t>1045751045472001</t>
  </si>
  <si>
    <t>1301120004449380</t>
  </si>
  <si>
    <t>PRAKASH SUBEDI</t>
  </si>
  <si>
    <t>KARNA BAHADUR SUBEDI/ DEVISARA SUBEDI</t>
  </si>
  <si>
    <t>NANDA RAM SUBEDI</t>
  </si>
  <si>
    <t>641017/99221</t>
  </si>
  <si>
    <t>31508010000037</t>
  </si>
  <si>
    <t>1301060000567219</t>
  </si>
  <si>
    <t>DHARMA RAJ PURI</t>
  </si>
  <si>
    <t>BISHO NATH PURI</t>
  </si>
  <si>
    <t>BHEL BAHADUR PURI</t>
  </si>
  <si>
    <t>17798</t>
  </si>
  <si>
    <t>00705120254731</t>
  </si>
  <si>
    <t>1301060000111949</t>
  </si>
  <si>
    <t>SUBODH KUMAR AGRAWAL</t>
  </si>
  <si>
    <t>BUDHRAM AGRAWAL/KUSUMLATA AGRAWAL</t>
  </si>
  <si>
    <t>160315108</t>
  </si>
  <si>
    <t>01013000099085000003</t>
  </si>
  <si>
    <t>1301370005419936</t>
  </si>
  <si>
    <t>SAURAB TAMANG</t>
  </si>
  <si>
    <t>PAL BAHADUR TAMANG</t>
  </si>
  <si>
    <t>SINGHA BIR TAMANG</t>
  </si>
  <si>
    <t>20-01-71-02529</t>
  </si>
  <si>
    <t>6355957887524001</t>
  </si>
  <si>
    <t>1301060000111972</t>
  </si>
  <si>
    <t>KUSUMLATA AGRAWAL</t>
  </si>
  <si>
    <t>SHIV SHANKAR AGRAWAL</t>
  </si>
  <si>
    <t>SUBODH KR AGRAWAL</t>
  </si>
  <si>
    <t>6891</t>
  </si>
  <si>
    <t>01013000056778000005</t>
  </si>
  <si>
    <t>1301790000626281</t>
  </si>
  <si>
    <t>SUJATA KUMARI GOSAI</t>
  </si>
  <si>
    <t>NIRANJAN NATH GOSAI/FUL KUMARI GOSAI</t>
  </si>
  <si>
    <t>NAMINANDRA NATH GOSAI</t>
  </si>
  <si>
    <t>36-01-75-04259</t>
  </si>
  <si>
    <t>11411100650518000001</t>
  </si>
  <si>
    <t>1301610000151821</t>
  </si>
  <si>
    <t>SUJAN SAPKOTA</t>
  </si>
  <si>
    <t>ISHWORI PRASAD SAPKOTA</t>
  </si>
  <si>
    <t>LOK PRASAD SAPKOTA</t>
  </si>
  <si>
    <t>42-021-69-00958</t>
  </si>
  <si>
    <t>0580039630000011</t>
  </si>
  <si>
    <t>1301820000123270</t>
  </si>
  <si>
    <t>NARAYAN RANA</t>
  </si>
  <si>
    <t>DHOKHE RANA</t>
  </si>
  <si>
    <t>BHAJAURA RANA</t>
  </si>
  <si>
    <t>753014332</t>
  </si>
  <si>
    <t>04514100451542000001</t>
  </si>
  <si>
    <t>1301010000302947</t>
  </si>
  <si>
    <t>KHEMA SHAHI</t>
  </si>
  <si>
    <t>RUPLAL SHAHI/ BAKA SHAHI</t>
  </si>
  <si>
    <t>BHIM BAHADUR SHAHI</t>
  </si>
  <si>
    <t>67-20-70-00492</t>
  </si>
  <si>
    <t>04926012965</t>
  </si>
  <si>
    <t>1301240001644625</t>
  </si>
  <si>
    <t>RAJ KUMAR GAUTAM</t>
  </si>
  <si>
    <t>KHIR PRASAD GAUTAM</t>
  </si>
  <si>
    <t>DHANAPATI GAUTAM</t>
  </si>
  <si>
    <t>21-01-78-08061</t>
  </si>
  <si>
    <t>1141188839205001</t>
  </si>
  <si>
    <t>1301120000011528</t>
  </si>
  <si>
    <t>Binod Jonchhen</t>
  </si>
  <si>
    <t>Bigyan Bahadur Jonchhen</t>
  </si>
  <si>
    <t>Juju Man Jonchhen</t>
  </si>
  <si>
    <t>9470</t>
  </si>
  <si>
    <t>07627800595947000001</t>
  </si>
  <si>
    <t>1301580001982307</t>
  </si>
  <si>
    <t>KESHAB B K</t>
  </si>
  <si>
    <t>SANTA BAHADUR SUNAR KALI KAMI</t>
  </si>
  <si>
    <t>GOPI BAHADUR SUNAR</t>
  </si>
  <si>
    <t>26-01-74-00830</t>
  </si>
  <si>
    <t>004011060013487</t>
  </si>
  <si>
    <t>1301170001252103</t>
  </si>
  <si>
    <t>NIRA BASEL</t>
  </si>
  <si>
    <t>DHAN BAHADUR SARKI</t>
  </si>
  <si>
    <t>SAMSHER SARKI</t>
  </si>
  <si>
    <t>45-01-71-01260</t>
  </si>
  <si>
    <t>0870100000880041</t>
  </si>
  <si>
    <t>1301100000731325</t>
  </si>
  <si>
    <t>BIBEK SHRESTHA</t>
  </si>
  <si>
    <t>ISHWOR PRASAD SHRESTHA</t>
  </si>
  <si>
    <t>DEVI PRASAD SHRESTHA</t>
  </si>
  <si>
    <t>35502</t>
  </si>
  <si>
    <t>07527800618443000001</t>
  </si>
  <si>
    <t>1301510000091745</t>
  </si>
  <si>
    <t>KAMAL GAUTAM</t>
  </si>
  <si>
    <t>HARIHAR GAUTAM</t>
  </si>
  <si>
    <t>BAMDEV GAUTAM</t>
  </si>
  <si>
    <t>1004</t>
  </si>
  <si>
    <t>19710017501790</t>
  </si>
  <si>
    <t>1301090001727989</t>
  </si>
  <si>
    <t>VISHMA KUMAR GAUTAM</t>
  </si>
  <si>
    <t>HIM LAL SHARMA/KHISHARA SHARMA</t>
  </si>
  <si>
    <t>SALIK RAM SHARMA</t>
  </si>
  <si>
    <t>441</t>
  </si>
  <si>
    <t>50314000318</t>
  </si>
  <si>
    <t>1301070000307025</t>
  </si>
  <si>
    <t>Anil Raj Dani</t>
  </si>
  <si>
    <t>Ram Chandra Dani</t>
  </si>
  <si>
    <t>Yagya Bahadur Dani</t>
  </si>
  <si>
    <t>271041/29197</t>
  </si>
  <si>
    <t>00740012817</t>
  </si>
  <si>
    <t>1301040000032590</t>
  </si>
  <si>
    <t>CHANAK PRASAD KUIKEL</t>
  </si>
  <si>
    <t>YAGA PRASAD KUIKEL</t>
  </si>
  <si>
    <t>SHANTA DEVI KUIKEL/GAGNATH KUIKEL</t>
  </si>
  <si>
    <t>287/54234</t>
  </si>
  <si>
    <t>1190100000002106</t>
  </si>
  <si>
    <t>1301370007482495</t>
  </si>
  <si>
    <t>SHREEJAL KAYASTHA</t>
  </si>
  <si>
    <t>RAJAT KAYASTHA</t>
  </si>
  <si>
    <t>RATNA SUNDAR KAYASTHA</t>
  </si>
  <si>
    <t>2080072202989</t>
  </si>
  <si>
    <t>1635753042359001</t>
  </si>
  <si>
    <t>1301480000059961</t>
  </si>
  <si>
    <t>GOVINDA ADHIKARI</t>
  </si>
  <si>
    <t>26879</t>
  </si>
  <si>
    <t>0440063759000011</t>
  </si>
  <si>
    <t>1301060001006103</t>
  </si>
  <si>
    <t>SLESHMA RIJAL</t>
  </si>
  <si>
    <t>DHURBA HARI RIJAL</t>
  </si>
  <si>
    <t>SHAMBU PRASAD SHARMA</t>
  </si>
  <si>
    <t>271010/38026</t>
  </si>
  <si>
    <t>00705280252423</t>
  </si>
  <si>
    <t>1301580000176039</t>
  </si>
  <si>
    <t>DIKESH MAHARJAN</t>
  </si>
  <si>
    <t>DIL BDR MAHARJAN/ PURNA MAYA MAHARJAN</t>
  </si>
  <si>
    <t>JAGAT LAL MAHARJAN</t>
  </si>
  <si>
    <t>28-01-067-08255</t>
  </si>
  <si>
    <t>015011060000233</t>
  </si>
  <si>
    <t>1301060000441187</t>
  </si>
  <si>
    <t>KALPANA GURUNG</t>
  </si>
  <si>
    <t>KHADGA BAHADUR GURUNG</t>
  </si>
  <si>
    <t>JIT BAHADUR GURUNG</t>
  </si>
  <si>
    <t>00405010044299</t>
  </si>
  <si>
    <t>1301770000590258</t>
  </si>
  <si>
    <t>SHANKAR KUMAR SAH</t>
  </si>
  <si>
    <t>SHREE LAXMAN SAH/FULICHARNA DEVI SAH</t>
  </si>
  <si>
    <t>CHINTAMAN SAH</t>
  </si>
  <si>
    <t>162003401</t>
  </si>
  <si>
    <t>02122237730017</t>
  </si>
  <si>
    <t>1301100002679127</t>
  </si>
  <si>
    <t>NIROJ SURYABANSHI</t>
  </si>
  <si>
    <t>BADRI NARAYAN SURYABANSHI/INDRA KAMAL SURYABANSHI</t>
  </si>
  <si>
    <t>DHARMA LAL SURYABANSHI/SANAM GAUTAM</t>
  </si>
  <si>
    <t>301043/170543</t>
  </si>
  <si>
    <t>0030192059900011</t>
  </si>
  <si>
    <t>1301090000508151</t>
  </si>
  <si>
    <t>PREM BAHADUR GURUNG</t>
  </si>
  <si>
    <t>GUPTA BAHADUR GURUNG</t>
  </si>
  <si>
    <t>CHITRA BAHADUR GURUNG / DEEPMALA GURUNG</t>
  </si>
  <si>
    <t>1495</t>
  </si>
  <si>
    <t>1710017500442</t>
  </si>
  <si>
    <t>1301260000529144</t>
  </si>
  <si>
    <t>ANJANA KUMARI AGRAWAL</t>
  </si>
  <si>
    <t>SURESH CHANDRA AGRAWAL/BINOD DEVI AGRAWAL</t>
  </si>
  <si>
    <t>KESHO RAM AGRAWAL</t>
  </si>
  <si>
    <t>8276-336</t>
  </si>
  <si>
    <t>0270014410000013</t>
  </si>
  <si>
    <t>1301580001916917</t>
  </si>
  <si>
    <t>RAMA POUDYAL</t>
  </si>
  <si>
    <t>DEVI PRASAD POUDYAL / NARAYANI POUDYAL</t>
  </si>
  <si>
    <t>HARI PRASAD SHARMA POUDYAL</t>
  </si>
  <si>
    <t>53-01-69-00908</t>
  </si>
  <si>
    <t>023011090002659</t>
  </si>
  <si>
    <t>1301600000242027</t>
  </si>
  <si>
    <t>KAMAL BASNET</t>
  </si>
  <si>
    <t>DRONA BAHADUR BASNET / PARBATI BASNET</t>
  </si>
  <si>
    <t>NA / TIKARAM BASNET</t>
  </si>
  <si>
    <t>521022/1799</t>
  </si>
  <si>
    <t>2607031368700018</t>
  </si>
  <si>
    <t>1301610000184401</t>
  </si>
  <si>
    <t>NARESH MANDAL</t>
  </si>
  <si>
    <t>RAJBIR MANDAL</t>
  </si>
  <si>
    <t>FAUDAR MANDAL</t>
  </si>
  <si>
    <t>1530100-47</t>
  </si>
  <si>
    <t>0200055188700011</t>
  </si>
  <si>
    <t>1301770000587120</t>
  </si>
  <si>
    <t>BAIRA GURUNG/PUN MAYA GURUNG</t>
  </si>
  <si>
    <t>AMBER BAHADUR GURUNG</t>
  </si>
  <si>
    <t>26112831</t>
  </si>
  <si>
    <t>04104047980016</t>
  </si>
  <si>
    <t>1301630000041865</t>
  </si>
  <si>
    <t>ANISH KAYASTHA</t>
  </si>
  <si>
    <t>RATAN GOPAL KAYASTHA</t>
  </si>
  <si>
    <t>BHIM PRASAD KAYASTHA</t>
  </si>
  <si>
    <t>19/2089/1213</t>
  </si>
  <si>
    <t>1880184459700001</t>
  </si>
  <si>
    <t>1301060002315361</t>
  </si>
  <si>
    <t>MENUKA BHANDARI</t>
  </si>
  <si>
    <t>MADHAV PRASAD BHANDARI</t>
  </si>
  <si>
    <t>KRISHNA PRASAD BHANDARI</t>
  </si>
  <si>
    <t>311049/52738</t>
  </si>
  <si>
    <t>01905080172257</t>
  </si>
  <si>
    <t>1301110000791631</t>
  </si>
  <si>
    <t>umesh khadka</t>
  </si>
  <si>
    <t>kali bahadur khadka</t>
  </si>
  <si>
    <t>bala bire khadka</t>
  </si>
  <si>
    <t>60-01-72-00554</t>
  </si>
  <si>
    <t>03907010090790</t>
  </si>
  <si>
    <t>1301090004353551</t>
  </si>
  <si>
    <t>SHALIKRAM GIRI</t>
  </si>
  <si>
    <t>KULMAN GIRI</t>
  </si>
  <si>
    <t>3-36021</t>
  </si>
  <si>
    <t>55507363277</t>
  </si>
  <si>
    <t>1301630000141579</t>
  </si>
  <si>
    <t>JANAMUKTI SHAHI</t>
  </si>
  <si>
    <t>RATNA BAHADUR SHAHI</t>
  </si>
  <si>
    <t>CHAKKA BAHADUR SHAHI</t>
  </si>
  <si>
    <t>271060/115708</t>
  </si>
  <si>
    <t>2040221914200001</t>
  </si>
  <si>
    <t>1301090001206011</t>
  </si>
  <si>
    <t>RISHIRAM PANTHI</t>
  </si>
  <si>
    <t>GYAN PRASAD PANTHI/HUMKALA PANTHI</t>
  </si>
  <si>
    <t>GUNANIDHI PANTHI</t>
  </si>
  <si>
    <t>1022/1279</t>
  </si>
  <si>
    <t>50314002228</t>
  </si>
  <si>
    <t>1301370000001189</t>
  </si>
  <si>
    <t>Tapta Kumar Shrestha</t>
  </si>
  <si>
    <t>Jeet Bahadur Shrestha</t>
  </si>
  <si>
    <t>10932</t>
  </si>
  <si>
    <t>4369000995524003</t>
  </si>
  <si>
    <t>1301370007691541</t>
  </si>
  <si>
    <t>SATYAWOTI BASNET</t>
  </si>
  <si>
    <t>2728205/621</t>
  </si>
  <si>
    <t>3902025319352401</t>
  </si>
  <si>
    <t>1301370005091771</t>
  </si>
  <si>
    <t>SAMJHANA KHANAL</t>
  </si>
  <si>
    <t>LAXMAN PRASAD KHANAL</t>
  </si>
  <si>
    <t>391005/253</t>
  </si>
  <si>
    <t>1875751497004001</t>
  </si>
  <si>
    <t>1301730000448440</t>
  </si>
  <si>
    <t>SAMPADA BARAHI</t>
  </si>
  <si>
    <t>59</t>
  </si>
  <si>
    <t>14205150000468</t>
  </si>
  <si>
    <t>1301070001796099</t>
  </si>
  <si>
    <t>Krishna Kumar Shrestha</t>
  </si>
  <si>
    <t>Surya Kumar Shrestha</t>
  </si>
  <si>
    <t>Budhi Shrestha</t>
  </si>
  <si>
    <t>431007/111584</t>
  </si>
  <si>
    <t>0711475672055001</t>
  </si>
  <si>
    <t>1301070000875798</t>
  </si>
  <si>
    <t>SELVI BARAHI</t>
  </si>
  <si>
    <t>2073040801479</t>
  </si>
  <si>
    <t>14205080031783</t>
  </si>
  <si>
    <t>1301040000074831</t>
  </si>
  <si>
    <t>GYAN MAYA DANGOL</t>
  </si>
  <si>
    <t>GYAN LAL DANGOL</t>
  </si>
  <si>
    <t>BABUCHA DANGOL</t>
  </si>
  <si>
    <t>17648</t>
  </si>
  <si>
    <t>17NB048822NPR001</t>
  </si>
  <si>
    <t>1301070000697351</t>
  </si>
  <si>
    <t>YUJIN THAPA</t>
  </si>
  <si>
    <t>DAMMAR BAHADUR THAPA</t>
  </si>
  <si>
    <t>DHAN BAHADUR THAPA</t>
  </si>
  <si>
    <t>2142</t>
  </si>
  <si>
    <t>00543003391</t>
  </si>
  <si>
    <t>1301570000336978</t>
  </si>
  <si>
    <t>RIYA SUNAR</t>
  </si>
  <si>
    <t>BAL BAHADUR SUNAR/PUTALI SUNAR</t>
  </si>
  <si>
    <t>42565</t>
  </si>
  <si>
    <t>19101100181643000001</t>
  </si>
  <si>
    <t>1301120003182601</t>
  </si>
  <si>
    <t>HUM LAL GHIMIRE</t>
  </si>
  <si>
    <t>LAXMAN GHIMIRE</t>
  </si>
  <si>
    <t>INDRAMANI GHIMIRE</t>
  </si>
  <si>
    <t>403033/1409</t>
  </si>
  <si>
    <t>03607010267458</t>
  </si>
  <si>
    <t>1301070000343524</t>
  </si>
  <si>
    <t>Man Kumari Shrees Thapa</t>
  </si>
  <si>
    <t>Tarapati Shrees</t>
  </si>
  <si>
    <t>Dammar Bahadur Thapa</t>
  </si>
  <si>
    <t>210289/29738</t>
  </si>
  <si>
    <t>01624001960</t>
  </si>
  <si>
    <t>1301120001624078</t>
  </si>
  <si>
    <t>JHALIRAM THAPA</t>
  </si>
  <si>
    <t>195/683</t>
  </si>
  <si>
    <t>22807010001092</t>
  </si>
  <si>
    <t>1301250000213041</t>
  </si>
  <si>
    <t>REJA MAHARJAN</t>
  </si>
  <si>
    <t>RAM KRISHNA MAHARJAN</t>
  </si>
  <si>
    <t>28-01-069-00721</t>
  </si>
  <si>
    <t>08007010006095</t>
  </si>
  <si>
    <t>1301120001717652</t>
  </si>
  <si>
    <t>LUSAN DONGOL</t>
  </si>
  <si>
    <t>GYAN BABU DONGOL/HIRA MAYA AWALE</t>
  </si>
  <si>
    <t>KUL BAHADUR DONGOL</t>
  </si>
  <si>
    <t>28-01-065-04290</t>
  </si>
  <si>
    <t>08808010000220</t>
  </si>
  <si>
    <t>1301530000193659</t>
  </si>
  <si>
    <t>Nitu Kumari Gupta</t>
  </si>
  <si>
    <t>Balram Prasad Gupta/Madhu Gupta</t>
  </si>
  <si>
    <t>Suyas Rauniyar/Harihar Prasad Shah</t>
  </si>
  <si>
    <t>39692899</t>
  </si>
  <si>
    <t>18815240000729</t>
  </si>
  <si>
    <t>1301070000290954</t>
  </si>
  <si>
    <t>Aarav Chaudhary</t>
  </si>
  <si>
    <t>Anil Kumar chaudhary</t>
  </si>
  <si>
    <t>Sukha Prasad chaudhary</t>
  </si>
  <si>
    <t>264</t>
  </si>
  <si>
    <t>00401200090790000001</t>
  </si>
  <si>
    <t>1301100000256318</t>
  </si>
  <si>
    <t>NANDITA SHRESTHA</t>
  </si>
  <si>
    <t>BHARAT LAL SHRESTHA</t>
  </si>
  <si>
    <t>27-01-72-08997</t>
  </si>
  <si>
    <t>02921800433930000001</t>
  </si>
  <si>
    <t>1301580000896856</t>
  </si>
  <si>
    <t>ISHANT KARKI</t>
  </si>
  <si>
    <t>ISHWOR KARKI / TARA KARKI</t>
  </si>
  <si>
    <t>FATTE BAHADUR KARKI</t>
  </si>
  <si>
    <t>29-01-77-03187</t>
  </si>
  <si>
    <t>076011200000117</t>
  </si>
  <si>
    <t>1301100000258661</t>
  </si>
  <si>
    <t>4503/4525</t>
  </si>
  <si>
    <t>02921500433938000001</t>
  </si>
  <si>
    <t>1301240000055672</t>
  </si>
  <si>
    <t>BAL KRISHNA BHATTARAI</t>
  </si>
  <si>
    <t>KHUMANANDA BHATTARAI</t>
  </si>
  <si>
    <t>CHANDRAMANI BHATARAI / GITA BHATTARAI GAUTAM</t>
  </si>
  <si>
    <t>917/1008</t>
  </si>
  <si>
    <t>30107010006647</t>
  </si>
  <si>
    <t>1301060000101742</t>
  </si>
  <si>
    <t>RAJAN PRASAD ADHIKARI</t>
  </si>
  <si>
    <t>MANA BALLAV ADHIKARI</t>
  </si>
  <si>
    <t>MITRA LAL ADHIKARI</t>
  </si>
  <si>
    <t>2751</t>
  </si>
  <si>
    <t>00405280250528</t>
  </si>
  <si>
    <t>1301520001892415</t>
  </si>
  <si>
    <t>DIMAS GURUNG</t>
  </si>
  <si>
    <t>MOHAN PRASAD GURUNG / DEVI KUMARI GURUNG</t>
  </si>
  <si>
    <t>KRITI BAHADUR GURUNG</t>
  </si>
  <si>
    <t>51-01-72-01306</t>
  </si>
  <si>
    <t>0470077290900001</t>
  </si>
  <si>
    <t>1301120004953799</t>
  </si>
  <si>
    <t>THAMAN BAHADUR PHAUJA</t>
  </si>
  <si>
    <t>LAL BAHADUR PHAUJA</t>
  </si>
  <si>
    <t>PURNA BAHADUR PHAUJA</t>
  </si>
  <si>
    <t>373038-292</t>
  </si>
  <si>
    <t>03309011470450</t>
  </si>
  <si>
    <t>1301040002982231</t>
  </si>
  <si>
    <t>SHRADDHA THAPA</t>
  </si>
  <si>
    <t>51085</t>
  </si>
  <si>
    <t>27210017500377</t>
  </si>
  <si>
    <t>1301370007489623</t>
  </si>
  <si>
    <t>SUJAN KANDEL</t>
  </si>
  <si>
    <t>55</t>
  </si>
  <si>
    <t>1045753052255001</t>
  </si>
  <si>
    <t>1301770000144152</t>
  </si>
  <si>
    <t>SHIVALAL POUDEL</t>
  </si>
  <si>
    <t>RABILAL POUDEL</t>
  </si>
  <si>
    <t>361039/42</t>
  </si>
  <si>
    <t>00208377090012</t>
  </si>
  <si>
    <t>1301070000214517</t>
  </si>
  <si>
    <t>Krishma Joshi</t>
  </si>
  <si>
    <t>Krishna Raj Joshi</t>
  </si>
  <si>
    <t>Radha Krishna Joshi</t>
  </si>
  <si>
    <t>195</t>
  </si>
  <si>
    <t>03525002368</t>
  </si>
  <si>
    <t>1301590000285402</t>
  </si>
  <si>
    <t>SAROJ SHAH</t>
  </si>
  <si>
    <t>RAMASHRAY SHAH</t>
  </si>
  <si>
    <t>JANARDHAN SHAH</t>
  </si>
  <si>
    <t>998</t>
  </si>
  <si>
    <t>00807010004882</t>
  </si>
  <si>
    <t>1301090004105030</t>
  </si>
  <si>
    <t>SWETA POUDEL</t>
  </si>
  <si>
    <t>SHAMBHU PRASAD POUDEL</t>
  </si>
  <si>
    <t>SHIVA PRASAD POUDEL</t>
  </si>
  <si>
    <t>29-01-73-01591</t>
  </si>
  <si>
    <t>55504170001</t>
  </si>
  <si>
    <t>1301040002390414</t>
  </si>
  <si>
    <t>SWARNA DEEP GURUNG</t>
  </si>
  <si>
    <t>SWADESH GURUNG/BISHNU MAYA GURUNG</t>
  </si>
  <si>
    <t>/CHANDRA BAHADUR GURUNG</t>
  </si>
  <si>
    <t>2078032806554</t>
  </si>
  <si>
    <t>04710017512231</t>
  </si>
  <si>
    <t>1301120000827590</t>
  </si>
  <si>
    <t>KUL PRASAD SAPKOTA</t>
  </si>
  <si>
    <t>KHADANANDA SHARMA</t>
  </si>
  <si>
    <t>BHAKTA DATTA SAPKOTA</t>
  </si>
  <si>
    <t>01207010006275</t>
  </si>
  <si>
    <t>1301260001416963</t>
  </si>
  <si>
    <t>SUBIN MAHARJAN</t>
  </si>
  <si>
    <t>SUDIP MAHARJAN/ASHMAYA MAHARJAN</t>
  </si>
  <si>
    <t>KANCHA MAHARJAN</t>
  </si>
  <si>
    <t>27-01-72-09553</t>
  </si>
  <si>
    <t>1110069975600011</t>
  </si>
  <si>
    <t>1301650000180129</t>
  </si>
  <si>
    <t>RATNA BAHADUR RANA / JIT KUMARI RANA</t>
  </si>
  <si>
    <t>AASHA RANA / VAIRAB BAHADUR RANA</t>
  </si>
  <si>
    <t>92697</t>
  </si>
  <si>
    <t>3060100029431010</t>
  </si>
  <si>
    <t>1301100003112837</t>
  </si>
  <si>
    <t>SIMRAN BIJUKCHHE</t>
  </si>
  <si>
    <t>PURUSHOTTAM BIJUKCHHE</t>
  </si>
  <si>
    <t>KANCHA KUMAR BIJUKCHHE</t>
  </si>
  <si>
    <t>46-01-79-08375</t>
  </si>
  <si>
    <t>1420239021100010</t>
  </si>
  <si>
    <t>1301260002581911</t>
  </si>
  <si>
    <t>SABITRI THAPA</t>
  </si>
  <si>
    <t>GANESH BAHADUR THAPA/PADAM KUMARI THAPA</t>
  </si>
  <si>
    <t>PARSURAM THAPA</t>
  </si>
  <si>
    <t>486385922</t>
  </si>
  <si>
    <t>0860059777700011</t>
  </si>
  <si>
    <t>1301370004957175</t>
  </si>
  <si>
    <t>SPARSH JUNG RANA</t>
  </si>
  <si>
    <t>BINOD JUNG RANA</t>
  </si>
  <si>
    <t>UDIT JUNG RANA</t>
  </si>
  <si>
    <t>37-01-69-02621</t>
  </si>
  <si>
    <t>0545750816104001</t>
  </si>
  <si>
    <t>1301060000114272</t>
  </si>
  <si>
    <t>BHAI RAJA BASNYAT</t>
  </si>
  <si>
    <t>SUBARNA MAN SINGH BASNYAT</t>
  </si>
  <si>
    <t>JHALAK MAN SINGH BASNYAT / SHOVA KARKI BASNYAT</t>
  </si>
  <si>
    <t>132/492</t>
  </si>
  <si>
    <t>3710017505077</t>
  </si>
  <si>
    <t>1301700000027628</t>
  </si>
  <si>
    <t>DURGA GIDEL</t>
  </si>
  <si>
    <t>CHANDRA BAHADUR GIDEL</t>
  </si>
  <si>
    <t>PADAM BAHADUR GIDEL</t>
  </si>
  <si>
    <t>26-01-75-03053</t>
  </si>
  <si>
    <t>2410215228400002</t>
  </si>
  <si>
    <t>1301580000163528</t>
  </si>
  <si>
    <t>SRIJANA PRADHAN</t>
  </si>
  <si>
    <t>SHYAM BHAKTA PRADHAN/GUHESHWORI PRADHAN</t>
  </si>
  <si>
    <t>ARPIT SINGH/KRISHNA BHAKTA PRADHAN</t>
  </si>
  <si>
    <t>128047</t>
  </si>
  <si>
    <t>1810100000031011</t>
  </si>
  <si>
    <t>1301370006824884</t>
  </si>
  <si>
    <t>DEPENDRA KUMAR YADAV</t>
  </si>
  <si>
    <t>PRABHU YADAV</t>
  </si>
  <si>
    <t>DHENUK RAUT</t>
  </si>
  <si>
    <t>331031/42735</t>
  </si>
  <si>
    <t>2255752830632001</t>
  </si>
  <si>
    <t>1301120005237497</t>
  </si>
  <si>
    <t>AMAN SAPKOTA</t>
  </si>
  <si>
    <t>AGNIDHAR SAPKOTA</t>
  </si>
  <si>
    <t>37-02-79-09892</t>
  </si>
  <si>
    <t>22507010072496</t>
  </si>
  <si>
    <t>1301060000449488</t>
  </si>
  <si>
    <t>AMBIKA PRAJAPATI</t>
  </si>
  <si>
    <t>AMIR KRISHNA PRAJAPATI</t>
  </si>
  <si>
    <t>LAXMI KRISHNA PRAJAPATI/HARSHA KRISHNA PRAJAPATI</t>
  </si>
  <si>
    <t>8460</t>
  </si>
  <si>
    <t>0550100000164041</t>
  </si>
  <si>
    <t>1301090004215578</t>
  </si>
  <si>
    <t>MOTI PRASAD BHUSAL</t>
  </si>
  <si>
    <t>TRITHARAJ BHUSAL /LAXMI DEVI BHUSAL</t>
  </si>
  <si>
    <t>JAGESHOWER BHUSAL / HUMADEVI BHUSAL</t>
  </si>
  <si>
    <t>622-1568</t>
  </si>
  <si>
    <t>55503167693</t>
  </si>
  <si>
    <t>1301370004949964</t>
  </si>
  <si>
    <t>MANISH MAHASETH</t>
  </si>
  <si>
    <t>RAM SAGARATH</t>
  </si>
  <si>
    <t>LAXMAN MAHASETH</t>
  </si>
  <si>
    <t>17-01-72-00967</t>
  </si>
  <si>
    <t>6187622572524001</t>
  </si>
  <si>
    <t>1301170001921246</t>
  </si>
  <si>
    <t>SHALIK RAM BHANDARI</t>
  </si>
  <si>
    <t>GIRI RAJ BHANDARI/MAITI DEVI BHANDARI</t>
  </si>
  <si>
    <t>JAGAT PRASAD BHANDARI</t>
  </si>
  <si>
    <t>533034/419</t>
  </si>
  <si>
    <t>0830100001932041</t>
  </si>
  <si>
    <t>1301090004011586</t>
  </si>
  <si>
    <t>KESHAV GURUNG</t>
  </si>
  <si>
    <t>SHANKAR PRASAD GURUNG</t>
  </si>
  <si>
    <t>PALHAWAN GURUNG</t>
  </si>
  <si>
    <t>36-01-71-02877</t>
  </si>
  <si>
    <t>55501356318</t>
  </si>
  <si>
    <t>1301260000995146</t>
  </si>
  <si>
    <t>SONAM WANGCHUCK LAMA</t>
  </si>
  <si>
    <t>DORJE TSHERING LAMA/TSHIRING DOLMA LAMA</t>
  </si>
  <si>
    <t>SINGI LAMA</t>
  </si>
  <si>
    <t>27/2077/078</t>
  </si>
  <si>
    <t>0570173876400017</t>
  </si>
  <si>
    <t>1301100001419781</t>
  </si>
  <si>
    <t>BIJAY KUMAR RAI</t>
  </si>
  <si>
    <t>MAKAR BAHADUR RAI</t>
  </si>
  <si>
    <t>061017/142086</t>
  </si>
  <si>
    <t>0550052410000016</t>
  </si>
  <si>
    <t>1301440000307220</t>
  </si>
  <si>
    <t>VIJAY KHADKA</t>
  </si>
  <si>
    <t>KARNA BAHADUR KHADKA</t>
  </si>
  <si>
    <t>LALIT BAHADUR KHADKA</t>
  </si>
  <si>
    <t>372037/49402</t>
  </si>
  <si>
    <t>03309015009615</t>
  </si>
  <si>
    <t>1301580000822352</t>
  </si>
  <si>
    <t>NABIN BARAL</t>
  </si>
  <si>
    <t>PUSPARAJ BARAL</t>
  </si>
  <si>
    <t>SRIJANA PANDAY BARAL</t>
  </si>
  <si>
    <t>107023</t>
  </si>
  <si>
    <t>006011170000048</t>
  </si>
  <si>
    <t>1301530000221324</t>
  </si>
  <si>
    <t>Samina Kumari Shrestha</t>
  </si>
  <si>
    <t>Man Bahadur Shrestha/Hari Maya Shrestha</t>
  </si>
  <si>
    <t>Laxmi Bahadur Shrestha/Krishna Bir Shrestha</t>
  </si>
  <si>
    <t>112007</t>
  </si>
  <si>
    <t>04610017509752</t>
  </si>
  <si>
    <t>1301690001009297</t>
  </si>
  <si>
    <t>NARAYAN NEUPANE</t>
  </si>
  <si>
    <t>MAN NATH NEUPANE/SITA NEUPANE</t>
  </si>
  <si>
    <t>DIL NATH NEUPANE</t>
  </si>
  <si>
    <t>25-01-71-04249</t>
  </si>
  <si>
    <t>07201000000025301968</t>
  </si>
  <si>
    <t>1301120004663707</t>
  </si>
  <si>
    <t>PHUSRE TUMBAPO</t>
  </si>
  <si>
    <t>JIT BAHADUR TUMBAPO</t>
  </si>
  <si>
    <t>CHANDRA DHOJ TUMBAPO</t>
  </si>
  <si>
    <t>2346</t>
  </si>
  <si>
    <t>07407010078153</t>
  </si>
  <si>
    <t>1301580001598081</t>
  </si>
  <si>
    <t>CHANDRA KALA RAI</t>
  </si>
  <si>
    <t>TILAK BAHADUR RAI/ SEM KUMARI RAI</t>
  </si>
  <si>
    <t>BHAIRE BAHADUR RAI</t>
  </si>
  <si>
    <t>11-01-72-01269</t>
  </si>
  <si>
    <t>909011090000185</t>
  </si>
  <si>
    <t>1301650002209760</t>
  </si>
  <si>
    <t>DIPAK GIRI</t>
  </si>
  <si>
    <t>RAM GIRI</t>
  </si>
  <si>
    <t>CHABILAL GIRI/</t>
  </si>
  <si>
    <t>24270</t>
  </si>
  <si>
    <t>3400100000031210</t>
  </si>
  <si>
    <t>1301370002421493</t>
  </si>
  <si>
    <t>RAMJI PANDEY</t>
  </si>
  <si>
    <t>YADUNATH PANDEY</t>
  </si>
  <si>
    <t>DEV ANRAYAN PANDEY</t>
  </si>
  <si>
    <t>89735</t>
  </si>
  <si>
    <t>0665750464248001</t>
  </si>
  <si>
    <t>1301650002171201</t>
  </si>
  <si>
    <t>SADIKSHYA UPADHYAY</t>
  </si>
  <si>
    <t>KRISHNA PRASAD UPADHYAY</t>
  </si>
  <si>
    <t>DINA NATH PRASAD UPADHYAY/</t>
  </si>
  <si>
    <t>36017805829</t>
  </si>
  <si>
    <t>3350100003645010</t>
  </si>
  <si>
    <t>1301090004091825</t>
  </si>
  <si>
    <t>JIBAN PANGENI</t>
  </si>
  <si>
    <t>BALA KRISHNA PANGENI/BHAGABATI PANGENI</t>
  </si>
  <si>
    <t>BHUWANANDA PANGENI/MINA PANGENI</t>
  </si>
  <si>
    <t>50813</t>
  </si>
  <si>
    <t>55503584863</t>
  </si>
  <si>
    <t>1301440000444213</t>
  </si>
  <si>
    <t>ASMITA THING</t>
  </si>
  <si>
    <t>BIR BAHADUR THING</t>
  </si>
  <si>
    <t>DHAN BAHADUR THING</t>
  </si>
  <si>
    <t>31-01-75-02721</t>
  </si>
  <si>
    <t>03607010332217</t>
  </si>
  <si>
    <t>1301260001735841</t>
  </si>
  <si>
    <t>MAHESH KUMAR KHATRI</t>
  </si>
  <si>
    <t>GYAN BAHADUR KHATRI/BANI DEVI KHATRI</t>
  </si>
  <si>
    <t>KRIPA RAM KHATRI</t>
  </si>
  <si>
    <t>71-01-71-00931</t>
  </si>
  <si>
    <t>4110100016822010</t>
  </si>
  <si>
    <t>1301220000303286</t>
  </si>
  <si>
    <t>KISHAN KHADKA</t>
  </si>
  <si>
    <t>RIM BAHADUR KHADKA CHHTRI</t>
  </si>
  <si>
    <t>AYAN BAHADUR KHADKA CHEETRI</t>
  </si>
  <si>
    <t>46286</t>
  </si>
  <si>
    <t>4310100000006104</t>
  </si>
  <si>
    <t>1301600000407239</t>
  </si>
  <si>
    <t>NURU SHERPA</t>
  </si>
  <si>
    <t>DATENZI SHERPA/MINGMA DOMA SHERPA</t>
  </si>
  <si>
    <t>TENZI KAILA SHERPA</t>
  </si>
  <si>
    <t>27-01-74-10509</t>
  </si>
  <si>
    <t>0231451439055001</t>
  </si>
  <si>
    <t>1301120000542312</t>
  </si>
  <si>
    <t>Anju Pokhrel Gautam</t>
  </si>
  <si>
    <t>Kamal Prasad Gautam</t>
  </si>
  <si>
    <t>Rajendra Kumar Pokhrel</t>
  </si>
  <si>
    <t>1723</t>
  </si>
  <si>
    <t>01008010000376</t>
  </si>
  <si>
    <t>1301650000922234</t>
  </si>
  <si>
    <t>LALIT BIKRAM RAWAT</t>
  </si>
  <si>
    <t>NARSING RAWAT</t>
  </si>
  <si>
    <t>KUMARO RAWAT/</t>
  </si>
  <si>
    <t>62017300553</t>
  </si>
  <si>
    <t>4080100044670010</t>
  </si>
  <si>
    <t>1301120000542268</t>
  </si>
  <si>
    <t>Govind Prasad Pokhrel</t>
  </si>
  <si>
    <t>Khusal Ram Pokhrel / Anju Pokhrel Gautam</t>
  </si>
  <si>
    <t>3826/2775</t>
  </si>
  <si>
    <t>0010009063412</t>
  </si>
  <si>
    <t>1301600000397272</t>
  </si>
  <si>
    <t>SAMJANA PATHAK</t>
  </si>
  <si>
    <t>RAM RAJ PATHAK /SITA  PATHAK</t>
  </si>
  <si>
    <t>PUSPA RAJ PATHAK</t>
  </si>
  <si>
    <t>25-01-75-06326</t>
  </si>
  <si>
    <t>3227038707600018</t>
  </si>
  <si>
    <t>1301120002621906</t>
  </si>
  <si>
    <t>RAKSHA SILWAL</t>
  </si>
  <si>
    <t>Gobardhan Silwal/Gopini Silwal</t>
  </si>
  <si>
    <t>Bhupendra Silwal</t>
  </si>
  <si>
    <t>28-01-070-05753</t>
  </si>
  <si>
    <t>00707010004554</t>
  </si>
  <si>
    <t>1301120000705890</t>
  </si>
  <si>
    <t>Sushila Ghimire Acharya</t>
  </si>
  <si>
    <t>Khula Ram Ghimire</t>
  </si>
  <si>
    <t>Sudarshan Acharya</t>
  </si>
  <si>
    <t>91/73556</t>
  </si>
  <si>
    <t>3214165568524001</t>
  </si>
  <si>
    <t>1301310000043117</t>
  </si>
  <si>
    <t>SURENDRA MOHAN SHRESTHA</t>
  </si>
  <si>
    <t>KRISHNA MOHAN SHRESHTA</t>
  </si>
  <si>
    <t>CHANDRA MOHAN SHRESTHA/ARUNA AMATYA</t>
  </si>
  <si>
    <t>4342/12599</t>
  </si>
  <si>
    <t>00120400011867000001</t>
  </si>
  <si>
    <t>1301090002225959</t>
  </si>
  <si>
    <t>KOSHISH SHRESTHA</t>
  </si>
  <si>
    <t>LOKENDRA SHRESTHA</t>
  </si>
  <si>
    <t>KEDAR PRASAD ACHARJU</t>
  </si>
  <si>
    <t>06-02-75-02912</t>
  </si>
  <si>
    <t>03515950690</t>
  </si>
  <si>
    <t>1301650002352691</t>
  </si>
  <si>
    <t>LATA SODEMBA</t>
  </si>
  <si>
    <t>HOM NATH SUBBA LIMBU</t>
  </si>
  <si>
    <t>LALIT BAHADUR SODEMBA/GANESH BAHADUR LIMBU</t>
  </si>
  <si>
    <t>08017301242</t>
  </si>
  <si>
    <t>5260100000023210</t>
  </si>
  <si>
    <t>1301170001240765</t>
  </si>
  <si>
    <t>GYAN BAHADUR YONJAN TAMANG</t>
  </si>
  <si>
    <t>KAJIMAN TAMANG</t>
  </si>
  <si>
    <t>THAKUR SINGH TAMANG</t>
  </si>
  <si>
    <t>76064</t>
  </si>
  <si>
    <t>0210100000181045</t>
  </si>
  <si>
    <t>1301520001298941</t>
  </si>
  <si>
    <t>AYUB ANSARI</t>
  </si>
  <si>
    <t>SHAKIL MOHAMMAD ANSARI</t>
  </si>
  <si>
    <t>ROSHANI KHATUN</t>
  </si>
  <si>
    <t>341022/2011</t>
  </si>
  <si>
    <t>0030004171000001</t>
  </si>
  <si>
    <t>1301370000311238</t>
  </si>
  <si>
    <t>Aditya Gupta</t>
  </si>
  <si>
    <t>Mohan Sah</t>
  </si>
  <si>
    <t>Mahavir Sah Rauniyar</t>
  </si>
  <si>
    <t>18-01-78-06503</t>
  </si>
  <si>
    <t>3169458156524001</t>
  </si>
  <si>
    <t>1301120002040193</t>
  </si>
  <si>
    <t>subash kandel</t>
  </si>
  <si>
    <t>RUP BAHADUR KANDEL</t>
  </si>
  <si>
    <t>MAN BAHADUR KANDEL</t>
  </si>
  <si>
    <t>45-01-69-01390</t>
  </si>
  <si>
    <t>09507010003691</t>
  </si>
  <si>
    <t>1301720000014171</t>
  </si>
  <si>
    <t>RAM PRIT DAS</t>
  </si>
  <si>
    <t>DARWAESHWAR DAS KATWANEYA</t>
  </si>
  <si>
    <t>SARITA KUMARI DAS</t>
  </si>
  <si>
    <t>1104501092415012</t>
  </si>
  <si>
    <t>1301120002662696</t>
  </si>
  <si>
    <t>HASTA BAHADUR TAMANG/HIRA MAYA TAMANG</t>
  </si>
  <si>
    <t>DAN BAHADUR TAMANG/SITA TAMANG</t>
  </si>
  <si>
    <t>82470</t>
  </si>
  <si>
    <t>00107010018387</t>
  </si>
  <si>
    <t>1301090002993678</t>
  </si>
  <si>
    <t>SUJAN NEPALI</t>
  </si>
  <si>
    <t>TEK BAHADUR SARKI</t>
  </si>
  <si>
    <t>MAN BAHADUR SARKI</t>
  </si>
  <si>
    <t>42-01-73-02251</t>
  </si>
  <si>
    <t>03215093790</t>
  </si>
  <si>
    <t>1301110000006086</t>
  </si>
  <si>
    <t>DURGA PRASAD SHRESTHA</t>
  </si>
  <si>
    <t>SHYAM KRISHNA SHRESTHA</t>
  </si>
  <si>
    <t>GYANI CHHORI SHRESTHA</t>
  </si>
  <si>
    <t>9122</t>
  </si>
  <si>
    <t>0250015140100011</t>
  </si>
  <si>
    <t>1301090000475870</t>
  </si>
  <si>
    <t>GNANI CHHORI SHRESTHA</t>
  </si>
  <si>
    <t>DAMO LAL SHRESTHA</t>
  </si>
  <si>
    <t>BHIM LAL SHRESTHA / DURGA PRASAD SHRESTHA</t>
  </si>
  <si>
    <t>21509</t>
  </si>
  <si>
    <t>3736524151314018</t>
  </si>
  <si>
    <t>1301120002637914</t>
  </si>
  <si>
    <t>BHIMSEN LAMSAL</t>
  </si>
  <si>
    <t>BED PRASAD LAMSAL/JAMUNA LAMSAL</t>
  </si>
  <si>
    <t>WALA PRASAD LAMSAL</t>
  </si>
  <si>
    <t>29139</t>
  </si>
  <si>
    <t>03309012040007</t>
  </si>
  <si>
    <t>1301350000159118</t>
  </si>
  <si>
    <t>NAGINA SHRESTHA</t>
  </si>
  <si>
    <t>NARESH GOPAL SHRESTHA</t>
  </si>
  <si>
    <t>RAM GOPAL SHRESTHA</t>
  </si>
  <si>
    <t>960</t>
  </si>
  <si>
    <t>00210041260011</t>
  </si>
  <si>
    <t>1301370005953007</t>
  </si>
  <si>
    <t>ARJUN THAPA MAGAR</t>
  </si>
  <si>
    <t>KRISHNA SHARAN THAPA MAGAR</t>
  </si>
  <si>
    <t>RAM BAHADUR THAPA MAGAR</t>
  </si>
  <si>
    <t>28-01-068-03573</t>
  </si>
  <si>
    <t>3135752050116001</t>
  </si>
  <si>
    <t>1301020000036827</t>
  </si>
  <si>
    <t>DINESH LAL SHRESTHA</t>
  </si>
  <si>
    <t>PREM LAL SHRESTHA</t>
  </si>
  <si>
    <t>NAGINA SHRESTHA/ JAGAT LAL SHRESTHA</t>
  </si>
  <si>
    <t>12066</t>
  </si>
  <si>
    <t>00210324209012</t>
  </si>
  <si>
    <t>1301070001901189</t>
  </si>
  <si>
    <t>FIROJ ANSARI</t>
  </si>
  <si>
    <t>DILZAN MIYA</t>
  </si>
  <si>
    <t>061036/155346</t>
  </si>
  <si>
    <t>2341596839205001</t>
  </si>
  <si>
    <t>1301460000083380</t>
  </si>
  <si>
    <t>PUJA KHADKA</t>
  </si>
  <si>
    <t>LAXMAN KHADKA</t>
  </si>
  <si>
    <t>DEVI BAHADUR KHADKA</t>
  </si>
  <si>
    <t>29-01-79-01736</t>
  </si>
  <si>
    <t>55507399908</t>
  </si>
  <si>
    <t>1301580000912176</t>
  </si>
  <si>
    <t>BADRI BAHADUR ADHIKARI</t>
  </si>
  <si>
    <t>HARI BAHADUR ADHIKARI</t>
  </si>
  <si>
    <t>BHAKTA BAHADUR ADHIKARI</t>
  </si>
  <si>
    <t>82067</t>
  </si>
  <si>
    <t>041011010000167</t>
  </si>
  <si>
    <t>1301650002010335</t>
  </si>
  <si>
    <t>DULARI KUMARI</t>
  </si>
  <si>
    <t>JBACHH JHA</t>
  </si>
  <si>
    <t>ABADH JHA/BHAGBAN CHAUDHARY</t>
  </si>
  <si>
    <t>98251003</t>
  </si>
  <si>
    <t>1560100000011004</t>
  </si>
  <si>
    <t>1301650002012537</t>
  </si>
  <si>
    <t>BHUMIKA CHAUDHARY</t>
  </si>
  <si>
    <t>BHAGBAN CHAUDHARY</t>
  </si>
  <si>
    <t>RAM BILASH CHAUDHARY</t>
  </si>
  <si>
    <t>96</t>
  </si>
  <si>
    <t>1560100000002005</t>
  </si>
  <si>
    <t>1301650002012522</t>
  </si>
  <si>
    <t>DIBYA CHAUDHARY</t>
  </si>
  <si>
    <t>1560100000001005</t>
  </si>
  <si>
    <t>1301040002926024</t>
  </si>
  <si>
    <t>ROHIT RAI</t>
  </si>
  <si>
    <t>BALARAM RAI</t>
  </si>
  <si>
    <t>HASTAMAN RAI</t>
  </si>
  <si>
    <t>06-01-69-03383</t>
  </si>
  <si>
    <t>01610017520295</t>
  </si>
  <si>
    <t>1301650000580502</t>
  </si>
  <si>
    <t>ASHA PANDEY</t>
  </si>
  <si>
    <t>GOR BAHADUR KHATRI</t>
  </si>
  <si>
    <t>HARILAL KHATRI/BABURAM PANDEY</t>
  </si>
  <si>
    <t>41100270802</t>
  </si>
  <si>
    <t>3080100033017010</t>
  </si>
  <si>
    <t>1301820000429275</t>
  </si>
  <si>
    <t>ROHIT KUMAR SAH</t>
  </si>
  <si>
    <t>RAJDEV SAH TELI / SUMINTRA DEVI</t>
  </si>
  <si>
    <t>DHANRAJ SAH TRLI</t>
  </si>
  <si>
    <t>15-01-80-04591</t>
  </si>
  <si>
    <t>07114100725201000001</t>
  </si>
  <si>
    <t>1301610001810062</t>
  </si>
  <si>
    <t>SHIVA BASUKALA</t>
  </si>
  <si>
    <t>SHIVA KRISHNA BASUKALA</t>
  </si>
  <si>
    <t>BIKU LAL BASUKALA</t>
  </si>
  <si>
    <t>293001/375</t>
  </si>
  <si>
    <t>1800099106800011</t>
  </si>
  <si>
    <t>1301260002310455</t>
  </si>
  <si>
    <t>SAANVI SHRESTHA</t>
  </si>
  <si>
    <t>MOHAN MAN SHRESTHA/SARITA SHRESTHA</t>
  </si>
  <si>
    <t>DILMAN SHRESTHA</t>
  </si>
  <si>
    <t>2073071804509</t>
  </si>
  <si>
    <t>0340196621500016</t>
  </si>
  <si>
    <t>1301260002292291</t>
  </si>
  <si>
    <t>SUNDAR RAI</t>
  </si>
  <si>
    <t>SURJIT RAI/LAXMI RAI</t>
  </si>
  <si>
    <t>GAMBAR RAI</t>
  </si>
  <si>
    <t>06301795</t>
  </si>
  <si>
    <t>1090116696800012</t>
  </si>
  <si>
    <t>1301070000547229</t>
  </si>
  <si>
    <t>SARMILA BARAILI</t>
  </si>
  <si>
    <t>TANKA BAHADUR BARAILI</t>
  </si>
  <si>
    <t>MAN BAHADUR BARAILI</t>
  </si>
  <si>
    <t>11804/1274</t>
  </si>
  <si>
    <t>00923003640</t>
  </si>
  <si>
    <t>1301040003101658</t>
  </si>
  <si>
    <t>KAMAN SINGH KARKI</t>
  </si>
  <si>
    <t>KARNA  BAHADUR KARKI</t>
  </si>
  <si>
    <t>513026/15</t>
  </si>
  <si>
    <t>27010017500211</t>
  </si>
  <si>
    <t>1301090000559585</t>
  </si>
  <si>
    <t>JAY KUMAR SAH</t>
  </si>
  <si>
    <t>RAM BILASH SAH</t>
  </si>
  <si>
    <t>LATE SHREE SAH</t>
  </si>
  <si>
    <t>158/395</t>
  </si>
  <si>
    <t>05724200505343000002</t>
  </si>
  <si>
    <t>1301260000157757</t>
  </si>
  <si>
    <t>ANITA BOGATI</t>
  </si>
  <si>
    <t>AMBAR BAHADUR BOGATI/SHANTI MAHARJAN</t>
  </si>
  <si>
    <t>CHANDRA MAN BOGATI</t>
  </si>
  <si>
    <t>271060/84046</t>
  </si>
  <si>
    <t>1190118829500011</t>
  </si>
  <si>
    <t>1301850000082498</t>
  </si>
  <si>
    <t>SHANTA KUNWAR</t>
  </si>
  <si>
    <t>DAMBAR BAHADUR MUKHIYA</t>
  </si>
  <si>
    <t>GUR BAHADUR MUKHIYA</t>
  </si>
  <si>
    <t>11246</t>
  </si>
  <si>
    <t>00200500013180000001</t>
  </si>
  <si>
    <t>1301370001799152</t>
  </si>
  <si>
    <t>Naresh Giri</t>
  </si>
  <si>
    <t>Lal Bahadur Giri</t>
  </si>
  <si>
    <t>Tanka Lal Giri</t>
  </si>
  <si>
    <t>33629</t>
  </si>
  <si>
    <t>0105750770574001</t>
  </si>
  <si>
    <t>1301060001226998</t>
  </si>
  <si>
    <t>RUPA PATHAK</t>
  </si>
  <si>
    <t>KEDAR NATH PATHAK</t>
  </si>
  <si>
    <t>SHIVA NATH PATHAK</t>
  </si>
  <si>
    <t>107309</t>
  </si>
  <si>
    <t>04005120262675</t>
  </si>
  <si>
    <t>1301120004067987</t>
  </si>
  <si>
    <t>NARESH KHADKA</t>
  </si>
  <si>
    <t>KARNA BAHADUR KHADKA/ CHANDRAKALI KHADKA</t>
  </si>
  <si>
    <t>SAHBIR KHADKA/BISHNU THAPA</t>
  </si>
  <si>
    <t>1/2/41534</t>
  </si>
  <si>
    <t>27007010004092</t>
  </si>
  <si>
    <t>1301060001233380</t>
  </si>
  <si>
    <t>LOKNATH BHATTARAI</t>
  </si>
  <si>
    <t>DEV RAJ BHATTARAI</t>
  </si>
  <si>
    <t>BALABHADRA BHATTARAI</t>
  </si>
  <si>
    <t>11185460</t>
  </si>
  <si>
    <t>1160100000448104</t>
  </si>
  <si>
    <t>1301090002988125</t>
  </si>
  <si>
    <t>SUDIP RAJGAINYA</t>
  </si>
  <si>
    <t>KRISHNA BAHADUR THARU</t>
  </si>
  <si>
    <t>KALI RAM THARU</t>
  </si>
  <si>
    <t>672040/14636</t>
  </si>
  <si>
    <t>01115077071</t>
  </si>
  <si>
    <t>1301240000272624</t>
  </si>
  <si>
    <t>BHUPENDRA THAPA CHHETRI</t>
  </si>
  <si>
    <t>358</t>
  </si>
  <si>
    <t>00910159223015</t>
  </si>
  <si>
    <t>1301090004514957</t>
  </si>
  <si>
    <t>SHASHIRAM POKHREL</t>
  </si>
  <si>
    <t>NABARAJ POKHREL</t>
  </si>
  <si>
    <t>DILARAM POKHREL</t>
  </si>
  <si>
    <t>48827</t>
  </si>
  <si>
    <t>55505296342</t>
  </si>
  <si>
    <t>1301040001374751</t>
  </si>
  <si>
    <t>SURENDRA MAHARJAN</t>
  </si>
  <si>
    <t>TULSI MAN MAHARJAN /SARASWATI MAHARJAN</t>
  </si>
  <si>
    <t>SANTA MAN MAHARJAN /</t>
  </si>
  <si>
    <t>28741</t>
  </si>
  <si>
    <t>1710017506415</t>
  </si>
  <si>
    <t>1301040001400787</t>
  </si>
  <si>
    <t>RITA MAHARJAN</t>
  </si>
  <si>
    <t>BISHNU BAHADUR MAHARJAN /MAN MAYA MAHARJAN</t>
  </si>
  <si>
    <t>JIT LAL MAHARJAN/</t>
  </si>
  <si>
    <t>8238</t>
  </si>
  <si>
    <t>12910017501462</t>
  </si>
  <si>
    <t>1301370005329139</t>
  </si>
  <si>
    <t>DIPAK BANIYA</t>
  </si>
  <si>
    <t>GANESH BAHADUR BANIYA</t>
  </si>
  <si>
    <t>NAR BAHADUR BANIYA</t>
  </si>
  <si>
    <t>147064</t>
  </si>
  <si>
    <t>7354997731524001</t>
  </si>
  <si>
    <t>1301690000375444</t>
  </si>
  <si>
    <t>POSH BAHADUR SUNUWAR</t>
  </si>
  <si>
    <t>TILAK BAHADUR SUNUWAR/SUKUMAYA SUNUWAR</t>
  </si>
  <si>
    <t>BHAKTA BAHADUR SUNUWAR/MAYA SUNUWAAR</t>
  </si>
  <si>
    <t>1484/1892</t>
  </si>
  <si>
    <t>18201000000000404271</t>
  </si>
  <si>
    <t>1301580001322640</t>
  </si>
  <si>
    <t>AARYA PRABHAKAR</t>
  </si>
  <si>
    <t>ABHINASH PRABHAKAR</t>
  </si>
  <si>
    <t>BHOLA PRASAD SHAH</t>
  </si>
  <si>
    <t>100000/1597</t>
  </si>
  <si>
    <t>014011120000818</t>
  </si>
  <si>
    <t>1301120001348964</t>
  </si>
  <si>
    <t>ATHARVA POUDEL</t>
  </si>
  <si>
    <t>KAMAL KANTA POUDEL</t>
  </si>
  <si>
    <t>MITRA LAL POUDEL</t>
  </si>
  <si>
    <t>0214</t>
  </si>
  <si>
    <t>00107010048104</t>
  </si>
  <si>
    <t>1301580001322830</t>
  </si>
  <si>
    <t>AARZU PRABHAKAR</t>
  </si>
  <si>
    <t>100000/1596</t>
  </si>
  <si>
    <t>014011120000819</t>
  </si>
  <si>
    <t>1301040002564512</t>
  </si>
  <si>
    <t>RANJIT SAPKOTA</t>
  </si>
  <si>
    <t>KEDAR SAPKOTA/DILKUMARI NEPAL</t>
  </si>
  <si>
    <t>/JUNGA BAHADUR SAPKOTA</t>
  </si>
  <si>
    <t>04-01-80-07587</t>
  </si>
  <si>
    <t>00310017513570</t>
  </si>
  <si>
    <t>1301080000328435</t>
  </si>
  <si>
    <t>Rohit parajuli</t>
  </si>
  <si>
    <t>kedar nath parajuli</t>
  </si>
  <si>
    <t>dilli prasad parajuli</t>
  </si>
  <si>
    <t>61904/62904</t>
  </si>
  <si>
    <t>01700501207762</t>
  </si>
  <si>
    <t>1301060000992963</t>
  </si>
  <si>
    <t>SILBIN TAMRAKAR</t>
  </si>
  <si>
    <t>BIRENDRA MAN TAMRAKAR</t>
  </si>
  <si>
    <t>PURNA MAN TAMRAKAR</t>
  </si>
  <si>
    <t>1060/104030</t>
  </si>
  <si>
    <t>00300438490012</t>
  </si>
  <si>
    <t>1301060001194010</t>
  </si>
  <si>
    <t>MANIK MAN TAMRAKAR</t>
  </si>
  <si>
    <t>4403/8221</t>
  </si>
  <si>
    <t>00300466280015</t>
  </si>
  <si>
    <t>1301060000092061</t>
  </si>
  <si>
    <t>LALINA TAMRAKAR</t>
  </si>
  <si>
    <t>BHUWAN RATNA TAMRAKAR</t>
  </si>
  <si>
    <t>PURNA RATNA TAMRAKAR</t>
  </si>
  <si>
    <t>476/046</t>
  </si>
  <si>
    <t>00300438500018</t>
  </si>
  <si>
    <t>1301230000000910</t>
  </si>
  <si>
    <t>Nirmal Kumar Atal</t>
  </si>
  <si>
    <t>Banshidhar atal</t>
  </si>
  <si>
    <t>Raghunath atal</t>
  </si>
  <si>
    <t>6753074/55</t>
  </si>
  <si>
    <t>02450001000039</t>
  </si>
  <si>
    <t>1301490000001523</t>
  </si>
  <si>
    <t>PRACHANDA MAN SHRESTHA</t>
  </si>
  <si>
    <t>MAHABIR MAN SHRESTHA</t>
  </si>
  <si>
    <t>HIRA MAN SHRESTHA</t>
  </si>
  <si>
    <t>4845/1936</t>
  </si>
  <si>
    <t>03807010009436</t>
  </si>
  <si>
    <t>1301090002946796</t>
  </si>
  <si>
    <t>SARITA KUMARI SHAHI</t>
  </si>
  <si>
    <t>CHHATRA BAHADUR SHAHI</t>
  </si>
  <si>
    <t>NANDARAM SHAHI</t>
  </si>
  <si>
    <t>69-01-77-01416</t>
  </si>
  <si>
    <t>03318016710</t>
  </si>
  <si>
    <t>1301370003815797</t>
  </si>
  <si>
    <t>KISHOR BAHADUR CHAND</t>
  </si>
  <si>
    <t>HIKMAT BAHDUR CHAND</t>
  </si>
  <si>
    <t>BAHAUDRCHAND</t>
  </si>
  <si>
    <t>733057/244</t>
  </si>
  <si>
    <t>G187541308524001</t>
  </si>
  <si>
    <t>1301520001658209</t>
  </si>
  <si>
    <t>DIYA BAJRACHARYA</t>
  </si>
  <si>
    <t>SUKRA RAJ BAJRACHARYA / JUNU SHOVA BAJRAHARYA</t>
  </si>
  <si>
    <t>GYAN BAJRA BAJRACHRYA</t>
  </si>
  <si>
    <t>29-01-79-00526</t>
  </si>
  <si>
    <t>1250270739700001</t>
  </si>
  <si>
    <t>1301610001580379</t>
  </si>
  <si>
    <t>SHANKAR YADAV</t>
  </si>
  <si>
    <t>CHETHARU RAYE</t>
  </si>
  <si>
    <t>SHREE MAJHI RAYE YADAV</t>
  </si>
  <si>
    <t>3352873</t>
  </si>
  <si>
    <t>9990000712100018</t>
  </si>
  <si>
    <t>1301370007880584</t>
  </si>
  <si>
    <t>KUMARI MAYA SYANGBO</t>
  </si>
  <si>
    <t>RAM BAHADUR SYANGBO</t>
  </si>
  <si>
    <t>SHER BAHADUR SYANGBO</t>
  </si>
  <si>
    <t>35-01-72-11683</t>
  </si>
  <si>
    <t>2245752406362001</t>
  </si>
  <si>
    <t>1301110000213682</t>
  </si>
  <si>
    <t>SANDESH SAPKOTA</t>
  </si>
  <si>
    <t>TEK NARAYAN SAPKOTA/HARI KALA SAPKOTA</t>
  </si>
  <si>
    <t>KHADA NANDA SAPKOTA</t>
  </si>
  <si>
    <t>35-01-72-09120</t>
  </si>
  <si>
    <t>34507010006490</t>
  </si>
  <si>
    <t>1301370007879946</t>
  </si>
  <si>
    <t>KARMA YONJAN</t>
  </si>
  <si>
    <t>PREM BAHADUR YONJAN</t>
  </si>
  <si>
    <t>SHER BAHADUR YONJAN</t>
  </si>
  <si>
    <t>052052-3056</t>
  </si>
  <si>
    <t>2245752385982001</t>
  </si>
  <si>
    <t>1301650001634371</t>
  </si>
  <si>
    <t>NABIN RAI</t>
  </si>
  <si>
    <t>PARAM DHOWJ RAI</t>
  </si>
  <si>
    <t>DHANA HARKA RAI/</t>
  </si>
  <si>
    <t>1210415</t>
  </si>
  <si>
    <t>2550100016921010</t>
  </si>
  <si>
    <t>1301770000220651</t>
  </si>
  <si>
    <t>AMISHA LAMA</t>
  </si>
  <si>
    <t>YAM BIKRAM LAMA</t>
  </si>
  <si>
    <t>BAKHAN SINGH THAPA</t>
  </si>
  <si>
    <t>21-01-74-03282</t>
  </si>
  <si>
    <t>06609302990014</t>
  </si>
  <si>
    <t>1301530000013079</t>
  </si>
  <si>
    <t>DILLI RAM PAUDEL</t>
  </si>
  <si>
    <t>BHUWANI PRASAD PAUDEL</t>
  </si>
  <si>
    <t>26011</t>
  </si>
  <si>
    <t>1301090002628628</t>
  </si>
  <si>
    <t>SAROJ LAMICHHANE</t>
  </si>
  <si>
    <t>DHURBA PRASAD LAMICHHANE</t>
  </si>
  <si>
    <t>KRISHNA PRASAD LAMICHHANE</t>
  </si>
  <si>
    <t>1060/65343</t>
  </si>
  <si>
    <t>01715581749</t>
  </si>
  <si>
    <t>1301170002046040</t>
  </si>
  <si>
    <t>NAGENDRA KUMAR MAHATO</t>
  </si>
  <si>
    <t>ABADH KISOR MAHATO/PRAMILA DEVI MAHATO</t>
  </si>
  <si>
    <t>RAM SARUP MAHATO</t>
  </si>
  <si>
    <t>18-2-063/583</t>
  </si>
  <si>
    <t>0660100001600041</t>
  </si>
  <si>
    <t>1301240001606226</t>
  </si>
  <si>
    <t>RESHAM BAHADUR NEPALI</t>
  </si>
  <si>
    <t>BIDURE SARKI</t>
  </si>
  <si>
    <t>7939/5062/68</t>
  </si>
  <si>
    <t>1291208918216001</t>
  </si>
  <si>
    <t>1301370004812242</t>
  </si>
  <si>
    <t>RAHUL KUMAR SAH</t>
  </si>
  <si>
    <t>DEVENDRA SAH</t>
  </si>
  <si>
    <t>BHUTTA SAH</t>
  </si>
  <si>
    <t>17-01-76-01068</t>
  </si>
  <si>
    <t>R357034397552401</t>
  </si>
  <si>
    <t>1301370001417635</t>
  </si>
  <si>
    <t>Hari Prasad Panthi</t>
  </si>
  <si>
    <t>Yam Lal Panthi</t>
  </si>
  <si>
    <t>Pitambar Panthi</t>
  </si>
  <si>
    <t>5805/2864</t>
  </si>
  <si>
    <t>0663343668524001</t>
  </si>
  <si>
    <t>1301370006153136</t>
  </si>
  <si>
    <t>DIPAK THAPA MAGAR</t>
  </si>
  <si>
    <t>SANTA BAHADUR MAGAR</t>
  </si>
  <si>
    <t>SANMAN MAGAR</t>
  </si>
  <si>
    <t>21-01-76-06007</t>
  </si>
  <si>
    <t>2495759479929001</t>
  </si>
  <si>
    <t>1301370003958893</t>
  </si>
  <si>
    <t>DEEKSHANT PANTHI</t>
  </si>
  <si>
    <t>HARI PRASAD PANTHI</t>
  </si>
  <si>
    <t>YAM LAL PANTHI</t>
  </si>
  <si>
    <t>100092</t>
  </si>
  <si>
    <t>0155751322433001</t>
  </si>
  <si>
    <t>1301120001216065</t>
  </si>
  <si>
    <t>LALITA KHAREL KANDEL</t>
  </si>
  <si>
    <t>DEVDUTTA KHAREL</t>
  </si>
  <si>
    <t>THANESHWOR KANDEL</t>
  </si>
  <si>
    <t>3510251/132</t>
  </si>
  <si>
    <t>01807010010444</t>
  </si>
  <si>
    <t>1301650000191709</t>
  </si>
  <si>
    <t>LALITA BUDATHOKI</t>
  </si>
  <si>
    <t>RATNA BAHADUR BUDATHOKI / GITA DEVI BUDATHOKI</t>
  </si>
  <si>
    <t>KRISHNA BAHADUR BUDATHOKI</t>
  </si>
  <si>
    <t>332011/37403</t>
  </si>
  <si>
    <t>1290100008577010</t>
  </si>
  <si>
    <t>1301120004383292</t>
  </si>
  <si>
    <t>RITA LIMBU</t>
  </si>
  <si>
    <t>TEJ BAHADUR LIMBU/ MAN MAYA LIMBU</t>
  </si>
  <si>
    <t>RAJ BAHADUR LIMBU</t>
  </si>
  <si>
    <t>04-01-72-02634</t>
  </si>
  <si>
    <t>05807010006223</t>
  </si>
  <si>
    <t>1301220000358454</t>
  </si>
  <si>
    <t>RAM PRASAD BANJADE</t>
  </si>
  <si>
    <t>THANESHOR BANJADE</t>
  </si>
  <si>
    <t>HARILAL BANJADE</t>
  </si>
  <si>
    <t>1008/959</t>
  </si>
  <si>
    <t>18307010004495</t>
  </si>
  <si>
    <t>1301090000343862</t>
  </si>
  <si>
    <t>DEVI KARKI BASNET</t>
  </si>
  <si>
    <t>BHUPADHOJ BASNET</t>
  </si>
  <si>
    <t>NARDHOJ BASNET / SURENDRA KUMAR KARKI</t>
  </si>
  <si>
    <t>7192/26/5645</t>
  </si>
  <si>
    <t>00100516206534</t>
  </si>
  <si>
    <t>1301090004349754</t>
  </si>
  <si>
    <t>LILA RAM PAUDEL</t>
  </si>
  <si>
    <t>BHUMI DATTA PAUDEL</t>
  </si>
  <si>
    <t>BISHNU DATTA PAUDEL</t>
  </si>
  <si>
    <t>6396060</t>
  </si>
  <si>
    <t>55503584049</t>
  </si>
  <si>
    <t>1301370002753260</t>
  </si>
  <si>
    <t>Ujjwal Lage</t>
  </si>
  <si>
    <t>Jam Narayan Lage</t>
  </si>
  <si>
    <t>Tulsi Bhakta Lage</t>
  </si>
  <si>
    <t>29-01-066-05838</t>
  </si>
  <si>
    <t>0869431407524001</t>
  </si>
  <si>
    <t>1301650001994890</t>
  </si>
  <si>
    <t>GANGA RAJ RAI</t>
  </si>
  <si>
    <t>SHAR MAN RAI /</t>
  </si>
  <si>
    <t>06027202003</t>
  </si>
  <si>
    <t>2160100044313010</t>
  </si>
  <si>
    <t>1301370001440008</t>
  </si>
  <si>
    <t>Urgin Numdol Lama Karmarong</t>
  </si>
  <si>
    <t>Sonam Chhebel Tamang</t>
  </si>
  <si>
    <t>Kunjang Tamang</t>
  </si>
  <si>
    <t>583003/47</t>
  </si>
  <si>
    <t>8187968152252401</t>
  </si>
  <si>
    <t>1301330000127759</t>
  </si>
  <si>
    <t>Mohan Raj Thapa</t>
  </si>
  <si>
    <t>Dhan Bahadur Thapa</t>
  </si>
  <si>
    <t>Chandra Bahadur Thapa</t>
  </si>
  <si>
    <t>071029/601</t>
  </si>
  <si>
    <t>19407010002469</t>
  </si>
  <si>
    <t>1301370007443434</t>
  </si>
  <si>
    <t>KRISTINA POKHREL</t>
  </si>
  <si>
    <t>TIKARAM POKHREL</t>
  </si>
  <si>
    <t>BHANU BHAKTA POKHREL</t>
  </si>
  <si>
    <t>2080091000778</t>
  </si>
  <si>
    <t>0445753068337001</t>
  </si>
  <si>
    <t>1301120005308291</t>
  </si>
  <si>
    <t>CHANDRA KUMAR RAI</t>
  </si>
  <si>
    <t>BAL BIR RAI</t>
  </si>
  <si>
    <t>042043/1580</t>
  </si>
  <si>
    <t>03307011481187</t>
  </si>
  <si>
    <t>1301060002825923</t>
  </si>
  <si>
    <t>BANDANA SHRESTHA</t>
  </si>
  <si>
    <t>NIRANJAN BHAKTA SHRESTHA</t>
  </si>
  <si>
    <t>GOPAL BHAKTA SHRESTHA</t>
  </si>
  <si>
    <t>19482</t>
  </si>
  <si>
    <t>01705080019775</t>
  </si>
  <si>
    <t>1301040000041721</t>
  </si>
  <si>
    <t>SACHIN SHRESTHA</t>
  </si>
  <si>
    <t>MUKUNDA LAL SHRESTHA</t>
  </si>
  <si>
    <t>GOVINDA LAL SHRESTHA</t>
  </si>
  <si>
    <t>29803</t>
  </si>
  <si>
    <t>04400501204169</t>
  </si>
  <si>
    <t>1301120005048931</t>
  </si>
  <si>
    <t>MANISH NEUPANE</t>
  </si>
  <si>
    <t>MURARI NEUPANE</t>
  </si>
  <si>
    <t>BHAIRAB BAHADUR NEUPANE</t>
  </si>
  <si>
    <t>29-01-69-04164</t>
  </si>
  <si>
    <t>23907010052809</t>
  </si>
  <si>
    <t>1301040001080809</t>
  </si>
  <si>
    <t>LAXMI MALLA</t>
  </si>
  <si>
    <t>JAGAT BAHADUR MALLA/INDRA BAHADUR MALLA</t>
  </si>
  <si>
    <t>INDRA BAHADUR MALLA/</t>
  </si>
  <si>
    <t>461005/214</t>
  </si>
  <si>
    <t>1210017503770</t>
  </si>
  <si>
    <t>1301100001423610</t>
  </si>
  <si>
    <t>PREM KARKI</t>
  </si>
  <si>
    <t>MAKAR BAHADUR KARKI</t>
  </si>
  <si>
    <t>CHANDRA BAHADUR KARKI</t>
  </si>
  <si>
    <t>061017/152936</t>
  </si>
  <si>
    <t>0550149763100014</t>
  </si>
  <si>
    <t>1301090004013053</t>
  </si>
  <si>
    <t>DURGA PRASAD DAHAL/TILA DEVI DAHAL</t>
  </si>
  <si>
    <t>RUP NARAYAN DAHAL/SANGITA SATYAL</t>
  </si>
  <si>
    <t>406703-70</t>
  </si>
  <si>
    <t>50315012571</t>
  </si>
  <si>
    <t>1301100002863159</t>
  </si>
  <si>
    <t>MANDEV GURUNG</t>
  </si>
  <si>
    <t>JAGADISH SHWOR GURUNG/MAN MAYA GURUNG</t>
  </si>
  <si>
    <t>MAITTA SING GURUNG</t>
  </si>
  <si>
    <t>45-01-74-00662</t>
  </si>
  <si>
    <t>1980215006800011</t>
  </si>
  <si>
    <t>1301110000348653</t>
  </si>
  <si>
    <t>BILIV POKHREL</t>
  </si>
  <si>
    <t>GOVINDA RAJ POKHREL/SITA POKHREL</t>
  </si>
  <si>
    <t>TULSI RAM UPADHYA</t>
  </si>
  <si>
    <t>53-01-69-02659</t>
  </si>
  <si>
    <t>30107010036931</t>
  </si>
  <si>
    <t>1301040001195611</t>
  </si>
  <si>
    <t>NISAN KOIRALA</t>
  </si>
  <si>
    <t>KESHAB PRASAD KOIRALA /GAYATRI KOIRALA</t>
  </si>
  <si>
    <t>MUKTINATH KOIRALA /</t>
  </si>
  <si>
    <t>30-01-74-10113</t>
  </si>
  <si>
    <t>12110017501158</t>
  </si>
  <si>
    <t>1301440000320480</t>
  </si>
  <si>
    <t>TIL RAJ KHARAL</t>
  </si>
  <si>
    <t>DHANISHWOR KHARAL</t>
  </si>
  <si>
    <t>NANDARAM KHARAL</t>
  </si>
  <si>
    <t>363006/372</t>
  </si>
  <si>
    <t>03609015000982</t>
  </si>
  <si>
    <t>1301060003481503</t>
  </si>
  <si>
    <t>ASHOK THAPA</t>
  </si>
  <si>
    <t>PAHALMAN THAPA MAGAR</t>
  </si>
  <si>
    <t>DIL BAHADUR THAPA</t>
  </si>
  <si>
    <t>208521</t>
  </si>
  <si>
    <t>03805080281935</t>
  </si>
  <si>
    <t>1301370007610594</t>
  </si>
  <si>
    <t>SHIV KUMAR KOIRI</t>
  </si>
  <si>
    <t>RAJENDRA KOIRI</t>
  </si>
  <si>
    <t>DINANATH KOIRI</t>
  </si>
  <si>
    <t>36-06-78-02822</t>
  </si>
  <si>
    <t>1535752518899001</t>
  </si>
  <si>
    <t>1301370000515941</t>
  </si>
  <si>
    <t>Usha Joshi</t>
  </si>
  <si>
    <t>Uttam Prasad Joshi</t>
  </si>
  <si>
    <t>Mohan Prasad Joshi</t>
  </si>
  <si>
    <t>28-01-065-01513</t>
  </si>
  <si>
    <t>4169489252524001</t>
  </si>
  <si>
    <t>1301040001233344</t>
  </si>
  <si>
    <t>BINITA PARAJULI</t>
  </si>
  <si>
    <t>BISHNU PRASAD PARAJULI/KAMALA PARAJULI</t>
  </si>
  <si>
    <t>YAM PRASAD PARAJULI/</t>
  </si>
  <si>
    <t>30-01-77-09541</t>
  </si>
  <si>
    <t>12510017500791</t>
  </si>
  <si>
    <t>1301170001580064</t>
  </si>
  <si>
    <t>MANSARA DEVI BUDHA</t>
  </si>
  <si>
    <t>LALE KHADKA</t>
  </si>
  <si>
    <t>KALE  KHADKA</t>
  </si>
  <si>
    <t>729</t>
  </si>
  <si>
    <t>0330100002801041</t>
  </si>
  <si>
    <t>1301790000252411</t>
  </si>
  <si>
    <t>RAJ KUMAR LINKHA</t>
  </si>
  <si>
    <t>SANTAN SINGH LINKHA/KAMAL KUMARI LINKHA</t>
  </si>
  <si>
    <t>MAITA SINGH LINKHA</t>
  </si>
  <si>
    <t>2217</t>
  </si>
  <si>
    <t>08511300329930000001</t>
  </si>
  <si>
    <t>1301250000474392</t>
  </si>
  <si>
    <t>KESHIKA LAXMI THAPA</t>
  </si>
  <si>
    <t>DEBENDRA THAPA/GITA KUMARI THAPA</t>
  </si>
  <si>
    <t>GOBINA BAHADUR THAPA</t>
  </si>
  <si>
    <t>05-01-73-01398</t>
  </si>
  <si>
    <t>06421600618316000001</t>
  </si>
  <si>
    <t>1301600000825389</t>
  </si>
  <si>
    <t>NIKITA RAWAL</t>
  </si>
  <si>
    <t>PUSPA BAHADUR RAWAL/ASHA RAWAL/</t>
  </si>
  <si>
    <t>KRISHNA BAHADUR RAWAL</t>
  </si>
  <si>
    <t>2068121100015</t>
  </si>
  <si>
    <t>3627044273700018</t>
  </si>
  <si>
    <t>1301250000746631</t>
  </si>
  <si>
    <t>SANJAY MALI</t>
  </si>
  <si>
    <t>BUDDHI RATNA MALI/KRISHNA MAYA MALI</t>
  </si>
  <si>
    <t>JIT LAL MALI</t>
  </si>
  <si>
    <t>28-01-069-06285</t>
  </si>
  <si>
    <t>08121600674465000001</t>
  </si>
  <si>
    <t>1301440000071398</t>
  </si>
  <si>
    <t>Mira Khatri</t>
  </si>
  <si>
    <t>Pralad Khatri</t>
  </si>
  <si>
    <t>Gopal Khatri</t>
  </si>
  <si>
    <t>41487</t>
  </si>
  <si>
    <t>1910017509033</t>
  </si>
  <si>
    <t>1301250000020129</t>
  </si>
  <si>
    <t>Surya Narayan Nemkul</t>
  </si>
  <si>
    <t>Jagat Lal Nemkul</t>
  </si>
  <si>
    <t>Jagat Bahadur Nemkul/ Ganga Nemkul</t>
  </si>
  <si>
    <t>3386</t>
  </si>
  <si>
    <t>10111000009601</t>
  </si>
  <si>
    <t>1301610001810096</t>
  </si>
  <si>
    <t>SARITA CHAGUTHI</t>
  </si>
  <si>
    <t>SHREE RAM SUNDAR CHAGUTHI</t>
  </si>
  <si>
    <t>PURNA BHAKTA CHAGUTHI</t>
  </si>
  <si>
    <t>31387</t>
  </si>
  <si>
    <t>1800087353200011</t>
  </si>
  <si>
    <t>1301120003193983</t>
  </si>
  <si>
    <t>CHANDRA MAHAR</t>
  </si>
  <si>
    <t>DILIP SINGH MAHAR/ISHWORI DEVI MAHAR</t>
  </si>
  <si>
    <t>GAGAN SINGH MAHAR/SUMITRA BHANDARI</t>
  </si>
  <si>
    <t>74-01-70-0567</t>
  </si>
  <si>
    <t>01907010021922</t>
  </si>
  <si>
    <t>1301720001023120</t>
  </si>
  <si>
    <t>AMAN SHAKYA</t>
  </si>
  <si>
    <t>SHANTA SHAKYA</t>
  </si>
  <si>
    <t>DHARAM RATNA SHAKYA</t>
  </si>
  <si>
    <t>27017506392</t>
  </si>
  <si>
    <t>0210605094371017</t>
  </si>
  <si>
    <t>1301720000983236</t>
  </si>
  <si>
    <t>DHARMA RATNA SHAKYA</t>
  </si>
  <si>
    <t>CHAITYA BIR SINGH SHAKYA</t>
  </si>
  <si>
    <t>1489</t>
  </si>
  <si>
    <t>0210605055706011</t>
  </si>
  <si>
    <t>1301120002203507</t>
  </si>
  <si>
    <t>SUMIT TIMILSENA</t>
  </si>
  <si>
    <t>SHIVA PRASAD TIMILSENA/DURGA DEVI TIMILSENA</t>
  </si>
  <si>
    <t>TIL PRASAD TIMILSENA</t>
  </si>
  <si>
    <t>46-02-74-00248</t>
  </si>
  <si>
    <t>11707010000695</t>
  </si>
  <si>
    <t>1301060003513129</t>
  </si>
  <si>
    <t>HIMLAL CHAPAGAIN</t>
  </si>
  <si>
    <t>NETRA NARAYAN CHAPAGAIN/PABITRA CHAPAGAIN</t>
  </si>
  <si>
    <t>NAR SHARMA</t>
  </si>
  <si>
    <t>037595</t>
  </si>
  <si>
    <t>22005220250047</t>
  </si>
  <si>
    <t>1301440000221810</t>
  </si>
  <si>
    <t>GANESH DATT JOSHI</t>
  </si>
  <si>
    <t>PADMADATT JOSHI</t>
  </si>
  <si>
    <t>751005/12062</t>
  </si>
  <si>
    <t>03309015018244</t>
  </si>
  <si>
    <t>1301060001913856</t>
  </si>
  <si>
    <t>LISA KAYASTHA</t>
  </si>
  <si>
    <t>YOGENDRA BAHADUR KAYASTHA</t>
  </si>
  <si>
    <t>KAJI BAHADUR KAYASTHA</t>
  </si>
  <si>
    <t>29-01-74-04910</t>
  </si>
  <si>
    <t>00205030312806</t>
  </si>
  <si>
    <t>1301260001848138</t>
  </si>
  <si>
    <t>AYUSH AGRAWAL</t>
  </si>
  <si>
    <t>KAUSHAL KUMAR AGRAWAL/SHYAMA DEVI AGRAWAL</t>
  </si>
  <si>
    <t>LADURAM AGRAWAL</t>
  </si>
  <si>
    <t>67-01-70-02598</t>
  </si>
  <si>
    <t>0300129281900015</t>
  </si>
  <si>
    <t>1301170000317853</t>
  </si>
  <si>
    <t>RAJESH TAMANG</t>
  </si>
  <si>
    <t>NORBU TAMANG</t>
  </si>
  <si>
    <t>ASON SINGH TAMANG</t>
  </si>
  <si>
    <t>21-01-73-02102</t>
  </si>
  <si>
    <t>0190100001799027</t>
  </si>
  <si>
    <t>1301260000381661</t>
  </si>
  <si>
    <t>MADHU KUMARI</t>
  </si>
  <si>
    <t>RAM NARAYAN MAHATO SUDI/SUNAINA DEVI MAHATO</t>
  </si>
  <si>
    <t>CHANNI MAHATO</t>
  </si>
  <si>
    <t>81340110</t>
  </si>
  <si>
    <t>4487976402452401</t>
  </si>
  <si>
    <t>1301120003598645</t>
  </si>
  <si>
    <t>NORU SHERPA</t>
  </si>
  <si>
    <t>KITEMBAR SHERPA/KESI SHERPA</t>
  </si>
  <si>
    <t>FURTEMBA SHERPA</t>
  </si>
  <si>
    <t>121066/283</t>
  </si>
  <si>
    <t>03707010013826</t>
  </si>
  <si>
    <t>1301100002415311</t>
  </si>
  <si>
    <t>NARAYAN KARKI</t>
  </si>
  <si>
    <t>GADUL DHOJ KARKI</t>
  </si>
  <si>
    <t>131039/256</t>
  </si>
  <si>
    <t>1070078217800018</t>
  </si>
  <si>
    <t>1301480000197504</t>
  </si>
  <si>
    <t>RAJAN BAHADUR MAGAR</t>
  </si>
  <si>
    <t>SHIVA BAHADUR MAGAR</t>
  </si>
  <si>
    <t>HASTA BAHADUR MAGAR</t>
  </si>
  <si>
    <t>13-11-71-00371</t>
  </si>
  <si>
    <t>3110017516615</t>
  </si>
  <si>
    <t>1301110000289961</t>
  </si>
  <si>
    <t>Ambika Devi Bhatta Joshi</t>
  </si>
  <si>
    <t>Shankar Datt Bhatta</t>
  </si>
  <si>
    <t>Gopal Datt Bhatta</t>
  </si>
  <si>
    <t>572</t>
  </si>
  <si>
    <t>32407010002879</t>
  </si>
  <si>
    <t>1301590000715379</t>
  </si>
  <si>
    <t>HIRA PRAKASH GAUCHAN</t>
  </si>
  <si>
    <t>PADAM BAHADUR GAUCHAN/SEWA SANGMO GAUCHAN</t>
  </si>
  <si>
    <t>SITA SHERCHAN/PRITHI BAHADUR GAUCHAN</t>
  </si>
  <si>
    <t>2562</t>
  </si>
  <si>
    <t>0260028090600016</t>
  </si>
  <si>
    <t>1301730001392744</t>
  </si>
  <si>
    <t>KISHAN PRASAD SAH</t>
  </si>
  <si>
    <t>BINDESHWAR PRASAD SAH/RAJ KUMARI DEVI</t>
  </si>
  <si>
    <t>DUKHI PRASAD SAH</t>
  </si>
  <si>
    <t>173102</t>
  </si>
  <si>
    <t>11205350251716</t>
  </si>
  <si>
    <t>1301150000107401</t>
  </si>
  <si>
    <t>SANIMA RELIANCE LIFE INSURANCE LIMITED.</t>
  </si>
  <si>
    <t>0040053667800012</t>
  </si>
  <si>
    <t>1301010000001142</t>
  </si>
  <si>
    <t>RABINDRA GAUTAM</t>
  </si>
  <si>
    <t>BADRI NATH GAUTAM</t>
  </si>
  <si>
    <t>BISHWA NATH GAUTAM / LAXMI DAHAL GAUTAM</t>
  </si>
  <si>
    <t>3937/8721</t>
  </si>
  <si>
    <t>0170000491100023</t>
  </si>
  <si>
    <t>1301170001070452</t>
  </si>
  <si>
    <t>ALISH SHRESTHA</t>
  </si>
  <si>
    <t>MOHAN LAL SHRESTHA</t>
  </si>
  <si>
    <t>271011/75898</t>
  </si>
  <si>
    <t>0010100002001041</t>
  </si>
  <si>
    <t>1301010000820460</t>
  </si>
  <si>
    <t>SUK BAHADUR RAI/HEET KUMARI RAI</t>
  </si>
  <si>
    <t>DAMBAR BAHADUR RAI/SABITA POUDEL</t>
  </si>
  <si>
    <t>0469711794</t>
  </si>
  <si>
    <t>30449703220012</t>
  </si>
  <si>
    <t>1301400000025568</t>
  </si>
  <si>
    <t>SHREE PRASAD CHUDAL</t>
  </si>
  <si>
    <t>JAYA NARAYAN CHUDAL</t>
  </si>
  <si>
    <t>DILLI RAM CHUDAL</t>
  </si>
  <si>
    <t>357428</t>
  </si>
  <si>
    <t>037011050000182</t>
  </si>
  <si>
    <t>1301070001012380</t>
  </si>
  <si>
    <t>MAMITA KHATRI</t>
  </si>
  <si>
    <t>OLAK BAHADUR KHATRI</t>
  </si>
  <si>
    <t>RAJU KUMAR KHADKA</t>
  </si>
  <si>
    <t>525</t>
  </si>
  <si>
    <t>08223007293</t>
  </si>
  <si>
    <t>1301590000648813</t>
  </si>
  <si>
    <t>BIR BAHADUR GURUNG</t>
  </si>
  <si>
    <t>THAK BAHADUR GURUNG</t>
  </si>
  <si>
    <t>44-01-74-08252</t>
  </si>
  <si>
    <t>0010158984100014</t>
  </si>
  <si>
    <t>1301570000001665</t>
  </si>
  <si>
    <t>Shant Bahadur Shah</t>
  </si>
  <si>
    <t>Man Bahadur Shah</t>
  </si>
  <si>
    <t>Paru Shah</t>
  </si>
  <si>
    <t>6781</t>
  </si>
  <si>
    <t>00211900510133000001</t>
  </si>
  <si>
    <t>1301570000001671</t>
  </si>
  <si>
    <t>Hema Singh</t>
  </si>
  <si>
    <t>Bishnu Bahadur Singh</t>
  </si>
  <si>
    <t>Lal Bahadur Singh</t>
  </si>
  <si>
    <t>15821</t>
  </si>
  <si>
    <t>00211900509767000001</t>
  </si>
  <si>
    <t>1301090000198089</t>
  </si>
  <si>
    <t>VIJAYANANDA VAIDYA</t>
  </si>
  <si>
    <t>GAYANANDA VAIDYA</t>
  </si>
  <si>
    <t>CHHATRANANDA VAIDYA / SHANTI VAIDYA</t>
  </si>
  <si>
    <t>467/10216</t>
  </si>
  <si>
    <t>03208010000003</t>
  </si>
  <si>
    <t>1301060000370209</t>
  </si>
  <si>
    <t>MOON SHRESTHA</t>
  </si>
  <si>
    <t>RANENDRA PRAKASH BAHADUR SHRESTHA</t>
  </si>
  <si>
    <t>ANIL MAN SHRESTHA</t>
  </si>
  <si>
    <t>245/5599</t>
  </si>
  <si>
    <t>04005120260435</t>
  </si>
  <si>
    <t>1301650000190475</t>
  </si>
  <si>
    <t>BISHOW RAJ BHANDARI</t>
  </si>
  <si>
    <t>KHAGARAJ BHANDARI/LILADEVI BHANDARI</t>
  </si>
  <si>
    <t>GAJADHAR BHANDARI</t>
  </si>
  <si>
    <t>461035/252</t>
  </si>
  <si>
    <t>3430100090959011</t>
  </si>
  <si>
    <t>1301530000588570</t>
  </si>
  <si>
    <t>ARUN GHIMIRE</t>
  </si>
  <si>
    <t>DAMODAR GHIMIRE/KAMALA GHIMIRE</t>
  </si>
  <si>
    <t>RUDRA PRASAD GHIMIRE/POOJA DAHAL</t>
  </si>
  <si>
    <t>107696</t>
  </si>
  <si>
    <t>00405010062498</t>
  </si>
  <si>
    <t>1301490000007506</t>
  </si>
  <si>
    <t>ASIAN LIFE INSURANCE CO.  LTD. ASIAN</t>
  </si>
  <si>
    <t>00734008112</t>
  </si>
  <si>
    <t>1301240001297275</t>
  </si>
  <si>
    <t>RAMKESI GHISING</t>
  </si>
  <si>
    <t>KARNA BAHADUR GHISING</t>
  </si>
  <si>
    <t>MAN BAHADUR GHISING</t>
  </si>
  <si>
    <t>211041/19238</t>
  </si>
  <si>
    <t>1150965332205001</t>
  </si>
  <si>
    <t>1301740000039336</t>
  </si>
  <si>
    <t>SUSHILA KUMARI MAHARJAN</t>
  </si>
  <si>
    <t>SURYA NARAYAN MAHARJAN</t>
  </si>
  <si>
    <t>RAM BAHADUR MAHARJAN</t>
  </si>
  <si>
    <t>8171/052/52</t>
  </si>
  <si>
    <t>01107800080623000001</t>
  </si>
  <si>
    <t>1301120005025287</t>
  </si>
  <si>
    <t>DEEPAK BASNET</t>
  </si>
  <si>
    <t>89166</t>
  </si>
  <si>
    <t>03307010061144</t>
  </si>
  <si>
    <t>1301170001064003</t>
  </si>
  <si>
    <t>BASANTA ROKAYA</t>
  </si>
  <si>
    <t>DHAN BAHADUR ROKAYA</t>
  </si>
  <si>
    <t>RATNA ROKAYA</t>
  </si>
  <si>
    <t>57-1-011/8365</t>
  </si>
  <si>
    <t>0420100000799027</t>
  </si>
  <si>
    <t>1301100002643377</t>
  </si>
  <si>
    <t>PRAKSI BASNET</t>
  </si>
  <si>
    <t>PRAKASH BASNET/PRAVA KHATIWADA</t>
  </si>
  <si>
    <t>KAMAL BAHADUR BASNET</t>
  </si>
  <si>
    <t>2079012802379</t>
  </si>
  <si>
    <t>0790187763200019</t>
  </si>
  <si>
    <t>1301040002072147</t>
  </si>
  <si>
    <t>KENDRIKA NEUPANE</t>
  </si>
  <si>
    <t>KEDAR PRASAD NEUPANE/GAURI NEUPANE</t>
  </si>
  <si>
    <t>/KRISHNA PRASAD NEUPANE</t>
  </si>
  <si>
    <t>22-02-75-02166</t>
  </si>
  <si>
    <t>00410017521521</t>
  </si>
  <si>
    <t>1301060003297446</t>
  </si>
  <si>
    <t>MAYA RANA</t>
  </si>
  <si>
    <t>RUP BAHADUR RANA</t>
  </si>
  <si>
    <t>BAHADUR RANA</t>
  </si>
  <si>
    <t>93495</t>
  </si>
  <si>
    <t>09905080042529</t>
  </si>
  <si>
    <t>1301100001583057</t>
  </si>
  <si>
    <t>BHUWAN BAHADUR CHAUDHARY</t>
  </si>
  <si>
    <t>PUNARAM CHAUDHARY/PARWATI CHAUDHARY</t>
  </si>
  <si>
    <t>KESHAV CHAUDHARY</t>
  </si>
  <si>
    <t>751003/17083</t>
  </si>
  <si>
    <t>1180091992300012</t>
  </si>
  <si>
    <t>1301610001874317</t>
  </si>
  <si>
    <t>DIVES PANGENI</t>
  </si>
  <si>
    <t>DEL PRASAD PANGENI</t>
  </si>
  <si>
    <t>BOD RAJ PANGENI</t>
  </si>
  <si>
    <t>422012/753</t>
  </si>
  <si>
    <t>0180993944300024</t>
  </si>
  <si>
    <t>1301370007609542</t>
  </si>
  <si>
    <t>BISHAL KC</t>
  </si>
  <si>
    <t>MAN BAHADUR KC</t>
  </si>
  <si>
    <t>GAGENDRA BAHADUR KC</t>
  </si>
  <si>
    <t>121042/831</t>
  </si>
  <si>
    <t>0065753016197001</t>
  </si>
  <si>
    <t>1301480000006220</t>
  </si>
  <si>
    <t>SACHET DAS TULADHAR</t>
  </si>
  <si>
    <t>CHANDRA DAS TULADHAR</t>
  </si>
  <si>
    <t>SUKRA DAS TULADHAR</t>
  </si>
  <si>
    <t>1060/58732</t>
  </si>
  <si>
    <t>01615262026</t>
  </si>
  <si>
    <t>1301310000004871</t>
  </si>
  <si>
    <t>SAROJ DAHAL</t>
  </si>
  <si>
    <t>RUDRA PRASAD DAHAL</t>
  </si>
  <si>
    <t>RAM PRASAD DAHAL</t>
  </si>
  <si>
    <t>12073/059</t>
  </si>
  <si>
    <t>00107010042996</t>
  </si>
  <si>
    <t>1301260000097470</t>
  </si>
  <si>
    <t>GHANSHYAM POKHREL</t>
  </si>
  <si>
    <t>MUKTI RAM POKHREL</t>
  </si>
  <si>
    <t>NILAKANTHA UPADHYA</t>
  </si>
  <si>
    <t>522029/5793</t>
  </si>
  <si>
    <t>0350033008100011</t>
  </si>
  <si>
    <t>1301070001896203</t>
  </si>
  <si>
    <t>Kamal Basnet</t>
  </si>
  <si>
    <t>Lila Bahadur Basnet</t>
  </si>
  <si>
    <t>Ambar Bahadur Basnet</t>
  </si>
  <si>
    <t>11-01-74-00928</t>
  </si>
  <si>
    <t>09520007973</t>
  </si>
  <si>
    <t>1301060003339667</t>
  </si>
  <si>
    <t>MANOJ PRASAD KHATIWADA</t>
  </si>
  <si>
    <t>TULASI PRASAD KHATIWADA/INDIRA KHATIWADA</t>
  </si>
  <si>
    <t>AMAR DAS KHATIWADA</t>
  </si>
  <si>
    <t>87/044</t>
  </si>
  <si>
    <t>01305050140973</t>
  </si>
  <si>
    <t>1301610000296906</t>
  </si>
  <si>
    <t>MATHURA KUMAR SHRESTHA</t>
  </si>
  <si>
    <t>SHIVA KUMAR SHRESTHA</t>
  </si>
  <si>
    <t>PRABHU NARYAN SHRESTHA</t>
  </si>
  <si>
    <t>114597</t>
  </si>
  <si>
    <t>1310083080600018</t>
  </si>
  <si>
    <t>1301060000104247</t>
  </si>
  <si>
    <t>PRAMOD KUMAR AGRAWAL</t>
  </si>
  <si>
    <t>BABULAL AGRAWAL</t>
  </si>
  <si>
    <t>BAUDHRAM AGRAWAL</t>
  </si>
  <si>
    <t>160306281</t>
  </si>
  <si>
    <t>01013000054553000010</t>
  </si>
  <si>
    <t>1301090001071732</t>
  </si>
  <si>
    <t>AAYUSHMAN NIDHI TIWARI</t>
  </si>
  <si>
    <t>PRAVIN NIDHI TIWARI</t>
  </si>
  <si>
    <t>KRISHNA NIDHI TIWARI</t>
  </si>
  <si>
    <t>2067011900013</t>
  </si>
  <si>
    <t>00115381156</t>
  </si>
  <si>
    <t>1301100001515085</t>
  </si>
  <si>
    <t>CHANDRAKALA MAHATO</t>
  </si>
  <si>
    <t>RAJ KUMAR MAHATO</t>
  </si>
  <si>
    <t>BAHADUR MAHATO</t>
  </si>
  <si>
    <t>18-1-073-538</t>
  </si>
  <si>
    <t>0820066849900015</t>
  </si>
  <si>
    <t>1301060000123306</t>
  </si>
  <si>
    <t>AYUSHMAN AGRAWAL</t>
  </si>
  <si>
    <t>PRAMOD KR AGRAWAL</t>
  </si>
  <si>
    <t>34017004206</t>
  </si>
  <si>
    <t>01013000098895000005</t>
  </si>
  <si>
    <t>1301090001071713</t>
  </si>
  <si>
    <t>ANANYA TIWARI</t>
  </si>
  <si>
    <t>2062122800012</t>
  </si>
  <si>
    <t>00115381324</t>
  </si>
  <si>
    <t>1301010000472026</t>
  </si>
  <si>
    <t>BINDU SUBEDI</t>
  </si>
  <si>
    <t>INDRA PRASAD SUBEDI</t>
  </si>
  <si>
    <t>MOTI PRASAD SUBEDI</t>
  </si>
  <si>
    <t>511023/443</t>
  </si>
  <si>
    <t>3430100105955010</t>
  </si>
  <si>
    <t>1301060000123331</t>
  </si>
  <si>
    <t>SAKSHI AGRAWAL</t>
  </si>
  <si>
    <t>341022/3411</t>
  </si>
  <si>
    <t>01013000056228000009</t>
  </si>
  <si>
    <t>1301060000123344</t>
  </si>
  <si>
    <t>CHITRA KUMARI AGRAWAL</t>
  </si>
  <si>
    <t>BHOLARAM AGRAWAL</t>
  </si>
  <si>
    <t>RAM RATAN RAM AGRAWAL/PRAMOD KR AGRAWAL</t>
  </si>
  <si>
    <t>3535</t>
  </si>
  <si>
    <t>01013000086965000006</t>
  </si>
  <si>
    <t>1301090000853514</t>
  </si>
  <si>
    <t>PRAKASH KHATRI</t>
  </si>
  <si>
    <t>DOL BAHADUR KHATRI</t>
  </si>
  <si>
    <t>22  221014-395</t>
  </si>
  <si>
    <t>02415173591</t>
  </si>
  <si>
    <t>1301060000585477</t>
  </si>
  <si>
    <t>SHIKHAR INSURANCE CO LTD .</t>
  </si>
  <si>
    <t>03601040258555</t>
  </si>
  <si>
    <t>1301100001735521</t>
  </si>
  <si>
    <t>AAYUSHI SINGH</t>
  </si>
  <si>
    <t>RAM BARAN MAHATO</t>
  </si>
  <si>
    <t>RAMNATH MAHATO</t>
  </si>
  <si>
    <t>0820154623500015</t>
  </si>
  <si>
    <t>1301060002386562</t>
  </si>
  <si>
    <t>SARINA SHERPA</t>
  </si>
  <si>
    <t>MINDU SHERPA</t>
  </si>
  <si>
    <t>NIMA LAKPA SHERPA</t>
  </si>
  <si>
    <t>10-11-74/00405</t>
  </si>
  <si>
    <t>02405120268257</t>
  </si>
  <si>
    <t>1301440000288266</t>
  </si>
  <si>
    <t>BHISMA RAJ KHAREL</t>
  </si>
  <si>
    <t>YAGYA PRASAD KHAREL</t>
  </si>
  <si>
    <t>HARI PRASAD KHAREL</t>
  </si>
  <si>
    <t>011048/217</t>
  </si>
  <si>
    <t>03609015000501</t>
  </si>
  <si>
    <t>1301100000031561</t>
  </si>
  <si>
    <t>YAGYA BAHADUR MALLA</t>
  </si>
  <si>
    <t>DIRGHA MAN MALLA</t>
  </si>
  <si>
    <t>1298</t>
  </si>
  <si>
    <t>00120500199899000001</t>
  </si>
  <si>
    <t>1301120004985812</t>
  </si>
  <si>
    <t>SATBRIDDHI INVESTMENT PVT. LTD .</t>
  </si>
  <si>
    <t>30101010005159</t>
  </si>
  <si>
    <t>1301100002964018</t>
  </si>
  <si>
    <t>AAYAN SINGH</t>
  </si>
  <si>
    <t>RAMBARAN MAHATO</t>
  </si>
  <si>
    <t>2079072606918</t>
  </si>
  <si>
    <t>0820210172000014</t>
  </si>
  <si>
    <t>1301010001009829</t>
  </si>
  <si>
    <t>JHABILAL ACHARYA</t>
  </si>
  <si>
    <t>10719/8028/3756</t>
  </si>
  <si>
    <t>21853123100018</t>
  </si>
  <si>
    <t>1301370007726565</t>
  </si>
  <si>
    <t>CHHIRING LAL GHALE</t>
  </si>
  <si>
    <t>PHURBA GHALE</t>
  </si>
  <si>
    <t>BATTE GHALE</t>
  </si>
  <si>
    <t>44-03-73-00164</t>
  </si>
  <si>
    <t>0711586573055001</t>
  </si>
  <si>
    <t>1301010001009852</t>
  </si>
  <si>
    <t>RUPIN ACHARYA</t>
  </si>
  <si>
    <t>2066092601113</t>
  </si>
  <si>
    <t>21854924530013</t>
  </si>
  <si>
    <t>1301090004238306</t>
  </si>
  <si>
    <t>SAMIR BISHOWKARMA</t>
  </si>
  <si>
    <t>YAM BAHADUR BK/KALPANA BISHOWKARMA</t>
  </si>
  <si>
    <t>LAL BAHADUR BK</t>
  </si>
  <si>
    <t>422044/740</t>
  </si>
  <si>
    <t>55503587967</t>
  </si>
  <si>
    <t>1301550000109384</t>
  </si>
  <si>
    <t>KRISHNA KARKI</t>
  </si>
  <si>
    <t>RUDRA BAHADUR KARKI</t>
  </si>
  <si>
    <t>GANGA BAHADUR KARKI</t>
  </si>
  <si>
    <t>511018/154</t>
  </si>
  <si>
    <t>A687929380524001</t>
  </si>
  <si>
    <t>1301010001009867</t>
  </si>
  <si>
    <t>BINDU GHIMIRE</t>
  </si>
  <si>
    <t>MINRAJ GHIMIRE</t>
  </si>
  <si>
    <t>NARAYAN PRASAD GHIMIRE</t>
  </si>
  <si>
    <t>9549</t>
  </si>
  <si>
    <t>21855520290015</t>
  </si>
  <si>
    <t>1301060000244319</t>
  </si>
  <si>
    <t>SHRISTINA SHAKYA</t>
  </si>
  <si>
    <t>SAMEK RATNA SHAKYA</t>
  </si>
  <si>
    <t>SUJIN SHAKYA</t>
  </si>
  <si>
    <t>95279</t>
  </si>
  <si>
    <t>00105080434690</t>
  </si>
  <si>
    <t>1301060000111953</t>
  </si>
  <si>
    <t>RAJESH KUMAR AGRAWAL</t>
  </si>
  <si>
    <t>DUDHRAM AGRAWAL/RENU AGRAWAL</t>
  </si>
  <si>
    <t>160316981</t>
  </si>
  <si>
    <t>01013000099086000003</t>
  </si>
  <si>
    <t>1301520001701809</t>
  </si>
  <si>
    <t>NARAYAN BIKRAM ACHARYA</t>
  </si>
  <si>
    <t>TEK BAHADUR ACHARYA / TIKA DEVI ACHARYA</t>
  </si>
  <si>
    <t>HARICHARAN ACHARYA</t>
  </si>
  <si>
    <t>54493589</t>
  </si>
  <si>
    <t>1180212363100001</t>
  </si>
  <si>
    <t>1301070001803789</t>
  </si>
  <si>
    <t>Rivanshu Maharjan</t>
  </si>
  <si>
    <t>Rajendra Maharjan</t>
  </si>
  <si>
    <t>Krishna Maharjan</t>
  </si>
  <si>
    <t>2080030208029</t>
  </si>
  <si>
    <t>2791510621043001</t>
  </si>
  <si>
    <t>1301720001253658</t>
  </si>
  <si>
    <t>KRISHNA MOHAN SAH</t>
  </si>
  <si>
    <t>Ram Sogarath Sah</t>
  </si>
  <si>
    <t>Satya Narayan Sah</t>
  </si>
  <si>
    <t>17-01-80-02849</t>
  </si>
  <si>
    <t>0210202025276013</t>
  </si>
  <si>
    <t>1301060002612422</t>
  </si>
  <si>
    <t>RAM PRASAD BHUSAL</t>
  </si>
  <si>
    <t>MOHANLAL BHUSAL</t>
  </si>
  <si>
    <t>CHAKRAPANI BHUSAL</t>
  </si>
  <si>
    <t>403041/483</t>
  </si>
  <si>
    <t>00905030267762</t>
  </si>
  <si>
    <t>1301370007654661</t>
  </si>
  <si>
    <t>RAMJAN ALI DARJI</t>
  </si>
  <si>
    <t>MO RASID DARJI</t>
  </si>
  <si>
    <t>ABDUL RASID DARJI</t>
  </si>
  <si>
    <t>38/03/74/665</t>
  </si>
  <si>
    <t>3535751860713001</t>
  </si>
  <si>
    <t>1301500000254775</t>
  </si>
  <si>
    <t>AMOD SHRESTHA</t>
  </si>
  <si>
    <t>TORAN DHOJ SHRESTHA/CHAMPAA DEVI SHRESTHA</t>
  </si>
  <si>
    <t>SHONI SHRESTHA/BHUPENDRA SHOR SHRESTHA</t>
  </si>
  <si>
    <t>11956/710</t>
  </si>
  <si>
    <t>11301000000002620580</t>
  </si>
  <si>
    <t>1301170000101138</t>
  </si>
  <si>
    <t>SAMIKA SHRESTHA</t>
  </si>
  <si>
    <t>SANAM KRISHNA SHRESTHA</t>
  </si>
  <si>
    <t>6214</t>
  </si>
  <si>
    <t>00705050004984</t>
  </si>
  <si>
    <t>1301120002739361</t>
  </si>
  <si>
    <t>HIM LAL PANDEY</t>
  </si>
  <si>
    <t>CHINTA MANI PANDEY</t>
  </si>
  <si>
    <t>SAKUNTALA PANDEY</t>
  </si>
  <si>
    <t>37-02-74-10600</t>
  </si>
  <si>
    <t>24507010002663</t>
  </si>
  <si>
    <t>1301570000958649</t>
  </si>
  <si>
    <t>ALISH KUMAR SINGH</t>
  </si>
  <si>
    <t>LAL BABU MAHATO/RAJBATI MAHATO</t>
  </si>
  <si>
    <t>HIRALAL MAHATO</t>
  </si>
  <si>
    <t>193019/291</t>
  </si>
  <si>
    <t>00201500526206000001</t>
  </si>
  <si>
    <t>1301070000234033</t>
  </si>
  <si>
    <t>Yasodha Khatri</t>
  </si>
  <si>
    <t>Sher Bdr Khatri</t>
  </si>
  <si>
    <t>Khagendra Rijal</t>
  </si>
  <si>
    <t>053009/436</t>
  </si>
  <si>
    <t>0780087189100012</t>
  </si>
  <si>
    <t>1301120002673444</t>
  </si>
  <si>
    <t>PRADIP KATUWAL</t>
  </si>
  <si>
    <t>RAM KUMAR KATUWAL</t>
  </si>
  <si>
    <t>BOUDHIMAN KATUWAL</t>
  </si>
  <si>
    <t>10-01-74-01457</t>
  </si>
  <si>
    <t>00807010014761</t>
  </si>
  <si>
    <t>1301790000149281</t>
  </si>
  <si>
    <t>LAXMI DEVI MANANDHAR</t>
  </si>
  <si>
    <t>KRISHNA MAN MANANDHAR/CHANDRA MAYA MANANDHAR</t>
  </si>
  <si>
    <t>NHUCHE MAN MANANDHAR</t>
  </si>
  <si>
    <t>2243/30948</t>
  </si>
  <si>
    <t>05011100277889000001</t>
  </si>
  <si>
    <t>1301720001218912</t>
  </si>
  <si>
    <t>MANAN NEUPANE</t>
  </si>
  <si>
    <t>UTSAV NEUPANE</t>
  </si>
  <si>
    <t>BHUMI KUMAR NEUPANE</t>
  </si>
  <si>
    <t>2079010608265</t>
  </si>
  <si>
    <t>0100205337110019</t>
  </si>
  <si>
    <t>1301290000001387</t>
  </si>
  <si>
    <t>NARAYANI DEVI SHRESTHA</t>
  </si>
  <si>
    <t>SHER BAHADUR SHRESTHA</t>
  </si>
  <si>
    <t>HUSBANDS'  ARUN BADE SHRESTHA</t>
  </si>
  <si>
    <t>1130</t>
  </si>
  <si>
    <t>01900263720045</t>
  </si>
  <si>
    <t>1301090003951191</t>
  </si>
  <si>
    <t>ANJIT BISTA</t>
  </si>
  <si>
    <t>LAXMAN BISTA</t>
  </si>
  <si>
    <t>MAN DHOJ BISTA</t>
  </si>
  <si>
    <t>9660</t>
  </si>
  <si>
    <t>00401806010</t>
  </si>
  <si>
    <t>1301570001174665</t>
  </si>
  <si>
    <t>ASHOK KHANAL</t>
  </si>
  <si>
    <t>HARI NARAYAN KHANAL</t>
  </si>
  <si>
    <t>HARI PRASAD KHANAL</t>
  </si>
  <si>
    <t>021004/787</t>
  </si>
  <si>
    <t>14713307444256000002</t>
  </si>
  <si>
    <t>1301370001100158</t>
  </si>
  <si>
    <t>Ramji Mandal Mahato</t>
  </si>
  <si>
    <t>Bishram Mahato Dhanuk</t>
  </si>
  <si>
    <t>Laxman Mahato Dhanuk</t>
  </si>
  <si>
    <t>1731/1991</t>
  </si>
  <si>
    <t>5855361970524001</t>
  </si>
  <si>
    <t>1301060000040823</t>
  </si>
  <si>
    <t>KUL RAJ PANDEY</t>
  </si>
  <si>
    <t>5184</t>
  </si>
  <si>
    <t>3263969544524001</t>
  </si>
  <si>
    <t>1301100002891843</t>
  </si>
  <si>
    <t>NIL SINGH</t>
  </si>
  <si>
    <t>SUBHASH CHANDRA PRASAD KOIRI</t>
  </si>
  <si>
    <t>SUKDEV PRASAD KOIRI</t>
  </si>
  <si>
    <t>15-01-76-00399</t>
  </si>
  <si>
    <t>2150216337600015</t>
  </si>
  <si>
    <t>1301650001761683</t>
  </si>
  <si>
    <t>JANGA BAHADUR TAMANG</t>
  </si>
  <si>
    <t>DILI BAHADUR TAMANG</t>
  </si>
  <si>
    <t>KIRTIMAN TAMANG/BATIKALA RAI(TAMANG)</t>
  </si>
  <si>
    <t>24058</t>
  </si>
  <si>
    <t>2450100001296010</t>
  </si>
  <si>
    <t>1301120005205515</t>
  </si>
  <si>
    <t>JENISH RANA MAGAR</t>
  </si>
  <si>
    <t>GYAN BAHADUR RANA MAGAR</t>
  </si>
  <si>
    <t>TEK BAHADUR RANA MAGAR</t>
  </si>
  <si>
    <t>43-01-78-00053</t>
  </si>
  <si>
    <t>32707010008464</t>
  </si>
  <si>
    <t>1301100000440428</t>
  </si>
  <si>
    <t>KESHAV KUMAR NEUPANE</t>
  </si>
  <si>
    <t>DILLI RAM NEUPANE</t>
  </si>
  <si>
    <t>HEMLAL NEUPANE</t>
  </si>
  <si>
    <t>15257</t>
  </si>
  <si>
    <t>00121500190670000001</t>
  </si>
  <si>
    <t>1301100000533067</t>
  </si>
  <si>
    <t>SALONIKA NEUPANE</t>
  </si>
  <si>
    <t>DLLI PRASAD NEUPANE</t>
  </si>
  <si>
    <t>1060/51084</t>
  </si>
  <si>
    <t>07224300551934000001</t>
  </si>
  <si>
    <t>1301580000885219</t>
  </si>
  <si>
    <t>SHRISTI G.C.</t>
  </si>
  <si>
    <t>BHUPENDRA G.C./GEETA G.C.</t>
  </si>
  <si>
    <t>KHADGA BAHADUR G.C.</t>
  </si>
  <si>
    <t>46-02-74-01814</t>
  </si>
  <si>
    <t>001011090002072</t>
  </si>
  <si>
    <t>1301090000029357</t>
  </si>
  <si>
    <t>SILAM RANJIT SHRESTHA</t>
  </si>
  <si>
    <t>MADAN RAM RANJIT</t>
  </si>
  <si>
    <t>HARKHA BAHADUR RANJIT</t>
  </si>
  <si>
    <t>720/2996</t>
  </si>
  <si>
    <t>00810015346018</t>
  </si>
  <si>
    <t>1301730000767234</t>
  </si>
  <si>
    <t>SAMAYARA SHRESTHA</t>
  </si>
  <si>
    <t>SANDIPSHRESTHA/SUJATAKHETAN</t>
  </si>
  <si>
    <t>NARAYANSHRESTHA</t>
  </si>
  <si>
    <t>2072082507879</t>
  </si>
  <si>
    <t>14205350004398</t>
  </si>
  <si>
    <t>1301600000886201</t>
  </si>
  <si>
    <t>SUMAN KHADKA</t>
  </si>
  <si>
    <t>BASUDEV KHADKA/GOMA KHADKA</t>
  </si>
  <si>
    <t>DIL BAHADUR KHADKA</t>
  </si>
  <si>
    <t>22-01-71-01836</t>
  </si>
  <si>
    <t>3097050301900018</t>
  </si>
  <si>
    <t>1301110000028931</t>
  </si>
  <si>
    <t>MD RIJWAN ALAM ANSARI</t>
  </si>
  <si>
    <t>JALE ALAM ANSARI</t>
  </si>
  <si>
    <t>RAMJAN MIYA ANSARI</t>
  </si>
  <si>
    <t>341022/1459</t>
  </si>
  <si>
    <t>30108010002140</t>
  </si>
  <si>
    <t>1301370001044465</t>
  </si>
  <si>
    <t>Krishna Bahadur Paudel</t>
  </si>
  <si>
    <t>Lal Bahadur Paudel</t>
  </si>
  <si>
    <t>Devi Bahadur Paudel</t>
  </si>
  <si>
    <t>53891/54891</t>
  </si>
  <si>
    <t>2340100001030010</t>
  </si>
  <si>
    <t>1301440000225357</t>
  </si>
  <si>
    <t>DINESH THAPA MAGAR</t>
  </si>
  <si>
    <t>AGAM BAHADUR THAPA MAGAR</t>
  </si>
  <si>
    <t>SAN MAN THAPA MAGAR</t>
  </si>
  <si>
    <t>121023/63</t>
  </si>
  <si>
    <t>03309015019363</t>
  </si>
  <si>
    <t>1301770000591967</t>
  </si>
  <si>
    <t>HIRA KUMAR SHRESTHA</t>
  </si>
  <si>
    <t>ASTA KUMAR SHRESTHA/PABITRA DEVI SHRESTHA</t>
  </si>
  <si>
    <t>SATYA LAL SHRESTHA</t>
  </si>
  <si>
    <t>2932044</t>
  </si>
  <si>
    <t>1301090002160182</t>
  </si>
  <si>
    <t>MENUKA LAMICHHANE</t>
  </si>
  <si>
    <t>DILLI PRASAD/GUN KUMARI LAMICHHANE</t>
  </si>
  <si>
    <t>BHADRA LAL LAMICHHANE/ PRADIP KHADKA</t>
  </si>
  <si>
    <t>441008/118</t>
  </si>
  <si>
    <t>01616565280</t>
  </si>
  <si>
    <t>1301120001364944</t>
  </si>
  <si>
    <t>SUKADEV BELBASE</t>
  </si>
  <si>
    <t>TARAPATI BELBASE</t>
  </si>
  <si>
    <t>BHUBAND BELBASE</t>
  </si>
  <si>
    <t>6642/3872</t>
  </si>
  <si>
    <t>04907010001564</t>
  </si>
  <si>
    <t>1301520001092403</t>
  </si>
  <si>
    <t>SONAM JANGBU SHERPA</t>
  </si>
  <si>
    <t>LHAKPA TENZIN SHERPA</t>
  </si>
  <si>
    <t>SONAM TENGIN SHERPA</t>
  </si>
  <si>
    <t>112002/135</t>
  </si>
  <si>
    <t>0530051891400001</t>
  </si>
  <si>
    <t>1301440000408487</t>
  </si>
  <si>
    <t>JYOTI RAI</t>
  </si>
  <si>
    <t>JANGA BAHADUR RAI</t>
  </si>
  <si>
    <t>ABIR MAN RAI</t>
  </si>
  <si>
    <t>122017/371</t>
  </si>
  <si>
    <t>03607010299312</t>
  </si>
  <si>
    <t>1301120003354276</t>
  </si>
  <si>
    <t>MD MAHABUL RAYEEN</t>
  </si>
  <si>
    <t>ELAHI KAWARI</t>
  </si>
  <si>
    <t>BIPTALI KAWARI</t>
  </si>
  <si>
    <t>173081/360</t>
  </si>
  <si>
    <t>04407010002191</t>
  </si>
  <si>
    <t>1301650000150370</t>
  </si>
  <si>
    <t>SHIV NARAYAN DAS TATMA</t>
  </si>
  <si>
    <t>SHIVA BALAK DAS TATMA/RAMBHA DEVI</t>
  </si>
  <si>
    <t>CHHATHU DAS TATMA</t>
  </si>
  <si>
    <t>331092/49773</t>
  </si>
  <si>
    <t>1310100001091104</t>
  </si>
  <si>
    <t>1301040003069978</t>
  </si>
  <si>
    <t>RABINDRA PANT</t>
  </si>
  <si>
    <t>MANORATH  PANT</t>
  </si>
  <si>
    <t>KALURAM PANT</t>
  </si>
  <si>
    <t>75-01-70-02436</t>
  </si>
  <si>
    <t>02910017516115</t>
  </si>
  <si>
    <t>1301370006938332</t>
  </si>
  <si>
    <t>ADARSH KUMAR THAKUR</t>
  </si>
  <si>
    <t>GIRAJANANDA THAKUR BRAHAMAR</t>
  </si>
  <si>
    <t>MAHADEV THAKUR</t>
  </si>
  <si>
    <t>162004-384</t>
  </si>
  <si>
    <t>2335759469513001</t>
  </si>
  <si>
    <t>1301350000031566</t>
  </si>
  <si>
    <t>SADIKSHYA PATHAK</t>
  </si>
  <si>
    <t>DAL BAHADUR PATHAK</t>
  </si>
  <si>
    <t>SAROJ ACHARYA</t>
  </si>
  <si>
    <t>271060/8657/110</t>
  </si>
  <si>
    <t>01205080584180</t>
  </si>
  <si>
    <t>1301100002765651</t>
  </si>
  <si>
    <t>RASMILA KAMAR KUNWAR</t>
  </si>
  <si>
    <t>CHANDRA BAHADUR KAMAR/DURGA KUMARI KAMAR</t>
  </si>
  <si>
    <t>JHANAK BAHADUR KAMAR/BISHOW PRAKASH KUNWAR</t>
  </si>
  <si>
    <t>441001/2383</t>
  </si>
  <si>
    <t>1630111921500011</t>
  </si>
  <si>
    <t>1301370007905920</t>
  </si>
  <si>
    <t>PRADEEP BOTE</t>
  </si>
  <si>
    <t>BUDDHIRAM BOTE</t>
  </si>
  <si>
    <t>JEENA RAI BOTE</t>
  </si>
  <si>
    <t>36652</t>
  </si>
  <si>
    <t>I287015056052401</t>
  </si>
  <si>
    <t>1301170000140471</t>
  </si>
  <si>
    <t>RAM HARI SAPKOTA</t>
  </si>
  <si>
    <t>HARE RAM SAPKOTA</t>
  </si>
  <si>
    <t>KHADANANDA SAPKOTA</t>
  </si>
  <si>
    <t>8514</t>
  </si>
  <si>
    <t>0060100000089009</t>
  </si>
  <si>
    <t>1301120004222166</t>
  </si>
  <si>
    <t>RAJEEV MANDAL</t>
  </si>
  <si>
    <t>KASI LAL MANDAL</t>
  </si>
  <si>
    <t>26/19495</t>
  </si>
  <si>
    <t>06307010005042</t>
  </si>
  <si>
    <t>1301650002245011</t>
  </si>
  <si>
    <t>GANESH KUMAR SHAH</t>
  </si>
  <si>
    <t>DINA NATH SHAH</t>
  </si>
  <si>
    <t>SONE LAL SHAH/</t>
  </si>
  <si>
    <t>07018001537</t>
  </si>
  <si>
    <t>2550100058812010</t>
  </si>
  <si>
    <t>1301720000883691</t>
  </si>
  <si>
    <t>PUJAN PUN</t>
  </si>
  <si>
    <t>TAR SHING PUN</t>
  </si>
  <si>
    <t>GANGA RAM PUN</t>
  </si>
  <si>
    <t>122</t>
  </si>
  <si>
    <t>0919801762441011</t>
  </si>
  <si>
    <t>1301390000044282</t>
  </si>
  <si>
    <t>RANGIN RAJ SHRESTHA</t>
  </si>
  <si>
    <t>ASHA KAJI SHRESTHA</t>
  </si>
  <si>
    <t>MAN KAJI SHRESTHA</t>
  </si>
  <si>
    <t>23925</t>
  </si>
  <si>
    <t>0170017414500011</t>
  </si>
  <si>
    <t>1301260002761597</t>
  </si>
  <si>
    <t>MOHAMMAD JAKIR ALI</t>
  </si>
  <si>
    <t>MOHAMMAD RAHAMAT ALI/HUSNA BANU</t>
  </si>
  <si>
    <t>FARJAN ALI</t>
  </si>
  <si>
    <t>76783301</t>
  </si>
  <si>
    <t>0340178005100012</t>
  </si>
  <si>
    <t>1301720000883708</t>
  </si>
  <si>
    <t>KHUSHBU PUN</t>
  </si>
  <si>
    <t>123</t>
  </si>
  <si>
    <t>0919801762414014</t>
  </si>
  <si>
    <t>1301120005371630</t>
  </si>
  <si>
    <t>SARITA PANTA</t>
  </si>
  <si>
    <t>SHREE MEGHARAJ PANTA</t>
  </si>
  <si>
    <t>PURSHOTTAM PANTA</t>
  </si>
  <si>
    <t>503022/313</t>
  </si>
  <si>
    <t>23907010067810</t>
  </si>
  <si>
    <t>1301690000935364</t>
  </si>
  <si>
    <t>SARTHAK TIWARI</t>
  </si>
  <si>
    <t>DILLIRAM TIWARI/ARATI SHARMA</t>
  </si>
  <si>
    <t>UDAYARAM TIWARI</t>
  </si>
  <si>
    <t>2073111014663</t>
  </si>
  <si>
    <t>17901000000137501656</t>
  </si>
  <si>
    <t>1301590000215361</t>
  </si>
  <si>
    <t>AMAN RAUNIYAR</t>
  </si>
  <si>
    <t>RAMCHANDRA PRASAD RAUNIYAR</t>
  </si>
  <si>
    <t>MUNESHWOR RAM RAUNIYAR</t>
  </si>
  <si>
    <t>162009/169</t>
  </si>
  <si>
    <t>3110017517589</t>
  </si>
  <si>
    <t>1301770000562528</t>
  </si>
  <si>
    <t>SUDARSAN TIWARI</t>
  </si>
  <si>
    <t>DILLI RAM TIWARI</t>
  </si>
  <si>
    <t>2080022306526</t>
  </si>
  <si>
    <t>06821726670019</t>
  </si>
  <si>
    <t>1301060000773729</t>
  </si>
  <si>
    <t>KESHAV KUMAR SUNUWAR</t>
  </si>
  <si>
    <t>GADULDHOJ SUNUWAR</t>
  </si>
  <si>
    <t>MANISHA SUNUWAR</t>
  </si>
  <si>
    <t>46534/39967</t>
  </si>
  <si>
    <t>0170035399400012</t>
  </si>
  <si>
    <t>1301260001114680</t>
  </si>
  <si>
    <t>BHAWANA RANA</t>
  </si>
  <si>
    <t>THAMAN SINGH RANA/SUMITRA RANA</t>
  </si>
  <si>
    <t>CHANDRA SINGH RANA</t>
  </si>
  <si>
    <t>37-02-72-04097</t>
  </si>
  <si>
    <t>0020103661300013</t>
  </si>
  <si>
    <t>1301710000017492</t>
  </si>
  <si>
    <t>ARJUN LAMA</t>
  </si>
  <si>
    <t>PREM BAHADUR LAMA/SUN MAYA LAMA</t>
  </si>
  <si>
    <t>MINDU LAMA</t>
  </si>
  <si>
    <t>263045/281</t>
  </si>
  <si>
    <t>00605109580018</t>
  </si>
  <si>
    <t>1301120004767453</t>
  </si>
  <si>
    <t>BIKASH NEPALI SARKI</t>
  </si>
  <si>
    <t>DIL BAHADUR SARKI</t>
  </si>
  <si>
    <t>BUDDHI BAHADUR SARKI</t>
  </si>
  <si>
    <t>453018/92</t>
  </si>
  <si>
    <t>09707010049203</t>
  </si>
  <si>
    <t>1301060003389934</t>
  </si>
  <si>
    <t>TANAY AGRAWAL</t>
  </si>
  <si>
    <t>MUKESH AGRAWAL</t>
  </si>
  <si>
    <t>PREM KUMAR AGRAWAL</t>
  </si>
  <si>
    <t>05-01-80-05303</t>
  </si>
  <si>
    <t>00105150264655</t>
  </si>
  <si>
    <t>1301100002080101</t>
  </si>
  <si>
    <t>SABITRI THAPAMAGAR</t>
  </si>
  <si>
    <t>GANESH BAHADUR THAPAMAGAR</t>
  </si>
  <si>
    <t>CHANDRA BAHADUR THAPAMAGAR</t>
  </si>
  <si>
    <t>211034/21382</t>
  </si>
  <si>
    <t>0290065513400011</t>
  </si>
  <si>
    <t>1301650001174944</t>
  </si>
  <si>
    <t>GOPI BAHADUR THAPA MAGAR</t>
  </si>
  <si>
    <t>GANESH BAHADUR THAPA MAGAR / TIKA MAYA THAPA MAGAR</t>
  </si>
  <si>
    <t>SABITRI THAPA MAGAR / BHAKTA BAHADUR THAPA MAGAR</t>
  </si>
  <si>
    <t>40795/17900</t>
  </si>
  <si>
    <t>1150100029185010</t>
  </si>
  <si>
    <t>1301250000047599</t>
  </si>
  <si>
    <t>shanti Dhungana (Acharya)</t>
  </si>
  <si>
    <t>Khem Narayan Dhungana</t>
  </si>
  <si>
    <t>Madan Kumar Acharya/ Dilli Ram Dhungana</t>
  </si>
  <si>
    <t>20083</t>
  </si>
  <si>
    <t>3314269417524001</t>
  </si>
  <si>
    <t>1301170000277950</t>
  </si>
  <si>
    <t>SURYA BOHARA</t>
  </si>
  <si>
    <t>CHANDRA BAHADUR BOHARA</t>
  </si>
  <si>
    <t>AGAM BAHADUR BOHARA</t>
  </si>
  <si>
    <t>3944/1133</t>
  </si>
  <si>
    <t>0160100001151027</t>
  </si>
  <si>
    <t>1301650002445541</t>
  </si>
  <si>
    <t>BHIM BAHADUR RAI</t>
  </si>
  <si>
    <t>JUNGA PRASAD RAI/SUMITRA RAI</t>
  </si>
  <si>
    <t>12300185</t>
  </si>
  <si>
    <t>1150100038010010</t>
  </si>
  <si>
    <t>1301170000859801</t>
  </si>
  <si>
    <t>BIBAS G.C.</t>
  </si>
  <si>
    <t>MOBIR GHARTI CHHETRI</t>
  </si>
  <si>
    <t>GIRI RAM GHARTI CHHETRI</t>
  </si>
  <si>
    <t>522041/7549</t>
  </si>
  <si>
    <t>0670100000253041</t>
  </si>
  <si>
    <t>1301430000084237</t>
  </si>
  <si>
    <t>Shudarsan Prasad Bhandari</t>
  </si>
  <si>
    <t>Badri Prasad Bhandari/Santa Bhandari</t>
  </si>
  <si>
    <t>Nabaraj Bhandari</t>
  </si>
  <si>
    <t>36687</t>
  </si>
  <si>
    <t>04309802180018</t>
  </si>
  <si>
    <t>1301370001008861</t>
  </si>
  <si>
    <t>Ishwor Prasad Upadhyaya</t>
  </si>
  <si>
    <t>Hemraj Upadhyaya</t>
  </si>
  <si>
    <t>Chandra Kamta Upadhayaya</t>
  </si>
  <si>
    <t>19251</t>
  </si>
  <si>
    <t>2587644062524001</t>
  </si>
  <si>
    <t>1301240000135705</t>
  </si>
  <si>
    <t>SANTOSH MAHAT</t>
  </si>
  <si>
    <t>SARBAJIT MAHAT</t>
  </si>
  <si>
    <t>MANDHOJ MAHAT</t>
  </si>
  <si>
    <t>03-01-70-01250</t>
  </si>
  <si>
    <t>0120423445205001</t>
  </si>
  <si>
    <t>1301650002078981</t>
  </si>
  <si>
    <t>AAYUSMA RAI</t>
  </si>
  <si>
    <t>RODAN RAI</t>
  </si>
  <si>
    <t>GANGA BAHADUR RAI/</t>
  </si>
  <si>
    <t>12017501804</t>
  </si>
  <si>
    <t>2450100001126010</t>
  </si>
  <si>
    <t>1301440000368789</t>
  </si>
  <si>
    <t>SUNA TAMANG</t>
  </si>
  <si>
    <t>KHADGA BAHADUR LAMA</t>
  </si>
  <si>
    <t>30-01-75-00940</t>
  </si>
  <si>
    <t>03307011731116</t>
  </si>
  <si>
    <t>1301120004566973</t>
  </si>
  <si>
    <t>SIRJANA NEPALI</t>
  </si>
  <si>
    <t>JIT BAHADUR SARKI / SUN MAYA SARKI</t>
  </si>
  <si>
    <t>NAR BAHADUR NEPALI / RAJU NEPALI</t>
  </si>
  <si>
    <t>44-01-76-00671</t>
  </si>
  <si>
    <t>00707010138529</t>
  </si>
  <si>
    <t>1301220000393833</t>
  </si>
  <si>
    <t>RAJ KISHOR DHITAL</t>
  </si>
  <si>
    <t>KESHAB PRASAD DHITAL</t>
  </si>
  <si>
    <t>CHET NATH DHITAL</t>
  </si>
  <si>
    <t>30-01-71-06952</t>
  </si>
  <si>
    <t>08907010004040</t>
  </si>
  <si>
    <t>1301770000563477</t>
  </si>
  <si>
    <t>JAYRAM CHAUDHARY</t>
  </si>
  <si>
    <t>HARIRAM CHAUDHARY</t>
  </si>
  <si>
    <t>DANALAL CHAUDHARY</t>
  </si>
  <si>
    <t>06-01-70-08565</t>
  </si>
  <si>
    <t>03621727070015</t>
  </si>
  <si>
    <t>1301120002211520</t>
  </si>
  <si>
    <t>ganesh dhakal</t>
  </si>
  <si>
    <t>cheta nath dhakal</t>
  </si>
  <si>
    <t>rabi lal dhakal</t>
  </si>
  <si>
    <t>102024/1046</t>
  </si>
  <si>
    <t>06907010002611</t>
  </si>
  <si>
    <t>1301120003374913</t>
  </si>
  <si>
    <t>MANIRAM ACHARYA/JAISARA ACHARYA</t>
  </si>
  <si>
    <t>DEVI PRASAD ACHARYA/PABITRA ACHARYA</t>
  </si>
  <si>
    <t>632037/109</t>
  </si>
  <si>
    <t>02108010000949</t>
  </si>
  <si>
    <t>1301180000005491</t>
  </si>
  <si>
    <t>RASHMILA SHAKYA</t>
  </si>
  <si>
    <t>SAPTA RATNA SHAKYA</t>
  </si>
  <si>
    <t>RUDRA RAJ SHAKYA</t>
  </si>
  <si>
    <t>2/381</t>
  </si>
  <si>
    <t>00911100033022000001</t>
  </si>
  <si>
    <t>1301770000565567</t>
  </si>
  <si>
    <t>RAM KRISHNA BUDHATHOKI</t>
  </si>
  <si>
    <t>SAL BAHADUR BUDHATHOKI</t>
  </si>
  <si>
    <t>DIL BAHADUR BUDHATHOKI</t>
  </si>
  <si>
    <t>042046/1033</t>
  </si>
  <si>
    <t>02810563700016</t>
  </si>
  <si>
    <t>1301240000281753</t>
  </si>
  <si>
    <t>NIRA BARTAULA</t>
  </si>
  <si>
    <t>TEJ PRASAD BARTAULA</t>
  </si>
  <si>
    <t>RAMHARI BARTAULA</t>
  </si>
  <si>
    <t>2560/34</t>
  </si>
  <si>
    <t>03110347810011</t>
  </si>
  <si>
    <t>1301220000000774</t>
  </si>
  <si>
    <t>MAHENDRA NATH LOHANI</t>
  </si>
  <si>
    <t>PRAMATH NATH LOHANI</t>
  </si>
  <si>
    <t>PUNYA NATH LOHANI</t>
  </si>
  <si>
    <t>2815</t>
  </si>
  <si>
    <t>24455393230019</t>
  </si>
  <si>
    <t>1301580000671531</t>
  </si>
  <si>
    <t>HARI MAYA MUKTAN</t>
  </si>
  <si>
    <t>INDRA BAHADUR MUKTAN</t>
  </si>
  <si>
    <t>BIJAYA LAMA</t>
  </si>
  <si>
    <t>311002/83202</t>
  </si>
  <si>
    <t>03607010036379</t>
  </si>
  <si>
    <t>1301090003783568</t>
  </si>
  <si>
    <t>PEMBA CHHIRI SHERPA</t>
  </si>
  <si>
    <t>NGIMA NURU SHERPA</t>
  </si>
  <si>
    <t>PHENDA NURU SHERPA</t>
  </si>
  <si>
    <t>11-03-78-00034</t>
  </si>
  <si>
    <t>02420891250</t>
  </si>
  <si>
    <t>1301960000032815</t>
  </si>
  <si>
    <t>CHHABILAL NEPALI</t>
  </si>
  <si>
    <t>HUKUME SARKI / SARASWATI SARKI</t>
  </si>
  <si>
    <t>MATEY SARKI</t>
  </si>
  <si>
    <t>48519</t>
  </si>
  <si>
    <t>01707358590012</t>
  </si>
  <si>
    <t>1301650002212471</t>
  </si>
  <si>
    <t>ANJALA SHRESTHA</t>
  </si>
  <si>
    <t>BADRI KUMAR SHRESTHA</t>
  </si>
  <si>
    <t>BUDDHI BAHADUR SHRESTHA/NOT AVAILABLE</t>
  </si>
  <si>
    <t>091027390</t>
  </si>
  <si>
    <t>2040100026041010</t>
  </si>
  <si>
    <t>1301100000434927</t>
  </si>
  <si>
    <t>SUSHMA SHARMA NEUPANE</t>
  </si>
  <si>
    <t>BADRI NATH SHARMA</t>
  </si>
  <si>
    <t>KASHI NATH UPADHYAY</t>
  </si>
  <si>
    <t>70692/5550</t>
  </si>
  <si>
    <t>07220700508731000001</t>
  </si>
  <si>
    <t>1301440000344493</t>
  </si>
  <si>
    <t>JHAM MAYA GHARTI</t>
  </si>
  <si>
    <t>SUNDAR BAHADUR GHARTI</t>
  </si>
  <si>
    <t>NANDABIR GHARTI</t>
  </si>
  <si>
    <t>1324/2829</t>
  </si>
  <si>
    <t>03607010337960</t>
  </si>
  <si>
    <t>1301170001740468</t>
  </si>
  <si>
    <t>SAMIR BUDHATHOKI</t>
  </si>
  <si>
    <t>GARJA BAHADUR BUDHATHOKI</t>
  </si>
  <si>
    <t>PADHAM BUDHATHOKI</t>
  </si>
  <si>
    <t>182069/7190</t>
  </si>
  <si>
    <t>0090100001410035</t>
  </si>
  <si>
    <t>1301730000914139</t>
  </si>
  <si>
    <t>CHANDRA MAYA SHRESTHA</t>
  </si>
  <si>
    <t>DHAKA NARAYAN SHRESTHA/BHATA LAXMI SHRESTHA</t>
  </si>
  <si>
    <t>4212390</t>
  </si>
  <si>
    <t>17805350000949</t>
  </si>
  <si>
    <t>1301120004965268</t>
  </si>
  <si>
    <t>BHESHRAJ BHANDARI</t>
  </si>
  <si>
    <t>DEVIRAM BHANDARI</t>
  </si>
  <si>
    <t>BHUWANANDA BHANDARI</t>
  </si>
  <si>
    <t>0403045/333</t>
  </si>
  <si>
    <t>07107010007146</t>
  </si>
  <si>
    <t>1301170000168396</t>
  </si>
  <si>
    <t>GURU TAMANG LAMA</t>
  </si>
  <si>
    <t>PEMA FUNJO TAMANG</t>
  </si>
  <si>
    <t>TEMBA CHHRING TAMANG</t>
  </si>
  <si>
    <t>591002/85</t>
  </si>
  <si>
    <t>0060100001135009</t>
  </si>
  <si>
    <t>1301120005348440</t>
  </si>
  <si>
    <t>LOBSANG DORJE SHERPA</t>
  </si>
  <si>
    <t>DAWA GYALBU SHERPA</t>
  </si>
  <si>
    <t>24-01-73-04361</t>
  </si>
  <si>
    <t>12807010154475</t>
  </si>
  <si>
    <t>1301850000341827</t>
  </si>
  <si>
    <t>CHURAMANI CHHETRI</t>
  </si>
  <si>
    <t>DHAN BAHADUR BHAT CHHETRI</t>
  </si>
  <si>
    <t>DHAN BAHADUR  BHAT CHHETRI</t>
  </si>
  <si>
    <t>155401009</t>
  </si>
  <si>
    <t>03412200679870000001</t>
  </si>
  <si>
    <t>1301300000094577</t>
  </si>
  <si>
    <t>SAUHRID JUNG RAYAMAJHI</t>
  </si>
  <si>
    <t>PRASHANT JUNG RAYAMAJHI/SWASTI THAPA</t>
  </si>
  <si>
    <t>KRISHNA JUNG RAYAMAJHI</t>
  </si>
  <si>
    <t>2073042600291</t>
  </si>
  <si>
    <t>03810017510405</t>
  </si>
  <si>
    <t>1301100000146412</t>
  </si>
  <si>
    <t>CHINIKAJI SHRESTHA</t>
  </si>
  <si>
    <t>GOVINDA SHRESTHA</t>
  </si>
  <si>
    <t>CHINIA LAL SHRESTHA</t>
  </si>
  <si>
    <t>35026</t>
  </si>
  <si>
    <t>00324062531</t>
  </si>
  <si>
    <t>1301100003094819</t>
  </si>
  <si>
    <t>BISNU KUMAR TAMANG</t>
  </si>
  <si>
    <t>PREM CHANDRA TAMANG</t>
  </si>
  <si>
    <t>03-01-77-00721</t>
  </si>
  <si>
    <t>0160200440700017</t>
  </si>
  <si>
    <t>1301070001778394</t>
  </si>
  <si>
    <t>Madhav Rana</t>
  </si>
  <si>
    <t>Surat Bahadur Rana</t>
  </si>
  <si>
    <t>Dan Singh Rana</t>
  </si>
  <si>
    <t>641027/83493</t>
  </si>
  <si>
    <t>0711441403055001</t>
  </si>
  <si>
    <t>1301060003481537</t>
  </si>
  <si>
    <t>SIWANI RAJBANSHI</t>
  </si>
  <si>
    <t>DINESH RAJBANSHI</t>
  </si>
  <si>
    <t>CHAITU LAL RAJBANSHI</t>
  </si>
  <si>
    <t>05-01-79-09051</t>
  </si>
  <si>
    <t>00805120256254</t>
  </si>
  <si>
    <t>1301250000702585</t>
  </si>
  <si>
    <t>YAM NARAYAN TIWARI</t>
  </si>
  <si>
    <t>KHYAM NARAYAN TIWARI/RUPA DEVI TIWARI</t>
  </si>
  <si>
    <t>KAPULE TIWARI</t>
  </si>
  <si>
    <t>71255</t>
  </si>
  <si>
    <t>00120100007725000001</t>
  </si>
  <si>
    <t>1301760000907378</t>
  </si>
  <si>
    <t>NABRAJ ADHIKARI</t>
  </si>
  <si>
    <t>PHUL PRASAD ADHIKARI</t>
  </si>
  <si>
    <t>ANITA DHAKAL ADHIKARI</t>
  </si>
  <si>
    <t>463001/1681</t>
  </si>
  <si>
    <t>01510901178696000001</t>
  </si>
  <si>
    <t>1301120001042459</t>
  </si>
  <si>
    <t>Achhelal Das</t>
  </si>
  <si>
    <t>Sukhadewa Das</t>
  </si>
  <si>
    <t>Dukha Das</t>
  </si>
  <si>
    <t>55523312</t>
  </si>
  <si>
    <t>01108010005225</t>
  </si>
  <si>
    <t>1301370004296100</t>
  </si>
  <si>
    <t>BIPAN THAPA</t>
  </si>
  <si>
    <t>KRISHN BAHADUR THAPA</t>
  </si>
  <si>
    <t>21-01-76-03449</t>
  </si>
  <si>
    <t>0105750720908001</t>
  </si>
  <si>
    <t>1301370003010884</t>
  </si>
  <si>
    <t>YUDASH CHEMJONG</t>
  </si>
  <si>
    <t>GOPI KRISHNA CHEMJONG</t>
  </si>
  <si>
    <t>KUL BAHADUR CHEMJONG</t>
  </si>
  <si>
    <t>023030/3</t>
  </si>
  <si>
    <t>0587653560524001</t>
  </si>
  <si>
    <t>1301370003898885</t>
  </si>
  <si>
    <t>KSHITIJ BUDHATHOKI</t>
  </si>
  <si>
    <t>MANGALE BUDHATHOKI</t>
  </si>
  <si>
    <t>PRATAP BUDHATHOKI</t>
  </si>
  <si>
    <t>550112/18205</t>
  </si>
  <si>
    <t>0655751215535001</t>
  </si>
  <si>
    <t>1301370000887450</t>
  </si>
  <si>
    <t>Rash Bahadur Magar</t>
  </si>
  <si>
    <t>Amber Bahadur Magar</t>
  </si>
  <si>
    <t>42721</t>
  </si>
  <si>
    <t>1844150953315001</t>
  </si>
  <si>
    <t>1301580000444894</t>
  </si>
  <si>
    <t>USHA SHRESTHA</t>
  </si>
  <si>
    <t>SHREE KRISHNA SHRESTHA</t>
  </si>
  <si>
    <t>301003/164353</t>
  </si>
  <si>
    <t>008011090003170</t>
  </si>
  <si>
    <t>1301650001789589</t>
  </si>
  <si>
    <t>HIMAL PRASAD SANJYAL</t>
  </si>
  <si>
    <t>durgadatta sanjyal</t>
  </si>
  <si>
    <t>dhaniram sanjyal/</t>
  </si>
  <si>
    <t>61017701721</t>
  </si>
  <si>
    <t>4030100013142010</t>
  </si>
  <si>
    <t>1301370004709946</t>
  </si>
  <si>
    <t>KRISHNA KALA GHIMIRE</t>
  </si>
  <si>
    <t>IBA PRASAD GHIMIRE</t>
  </si>
  <si>
    <t>PADAM PRASAD GHIMIRE</t>
  </si>
  <si>
    <t>20-01-76-07363</t>
  </si>
  <si>
    <t>0295751450554001</t>
  </si>
  <si>
    <t>1301080000996271</t>
  </si>
  <si>
    <t>BIBAS RAI</t>
  </si>
  <si>
    <t>JAY BAHADUR RAI/TARA DEVI RAI</t>
  </si>
  <si>
    <t>KARAM DHWAJA RAI</t>
  </si>
  <si>
    <t>09147500038</t>
  </si>
  <si>
    <t>08300501201658</t>
  </si>
  <si>
    <t>1301310000107362</t>
  </si>
  <si>
    <t>SANDEEP GAUTAM</t>
  </si>
  <si>
    <t>NARAYAN PRASAD GAUTAM</t>
  </si>
  <si>
    <t>37-02-72-00904</t>
  </si>
  <si>
    <t>0230035608500011</t>
  </si>
  <si>
    <t>1301370003836186</t>
  </si>
  <si>
    <t>JIBAN GAIRE</t>
  </si>
  <si>
    <t>MANIRAM GAIRE</t>
  </si>
  <si>
    <t>363031-694</t>
  </si>
  <si>
    <t>0775750965966001</t>
  </si>
  <si>
    <t>1301580001119638</t>
  </si>
  <si>
    <t>AYUSH KUMAR PRAJAPATI</t>
  </si>
  <si>
    <t>78</t>
  </si>
  <si>
    <t>021011080000544</t>
  </si>
  <si>
    <t>1301260000001415</t>
  </si>
  <si>
    <t>KAMALA SHRESTHA</t>
  </si>
  <si>
    <t>DIL NARAYAN SHRESTHA / CHAMELI SHRESTHA</t>
  </si>
  <si>
    <t>GURU NARAYAN SHRESTHA</t>
  </si>
  <si>
    <t>5403</t>
  </si>
  <si>
    <t>2170195535400001</t>
  </si>
  <si>
    <t>1301580000821291</t>
  </si>
  <si>
    <t>SANJAY KUMAR PRAJAPATI</t>
  </si>
  <si>
    <t>LAXMAN PRASAD KUMHAR/BASMATI KUMHAIN</t>
  </si>
  <si>
    <t>NATHUNI PANDIT/PRATIMA KUMARI</t>
  </si>
  <si>
    <t>90632234</t>
  </si>
  <si>
    <t>021011060000149</t>
  </si>
  <si>
    <t>1301370002790900</t>
  </si>
  <si>
    <t>CHIRANJIVI BARAL</t>
  </si>
  <si>
    <t>MADHAB PRASAD BARAL</t>
  </si>
  <si>
    <t>LOKNATH BARAL</t>
  </si>
  <si>
    <t>201041/76</t>
  </si>
  <si>
    <t>1215750736070001</t>
  </si>
  <si>
    <t>1301770000673009</t>
  </si>
  <si>
    <t>AKRITI SUBEDI</t>
  </si>
  <si>
    <t>SUSHIL SUBEDI/RADHA KUMARI KHANAL</t>
  </si>
  <si>
    <t>REG BAHADUR SUBEDI</t>
  </si>
  <si>
    <t>27106088244</t>
  </si>
  <si>
    <t>03504376030015</t>
  </si>
  <si>
    <t>1301040001978097</t>
  </si>
  <si>
    <t>HAMID HASAN ANSARI</t>
  </si>
  <si>
    <t>SIRAJUL HASAN ANSARI/NOORUS SABA ANSARI</t>
  </si>
  <si>
    <t>/ABDUL HASAN ANSARI</t>
  </si>
  <si>
    <t>663019/1379</t>
  </si>
  <si>
    <t>1410017505159</t>
  </si>
  <si>
    <t>1301020000093001</t>
  </si>
  <si>
    <t>DEEPIKA BALAMI</t>
  </si>
  <si>
    <t>PURNA BAHADUR   BALAMI</t>
  </si>
  <si>
    <t>BAM BAHADUR  BALAMI</t>
  </si>
  <si>
    <t>271060/27557</t>
  </si>
  <si>
    <t>0050198135800001</t>
  </si>
  <si>
    <t>1301060001122798</t>
  </si>
  <si>
    <t>KIMAT  BAHADUR  BALAMI</t>
  </si>
  <si>
    <t>KRISHNA BAHADUR BALAMI</t>
  </si>
  <si>
    <t>170/2243</t>
  </si>
  <si>
    <t>3810017505098</t>
  </si>
  <si>
    <t>1301090002611595</t>
  </si>
  <si>
    <t>LOKESH SHRESTHA</t>
  </si>
  <si>
    <t>LIL BAHADUR SHRESTHA</t>
  </si>
  <si>
    <t>MAKAR BHD SHRESTHA</t>
  </si>
  <si>
    <t>13-01-76-03143</t>
  </si>
  <si>
    <t>02115575880</t>
  </si>
  <si>
    <t>1301730000181089</t>
  </si>
  <si>
    <t>MANISHA ADHIKARI</t>
  </si>
  <si>
    <t>RAMJI PRASAD ADHIKARI</t>
  </si>
  <si>
    <t>PURNA PRASAD ADHIKARAI</t>
  </si>
  <si>
    <t>46-11-70-00002</t>
  </si>
  <si>
    <t>21405330002875</t>
  </si>
  <si>
    <t>1301520000063503</t>
  </si>
  <si>
    <t>CHAMELA SHARMA</t>
  </si>
  <si>
    <t>GANESH PRASAD SHARMA</t>
  </si>
  <si>
    <t>TOPILAL UPDHYAYA</t>
  </si>
  <si>
    <t>294030/2123</t>
  </si>
  <si>
    <t>0360018660800001</t>
  </si>
  <si>
    <t>1301370004722486</t>
  </si>
  <si>
    <t>ASHISH KOJU</t>
  </si>
  <si>
    <t>GANESH RAM KOJU</t>
  </si>
  <si>
    <t>GANESH LAL KOJU</t>
  </si>
  <si>
    <t>29-01-76-00805</t>
  </si>
  <si>
    <t>0085751438256001</t>
  </si>
  <si>
    <t>1301580001136704</t>
  </si>
  <si>
    <t>KAMALA KUMARI KOTTARI</t>
  </si>
  <si>
    <t>KATAKE KOTTARI/UJELI DEVI KOTTARI</t>
  </si>
  <si>
    <t>RAIMAL KOTTARI/KAMAL BOHARA</t>
  </si>
  <si>
    <t>72-01-74-01263</t>
  </si>
  <si>
    <t>029011090001766</t>
  </si>
  <si>
    <t>1301420000098555</t>
  </si>
  <si>
    <t>CHANDRALAL ADHIKARI</t>
  </si>
  <si>
    <t>041010/274</t>
  </si>
  <si>
    <t>01610017512810</t>
  </si>
  <si>
    <t>1301240000183667</t>
  </si>
  <si>
    <t>GYANI SHOVA SHAKYA</t>
  </si>
  <si>
    <t>SAIN BAHADUR SHAKYA/BETI MAYA SHAKYA</t>
  </si>
  <si>
    <t>BAJRA RAJ SHAKYA/TULA RATNA SHAKYA</t>
  </si>
  <si>
    <t>37640</t>
  </si>
  <si>
    <t>00710102311016</t>
  </si>
  <si>
    <t>1301060001463491</t>
  </si>
  <si>
    <t>RITENDRA RAJ SHAKYA</t>
  </si>
  <si>
    <t>TULA RATNA SHAKYA</t>
  </si>
  <si>
    <t>BABU KAJI SHAKYA</t>
  </si>
  <si>
    <t>28-01-066-01189</t>
  </si>
  <si>
    <t>04005120261821</t>
  </si>
  <si>
    <t>1301580000095306</t>
  </si>
  <si>
    <t>SMRITI DHUNGANA</t>
  </si>
  <si>
    <t>RAMESH KUMAR DHUNGANA</t>
  </si>
  <si>
    <t>GREHENDRA BAHADUR DHUNGANA</t>
  </si>
  <si>
    <t>393</t>
  </si>
  <si>
    <t>003000039230N</t>
  </si>
  <si>
    <t>1301260001520092</t>
  </si>
  <si>
    <t>BABU KAJI SHAKYA/MASIN MAYA SHAKYA</t>
  </si>
  <si>
    <t>HERA KAJI SHAKYA</t>
  </si>
  <si>
    <t>87829</t>
  </si>
  <si>
    <t>1120072307600011</t>
  </si>
  <si>
    <t>1301650000309834</t>
  </si>
  <si>
    <t>SUNIT AMATYA</t>
  </si>
  <si>
    <t>SUNDER GOVINDA AMATYA / SAVITRI AMATYA</t>
  </si>
  <si>
    <t>MANGAL GOVINDA AMATYA</t>
  </si>
  <si>
    <t>11085</t>
  </si>
  <si>
    <t>1430100017913011</t>
  </si>
  <si>
    <t>1301370005161855</t>
  </si>
  <si>
    <t>DEV CHANDRA BAN</t>
  </si>
  <si>
    <t>KAMAL BAHADUR BAN</t>
  </si>
  <si>
    <t>CHHABI LAL BAN</t>
  </si>
  <si>
    <t>3541260</t>
  </si>
  <si>
    <t>2755750787904001</t>
  </si>
  <si>
    <t>1301080001083692</t>
  </si>
  <si>
    <t>MAHESHWOR SHRESTHA</t>
  </si>
  <si>
    <t>ISHWOR KUMAR SHRESTHA/BISHNU KUMARI SHRESTHA</t>
  </si>
  <si>
    <t>BAM BAHADUR SHRESTHA</t>
  </si>
  <si>
    <t>06-43175</t>
  </si>
  <si>
    <t>08000501201753</t>
  </si>
  <si>
    <t>1301080001083688</t>
  </si>
  <si>
    <t>KABITA DHAMI</t>
  </si>
  <si>
    <t>NANDA LAL DHAMI/RUPNE DHAMI</t>
  </si>
  <si>
    <t>NAFI LAL DHAMI</t>
  </si>
  <si>
    <t>06-02-71-01064</t>
  </si>
  <si>
    <t>08000501201893</t>
  </si>
  <si>
    <t>1301080001160711</t>
  </si>
  <si>
    <t>bhim jung rana magar</t>
  </si>
  <si>
    <t>lal bahadur rana magar</t>
  </si>
  <si>
    <t>man bahadur rana magar</t>
  </si>
  <si>
    <t>441047/28</t>
  </si>
  <si>
    <t>02000504200939</t>
  </si>
  <si>
    <t>1301690000782170</t>
  </si>
  <si>
    <t>KAMAL SHRESTHA</t>
  </si>
  <si>
    <t>AMAR BAHADUR SHRESTHA/FUL MAYA SHRESTHA</t>
  </si>
  <si>
    <t>NAR BAHADUR SHRESTHA</t>
  </si>
  <si>
    <t>101002/370</t>
  </si>
  <si>
    <t>04901000000183001622</t>
  </si>
  <si>
    <t>1301650000656913</t>
  </si>
  <si>
    <t>BHUVAN KUMAR THAPA</t>
  </si>
  <si>
    <t>KRISHNA KUMAR THAPA</t>
  </si>
  <si>
    <t>NABAPDSING THPA /PRAMISA BHANDARI</t>
  </si>
  <si>
    <t>6490413075</t>
  </si>
  <si>
    <t>2340100000321104</t>
  </si>
  <si>
    <t>1301260001355339</t>
  </si>
  <si>
    <t>SANU KC</t>
  </si>
  <si>
    <t>SUNDAR BAHADUR KHATRI/RADHIKA KHATRI</t>
  </si>
  <si>
    <t>301051/165925</t>
  </si>
  <si>
    <t>0160016833400016</t>
  </si>
  <si>
    <t>1301110000503022</t>
  </si>
  <si>
    <t>TAN BAHADUR RANA MAGAR</t>
  </si>
  <si>
    <t>BHAKTA BAHADUR RANA</t>
  </si>
  <si>
    <t>EAK BAHADUR RANA</t>
  </si>
  <si>
    <t>53-01-69-00303</t>
  </si>
  <si>
    <t>32107010009174</t>
  </si>
  <si>
    <t>1301590001021793</t>
  </si>
  <si>
    <t>JAINUDIN ANSARI</t>
  </si>
  <si>
    <t>JAKIR HUSSAIN ANSARI</t>
  </si>
  <si>
    <t>ISHU MIYA</t>
  </si>
  <si>
    <t>34-01-77-00073</t>
  </si>
  <si>
    <t>17815241416086</t>
  </si>
  <si>
    <t>1301610000061058</t>
  </si>
  <si>
    <t>TILAKRAM DHAKAL</t>
  </si>
  <si>
    <t>LILADHAR DHAKAL</t>
  </si>
  <si>
    <t>BALIKA DEVI DHAKAL</t>
  </si>
  <si>
    <t>7663</t>
  </si>
  <si>
    <t>0050009618800011</t>
  </si>
  <si>
    <t>1301020000238811</t>
  </si>
  <si>
    <t>PREM NATH NEUPANE</t>
  </si>
  <si>
    <t>PURNA PRASAD NEUPANE</t>
  </si>
  <si>
    <t>LAXMI NEUPANE/JAGAN NATH NEUPANE</t>
  </si>
  <si>
    <t>827</t>
  </si>
  <si>
    <t>01801000000112901939</t>
  </si>
  <si>
    <t>1301650001411814</t>
  </si>
  <si>
    <t>LAITA DEVI SUBBA</t>
  </si>
  <si>
    <t>DILLI PRASAD LIMBU</t>
  </si>
  <si>
    <t>DEV HANG LIMBU /LALIT LIMBU</t>
  </si>
  <si>
    <t>97734542</t>
  </si>
  <si>
    <t>2140100000041004</t>
  </si>
  <si>
    <t>1301530000139869</t>
  </si>
  <si>
    <t>Sima Thapa Pandit</t>
  </si>
  <si>
    <t>Tilak Bahadur Pandit/Sita Thapa</t>
  </si>
  <si>
    <t>Sanjeb Pandit/Dharma Dhoj Thapa</t>
  </si>
  <si>
    <t>253056/32</t>
  </si>
  <si>
    <t>41715243400026</t>
  </si>
  <si>
    <t>1301120003939428</t>
  </si>
  <si>
    <t>SABITRI SHARMA</t>
  </si>
  <si>
    <t>UMANATH POUDEL / KAMALA POUDEL</t>
  </si>
  <si>
    <t>LILADHAR POUDEL / CHAKRAPANI RIJAL SHARMA</t>
  </si>
  <si>
    <t>7714</t>
  </si>
  <si>
    <t>00707010117487</t>
  </si>
  <si>
    <t>1301580000800051</t>
  </si>
  <si>
    <t>SITA SHRESTHA</t>
  </si>
  <si>
    <t>FATTABAHADUR SHRESTHA</t>
  </si>
  <si>
    <t>441006/110</t>
  </si>
  <si>
    <t>037011050000329</t>
  </si>
  <si>
    <t>1301520001584080</t>
  </si>
  <si>
    <t>RUPESH KUMAR CHAUDHARY</t>
  </si>
  <si>
    <t>MANSIF CHAUDHARY</t>
  </si>
  <si>
    <t>191053/6</t>
  </si>
  <si>
    <t>1990155290300001</t>
  </si>
  <si>
    <t>1301100001483022</t>
  </si>
  <si>
    <t>DOLMA TAMANGNI</t>
  </si>
  <si>
    <t>NURPU JHANGBU</t>
  </si>
  <si>
    <t>NURBU TSERING TAMANG</t>
  </si>
  <si>
    <t>231005/3</t>
  </si>
  <si>
    <t>0840119853600014</t>
  </si>
  <si>
    <t>1301220000130766</t>
  </si>
  <si>
    <t>TSERING YANGZOM TAMANG</t>
  </si>
  <si>
    <t>LHAKPA TSERING TAMANG</t>
  </si>
  <si>
    <t>NINGMAR TSERING TAMANG</t>
  </si>
  <si>
    <t>23-09-73-00552</t>
  </si>
  <si>
    <t>1083485155524001</t>
  </si>
  <si>
    <t>1301580001797343</t>
  </si>
  <si>
    <t>MADHAB TAMANG</t>
  </si>
  <si>
    <t>PITAM TAMANG/KESH MAYA TAMANG</t>
  </si>
  <si>
    <t>DALA BAHADUR TAMANG</t>
  </si>
  <si>
    <t>22-01-75-06151</t>
  </si>
  <si>
    <t>023011060008601</t>
  </si>
  <si>
    <t>1301650001851416</t>
  </si>
  <si>
    <t>PREMDIP ADHIKARI</t>
  </si>
  <si>
    <t>SURENDRA RAY YADAV</t>
  </si>
  <si>
    <t>BIKHAR RAY YADAV /</t>
  </si>
  <si>
    <t>32067600532</t>
  </si>
  <si>
    <t>1970100000046010</t>
  </si>
  <si>
    <t>1301040000750141</t>
  </si>
  <si>
    <t>DEEPAK SINGH KHADKA</t>
  </si>
  <si>
    <t>DOR BAHADUR KHADKA / BASANTA KHADKA</t>
  </si>
  <si>
    <t>BHAKTA BAHADUR KHADKA / NEHA KUMARI</t>
  </si>
  <si>
    <t>53-01-69-03949</t>
  </si>
  <si>
    <t>02410017516754</t>
  </si>
  <si>
    <t>1301040001809082</t>
  </si>
  <si>
    <t>RAKESH KUMAR MAHATO</t>
  </si>
  <si>
    <t>NAWAL KISHOR MAHATO KOIRI/RAM SOMARI DEVI</t>
  </si>
  <si>
    <t>/ASARFI MAHATO KOIRI</t>
  </si>
  <si>
    <t>19-01-73-01638</t>
  </si>
  <si>
    <t>14110017501250</t>
  </si>
  <si>
    <t>1301720000391425</t>
  </si>
  <si>
    <t>pemba sherpa</t>
  </si>
  <si>
    <t>pem chhiri sherpa</t>
  </si>
  <si>
    <t>8799</t>
  </si>
  <si>
    <t>0100201337352017</t>
  </si>
  <si>
    <t>1301120003094952</t>
  </si>
  <si>
    <t>PAL BAHADUR OLI</t>
  </si>
  <si>
    <t>DILLI BAHADUR OLI/CHAMARI OLI</t>
  </si>
  <si>
    <t>NADIRAM OLI</t>
  </si>
  <si>
    <t>56-01-73-00198</t>
  </si>
  <si>
    <t>27807010000282</t>
  </si>
  <si>
    <t>1301120001172489</t>
  </si>
  <si>
    <t>ANUP SINGH SUWAL</t>
  </si>
  <si>
    <t>ANIL SUWAL</t>
  </si>
  <si>
    <t>TEJ MAN SUWAL</t>
  </si>
  <si>
    <t>5042/2089</t>
  </si>
  <si>
    <t>01705080023713</t>
  </si>
  <si>
    <t>1301100002597010</t>
  </si>
  <si>
    <t>NABIN SHIKHRAKAR</t>
  </si>
  <si>
    <t>KANCHHA SHIKHRAKAR/SHARDA SHIKHRAKAR</t>
  </si>
  <si>
    <t>TULSI NARAYAN SHIKHRAKAR/BABITA GURUNG</t>
  </si>
  <si>
    <t>4555</t>
  </si>
  <si>
    <t>0130184947400016</t>
  </si>
  <si>
    <t>1301060003334595</t>
  </si>
  <si>
    <t>NIRAKAR JOSHI</t>
  </si>
  <si>
    <t>JANAK RAJ JOSHI</t>
  </si>
  <si>
    <t>BISHNU DUTTA JOSHI</t>
  </si>
  <si>
    <t>57800194</t>
  </si>
  <si>
    <t>01205030154159</t>
  </si>
  <si>
    <t>1301080001208191</t>
  </si>
  <si>
    <t>NHEMA GYALBO  TAMANG</t>
  </si>
  <si>
    <t>RAPA TAMANG</t>
  </si>
  <si>
    <t>24-01-72-00573</t>
  </si>
  <si>
    <t>05800501208785</t>
  </si>
  <si>
    <t>1301040001432361</t>
  </si>
  <si>
    <t>YANG LHAMU SHERPA</t>
  </si>
  <si>
    <t>PASANG WONGDI SHERPA/DUPCHEN SHERPINI</t>
  </si>
  <si>
    <t>NIMA DORJE SHERPA/</t>
  </si>
  <si>
    <t>154213</t>
  </si>
  <si>
    <t>3510017503327</t>
  </si>
  <si>
    <t>1301370001226549</t>
  </si>
  <si>
    <t>Pramila Shrestha</t>
  </si>
  <si>
    <t>Krishna Bahadur Shrestha</t>
  </si>
  <si>
    <t>Ratna Bahadur Shrestha</t>
  </si>
  <si>
    <t>30-01-70-01435</t>
  </si>
  <si>
    <t>2698619961524001</t>
  </si>
  <si>
    <t>1301440000298574</t>
  </si>
  <si>
    <t>PRAKASH B.C</t>
  </si>
  <si>
    <t>KRISHNA BAHADUR B.K.</t>
  </si>
  <si>
    <t>BAL BAHADUR B.K.</t>
  </si>
  <si>
    <t>67-01-75-06423</t>
  </si>
  <si>
    <t>03609015001406</t>
  </si>
  <si>
    <t>1301440000240770</t>
  </si>
  <si>
    <t>KHIMANANDA ARYAL</t>
  </si>
  <si>
    <t>MITRA LAL ARYAL</t>
  </si>
  <si>
    <t>CHOLA KANTA ARYAL</t>
  </si>
  <si>
    <t>36-01-71-01270</t>
  </si>
  <si>
    <t>03309015020597</t>
  </si>
  <si>
    <t>1301520000078235</t>
  </si>
  <si>
    <t>SWIKRITI SHRESTHA</t>
  </si>
  <si>
    <t>SUSHIL KUMAR SHRESTHA</t>
  </si>
  <si>
    <t>ROSHAN SHRESTHA</t>
  </si>
  <si>
    <t>41-01-80-01598</t>
  </si>
  <si>
    <t>0170022151400001</t>
  </si>
  <si>
    <t>1301080000709667</t>
  </si>
  <si>
    <t>GITA DEVI SINGH</t>
  </si>
  <si>
    <t>SHER BAHADUR SINGH</t>
  </si>
  <si>
    <t>PADAM BAHADUR CHAND</t>
  </si>
  <si>
    <t>1451/046</t>
  </si>
  <si>
    <t>01100501001053</t>
  </si>
  <si>
    <t>1301060002620032</t>
  </si>
  <si>
    <t>ASHISH SUBEDI</t>
  </si>
  <si>
    <t>BASHUDEV SUBEDI / SITA DEVI ADHIKARI SUBEDI</t>
  </si>
  <si>
    <t>PREM PRASAD SUBEDI / BIMALA GHIMIRE</t>
  </si>
  <si>
    <t>35-01-71-01343</t>
  </si>
  <si>
    <t>04605050268646</t>
  </si>
  <si>
    <t>1301440000403630</t>
  </si>
  <si>
    <t>KESHAR TAMANG</t>
  </si>
  <si>
    <t>KULMAN SING TAMANG</t>
  </si>
  <si>
    <t>21-01-73-01870</t>
  </si>
  <si>
    <t>03609015007722</t>
  </si>
  <si>
    <t>1301370003448641</t>
  </si>
  <si>
    <t>GRISHA MAHARJAN</t>
  </si>
  <si>
    <t>BINOD MAHARJAN</t>
  </si>
  <si>
    <t>MAHABIR MAHARJAN</t>
  </si>
  <si>
    <t>28-01-72-01101</t>
  </si>
  <si>
    <t>2687870994524001</t>
  </si>
  <si>
    <t>1301440000264574</t>
  </si>
  <si>
    <t>BHARAT BAHADUR KATHAYAT</t>
  </si>
  <si>
    <t>DAL BAHADUR KATHAYAT</t>
  </si>
  <si>
    <t>LAL BAHADUR KATHAYAT</t>
  </si>
  <si>
    <t>75-01-72-04001</t>
  </si>
  <si>
    <t>03309015017018</t>
  </si>
  <si>
    <t>1301730000018422</t>
  </si>
  <si>
    <t>KHEMRAJ KARKI</t>
  </si>
  <si>
    <t>CHITRA BAHADUR KARKI</t>
  </si>
  <si>
    <t>6179/449</t>
  </si>
  <si>
    <t>14105010000734</t>
  </si>
  <si>
    <t>1301040002361505</t>
  </si>
  <si>
    <t>NAYARAM NEUPANE</t>
  </si>
  <si>
    <t>JAYA PRASAD JAISI/RAMRUPA NEUPANE</t>
  </si>
  <si>
    <t>RAKSHYA NEUPANE/SHYAMLAL NEUPANE</t>
  </si>
  <si>
    <t>611017/2188/992</t>
  </si>
  <si>
    <t>7510017500396</t>
  </si>
  <si>
    <t>1301240000573956</t>
  </si>
  <si>
    <t>chitra kumar shrestha</t>
  </si>
  <si>
    <t>surya man shrestha</t>
  </si>
  <si>
    <t>sita shrestha</t>
  </si>
  <si>
    <t>172</t>
  </si>
  <si>
    <t>0720567095225001</t>
  </si>
  <si>
    <t>1301090001038443</t>
  </si>
  <si>
    <t>BISHWA BASTAKOTI</t>
  </si>
  <si>
    <t>SHAMBHU PRASAD BASTAKOTI</t>
  </si>
  <si>
    <t>ANANTA RAJ BASTAKOTI</t>
  </si>
  <si>
    <t>362001/320</t>
  </si>
  <si>
    <t>00904338199</t>
  </si>
  <si>
    <t>1301370001383364</t>
  </si>
  <si>
    <t>Sita Bhattarai</t>
  </si>
  <si>
    <t>Lok Nath Bhattarai</t>
  </si>
  <si>
    <t>052055/8152</t>
  </si>
  <si>
    <t>0287949489752401</t>
  </si>
  <si>
    <t>1301840000074534</t>
  </si>
  <si>
    <t>GOVINDA BAHADUR KHADKA</t>
  </si>
  <si>
    <t>JHANKARE THAYAT/KALDHASI THAYAT</t>
  </si>
  <si>
    <t>NANDA BAHADUR THAYAT</t>
  </si>
  <si>
    <t>673003/2003</t>
  </si>
  <si>
    <t>08001200460814000001</t>
  </si>
  <si>
    <t>1301440000138359</t>
  </si>
  <si>
    <t>Suman Baral</t>
  </si>
  <si>
    <t>Tirtha Bahadur Baral</t>
  </si>
  <si>
    <t>Tanka Bahadur Baral</t>
  </si>
  <si>
    <t>101001-1240</t>
  </si>
  <si>
    <t>03309015014402</t>
  </si>
  <si>
    <t>1301240000139790</t>
  </si>
  <si>
    <t>JAMES SHRESTHA</t>
  </si>
  <si>
    <t>5116</t>
  </si>
  <si>
    <t>0610395388214001</t>
  </si>
  <si>
    <t>1301260000735143</t>
  </si>
  <si>
    <t>PHUL MAYA KUMAL</t>
  </si>
  <si>
    <t>LOK BAHADUR KUMAL/BISHNU MAYA KUMAL</t>
  </si>
  <si>
    <t>AAITA BAHADUR KUMAL</t>
  </si>
  <si>
    <t>74151</t>
  </si>
  <si>
    <t>08010017501661</t>
  </si>
  <si>
    <t>1301100002602298</t>
  </si>
  <si>
    <t>PRASUN THAPA</t>
  </si>
  <si>
    <t>28-01-78-01266</t>
  </si>
  <si>
    <t>0100008695500011</t>
  </si>
  <si>
    <t>1301650001117526</t>
  </si>
  <si>
    <t>DHANARAJ POKHREL</t>
  </si>
  <si>
    <t>RIDDHINATH POKHREL</t>
  </si>
  <si>
    <t>GHANASHYAM POKHREL/</t>
  </si>
  <si>
    <t>07303599</t>
  </si>
  <si>
    <t>2350100001202010</t>
  </si>
  <si>
    <t>1301380000012911</t>
  </si>
  <si>
    <t>GANESH BAHADUR KUNWAR</t>
  </si>
  <si>
    <t>DURGA BDR KUNWAR</t>
  </si>
  <si>
    <t>PHAUJ SINGH KUNWAR</t>
  </si>
  <si>
    <t>781/027/28</t>
  </si>
  <si>
    <t>03422300213752000001</t>
  </si>
  <si>
    <t>1301120001692356</t>
  </si>
  <si>
    <t>Kashyap Koirala</t>
  </si>
  <si>
    <t>Kamal Prasad Koirala</t>
  </si>
  <si>
    <t>Dibya Raj Koirala</t>
  </si>
  <si>
    <t>04-01-74-02992</t>
  </si>
  <si>
    <t>02307010006095</t>
  </si>
  <si>
    <t>1301580000279955</t>
  </si>
  <si>
    <t>RAJANI SIGDEL</t>
  </si>
  <si>
    <t>RAMESHWOR SIGDEL/SUSHILA SIGDEL</t>
  </si>
  <si>
    <t>BADRI PRASAD SIGDEL/SANJIB SUBEDI</t>
  </si>
  <si>
    <t>4738</t>
  </si>
  <si>
    <t>06620700335584000001</t>
  </si>
  <si>
    <t>1301580000279410</t>
  </si>
  <si>
    <t>SARUPYA R.S. SUBEDI</t>
  </si>
  <si>
    <t>SANJIB SUBEDI/RAJANI SIGDEL SUBEDI</t>
  </si>
  <si>
    <t>KRISHNA PRASAD SUBEDI</t>
  </si>
  <si>
    <t>9574</t>
  </si>
  <si>
    <t>2360200710400001</t>
  </si>
  <si>
    <t>1301240000899992</t>
  </si>
  <si>
    <t>KRISHNA DEVI</t>
  </si>
  <si>
    <t>MAHANTHI YADAV</t>
  </si>
  <si>
    <t>KHELANANDA YADAV</t>
  </si>
  <si>
    <t>59242818</t>
  </si>
  <si>
    <t>02410080628014</t>
  </si>
  <si>
    <t>1301650001538185</t>
  </si>
  <si>
    <t>TIKA DEVI CHAULAGAIN</t>
  </si>
  <si>
    <t>HARI  PRASAD REGMI</t>
  </si>
  <si>
    <t>KARNAKHAR REGMI/JAY PRASAD CHAULAGAIN</t>
  </si>
  <si>
    <t>8782</t>
  </si>
  <si>
    <t>1610100008196010</t>
  </si>
  <si>
    <t>1301120000569915</t>
  </si>
  <si>
    <t>DIWESH PRASAD PANDEYA</t>
  </si>
  <si>
    <t>RAMAPATI PRASAD PANDEYA</t>
  </si>
  <si>
    <t>DEV PRASAD PANDEYA</t>
  </si>
  <si>
    <t>19763</t>
  </si>
  <si>
    <t>9487932975524001</t>
  </si>
  <si>
    <t>1301120000425040</t>
  </si>
  <si>
    <t>Jib Prasad Neupane</t>
  </si>
  <si>
    <t>Tika Nath Neupane</t>
  </si>
  <si>
    <t>Mohan Datta Neupane / Sita Neupane</t>
  </si>
  <si>
    <t>00914000025753000001</t>
  </si>
  <si>
    <t>1301090000239103</t>
  </si>
  <si>
    <t>JAYA PRAKASH KERUNG</t>
  </si>
  <si>
    <t>INDRA BAHADUR KERUNG</t>
  </si>
  <si>
    <t>CHANDRA SHING KERUNG</t>
  </si>
  <si>
    <t>120/10814</t>
  </si>
  <si>
    <t>09005080099059</t>
  </si>
  <si>
    <t>1301120000347781</t>
  </si>
  <si>
    <t>NABIN SHRESTHA</t>
  </si>
  <si>
    <t>NARAYAN MAN SHRESTHA</t>
  </si>
  <si>
    <t>GYAN MAN SHRESTHA</t>
  </si>
  <si>
    <t>4275</t>
  </si>
  <si>
    <t>003011060001295</t>
  </si>
  <si>
    <t>1301370001869483</t>
  </si>
  <si>
    <t>Bibek Mukarung Rai</t>
  </si>
  <si>
    <t>Khadga Rai</t>
  </si>
  <si>
    <t>Nar Kumar Rai</t>
  </si>
  <si>
    <t>04-02-76-02113</t>
  </si>
  <si>
    <t>0345759452434001</t>
  </si>
  <si>
    <t>1301120005392239</t>
  </si>
  <si>
    <t>MUNA THAPA MAGAR</t>
  </si>
  <si>
    <t>HOM BAHADUR THAPA MAGAR</t>
  </si>
  <si>
    <t>HARI BAHADUR THAPA MAGAR</t>
  </si>
  <si>
    <t>26-01-72-07720</t>
  </si>
  <si>
    <t>03807010181945</t>
  </si>
  <si>
    <t>1301580000582861</t>
  </si>
  <si>
    <t>MANJU SUBEDI</t>
  </si>
  <si>
    <t>LEKHNATH SUBEDI</t>
  </si>
  <si>
    <t>ARJUN GAUTAM</t>
  </si>
  <si>
    <t>411040/108284</t>
  </si>
  <si>
    <t>009011090004153</t>
  </si>
  <si>
    <t>1301720000333115</t>
  </si>
  <si>
    <t>YAM KUMARI ACHARYA</t>
  </si>
  <si>
    <t>YAM NATH DULAL/NANDA KUMARI DULAL</t>
  </si>
  <si>
    <t>DANDAPANI ACHARYA</t>
  </si>
  <si>
    <t>137/2077</t>
  </si>
  <si>
    <t>0213601753053015</t>
  </si>
  <si>
    <t>1301020000149757</t>
  </si>
  <si>
    <t>SARITA KUMARI SAH</t>
  </si>
  <si>
    <t>JAGESHWAR TELI</t>
  </si>
  <si>
    <t>JANG BAHADUR SAH/JAHAR TELI SAH</t>
  </si>
  <si>
    <t>1007/231</t>
  </si>
  <si>
    <t>14105330001069</t>
  </si>
  <si>
    <t>1301120000692842</t>
  </si>
  <si>
    <t>RABICHANDRA PAUDEL</t>
  </si>
  <si>
    <t>SHYAM NATH PAUDEL</t>
  </si>
  <si>
    <t>SALIKRAM PAUDEL</t>
  </si>
  <si>
    <t>4980</t>
  </si>
  <si>
    <t>02910092965019</t>
  </si>
  <si>
    <t>1301090004352157</t>
  </si>
  <si>
    <t>MOHAN DEV JOSHI</t>
  </si>
  <si>
    <t>KAMALAPATI JOSHI</t>
  </si>
  <si>
    <t>HARI BHAKTA JOSHI</t>
  </si>
  <si>
    <t>103251367</t>
  </si>
  <si>
    <t>55503591924</t>
  </si>
  <si>
    <t>1301130000341261</t>
  </si>
  <si>
    <t>BHESH RAJ BADU</t>
  </si>
  <si>
    <t>SUSHIL PRASAD BADU / SHANTI BHATTA</t>
  </si>
  <si>
    <t>GAURI DATTA BADU</t>
  </si>
  <si>
    <t>355</t>
  </si>
  <si>
    <t>2700233422900001</t>
  </si>
  <si>
    <t>1301120004444971</t>
  </si>
  <si>
    <t>NARAYAN PRASAD PAUDEL</t>
  </si>
  <si>
    <t>SHIVALAL PADHYA</t>
  </si>
  <si>
    <t>6031</t>
  </si>
  <si>
    <t>03307010023323</t>
  </si>
  <si>
    <t>1301370006968781</t>
  </si>
  <si>
    <t>ASTA BAHADUR MAHARJAN</t>
  </si>
  <si>
    <t>TARI BHAI MAHARJAN</t>
  </si>
  <si>
    <t>ASTA KUMARI MAHARJAN</t>
  </si>
  <si>
    <t>247</t>
  </si>
  <si>
    <t>0395759459654001</t>
  </si>
  <si>
    <t>1301060000355144</t>
  </si>
  <si>
    <t>SUNITA KHATIWADA</t>
  </si>
  <si>
    <t>CHETA NATH KHATIWADA</t>
  </si>
  <si>
    <t>BHANUBHAKTA KHATIWADA</t>
  </si>
  <si>
    <t>96827</t>
  </si>
  <si>
    <t>18608010000156</t>
  </si>
  <si>
    <t>1301060000214007</t>
  </si>
  <si>
    <t>BAM DEV ADHIKARI</t>
  </si>
  <si>
    <t>MADHAV PRASAD ADHIKARI</t>
  </si>
  <si>
    <t>NARAYANI NEPAL</t>
  </si>
  <si>
    <t>20565</t>
  </si>
  <si>
    <t>031000002870E</t>
  </si>
  <si>
    <t>1301100000204379</t>
  </si>
  <si>
    <t>32-01-72-05518</t>
  </si>
  <si>
    <t>00902052190014</t>
  </si>
  <si>
    <t>1301090003916209</t>
  </si>
  <si>
    <t>SAHIL KUMAR SINGH</t>
  </si>
  <si>
    <t>KRISHNA NANDAN SINGH / SAPANA SINGH</t>
  </si>
  <si>
    <t>SIYA RAM SINGH</t>
  </si>
  <si>
    <t>18-01-73-01309</t>
  </si>
  <si>
    <t>55500628643</t>
  </si>
  <si>
    <t>1301180000234343</t>
  </si>
  <si>
    <t>Bina Rai</t>
  </si>
  <si>
    <t>Raj Bahadur Rai/Dhan Kumari Rai</t>
  </si>
  <si>
    <t>Kabir Man Rai/Binod Rai</t>
  </si>
  <si>
    <t>74907/75907</t>
  </si>
  <si>
    <t>04007010005714</t>
  </si>
  <si>
    <t>1301060000100808</t>
  </si>
  <si>
    <t>RAMA DEVI BAJIMAYA</t>
  </si>
  <si>
    <t>HUTENDRA MAN SINGH</t>
  </si>
  <si>
    <t>INDRA MAN SINGH</t>
  </si>
  <si>
    <t>461001/4630</t>
  </si>
  <si>
    <t>1430101793800028</t>
  </si>
  <si>
    <t>1301760000068788</t>
  </si>
  <si>
    <t>Surya Bahadur Balal</t>
  </si>
  <si>
    <t>Bhim Bahadur Balal/Pabikala Balal</t>
  </si>
  <si>
    <t>Dev Bahadur Balal</t>
  </si>
  <si>
    <t>411016/94166</t>
  </si>
  <si>
    <t>12307010000666</t>
  </si>
  <si>
    <t>1301040000180536</t>
  </si>
  <si>
    <t>SUSHMA SAH</t>
  </si>
  <si>
    <t>SHIV NARAYAN SAH/URMILA DEVI SAH</t>
  </si>
  <si>
    <t>BAUWALAL SAH/SHREE PRASAD SAH</t>
  </si>
  <si>
    <t>9228</t>
  </si>
  <si>
    <t>0710017502820</t>
  </si>
  <si>
    <t>1301130000189608</t>
  </si>
  <si>
    <t>SONA SANGBO SHERPA</t>
  </si>
  <si>
    <t>KARMA SHERPA</t>
  </si>
  <si>
    <t>KARE SHERPA</t>
  </si>
  <si>
    <t>2006/14</t>
  </si>
  <si>
    <t>0150018834500011</t>
  </si>
  <si>
    <t>1301040002351805</t>
  </si>
  <si>
    <t>MITHILA KUMARI KALWARNI</t>
  </si>
  <si>
    <t>BINDESHWAR SAH /LAXMINIYA DEVI SAH</t>
  </si>
  <si>
    <t>RAJESH KUMAR SAH /DEVNANDAN SAH</t>
  </si>
  <si>
    <t>14782737</t>
  </si>
  <si>
    <t>15810017501322</t>
  </si>
  <si>
    <t>1301060000111968</t>
  </si>
  <si>
    <t>GEETA DEVI AGRAWAL</t>
  </si>
  <si>
    <t>KEDARNATH CHACHAN</t>
  </si>
  <si>
    <t>HARDWARI MAL CHACHAN/BABULAL AGRAWAL</t>
  </si>
  <si>
    <t>160306280</t>
  </si>
  <si>
    <t>01910400220275000002</t>
  </si>
  <si>
    <t>1301370000047781</t>
  </si>
  <si>
    <t>Prabha Devi Sharma</t>
  </si>
  <si>
    <t>Shiva Raj upadhyay</t>
  </si>
  <si>
    <t>5385/3689</t>
  </si>
  <si>
    <t>3369359563524002</t>
  </si>
  <si>
    <t>1301770000481658</t>
  </si>
  <si>
    <t>REMANT K.C.</t>
  </si>
  <si>
    <t>GHANSHYAM K.C/KAMALA K.C</t>
  </si>
  <si>
    <t>MAN BAHADUR KHATRI/</t>
  </si>
  <si>
    <t>52-02-79-02731</t>
  </si>
  <si>
    <t>07010517250016</t>
  </si>
  <si>
    <t>1301170001674695</t>
  </si>
  <si>
    <t>ROJAN TAMANG</t>
  </si>
  <si>
    <t>RAJENDRA TAMANG/BIMALA TAMANG</t>
  </si>
  <si>
    <t>25-02-77-00707</t>
  </si>
  <si>
    <t>0830100000574045</t>
  </si>
  <si>
    <t>1301260000019226</t>
  </si>
  <si>
    <t>KIRAN DANGOL</t>
  </si>
  <si>
    <t>KAJI MAN DANGOL / PURNA MAYA DANGOL</t>
  </si>
  <si>
    <t>KRISHNA MAN DANGOL / MEENA AWALE</t>
  </si>
  <si>
    <t>57441</t>
  </si>
  <si>
    <t>0650163809400001</t>
  </si>
  <si>
    <t>1301100003158684</t>
  </si>
  <si>
    <t>PRAKASH BAHADUR KARKI</t>
  </si>
  <si>
    <t>153022/92</t>
  </si>
  <si>
    <t>1560244226100014</t>
  </si>
  <si>
    <t>1301630000208911</t>
  </si>
  <si>
    <t>REKHA CHAND</t>
  </si>
  <si>
    <t>ARJUN CHAND</t>
  </si>
  <si>
    <t>CHIMAR CHAND</t>
  </si>
  <si>
    <t>271060/113</t>
  </si>
  <si>
    <t>0650227865700001</t>
  </si>
  <si>
    <t>1301070000221877</t>
  </si>
  <si>
    <t>Balram Rajak</t>
  </si>
  <si>
    <t>Musaharu Rajak</t>
  </si>
  <si>
    <t>Tithar Rajak</t>
  </si>
  <si>
    <t>4466</t>
  </si>
  <si>
    <t>01426001539</t>
  </si>
  <si>
    <t>1301480000006425</t>
  </si>
  <si>
    <t>ASHOK PRASAD POKHAREL</t>
  </si>
  <si>
    <t>KAMALNATH SHARMA POKHAREL</t>
  </si>
  <si>
    <t>DINANATH UPADHYAYA</t>
  </si>
  <si>
    <t>4030/4408</t>
  </si>
  <si>
    <t>01101500038664000001</t>
  </si>
  <si>
    <t>1301060000199786</t>
  </si>
  <si>
    <t>RADHA KRISHNA UPADHYAY</t>
  </si>
  <si>
    <t>CHANDRA DATTA UPADHYAY</t>
  </si>
  <si>
    <t>KULAPATI UPADHYAY</t>
  </si>
  <si>
    <t>12206</t>
  </si>
  <si>
    <t>3012093600524001</t>
  </si>
  <si>
    <t>1301120000976067</t>
  </si>
  <si>
    <t>DIVIJA BAJRACHARYA</t>
  </si>
  <si>
    <t>DINESH RATNA BAJRACHARYA</t>
  </si>
  <si>
    <t>PUSPA RATNA BAJRACHARYA</t>
  </si>
  <si>
    <t>0022/58</t>
  </si>
  <si>
    <t>00101000001370501656</t>
  </si>
  <si>
    <t>1301380000004404</t>
  </si>
  <si>
    <t>SAGAR DAHAL</t>
  </si>
  <si>
    <t>KEDAR DAHAL</t>
  </si>
  <si>
    <t>SABALA PUDASAINI</t>
  </si>
  <si>
    <t>236</t>
  </si>
  <si>
    <t>1710017507066</t>
  </si>
  <si>
    <t>1301060000428229</t>
  </si>
  <si>
    <t>SIMANTA MARASINI</t>
  </si>
  <si>
    <t>NARAYAN PRASAD MARASINI</t>
  </si>
  <si>
    <t>CHANDRAMANI MARASINI</t>
  </si>
  <si>
    <t>37114</t>
  </si>
  <si>
    <t>00100516203738</t>
  </si>
  <si>
    <t>1301370000069189</t>
  </si>
  <si>
    <t>Manish Dhital</t>
  </si>
  <si>
    <t>Shyam Krishna Dhital</t>
  </si>
  <si>
    <t>Hari Prasad Dhital</t>
  </si>
  <si>
    <t>273058/197</t>
  </si>
  <si>
    <t>05205050087498</t>
  </si>
  <si>
    <t>1301820000301725</t>
  </si>
  <si>
    <t>GOVINDA DAMMARPAL</t>
  </si>
  <si>
    <t>KRISHNA BAHADUR DAMMARPAL / BHADRA KUMARI DAMMARPA</t>
  </si>
  <si>
    <t>MINA DAMMARPAL/JAHAR SINGH DAMMARPAL</t>
  </si>
  <si>
    <t>372024/46004</t>
  </si>
  <si>
    <t>02214100664313000001</t>
  </si>
  <si>
    <t>1301370005122530</t>
  </si>
  <si>
    <t>BIMALA GHIMIRE</t>
  </si>
  <si>
    <t>BUDHIRAM GHIMIRE</t>
  </si>
  <si>
    <t>UMANANDA GHIMIRE</t>
  </si>
  <si>
    <t>40-01-77-02442</t>
  </si>
  <si>
    <t>2405751522766001</t>
  </si>
  <si>
    <t>1301140000005873</t>
  </si>
  <si>
    <t>RAUSHAN KUMAR KUSHWAHA</t>
  </si>
  <si>
    <t>LAXMI MAHATO/USHA KUMARI</t>
  </si>
  <si>
    <t>86495081</t>
  </si>
  <si>
    <t>0530022349400012</t>
  </si>
  <si>
    <t>1301370001063577</t>
  </si>
  <si>
    <t>SHIVA PRASHAD ACHARYA</t>
  </si>
  <si>
    <t>BATUK ACHARYA</t>
  </si>
  <si>
    <t>26027-110656</t>
  </si>
  <si>
    <t>0185750546712002</t>
  </si>
  <si>
    <t>1301010000881159</t>
  </si>
  <si>
    <t>NAKUL PURI</t>
  </si>
  <si>
    <t>THAKUR PURI /  SANUMAIYA PURI</t>
  </si>
  <si>
    <t>DOLANATH PURI  / GITA PURI</t>
  </si>
  <si>
    <t>30-117587</t>
  </si>
  <si>
    <t>1301120000144341</t>
  </si>
  <si>
    <t>LAXMAN PRASAD POKHREL</t>
  </si>
  <si>
    <t>DHUNDIRAJ POKHREL</t>
  </si>
  <si>
    <t>ANIRUDRA POKHREL</t>
  </si>
  <si>
    <t>311/2498</t>
  </si>
  <si>
    <t>02207010000467</t>
  </si>
  <si>
    <t>1301040000118532</t>
  </si>
  <si>
    <t>KIRAN MAN SHRESTHA</t>
  </si>
  <si>
    <t>CHANDRA KUMARI MUNANKARMI/PURNA LAL SHRESTHA</t>
  </si>
  <si>
    <t>1437/1606</t>
  </si>
  <si>
    <t>1730100007672010</t>
  </si>
  <si>
    <t>1301580000013853</t>
  </si>
  <si>
    <t>PRATIMA PHUYAL</t>
  </si>
  <si>
    <t>HARI KRISHNA PHUYAL</t>
  </si>
  <si>
    <t>CHITRA PRASAD PHUYAL</t>
  </si>
  <si>
    <t>271035/114234</t>
  </si>
  <si>
    <t>1300100017073011</t>
  </si>
  <si>
    <t>1301570000140879</t>
  </si>
  <si>
    <t>Pashu Pati Adhikari</t>
  </si>
  <si>
    <t>Kul Prasad Adhikari</t>
  </si>
  <si>
    <t>Jayalal Adhikari</t>
  </si>
  <si>
    <t>45564</t>
  </si>
  <si>
    <t>07201706450963000001</t>
  </si>
  <si>
    <t>1301060000561956</t>
  </si>
  <si>
    <t>RAJESH CHAND THAKURI</t>
  </si>
  <si>
    <t>NARAYAN CHAND THAKURI</t>
  </si>
  <si>
    <t>TARA CHAND</t>
  </si>
  <si>
    <t>98</t>
  </si>
  <si>
    <t>2040163940100001</t>
  </si>
  <si>
    <t>1301370003614432</t>
  </si>
  <si>
    <t>AAJAT NEPALI</t>
  </si>
  <si>
    <t>PIRTHE BDR SARKI</t>
  </si>
  <si>
    <t>MANI RAM BDR SARKI</t>
  </si>
  <si>
    <t>46-01-77-00179</t>
  </si>
  <si>
    <t>0165759536180001</t>
  </si>
  <si>
    <t>1301490000149915</t>
  </si>
  <si>
    <t>PRABHU MAHALAXMI LIFE INSURANCE</t>
  </si>
  <si>
    <t>03315025603</t>
  </si>
  <si>
    <t>1301720000662196</t>
  </si>
  <si>
    <t>PREM RAJ SUBEDI</t>
  </si>
  <si>
    <t>NABARAJ SUBEDI</t>
  </si>
  <si>
    <t>BHOJRAJ SUBEDI</t>
  </si>
  <si>
    <t>42300</t>
  </si>
  <si>
    <t>0316401637198013</t>
  </si>
  <si>
    <t>1301600000010362</t>
  </si>
  <si>
    <t>MENUKA POUDEL</t>
  </si>
  <si>
    <t>NARA PRASAD POUDEL</t>
  </si>
  <si>
    <t>DHAN PRASAD POUDEL</t>
  </si>
  <si>
    <t>42741948</t>
  </si>
  <si>
    <t>3517006411000018</t>
  </si>
  <si>
    <t>1301090001839668</t>
  </si>
  <si>
    <t>SUJAN SURYA PRAJAPATI</t>
  </si>
  <si>
    <t>SURYA PRASAD PRAJAPATI</t>
  </si>
  <si>
    <t>SUKDEV PRAJAPATI</t>
  </si>
  <si>
    <t>16769</t>
  </si>
  <si>
    <t>00116701020</t>
  </si>
  <si>
    <t>1301690000562399</t>
  </si>
  <si>
    <t>BINITA RANA</t>
  </si>
  <si>
    <t>THAMAN SINGH RANA/SUN MAYA RANA</t>
  </si>
  <si>
    <t>NAR SINGH GURUNG/SUNIL NEPALI</t>
  </si>
  <si>
    <t>421006/161</t>
  </si>
  <si>
    <t>12401000000121018796</t>
  </si>
  <si>
    <t>1302250000000215</t>
  </si>
  <si>
    <t>SUN NEPAL LIFE INSURANCE COMPANY LIMITED .</t>
  </si>
  <si>
    <t>27256888890021</t>
  </si>
  <si>
    <t>1301720001119856</t>
  </si>
  <si>
    <t>AAVASH SHRESTHA</t>
  </si>
  <si>
    <t>KHEMRAJ SHRESTHA</t>
  </si>
  <si>
    <t>KUL MAN SHRESTHA</t>
  </si>
  <si>
    <t>2079012700052</t>
  </si>
  <si>
    <t>0415205196397015</t>
  </si>
  <si>
    <t>1301120003927507</t>
  </si>
  <si>
    <t>KESHAB PARIYAR</t>
  </si>
  <si>
    <t>RATNA BAHADUR DARJI</t>
  </si>
  <si>
    <t>DAN BAHADUR DARJI</t>
  </si>
  <si>
    <t>03209974</t>
  </si>
  <si>
    <t>23907010074041</t>
  </si>
  <si>
    <t>1301570000851598</t>
  </si>
  <si>
    <t>UMA THAPA</t>
  </si>
  <si>
    <t>MOHAN BAHADUR THAPA/RAM KUMARI THAPA</t>
  </si>
  <si>
    <t>45-01-75-02839</t>
  </si>
  <si>
    <t>10301607146488000001</t>
  </si>
  <si>
    <t>1301220000014407</t>
  </si>
  <si>
    <t>SURYA PRASAD NAYAVA</t>
  </si>
  <si>
    <t>BHAKTA LAL SHRESTHA</t>
  </si>
  <si>
    <t>SIDDHI LAXMI SHRESTHA</t>
  </si>
  <si>
    <t>474</t>
  </si>
  <si>
    <t>03907010093190</t>
  </si>
  <si>
    <t>1301550000216177</t>
  </si>
  <si>
    <t>AMIKA KHAREL</t>
  </si>
  <si>
    <t>AAYUSH KHAREL</t>
  </si>
  <si>
    <t>ACHYUT KRISHNA KHAREL</t>
  </si>
  <si>
    <t>1011</t>
  </si>
  <si>
    <t>5220100000010004</t>
  </si>
  <si>
    <t>1301370005976998</t>
  </si>
  <si>
    <t>POOJA RAJGADIA</t>
  </si>
  <si>
    <t>SURENDRA KUMAR RAJGADIA</t>
  </si>
  <si>
    <t>RAM KUMAR RAJGADIA</t>
  </si>
  <si>
    <t>05-02-72-00816</t>
  </si>
  <si>
    <t>2115752057613001</t>
  </si>
  <si>
    <t>1301120000439315</t>
  </si>
  <si>
    <t>Suman Khatri</t>
  </si>
  <si>
    <t>Ganesh Khatri K.C</t>
  </si>
  <si>
    <t>Krishna Khatri</t>
  </si>
  <si>
    <t>113145</t>
  </si>
  <si>
    <t>1100100025140010</t>
  </si>
  <si>
    <t>1301520000723097</t>
  </si>
  <si>
    <t>ASHIS ADHIKARY</t>
  </si>
  <si>
    <t>ISHWOR PRASAD ADHIKARI</t>
  </si>
  <si>
    <t>KAPIL PRASAD ADHIKARI</t>
  </si>
  <si>
    <t>5161/12326</t>
  </si>
  <si>
    <t>0430110315900001</t>
  </si>
  <si>
    <t>1301370006330435</t>
  </si>
  <si>
    <t>ASHISH RAJKARNIKAR</t>
  </si>
  <si>
    <t>RAJESH RAJKARNIKAR</t>
  </si>
  <si>
    <t>NANDA LAL RAJKARNIKAR</t>
  </si>
  <si>
    <t>28-01-067-02098</t>
  </si>
  <si>
    <t>5486960110524001</t>
  </si>
  <si>
    <t>1301040002497687</t>
  </si>
  <si>
    <t>ARBIND KUMAR MANDAL</t>
  </si>
  <si>
    <t>SURESH MANDAL /SILOCHANI DEVI</t>
  </si>
  <si>
    <t>ANJILA KUMARI MANDAL /SOGARAT MANDAL</t>
  </si>
  <si>
    <t>30204614</t>
  </si>
  <si>
    <t>5210017502527</t>
  </si>
  <si>
    <t>1301100002448660</t>
  </si>
  <si>
    <t>BHARAT ACHARYA</t>
  </si>
  <si>
    <t>HARI PRASAD ACHARYA</t>
  </si>
  <si>
    <t>PYAM NARAYAN ACHARYA</t>
  </si>
  <si>
    <t>461014/950</t>
  </si>
  <si>
    <t>1230176101100012</t>
  </si>
  <si>
    <t>1301580000136329</t>
  </si>
  <si>
    <t>SAGAR THAPA</t>
  </si>
  <si>
    <t>PURNA BAHADUR THAPA/INDRA KUMARI THAPA</t>
  </si>
  <si>
    <t>15857</t>
  </si>
  <si>
    <t>001011060005374</t>
  </si>
  <si>
    <t>1301170000945880</t>
  </si>
  <si>
    <t>RITA BUDHATHOKI</t>
  </si>
  <si>
    <t>HARE BUDHATHOKI</t>
  </si>
  <si>
    <t>NARU BUDHATHOKI</t>
  </si>
  <si>
    <t>550104/24810</t>
  </si>
  <si>
    <t>0360100000564035</t>
  </si>
  <si>
    <t>1301170001709007</t>
  </si>
  <si>
    <t>PANCHAKALI THAPA</t>
  </si>
  <si>
    <t>50-01-77-01386</t>
  </si>
  <si>
    <t>1220100002296049</t>
  </si>
  <si>
    <t>1301170001068390</t>
  </si>
  <si>
    <t>PRASADE BASNET</t>
  </si>
  <si>
    <t>GORE BASNET</t>
  </si>
  <si>
    <t>62-01-71-00773</t>
  </si>
  <si>
    <t>0360100000383010</t>
  </si>
  <si>
    <t>1301370007332330</t>
  </si>
  <si>
    <t>UMA DEVI SHARMA</t>
  </si>
  <si>
    <t>TARA PRASAD KAFLE</t>
  </si>
  <si>
    <t>PURNA PRASAD BHATTARAI</t>
  </si>
  <si>
    <t>1111</t>
  </si>
  <si>
    <t>1057038211652401</t>
  </si>
  <si>
    <t>1301070001962791</t>
  </si>
  <si>
    <t>BHUBAN KHATRI</t>
  </si>
  <si>
    <t>13-01-78-00720</t>
  </si>
  <si>
    <t>03125005118</t>
  </si>
  <si>
    <t>1301090001124847</t>
  </si>
  <si>
    <t>SANGAM THAPA</t>
  </si>
  <si>
    <t>SHYAM THAPA/SITA THAPA</t>
  </si>
  <si>
    <t>AMRIT BAHADUR THAPA</t>
  </si>
  <si>
    <t>43-01-74-05470</t>
  </si>
  <si>
    <t>01615461451</t>
  </si>
  <si>
    <t>1301040003063372</t>
  </si>
  <si>
    <t>MUNA SILWAL</t>
  </si>
  <si>
    <t>RABI BAHADUR KARKI</t>
  </si>
  <si>
    <t>CHHETRA BAHADUR KARKI</t>
  </si>
  <si>
    <t>3464-6115</t>
  </si>
  <si>
    <t>13310017515353</t>
  </si>
  <si>
    <t>1301610000208546</t>
  </si>
  <si>
    <t>AMRIT CHAPAGAI</t>
  </si>
  <si>
    <t>UTTAM PRASAD CHAPAGAI</t>
  </si>
  <si>
    <t>HARI PRASAD CHAPAGAI</t>
  </si>
  <si>
    <t>2480</t>
  </si>
  <si>
    <t>0390077385400015</t>
  </si>
  <si>
    <t>1301260000445142</t>
  </si>
  <si>
    <t>PURNIMA BAJRACHARYA</t>
  </si>
  <si>
    <t>MOTI RATNA BAJRACHARYA/PURNA DEVI BAJRACHARYA</t>
  </si>
  <si>
    <t>ASHA KAJI BAJRACHARYA</t>
  </si>
  <si>
    <t>28-01-065-05492</t>
  </si>
  <si>
    <t>0250023307200021</t>
  </si>
  <si>
    <t>1301060000788256</t>
  </si>
  <si>
    <t>NARAYAN KUMAR KARKI</t>
  </si>
  <si>
    <t>BHESH BAHADUR KARKI</t>
  </si>
  <si>
    <t>INDRA BAHADUR KARKI</t>
  </si>
  <si>
    <t>21494</t>
  </si>
  <si>
    <t>1060100014948010</t>
  </si>
  <si>
    <t>1301120003823476</t>
  </si>
  <si>
    <t>PRAKASH KHADKA</t>
  </si>
  <si>
    <t>TIKA BAHADUR KHADKA</t>
  </si>
  <si>
    <t>KHADAK BAHADUR KHADKA</t>
  </si>
  <si>
    <t>501040/6773</t>
  </si>
  <si>
    <t>03309018103394</t>
  </si>
  <si>
    <t>1301370007260435</t>
  </si>
  <si>
    <t>MAMATA KANDEL</t>
  </si>
  <si>
    <t>YAMLAL KANDEL</t>
  </si>
  <si>
    <t>PRITHILAL SHARMA</t>
  </si>
  <si>
    <t>50-01-78-01621</t>
  </si>
  <si>
    <t>3075751540973001</t>
  </si>
  <si>
    <t>1301200000018188</t>
  </si>
  <si>
    <t>NANDA MAYA PURI</t>
  </si>
  <si>
    <t>CHIN BAHADUR PURI</t>
  </si>
  <si>
    <t>KIRAN PURI</t>
  </si>
  <si>
    <t>241041/52/45076</t>
  </si>
  <si>
    <t>1360100030517010</t>
  </si>
  <si>
    <t>1301570000127317</t>
  </si>
  <si>
    <t>Sas Bahadur Chhantayal</t>
  </si>
  <si>
    <t>Tak Bahadur Chhantyal</t>
  </si>
  <si>
    <t>Nari Chhantyal</t>
  </si>
  <si>
    <t>501025/19554</t>
  </si>
  <si>
    <t>02201706505038000001</t>
  </si>
  <si>
    <t>1301060000876336</t>
  </si>
  <si>
    <t>MUKUNDA ARYAL</t>
  </si>
  <si>
    <t>ACHYUT PRASAD ARYAL</t>
  </si>
  <si>
    <t>PRAMILA SHARMA PYAKUREL</t>
  </si>
  <si>
    <t>2734</t>
  </si>
  <si>
    <t>00405010257480</t>
  </si>
  <si>
    <t>1301630000168242</t>
  </si>
  <si>
    <t>BIBEK DHITAL</t>
  </si>
  <si>
    <t>RAM BAHADUR DHITAL</t>
  </si>
  <si>
    <t>PREM BAHADUR DHITAL</t>
  </si>
  <si>
    <t>46-01-69-00553</t>
  </si>
  <si>
    <t>2110170559400001</t>
  </si>
  <si>
    <t>1301040000005256</t>
  </si>
  <si>
    <t>UTTAM NARAYAN MALLA</t>
  </si>
  <si>
    <t>SURYA NARAYAN MALLA</t>
  </si>
  <si>
    <t>TULSHI NARAYAN MALLA</t>
  </si>
  <si>
    <t>5/1723</t>
  </si>
  <si>
    <t>03110142157013</t>
  </si>
  <si>
    <t>1301370004179107</t>
  </si>
  <si>
    <t>ABHAY BAJRACHARYA</t>
  </si>
  <si>
    <t>RAJAN BAJRACHARYA</t>
  </si>
  <si>
    <t>PUNYA KAJI BAJRACHARYA</t>
  </si>
  <si>
    <t>27-01-73-00129</t>
  </si>
  <si>
    <t>3088964406252401</t>
  </si>
  <si>
    <t>1301650000718933</t>
  </si>
  <si>
    <t>BHAVINDRA RAI</t>
  </si>
  <si>
    <t>RATNA BAHADUR RAI /</t>
  </si>
  <si>
    <t>11017000081</t>
  </si>
  <si>
    <t>2020100018409010</t>
  </si>
  <si>
    <t>1301650002448289</t>
  </si>
  <si>
    <t>PADAM BAHADUR BHANDARI</t>
  </si>
  <si>
    <t>CHHATRA BAHADUR BHANDARI</t>
  </si>
  <si>
    <t>MAKARDHOJ BHANDARI/ANJU BHANDARI THAPA</t>
  </si>
  <si>
    <t>5652299</t>
  </si>
  <si>
    <t>2030100009414010</t>
  </si>
  <si>
    <t>1301570000716788</t>
  </si>
  <si>
    <t>DIHA BADU</t>
  </si>
  <si>
    <t>HARISH BADU/DEEPA KC</t>
  </si>
  <si>
    <t>GOPAL DATTA BADU</t>
  </si>
  <si>
    <t>2078062801323</t>
  </si>
  <si>
    <t>13710607153317000001</t>
  </si>
  <si>
    <t>1301110000007873</t>
  </si>
  <si>
    <t>ISHWOR BIKRAM ADHIKARY</t>
  </si>
  <si>
    <t>CHUDA BIKRAM ADHIKARY</t>
  </si>
  <si>
    <t>BODHA BIKRAM ADHIKARY</t>
  </si>
  <si>
    <t>03521100205344000001</t>
  </si>
  <si>
    <t>1301100000145647</t>
  </si>
  <si>
    <t>GANESH BAHADUR KARKI</t>
  </si>
  <si>
    <t>GANJA BAHADUR KARKI</t>
  </si>
  <si>
    <t>RANA BAHADUR KARKI/BIMALA KARKI</t>
  </si>
  <si>
    <t>47359</t>
  </si>
  <si>
    <t>00120400383495000001</t>
  </si>
  <si>
    <t>1301240001003779</t>
  </si>
  <si>
    <t>DEVI ADHIKARI</t>
  </si>
  <si>
    <t>GANGA PRASAD DHUNGANA</t>
  </si>
  <si>
    <t>TILA RAM DHUNGANA</t>
  </si>
  <si>
    <t>489</t>
  </si>
  <si>
    <t>0150902749301001</t>
  </si>
  <si>
    <t>1301240001003439</t>
  </si>
  <si>
    <t>LAXMI NARAYAN ADHIKARI</t>
  </si>
  <si>
    <t>DHARMANANDA ADHIKARI</t>
  </si>
  <si>
    <t>780-9895</t>
  </si>
  <si>
    <t>0640046316214001</t>
  </si>
  <si>
    <t>1301530000037588</t>
  </si>
  <si>
    <t>Roshani Shrestha</t>
  </si>
  <si>
    <t>Ram Kumar Shrestha</t>
  </si>
  <si>
    <t>Shiva Kumar Shrestha</t>
  </si>
  <si>
    <t>431001/102148</t>
  </si>
  <si>
    <t>21715241401292</t>
  </si>
  <si>
    <t>1301100000152589</t>
  </si>
  <si>
    <t>BATUK MAN MALLA</t>
  </si>
  <si>
    <t>BHAIRAB MAN MALLA</t>
  </si>
  <si>
    <t>LOK MAN MALLA</t>
  </si>
  <si>
    <t>1060/106904</t>
  </si>
  <si>
    <t>0010001243300018</t>
  </si>
  <si>
    <t>1301650000746245</t>
  </si>
  <si>
    <t>BHIM BAHADUR BOHARA</t>
  </si>
  <si>
    <t>BAL BAHADUR/ BELU DEVI BOHARA</t>
  </si>
  <si>
    <t>DEVAKI DEVI BOHARA/JANG BAHADUR BOHARA</t>
  </si>
  <si>
    <t>862</t>
  </si>
  <si>
    <t>4170100000741104</t>
  </si>
  <si>
    <t>1301580001339745</t>
  </si>
  <si>
    <t>SURYAMSHU SHRESTHA</t>
  </si>
  <si>
    <t>SURESH BAHADUR SHRESTHA/SARASWOTI SHRESTHA</t>
  </si>
  <si>
    <t>2077080410117</t>
  </si>
  <si>
    <t>024011060002370</t>
  </si>
  <si>
    <t>1301580000496225</t>
  </si>
  <si>
    <t>LILA RAM KHADKA</t>
  </si>
  <si>
    <t>MARICHA BAHADUR KHADKA/SARASWOTI DEVI KHADKA</t>
  </si>
  <si>
    <t>NARSING BAHADUR KHADKA</t>
  </si>
  <si>
    <t>223043/431</t>
  </si>
  <si>
    <t>023011050001648</t>
  </si>
  <si>
    <t>1301370000471020</t>
  </si>
  <si>
    <t>Arati Sah</t>
  </si>
  <si>
    <t>Gopal Sah</t>
  </si>
  <si>
    <t>Ganga Sah</t>
  </si>
  <si>
    <t>39695088</t>
  </si>
  <si>
    <t>3100149912524001</t>
  </si>
  <si>
    <t>1301060000041369</t>
  </si>
  <si>
    <t>NIRAKAR KUMAR ACHARYA</t>
  </si>
  <si>
    <t>KRISHNA PRASAD ACHARYA</t>
  </si>
  <si>
    <t>MEENA ARYAL ACHARYA</t>
  </si>
  <si>
    <t>3405/3056</t>
  </si>
  <si>
    <t>21457290200016</t>
  </si>
  <si>
    <t>1301650002433426</t>
  </si>
  <si>
    <t>JITE TAMANG</t>
  </si>
  <si>
    <t>AIBIRE TAMANG</t>
  </si>
  <si>
    <t>RIJAB TAMANG/BUDDHA MAYA TAMANG</t>
  </si>
  <si>
    <t>2330100002987010</t>
  </si>
  <si>
    <t>1301100002187049</t>
  </si>
  <si>
    <t>SUMIT MAHARJAN</t>
  </si>
  <si>
    <t>SHYAM KRISHNA MAHARJAN</t>
  </si>
  <si>
    <t>SHYAM MAHARJAN</t>
  </si>
  <si>
    <t>28-01-73-02740</t>
  </si>
  <si>
    <t>0100059565000016</t>
  </si>
  <si>
    <t>1301370000210573</t>
  </si>
  <si>
    <t>Deepak Karki</t>
  </si>
  <si>
    <t>Om Prasad Karki</t>
  </si>
  <si>
    <t>Dharma Dhoj Karki</t>
  </si>
  <si>
    <t>5657</t>
  </si>
  <si>
    <t>0280019619700011</t>
  </si>
  <si>
    <t>1301850000296078</t>
  </si>
  <si>
    <t>REHANA NISHA</t>
  </si>
  <si>
    <t>SHAH MOHAMMAD MUSALMAN</t>
  </si>
  <si>
    <t>NUR MUHAMMAD MUSALMAN</t>
  </si>
  <si>
    <t>153</t>
  </si>
  <si>
    <t>05300700648846000001</t>
  </si>
  <si>
    <t>1301370004372059</t>
  </si>
  <si>
    <t>RAJESH KUMAR MANDAL</t>
  </si>
  <si>
    <t>HARI SHANKAR MANDAL</t>
  </si>
  <si>
    <t>ASHAPRH MANDAL</t>
  </si>
  <si>
    <t>22835</t>
  </si>
  <si>
    <t>2014275367524001</t>
  </si>
  <si>
    <t>1301120001166078</t>
  </si>
  <si>
    <t>BABURAM PURI</t>
  </si>
  <si>
    <t>LEKHNATH PURI/SHREE MAYA PURI</t>
  </si>
  <si>
    <t>DAMODAR PURI/SHIVA PURI</t>
  </si>
  <si>
    <t>1701</t>
  </si>
  <si>
    <t>09307010000079</t>
  </si>
  <si>
    <t>1301100002822747</t>
  </si>
  <si>
    <t>DASI KALA THAPA</t>
  </si>
  <si>
    <t>TIL BAHADUR RANA/TAKA MAYA RANA</t>
  </si>
  <si>
    <t>HEMLAL RANA/KAMAL BAHADUR THAPA</t>
  </si>
  <si>
    <t>1428</t>
  </si>
  <si>
    <t>1980209894600013</t>
  </si>
  <si>
    <t>1301760000100983</t>
  </si>
  <si>
    <t>THAGENDRA TAMANG</t>
  </si>
  <si>
    <t>KANCHHA KAJI TAMANG</t>
  </si>
  <si>
    <t>NAV MAN SING TAMANG</t>
  </si>
  <si>
    <t>303071/132</t>
  </si>
  <si>
    <t>08201900824217000001</t>
  </si>
  <si>
    <t>1301380000045462</t>
  </si>
  <si>
    <t>SITARAM KHAREL</t>
  </si>
  <si>
    <t>CHHABILAL KHAREL</t>
  </si>
  <si>
    <t>BHAWANI BHANDARI KHAREL</t>
  </si>
  <si>
    <t>0128190</t>
  </si>
  <si>
    <t>00401200018253000001</t>
  </si>
  <si>
    <t>1301390000275401</t>
  </si>
  <si>
    <t>NABARAJ POUDEL</t>
  </si>
  <si>
    <t>JAGANNATH POUDEL</t>
  </si>
  <si>
    <t>BIRANCHINATH POUDEL</t>
  </si>
  <si>
    <t>79917</t>
  </si>
  <si>
    <t>0540013152900019</t>
  </si>
  <si>
    <t>1301370007890626</t>
  </si>
  <si>
    <t>SUNITA GHISING</t>
  </si>
  <si>
    <t>HIRA LAL GHISING</t>
  </si>
  <si>
    <t>PURNA GHISING</t>
  </si>
  <si>
    <t>31-01-78-09097</t>
  </si>
  <si>
    <t>0105752410351001</t>
  </si>
  <si>
    <t>1301080000149099</t>
  </si>
  <si>
    <t>SUBHADRA LAMSAL</t>
  </si>
  <si>
    <t>LILA NATH UPADHAYAYA LAMSAL</t>
  </si>
  <si>
    <t>14649</t>
  </si>
  <si>
    <t>01700501206158</t>
  </si>
  <si>
    <t>1301100000146577</t>
  </si>
  <si>
    <t>THAKUR PRASAD PANDIT</t>
  </si>
  <si>
    <t>TIKA DUTTA PANDIT</t>
  </si>
  <si>
    <t>NARAYAN DUTTA PANDIT</t>
  </si>
  <si>
    <t>283</t>
  </si>
  <si>
    <t>00120600119290000001</t>
  </si>
  <si>
    <t>1301370000116954</t>
  </si>
  <si>
    <t>Sushil Sundar Karmacharya</t>
  </si>
  <si>
    <t>Kedar Chandra Karmacharya</t>
  </si>
  <si>
    <t>Chandra Lal Karmacharya</t>
  </si>
  <si>
    <t>4615</t>
  </si>
  <si>
    <t>0169414772524001</t>
  </si>
  <si>
    <t>1301080000020108</t>
  </si>
  <si>
    <t>JASODA KARMACHARYA SAINJU</t>
  </si>
  <si>
    <t>JAGANA LAL SAINJU</t>
  </si>
  <si>
    <t>BUDDHI  SAGAR SAINJU</t>
  </si>
  <si>
    <t>5085</t>
  </si>
  <si>
    <t>00200501004423</t>
  </si>
  <si>
    <t>1301770000452694</t>
  </si>
  <si>
    <t>PARSHURAM SHARMA</t>
  </si>
  <si>
    <t>DADHIRAM UPADHYAYA/TULKI UPADHYAYA</t>
  </si>
  <si>
    <t>CHURAMANI UPADHYAYA/</t>
  </si>
  <si>
    <t>3530</t>
  </si>
  <si>
    <t>02410707367267000001</t>
  </si>
  <si>
    <t>1301370005373818</t>
  </si>
  <si>
    <t>PAWAN AGRAWAL</t>
  </si>
  <si>
    <t>JAGDISH PRASAD AGRAWAL</t>
  </si>
  <si>
    <t>DAULATRAM AGRAWAL</t>
  </si>
  <si>
    <t>53190</t>
  </si>
  <si>
    <t>3015751659326001</t>
  </si>
  <si>
    <t>1301100001661591</t>
  </si>
  <si>
    <t>PRATIMA PARAJULI</t>
  </si>
  <si>
    <t>CHAKRA PRASAD PARAJULI/KRISHNA KUMARI PARAJULI</t>
  </si>
  <si>
    <t>NANDA PRASAD PARAJULI</t>
  </si>
  <si>
    <t>04-01-74-00256</t>
  </si>
  <si>
    <t>0620153613000018</t>
  </si>
  <si>
    <t>1301370003149923</t>
  </si>
  <si>
    <t>VED PRASAD BHATTARAI</t>
  </si>
  <si>
    <t>MUKTI RAM BHATTARAI</t>
  </si>
  <si>
    <t>GPI LAL BHATTARAI</t>
  </si>
  <si>
    <t>51635</t>
  </si>
  <si>
    <t>1545751111180001</t>
  </si>
  <si>
    <t>1301240000102785</t>
  </si>
  <si>
    <t>ANISH SHARMA</t>
  </si>
  <si>
    <t>SANJEEB KUMAR SHARMA</t>
  </si>
  <si>
    <t>BALDEV SHARMA</t>
  </si>
  <si>
    <t>28-01-71-01851</t>
  </si>
  <si>
    <t>0330069473500016</t>
  </si>
  <si>
    <t>1301370000302113</t>
  </si>
  <si>
    <t>Dev Shree Tripathee</t>
  </si>
  <si>
    <t>Krishna Prasad Tripathee</t>
  </si>
  <si>
    <t>Nanda Prasad Tripathee</t>
  </si>
  <si>
    <t>037626</t>
  </si>
  <si>
    <t>3969456415524001</t>
  </si>
  <si>
    <t>1301100003240665</t>
  </si>
  <si>
    <t>KUMAR PRASAD GHIMIRE</t>
  </si>
  <si>
    <t>LILA PRASAD GHIMIRE</t>
  </si>
  <si>
    <t>2470/214</t>
  </si>
  <si>
    <t>0010012194100011</t>
  </si>
  <si>
    <t>1301020000134493</t>
  </si>
  <si>
    <t>MANMOHAN MASKEY</t>
  </si>
  <si>
    <t>KRISHNA RAJ MASKEY</t>
  </si>
  <si>
    <t>ANUMAN MASKEY/DEVRAJ MASKEY</t>
  </si>
  <si>
    <t>807</t>
  </si>
  <si>
    <t>CENTRAL FINANCE LTD.(9906)</t>
  </si>
  <si>
    <t>00501300012474000001</t>
  </si>
  <si>
    <t>1301080000116717</t>
  </si>
  <si>
    <t>KABITA REGMI</t>
  </si>
  <si>
    <t>RUKMAGAT REGMI</t>
  </si>
  <si>
    <t>SUBASH SHARMA MARASINEE</t>
  </si>
  <si>
    <t>423002/33</t>
  </si>
  <si>
    <t>04500501203671</t>
  </si>
  <si>
    <t>1301600000489591</t>
  </si>
  <si>
    <t>GOPAL PRASAD DHAKAL/PURNA KUMARI DHAKAL</t>
  </si>
  <si>
    <t>FALGUN KUMARI DEVKOTA/KHADA NANDA DHAKAL</t>
  </si>
  <si>
    <t>55/36854</t>
  </si>
  <si>
    <t>3347001009800018</t>
  </si>
  <si>
    <t>1301520002016981</t>
  </si>
  <si>
    <t>PRAJWAL KANT MAINALI</t>
  </si>
  <si>
    <t>LATE.GAURI KANT MAINALI / GOMA MAINALI</t>
  </si>
  <si>
    <t>MUKTIMAN MAINALI</t>
  </si>
  <si>
    <t>1487-43560</t>
  </si>
  <si>
    <t>0220013844600001</t>
  </si>
  <si>
    <t>1301120001889902</t>
  </si>
  <si>
    <t>KAMALA THAPA</t>
  </si>
  <si>
    <t>KRISHNA BAHADUR THAPA</t>
  </si>
  <si>
    <t>MANBIRE THAPA</t>
  </si>
  <si>
    <t>261/65836</t>
  </si>
  <si>
    <t>07507010015231</t>
  </si>
  <si>
    <t>1301020000134854</t>
  </si>
  <si>
    <t>MANMITA MASKEY</t>
  </si>
  <si>
    <t>AJAYRAM SHRESTHA/KRISHNA RAJ MASKEY</t>
  </si>
  <si>
    <t>13644</t>
  </si>
  <si>
    <t>00500900013218000001</t>
  </si>
  <si>
    <t>1301040000189353</t>
  </si>
  <si>
    <t>SAKSHAM SAH</t>
  </si>
  <si>
    <t>SRI PRASAD SAH/SUSHMA SAH</t>
  </si>
  <si>
    <t>JHAULI SAH</t>
  </si>
  <si>
    <t>100138</t>
  </si>
  <si>
    <t>0710017508231</t>
  </si>
  <si>
    <t>1301440000454540</t>
  </si>
  <si>
    <t>SHIWARAJ RAI</t>
  </si>
  <si>
    <t>MOHAN BAHADUR RAI</t>
  </si>
  <si>
    <t>KARMABIR RAI</t>
  </si>
  <si>
    <t>7921</t>
  </si>
  <si>
    <t>03607010073200</t>
  </si>
  <si>
    <t>1301020000134869</t>
  </si>
  <si>
    <t>ANUMAN MASKEY</t>
  </si>
  <si>
    <t>LAL BAHADUR BANEPALI</t>
  </si>
  <si>
    <t>837/040</t>
  </si>
  <si>
    <t>00500900013357000001</t>
  </si>
  <si>
    <t>1301040000291361</t>
  </si>
  <si>
    <t>SHREYA SAH</t>
  </si>
  <si>
    <t>SHREE PRASAD SAH / SUSHMA SAH</t>
  </si>
  <si>
    <t>JHAVLI SAH</t>
  </si>
  <si>
    <t>0710017509382</t>
  </si>
  <si>
    <t>1301040000180517</t>
  </si>
  <si>
    <t>SHREE PRASAD SAH</t>
  </si>
  <si>
    <t>JHAULI SAH/GULMAIN DEVI SAH</t>
  </si>
  <si>
    <t>KARI SAH/SUSHMA SAH</t>
  </si>
  <si>
    <t>4087</t>
  </si>
  <si>
    <t>0710017502596</t>
  </si>
  <si>
    <t>1301760000998042</t>
  </si>
  <si>
    <t>DEVANSH PAUDEL</t>
  </si>
  <si>
    <t>LALCHANDRA PAUDEL</t>
  </si>
  <si>
    <t>NARHARI PAHAYA</t>
  </si>
  <si>
    <t>2080062201884</t>
  </si>
  <si>
    <t>03311801268757000001</t>
  </si>
  <si>
    <t>1301190000194304</t>
  </si>
  <si>
    <t>LILAMANI KHANAL</t>
  </si>
  <si>
    <t>JANARDAN KHANAL</t>
  </si>
  <si>
    <t>KULANANDA KHANAL</t>
  </si>
  <si>
    <t>401002/1529</t>
  </si>
  <si>
    <t>04707010005963</t>
  </si>
  <si>
    <t>1301230000020817</t>
  </si>
  <si>
    <t>Dhiraj Rai</t>
  </si>
  <si>
    <t>Bhagat Mani  Rai</t>
  </si>
  <si>
    <t>Sunita Sherma / Bhakt Bahadur Rai</t>
  </si>
  <si>
    <t>010000011610</t>
  </si>
  <si>
    <t>1301060001462078</t>
  </si>
  <si>
    <t>AAYUSH KARKI</t>
  </si>
  <si>
    <t>BISHNU KUMAR KARKI</t>
  </si>
  <si>
    <t>LOK BAHADUR KARKI</t>
  </si>
  <si>
    <t>28-01-066-01660</t>
  </si>
  <si>
    <t>04005080268257</t>
  </si>
  <si>
    <t>1301120001889653</t>
  </si>
  <si>
    <t>ANIT THAPA</t>
  </si>
  <si>
    <t>KALE THAPA</t>
  </si>
  <si>
    <t>26-01-73-07346</t>
  </si>
  <si>
    <t>07507010015243</t>
  </si>
  <si>
    <t>1301090003729398</t>
  </si>
  <si>
    <t>SURAJ SUNUWAR</t>
  </si>
  <si>
    <t>PADAM BAHADUR SUNUWAR</t>
  </si>
  <si>
    <t>GANESH BAHADUR SUNUWAR</t>
  </si>
  <si>
    <t>22-01-73-04496</t>
  </si>
  <si>
    <t>01720324280</t>
  </si>
  <si>
    <t>1301120001890059</t>
  </si>
  <si>
    <t>ALINA THAPA</t>
  </si>
  <si>
    <t>26-01-78-09532</t>
  </si>
  <si>
    <t>07507010015248</t>
  </si>
  <si>
    <t>1301090000103008</t>
  </si>
  <si>
    <t>OM BHAKTA UPRETY</t>
  </si>
  <si>
    <t>SHAMBHU BHAKTA UPRETY</t>
  </si>
  <si>
    <t>LAXMI BHAKTA  UPRETY</t>
  </si>
  <si>
    <t>8409</t>
  </si>
  <si>
    <t>00815304927</t>
  </si>
  <si>
    <t>1301120001892421</t>
  </si>
  <si>
    <t>ALISHA THAPA</t>
  </si>
  <si>
    <t>26-01-79-01792</t>
  </si>
  <si>
    <t>07507010015245</t>
  </si>
  <si>
    <t>1301120001889896</t>
  </si>
  <si>
    <t>26/4612</t>
  </si>
  <si>
    <t>07507010015244</t>
  </si>
  <si>
    <t>1301690000446707</t>
  </si>
  <si>
    <t>HEMANTA BARAL</t>
  </si>
  <si>
    <t>YUBRAJBARAL/SOVA BARAL</t>
  </si>
  <si>
    <t>DURGA PRASAD BARAL</t>
  </si>
  <si>
    <t>011027/2078</t>
  </si>
  <si>
    <t>02501000000377601625</t>
  </si>
  <si>
    <t>1301370005341528</t>
  </si>
  <si>
    <t>VISHMA RAJ PRASAIN</t>
  </si>
  <si>
    <t>DEVI PRASAD PRASAIN</t>
  </si>
  <si>
    <t>JEVNATH PRASAIN</t>
  </si>
  <si>
    <t>04-01-71-02328</t>
  </si>
  <si>
    <t>0957038249852401</t>
  </si>
  <si>
    <t>1301720000475767</t>
  </si>
  <si>
    <t>SAHADEV PRADHAN</t>
  </si>
  <si>
    <t>YOG NARAYAN/HOM KUMARI</t>
  </si>
  <si>
    <t>NAR BAHADUR</t>
  </si>
  <si>
    <t>03-2-026/1303</t>
  </si>
  <si>
    <t>0601001433714011</t>
  </si>
  <si>
    <t>1301070000123719</t>
  </si>
  <si>
    <t>Kamal Thapa</t>
  </si>
  <si>
    <t>Sal Bahadur Thapa</t>
  </si>
  <si>
    <t>Tek Bahadur Thapa</t>
  </si>
  <si>
    <t>4753/836</t>
  </si>
  <si>
    <t>03609015001374</t>
  </si>
  <si>
    <t>1301100000004645</t>
  </si>
  <si>
    <t>SUBHASH KHANDELWAL</t>
  </si>
  <si>
    <t>LAKSHMAN PRASAD KHANDELWAL</t>
  </si>
  <si>
    <t>SONIA KHANDELWAL/BANSHIDHAR KHANDELWAL</t>
  </si>
  <si>
    <t>160320386</t>
  </si>
  <si>
    <t>01920500120727000001</t>
  </si>
  <si>
    <t>1301100000075428</t>
  </si>
  <si>
    <t>HIMANSHU KHANDELWAL</t>
  </si>
  <si>
    <t>9222</t>
  </si>
  <si>
    <t>01920500393745000001</t>
  </si>
  <si>
    <t>1301100000075432</t>
  </si>
  <si>
    <t>HARSH KHANDELWAL</t>
  </si>
  <si>
    <t>3213</t>
  </si>
  <si>
    <t>01920500393740000001</t>
  </si>
  <si>
    <t>1301090004355390</t>
  </si>
  <si>
    <t>AASH BAHADUR RAI</t>
  </si>
  <si>
    <t>CHANDRA DHOWJ RAI</t>
  </si>
  <si>
    <t>AMRIT BAHADUR  RAI</t>
  </si>
  <si>
    <t>10-01-80-01373</t>
  </si>
  <si>
    <t>55507397362</t>
  </si>
  <si>
    <t>1301040000374296</t>
  </si>
  <si>
    <t>ANUPA SHRESTHA</t>
  </si>
  <si>
    <t>MAN PRASAD SHRESTHA/MAYA DEVI SHRESTHA</t>
  </si>
  <si>
    <t>271060/898</t>
  </si>
  <si>
    <t>0310017508170</t>
  </si>
  <si>
    <t>1301250000213651</t>
  </si>
  <si>
    <t>USHA DEVKOTA</t>
  </si>
  <si>
    <t>KHADGA BAHADUR DEVKOTA</t>
  </si>
  <si>
    <t>UMES SEDAI/ JAY BAHADUR DEVKOTA</t>
  </si>
  <si>
    <t>752/3319</t>
  </si>
  <si>
    <t>01715051279</t>
  </si>
  <si>
    <t>1301120003557697</t>
  </si>
  <si>
    <t>manpura kumari pandey kutal</t>
  </si>
  <si>
    <t>yogeshwor pandey</t>
  </si>
  <si>
    <t>ammar bahadur kutal</t>
  </si>
  <si>
    <t>246-76</t>
  </si>
  <si>
    <t>16107010000198</t>
  </si>
  <si>
    <t>1301570001170295</t>
  </si>
  <si>
    <t>KRISHNA BASNET</t>
  </si>
  <si>
    <t>CHOODA MANI BASNET</t>
  </si>
  <si>
    <t>TAK BAHADUR BASNET</t>
  </si>
  <si>
    <t>88413/89413</t>
  </si>
  <si>
    <t>05910707723394000001</t>
  </si>
  <si>
    <t>1301570000001684</t>
  </si>
  <si>
    <t>Sneha Shah</t>
  </si>
  <si>
    <t>4397</t>
  </si>
  <si>
    <t>21701000198235000001</t>
  </si>
  <si>
    <t>1301570000001699</t>
  </si>
  <si>
    <t>Shreya Shah</t>
  </si>
  <si>
    <t>317</t>
  </si>
  <si>
    <t>00201100532570000001</t>
  </si>
  <si>
    <t>1301100000063108</t>
  </si>
  <si>
    <t>GEETA SHRESTHA RAI</t>
  </si>
  <si>
    <t>SUKHA BAHADUR RAI</t>
  </si>
  <si>
    <t>KIRAN BDR SHRESTHA</t>
  </si>
  <si>
    <t>12547</t>
  </si>
  <si>
    <t>02322000142283000002</t>
  </si>
  <si>
    <t>1301580000995887</t>
  </si>
  <si>
    <t>NAJIP SHAKYA</t>
  </si>
  <si>
    <t>RAM KAJI SHAKYA/PREMSHOVA SHAKYA</t>
  </si>
  <si>
    <t>RATNA RAJ SHAKYA/PARAMI DHAKHWA</t>
  </si>
  <si>
    <t>79587</t>
  </si>
  <si>
    <t>005011060000774</t>
  </si>
  <si>
    <t>1301550000107368</t>
  </si>
  <si>
    <t>DHAN KUMAR RAI</t>
  </si>
  <si>
    <t>KABIR MAN RAI</t>
  </si>
  <si>
    <t>377402482581415</t>
  </si>
  <si>
    <t>04007010005997</t>
  </si>
  <si>
    <t>1301120000685311</t>
  </si>
  <si>
    <t>Bivek Aryal</t>
  </si>
  <si>
    <t>Babu Ram Aryal</t>
  </si>
  <si>
    <t>Yagya Prasad Aryal</t>
  </si>
  <si>
    <t>14515</t>
  </si>
  <si>
    <t>12sb067308npr001</t>
  </si>
  <si>
    <t>1301610001884591</t>
  </si>
  <si>
    <t>CHOLINDRA PRASAD BHATTARAI</t>
  </si>
  <si>
    <t>POST NATH BHATTARAI</t>
  </si>
  <si>
    <t>JANAK LAL BHATTARAI</t>
  </si>
  <si>
    <t>41514/2362</t>
  </si>
  <si>
    <t>0150939780100012</t>
  </si>
  <si>
    <t>1301090000448249</t>
  </si>
  <si>
    <t>JAY PRASAD SAPKOTA</t>
  </si>
  <si>
    <t>PREM PRASAD SAPKOTA</t>
  </si>
  <si>
    <t>NANDALAL SAPKOTA</t>
  </si>
  <si>
    <t>10103</t>
  </si>
  <si>
    <t>0360044445300011</t>
  </si>
  <si>
    <t>1301120005352271</t>
  </si>
  <si>
    <t>DIKSHYA RANA</t>
  </si>
  <si>
    <t>YUBRAJ RANA</t>
  </si>
  <si>
    <t>YAMM BAHADUR RANA</t>
  </si>
  <si>
    <t>37-02-76-03494</t>
  </si>
  <si>
    <t>24507010094841</t>
  </si>
  <si>
    <t>1301120000823353</t>
  </si>
  <si>
    <t>Amar Poudel</t>
  </si>
  <si>
    <t>Buddhi Sagar Poudel</t>
  </si>
  <si>
    <t>Pratibha Ojha</t>
  </si>
  <si>
    <t>50506</t>
  </si>
  <si>
    <t>09307010000791</t>
  </si>
  <si>
    <t>1301260002596599</t>
  </si>
  <si>
    <t>ANARAM THAPA/SASI THAPA</t>
  </si>
  <si>
    <t>RUDRABIR THAPA</t>
  </si>
  <si>
    <t>455140</t>
  </si>
  <si>
    <t>1420114197200011</t>
  </si>
  <si>
    <t>1301370001919354</t>
  </si>
  <si>
    <t>Asin Soti</t>
  </si>
  <si>
    <t>Krishna Prasad Soti</t>
  </si>
  <si>
    <t>Maha Prasad Soti</t>
  </si>
  <si>
    <t>35-01-79-13199</t>
  </si>
  <si>
    <t>1045750577541001</t>
  </si>
  <si>
    <t>1301230000055620</t>
  </si>
  <si>
    <t>Bhuban Bahadur Thapa</t>
  </si>
  <si>
    <t>Sujata Adhikari Thapa / Hira Bahadur Thapa</t>
  </si>
  <si>
    <t>889/2535</t>
  </si>
  <si>
    <t>02105080020174</t>
  </si>
  <si>
    <t>1301650001287023</t>
  </si>
  <si>
    <t>DHARBENDRA SUNUWAR</t>
  </si>
  <si>
    <t>LAL BAHADUR SUNUWAR</t>
  </si>
  <si>
    <t>PARS BAHADUR SUNUWAR/</t>
  </si>
  <si>
    <t>091038207</t>
  </si>
  <si>
    <t>2040100020740010</t>
  </si>
  <si>
    <t>1301260000064212</t>
  </si>
  <si>
    <t>MILAN KUMAL</t>
  </si>
  <si>
    <t>BHAKTA BDR KUMAL</t>
  </si>
  <si>
    <t>JYAMTA BDR KUMAL</t>
  </si>
  <si>
    <t>441025/1166</t>
  </si>
  <si>
    <t>0310017506045</t>
  </si>
  <si>
    <t>1301220000343737</t>
  </si>
  <si>
    <t>ROSHAN NEUPANE</t>
  </si>
  <si>
    <t>PREM RAJ NEUPANE</t>
  </si>
  <si>
    <t>1803</t>
  </si>
  <si>
    <t>04310230151017</t>
  </si>
  <si>
    <t>1301070001279813</t>
  </si>
  <si>
    <t>Saroj Ghimire</t>
  </si>
  <si>
    <t>Shivaraj Ghimire</t>
  </si>
  <si>
    <t>Ganesh Prasad Ghimire</t>
  </si>
  <si>
    <t>211031/4599</t>
  </si>
  <si>
    <t>09945003172</t>
  </si>
  <si>
    <t>1301370000229681</t>
  </si>
  <si>
    <t>Krishna Bayalkoti</t>
  </si>
  <si>
    <t>Kancha Bayalkoti</t>
  </si>
  <si>
    <t>Gofula Bayalkoti</t>
  </si>
  <si>
    <t>002722</t>
  </si>
  <si>
    <t>1169443261524001</t>
  </si>
  <si>
    <t>1301370007412211</t>
  </si>
  <si>
    <t>DAMMAR BAHADUR BOHAR</t>
  </si>
  <si>
    <t>MANUWA BOHARA</t>
  </si>
  <si>
    <t>RAIMATI DEVI BOHARA</t>
  </si>
  <si>
    <t>578000243</t>
  </si>
  <si>
    <t>0245753058491001</t>
  </si>
  <si>
    <t>1301330000096081</t>
  </si>
  <si>
    <t>AARAVI DHUNGANA</t>
  </si>
  <si>
    <t>SUDARSHAN DHUNGANA</t>
  </si>
  <si>
    <t>RAJENDRA PRASAD DHUNGANA</t>
  </si>
  <si>
    <t>100022</t>
  </si>
  <si>
    <t>2805750946609001</t>
  </si>
  <si>
    <t>1301770000278841</t>
  </si>
  <si>
    <t>DURGA DEVI SUBEDI</t>
  </si>
  <si>
    <t>CHET BHAKTA OJA</t>
  </si>
  <si>
    <t>SASIDHAR OJA</t>
  </si>
  <si>
    <t>139945</t>
  </si>
  <si>
    <t>04207164170018</t>
  </si>
  <si>
    <t>1301770000300401</t>
  </si>
  <si>
    <t>PRATIGYA SUBEDI</t>
  </si>
  <si>
    <t>BISHOW PRAKASH SUBEDI/DURGA DEVI SUBEDI</t>
  </si>
  <si>
    <t>BASANTA SUBEDI</t>
  </si>
  <si>
    <t>8</t>
  </si>
  <si>
    <t>04209602180019</t>
  </si>
  <si>
    <t>1301770000324433</t>
  </si>
  <si>
    <t>PRASIDDHA SUBDEI</t>
  </si>
  <si>
    <t>BISHOW PRAKASH SUBEDI</t>
  </si>
  <si>
    <t>100173</t>
  </si>
  <si>
    <t>04209602200017</t>
  </si>
  <si>
    <t>1301060000640852</t>
  </si>
  <si>
    <t>BIR SUNDAR BISTA</t>
  </si>
  <si>
    <t>SHYAM SUNDAR BISTA</t>
  </si>
  <si>
    <t>BISHNU BAHADUR BISTA</t>
  </si>
  <si>
    <t>30-01-77-00295</t>
  </si>
  <si>
    <t>039011080000090</t>
  </si>
  <si>
    <t>Total Amount</t>
  </si>
  <si>
    <t>Rastriya Banijya Bank Limited
7 Year 7% RBBL Debenture 2088</t>
  </si>
  <si>
    <t>Private Placement Related Data</t>
  </si>
  <si>
    <t>Applicant Name</t>
  </si>
  <si>
    <t>Amount</t>
  </si>
  <si>
    <t>Final Allotte</t>
  </si>
  <si>
    <t>Allotee Amount</t>
  </si>
  <si>
    <t>Bank Name</t>
  </si>
  <si>
    <t>Bank Account Nmber</t>
  </si>
  <si>
    <t>1301500000216872</t>
  </si>
  <si>
    <t>Guardian Micro Life Insurance Limited</t>
  </si>
  <si>
    <t>Nepal Investment Mega Bank Ltd.</t>
  </si>
  <si>
    <t>00101010343923</t>
  </si>
  <si>
    <t>1301040000124641</t>
  </si>
  <si>
    <t>Rastriya Banijya Bank Retirement fund</t>
  </si>
  <si>
    <t>Rastriya Banijya Bank Ltd.</t>
  </si>
  <si>
    <t>1430100017780011</t>
  </si>
  <si>
    <t>1301630000100578</t>
  </si>
  <si>
    <t>Kumari Bank Retirement Fund</t>
  </si>
  <si>
    <t>Kumari Bank Ltd.</t>
  </si>
  <si>
    <t>2040245375400001</t>
  </si>
  <si>
    <t>1301060001077741</t>
  </si>
  <si>
    <t>Citizen Life Insurance company</t>
  </si>
  <si>
    <t>00101010326506</t>
  </si>
  <si>
    <t>1301480000023597</t>
  </si>
  <si>
    <t>Himalayan Everest Insurance Ltd</t>
  </si>
  <si>
    <t>Global Ime Bank Ltd.</t>
  </si>
  <si>
    <t>34401010000085</t>
  </si>
  <si>
    <t>1301500000208728</t>
  </si>
  <si>
    <t>Nepal Micro insurance Company ltd</t>
  </si>
  <si>
    <t>00101010343916</t>
  </si>
  <si>
    <t>1301520001657490</t>
  </si>
  <si>
    <t>Citizen Investment Trust</t>
  </si>
  <si>
    <t>0010001996400001</t>
  </si>
  <si>
    <t>1301580000397494</t>
  </si>
  <si>
    <t>Nepal Clearing House Ltd</t>
  </si>
  <si>
    <t>Nic Asia Bank Ltd.</t>
  </si>
  <si>
    <t>3241051536352401</t>
  </si>
  <si>
    <t>1301120005319639</t>
  </si>
  <si>
    <t>Nepal Development Public Limited</t>
  </si>
  <si>
    <t>03301010011404</t>
  </si>
  <si>
    <t>1301490000152282</t>
  </si>
  <si>
    <t>Aadhyanta Fund Management Limited</t>
  </si>
  <si>
    <t>Laxmi Sunrise Bank Ltd.</t>
  </si>
  <si>
    <t>0151031664701001</t>
  </si>
  <si>
    <t>1301220000425805</t>
  </si>
  <si>
    <t>Global IME Retirement Fund</t>
  </si>
  <si>
    <t>17201010000610</t>
  </si>
  <si>
    <t>1301070000040330</t>
  </si>
  <si>
    <t>00534000056</t>
  </si>
  <si>
    <t>1301060000784608</t>
  </si>
  <si>
    <t>Rastriya Beema Company Ltd</t>
  </si>
  <si>
    <t>00101010027675</t>
  </si>
  <si>
    <t>1301040000324829</t>
  </si>
  <si>
    <t>Nabil Bank Ltd.</t>
  </si>
  <si>
    <t>1301440000068163</t>
  </si>
  <si>
    <t>IME Life Insurance Company Ltd</t>
  </si>
  <si>
    <t>Prabhu Bank ltd.</t>
  </si>
  <si>
    <t>1301720000102509</t>
  </si>
  <si>
    <t>Staff Retirement Fund Management Office</t>
  </si>
  <si>
    <t>Agriculture Devlopment Bank  ltd.</t>
  </si>
  <si>
    <t>0100200003841711</t>
  </si>
  <si>
    <t>1301580000697989</t>
  </si>
  <si>
    <t>Social Securities Fund</t>
  </si>
  <si>
    <t>1850100000047001</t>
  </si>
  <si>
    <t>1301090000262823</t>
  </si>
  <si>
    <t>Nepal Insurance Company Ltd</t>
  </si>
  <si>
    <t>0010000309800003</t>
  </si>
  <si>
    <t>1301500000241033</t>
  </si>
  <si>
    <t>Crest Micro Life Insurance Ltd</t>
  </si>
  <si>
    <t>01430100003178001</t>
  </si>
  <si>
    <t>1301120000956561</t>
  </si>
  <si>
    <t>Reliable Nepal Life Insurance Ltd</t>
  </si>
  <si>
    <t>2460100000326001</t>
  </si>
  <si>
    <t>1301090000027233</t>
  </si>
  <si>
    <t>Nepal Life Insurance Company Ltd</t>
  </si>
  <si>
    <t>Siddhartha Bank Ltd.</t>
  </si>
  <si>
    <t>00115287064</t>
  </si>
  <si>
    <t>1301040000004311</t>
  </si>
  <si>
    <t>Life Insurance Corporation Nepal Ltd</t>
  </si>
  <si>
    <t>Citizen Bank International Ltd.</t>
  </si>
  <si>
    <t>0010100000001304</t>
  </si>
  <si>
    <t>1301570000078697</t>
  </si>
  <si>
    <t>Nepal Bank Ltd.</t>
  </si>
  <si>
    <t>00212000497894000001</t>
  </si>
  <si>
    <t xml:space="preserve">Total </t>
  </si>
  <si>
    <t>S.N.</t>
  </si>
  <si>
    <t>Name</t>
  </si>
  <si>
    <t>Alloted Quantitiy</t>
  </si>
  <si>
    <t>CIT- Citizen Unit Scheme </t>
  </si>
  <si>
    <t>KUMARI SUNAULO LAGANI YOJANA </t>
  </si>
  <si>
    <t>MUKTINATH MUTUAL FUND 1</t>
  </si>
  <si>
    <t>NABIL FLEXI CAP FUND</t>
  </si>
  <si>
    <t>NIC ASIA DYNAMIC DEBT FUND</t>
  </si>
  <si>
    <t>TOTAL</t>
  </si>
  <si>
    <t>BANK NAME</t>
  </si>
  <si>
    <t>BANK AC. NO.</t>
  </si>
  <si>
    <t>FROM</t>
  </si>
  <si>
    <t>TO</t>
  </si>
  <si>
    <t>DAYS</t>
  </si>
  <si>
    <t>INT. @ 7%</t>
  </si>
  <si>
    <t>INT. PER DAY</t>
  </si>
  <si>
    <t>INTEREST-Pumori</t>
  </si>
  <si>
    <t>NET INTEREST PAYABLE</t>
  </si>
  <si>
    <t>TAX</t>
  </si>
  <si>
    <t>BANK CODE</t>
  </si>
  <si>
    <t>TAX @6%</t>
  </si>
  <si>
    <t>TAX @15%</t>
  </si>
  <si>
    <t>TAX EXEPMTED</t>
  </si>
  <si>
    <t>NAME</t>
  </si>
  <si>
    <t>KITTA</t>
  </si>
  <si>
    <t>PUBLIC TOTAL</t>
  </si>
  <si>
    <t>PRIVATE TOTAL</t>
  </si>
  <si>
    <t>MUTUAL FUND TOTAL</t>
  </si>
  <si>
    <t>INTEREST PUMORI</t>
  </si>
  <si>
    <t>02703696540018</t>
  </si>
  <si>
    <t>0701</t>
  </si>
  <si>
    <t>Himalayan Bank Ltd.-New Baneshwor Branch</t>
  </si>
  <si>
    <t>0430269908900001</t>
  </si>
  <si>
    <t>Kumari Bank Ltd.-Naxal Branch</t>
  </si>
  <si>
    <t>13910201305598000001</t>
  </si>
  <si>
    <t>Muktinath Bikas Bank Ltd.-Jamal Branch</t>
  </si>
  <si>
    <t>00301017501747</t>
  </si>
  <si>
    <t>Nabil Bank Ltd.-Newroad Branch</t>
  </si>
  <si>
    <t>0401</t>
  </si>
  <si>
    <t>0544150039921002</t>
  </si>
  <si>
    <t>NIC Asia Bank Ltd.-Tripureswor Branch</t>
  </si>
  <si>
    <t>2301</t>
  </si>
  <si>
    <t>0201</t>
  </si>
  <si>
    <t>0301</t>
  </si>
  <si>
    <t>Bank Code</t>
  </si>
  <si>
    <t>1901</t>
  </si>
  <si>
    <t>2501</t>
  </si>
  <si>
    <t>1801</t>
  </si>
  <si>
    <t>0501</t>
  </si>
  <si>
    <t>9906</t>
  </si>
  <si>
    <t>2001</t>
  </si>
  <si>
    <t>1001</t>
  </si>
  <si>
    <t>7502</t>
  </si>
  <si>
    <t>6601</t>
  </si>
  <si>
    <t>9001</t>
  </si>
  <si>
    <t>7517</t>
  </si>
  <si>
    <t>9915</t>
  </si>
  <si>
    <t>8301</t>
  </si>
  <si>
    <t>9919</t>
  </si>
  <si>
    <t>6001</t>
  </si>
  <si>
    <t>6801</t>
  </si>
  <si>
    <t>1601</t>
  </si>
  <si>
    <t>2201</t>
  </si>
  <si>
    <t>5401</t>
  </si>
  <si>
    <t>1501</t>
  </si>
  <si>
    <t>9931</t>
  </si>
  <si>
    <t>9935</t>
  </si>
  <si>
    <t>7201</t>
  </si>
  <si>
    <t>0101</t>
  </si>
  <si>
    <t>0801</t>
  </si>
  <si>
    <t>2601</t>
  </si>
  <si>
    <t>2101</t>
  </si>
  <si>
    <t>4501</t>
  </si>
  <si>
    <t>7301</t>
  </si>
  <si>
    <t>8101</t>
  </si>
  <si>
    <t>0601</t>
  </si>
  <si>
    <t xml:space="preserve">REMARKS </t>
  </si>
  <si>
    <t>STATUS</t>
  </si>
  <si>
    <t>APPROVED DATE</t>
  </si>
  <si>
    <t>Nepal Bank Karmachari Awakash Kosh Byawasthapan Trust</t>
  </si>
  <si>
    <t>REMARKS</t>
  </si>
  <si>
    <t>APPROVE DATE</t>
  </si>
  <si>
    <t>ROUNDUP</t>
  </si>
  <si>
    <t>18333729401</t>
  </si>
  <si>
    <t>18150566101</t>
  </si>
  <si>
    <t>SUCCESS</t>
  </si>
  <si>
    <t>REJECT</t>
  </si>
  <si>
    <t>0106017500009</t>
  </si>
  <si>
    <t>Nabil Bank Ltd Re/Fund </t>
  </si>
  <si>
    <t>Account Name Mismatch.</t>
  </si>
  <si>
    <t>REMITTANCE A/C</t>
  </si>
  <si>
    <t>Account Freezed.</t>
  </si>
  <si>
    <t>SUCCESS/REJECT</t>
  </si>
  <si>
    <t>IPS LATE RETURN</t>
  </si>
  <si>
    <t>0860092658400022</t>
  </si>
  <si>
    <t>Laxmi Bank Limited Retirement Fund</t>
  </si>
  <si>
    <t>RABITA BAJRACHARYA(SHAKYA)</t>
  </si>
  <si>
    <t>TEKU LOT 2</t>
  </si>
  <si>
    <t>LOT</t>
  </si>
  <si>
    <t>THAPATHALI LOT 3</t>
  </si>
  <si>
    <t>ASMIN SILWAL</t>
  </si>
  <si>
    <t>REJECT/SUCCESS</t>
  </si>
  <si>
    <t>Global IME Bank Ltd.-Kantipath Branch</t>
  </si>
  <si>
    <t>201</t>
  </si>
  <si>
    <t>Rastriya Banijya Bank Ltd.-Central Office</t>
  </si>
  <si>
    <t>1130100036065010</t>
  </si>
  <si>
    <t>Nabil Bank Ltd.-Personal Lending Branch</t>
  </si>
  <si>
    <t>Global IME Bank Ltd.-TU Kirtipur Branch</t>
  </si>
  <si>
    <t>0507010000419</t>
  </si>
  <si>
    <t>Himalayan Bank Ltd.-Head Office</t>
  </si>
  <si>
    <t>Global IME Bank Ltd.-LANKU BRANCH</t>
  </si>
  <si>
    <t>34507010004909</t>
  </si>
  <si>
    <t>NIC Asia Bank Ltd.-Bhaktapur Branch</t>
  </si>
  <si>
    <t>085753253914001</t>
  </si>
  <si>
    <t>Himalayan Bank Ltd.-Chabahil Branch</t>
  </si>
  <si>
    <t>01303052480019</t>
  </si>
  <si>
    <t>Himalayan Bank Ltd.-Janakpur Branch</t>
  </si>
  <si>
    <t>06201171900015</t>
  </si>
  <si>
    <t>3007010000152</t>
  </si>
  <si>
    <t>0754364456524001</t>
  </si>
  <si>
    <t>Global IME Bank Ltd.-Panipokhari Branch</t>
  </si>
  <si>
    <t>03307010090614</t>
  </si>
  <si>
    <t>00410017508907</t>
  </si>
  <si>
    <t>04622075110028</t>
  </si>
  <si>
    <t>Kumari Bank Ltd.-Rangeli Branch</t>
  </si>
  <si>
    <t>048011924360001</t>
  </si>
  <si>
    <t>Rastriya Banijya Bank Ltd.-Pulchowk Branch</t>
  </si>
  <si>
    <t>1140100026036010</t>
  </si>
  <si>
    <t>Nabil Bank Ltd.-New Baneshwor Branch</t>
  </si>
  <si>
    <t>3110017520875</t>
  </si>
  <si>
    <t>Laxmi Sunrise Bank Limited.-Tinkune Branch</t>
  </si>
  <si>
    <t>00610010136019</t>
  </si>
  <si>
    <t>Himalayan Bank Ltd.-Bhadrapur Branch</t>
  </si>
  <si>
    <t>29750427620016</t>
  </si>
  <si>
    <t>3101</t>
  </si>
  <si>
    <t>Century Commercial Bank Limited.-Manbhawan Branch 2</t>
  </si>
  <si>
    <t>0080000152GA</t>
  </si>
  <si>
    <t>1101</t>
  </si>
  <si>
    <t>Bank of Kathmandu Ltd.-Chabahil Branch</t>
  </si>
  <si>
    <t>032600001255524</t>
  </si>
  <si>
    <t>NEW PENDING</t>
  </si>
  <si>
    <t>MERGER</t>
  </si>
  <si>
    <t>DIVIDEND SUMMARY</t>
  </si>
  <si>
    <t>PUBLIC SUCCESS</t>
  </si>
  <si>
    <t>PUBLIC REJECT AND REMAINING</t>
  </si>
  <si>
    <t>ROUND UP TOTAL</t>
  </si>
  <si>
    <t>PRIVATE SUCCESS</t>
  </si>
  <si>
    <t>TAX EXEMPTED SUCCESS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</si>
</sst>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5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20">
    <xf numFmtId="0" fontId="0" fillId="0" borderId="0" xfId="0"/>
    <xf numFmtId="0" fontId="0" fillId="0" borderId="0" xfId="0" applyAlignment="1">
      <alignment wrapText="1"/>
    </xf>
    <xf numFmtId="0" fontId="0" fillId="0" borderId="1" xfId="0" applyBorder="1"/>
    <xf numFmtId="43" fontId="0" fillId="0" borderId="1" xfId="1" applyFont="1" applyBorder="1"/>
    <xf numFmtId="164" fontId="2" fillId="0" borderId="1" xfId="0" applyNumberFormat="1" applyFont="1" applyBorder="1"/>
    <xf numFmtId="0" fontId="0" fillId="0" borderId="1" xfId="0" applyBorder="1" applyAlignment="1">
      <alignment horizontal="center" wrapText="1"/>
    </xf>
    <xf numFmtId="49" fontId="0" fillId="0" borderId="1" xfId="0" applyNumberFormat="1" applyBorder="1" applyAlignment="1">
      <alignment wrapText="1"/>
    </xf>
    <xf numFmtId="0" fontId="0" fillId="0" borderId="1" xfId="0" applyBorder="1" applyAlignment="1">
      <alignment wrapText="1"/>
    </xf>
    <xf numFmtId="164" fontId="0" fillId="0" borderId="1" xfId="0" applyNumberFormat="1" applyBorder="1" applyAlignment="1">
      <alignment wrapText="1"/>
    </xf>
    <xf numFmtId="43" fontId="0" fillId="0" borderId="1" xfId="1" applyFont="1" applyFill="1" applyBorder="1" applyAlignment="1">
      <alignment wrapText="1"/>
    </xf>
    <xf numFmtId="43" fontId="0" fillId="0" borderId="1" xfId="1" quotePrefix="1" applyFont="1" applyFill="1" applyBorder="1" applyAlignment="1">
      <alignment wrapText="1"/>
    </xf>
    <xf numFmtId="0" fontId="2" fillId="0" borderId="2" xfId="0" applyFont="1" applyBorder="1" applyAlignment="1">
      <alignment horizontal="center" wrapText="1"/>
    </xf>
    <xf numFmtId="0" fontId="2" fillId="0" borderId="3" xfId="0" applyFont="1" applyBorder="1" applyAlignment="1">
      <alignment horizontal="center" wrapText="1"/>
    </xf>
    <xf numFmtId="0" fontId="2" fillId="0" borderId="4" xfId="0" applyFont="1" applyBorder="1" applyAlignment="1">
      <alignment horizontal="center" wrapText="1"/>
    </xf>
    <xf numFmtId="43" fontId="2" fillId="0" borderId="1" xfId="0" applyNumberFormat="1" applyFont="1" applyBorder="1" applyAlignment="1">
      <alignment wrapText="1"/>
    </xf>
    <xf numFmtId="43" fontId="2" fillId="0" borderId="1" xfId="1" applyFont="1" applyFill="1" applyBorder="1" applyAlignment="1">
      <alignment wrapText="1"/>
    </xf>
    <xf numFmtId="43" fontId="2" fillId="0" borderId="1" xfId="0" applyNumberFormat="1" applyFont="1" applyBorder="1"/>
    <xf numFmtId="164" fontId="0" fillId="0" borderId="1" xfId="0" applyNumberFormat="1" applyBorder="1" applyAlignment="1">
      <alignment horizontal="center"/>
    </xf>
    <xf numFmtId="0" fontId="2" fillId="0" borderId="1" xfId="0" applyFont="1" applyBorder="1"/>
    <xf numFmtId="0" fontId="3" fillId="0" borderId="5" xfId="0" applyFont="1" applyBorder="1"/>
    <xf numFmtId="0" fontId="3" fillId="0" borderId="0" xfId="0" applyFont="1"/>
    <xf numFmtId="0" fontId="3" fillId="0" borderId="6" xfId="0" applyFont="1" applyBorder="1"/>
    <xf numFmtId="0" fontId="3" fillId="0" borderId="7" xfId="0" applyFont="1" applyBorder="1"/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5" fillId="0" borderId="1" xfId="0" applyFont="1" applyBorder="1"/>
    <xf numFmtId="0" fontId="6" fillId="0" borderId="1" xfId="0" applyFont="1" applyBorder="1" applyAlignment="1">
      <alignment horizontal="center"/>
    </xf>
    <xf numFmtId="0" fontId="6" fillId="0" borderId="1" xfId="0" applyFont="1" applyBorder="1"/>
    <xf numFmtId="43" fontId="6" fillId="0" borderId="1" xfId="1" applyFont="1" applyBorder="1"/>
    <xf numFmtId="43" fontId="5" fillId="0" borderId="1" xfId="1" applyFont="1" applyBorder="1"/>
    <xf numFmtId="164" fontId="0" fillId="0" borderId="1" xfId="0" applyNumberFormat="1" applyBorder="1"/>
    <xf numFmtId="43" fontId="6" fillId="0" borderId="0" xfId="1" applyFont="1" applyBorder="1"/>
    <xf numFmtId="0" fontId="6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49" fontId="2" fillId="3" borderId="1" xfId="0" applyNumberFormat="1" applyFont="1" applyFill="1" applyBorder="1" applyAlignment="1">
      <alignment horizontal="center" vertical="center" wrapText="1"/>
    </xf>
    <xf numFmtId="43" fontId="2" fillId="3" borderId="1" xfId="1" applyFont="1" applyFill="1" applyBorder="1" applyAlignment="1">
      <alignment horizontal="center" vertical="center" wrapText="1"/>
    </xf>
    <xf numFmtId="43" fontId="6" fillId="0" borderId="1" xfId="0" applyNumberFormat="1" applyFont="1" applyBorder="1"/>
    <xf numFmtId="0" fontId="5" fillId="2" borderId="1" xfId="0" applyFont="1" applyFill="1" applyBorder="1"/>
    <xf numFmtId="15" fontId="5" fillId="2" borderId="1" xfId="0" applyNumberFormat="1" applyFont="1" applyFill="1" applyBorder="1"/>
    <xf numFmtId="0" fontId="2" fillId="3" borderId="1" xfId="0" applyFont="1" applyFill="1" applyBorder="1" applyAlignment="1">
      <alignment vertical="center"/>
    </xf>
    <xf numFmtId="0" fontId="0" fillId="0" borderId="0" xfId="0" applyAlignment="1">
      <alignment vertical="center"/>
    </xf>
    <xf numFmtId="0" fontId="5" fillId="3" borderId="1" xfId="0" applyFont="1" applyFill="1" applyBorder="1" applyAlignment="1">
      <alignment wrapText="1"/>
    </xf>
    <xf numFmtId="43" fontId="0" fillId="0" borderId="1" xfId="0" applyNumberFormat="1" applyBorder="1"/>
    <xf numFmtId="43" fontId="2" fillId="0" borderId="1" xfId="1" applyFont="1" applyBorder="1"/>
    <xf numFmtId="15" fontId="2" fillId="2" borderId="1" xfId="0" applyNumberFormat="1" applyFont="1" applyFill="1" applyBorder="1"/>
    <xf numFmtId="0" fontId="2" fillId="2" borderId="1" xfId="0" applyFont="1" applyFill="1" applyBorder="1"/>
    <xf numFmtId="43" fontId="0" fillId="0" borderId="1" xfId="1" applyFont="1" applyBorder="1" applyAlignment="1">
      <alignment wrapText="1"/>
    </xf>
    <xf numFmtId="0" fontId="7" fillId="0" borderId="1" xfId="0" applyFont="1" applyBorder="1"/>
    <xf numFmtId="43" fontId="7" fillId="0" borderId="1" xfId="0" applyNumberFormat="1" applyFont="1" applyBorder="1"/>
    <xf numFmtId="164" fontId="2" fillId="4" borderId="1" xfId="1" applyNumberFormat="1" applyFont="1" applyFill="1" applyBorder="1" applyAlignment="1">
      <alignment horizontal="center" vertical="center" wrapText="1"/>
    </xf>
    <xf numFmtId="49" fontId="5" fillId="0" borderId="1" xfId="0" applyNumberFormat="1" applyFont="1" applyBorder="1"/>
    <xf numFmtId="49" fontId="5" fillId="3" borderId="1" xfId="0" applyNumberFormat="1" applyFont="1" applyFill="1" applyBorder="1" applyAlignment="1">
      <alignment wrapText="1"/>
    </xf>
    <xf numFmtId="49" fontId="6" fillId="0" borderId="1" xfId="0" applyNumberFormat="1" applyFont="1" applyBorder="1"/>
    <xf numFmtId="49" fontId="6" fillId="0" borderId="1" xfId="1" applyNumberFormat="1" applyFont="1" applyBorder="1"/>
    <xf numFmtId="49" fontId="0" fillId="0" borderId="0" xfId="0" applyNumberFormat="1" applyAlignment="1">
      <alignment wrapText="1"/>
    </xf>
    <xf numFmtId="43" fontId="6" fillId="0" borderId="1" xfId="1" quotePrefix="1" applyFont="1" applyBorder="1"/>
    <xf numFmtId="0" fontId="6" fillId="2" borderId="1" xfId="0" applyFont="1" applyFill="1" applyBorder="1"/>
    <xf numFmtId="43" fontId="6" fillId="2" borderId="1" xfId="1" applyFont="1" applyFill="1" applyBorder="1"/>
    <xf numFmtId="43" fontId="6" fillId="2" borderId="1" xfId="0" applyNumberFormat="1" applyFont="1" applyFill="1" applyBorder="1"/>
    <xf numFmtId="49" fontId="6" fillId="2" borderId="1" xfId="0" applyNumberFormat="1" applyFont="1" applyFill="1" applyBorder="1"/>
    <xf numFmtId="49" fontId="2" fillId="2" borderId="1" xfId="0" applyNumberFormat="1" applyFont="1" applyFill="1" applyBorder="1" applyAlignment="1">
      <alignment horizontal="center" vertical="center" wrapText="1"/>
    </xf>
    <xf numFmtId="49" fontId="2" fillId="0" borderId="3" xfId="0" applyNumberFormat="1" applyFont="1" applyBorder="1" applyAlignment="1">
      <alignment horizontal="center" vertical="center" wrapText="1"/>
    </xf>
    <xf numFmtId="49" fontId="0" fillId="0" borderId="1" xfId="1" applyNumberFormat="1" applyFont="1" applyBorder="1" applyAlignment="1">
      <alignment wrapText="1"/>
    </xf>
    <xf numFmtId="49" fontId="2" fillId="0" borderId="1" xfId="0" applyNumberFormat="1" applyFont="1" applyBorder="1" applyAlignment="1">
      <alignment wrapText="1"/>
    </xf>
    <xf numFmtId="49" fontId="0" fillId="0" borderId="0" xfId="0" applyNumberFormat="1"/>
    <xf numFmtId="43" fontId="0" fillId="5" borderId="1" xfId="1" applyFont="1" applyFill="1" applyBorder="1"/>
    <xf numFmtId="43" fontId="2" fillId="5" borderId="1" xfId="1" applyFont="1" applyFill="1" applyBorder="1"/>
    <xf numFmtId="0" fontId="0" fillId="0" borderId="4" xfId="0" applyBorder="1"/>
    <xf numFmtId="49" fontId="0" fillId="0" borderId="1" xfId="0" applyNumberFormat="1" applyBorder="1" applyAlignment="1">
      <alignment horizontal="center"/>
    </xf>
    <xf numFmtId="49" fontId="3" fillId="0" borderId="0" xfId="0" applyNumberFormat="1" applyFont="1" applyAlignment="1">
      <alignment horizontal="center"/>
    </xf>
    <xf numFmtId="49" fontId="3" fillId="0" borderId="7" xfId="0" applyNumberFormat="1" applyFont="1" applyBorder="1" applyAlignment="1">
      <alignment horizontal="center"/>
    </xf>
    <xf numFmtId="49" fontId="2" fillId="3" borderId="1" xfId="0" applyNumberFormat="1" applyFont="1" applyFill="1" applyBorder="1" applyAlignment="1">
      <alignment horizontal="center" vertical="center"/>
    </xf>
    <xf numFmtId="49" fontId="0" fillId="0" borderId="0" xfId="0" applyNumberFormat="1" applyAlignment="1">
      <alignment horizontal="center"/>
    </xf>
    <xf numFmtId="43" fontId="0" fillId="0" borderId="0" xfId="0" applyNumberFormat="1"/>
    <xf numFmtId="0" fontId="0" fillId="0" borderId="1" xfId="0" applyBorder="1" applyAlignment="1">
      <alignment horizontal="center"/>
    </xf>
    <xf numFmtId="43" fontId="0" fillId="0" borderId="0" xfId="0" applyNumberFormat="1" applyAlignment="1">
      <alignment wrapText="1"/>
    </xf>
    <xf numFmtId="49" fontId="0" fillId="2" borderId="1" xfId="0" applyNumberFormat="1" applyFill="1" applyBorder="1" applyAlignment="1">
      <alignment wrapText="1"/>
    </xf>
    <xf numFmtId="0" fontId="0" fillId="2" borderId="1" xfId="0" applyFill="1" applyBorder="1" applyAlignment="1">
      <alignment wrapText="1"/>
    </xf>
    <xf numFmtId="164" fontId="0" fillId="2" borderId="1" xfId="0" applyNumberFormat="1" applyFill="1" applyBorder="1" applyAlignment="1">
      <alignment wrapText="1"/>
    </xf>
    <xf numFmtId="43" fontId="0" fillId="2" borderId="1" xfId="1" applyFont="1" applyFill="1" applyBorder="1" applyAlignment="1">
      <alignment wrapText="1"/>
    </xf>
    <xf numFmtId="49" fontId="0" fillId="2" borderId="1" xfId="1" applyNumberFormat="1" applyFont="1" applyFill="1" applyBorder="1" applyAlignment="1">
      <alignment wrapText="1"/>
    </xf>
    <xf numFmtId="43" fontId="0" fillId="2" borderId="1" xfId="1" quotePrefix="1" applyFont="1" applyFill="1" applyBorder="1" applyAlignment="1">
      <alignment wrapText="1"/>
    </xf>
    <xf numFmtId="0" fontId="0" fillId="2" borderId="0" xfId="0" applyFill="1"/>
    <xf numFmtId="49" fontId="0" fillId="2" borderId="1" xfId="1" quotePrefix="1" applyNumberFormat="1" applyFont="1" applyFill="1" applyBorder="1" applyAlignment="1">
      <alignment wrapText="1"/>
    </xf>
    <xf numFmtId="43" fontId="0" fillId="2" borderId="1" xfId="1" applyFont="1" applyFill="1" applyBorder="1" applyAlignment="1">
      <alignment horizontal="left" vertical="top" wrapText="1"/>
    </xf>
    <xf numFmtId="43" fontId="0" fillId="2" borderId="1" xfId="1" applyFont="1" applyFill="1" applyBorder="1" applyAlignment="1">
      <alignment horizontal="left" wrapText="1"/>
    </xf>
    <xf numFmtId="0" fontId="0" fillId="2" borderId="1" xfId="0" applyFill="1" applyBorder="1"/>
    <xf numFmtId="164" fontId="0" fillId="2" borderId="1" xfId="0" applyNumberFormat="1" applyFill="1" applyBorder="1" applyAlignment="1">
      <alignment horizontal="center"/>
    </xf>
    <xf numFmtId="49" fontId="0" fillId="2" borderId="1" xfId="0" applyNumberFormat="1" applyFill="1" applyBorder="1" applyAlignment="1">
      <alignment horizontal="left"/>
    </xf>
    <xf numFmtId="43" fontId="6" fillId="0" borderId="1" xfId="1" applyFont="1" applyFill="1" applyBorder="1"/>
    <xf numFmtId="43" fontId="0" fillId="0" borderId="0" xfId="1" quotePrefix="1" applyFont="1" applyFill="1" applyBorder="1" applyAlignment="1">
      <alignment wrapText="1"/>
    </xf>
    <xf numFmtId="43" fontId="2" fillId="0" borderId="0" xfId="1" applyFont="1" applyFill="1" applyBorder="1" applyAlignment="1">
      <alignment wrapText="1"/>
    </xf>
    <xf numFmtId="0" fontId="4" fillId="0" borderId="0" xfId="0" applyFont="1" applyAlignment="1">
      <alignment horizontal="center" wrapText="1"/>
    </xf>
    <xf numFmtId="0" fontId="2" fillId="0" borderId="0" xfId="0" applyFont="1" applyAlignment="1">
      <alignment horizontal="center" vertical="center" wrapText="1"/>
    </xf>
    <xf numFmtId="43" fontId="2" fillId="0" borderId="1" xfId="1" applyFont="1" applyFill="1" applyBorder="1" applyAlignment="1">
      <alignment horizontal="center" vertical="center" wrapText="1"/>
    </xf>
    <xf numFmtId="43" fontId="0" fillId="0" borderId="0" xfId="1" applyFont="1"/>
    <xf numFmtId="0" fontId="0" fillId="0" borderId="1" xfId="0" quotePrefix="1" applyBorder="1"/>
    <xf numFmtId="43" fontId="2" fillId="0" borderId="0" xfId="0" applyNumberFormat="1" applyFont="1"/>
    <xf numFmtId="0" fontId="3" fillId="0" borderId="1" xfId="0" applyFont="1" applyBorder="1"/>
    <xf numFmtId="0" fontId="6" fillId="0" borderId="0" xfId="0" applyFont="1" applyAlignment="1">
      <alignment wrapText="1"/>
    </xf>
    <xf numFmtId="15" fontId="6" fillId="0" borderId="0" xfId="0" applyNumberFormat="1" applyFont="1" applyAlignment="1">
      <alignment wrapText="1"/>
    </xf>
    <xf numFmtId="49" fontId="6" fillId="0" borderId="1" xfId="0" quotePrefix="1" applyNumberFormat="1" applyFont="1" applyBorder="1"/>
    <xf numFmtId="15" fontId="0" fillId="0" borderId="0" xfId="0" applyNumberFormat="1"/>
    <xf numFmtId="0" fontId="2" fillId="0" borderId="0" xfId="0" applyFont="1"/>
    <xf numFmtId="0" fontId="0" fillId="0" borderId="0" xfId="0" quotePrefix="1"/>
    <xf numFmtId="15" fontId="0" fillId="0" borderId="1" xfId="0" applyNumberFormat="1" applyBorder="1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64" fontId="0" fillId="0" borderId="0" xfId="0" applyNumberFormat="1"/>
    <xf numFmtId="43" fontId="0" fillId="0" borderId="0" xfId="1" applyFont="1" applyBorder="1"/>
    <xf numFmtId="43" fontId="0" fillId="5" borderId="0" xfId="1" applyFont="1" applyFill="1" applyBorder="1"/>
    <xf numFmtId="43" fontId="6" fillId="0" borderId="0" xfId="0" applyNumberFormat="1" applyFont="1" applyAlignment="1">
      <alignment wrapText="1"/>
    </xf>
    <xf numFmtId="0" fontId="4" fillId="0" borderId="2" xfId="0" applyFont="1" applyBorder="1" applyAlignment="1">
      <alignment horizontal="center" wrapText="1"/>
    </xf>
    <xf numFmtId="0" fontId="4" fillId="0" borderId="3" xfId="0" applyFont="1" applyBorder="1" applyAlignment="1">
      <alignment horizontal="center" wrapText="1"/>
    </xf>
    <xf numFmtId="0" fontId="4" fillId="0" borderId="4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3181"/>
  <sheetViews>
    <sheetView tabSelected="1" zoomScale="87" zoomScaleNormal="87" workbookViewId="0">
      <pane ySplit="5" topLeftCell="A9" activePane="bottomLeft" state="frozen"/>
      <selection pane="bottomLeft" activeCell="G1" sqref="G1:G1048576"/>
    </sheetView>
  </sheetViews>
  <sheetFormatPr defaultColWidth="24.5703125" defaultRowHeight="15" x14ac:dyDescent="0.25"/>
  <cols>
    <col min="1" max="1" width="3.42578125" customWidth="1"/>
    <col min="2" max="2" width="19.5703125" customWidth="1"/>
    <col min="3" max="3" width="40.7109375" bestFit="1" customWidth="1"/>
    <col min="4" max="4" width="59.85546875" bestFit="1" customWidth="1"/>
    <col min="5" max="5" width="58" bestFit="1" customWidth="1"/>
    <col min="6" max="6" width="21" bestFit="1" customWidth="1"/>
    <col min="7" max="7" width="26" bestFit="1" customWidth="1"/>
    <col min="16" max="16" width="24.5703125" style="74"/>
  </cols>
  <sheetData>
    <row r="1" spans="1:25" ht="19.5" x14ac:dyDescent="0.3">
      <c r="A1" s="19" t="s">
        <v>5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34" t="s">
        <v>18578</v>
      </c>
      <c r="M1" s="46">
        <v>45781</v>
      </c>
      <c r="N1" s="20"/>
      <c r="O1" s="20"/>
      <c r="P1" s="71"/>
      <c r="Q1" s="20"/>
      <c r="R1" s="20"/>
      <c r="S1" s="20"/>
      <c r="T1" s="20"/>
    </row>
    <row r="2" spans="1:25" ht="19.5" x14ac:dyDescent="0.3">
      <c r="A2" s="21" t="s">
        <v>6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34" t="s">
        <v>18579</v>
      </c>
      <c r="M2" s="46">
        <v>45854</v>
      </c>
      <c r="N2" s="22"/>
      <c r="O2" s="22"/>
      <c r="P2" s="72"/>
      <c r="Q2" s="22"/>
      <c r="R2" s="22"/>
      <c r="S2" s="20"/>
      <c r="T2" s="20"/>
    </row>
    <row r="3" spans="1:25" ht="19.5" x14ac:dyDescent="0.3">
      <c r="A3" s="21"/>
      <c r="B3" s="22"/>
      <c r="C3" s="22"/>
      <c r="D3" s="22"/>
      <c r="E3" s="22"/>
      <c r="F3" s="22"/>
      <c r="G3" s="22"/>
      <c r="H3" s="22"/>
      <c r="I3" s="22"/>
      <c r="J3" s="22"/>
      <c r="K3" s="22"/>
      <c r="L3" s="34" t="s">
        <v>18580</v>
      </c>
      <c r="M3" s="47">
        <f>M2-M1+1</f>
        <v>74</v>
      </c>
      <c r="N3" s="22"/>
      <c r="O3" s="22"/>
      <c r="P3" s="72"/>
      <c r="Q3" s="22"/>
      <c r="R3" s="100"/>
      <c r="S3" s="100"/>
      <c r="T3" s="100"/>
      <c r="U3" s="2"/>
      <c r="V3" s="2"/>
      <c r="W3" s="2"/>
    </row>
    <row r="4" spans="1:25" ht="19.5" x14ac:dyDescent="0.3">
      <c r="A4" s="21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72"/>
      <c r="Q4" s="22"/>
      <c r="R4" s="22"/>
      <c r="S4" s="20"/>
      <c r="T4" s="20"/>
    </row>
    <row r="5" spans="1:25" s="42" customFormat="1" x14ac:dyDescent="0.25">
      <c r="A5" s="41" t="s">
        <v>7</v>
      </c>
      <c r="B5" s="41" t="s">
        <v>8</v>
      </c>
      <c r="C5" s="41" t="s">
        <v>9</v>
      </c>
      <c r="D5" s="41" t="s">
        <v>10</v>
      </c>
      <c r="E5" s="41" t="s">
        <v>11</v>
      </c>
      <c r="F5" s="41" t="s">
        <v>12</v>
      </c>
      <c r="G5" s="41" t="s">
        <v>13</v>
      </c>
      <c r="H5" s="41" t="s">
        <v>17</v>
      </c>
      <c r="I5" s="41" t="s">
        <v>18485</v>
      </c>
      <c r="J5" s="35" t="s">
        <v>18581</v>
      </c>
      <c r="K5" s="35" t="s">
        <v>18582</v>
      </c>
      <c r="L5" s="35" t="s">
        <v>18583</v>
      </c>
      <c r="M5" s="35" t="s">
        <v>18587</v>
      </c>
      <c r="N5" s="35" t="s">
        <v>18584</v>
      </c>
      <c r="O5" s="35"/>
      <c r="P5" s="73" t="s">
        <v>18586</v>
      </c>
      <c r="Q5" s="41" t="s">
        <v>14</v>
      </c>
      <c r="R5" s="41" t="s">
        <v>15</v>
      </c>
      <c r="S5" s="41"/>
      <c r="T5" s="41" t="s">
        <v>18665</v>
      </c>
      <c r="U5" s="41" t="s">
        <v>18644</v>
      </c>
      <c r="V5" s="35" t="s">
        <v>18645</v>
      </c>
      <c r="W5" s="41" t="s">
        <v>18643</v>
      </c>
      <c r="Y5" s="42" t="s">
        <v>18649</v>
      </c>
    </row>
    <row r="6" spans="1:25" x14ac:dyDescent="0.25">
      <c r="A6" s="76">
        <v>1</v>
      </c>
      <c r="B6" s="2" t="s">
        <v>788</v>
      </c>
      <c r="C6" s="2" t="s">
        <v>789</v>
      </c>
      <c r="D6" s="2" t="s">
        <v>790</v>
      </c>
      <c r="E6" s="2" t="s">
        <v>791</v>
      </c>
      <c r="F6" s="2" t="s">
        <v>792</v>
      </c>
      <c r="G6" s="2" t="s">
        <v>282</v>
      </c>
      <c r="H6" s="17">
        <v>50</v>
      </c>
      <c r="I6" s="31">
        <f t="shared" ref="I6:I69" si="0">H6*1000</f>
        <v>50000</v>
      </c>
      <c r="J6" s="31">
        <f t="shared" ref="J6:J69" si="1">I6*7%</f>
        <v>3500.0000000000005</v>
      </c>
      <c r="K6" s="44">
        <f t="shared" ref="K6:K69" si="2">J6/365</f>
        <v>9.589041095890412</v>
      </c>
      <c r="L6" s="3">
        <f t="shared" ref="L6:L69" si="3">K6*74</f>
        <v>709.58904109589048</v>
      </c>
      <c r="M6" s="3">
        <f t="shared" ref="M6:M69" si="4">L6*6%</f>
        <v>42.57534246575343</v>
      </c>
      <c r="N6" s="67">
        <f t="shared" ref="N6:N69" si="5">L6-M6</f>
        <v>667.01369863013701</v>
      </c>
      <c r="O6" s="3"/>
      <c r="P6" s="70" t="s">
        <v>18609</v>
      </c>
      <c r="Q6" s="2" t="s">
        <v>32</v>
      </c>
      <c r="R6" s="2" t="s">
        <v>793</v>
      </c>
      <c r="T6" s="2" t="s">
        <v>18664</v>
      </c>
      <c r="U6" s="2" t="s">
        <v>18652</v>
      </c>
      <c r="V6" s="107">
        <v>45857</v>
      </c>
      <c r="W6" s="2"/>
      <c r="X6" s="97"/>
      <c r="Y6" s="75">
        <v>667.02</v>
      </c>
    </row>
    <row r="7" spans="1:25" x14ac:dyDescent="0.25">
      <c r="A7" s="76">
        <v>2</v>
      </c>
      <c r="B7" s="2" t="s">
        <v>14687</v>
      </c>
      <c r="C7" s="2" t="s">
        <v>14688</v>
      </c>
      <c r="D7" s="2" t="s">
        <v>14689</v>
      </c>
      <c r="E7" s="2" t="s">
        <v>14690</v>
      </c>
      <c r="F7" s="2" t="s">
        <v>14691</v>
      </c>
      <c r="G7" s="2" t="s">
        <v>296</v>
      </c>
      <c r="H7" s="17">
        <v>200</v>
      </c>
      <c r="I7" s="31">
        <f t="shared" si="0"/>
        <v>200000</v>
      </c>
      <c r="J7" s="31">
        <f t="shared" si="1"/>
        <v>14000.000000000002</v>
      </c>
      <c r="K7" s="44">
        <f t="shared" si="2"/>
        <v>38.356164383561648</v>
      </c>
      <c r="L7" s="3">
        <f t="shared" si="3"/>
        <v>2838.3561643835619</v>
      </c>
      <c r="M7" s="3">
        <f t="shared" si="4"/>
        <v>170.30136986301372</v>
      </c>
      <c r="N7" s="67">
        <f t="shared" si="5"/>
        <v>2668.0547945205481</v>
      </c>
      <c r="O7" s="3"/>
      <c r="P7" s="70" t="s">
        <v>18609</v>
      </c>
      <c r="Q7" s="2" t="s">
        <v>32</v>
      </c>
      <c r="R7" s="2" t="s">
        <v>14692</v>
      </c>
      <c r="T7" s="2" t="s">
        <v>18664</v>
      </c>
      <c r="U7" s="2" t="s">
        <v>18652</v>
      </c>
      <c r="V7" s="107">
        <v>45857</v>
      </c>
      <c r="W7" s="2"/>
      <c r="X7" s="97"/>
      <c r="Y7" s="75">
        <v>2668.0600000000004</v>
      </c>
    </row>
    <row r="8" spans="1:25" x14ac:dyDescent="0.25">
      <c r="A8" s="76">
        <v>3</v>
      </c>
      <c r="B8" s="2" t="s">
        <v>11359</v>
      </c>
      <c r="C8" s="2" t="s">
        <v>11360</v>
      </c>
      <c r="D8" s="2" t="s">
        <v>11361</v>
      </c>
      <c r="E8" s="2" t="s">
        <v>11362</v>
      </c>
      <c r="F8" s="2" t="s">
        <v>11363</v>
      </c>
      <c r="G8" s="2" t="s">
        <v>158</v>
      </c>
      <c r="H8" s="17">
        <v>100</v>
      </c>
      <c r="I8" s="31">
        <f t="shared" si="0"/>
        <v>100000</v>
      </c>
      <c r="J8" s="31">
        <f t="shared" si="1"/>
        <v>7000.0000000000009</v>
      </c>
      <c r="K8" s="44">
        <f t="shared" si="2"/>
        <v>19.178082191780824</v>
      </c>
      <c r="L8" s="3">
        <f t="shared" si="3"/>
        <v>1419.178082191781</v>
      </c>
      <c r="M8" s="3">
        <f t="shared" si="4"/>
        <v>85.150684931506859</v>
      </c>
      <c r="N8" s="67">
        <f t="shared" si="5"/>
        <v>1334.027397260274</v>
      </c>
      <c r="O8" s="3"/>
      <c r="P8" s="70" t="s">
        <v>18609</v>
      </c>
      <c r="Q8" s="2" t="s">
        <v>32</v>
      </c>
      <c r="R8" s="2" t="s">
        <v>11364</v>
      </c>
      <c r="T8" s="2" t="s">
        <v>18664</v>
      </c>
      <c r="U8" s="2" t="s">
        <v>18652</v>
      </c>
      <c r="V8" s="107">
        <v>45857</v>
      </c>
      <c r="W8" s="2"/>
      <c r="X8" s="97"/>
      <c r="Y8" s="75">
        <v>1334.03</v>
      </c>
    </row>
    <row r="9" spans="1:25" x14ac:dyDescent="0.25">
      <c r="A9" s="76">
        <v>4</v>
      </c>
      <c r="B9" s="2" t="s">
        <v>11400</v>
      </c>
      <c r="C9" s="2" t="s">
        <v>11401</v>
      </c>
      <c r="D9" s="2" t="s">
        <v>11402</v>
      </c>
      <c r="E9" s="2" t="s">
        <v>11403</v>
      </c>
      <c r="F9" s="2" t="s">
        <v>11404</v>
      </c>
      <c r="G9" s="2" t="s">
        <v>166</v>
      </c>
      <c r="H9" s="17">
        <v>25</v>
      </c>
      <c r="I9" s="31">
        <f t="shared" si="0"/>
        <v>25000</v>
      </c>
      <c r="J9" s="31">
        <f t="shared" si="1"/>
        <v>1750.0000000000002</v>
      </c>
      <c r="K9" s="44">
        <f t="shared" si="2"/>
        <v>4.794520547945206</v>
      </c>
      <c r="L9" s="3">
        <f t="shared" si="3"/>
        <v>354.79452054794524</v>
      </c>
      <c r="M9" s="3">
        <f t="shared" si="4"/>
        <v>21.287671232876715</v>
      </c>
      <c r="N9" s="67">
        <f t="shared" si="5"/>
        <v>333.50684931506851</v>
      </c>
      <c r="O9" s="3"/>
      <c r="P9" s="70" t="s">
        <v>18609</v>
      </c>
      <c r="Q9" s="2" t="s">
        <v>32</v>
      </c>
      <c r="R9" s="2" t="s">
        <v>11405</v>
      </c>
      <c r="T9" s="2" t="s">
        <v>18664</v>
      </c>
      <c r="U9" s="2" t="s">
        <v>18652</v>
      </c>
      <c r="V9" s="107">
        <v>45857</v>
      </c>
      <c r="W9" s="2"/>
      <c r="X9" s="97"/>
      <c r="Y9" s="75">
        <v>333.51</v>
      </c>
    </row>
    <row r="10" spans="1:25" x14ac:dyDescent="0.25">
      <c r="A10" s="76">
        <v>5</v>
      </c>
      <c r="B10" s="2" t="s">
        <v>1075</v>
      </c>
      <c r="C10" s="2" t="s">
        <v>1076</v>
      </c>
      <c r="D10" s="2" t="s">
        <v>1077</v>
      </c>
      <c r="E10" s="2" t="s">
        <v>1078</v>
      </c>
      <c r="F10" s="2" t="s">
        <v>1079</v>
      </c>
      <c r="G10" s="2" t="s">
        <v>750</v>
      </c>
      <c r="H10" s="17">
        <v>150</v>
      </c>
      <c r="I10" s="31">
        <f t="shared" si="0"/>
        <v>150000</v>
      </c>
      <c r="J10" s="31">
        <f t="shared" si="1"/>
        <v>10500.000000000002</v>
      </c>
      <c r="K10" s="44">
        <f t="shared" si="2"/>
        <v>28.767123287671239</v>
      </c>
      <c r="L10" s="3">
        <f t="shared" si="3"/>
        <v>2128.7671232876719</v>
      </c>
      <c r="M10" s="3">
        <f t="shared" si="4"/>
        <v>127.72602739726031</v>
      </c>
      <c r="N10" s="67">
        <f t="shared" si="5"/>
        <v>2001.0410958904115</v>
      </c>
      <c r="O10" s="3"/>
      <c r="P10" s="70" t="s">
        <v>18609</v>
      </c>
      <c r="Q10" s="2" t="s">
        <v>32</v>
      </c>
      <c r="R10" s="2" t="s">
        <v>1080</v>
      </c>
      <c r="T10" s="2" t="s">
        <v>18664</v>
      </c>
      <c r="U10" s="2" t="s">
        <v>18652</v>
      </c>
      <c r="V10" s="107">
        <v>45857</v>
      </c>
      <c r="W10" s="2"/>
      <c r="X10" s="97"/>
      <c r="Y10" s="75">
        <v>2001.05</v>
      </c>
    </row>
    <row r="11" spans="1:25" x14ac:dyDescent="0.25">
      <c r="A11" s="76">
        <v>6</v>
      </c>
      <c r="B11" s="2" t="s">
        <v>14924</v>
      </c>
      <c r="C11" s="2" t="s">
        <v>14925</v>
      </c>
      <c r="D11" s="2" t="s">
        <v>14926</v>
      </c>
      <c r="E11" s="2" t="s">
        <v>14927</v>
      </c>
      <c r="F11" s="2" t="s">
        <v>14928</v>
      </c>
      <c r="G11" s="2" t="s">
        <v>186</v>
      </c>
      <c r="H11" s="17">
        <v>50</v>
      </c>
      <c r="I11" s="31">
        <f t="shared" si="0"/>
        <v>50000</v>
      </c>
      <c r="J11" s="31">
        <f t="shared" si="1"/>
        <v>3500.0000000000005</v>
      </c>
      <c r="K11" s="44">
        <f t="shared" si="2"/>
        <v>9.589041095890412</v>
      </c>
      <c r="L11" s="3">
        <f t="shared" si="3"/>
        <v>709.58904109589048</v>
      </c>
      <c r="M11" s="3">
        <f t="shared" si="4"/>
        <v>42.57534246575343</v>
      </c>
      <c r="N11" s="67">
        <f t="shared" si="5"/>
        <v>667.01369863013701</v>
      </c>
      <c r="O11" s="3"/>
      <c r="P11" s="70" t="s">
        <v>18609</v>
      </c>
      <c r="Q11" s="2" t="s">
        <v>32</v>
      </c>
      <c r="R11" s="2" t="s">
        <v>14929</v>
      </c>
      <c r="T11" s="2" t="s">
        <v>18664</v>
      </c>
      <c r="U11" s="2" t="s">
        <v>18652</v>
      </c>
      <c r="V11" s="107">
        <v>45857</v>
      </c>
      <c r="W11" s="2"/>
      <c r="X11" s="97"/>
      <c r="Y11" s="75">
        <v>667.02</v>
      </c>
    </row>
    <row r="12" spans="1:25" x14ac:dyDescent="0.25">
      <c r="A12" s="76">
        <v>7</v>
      </c>
      <c r="B12" s="2" t="s">
        <v>3081</v>
      </c>
      <c r="C12" s="2" t="s">
        <v>3082</v>
      </c>
      <c r="D12" s="2" t="s">
        <v>3083</v>
      </c>
      <c r="E12" s="2" t="s">
        <v>3084</v>
      </c>
      <c r="F12" s="2" t="s">
        <v>3085</v>
      </c>
      <c r="G12" s="2" t="s">
        <v>247</v>
      </c>
      <c r="H12" s="17">
        <v>25</v>
      </c>
      <c r="I12" s="31">
        <f t="shared" si="0"/>
        <v>25000</v>
      </c>
      <c r="J12" s="31">
        <f t="shared" si="1"/>
        <v>1750.0000000000002</v>
      </c>
      <c r="K12" s="44">
        <f t="shared" si="2"/>
        <v>4.794520547945206</v>
      </c>
      <c r="L12" s="3">
        <f t="shared" si="3"/>
        <v>354.79452054794524</v>
      </c>
      <c r="M12" s="3">
        <f t="shared" si="4"/>
        <v>21.287671232876715</v>
      </c>
      <c r="N12" s="67">
        <f t="shared" si="5"/>
        <v>333.50684931506851</v>
      </c>
      <c r="O12" s="3"/>
      <c r="P12" s="70" t="s">
        <v>18609</v>
      </c>
      <c r="Q12" s="2" t="s">
        <v>32</v>
      </c>
      <c r="R12" s="2" t="s">
        <v>3086</v>
      </c>
      <c r="T12" s="2" t="s">
        <v>18664</v>
      </c>
      <c r="U12" s="2" t="s">
        <v>18652</v>
      </c>
      <c r="V12" s="107">
        <v>45857</v>
      </c>
      <c r="W12" s="2"/>
      <c r="X12" s="97"/>
      <c r="Y12" s="75">
        <v>333.51</v>
      </c>
    </row>
    <row r="13" spans="1:25" x14ac:dyDescent="0.25">
      <c r="A13" s="76">
        <v>8</v>
      </c>
      <c r="B13" s="2" t="s">
        <v>12837</v>
      </c>
      <c r="C13" s="2" t="s">
        <v>12838</v>
      </c>
      <c r="D13" s="2" t="s">
        <v>12839</v>
      </c>
      <c r="E13" s="2" t="s">
        <v>12840</v>
      </c>
      <c r="F13" s="2" t="s">
        <v>12841</v>
      </c>
      <c r="G13" s="2" t="s">
        <v>74</v>
      </c>
      <c r="H13" s="17">
        <v>25</v>
      </c>
      <c r="I13" s="31">
        <f t="shared" si="0"/>
        <v>25000</v>
      </c>
      <c r="J13" s="31">
        <f t="shared" si="1"/>
        <v>1750.0000000000002</v>
      </c>
      <c r="K13" s="44">
        <f t="shared" si="2"/>
        <v>4.794520547945206</v>
      </c>
      <c r="L13" s="3">
        <f t="shared" si="3"/>
        <v>354.79452054794524</v>
      </c>
      <c r="M13" s="3">
        <f t="shared" si="4"/>
        <v>21.287671232876715</v>
      </c>
      <c r="N13" s="67">
        <f t="shared" si="5"/>
        <v>333.50684931506851</v>
      </c>
      <c r="O13" s="3"/>
      <c r="P13" s="70" t="s">
        <v>18609</v>
      </c>
      <c r="Q13" s="2" t="s">
        <v>32</v>
      </c>
      <c r="R13" s="2" t="s">
        <v>12842</v>
      </c>
      <c r="T13" s="2" t="s">
        <v>18664</v>
      </c>
      <c r="U13" s="2" t="s">
        <v>18652</v>
      </c>
      <c r="V13" s="107">
        <v>45857</v>
      </c>
      <c r="W13" s="2"/>
      <c r="X13" s="97"/>
      <c r="Y13" s="75">
        <v>333.51</v>
      </c>
    </row>
    <row r="14" spans="1:25" x14ac:dyDescent="0.25">
      <c r="A14" s="76">
        <v>9</v>
      </c>
      <c r="B14" s="2" t="s">
        <v>8014</v>
      </c>
      <c r="C14" s="2" t="s">
        <v>8015</v>
      </c>
      <c r="D14" s="2" t="s">
        <v>8016</v>
      </c>
      <c r="E14" s="2" t="s">
        <v>8017</v>
      </c>
      <c r="F14" s="2" t="s">
        <v>8018</v>
      </c>
      <c r="G14" s="2" t="s">
        <v>524</v>
      </c>
      <c r="H14" s="17">
        <v>25</v>
      </c>
      <c r="I14" s="31">
        <f t="shared" si="0"/>
        <v>25000</v>
      </c>
      <c r="J14" s="31">
        <f t="shared" si="1"/>
        <v>1750.0000000000002</v>
      </c>
      <c r="K14" s="44">
        <f t="shared" si="2"/>
        <v>4.794520547945206</v>
      </c>
      <c r="L14" s="3">
        <f t="shared" si="3"/>
        <v>354.79452054794524</v>
      </c>
      <c r="M14" s="3">
        <f t="shared" si="4"/>
        <v>21.287671232876715</v>
      </c>
      <c r="N14" s="67">
        <f t="shared" si="5"/>
        <v>333.50684931506851</v>
      </c>
      <c r="O14" s="3"/>
      <c r="P14" s="70" t="s">
        <v>18609</v>
      </c>
      <c r="Q14" s="2" t="s">
        <v>32</v>
      </c>
      <c r="R14" s="2" t="s">
        <v>8019</v>
      </c>
      <c r="T14" s="2" t="s">
        <v>18664</v>
      </c>
      <c r="U14" s="2" t="s">
        <v>18652</v>
      </c>
      <c r="V14" s="107">
        <v>45857</v>
      </c>
      <c r="W14" s="2"/>
      <c r="X14" s="97"/>
      <c r="Y14" s="75">
        <v>333.51</v>
      </c>
    </row>
    <row r="15" spans="1:25" x14ac:dyDescent="0.25">
      <c r="A15" s="76">
        <v>10</v>
      </c>
      <c r="B15" s="2" t="s">
        <v>4505</v>
      </c>
      <c r="C15" s="2" t="s">
        <v>4506</v>
      </c>
      <c r="D15" s="2" t="s">
        <v>4507</v>
      </c>
      <c r="E15" s="2" t="s">
        <v>4508</v>
      </c>
      <c r="F15" s="2" t="s">
        <v>4509</v>
      </c>
      <c r="G15" s="2" t="s">
        <v>580</v>
      </c>
      <c r="H15" s="17">
        <v>100</v>
      </c>
      <c r="I15" s="31">
        <f t="shared" si="0"/>
        <v>100000</v>
      </c>
      <c r="J15" s="31">
        <f t="shared" si="1"/>
        <v>7000.0000000000009</v>
      </c>
      <c r="K15" s="44">
        <f t="shared" si="2"/>
        <v>19.178082191780824</v>
      </c>
      <c r="L15" s="3">
        <f t="shared" si="3"/>
        <v>1419.178082191781</v>
      </c>
      <c r="M15" s="3">
        <f t="shared" si="4"/>
        <v>85.150684931506859</v>
      </c>
      <c r="N15" s="67">
        <f t="shared" si="5"/>
        <v>1334.027397260274</v>
      </c>
      <c r="O15" s="3"/>
      <c r="P15" s="70" t="s">
        <v>18609</v>
      </c>
      <c r="Q15" s="2" t="s">
        <v>32</v>
      </c>
      <c r="R15" s="2" t="s">
        <v>4510</v>
      </c>
      <c r="T15" s="2" t="s">
        <v>18664</v>
      </c>
      <c r="U15" s="2" t="s">
        <v>18652</v>
      </c>
      <c r="V15" s="107">
        <v>45857</v>
      </c>
      <c r="W15" s="2"/>
      <c r="X15" s="97"/>
      <c r="Y15" s="75">
        <v>1334.03</v>
      </c>
    </row>
    <row r="16" spans="1:25" x14ac:dyDescent="0.25">
      <c r="A16" s="76">
        <v>11</v>
      </c>
      <c r="B16" s="2" t="s">
        <v>4675</v>
      </c>
      <c r="C16" s="2" t="s">
        <v>4676</v>
      </c>
      <c r="D16" s="2" t="s">
        <v>4677</v>
      </c>
      <c r="E16" s="2" t="s">
        <v>4678</v>
      </c>
      <c r="F16" s="2" t="s">
        <v>4679</v>
      </c>
      <c r="G16" s="2" t="s">
        <v>412</v>
      </c>
      <c r="H16" s="17">
        <v>25</v>
      </c>
      <c r="I16" s="31">
        <f t="shared" si="0"/>
        <v>25000</v>
      </c>
      <c r="J16" s="31">
        <f t="shared" si="1"/>
        <v>1750.0000000000002</v>
      </c>
      <c r="K16" s="44">
        <f t="shared" si="2"/>
        <v>4.794520547945206</v>
      </c>
      <c r="L16" s="3">
        <f t="shared" si="3"/>
        <v>354.79452054794524</v>
      </c>
      <c r="M16" s="3">
        <f t="shared" si="4"/>
        <v>21.287671232876715</v>
      </c>
      <c r="N16" s="67">
        <f t="shared" si="5"/>
        <v>333.50684931506851</v>
      </c>
      <c r="O16" s="3"/>
      <c r="P16" s="70" t="s">
        <v>18609</v>
      </c>
      <c r="Q16" s="2" t="s">
        <v>32</v>
      </c>
      <c r="R16" s="2" t="s">
        <v>4680</v>
      </c>
      <c r="T16" s="2" t="s">
        <v>18664</v>
      </c>
      <c r="U16" s="2" t="s">
        <v>18652</v>
      </c>
      <c r="V16" s="107">
        <v>45857</v>
      </c>
      <c r="W16" s="2"/>
      <c r="X16" s="97"/>
      <c r="Y16" s="75">
        <v>333.51</v>
      </c>
    </row>
    <row r="17" spans="1:25" x14ac:dyDescent="0.25">
      <c r="A17" s="76">
        <v>12</v>
      </c>
      <c r="B17" s="2" t="s">
        <v>10964</v>
      </c>
      <c r="C17" s="2" t="s">
        <v>10965</v>
      </c>
      <c r="D17" s="2" t="s">
        <v>10966</v>
      </c>
      <c r="E17" s="2" t="s">
        <v>10967</v>
      </c>
      <c r="F17" s="2" t="s">
        <v>10968</v>
      </c>
      <c r="G17" s="2" t="s">
        <v>31</v>
      </c>
      <c r="H17" s="17">
        <v>25</v>
      </c>
      <c r="I17" s="31">
        <f t="shared" si="0"/>
        <v>25000</v>
      </c>
      <c r="J17" s="31">
        <f t="shared" si="1"/>
        <v>1750.0000000000002</v>
      </c>
      <c r="K17" s="44">
        <f t="shared" si="2"/>
        <v>4.794520547945206</v>
      </c>
      <c r="L17" s="3">
        <f t="shared" si="3"/>
        <v>354.79452054794524</v>
      </c>
      <c r="M17" s="3">
        <f t="shared" si="4"/>
        <v>21.287671232876715</v>
      </c>
      <c r="N17" s="67">
        <f t="shared" si="5"/>
        <v>333.50684931506851</v>
      </c>
      <c r="O17" s="3"/>
      <c r="P17" s="70" t="s">
        <v>18609</v>
      </c>
      <c r="Q17" s="2" t="s">
        <v>32</v>
      </c>
      <c r="R17" s="2" t="s">
        <v>10969</v>
      </c>
      <c r="T17" s="2" t="s">
        <v>18664</v>
      </c>
      <c r="U17" s="2" t="s">
        <v>18652</v>
      </c>
      <c r="V17" s="107">
        <v>45857</v>
      </c>
      <c r="W17" s="2"/>
      <c r="X17" s="97"/>
      <c r="Y17" s="75">
        <v>333.51</v>
      </c>
    </row>
    <row r="18" spans="1:25" x14ac:dyDescent="0.25">
      <c r="A18" s="76">
        <v>13</v>
      </c>
      <c r="B18" s="2" t="s">
        <v>12213</v>
      </c>
      <c r="C18" s="2" t="s">
        <v>12214</v>
      </c>
      <c r="D18" s="2" t="s">
        <v>12215</v>
      </c>
      <c r="E18" s="2" t="s">
        <v>12216</v>
      </c>
      <c r="F18" s="2" t="s">
        <v>12217</v>
      </c>
      <c r="G18" s="2" t="s">
        <v>247</v>
      </c>
      <c r="H18" s="17">
        <v>25</v>
      </c>
      <c r="I18" s="31">
        <f t="shared" si="0"/>
        <v>25000</v>
      </c>
      <c r="J18" s="31">
        <f t="shared" si="1"/>
        <v>1750.0000000000002</v>
      </c>
      <c r="K18" s="44">
        <f t="shared" si="2"/>
        <v>4.794520547945206</v>
      </c>
      <c r="L18" s="3">
        <f t="shared" si="3"/>
        <v>354.79452054794524</v>
      </c>
      <c r="M18" s="3">
        <f t="shared" si="4"/>
        <v>21.287671232876715</v>
      </c>
      <c r="N18" s="67">
        <f t="shared" si="5"/>
        <v>333.50684931506851</v>
      </c>
      <c r="O18" s="3"/>
      <c r="P18" s="70" t="s">
        <v>18609</v>
      </c>
      <c r="Q18" s="2" t="s">
        <v>32</v>
      </c>
      <c r="R18" s="2" t="s">
        <v>12218</v>
      </c>
      <c r="T18" s="2" t="s">
        <v>18664</v>
      </c>
      <c r="U18" s="2" t="s">
        <v>18652</v>
      </c>
      <c r="V18" s="107">
        <v>45857</v>
      </c>
      <c r="W18" s="2"/>
      <c r="X18" s="97"/>
      <c r="Y18" s="75">
        <v>333.51</v>
      </c>
    </row>
    <row r="19" spans="1:25" x14ac:dyDescent="0.25">
      <c r="A19" s="76">
        <v>14</v>
      </c>
      <c r="B19" s="2" t="s">
        <v>4750</v>
      </c>
      <c r="C19" s="2" t="s">
        <v>1269</v>
      </c>
      <c r="D19" s="2" t="s">
        <v>4751</v>
      </c>
      <c r="E19" s="2" t="s">
        <v>4752</v>
      </c>
      <c r="F19" s="2" t="s">
        <v>4753</v>
      </c>
      <c r="G19" s="2" t="s">
        <v>743</v>
      </c>
      <c r="H19" s="17">
        <v>25</v>
      </c>
      <c r="I19" s="31">
        <f t="shared" si="0"/>
        <v>25000</v>
      </c>
      <c r="J19" s="31">
        <f t="shared" si="1"/>
        <v>1750.0000000000002</v>
      </c>
      <c r="K19" s="44">
        <f t="shared" si="2"/>
        <v>4.794520547945206</v>
      </c>
      <c r="L19" s="3">
        <f t="shared" si="3"/>
        <v>354.79452054794524</v>
      </c>
      <c r="M19" s="3">
        <f t="shared" si="4"/>
        <v>21.287671232876715</v>
      </c>
      <c r="N19" s="67">
        <f t="shared" si="5"/>
        <v>333.50684931506851</v>
      </c>
      <c r="O19" s="3"/>
      <c r="P19" s="70" t="s">
        <v>18609</v>
      </c>
      <c r="Q19" s="2" t="s">
        <v>32</v>
      </c>
      <c r="R19" s="2" t="s">
        <v>4754</v>
      </c>
      <c r="T19" s="2" t="s">
        <v>18664</v>
      </c>
      <c r="U19" s="2" t="s">
        <v>18652</v>
      </c>
      <c r="V19" s="107">
        <v>45857</v>
      </c>
      <c r="W19" s="2"/>
      <c r="X19" s="97"/>
      <c r="Y19" s="75">
        <v>333.51</v>
      </c>
    </row>
    <row r="20" spans="1:25" x14ac:dyDescent="0.25">
      <c r="A20" s="76">
        <v>15</v>
      </c>
      <c r="B20" s="2" t="s">
        <v>1915</v>
      </c>
      <c r="C20" s="2" t="s">
        <v>1916</v>
      </c>
      <c r="D20" s="2" t="s">
        <v>1917</v>
      </c>
      <c r="E20" s="2" t="s">
        <v>1918</v>
      </c>
      <c r="F20" s="2" t="s">
        <v>1919</v>
      </c>
      <c r="G20" s="2" t="s">
        <v>799</v>
      </c>
      <c r="H20" s="17">
        <v>25</v>
      </c>
      <c r="I20" s="31">
        <f t="shared" si="0"/>
        <v>25000</v>
      </c>
      <c r="J20" s="31">
        <f t="shared" si="1"/>
        <v>1750.0000000000002</v>
      </c>
      <c r="K20" s="44">
        <f t="shared" si="2"/>
        <v>4.794520547945206</v>
      </c>
      <c r="L20" s="3">
        <f t="shared" si="3"/>
        <v>354.79452054794524</v>
      </c>
      <c r="M20" s="3">
        <f t="shared" si="4"/>
        <v>21.287671232876715</v>
      </c>
      <c r="N20" s="67">
        <f t="shared" si="5"/>
        <v>333.50684931506851</v>
      </c>
      <c r="O20" s="3"/>
      <c r="P20" s="70" t="s">
        <v>18609</v>
      </c>
      <c r="Q20" s="2" t="s">
        <v>32</v>
      </c>
      <c r="R20" s="2" t="s">
        <v>1920</v>
      </c>
      <c r="T20" s="2" t="s">
        <v>18664</v>
      </c>
      <c r="U20" s="2" t="s">
        <v>18652</v>
      </c>
      <c r="V20" s="107">
        <v>45857</v>
      </c>
      <c r="W20" s="2"/>
      <c r="X20" s="97"/>
      <c r="Y20" s="75">
        <v>333.51</v>
      </c>
    </row>
    <row r="21" spans="1:25" x14ac:dyDescent="0.25">
      <c r="A21" s="76">
        <v>16</v>
      </c>
      <c r="B21" s="2" t="s">
        <v>6053</v>
      </c>
      <c r="C21" s="2" t="s">
        <v>6054</v>
      </c>
      <c r="D21" s="2" t="s">
        <v>6055</v>
      </c>
      <c r="E21" s="2" t="s">
        <v>6056</v>
      </c>
      <c r="F21" s="2" t="s">
        <v>6057</v>
      </c>
      <c r="G21" s="2" t="s">
        <v>275</v>
      </c>
      <c r="H21" s="17">
        <v>500</v>
      </c>
      <c r="I21" s="31">
        <f t="shared" si="0"/>
        <v>500000</v>
      </c>
      <c r="J21" s="31">
        <f t="shared" si="1"/>
        <v>35000</v>
      </c>
      <c r="K21" s="44">
        <f t="shared" si="2"/>
        <v>95.890410958904113</v>
      </c>
      <c r="L21" s="3">
        <f t="shared" si="3"/>
        <v>7095.8904109589039</v>
      </c>
      <c r="M21" s="3">
        <f t="shared" si="4"/>
        <v>425.7534246575342</v>
      </c>
      <c r="N21" s="67">
        <f t="shared" si="5"/>
        <v>6670.1369863013697</v>
      </c>
      <c r="O21" s="3"/>
      <c r="P21" s="70" t="s">
        <v>18609</v>
      </c>
      <c r="Q21" s="2" t="s">
        <v>32</v>
      </c>
      <c r="R21" s="2" t="s">
        <v>6058</v>
      </c>
      <c r="T21" s="2" t="s">
        <v>18664</v>
      </c>
      <c r="U21" s="2" t="s">
        <v>18652</v>
      </c>
      <c r="V21" s="107">
        <v>45857</v>
      </c>
      <c r="W21" s="2"/>
      <c r="X21" s="97"/>
      <c r="Y21" s="75">
        <v>6670.14</v>
      </c>
    </row>
    <row r="22" spans="1:25" x14ac:dyDescent="0.25">
      <c r="A22" s="76">
        <v>17</v>
      </c>
      <c r="B22" s="2" t="s">
        <v>11649</v>
      </c>
      <c r="C22" s="2" t="s">
        <v>11650</v>
      </c>
      <c r="D22" s="2" t="s">
        <v>11651</v>
      </c>
      <c r="E22" s="2" t="s">
        <v>11652</v>
      </c>
      <c r="F22" s="2" t="s">
        <v>11653</v>
      </c>
      <c r="G22" s="2" t="s">
        <v>158</v>
      </c>
      <c r="H22" s="17">
        <v>25</v>
      </c>
      <c r="I22" s="31">
        <f t="shared" si="0"/>
        <v>25000</v>
      </c>
      <c r="J22" s="31">
        <f t="shared" si="1"/>
        <v>1750.0000000000002</v>
      </c>
      <c r="K22" s="44">
        <f t="shared" si="2"/>
        <v>4.794520547945206</v>
      </c>
      <c r="L22" s="3">
        <f t="shared" si="3"/>
        <v>354.79452054794524</v>
      </c>
      <c r="M22" s="3">
        <f t="shared" si="4"/>
        <v>21.287671232876715</v>
      </c>
      <c r="N22" s="67">
        <f t="shared" si="5"/>
        <v>333.50684931506851</v>
      </c>
      <c r="O22" s="3"/>
      <c r="P22" s="70" t="s">
        <v>18609</v>
      </c>
      <c r="Q22" s="2" t="s">
        <v>32</v>
      </c>
      <c r="R22" s="2" t="s">
        <v>11654</v>
      </c>
      <c r="T22" s="2" t="s">
        <v>18664</v>
      </c>
      <c r="U22" s="2" t="s">
        <v>18652</v>
      </c>
      <c r="V22" s="107">
        <v>45857</v>
      </c>
      <c r="W22" s="2"/>
      <c r="X22" s="97"/>
      <c r="Y22" s="75">
        <v>333.51</v>
      </c>
    </row>
    <row r="23" spans="1:25" x14ac:dyDescent="0.25">
      <c r="A23" s="76">
        <v>18</v>
      </c>
      <c r="B23" s="2" t="s">
        <v>14376</v>
      </c>
      <c r="C23" s="2" t="s">
        <v>14377</v>
      </c>
      <c r="D23" s="2" t="s">
        <v>14378</v>
      </c>
      <c r="E23" s="2" t="s">
        <v>14379</v>
      </c>
      <c r="F23" s="2" t="s">
        <v>14380</v>
      </c>
      <c r="G23" s="2" t="s">
        <v>580</v>
      </c>
      <c r="H23" s="17">
        <v>100</v>
      </c>
      <c r="I23" s="31">
        <f t="shared" si="0"/>
        <v>100000</v>
      </c>
      <c r="J23" s="31">
        <f t="shared" si="1"/>
        <v>7000.0000000000009</v>
      </c>
      <c r="K23" s="44">
        <f t="shared" si="2"/>
        <v>19.178082191780824</v>
      </c>
      <c r="L23" s="3">
        <f t="shared" si="3"/>
        <v>1419.178082191781</v>
      </c>
      <c r="M23" s="3">
        <f t="shared" si="4"/>
        <v>85.150684931506859</v>
      </c>
      <c r="N23" s="67">
        <f t="shared" si="5"/>
        <v>1334.027397260274</v>
      </c>
      <c r="O23" s="3"/>
      <c r="P23" s="70" t="s">
        <v>18609</v>
      </c>
      <c r="Q23" s="2" t="s">
        <v>32</v>
      </c>
      <c r="R23" s="2" t="s">
        <v>14381</v>
      </c>
      <c r="T23" s="2" t="s">
        <v>18664</v>
      </c>
      <c r="U23" s="2" t="s">
        <v>18652</v>
      </c>
      <c r="V23" s="107">
        <v>45857</v>
      </c>
      <c r="W23" s="2"/>
      <c r="X23" s="97"/>
      <c r="Y23" s="75">
        <v>1334.03</v>
      </c>
    </row>
    <row r="24" spans="1:25" x14ac:dyDescent="0.25">
      <c r="A24" s="76">
        <v>19</v>
      </c>
      <c r="B24" s="2" t="s">
        <v>17265</v>
      </c>
      <c r="C24" s="2" t="s">
        <v>17266</v>
      </c>
      <c r="D24" s="2" t="s">
        <v>17267</v>
      </c>
      <c r="E24" s="2" t="s">
        <v>17268</v>
      </c>
      <c r="F24" s="2" t="s">
        <v>17269</v>
      </c>
      <c r="G24" s="2" t="s">
        <v>74</v>
      </c>
      <c r="H24" s="17">
        <v>25</v>
      </c>
      <c r="I24" s="31">
        <f t="shared" si="0"/>
        <v>25000</v>
      </c>
      <c r="J24" s="31">
        <f t="shared" si="1"/>
        <v>1750.0000000000002</v>
      </c>
      <c r="K24" s="44">
        <f t="shared" si="2"/>
        <v>4.794520547945206</v>
      </c>
      <c r="L24" s="3">
        <f t="shared" si="3"/>
        <v>354.79452054794524</v>
      </c>
      <c r="M24" s="3">
        <f t="shared" si="4"/>
        <v>21.287671232876715</v>
      </c>
      <c r="N24" s="67">
        <f t="shared" si="5"/>
        <v>333.50684931506851</v>
      </c>
      <c r="O24" s="3"/>
      <c r="P24" s="70" t="s">
        <v>18609</v>
      </c>
      <c r="Q24" s="2" t="s">
        <v>32</v>
      </c>
      <c r="R24" s="2" t="s">
        <v>17270</v>
      </c>
      <c r="T24" s="2" t="s">
        <v>18664</v>
      </c>
      <c r="U24" s="2" t="s">
        <v>18652</v>
      </c>
      <c r="V24" s="107">
        <v>45857</v>
      </c>
      <c r="W24" s="2"/>
      <c r="X24" s="97"/>
      <c r="Y24" s="75">
        <v>333.51</v>
      </c>
    </row>
    <row r="25" spans="1:25" x14ac:dyDescent="0.25">
      <c r="A25" s="76">
        <v>20</v>
      </c>
      <c r="B25" s="2" t="s">
        <v>5796</v>
      </c>
      <c r="C25" s="2" t="s">
        <v>5797</v>
      </c>
      <c r="D25" s="2" t="s">
        <v>5798</v>
      </c>
      <c r="E25" s="2" t="s">
        <v>5799</v>
      </c>
      <c r="F25" s="2" t="s">
        <v>5800</v>
      </c>
      <c r="G25" s="2" t="s">
        <v>835</v>
      </c>
      <c r="H25" s="17">
        <v>100</v>
      </c>
      <c r="I25" s="31">
        <f t="shared" si="0"/>
        <v>100000</v>
      </c>
      <c r="J25" s="31">
        <f t="shared" si="1"/>
        <v>7000.0000000000009</v>
      </c>
      <c r="K25" s="44">
        <f t="shared" si="2"/>
        <v>19.178082191780824</v>
      </c>
      <c r="L25" s="3">
        <f t="shared" si="3"/>
        <v>1419.178082191781</v>
      </c>
      <c r="M25" s="3">
        <f t="shared" si="4"/>
        <v>85.150684931506859</v>
      </c>
      <c r="N25" s="67">
        <f t="shared" si="5"/>
        <v>1334.027397260274</v>
      </c>
      <c r="O25" s="3"/>
      <c r="P25" s="70" t="s">
        <v>18609</v>
      </c>
      <c r="Q25" s="2" t="s">
        <v>32</v>
      </c>
      <c r="R25" s="2" t="s">
        <v>5801</v>
      </c>
      <c r="T25" s="2" t="s">
        <v>18664</v>
      </c>
      <c r="U25" s="2" t="s">
        <v>18652</v>
      </c>
      <c r="V25" s="107">
        <v>45857</v>
      </c>
      <c r="W25" s="2"/>
      <c r="X25" s="97"/>
      <c r="Y25" s="75">
        <v>1334.03</v>
      </c>
    </row>
    <row r="26" spans="1:25" x14ac:dyDescent="0.25">
      <c r="A26" s="76">
        <v>21</v>
      </c>
      <c r="B26" s="2" t="s">
        <v>17148</v>
      </c>
      <c r="C26" s="2" t="s">
        <v>17149</v>
      </c>
      <c r="D26" s="2" t="s">
        <v>17150</v>
      </c>
      <c r="E26" s="2" t="s">
        <v>17151</v>
      </c>
      <c r="F26" s="2" t="s">
        <v>17152</v>
      </c>
      <c r="G26" s="2" t="s">
        <v>750</v>
      </c>
      <c r="H26" s="17">
        <v>25</v>
      </c>
      <c r="I26" s="31">
        <f t="shared" si="0"/>
        <v>25000</v>
      </c>
      <c r="J26" s="31">
        <f t="shared" si="1"/>
        <v>1750.0000000000002</v>
      </c>
      <c r="K26" s="44">
        <f t="shared" si="2"/>
        <v>4.794520547945206</v>
      </c>
      <c r="L26" s="3">
        <f t="shared" si="3"/>
        <v>354.79452054794524</v>
      </c>
      <c r="M26" s="3">
        <f t="shared" si="4"/>
        <v>21.287671232876715</v>
      </c>
      <c r="N26" s="67">
        <f t="shared" si="5"/>
        <v>333.50684931506851</v>
      </c>
      <c r="O26" s="3"/>
      <c r="P26" s="70" t="s">
        <v>18609</v>
      </c>
      <c r="Q26" s="2" t="s">
        <v>32</v>
      </c>
      <c r="R26" s="2" t="s">
        <v>17153</v>
      </c>
      <c r="T26" s="2" t="s">
        <v>18664</v>
      </c>
      <c r="U26" s="2" t="s">
        <v>18652</v>
      </c>
      <c r="V26" s="107">
        <v>45857</v>
      </c>
      <c r="W26" s="2"/>
      <c r="X26" s="97"/>
      <c r="Y26" s="75">
        <v>333.51</v>
      </c>
    </row>
    <row r="27" spans="1:25" x14ac:dyDescent="0.25">
      <c r="A27" s="76">
        <v>22</v>
      </c>
      <c r="B27" s="2" t="s">
        <v>12717</v>
      </c>
      <c r="C27" s="2" t="s">
        <v>12718</v>
      </c>
      <c r="D27" s="2" t="s">
        <v>12719</v>
      </c>
      <c r="E27" s="2" t="s">
        <v>12720</v>
      </c>
      <c r="F27" s="2" t="s">
        <v>12721</v>
      </c>
      <c r="G27" s="2" t="s">
        <v>517</v>
      </c>
      <c r="H27" s="17">
        <v>25</v>
      </c>
      <c r="I27" s="31">
        <f t="shared" si="0"/>
        <v>25000</v>
      </c>
      <c r="J27" s="31">
        <f t="shared" si="1"/>
        <v>1750.0000000000002</v>
      </c>
      <c r="K27" s="44">
        <f t="shared" si="2"/>
        <v>4.794520547945206</v>
      </c>
      <c r="L27" s="3">
        <f t="shared" si="3"/>
        <v>354.79452054794524</v>
      </c>
      <c r="M27" s="3">
        <f t="shared" si="4"/>
        <v>21.287671232876715</v>
      </c>
      <c r="N27" s="67">
        <f t="shared" si="5"/>
        <v>333.50684931506851</v>
      </c>
      <c r="O27" s="3"/>
      <c r="P27" s="70" t="s">
        <v>18609</v>
      </c>
      <c r="Q27" s="2" t="s">
        <v>32</v>
      </c>
      <c r="R27" s="2" t="s">
        <v>12722</v>
      </c>
      <c r="T27" s="2" t="s">
        <v>18664</v>
      </c>
      <c r="U27" s="2" t="s">
        <v>18652</v>
      </c>
      <c r="V27" s="107">
        <v>45857</v>
      </c>
      <c r="W27" s="2"/>
      <c r="X27" s="97"/>
      <c r="Y27" s="75">
        <v>333.51</v>
      </c>
    </row>
    <row r="28" spans="1:25" x14ac:dyDescent="0.25">
      <c r="A28" s="76">
        <v>23</v>
      </c>
      <c r="B28" s="2" t="s">
        <v>9699</v>
      </c>
      <c r="C28" s="2" t="s">
        <v>9700</v>
      </c>
      <c r="D28" s="2" t="s">
        <v>9701</v>
      </c>
      <c r="E28" s="2" t="s">
        <v>9701</v>
      </c>
      <c r="F28" s="2" t="s">
        <v>9702</v>
      </c>
      <c r="G28" s="2" t="s">
        <v>1048</v>
      </c>
      <c r="H28" s="17">
        <v>100</v>
      </c>
      <c r="I28" s="31">
        <f t="shared" si="0"/>
        <v>100000</v>
      </c>
      <c r="J28" s="31">
        <f t="shared" si="1"/>
        <v>7000.0000000000009</v>
      </c>
      <c r="K28" s="44">
        <f t="shared" si="2"/>
        <v>19.178082191780824</v>
      </c>
      <c r="L28" s="3">
        <f t="shared" si="3"/>
        <v>1419.178082191781</v>
      </c>
      <c r="M28" s="3">
        <f t="shared" si="4"/>
        <v>85.150684931506859</v>
      </c>
      <c r="N28" s="67">
        <f t="shared" si="5"/>
        <v>1334.027397260274</v>
      </c>
      <c r="O28" s="3"/>
      <c r="P28" s="70" t="s">
        <v>18609</v>
      </c>
      <c r="Q28" s="2" t="s">
        <v>32</v>
      </c>
      <c r="R28" s="2" t="s">
        <v>9703</v>
      </c>
      <c r="T28" s="2" t="s">
        <v>18664</v>
      </c>
      <c r="U28" s="2" t="s">
        <v>18652</v>
      </c>
      <c r="V28" s="107">
        <v>45857</v>
      </c>
      <c r="W28" s="2"/>
      <c r="X28" s="97"/>
      <c r="Y28" s="75">
        <v>1334.03</v>
      </c>
    </row>
    <row r="29" spans="1:25" x14ac:dyDescent="0.25">
      <c r="A29" s="76">
        <v>24</v>
      </c>
      <c r="B29" s="2" t="s">
        <v>8932</v>
      </c>
      <c r="C29" s="2" t="s">
        <v>8933</v>
      </c>
      <c r="D29" s="2" t="s">
        <v>8934</v>
      </c>
      <c r="E29" s="2" t="s">
        <v>8935</v>
      </c>
      <c r="F29" s="2" t="s">
        <v>8936</v>
      </c>
      <c r="G29" s="2" t="s">
        <v>580</v>
      </c>
      <c r="H29" s="17">
        <v>25</v>
      </c>
      <c r="I29" s="31">
        <f t="shared" si="0"/>
        <v>25000</v>
      </c>
      <c r="J29" s="31">
        <f t="shared" si="1"/>
        <v>1750.0000000000002</v>
      </c>
      <c r="K29" s="44">
        <f t="shared" si="2"/>
        <v>4.794520547945206</v>
      </c>
      <c r="L29" s="3">
        <f t="shared" si="3"/>
        <v>354.79452054794524</v>
      </c>
      <c r="M29" s="3">
        <f t="shared" si="4"/>
        <v>21.287671232876715</v>
      </c>
      <c r="N29" s="67">
        <f t="shared" si="5"/>
        <v>333.50684931506851</v>
      </c>
      <c r="O29" s="3"/>
      <c r="P29" s="70" t="s">
        <v>18609</v>
      </c>
      <c r="Q29" s="2" t="s">
        <v>32</v>
      </c>
      <c r="R29" s="2" t="s">
        <v>8937</v>
      </c>
      <c r="T29" s="2" t="s">
        <v>18664</v>
      </c>
      <c r="U29" s="2" t="s">
        <v>18652</v>
      </c>
      <c r="V29" s="107">
        <v>45857</v>
      </c>
      <c r="W29" s="2"/>
      <c r="X29" s="97"/>
      <c r="Y29" s="75">
        <v>333.51</v>
      </c>
    </row>
    <row r="30" spans="1:25" x14ac:dyDescent="0.25">
      <c r="A30" s="76">
        <v>25</v>
      </c>
      <c r="B30" s="2" t="s">
        <v>958</v>
      </c>
      <c r="C30" s="2" t="s">
        <v>959</v>
      </c>
      <c r="D30" s="2" t="s">
        <v>960</v>
      </c>
      <c r="E30" s="2" t="s">
        <v>961</v>
      </c>
      <c r="F30" s="2" t="s">
        <v>962</v>
      </c>
      <c r="G30" s="2" t="s">
        <v>31</v>
      </c>
      <c r="H30" s="17">
        <v>25</v>
      </c>
      <c r="I30" s="31">
        <f t="shared" si="0"/>
        <v>25000</v>
      </c>
      <c r="J30" s="31">
        <f t="shared" si="1"/>
        <v>1750.0000000000002</v>
      </c>
      <c r="K30" s="44">
        <f t="shared" si="2"/>
        <v>4.794520547945206</v>
      </c>
      <c r="L30" s="3">
        <f t="shared" si="3"/>
        <v>354.79452054794524</v>
      </c>
      <c r="M30" s="3">
        <f t="shared" si="4"/>
        <v>21.287671232876715</v>
      </c>
      <c r="N30" s="67">
        <f t="shared" si="5"/>
        <v>333.50684931506851</v>
      </c>
      <c r="O30" s="3"/>
      <c r="P30" s="70" t="s">
        <v>18609</v>
      </c>
      <c r="Q30" s="2" t="s">
        <v>32</v>
      </c>
      <c r="R30" s="2" t="s">
        <v>963</v>
      </c>
      <c r="T30" s="2" t="s">
        <v>18664</v>
      </c>
      <c r="U30" s="2" t="s">
        <v>18652</v>
      </c>
      <c r="V30" s="107">
        <v>45857</v>
      </c>
      <c r="W30" s="2"/>
      <c r="X30" s="97"/>
      <c r="Y30" s="75">
        <v>333.51</v>
      </c>
    </row>
    <row r="31" spans="1:25" x14ac:dyDescent="0.25">
      <c r="A31" s="76">
        <v>26</v>
      </c>
      <c r="B31" s="2" t="s">
        <v>14505</v>
      </c>
      <c r="C31" s="2" t="s">
        <v>14506</v>
      </c>
      <c r="D31" s="2" t="s">
        <v>14507</v>
      </c>
      <c r="E31" s="2" t="s">
        <v>14508</v>
      </c>
      <c r="F31" s="2" t="s">
        <v>14509</v>
      </c>
      <c r="G31" s="2" t="s">
        <v>2380</v>
      </c>
      <c r="H31" s="17">
        <v>100</v>
      </c>
      <c r="I31" s="31">
        <f t="shared" si="0"/>
        <v>100000</v>
      </c>
      <c r="J31" s="31">
        <f t="shared" si="1"/>
        <v>7000.0000000000009</v>
      </c>
      <c r="K31" s="44">
        <f t="shared" si="2"/>
        <v>19.178082191780824</v>
      </c>
      <c r="L31" s="3">
        <f t="shared" si="3"/>
        <v>1419.178082191781</v>
      </c>
      <c r="M31" s="3">
        <f t="shared" si="4"/>
        <v>85.150684931506859</v>
      </c>
      <c r="N31" s="67">
        <f t="shared" si="5"/>
        <v>1334.027397260274</v>
      </c>
      <c r="O31" s="3"/>
      <c r="P31" s="70" t="s">
        <v>18609</v>
      </c>
      <c r="Q31" s="2" t="s">
        <v>32</v>
      </c>
      <c r="R31" s="2" t="s">
        <v>14510</v>
      </c>
      <c r="T31" s="2" t="s">
        <v>18664</v>
      </c>
      <c r="U31" s="2" t="s">
        <v>18652</v>
      </c>
      <c r="V31" s="107">
        <v>45857</v>
      </c>
      <c r="W31" s="2"/>
      <c r="X31" s="97"/>
      <c r="Y31" s="75">
        <v>1334.03</v>
      </c>
    </row>
    <row r="32" spans="1:25" x14ac:dyDescent="0.25">
      <c r="A32" s="76">
        <v>27</v>
      </c>
      <c r="B32" s="2" t="s">
        <v>2536</v>
      </c>
      <c r="C32" s="2" t="s">
        <v>2537</v>
      </c>
      <c r="D32" s="2" t="s">
        <v>2538</v>
      </c>
      <c r="E32" s="2" t="s">
        <v>2539</v>
      </c>
      <c r="F32" s="2" t="s">
        <v>2540</v>
      </c>
      <c r="G32" s="2" t="s">
        <v>101</v>
      </c>
      <c r="H32" s="17">
        <v>25</v>
      </c>
      <c r="I32" s="31">
        <f t="shared" si="0"/>
        <v>25000</v>
      </c>
      <c r="J32" s="31">
        <f t="shared" si="1"/>
        <v>1750.0000000000002</v>
      </c>
      <c r="K32" s="44">
        <f t="shared" si="2"/>
        <v>4.794520547945206</v>
      </c>
      <c r="L32" s="3">
        <f t="shared" si="3"/>
        <v>354.79452054794524</v>
      </c>
      <c r="M32" s="3">
        <f t="shared" si="4"/>
        <v>21.287671232876715</v>
      </c>
      <c r="N32" s="67">
        <f t="shared" si="5"/>
        <v>333.50684931506851</v>
      </c>
      <c r="O32" s="3"/>
      <c r="P32" s="70" t="s">
        <v>18609</v>
      </c>
      <c r="Q32" s="2" t="s">
        <v>32</v>
      </c>
      <c r="R32" s="2" t="s">
        <v>2541</v>
      </c>
      <c r="T32" s="2" t="s">
        <v>18664</v>
      </c>
      <c r="U32" s="2" t="s">
        <v>18652</v>
      </c>
      <c r="V32" s="107">
        <v>45857</v>
      </c>
      <c r="W32" s="2"/>
      <c r="X32" s="97"/>
      <c r="Y32" s="75">
        <v>333.51</v>
      </c>
    </row>
    <row r="33" spans="1:25" x14ac:dyDescent="0.25">
      <c r="A33" s="76">
        <v>28</v>
      </c>
      <c r="B33" s="2" t="s">
        <v>15244</v>
      </c>
      <c r="C33" s="2" t="s">
        <v>15245</v>
      </c>
      <c r="D33" s="2" t="s">
        <v>15246</v>
      </c>
      <c r="E33" s="2" t="s">
        <v>15247</v>
      </c>
      <c r="F33" s="2" t="s">
        <v>15248</v>
      </c>
      <c r="G33" s="2" t="s">
        <v>23</v>
      </c>
      <c r="H33" s="17">
        <v>25</v>
      </c>
      <c r="I33" s="31">
        <f t="shared" si="0"/>
        <v>25000</v>
      </c>
      <c r="J33" s="31">
        <f t="shared" si="1"/>
        <v>1750.0000000000002</v>
      </c>
      <c r="K33" s="44">
        <f t="shared" si="2"/>
        <v>4.794520547945206</v>
      </c>
      <c r="L33" s="3">
        <f t="shared" si="3"/>
        <v>354.79452054794524</v>
      </c>
      <c r="M33" s="3">
        <f t="shared" si="4"/>
        <v>21.287671232876715</v>
      </c>
      <c r="N33" s="67">
        <f t="shared" si="5"/>
        <v>333.50684931506851</v>
      </c>
      <c r="O33" s="3"/>
      <c r="P33" s="70" t="s">
        <v>18609</v>
      </c>
      <c r="Q33" s="2" t="s">
        <v>32</v>
      </c>
      <c r="R33" s="2" t="s">
        <v>15249</v>
      </c>
      <c r="T33" s="2" t="s">
        <v>18664</v>
      </c>
      <c r="U33" s="2" t="s">
        <v>18652</v>
      </c>
      <c r="V33" s="107">
        <v>45857</v>
      </c>
      <c r="W33" s="2"/>
      <c r="X33" s="97"/>
      <c r="Y33" s="75">
        <v>333.51</v>
      </c>
    </row>
    <row r="34" spans="1:25" x14ac:dyDescent="0.25">
      <c r="A34" s="76">
        <v>29</v>
      </c>
      <c r="B34" s="2" t="s">
        <v>4709</v>
      </c>
      <c r="C34" s="2" t="s">
        <v>4710</v>
      </c>
      <c r="D34" s="2" t="s">
        <v>4711</v>
      </c>
      <c r="E34" s="2" t="s">
        <v>4712</v>
      </c>
      <c r="F34" s="2" t="s">
        <v>4713</v>
      </c>
      <c r="G34" s="2" t="s">
        <v>517</v>
      </c>
      <c r="H34" s="17">
        <v>25</v>
      </c>
      <c r="I34" s="31">
        <f t="shared" si="0"/>
        <v>25000</v>
      </c>
      <c r="J34" s="31">
        <f t="shared" si="1"/>
        <v>1750.0000000000002</v>
      </c>
      <c r="K34" s="44">
        <f t="shared" si="2"/>
        <v>4.794520547945206</v>
      </c>
      <c r="L34" s="3">
        <f t="shared" si="3"/>
        <v>354.79452054794524</v>
      </c>
      <c r="M34" s="3">
        <f t="shared" si="4"/>
        <v>21.287671232876715</v>
      </c>
      <c r="N34" s="67">
        <f t="shared" si="5"/>
        <v>333.50684931506851</v>
      </c>
      <c r="O34" s="3"/>
      <c r="P34" s="70" t="s">
        <v>18609</v>
      </c>
      <c r="Q34" s="2" t="s">
        <v>32</v>
      </c>
      <c r="R34" s="2" t="s">
        <v>4714</v>
      </c>
      <c r="T34" s="2" t="s">
        <v>18664</v>
      </c>
      <c r="U34" s="2" t="s">
        <v>18652</v>
      </c>
      <c r="V34" s="107">
        <v>45857</v>
      </c>
      <c r="W34" s="2"/>
      <c r="X34" s="97"/>
      <c r="Y34" s="75">
        <v>333.51</v>
      </c>
    </row>
    <row r="35" spans="1:25" x14ac:dyDescent="0.25">
      <c r="A35" s="76">
        <v>30</v>
      </c>
      <c r="B35" s="2" t="s">
        <v>8495</v>
      </c>
      <c r="C35" s="2" t="s">
        <v>8496</v>
      </c>
      <c r="D35" s="2" t="s">
        <v>8497</v>
      </c>
      <c r="E35" s="2" t="s">
        <v>8498</v>
      </c>
      <c r="F35" s="2" t="s">
        <v>8499</v>
      </c>
      <c r="G35" s="2" t="s">
        <v>158</v>
      </c>
      <c r="H35" s="17">
        <v>25</v>
      </c>
      <c r="I35" s="31">
        <f t="shared" si="0"/>
        <v>25000</v>
      </c>
      <c r="J35" s="31">
        <f t="shared" si="1"/>
        <v>1750.0000000000002</v>
      </c>
      <c r="K35" s="44">
        <f t="shared" si="2"/>
        <v>4.794520547945206</v>
      </c>
      <c r="L35" s="3">
        <f t="shared" si="3"/>
        <v>354.79452054794524</v>
      </c>
      <c r="M35" s="3">
        <f t="shared" si="4"/>
        <v>21.287671232876715</v>
      </c>
      <c r="N35" s="67">
        <f t="shared" si="5"/>
        <v>333.50684931506851</v>
      </c>
      <c r="O35" s="3"/>
      <c r="P35" s="70" t="s">
        <v>18609</v>
      </c>
      <c r="Q35" s="2" t="s">
        <v>32</v>
      </c>
      <c r="R35" s="2" t="s">
        <v>8500</v>
      </c>
      <c r="T35" s="2" t="s">
        <v>18664</v>
      </c>
      <c r="U35" s="2" t="s">
        <v>18652</v>
      </c>
      <c r="V35" s="107">
        <v>45857</v>
      </c>
      <c r="W35" s="2"/>
      <c r="X35" s="97"/>
      <c r="Y35" s="75">
        <v>333.51</v>
      </c>
    </row>
    <row r="36" spans="1:25" x14ac:dyDescent="0.25">
      <c r="A36" s="76">
        <v>31</v>
      </c>
      <c r="B36" s="2" t="s">
        <v>13921</v>
      </c>
      <c r="C36" s="2" t="s">
        <v>13922</v>
      </c>
      <c r="D36" s="2" t="s">
        <v>13923</v>
      </c>
      <c r="E36" s="2" t="s">
        <v>13924</v>
      </c>
      <c r="F36" s="2" t="s">
        <v>11776</v>
      </c>
      <c r="G36" s="2" t="s">
        <v>261</v>
      </c>
      <c r="H36" s="17">
        <v>700</v>
      </c>
      <c r="I36" s="31">
        <f t="shared" si="0"/>
        <v>700000</v>
      </c>
      <c r="J36" s="31">
        <f t="shared" si="1"/>
        <v>49000.000000000007</v>
      </c>
      <c r="K36" s="44">
        <f t="shared" si="2"/>
        <v>134.24657534246577</v>
      </c>
      <c r="L36" s="3">
        <f t="shared" si="3"/>
        <v>9934.2465753424676</v>
      </c>
      <c r="M36" s="3">
        <f t="shared" si="4"/>
        <v>596.05479452054806</v>
      </c>
      <c r="N36" s="67">
        <f t="shared" si="5"/>
        <v>9338.1917808219187</v>
      </c>
      <c r="O36" s="3"/>
      <c r="P36" s="70" t="s">
        <v>18609</v>
      </c>
      <c r="Q36" s="2" t="s">
        <v>32</v>
      </c>
      <c r="R36" s="2" t="s">
        <v>13925</v>
      </c>
      <c r="T36" s="2" t="s">
        <v>18664</v>
      </c>
      <c r="U36" s="2" t="s">
        <v>18652</v>
      </c>
      <c r="V36" s="107">
        <v>45857</v>
      </c>
      <c r="W36" s="2"/>
      <c r="X36" s="97"/>
      <c r="Y36" s="75">
        <v>9338.2000000000007</v>
      </c>
    </row>
    <row r="37" spans="1:25" x14ac:dyDescent="0.25">
      <c r="A37" s="76">
        <v>32</v>
      </c>
      <c r="B37" s="2" t="s">
        <v>16629</v>
      </c>
      <c r="C37" s="2" t="s">
        <v>16630</v>
      </c>
      <c r="D37" s="2" t="s">
        <v>16631</v>
      </c>
      <c r="E37" s="2" t="s">
        <v>16632</v>
      </c>
      <c r="F37" s="2" t="s">
        <v>16633</v>
      </c>
      <c r="G37" s="2" t="s">
        <v>101</v>
      </c>
      <c r="H37" s="17">
        <v>25</v>
      </c>
      <c r="I37" s="31">
        <f t="shared" si="0"/>
        <v>25000</v>
      </c>
      <c r="J37" s="31">
        <f t="shared" si="1"/>
        <v>1750.0000000000002</v>
      </c>
      <c r="K37" s="44">
        <f t="shared" si="2"/>
        <v>4.794520547945206</v>
      </c>
      <c r="L37" s="3">
        <f t="shared" si="3"/>
        <v>354.79452054794524</v>
      </c>
      <c r="M37" s="3">
        <f t="shared" si="4"/>
        <v>21.287671232876715</v>
      </c>
      <c r="N37" s="67">
        <f t="shared" si="5"/>
        <v>333.50684931506851</v>
      </c>
      <c r="O37" s="3"/>
      <c r="P37" s="70" t="s">
        <v>18609</v>
      </c>
      <c r="Q37" s="2" t="s">
        <v>32</v>
      </c>
      <c r="R37" s="2" t="s">
        <v>16634</v>
      </c>
      <c r="T37" s="2" t="s">
        <v>18664</v>
      </c>
      <c r="U37" s="2" t="s">
        <v>18652</v>
      </c>
      <c r="V37" s="107">
        <v>45857</v>
      </c>
      <c r="W37" s="2"/>
      <c r="X37" s="97"/>
      <c r="Y37" s="75">
        <v>333.51</v>
      </c>
    </row>
    <row r="38" spans="1:25" x14ac:dyDescent="0.25">
      <c r="A38" s="76">
        <v>33</v>
      </c>
      <c r="B38" s="2" t="s">
        <v>1050</v>
      </c>
      <c r="C38" s="2" t="s">
        <v>1051</v>
      </c>
      <c r="D38" s="2" t="s">
        <v>1052</v>
      </c>
      <c r="E38" s="2" t="s">
        <v>1053</v>
      </c>
      <c r="F38" s="2" t="s">
        <v>1054</v>
      </c>
      <c r="G38" s="2" t="s">
        <v>1055</v>
      </c>
      <c r="H38" s="17">
        <v>25</v>
      </c>
      <c r="I38" s="31">
        <f t="shared" si="0"/>
        <v>25000</v>
      </c>
      <c r="J38" s="31">
        <f t="shared" si="1"/>
        <v>1750.0000000000002</v>
      </c>
      <c r="K38" s="44">
        <f t="shared" si="2"/>
        <v>4.794520547945206</v>
      </c>
      <c r="L38" s="3">
        <f t="shared" si="3"/>
        <v>354.79452054794524</v>
      </c>
      <c r="M38" s="3">
        <f t="shared" si="4"/>
        <v>21.287671232876715</v>
      </c>
      <c r="N38" s="67">
        <f t="shared" si="5"/>
        <v>333.50684931506851</v>
      </c>
      <c r="O38" s="3"/>
      <c r="P38" s="70" t="s">
        <v>18609</v>
      </c>
      <c r="Q38" s="2" t="s">
        <v>32</v>
      </c>
      <c r="R38" s="2" t="s">
        <v>1056</v>
      </c>
      <c r="T38" s="2" t="s">
        <v>18664</v>
      </c>
      <c r="U38" s="2" t="s">
        <v>18652</v>
      </c>
      <c r="V38" s="107">
        <v>45857</v>
      </c>
      <c r="W38" s="2"/>
      <c r="X38" s="97"/>
      <c r="Y38" s="75">
        <v>333.51</v>
      </c>
    </row>
    <row r="39" spans="1:25" x14ac:dyDescent="0.25">
      <c r="A39" s="76">
        <v>34</v>
      </c>
      <c r="B39" s="2" t="s">
        <v>8478</v>
      </c>
      <c r="C39" s="2" t="s">
        <v>8479</v>
      </c>
      <c r="D39" s="2" t="s">
        <v>8480</v>
      </c>
      <c r="E39" s="2" t="s">
        <v>8480</v>
      </c>
      <c r="F39" s="2" t="s">
        <v>8481</v>
      </c>
      <c r="G39" s="2" t="s">
        <v>275</v>
      </c>
      <c r="H39" s="17">
        <v>25</v>
      </c>
      <c r="I39" s="31">
        <f t="shared" si="0"/>
        <v>25000</v>
      </c>
      <c r="J39" s="31">
        <f t="shared" si="1"/>
        <v>1750.0000000000002</v>
      </c>
      <c r="K39" s="44">
        <f t="shared" si="2"/>
        <v>4.794520547945206</v>
      </c>
      <c r="L39" s="3">
        <f t="shared" si="3"/>
        <v>354.79452054794524</v>
      </c>
      <c r="M39" s="3">
        <f t="shared" si="4"/>
        <v>21.287671232876715</v>
      </c>
      <c r="N39" s="67">
        <f t="shared" si="5"/>
        <v>333.50684931506851</v>
      </c>
      <c r="O39" s="3"/>
      <c r="P39" s="70" t="s">
        <v>18609</v>
      </c>
      <c r="Q39" s="2" t="s">
        <v>32</v>
      </c>
      <c r="R39" s="2" t="s">
        <v>8482</v>
      </c>
      <c r="T39" s="2" t="s">
        <v>18664</v>
      </c>
      <c r="U39" s="2" t="s">
        <v>18652</v>
      </c>
      <c r="V39" s="107">
        <v>45857</v>
      </c>
      <c r="W39" s="2"/>
      <c r="X39" s="97"/>
      <c r="Y39" s="75">
        <v>333.51</v>
      </c>
    </row>
    <row r="40" spans="1:25" x14ac:dyDescent="0.25">
      <c r="A40" s="76">
        <v>35</v>
      </c>
      <c r="B40" s="2" t="s">
        <v>11743</v>
      </c>
      <c r="C40" s="2" t="s">
        <v>11744</v>
      </c>
      <c r="D40" s="2" t="s">
        <v>11745</v>
      </c>
      <c r="E40" s="2" t="s">
        <v>11746</v>
      </c>
      <c r="F40" s="2" t="s">
        <v>11747</v>
      </c>
      <c r="G40" s="2" t="s">
        <v>580</v>
      </c>
      <c r="H40" s="17">
        <v>35</v>
      </c>
      <c r="I40" s="31">
        <f t="shared" si="0"/>
        <v>35000</v>
      </c>
      <c r="J40" s="31">
        <f t="shared" si="1"/>
        <v>2450.0000000000005</v>
      </c>
      <c r="K40" s="44">
        <f t="shared" si="2"/>
        <v>6.7123287671232887</v>
      </c>
      <c r="L40" s="3">
        <f t="shared" si="3"/>
        <v>496.71232876712338</v>
      </c>
      <c r="M40" s="3">
        <f t="shared" si="4"/>
        <v>29.802739726027401</v>
      </c>
      <c r="N40" s="67">
        <f t="shared" si="5"/>
        <v>466.90958904109596</v>
      </c>
      <c r="O40" s="3"/>
      <c r="P40" s="70" t="s">
        <v>18609</v>
      </c>
      <c r="Q40" s="2" t="s">
        <v>32</v>
      </c>
      <c r="R40" s="2" t="s">
        <v>11748</v>
      </c>
      <c r="T40" s="2" t="s">
        <v>18664</v>
      </c>
      <c r="U40" s="2" t="s">
        <v>18652</v>
      </c>
      <c r="V40" s="107">
        <v>45857</v>
      </c>
      <c r="W40" s="2"/>
      <c r="X40" s="97"/>
      <c r="Y40" s="75">
        <v>466.90999999999997</v>
      </c>
    </row>
    <row r="41" spans="1:25" x14ac:dyDescent="0.25">
      <c r="A41" s="76">
        <v>36</v>
      </c>
      <c r="B41" s="2" t="s">
        <v>12965</v>
      </c>
      <c r="C41" s="2" t="s">
        <v>12966</v>
      </c>
      <c r="D41" s="2" t="s">
        <v>12967</v>
      </c>
      <c r="E41" s="2" t="s">
        <v>12968</v>
      </c>
      <c r="F41" s="2" t="s">
        <v>12969</v>
      </c>
      <c r="G41" s="2" t="s">
        <v>517</v>
      </c>
      <c r="H41" s="17">
        <v>25</v>
      </c>
      <c r="I41" s="31">
        <f t="shared" si="0"/>
        <v>25000</v>
      </c>
      <c r="J41" s="31">
        <f t="shared" si="1"/>
        <v>1750.0000000000002</v>
      </c>
      <c r="K41" s="44">
        <f t="shared" si="2"/>
        <v>4.794520547945206</v>
      </c>
      <c r="L41" s="3">
        <f t="shared" si="3"/>
        <v>354.79452054794524</v>
      </c>
      <c r="M41" s="3">
        <f t="shared" si="4"/>
        <v>21.287671232876715</v>
      </c>
      <c r="N41" s="67">
        <f t="shared" si="5"/>
        <v>333.50684931506851</v>
      </c>
      <c r="O41" s="3"/>
      <c r="P41" s="70" t="s">
        <v>18609</v>
      </c>
      <c r="Q41" s="2" t="s">
        <v>32</v>
      </c>
      <c r="R41" s="2" t="s">
        <v>12970</v>
      </c>
      <c r="T41" s="2" t="s">
        <v>18664</v>
      </c>
      <c r="U41" s="2" t="s">
        <v>18652</v>
      </c>
      <c r="V41" s="107">
        <v>45857</v>
      </c>
      <c r="W41" s="2"/>
      <c r="X41" s="97"/>
      <c r="Y41" s="75">
        <v>333.51</v>
      </c>
    </row>
    <row r="42" spans="1:25" x14ac:dyDescent="0.25">
      <c r="A42" s="76">
        <v>37</v>
      </c>
      <c r="B42" s="2" t="s">
        <v>7245</v>
      </c>
      <c r="C42" s="2" t="s">
        <v>7246</v>
      </c>
      <c r="D42" s="2" t="s">
        <v>7247</v>
      </c>
      <c r="E42" s="2" t="s">
        <v>7248</v>
      </c>
      <c r="F42" s="2" t="s">
        <v>7249</v>
      </c>
      <c r="G42" s="2" t="s">
        <v>193</v>
      </c>
      <c r="H42" s="17">
        <v>26</v>
      </c>
      <c r="I42" s="31">
        <f t="shared" si="0"/>
        <v>26000</v>
      </c>
      <c r="J42" s="31">
        <f t="shared" si="1"/>
        <v>1820.0000000000002</v>
      </c>
      <c r="K42" s="44">
        <f t="shared" si="2"/>
        <v>4.9863013698630141</v>
      </c>
      <c r="L42" s="3">
        <f t="shared" si="3"/>
        <v>368.98630136986304</v>
      </c>
      <c r="M42" s="3">
        <f t="shared" si="4"/>
        <v>22.139178082191783</v>
      </c>
      <c r="N42" s="67">
        <f t="shared" si="5"/>
        <v>346.84712328767125</v>
      </c>
      <c r="O42" s="3"/>
      <c r="P42" s="70" t="s">
        <v>18609</v>
      </c>
      <c r="Q42" s="2" t="s">
        <v>32</v>
      </c>
      <c r="R42" s="2" t="s">
        <v>7250</v>
      </c>
      <c r="T42" s="2" t="s">
        <v>18664</v>
      </c>
      <c r="U42" s="2" t="s">
        <v>18652</v>
      </c>
      <c r="V42" s="107">
        <v>45857</v>
      </c>
      <c r="W42" s="2"/>
      <c r="X42" s="97"/>
      <c r="Y42" s="75">
        <v>346.84999999999997</v>
      </c>
    </row>
    <row r="43" spans="1:25" x14ac:dyDescent="0.25">
      <c r="A43" s="76">
        <v>38</v>
      </c>
      <c r="B43" s="2" t="s">
        <v>8392</v>
      </c>
      <c r="C43" s="2" t="s">
        <v>8393</v>
      </c>
      <c r="D43" s="2" t="s">
        <v>8394</v>
      </c>
      <c r="E43" s="2" t="s">
        <v>8395</v>
      </c>
      <c r="F43" s="2" t="s">
        <v>8396</v>
      </c>
      <c r="G43" s="2" t="s">
        <v>510</v>
      </c>
      <c r="H43" s="17">
        <v>25</v>
      </c>
      <c r="I43" s="31">
        <f t="shared" si="0"/>
        <v>25000</v>
      </c>
      <c r="J43" s="31">
        <f t="shared" si="1"/>
        <v>1750.0000000000002</v>
      </c>
      <c r="K43" s="44">
        <f t="shared" si="2"/>
        <v>4.794520547945206</v>
      </c>
      <c r="L43" s="3">
        <f t="shared" si="3"/>
        <v>354.79452054794524</v>
      </c>
      <c r="M43" s="3">
        <f t="shared" si="4"/>
        <v>21.287671232876715</v>
      </c>
      <c r="N43" s="67">
        <f t="shared" si="5"/>
        <v>333.50684931506851</v>
      </c>
      <c r="O43" s="3"/>
      <c r="P43" s="70" t="s">
        <v>18609</v>
      </c>
      <c r="Q43" s="2" t="s">
        <v>32</v>
      </c>
      <c r="R43" s="2" t="s">
        <v>8397</v>
      </c>
      <c r="T43" s="2" t="s">
        <v>18664</v>
      </c>
      <c r="U43" s="2" t="s">
        <v>18652</v>
      </c>
      <c r="V43" s="107">
        <v>45857</v>
      </c>
      <c r="W43" s="2"/>
      <c r="X43" s="97"/>
      <c r="Y43" s="75">
        <v>333.51</v>
      </c>
    </row>
    <row r="44" spans="1:25" x14ac:dyDescent="0.25">
      <c r="A44" s="76">
        <v>39</v>
      </c>
      <c r="B44" s="2" t="s">
        <v>6722</v>
      </c>
      <c r="C44" s="2" t="s">
        <v>6723</v>
      </c>
      <c r="D44" s="2" t="s">
        <v>6724</v>
      </c>
      <c r="E44" s="2" t="s">
        <v>6725</v>
      </c>
      <c r="F44" s="2" t="s">
        <v>6726</v>
      </c>
      <c r="G44" s="2" t="s">
        <v>309</v>
      </c>
      <c r="H44" s="17">
        <v>25</v>
      </c>
      <c r="I44" s="31">
        <f t="shared" si="0"/>
        <v>25000</v>
      </c>
      <c r="J44" s="31">
        <f t="shared" si="1"/>
        <v>1750.0000000000002</v>
      </c>
      <c r="K44" s="44">
        <f t="shared" si="2"/>
        <v>4.794520547945206</v>
      </c>
      <c r="L44" s="3">
        <f t="shared" si="3"/>
        <v>354.79452054794524</v>
      </c>
      <c r="M44" s="3">
        <f t="shared" si="4"/>
        <v>21.287671232876715</v>
      </c>
      <c r="N44" s="67">
        <f t="shared" si="5"/>
        <v>333.50684931506851</v>
      </c>
      <c r="O44" s="3"/>
      <c r="P44" s="70" t="s">
        <v>18609</v>
      </c>
      <c r="Q44" s="2" t="s">
        <v>32</v>
      </c>
      <c r="R44" s="2" t="s">
        <v>6727</v>
      </c>
      <c r="T44" s="2" t="s">
        <v>18664</v>
      </c>
      <c r="U44" s="2" t="s">
        <v>18652</v>
      </c>
      <c r="V44" s="107">
        <v>45857</v>
      </c>
      <c r="W44" s="2"/>
      <c r="X44" s="97"/>
      <c r="Y44" s="75">
        <v>333.51</v>
      </c>
    </row>
    <row r="45" spans="1:25" x14ac:dyDescent="0.25">
      <c r="A45" s="76">
        <v>40</v>
      </c>
      <c r="B45" s="2" t="s">
        <v>1359</v>
      </c>
      <c r="C45" s="2" t="s">
        <v>1360</v>
      </c>
      <c r="D45" s="2" t="s">
        <v>1361</v>
      </c>
      <c r="E45" s="2" t="s">
        <v>1362</v>
      </c>
      <c r="F45" s="2" t="s">
        <v>1363</v>
      </c>
      <c r="G45" s="2" t="s">
        <v>412</v>
      </c>
      <c r="H45" s="17">
        <v>25</v>
      </c>
      <c r="I45" s="31">
        <f t="shared" si="0"/>
        <v>25000</v>
      </c>
      <c r="J45" s="31">
        <f t="shared" si="1"/>
        <v>1750.0000000000002</v>
      </c>
      <c r="K45" s="44">
        <f t="shared" si="2"/>
        <v>4.794520547945206</v>
      </c>
      <c r="L45" s="3">
        <f t="shared" si="3"/>
        <v>354.79452054794524</v>
      </c>
      <c r="M45" s="3">
        <f t="shared" si="4"/>
        <v>21.287671232876715</v>
      </c>
      <c r="N45" s="67">
        <f t="shared" si="5"/>
        <v>333.50684931506851</v>
      </c>
      <c r="O45" s="3"/>
      <c r="P45" s="70" t="s">
        <v>18609</v>
      </c>
      <c r="Q45" s="2" t="s">
        <v>32</v>
      </c>
      <c r="R45" s="2" t="s">
        <v>1364</v>
      </c>
      <c r="T45" s="2" t="s">
        <v>18664</v>
      </c>
      <c r="U45" s="2" t="s">
        <v>18652</v>
      </c>
      <c r="V45" s="107">
        <v>45857</v>
      </c>
      <c r="W45" s="2"/>
      <c r="X45" s="97"/>
      <c r="Y45" s="75">
        <v>333.51</v>
      </c>
    </row>
    <row r="46" spans="1:25" x14ac:dyDescent="0.25">
      <c r="A46" s="76">
        <v>41</v>
      </c>
      <c r="B46" s="2" t="s">
        <v>1341</v>
      </c>
      <c r="C46" s="2" t="s">
        <v>1342</v>
      </c>
      <c r="D46" s="2" t="s">
        <v>1343</v>
      </c>
      <c r="E46" s="2" t="s">
        <v>1344</v>
      </c>
      <c r="F46" s="2" t="s">
        <v>1345</v>
      </c>
      <c r="G46" s="2" t="s">
        <v>247</v>
      </c>
      <c r="H46" s="17">
        <v>3100</v>
      </c>
      <c r="I46" s="31">
        <f t="shared" si="0"/>
        <v>3100000</v>
      </c>
      <c r="J46" s="31">
        <f t="shared" si="1"/>
        <v>217000.00000000003</v>
      </c>
      <c r="K46" s="44">
        <f t="shared" si="2"/>
        <v>594.52054794520552</v>
      </c>
      <c r="L46" s="3">
        <f t="shared" si="3"/>
        <v>43994.520547945205</v>
      </c>
      <c r="M46" s="3">
        <f t="shared" si="4"/>
        <v>2639.6712328767121</v>
      </c>
      <c r="N46" s="67">
        <f t="shared" si="5"/>
        <v>41354.849315068495</v>
      </c>
      <c r="O46" s="3"/>
      <c r="P46" s="70" t="s">
        <v>18609</v>
      </c>
      <c r="Q46" s="2" t="s">
        <v>32</v>
      </c>
      <c r="R46" s="2" t="s">
        <v>1346</v>
      </c>
      <c r="T46" s="2" t="s">
        <v>18664</v>
      </c>
      <c r="U46" s="2" t="s">
        <v>18652</v>
      </c>
      <c r="V46" s="107">
        <v>45857</v>
      </c>
      <c r="W46" s="2"/>
      <c r="X46" s="97"/>
      <c r="Y46" s="75">
        <v>41354.85</v>
      </c>
    </row>
    <row r="47" spans="1:25" x14ac:dyDescent="0.25">
      <c r="A47" s="76">
        <v>42</v>
      </c>
      <c r="B47" s="2" t="s">
        <v>13558</v>
      </c>
      <c r="C47" s="2" t="s">
        <v>13559</v>
      </c>
      <c r="D47" s="2" t="s">
        <v>13560</v>
      </c>
      <c r="E47" s="2" t="s">
        <v>13561</v>
      </c>
      <c r="F47" s="2" t="s">
        <v>13562</v>
      </c>
      <c r="G47" s="2" t="s">
        <v>750</v>
      </c>
      <c r="H47" s="17">
        <v>25</v>
      </c>
      <c r="I47" s="31">
        <f t="shared" si="0"/>
        <v>25000</v>
      </c>
      <c r="J47" s="31">
        <f t="shared" si="1"/>
        <v>1750.0000000000002</v>
      </c>
      <c r="K47" s="44">
        <f t="shared" si="2"/>
        <v>4.794520547945206</v>
      </c>
      <c r="L47" s="3">
        <f t="shared" si="3"/>
        <v>354.79452054794524</v>
      </c>
      <c r="M47" s="3">
        <f t="shared" si="4"/>
        <v>21.287671232876715</v>
      </c>
      <c r="N47" s="67">
        <f t="shared" si="5"/>
        <v>333.50684931506851</v>
      </c>
      <c r="O47" s="3"/>
      <c r="P47" s="70" t="s">
        <v>18609</v>
      </c>
      <c r="Q47" s="2" t="s">
        <v>32</v>
      </c>
      <c r="R47" s="2" t="s">
        <v>13563</v>
      </c>
      <c r="T47" s="2" t="s">
        <v>18664</v>
      </c>
      <c r="U47" s="2" t="s">
        <v>18652</v>
      </c>
      <c r="V47" s="107">
        <v>45857</v>
      </c>
      <c r="W47" s="2"/>
      <c r="X47" s="97"/>
      <c r="Y47" s="75">
        <v>333.51</v>
      </c>
    </row>
    <row r="48" spans="1:25" x14ac:dyDescent="0.25">
      <c r="A48" s="76">
        <v>43</v>
      </c>
      <c r="B48" s="2" t="s">
        <v>5964</v>
      </c>
      <c r="C48" s="2" t="s">
        <v>5965</v>
      </c>
      <c r="D48" s="2" t="s">
        <v>5966</v>
      </c>
      <c r="E48" s="2" t="s">
        <v>5967</v>
      </c>
      <c r="F48" s="2" t="s">
        <v>5968</v>
      </c>
      <c r="G48" s="2" t="s">
        <v>166</v>
      </c>
      <c r="H48" s="17">
        <v>200</v>
      </c>
      <c r="I48" s="31">
        <f t="shared" si="0"/>
        <v>200000</v>
      </c>
      <c r="J48" s="31">
        <f t="shared" si="1"/>
        <v>14000.000000000002</v>
      </c>
      <c r="K48" s="44">
        <f t="shared" si="2"/>
        <v>38.356164383561648</v>
      </c>
      <c r="L48" s="3">
        <f t="shared" si="3"/>
        <v>2838.3561643835619</v>
      </c>
      <c r="M48" s="3">
        <f t="shared" si="4"/>
        <v>170.30136986301372</v>
      </c>
      <c r="N48" s="67">
        <f t="shared" si="5"/>
        <v>2668.0547945205481</v>
      </c>
      <c r="O48" s="3"/>
      <c r="P48" s="70" t="s">
        <v>18609</v>
      </c>
      <c r="Q48" s="2" t="s">
        <v>32</v>
      </c>
      <c r="R48" s="2" t="s">
        <v>5969</v>
      </c>
      <c r="T48" s="2" t="s">
        <v>18664</v>
      </c>
      <c r="U48" s="2" t="s">
        <v>18652</v>
      </c>
      <c r="V48" s="107">
        <v>45857</v>
      </c>
      <c r="W48" s="2"/>
      <c r="X48" s="97"/>
      <c r="Y48" s="75">
        <v>2668.0600000000004</v>
      </c>
    </row>
    <row r="49" spans="1:25" x14ac:dyDescent="0.25">
      <c r="A49" s="76">
        <v>44</v>
      </c>
      <c r="B49" s="2" t="s">
        <v>1606</v>
      </c>
      <c r="C49" s="2" t="s">
        <v>1607</v>
      </c>
      <c r="D49" s="2" t="s">
        <v>1608</v>
      </c>
      <c r="E49" s="2" t="s">
        <v>1609</v>
      </c>
      <c r="F49" s="2" t="s">
        <v>1610</v>
      </c>
      <c r="G49" s="2" t="s">
        <v>524</v>
      </c>
      <c r="H49" s="17">
        <v>25</v>
      </c>
      <c r="I49" s="31">
        <f t="shared" si="0"/>
        <v>25000</v>
      </c>
      <c r="J49" s="31">
        <f t="shared" si="1"/>
        <v>1750.0000000000002</v>
      </c>
      <c r="K49" s="44">
        <f t="shared" si="2"/>
        <v>4.794520547945206</v>
      </c>
      <c r="L49" s="3">
        <f t="shared" si="3"/>
        <v>354.79452054794524</v>
      </c>
      <c r="M49" s="3">
        <f t="shared" si="4"/>
        <v>21.287671232876715</v>
      </c>
      <c r="N49" s="67">
        <f t="shared" si="5"/>
        <v>333.50684931506851</v>
      </c>
      <c r="O49" s="3"/>
      <c r="P49" s="70" t="s">
        <v>18609</v>
      </c>
      <c r="Q49" s="2" t="s">
        <v>32</v>
      </c>
      <c r="R49" s="2" t="s">
        <v>1611</v>
      </c>
      <c r="T49" s="2" t="s">
        <v>18664</v>
      </c>
      <c r="U49" s="2" t="s">
        <v>18652</v>
      </c>
      <c r="V49" s="107">
        <v>45857</v>
      </c>
      <c r="W49" s="2"/>
      <c r="X49" s="97"/>
      <c r="Y49" s="75">
        <v>333.51</v>
      </c>
    </row>
    <row r="50" spans="1:25" x14ac:dyDescent="0.25">
      <c r="A50" s="76">
        <v>45</v>
      </c>
      <c r="B50" s="2" t="s">
        <v>16810</v>
      </c>
      <c r="C50" s="2" t="s">
        <v>16811</v>
      </c>
      <c r="D50" s="2" t="s">
        <v>16812</v>
      </c>
      <c r="E50" s="2" t="s">
        <v>16813</v>
      </c>
      <c r="F50" s="2" t="s">
        <v>16814</v>
      </c>
      <c r="G50" s="2" t="s">
        <v>247</v>
      </c>
      <c r="H50" s="17">
        <v>25</v>
      </c>
      <c r="I50" s="31">
        <f t="shared" si="0"/>
        <v>25000</v>
      </c>
      <c r="J50" s="31">
        <f t="shared" si="1"/>
        <v>1750.0000000000002</v>
      </c>
      <c r="K50" s="44">
        <f t="shared" si="2"/>
        <v>4.794520547945206</v>
      </c>
      <c r="L50" s="3">
        <f t="shared" si="3"/>
        <v>354.79452054794524</v>
      </c>
      <c r="M50" s="3">
        <f t="shared" si="4"/>
        <v>21.287671232876715</v>
      </c>
      <c r="N50" s="67">
        <f t="shared" si="5"/>
        <v>333.50684931506851</v>
      </c>
      <c r="O50" s="3"/>
      <c r="P50" s="70" t="s">
        <v>18609</v>
      </c>
      <c r="Q50" s="2" t="s">
        <v>32</v>
      </c>
      <c r="R50" s="2" t="s">
        <v>16815</v>
      </c>
      <c r="T50" s="2" t="s">
        <v>18664</v>
      </c>
      <c r="U50" s="2" t="s">
        <v>18652</v>
      </c>
      <c r="V50" s="107">
        <v>45857</v>
      </c>
      <c r="W50" s="2"/>
      <c r="X50" s="97"/>
      <c r="Y50" s="75">
        <v>333.51</v>
      </c>
    </row>
    <row r="51" spans="1:25" x14ac:dyDescent="0.25">
      <c r="A51" s="76">
        <v>46</v>
      </c>
      <c r="B51" s="2" t="s">
        <v>505</v>
      </c>
      <c r="C51" s="2" t="s">
        <v>506</v>
      </c>
      <c r="D51" s="2" t="s">
        <v>507</v>
      </c>
      <c r="E51" s="2" t="s">
        <v>508</v>
      </c>
      <c r="F51" s="2" t="s">
        <v>509</v>
      </c>
      <c r="G51" s="2" t="s">
        <v>510</v>
      </c>
      <c r="H51" s="17">
        <v>25</v>
      </c>
      <c r="I51" s="31">
        <f t="shared" si="0"/>
        <v>25000</v>
      </c>
      <c r="J51" s="31">
        <f t="shared" si="1"/>
        <v>1750.0000000000002</v>
      </c>
      <c r="K51" s="44">
        <f t="shared" si="2"/>
        <v>4.794520547945206</v>
      </c>
      <c r="L51" s="3">
        <f t="shared" si="3"/>
        <v>354.79452054794524</v>
      </c>
      <c r="M51" s="3">
        <f t="shared" si="4"/>
        <v>21.287671232876715</v>
      </c>
      <c r="N51" s="67">
        <f t="shared" si="5"/>
        <v>333.50684931506851</v>
      </c>
      <c r="O51" s="3"/>
      <c r="P51" s="70" t="s">
        <v>18609</v>
      </c>
      <c r="Q51" s="2" t="s">
        <v>32</v>
      </c>
      <c r="R51" s="2" t="s">
        <v>511</v>
      </c>
      <c r="T51" s="2" t="s">
        <v>18664</v>
      </c>
      <c r="U51" s="2" t="s">
        <v>18652</v>
      </c>
      <c r="V51" s="107">
        <v>45857</v>
      </c>
      <c r="W51" s="2"/>
      <c r="X51" s="97"/>
      <c r="Y51" s="75">
        <v>333.51</v>
      </c>
    </row>
    <row r="52" spans="1:25" x14ac:dyDescent="0.25">
      <c r="A52" s="76">
        <v>47</v>
      </c>
      <c r="B52" s="2" t="s">
        <v>15374</v>
      </c>
      <c r="C52" s="2" t="s">
        <v>15375</v>
      </c>
      <c r="D52" s="2" t="s">
        <v>15376</v>
      </c>
      <c r="E52" s="2" t="s">
        <v>15377</v>
      </c>
      <c r="F52" s="2" t="s">
        <v>15378</v>
      </c>
      <c r="G52" s="2" t="s">
        <v>587</v>
      </c>
      <c r="H52" s="17">
        <v>25</v>
      </c>
      <c r="I52" s="31">
        <f t="shared" si="0"/>
        <v>25000</v>
      </c>
      <c r="J52" s="31">
        <f t="shared" si="1"/>
        <v>1750.0000000000002</v>
      </c>
      <c r="K52" s="44">
        <f t="shared" si="2"/>
        <v>4.794520547945206</v>
      </c>
      <c r="L52" s="3">
        <f t="shared" si="3"/>
        <v>354.79452054794524</v>
      </c>
      <c r="M52" s="3">
        <f t="shared" si="4"/>
        <v>21.287671232876715</v>
      </c>
      <c r="N52" s="67">
        <f t="shared" si="5"/>
        <v>333.50684931506851</v>
      </c>
      <c r="O52" s="3"/>
      <c r="P52" s="70" t="s">
        <v>18609</v>
      </c>
      <c r="Q52" s="2" t="s">
        <v>32</v>
      </c>
      <c r="R52" s="2" t="s">
        <v>15379</v>
      </c>
      <c r="T52" s="2" t="s">
        <v>18664</v>
      </c>
      <c r="U52" s="2" t="s">
        <v>18652</v>
      </c>
      <c r="V52" s="107">
        <v>45857</v>
      </c>
      <c r="W52" s="2"/>
      <c r="X52" s="97"/>
      <c r="Y52" s="75">
        <v>333.51</v>
      </c>
    </row>
    <row r="53" spans="1:25" x14ac:dyDescent="0.25">
      <c r="A53" s="76">
        <v>48</v>
      </c>
      <c r="B53" s="2" t="s">
        <v>17430</v>
      </c>
      <c r="C53" s="2" t="s">
        <v>17431</v>
      </c>
      <c r="D53" s="2" t="s">
        <v>17432</v>
      </c>
      <c r="E53" s="2" t="s">
        <v>17433</v>
      </c>
      <c r="F53" s="2" t="s">
        <v>17434</v>
      </c>
      <c r="G53" s="2" t="s">
        <v>743</v>
      </c>
      <c r="H53" s="17">
        <v>25</v>
      </c>
      <c r="I53" s="31">
        <f t="shared" si="0"/>
        <v>25000</v>
      </c>
      <c r="J53" s="31">
        <f t="shared" si="1"/>
        <v>1750.0000000000002</v>
      </c>
      <c r="K53" s="44">
        <f t="shared" si="2"/>
        <v>4.794520547945206</v>
      </c>
      <c r="L53" s="3">
        <f t="shared" si="3"/>
        <v>354.79452054794524</v>
      </c>
      <c r="M53" s="3">
        <f t="shared" si="4"/>
        <v>21.287671232876715</v>
      </c>
      <c r="N53" s="67">
        <f t="shared" si="5"/>
        <v>333.50684931506851</v>
      </c>
      <c r="O53" s="3"/>
      <c r="P53" s="70" t="s">
        <v>18609</v>
      </c>
      <c r="Q53" s="2" t="s">
        <v>32</v>
      </c>
      <c r="R53" s="2" t="s">
        <v>17435</v>
      </c>
      <c r="T53" s="2" t="s">
        <v>18664</v>
      </c>
      <c r="U53" s="2" t="s">
        <v>18652</v>
      </c>
      <c r="V53" s="107">
        <v>45857</v>
      </c>
      <c r="W53" s="2"/>
      <c r="X53" s="97"/>
      <c r="Y53" s="75">
        <v>333.51</v>
      </c>
    </row>
    <row r="54" spans="1:25" x14ac:dyDescent="0.25">
      <c r="A54" s="76">
        <v>49</v>
      </c>
      <c r="B54" s="2" t="s">
        <v>713</v>
      </c>
      <c r="C54" s="2" t="s">
        <v>714</v>
      </c>
      <c r="D54" s="2" t="s">
        <v>715</v>
      </c>
      <c r="E54" s="2" t="s">
        <v>716</v>
      </c>
      <c r="F54" s="2" t="s">
        <v>717</v>
      </c>
      <c r="G54" s="2" t="s">
        <v>718</v>
      </c>
      <c r="H54" s="17">
        <v>25</v>
      </c>
      <c r="I54" s="31">
        <f t="shared" si="0"/>
        <v>25000</v>
      </c>
      <c r="J54" s="31">
        <f t="shared" si="1"/>
        <v>1750.0000000000002</v>
      </c>
      <c r="K54" s="44">
        <f t="shared" si="2"/>
        <v>4.794520547945206</v>
      </c>
      <c r="L54" s="3">
        <f t="shared" si="3"/>
        <v>354.79452054794524</v>
      </c>
      <c r="M54" s="3">
        <f t="shared" si="4"/>
        <v>21.287671232876715</v>
      </c>
      <c r="N54" s="67">
        <f t="shared" si="5"/>
        <v>333.50684931506851</v>
      </c>
      <c r="O54" s="3"/>
      <c r="P54" s="70" t="s">
        <v>18609</v>
      </c>
      <c r="Q54" s="2" t="s">
        <v>32</v>
      </c>
      <c r="R54" s="2" t="s">
        <v>719</v>
      </c>
      <c r="T54" s="2" t="s">
        <v>18664</v>
      </c>
      <c r="U54" s="2" t="s">
        <v>18652</v>
      </c>
      <c r="V54" s="107">
        <v>45857</v>
      </c>
      <c r="W54" s="2"/>
      <c r="X54" s="97"/>
      <c r="Y54" s="75">
        <v>333.51</v>
      </c>
    </row>
    <row r="55" spans="1:25" x14ac:dyDescent="0.25">
      <c r="A55" s="76">
        <v>50</v>
      </c>
      <c r="B55" s="2" t="s">
        <v>15209</v>
      </c>
      <c r="C55" s="2" t="s">
        <v>13144</v>
      </c>
      <c r="D55" s="2" t="s">
        <v>15210</v>
      </c>
      <c r="E55" s="2" t="s">
        <v>15211</v>
      </c>
      <c r="F55" s="2" t="s">
        <v>15212</v>
      </c>
      <c r="G55" s="2" t="s">
        <v>282</v>
      </c>
      <c r="H55" s="17">
        <v>25</v>
      </c>
      <c r="I55" s="31">
        <f t="shared" si="0"/>
        <v>25000</v>
      </c>
      <c r="J55" s="31">
        <f t="shared" si="1"/>
        <v>1750.0000000000002</v>
      </c>
      <c r="K55" s="44">
        <f t="shared" si="2"/>
        <v>4.794520547945206</v>
      </c>
      <c r="L55" s="3">
        <f t="shared" si="3"/>
        <v>354.79452054794524</v>
      </c>
      <c r="M55" s="3">
        <f t="shared" si="4"/>
        <v>21.287671232876715</v>
      </c>
      <c r="N55" s="67">
        <f t="shared" si="5"/>
        <v>333.50684931506851</v>
      </c>
      <c r="O55" s="3"/>
      <c r="P55" s="70" t="s">
        <v>18609</v>
      </c>
      <c r="Q55" s="2" t="s">
        <v>32</v>
      </c>
      <c r="R55" s="2" t="s">
        <v>15213</v>
      </c>
      <c r="T55" s="2" t="s">
        <v>18664</v>
      </c>
      <c r="U55" s="2" t="s">
        <v>18652</v>
      </c>
      <c r="V55" s="107">
        <v>45857</v>
      </c>
      <c r="W55" s="2"/>
      <c r="X55" s="97"/>
      <c r="Y55" s="75">
        <v>333.51</v>
      </c>
    </row>
    <row r="56" spans="1:25" x14ac:dyDescent="0.25">
      <c r="A56" s="76">
        <v>51</v>
      </c>
      <c r="B56" s="2" t="s">
        <v>15837</v>
      </c>
      <c r="C56" s="2" t="s">
        <v>15838</v>
      </c>
      <c r="D56" s="2" t="s">
        <v>15839</v>
      </c>
      <c r="E56" s="2" t="s">
        <v>15840</v>
      </c>
      <c r="F56" s="2" t="s">
        <v>15841</v>
      </c>
      <c r="G56" s="2" t="s">
        <v>101</v>
      </c>
      <c r="H56" s="17">
        <v>25</v>
      </c>
      <c r="I56" s="31">
        <f t="shared" si="0"/>
        <v>25000</v>
      </c>
      <c r="J56" s="31">
        <f t="shared" si="1"/>
        <v>1750.0000000000002</v>
      </c>
      <c r="K56" s="44">
        <f t="shared" si="2"/>
        <v>4.794520547945206</v>
      </c>
      <c r="L56" s="3">
        <f t="shared" si="3"/>
        <v>354.79452054794524</v>
      </c>
      <c r="M56" s="3">
        <f t="shared" si="4"/>
        <v>21.287671232876715</v>
      </c>
      <c r="N56" s="67">
        <f t="shared" si="5"/>
        <v>333.50684931506851</v>
      </c>
      <c r="O56" s="3"/>
      <c r="P56" s="70" t="s">
        <v>18609</v>
      </c>
      <c r="Q56" s="2" t="s">
        <v>32</v>
      </c>
      <c r="R56" s="2" t="s">
        <v>15842</v>
      </c>
      <c r="T56" s="2" t="s">
        <v>18664</v>
      </c>
      <c r="U56" s="2" t="s">
        <v>18652</v>
      </c>
      <c r="V56" s="107">
        <v>45857</v>
      </c>
      <c r="W56" s="2"/>
      <c r="X56" s="97"/>
      <c r="Y56" s="75">
        <v>333.51</v>
      </c>
    </row>
    <row r="57" spans="1:25" x14ac:dyDescent="0.25">
      <c r="A57" s="76">
        <v>52</v>
      </c>
      <c r="B57" s="2" t="s">
        <v>1106</v>
      </c>
      <c r="C57" s="2" t="s">
        <v>1107</v>
      </c>
      <c r="D57" s="2" t="s">
        <v>1108</v>
      </c>
      <c r="E57" s="2" t="s">
        <v>1109</v>
      </c>
      <c r="F57" s="2" t="s">
        <v>1110</v>
      </c>
      <c r="G57" s="2" t="s">
        <v>1048</v>
      </c>
      <c r="H57" s="17">
        <v>25</v>
      </c>
      <c r="I57" s="31">
        <f t="shared" si="0"/>
        <v>25000</v>
      </c>
      <c r="J57" s="31">
        <f t="shared" si="1"/>
        <v>1750.0000000000002</v>
      </c>
      <c r="K57" s="44">
        <f t="shared" si="2"/>
        <v>4.794520547945206</v>
      </c>
      <c r="L57" s="3">
        <f t="shared" si="3"/>
        <v>354.79452054794524</v>
      </c>
      <c r="M57" s="3">
        <f t="shared" si="4"/>
        <v>21.287671232876715</v>
      </c>
      <c r="N57" s="67">
        <f t="shared" si="5"/>
        <v>333.50684931506851</v>
      </c>
      <c r="O57" s="3"/>
      <c r="P57" s="70" t="s">
        <v>18609</v>
      </c>
      <c r="Q57" s="2" t="s">
        <v>32</v>
      </c>
      <c r="R57" s="2" t="s">
        <v>1111</v>
      </c>
      <c r="T57" s="2" t="s">
        <v>18664</v>
      </c>
      <c r="U57" s="2" t="s">
        <v>18652</v>
      </c>
      <c r="V57" s="107">
        <v>45857</v>
      </c>
      <c r="W57" s="2"/>
      <c r="X57" s="97"/>
      <c r="Y57" s="75">
        <v>333.51</v>
      </c>
    </row>
    <row r="58" spans="1:25" x14ac:dyDescent="0.25">
      <c r="A58" s="76">
        <v>53</v>
      </c>
      <c r="B58" s="2" t="s">
        <v>13208</v>
      </c>
      <c r="C58" s="2" t="s">
        <v>13209</v>
      </c>
      <c r="D58" s="2" t="s">
        <v>13210</v>
      </c>
      <c r="E58" s="2" t="s">
        <v>13211</v>
      </c>
      <c r="F58" s="2" t="s">
        <v>13212</v>
      </c>
      <c r="G58" s="2" t="s">
        <v>31</v>
      </c>
      <c r="H58" s="17">
        <v>100</v>
      </c>
      <c r="I58" s="31">
        <f t="shared" si="0"/>
        <v>100000</v>
      </c>
      <c r="J58" s="31">
        <f t="shared" si="1"/>
        <v>7000.0000000000009</v>
      </c>
      <c r="K58" s="44">
        <f t="shared" si="2"/>
        <v>19.178082191780824</v>
      </c>
      <c r="L58" s="3">
        <f t="shared" si="3"/>
        <v>1419.178082191781</v>
      </c>
      <c r="M58" s="3">
        <f t="shared" si="4"/>
        <v>85.150684931506859</v>
      </c>
      <c r="N58" s="67">
        <f t="shared" si="5"/>
        <v>1334.027397260274</v>
      </c>
      <c r="O58" s="3"/>
      <c r="P58" s="70" t="s">
        <v>18609</v>
      </c>
      <c r="Q58" s="2" t="s">
        <v>32</v>
      </c>
      <c r="R58" s="2" t="s">
        <v>13213</v>
      </c>
      <c r="T58" s="2" t="s">
        <v>18664</v>
      </c>
      <c r="U58" s="2" t="s">
        <v>18652</v>
      </c>
      <c r="V58" s="107">
        <v>45857</v>
      </c>
      <c r="W58" s="2"/>
      <c r="X58" s="97"/>
      <c r="Y58" s="75">
        <v>1334.03</v>
      </c>
    </row>
    <row r="59" spans="1:25" x14ac:dyDescent="0.25">
      <c r="A59" s="76">
        <v>54</v>
      </c>
      <c r="B59" s="2" t="s">
        <v>11755</v>
      </c>
      <c r="C59" s="2" t="s">
        <v>11756</v>
      </c>
      <c r="D59" s="2" t="s">
        <v>8157</v>
      </c>
      <c r="E59" s="2" t="s">
        <v>11757</v>
      </c>
      <c r="F59" s="2" t="s">
        <v>11758</v>
      </c>
      <c r="G59" s="2" t="s">
        <v>1570</v>
      </c>
      <c r="H59" s="17">
        <v>25</v>
      </c>
      <c r="I59" s="31">
        <f t="shared" si="0"/>
        <v>25000</v>
      </c>
      <c r="J59" s="31">
        <f t="shared" si="1"/>
        <v>1750.0000000000002</v>
      </c>
      <c r="K59" s="44">
        <f t="shared" si="2"/>
        <v>4.794520547945206</v>
      </c>
      <c r="L59" s="3">
        <f t="shared" si="3"/>
        <v>354.79452054794524</v>
      </c>
      <c r="M59" s="3">
        <f t="shared" si="4"/>
        <v>21.287671232876715</v>
      </c>
      <c r="N59" s="67">
        <f t="shared" si="5"/>
        <v>333.50684931506851</v>
      </c>
      <c r="O59" s="3"/>
      <c r="P59" s="70" t="s">
        <v>18609</v>
      </c>
      <c r="Q59" s="2" t="s">
        <v>32</v>
      </c>
      <c r="R59" s="2" t="s">
        <v>11759</v>
      </c>
      <c r="T59" s="2" t="s">
        <v>18664</v>
      </c>
      <c r="U59" s="2" t="s">
        <v>18652</v>
      </c>
      <c r="V59" s="107">
        <v>45857</v>
      </c>
      <c r="W59" s="2"/>
      <c r="X59" s="97"/>
      <c r="Y59" s="75">
        <v>333.51</v>
      </c>
    </row>
    <row r="60" spans="1:25" x14ac:dyDescent="0.25">
      <c r="A60" s="76">
        <v>55</v>
      </c>
      <c r="B60" s="2" t="s">
        <v>7584</v>
      </c>
      <c r="C60" s="2" t="s">
        <v>7585</v>
      </c>
      <c r="D60" s="2" t="s">
        <v>7586</v>
      </c>
      <c r="E60" s="2" t="s">
        <v>7587</v>
      </c>
      <c r="F60" s="2" t="s">
        <v>7588</v>
      </c>
      <c r="G60" s="2" t="s">
        <v>74</v>
      </c>
      <c r="H60" s="17">
        <v>25</v>
      </c>
      <c r="I60" s="31">
        <f t="shared" si="0"/>
        <v>25000</v>
      </c>
      <c r="J60" s="31">
        <f t="shared" si="1"/>
        <v>1750.0000000000002</v>
      </c>
      <c r="K60" s="44">
        <f t="shared" si="2"/>
        <v>4.794520547945206</v>
      </c>
      <c r="L60" s="3">
        <f t="shared" si="3"/>
        <v>354.79452054794524</v>
      </c>
      <c r="M60" s="3">
        <f t="shared" si="4"/>
        <v>21.287671232876715</v>
      </c>
      <c r="N60" s="67">
        <f t="shared" si="5"/>
        <v>333.50684931506851</v>
      </c>
      <c r="O60" s="3"/>
      <c r="P60" s="70" t="s">
        <v>18609</v>
      </c>
      <c r="Q60" s="2" t="s">
        <v>32</v>
      </c>
      <c r="R60" s="2" t="s">
        <v>7589</v>
      </c>
      <c r="T60" s="2" t="s">
        <v>18664</v>
      </c>
      <c r="U60" s="2" t="s">
        <v>18652</v>
      </c>
      <c r="V60" s="107">
        <v>45857</v>
      </c>
      <c r="W60" s="2"/>
      <c r="X60" s="97"/>
      <c r="Y60" s="75">
        <v>333.51</v>
      </c>
    </row>
    <row r="61" spans="1:25" x14ac:dyDescent="0.25">
      <c r="A61" s="76">
        <v>56</v>
      </c>
      <c r="B61" s="2" t="s">
        <v>9850</v>
      </c>
      <c r="C61" s="2" t="s">
        <v>9851</v>
      </c>
      <c r="D61" s="2" t="s">
        <v>9852</v>
      </c>
      <c r="E61" s="2" t="s">
        <v>9853</v>
      </c>
      <c r="F61" s="2" t="s">
        <v>9854</v>
      </c>
      <c r="G61" s="2" t="s">
        <v>39</v>
      </c>
      <c r="H61" s="17">
        <v>30</v>
      </c>
      <c r="I61" s="31">
        <f t="shared" si="0"/>
        <v>30000</v>
      </c>
      <c r="J61" s="31">
        <f t="shared" si="1"/>
        <v>2100</v>
      </c>
      <c r="K61" s="44">
        <f t="shared" si="2"/>
        <v>5.7534246575342465</v>
      </c>
      <c r="L61" s="3">
        <f t="shared" si="3"/>
        <v>425.75342465753425</v>
      </c>
      <c r="M61" s="3">
        <f t="shared" si="4"/>
        <v>25.545205479452054</v>
      </c>
      <c r="N61" s="67">
        <f t="shared" si="5"/>
        <v>400.20821917808217</v>
      </c>
      <c r="O61" s="3"/>
      <c r="P61" s="70" t="s">
        <v>18609</v>
      </c>
      <c r="Q61" s="2" t="s">
        <v>32</v>
      </c>
      <c r="R61" s="2" t="s">
        <v>9855</v>
      </c>
      <c r="T61" s="2" t="s">
        <v>18664</v>
      </c>
      <c r="U61" s="2" t="s">
        <v>18652</v>
      </c>
      <c r="V61" s="107">
        <v>45857</v>
      </c>
      <c r="W61" s="2"/>
      <c r="X61" s="97"/>
      <c r="Y61" s="75">
        <v>400.21</v>
      </c>
    </row>
    <row r="62" spans="1:25" x14ac:dyDescent="0.25">
      <c r="A62" s="76">
        <v>57</v>
      </c>
      <c r="B62" s="2" t="s">
        <v>5848</v>
      </c>
      <c r="C62" s="2" t="s">
        <v>5849</v>
      </c>
      <c r="D62" s="2" t="s">
        <v>5850</v>
      </c>
      <c r="E62" s="2" t="s">
        <v>5851</v>
      </c>
      <c r="F62" s="2" t="s">
        <v>5852</v>
      </c>
      <c r="G62" s="2" t="s">
        <v>23</v>
      </c>
      <c r="H62" s="17">
        <v>25</v>
      </c>
      <c r="I62" s="31">
        <f t="shared" si="0"/>
        <v>25000</v>
      </c>
      <c r="J62" s="31">
        <f t="shared" si="1"/>
        <v>1750.0000000000002</v>
      </c>
      <c r="K62" s="44">
        <f t="shared" si="2"/>
        <v>4.794520547945206</v>
      </c>
      <c r="L62" s="3">
        <f t="shared" si="3"/>
        <v>354.79452054794524</v>
      </c>
      <c r="M62" s="3">
        <f t="shared" si="4"/>
        <v>21.287671232876715</v>
      </c>
      <c r="N62" s="67">
        <f t="shared" si="5"/>
        <v>333.50684931506851</v>
      </c>
      <c r="O62" s="3"/>
      <c r="P62" s="70" t="s">
        <v>18609</v>
      </c>
      <c r="Q62" s="2" t="s">
        <v>32</v>
      </c>
      <c r="R62" s="2" t="s">
        <v>5853</v>
      </c>
      <c r="T62" s="2" t="s">
        <v>18664</v>
      </c>
      <c r="U62" s="2" t="s">
        <v>18652</v>
      </c>
      <c r="V62" s="107">
        <v>45857</v>
      </c>
      <c r="W62" s="2"/>
      <c r="X62" s="97"/>
      <c r="Y62" s="75">
        <v>333.51</v>
      </c>
    </row>
    <row r="63" spans="1:25" x14ac:dyDescent="0.25">
      <c r="A63" s="76">
        <v>58</v>
      </c>
      <c r="B63" s="2" t="s">
        <v>11852</v>
      </c>
      <c r="C63" s="2" t="s">
        <v>11853</v>
      </c>
      <c r="D63" s="2" t="s">
        <v>11854</v>
      </c>
      <c r="E63" s="2" t="s">
        <v>11855</v>
      </c>
      <c r="F63" s="2" t="s">
        <v>11856</v>
      </c>
      <c r="G63" s="2" t="s">
        <v>309</v>
      </c>
      <c r="H63" s="17">
        <v>100</v>
      </c>
      <c r="I63" s="31">
        <f t="shared" si="0"/>
        <v>100000</v>
      </c>
      <c r="J63" s="31">
        <f t="shared" si="1"/>
        <v>7000.0000000000009</v>
      </c>
      <c r="K63" s="44">
        <f t="shared" si="2"/>
        <v>19.178082191780824</v>
      </c>
      <c r="L63" s="3">
        <f t="shared" si="3"/>
        <v>1419.178082191781</v>
      </c>
      <c r="M63" s="3">
        <f t="shared" si="4"/>
        <v>85.150684931506859</v>
      </c>
      <c r="N63" s="67">
        <f t="shared" si="5"/>
        <v>1334.027397260274</v>
      </c>
      <c r="O63" s="3"/>
      <c r="P63" s="70" t="s">
        <v>18609</v>
      </c>
      <c r="Q63" s="2" t="s">
        <v>32</v>
      </c>
      <c r="R63" s="2" t="s">
        <v>11857</v>
      </c>
      <c r="T63" s="2" t="s">
        <v>18664</v>
      </c>
      <c r="U63" s="2" t="s">
        <v>18652</v>
      </c>
      <c r="V63" s="107">
        <v>45857</v>
      </c>
      <c r="W63" s="2"/>
      <c r="X63" s="97"/>
      <c r="Y63" s="75">
        <v>1334.03</v>
      </c>
    </row>
    <row r="64" spans="1:25" x14ac:dyDescent="0.25">
      <c r="A64" s="76">
        <v>59</v>
      </c>
      <c r="B64" s="2" t="s">
        <v>15338</v>
      </c>
      <c r="C64" s="2" t="s">
        <v>15339</v>
      </c>
      <c r="D64" s="2" t="s">
        <v>15340</v>
      </c>
      <c r="E64" s="2" t="s">
        <v>15341</v>
      </c>
      <c r="F64" s="2" t="s">
        <v>15342</v>
      </c>
      <c r="G64" s="2" t="s">
        <v>275</v>
      </c>
      <c r="H64" s="17">
        <v>25</v>
      </c>
      <c r="I64" s="31">
        <f t="shared" si="0"/>
        <v>25000</v>
      </c>
      <c r="J64" s="31">
        <f t="shared" si="1"/>
        <v>1750.0000000000002</v>
      </c>
      <c r="K64" s="44">
        <f t="shared" si="2"/>
        <v>4.794520547945206</v>
      </c>
      <c r="L64" s="3">
        <f t="shared" si="3"/>
        <v>354.79452054794524</v>
      </c>
      <c r="M64" s="3">
        <f t="shared" si="4"/>
        <v>21.287671232876715</v>
      </c>
      <c r="N64" s="67">
        <f t="shared" si="5"/>
        <v>333.50684931506851</v>
      </c>
      <c r="O64" s="3"/>
      <c r="P64" s="70" t="s">
        <v>18609</v>
      </c>
      <c r="Q64" s="2" t="s">
        <v>32</v>
      </c>
      <c r="R64" s="2" t="s">
        <v>15343</v>
      </c>
      <c r="T64" s="2" t="s">
        <v>18664</v>
      </c>
      <c r="U64" s="2" t="s">
        <v>18652</v>
      </c>
      <c r="V64" s="107">
        <v>45857</v>
      </c>
      <c r="W64" s="2"/>
      <c r="X64" s="97"/>
      <c r="Y64" s="75">
        <v>333.51</v>
      </c>
    </row>
    <row r="65" spans="1:25" x14ac:dyDescent="0.25">
      <c r="A65" s="76">
        <v>60</v>
      </c>
      <c r="B65" s="2" t="s">
        <v>4583</v>
      </c>
      <c r="C65" s="2" t="s">
        <v>4584</v>
      </c>
      <c r="D65" s="2" t="s">
        <v>4585</v>
      </c>
      <c r="E65" s="2" t="s">
        <v>4586</v>
      </c>
      <c r="F65" s="2" t="s">
        <v>4587</v>
      </c>
      <c r="G65" s="2" t="s">
        <v>510</v>
      </c>
      <c r="H65" s="17">
        <v>25</v>
      </c>
      <c r="I65" s="31">
        <f t="shared" si="0"/>
        <v>25000</v>
      </c>
      <c r="J65" s="31">
        <f t="shared" si="1"/>
        <v>1750.0000000000002</v>
      </c>
      <c r="K65" s="44">
        <f t="shared" si="2"/>
        <v>4.794520547945206</v>
      </c>
      <c r="L65" s="3">
        <f t="shared" si="3"/>
        <v>354.79452054794524</v>
      </c>
      <c r="M65" s="3">
        <f t="shared" si="4"/>
        <v>21.287671232876715</v>
      </c>
      <c r="N65" s="67">
        <f t="shared" si="5"/>
        <v>333.50684931506851</v>
      </c>
      <c r="O65" s="3"/>
      <c r="P65" s="70" t="s">
        <v>18609</v>
      </c>
      <c r="Q65" s="2" t="s">
        <v>32</v>
      </c>
      <c r="R65" s="2" t="s">
        <v>4588</v>
      </c>
      <c r="T65" s="2" t="s">
        <v>18664</v>
      </c>
      <c r="U65" s="2" t="s">
        <v>18652</v>
      </c>
      <c r="V65" s="107">
        <v>45857</v>
      </c>
      <c r="W65" s="2"/>
      <c r="X65" s="97"/>
      <c r="Y65" s="75">
        <v>333.51</v>
      </c>
    </row>
    <row r="66" spans="1:25" x14ac:dyDescent="0.25">
      <c r="A66" s="76">
        <v>61</v>
      </c>
      <c r="B66" s="2" t="s">
        <v>17956</v>
      </c>
      <c r="C66" s="2" t="s">
        <v>17957</v>
      </c>
      <c r="D66" s="2" t="s">
        <v>422</v>
      </c>
      <c r="E66" s="2" t="s">
        <v>17958</v>
      </c>
      <c r="F66" s="2" t="s">
        <v>17959</v>
      </c>
      <c r="G66" s="2" t="s">
        <v>218</v>
      </c>
      <c r="H66" s="17">
        <v>25</v>
      </c>
      <c r="I66" s="31">
        <f t="shared" si="0"/>
        <v>25000</v>
      </c>
      <c r="J66" s="31">
        <f t="shared" si="1"/>
        <v>1750.0000000000002</v>
      </c>
      <c r="K66" s="44">
        <f t="shared" si="2"/>
        <v>4.794520547945206</v>
      </c>
      <c r="L66" s="3">
        <f t="shared" si="3"/>
        <v>354.79452054794524</v>
      </c>
      <c r="M66" s="3">
        <f t="shared" si="4"/>
        <v>21.287671232876715</v>
      </c>
      <c r="N66" s="67">
        <f t="shared" si="5"/>
        <v>333.50684931506851</v>
      </c>
      <c r="O66" s="3"/>
      <c r="P66" s="70" t="s">
        <v>18609</v>
      </c>
      <c r="Q66" s="2" t="s">
        <v>32</v>
      </c>
      <c r="R66" s="2" t="s">
        <v>17960</v>
      </c>
      <c r="T66" s="2" t="s">
        <v>18664</v>
      </c>
      <c r="U66" s="2" t="s">
        <v>18652</v>
      </c>
      <c r="V66" s="107">
        <v>45857</v>
      </c>
      <c r="W66" s="2"/>
      <c r="X66" s="97"/>
      <c r="Y66" s="75">
        <v>333.51</v>
      </c>
    </row>
    <row r="67" spans="1:25" x14ac:dyDescent="0.25">
      <c r="A67" s="76">
        <v>62</v>
      </c>
      <c r="B67" s="2" t="s">
        <v>7749</v>
      </c>
      <c r="C67" s="2" t="s">
        <v>7750</v>
      </c>
      <c r="D67" s="2" t="s">
        <v>7751</v>
      </c>
      <c r="E67" s="2" t="s">
        <v>7752</v>
      </c>
      <c r="F67" s="2" t="s">
        <v>7753</v>
      </c>
      <c r="G67" s="2" t="s">
        <v>876</v>
      </c>
      <c r="H67" s="17">
        <v>50</v>
      </c>
      <c r="I67" s="31">
        <f t="shared" si="0"/>
        <v>50000</v>
      </c>
      <c r="J67" s="31">
        <f t="shared" si="1"/>
        <v>3500.0000000000005</v>
      </c>
      <c r="K67" s="44">
        <f t="shared" si="2"/>
        <v>9.589041095890412</v>
      </c>
      <c r="L67" s="3">
        <f t="shared" si="3"/>
        <v>709.58904109589048</v>
      </c>
      <c r="M67" s="3">
        <f t="shared" si="4"/>
        <v>42.57534246575343</v>
      </c>
      <c r="N67" s="67">
        <f t="shared" si="5"/>
        <v>667.01369863013701</v>
      </c>
      <c r="O67" s="3"/>
      <c r="P67" s="70" t="s">
        <v>18609</v>
      </c>
      <c r="Q67" s="2" t="s">
        <v>32</v>
      </c>
      <c r="R67" s="2" t="s">
        <v>7754</v>
      </c>
      <c r="T67" s="2" t="s">
        <v>18664</v>
      </c>
      <c r="U67" s="2" t="s">
        <v>18652</v>
      </c>
      <c r="V67" s="107">
        <v>45857</v>
      </c>
      <c r="W67" s="2"/>
      <c r="X67" s="97"/>
      <c r="Y67" s="75">
        <v>667.02</v>
      </c>
    </row>
    <row r="68" spans="1:25" x14ac:dyDescent="0.25">
      <c r="A68" s="76">
        <v>63</v>
      </c>
      <c r="B68" s="2" t="s">
        <v>2931</v>
      </c>
      <c r="C68" s="2" t="s">
        <v>2932</v>
      </c>
      <c r="D68" s="2" t="s">
        <v>2933</v>
      </c>
      <c r="E68" s="2" t="s">
        <v>2934</v>
      </c>
      <c r="F68" s="2" t="s">
        <v>2935</v>
      </c>
      <c r="G68" s="2" t="s">
        <v>31</v>
      </c>
      <c r="H68" s="17">
        <v>50</v>
      </c>
      <c r="I68" s="31">
        <f t="shared" si="0"/>
        <v>50000</v>
      </c>
      <c r="J68" s="31">
        <f t="shared" si="1"/>
        <v>3500.0000000000005</v>
      </c>
      <c r="K68" s="44">
        <f t="shared" si="2"/>
        <v>9.589041095890412</v>
      </c>
      <c r="L68" s="3">
        <f t="shared" si="3"/>
        <v>709.58904109589048</v>
      </c>
      <c r="M68" s="3">
        <f t="shared" si="4"/>
        <v>42.57534246575343</v>
      </c>
      <c r="N68" s="67">
        <f t="shared" si="5"/>
        <v>667.01369863013701</v>
      </c>
      <c r="O68" s="3"/>
      <c r="P68" s="70" t="s">
        <v>18609</v>
      </c>
      <c r="Q68" s="2" t="s">
        <v>32</v>
      </c>
      <c r="R68" s="2" t="s">
        <v>2936</v>
      </c>
      <c r="T68" s="2" t="s">
        <v>18664</v>
      </c>
      <c r="U68" s="2" t="s">
        <v>18652</v>
      </c>
      <c r="V68" s="107">
        <v>45857</v>
      </c>
      <c r="W68" s="2"/>
      <c r="X68" s="97"/>
      <c r="Y68" s="75">
        <v>667.02</v>
      </c>
    </row>
    <row r="69" spans="1:25" x14ac:dyDescent="0.25">
      <c r="A69" s="76">
        <v>64</v>
      </c>
      <c r="B69" s="2" t="s">
        <v>8908</v>
      </c>
      <c r="C69" s="2" t="s">
        <v>8909</v>
      </c>
      <c r="D69" s="2" t="s">
        <v>8910</v>
      </c>
      <c r="E69" s="2" t="s">
        <v>8911</v>
      </c>
      <c r="F69" s="2" t="s">
        <v>8912</v>
      </c>
      <c r="G69" s="2" t="s">
        <v>31</v>
      </c>
      <c r="H69" s="17">
        <v>25</v>
      </c>
      <c r="I69" s="31">
        <f t="shared" si="0"/>
        <v>25000</v>
      </c>
      <c r="J69" s="31">
        <f t="shared" si="1"/>
        <v>1750.0000000000002</v>
      </c>
      <c r="K69" s="44">
        <f t="shared" si="2"/>
        <v>4.794520547945206</v>
      </c>
      <c r="L69" s="3">
        <f t="shared" si="3"/>
        <v>354.79452054794524</v>
      </c>
      <c r="M69" s="3">
        <f t="shared" si="4"/>
        <v>21.287671232876715</v>
      </c>
      <c r="N69" s="67">
        <f t="shared" si="5"/>
        <v>333.50684931506851</v>
      </c>
      <c r="O69" s="3"/>
      <c r="P69" s="70" t="s">
        <v>18609</v>
      </c>
      <c r="Q69" s="2" t="s">
        <v>32</v>
      </c>
      <c r="R69" s="2" t="s">
        <v>8913</v>
      </c>
      <c r="T69" s="2" t="s">
        <v>18664</v>
      </c>
      <c r="U69" s="2" t="s">
        <v>18652</v>
      </c>
      <c r="V69" s="107">
        <v>45857</v>
      </c>
      <c r="W69" s="2"/>
      <c r="X69" s="97"/>
      <c r="Y69" s="75">
        <v>333.51</v>
      </c>
    </row>
    <row r="70" spans="1:25" x14ac:dyDescent="0.25">
      <c r="A70" s="76">
        <v>65</v>
      </c>
      <c r="B70" s="2" t="s">
        <v>12942</v>
      </c>
      <c r="C70" s="2" t="s">
        <v>12943</v>
      </c>
      <c r="D70" s="2" t="s">
        <v>12944</v>
      </c>
      <c r="E70" s="2" t="s">
        <v>12945</v>
      </c>
      <c r="F70" s="2" t="s">
        <v>12946</v>
      </c>
      <c r="G70" s="2" t="s">
        <v>247</v>
      </c>
      <c r="H70" s="17">
        <v>25</v>
      </c>
      <c r="I70" s="31">
        <f t="shared" ref="I70:I133" si="6">H70*1000</f>
        <v>25000</v>
      </c>
      <c r="J70" s="31">
        <f t="shared" ref="J70:J133" si="7">I70*7%</f>
        <v>1750.0000000000002</v>
      </c>
      <c r="K70" s="44">
        <f t="shared" ref="K70:K133" si="8">J70/365</f>
        <v>4.794520547945206</v>
      </c>
      <c r="L70" s="3">
        <f t="shared" ref="L70:L133" si="9">K70*74</f>
        <v>354.79452054794524</v>
      </c>
      <c r="M70" s="3">
        <f t="shared" ref="M70:M133" si="10">L70*6%</f>
        <v>21.287671232876715</v>
      </c>
      <c r="N70" s="67">
        <f t="shared" ref="N70:N133" si="11">L70-M70</f>
        <v>333.50684931506851</v>
      </c>
      <c r="O70" s="3"/>
      <c r="P70" s="70" t="s">
        <v>18609</v>
      </c>
      <c r="Q70" s="2" t="s">
        <v>32</v>
      </c>
      <c r="R70" s="2" t="s">
        <v>12947</v>
      </c>
      <c r="T70" s="2" t="s">
        <v>18664</v>
      </c>
      <c r="U70" s="2" t="s">
        <v>18652</v>
      </c>
      <c r="V70" s="107">
        <v>45857</v>
      </c>
      <c r="W70" s="2"/>
      <c r="X70" s="97"/>
      <c r="Y70" s="75">
        <v>333.51</v>
      </c>
    </row>
    <row r="71" spans="1:25" x14ac:dyDescent="0.25">
      <c r="A71" s="76">
        <v>66</v>
      </c>
      <c r="B71" s="2" t="s">
        <v>6995</v>
      </c>
      <c r="C71" s="2" t="s">
        <v>6996</v>
      </c>
      <c r="D71" s="2" t="s">
        <v>6997</v>
      </c>
      <c r="E71" s="2" t="s">
        <v>6998</v>
      </c>
      <c r="F71" s="2" t="s">
        <v>6999</v>
      </c>
      <c r="G71" s="2" t="s">
        <v>1055</v>
      </c>
      <c r="H71" s="17">
        <v>25</v>
      </c>
      <c r="I71" s="31">
        <f t="shared" si="6"/>
        <v>25000</v>
      </c>
      <c r="J71" s="31">
        <f t="shared" si="7"/>
        <v>1750.0000000000002</v>
      </c>
      <c r="K71" s="44">
        <f t="shared" si="8"/>
        <v>4.794520547945206</v>
      </c>
      <c r="L71" s="3">
        <f t="shared" si="9"/>
        <v>354.79452054794524</v>
      </c>
      <c r="M71" s="3">
        <f t="shared" si="10"/>
        <v>21.287671232876715</v>
      </c>
      <c r="N71" s="67">
        <f t="shared" si="11"/>
        <v>333.50684931506851</v>
      </c>
      <c r="O71" s="3"/>
      <c r="P71" s="70" t="s">
        <v>18609</v>
      </c>
      <c r="Q71" s="2" t="s">
        <v>32</v>
      </c>
      <c r="R71" s="2" t="s">
        <v>7000</v>
      </c>
      <c r="T71" s="2" t="s">
        <v>18664</v>
      </c>
      <c r="U71" s="2" t="s">
        <v>18652</v>
      </c>
      <c r="V71" s="107">
        <v>45857</v>
      </c>
      <c r="W71" s="2"/>
      <c r="X71" s="97"/>
      <c r="Y71" s="75">
        <v>333.51</v>
      </c>
    </row>
    <row r="72" spans="1:25" x14ac:dyDescent="0.25">
      <c r="A72" s="76">
        <v>67</v>
      </c>
      <c r="B72" s="2" t="s">
        <v>2194</v>
      </c>
      <c r="C72" s="2" t="s">
        <v>2195</v>
      </c>
      <c r="D72" s="2" t="s">
        <v>2196</v>
      </c>
      <c r="E72" s="2" t="s">
        <v>2197</v>
      </c>
      <c r="F72" s="2" t="s">
        <v>2198</v>
      </c>
      <c r="G72" s="2" t="s">
        <v>835</v>
      </c>
      <c r="H72" s="17">
        <v>25</v>
      </c>
      <c r="I72" s="31">
        <f t="shared" si="6"/>
        <v>25000</v>
      </c>
      <c r="J72" s="31">
        <f t="shared" si="7"/>
        <v>1750.0000000000002</v>
      </c>
      <c r="K72" s="44">
        <f t="shared" si="8"/>
        <v>4.794520547945206</v>
      </c>
      <c r="L72" s="3">
        <f t="shared" si="9"/>
        <v>354.79452054794524</v>
      </c>
      <c r="M72" s="3">
        <f t="shared" si="10"/>
        <v>21.287671232876715</v>
      </c>
      <c r="N72" s="67">
        <f t="shared" si="11"/>
        <v>333.50684931506851</v>
      </c>
      <c r="O72" s="3"/>
      <c r="P72" s="70" t="s">
        <v>18609</v>
      </c>
      <c r="Q72" s="2" t="s">
        <v>32</v>
      </c>
      <c r="R72" s="2" t="s">
        <v>2199</v>
      </c>
      <c r="T72" s="2" t="s">
        <v>18664</v>
      </c>
      <c r="U72" s="2" t="s">
        <v>18652</v>
      </c>
      <c r="V72" s="107">
        <v>45857</v>
      </c>
      <c r="W72" s="2"/>
      <c r="X72" s="97"/>
      <c r="Y72" s="75">
        <v>333.51</v>
      </c>
    </row>
    <row r="73" spans="1:25" x14ac:dyDescent="0.25">
      <c r="A73" s="76">
        <v>68</v>
      </c>
      <c r="B73" s="2" t="s">
        <v>5292</v>
      </c>
      <c r="C73" s="2" t="s">
        <v>5293</v>
      </c>
      <c r="D73" s="2" t="s">
        <v>5294</v>
      </c>
      <c r="E73" s="2" t="s">
        <v>5295</v>
      </c>
      <c r="F73" s="2" t="s">
        <v>5296</v>
      </c>
      <c r="G73" s="2" t="s">
        <v>1424</v>
      </c>
      <c r="H73" s="17">
        <v>25</v>
      </c>
      <c r="I73" s="31">
        <f t="shared" si="6"/>
        <v>25000</v>
      </c>
      <c r="J73" s="31">
        <f t="shared" si="7"/>
        <v>1750.0000000000002</v>
      </c>
      <c r="K73" s="44">
        <f t="shared" si="8"/>
        <v>4.794520547945206</v>
      </c>
      <c r="L73" s="3">
        <f t="shared" si="9"/>
        <v>354.79452054794524</v>
      </c>
      <c r="M73" s="3">
        <f t="shared" si="10"/>
        <v>21.287671232876715</v>
      </c>
      <c r="N73" s="67">
        <f t="shared" si="11"/>
        <v>333.50684931506851</v>
      </c>
      <c r="O73" s="3"/>
      <c r="P73" s="70" t="s">
        <v>18609</v>
      </c>
      <c r="Q73" s="2" t="s">
        <v>32</v>
      </c>
      <c r="R73" s="2" t="s">
        <v>5297</v>
      </c>
      <c r="T73" s="2" t="s">
        <v>18664</v>
      </c>
      <c r="U73" s="2" t="s">
        <v>18652</v>
      </c>
      <c r="V73" s="107">
        <v>45857</v>
      </c>
      <c r="W73" s="2"/>
      <c r="X73" s="97"/>
      <c r="Y73" s="75">
        <v>333.51</v>
      </c>
    </row>
    <row r="74" spans="1:25" x14ac:dyDescent="0.25">
      <c r="A74" s="76">
        <v>69</v>
      </c>
      <c r="B74" s="2" t="s">
        <v>6172</v>
      </c>
      <c r="C74" s="2" t="s">
        <v>4100</v>
      </c>
      <c r="D74" s="2" t="s">
        <v>6173</v>
      </c>
      <c r="E74" s="2" t="s">
        <v>6174</v>
      </c>
      <c r="F74" s="2" t="s">
        <v>6175</v>
      </c>
      <c r="G74" s="2" t="s">
        <v>1048</v>
      </c>
      <c r="H74" s="17">
        <v>25</v>
      </c>
      <c r="I74" s="31">
        <f t="shared" si="6"/>
        <v>25000</v>
      </c>
      <c r="J74" s="31">
        <f t="shared" si="7"/>
        <v>1750.0000000000002</v>
      </c>
      <c r="K74" s="44">
        <f t="shared" si="8"/>
        <v>4.794520547945206</v>
      </c>
      <c r="L74" s="3">
        <f t="shared" si="9"/>
        <v>354.79452054794524</v>
      </c>
      <c r="M74" s="3">
        <f t="shared" si="10"/>
        <v>21.287671232876715</v>
      </c>
      <c r="N74" s="67">
        <f t="shared" si="11"/>
        <v>333.50684931506851</v>
      </c>
      <c r="O74" s="3"/>
      <c r="P74" s="70" t="s">
        <v>18609</v>
      </c>
      <c r="Q74" s="2" t="s">
        <v>32</v>
      </c>
      <c r="R74" s="2" t="s">
        <v>6176</v>
      </c>
      <c r="T74" s="2" t="s">
        <v>18664</v>
      </c>
      <c r="U74" s="2" t="s">
        <v>18652</v>
      </c>
      <c r="V74" s="107">
        <v>45857</v>
      </c>
      <c r="W74" s="2"/>
      <c r="X74" s="97"/>
      <c r="Y74" s="75">
        <v>333.51</v>
      </c>
    </row>
    <row r="75" spans="1:25" x14ac:dyDescent="0.25">
      <c r="A75" s="76">
        <v>70</v>
      </c>
      <c r="B75" s="2" t="s">
        <v>10663</v>
      </c>
      <c r="C75" s="2" t="s">
        <v>10664</v>
      </c>
      <c r="D75" s="2" t="s">
        <v>3941</v>
      </c>
      <c r="E75" s="2" t="s">
        <v>10664</v>
      </c>
      <c r="F75" s="2" t="s">
        <v>10665</v>
      </c>
      <c r="G75" s="2" t="s">
        <v>173</v>
      </c>
      <c r="H75" s="17">
        <v>30</v>
      </c>
      <c r="I75" s="31">
        <f t="shared" si="6"/>
        <v>30000</v>
      </c>
      <c r="J75" s="31">
        <f t="shared" si="7"/>
        <v>2100</v>
      </c>
      <c r="K75" s="44">
        <f t="shared" si="8"/>
        <v>5.7534246575342465</v>
      </c>
      <c r="L75" s="3">
        <f t="shared" si="9"/>
        <v>425.75342465753425</v>
      </c>
      <c r="M75" s="3">
        <f t="shared" si="10"/>
        <v>25.545205479452054</v>
      </c>
      <c r="N75" s="67">
        <f t="shared" si="11"/>
        <v>400.20821917808217</v>
      </c>
      <c r="O75" s="3"/>
      <c r="P75" s="70" t="s">
        <v>18609</v>
      </c>
      <c r="Q75" s="2" t="s">
        <v>32</v>
      </c>
      <c r="R75" s="2" t="s">
        <v>10666</v>
      </c>
      <c r="T75" s="2" t="s">
        <v>18664</v>
      </c>
      <c r="U75" s="2" t="s">
        <v>18652</v>
      </c>
      <c r="V75" s="107">
        <v>45857</v>
      </c>
      <c r="W75" s="2"/>
      <c r="X75" s="97"/>
      <c r="Y75" s="75">
        <v>400.21</v>
      </c>
    </row>
    <row r="76" spans="1:25" x14ac:dyDescent="0.25">
      <c r="A76" s="76">
        <v>71</v>
      </c>
      <c r="B76" s="2" t="s">
        <v>675</v>
      </c>
      <c r="C76" s="2" t="s">
        <v>676</v>
      </c>
      <c r="D76" s="2" t="s">
        <v>677</v>
      </c>
      <c r="E76" s="2" t="s">
        <v>678</v>
      </c>
      <c r="F76" s="2" t="s">
        <v>679</v>
      </c>
      <c r="G76" s="2" t="s">
        <v>680</v>
      </c>
      <c r="H76" s="17">
        <v>25</v>
      </c>
      <c r="I76" s="31">
        <f t="shared" si="6"/>
        <v>25000</v>
      </c>
      <c r="J76" s="31">
        <f t="shared" si="7"/>
        <v>1750.0000000000002</v>
      </c>
      <c r="K76" s="44">
        <f t="shared" si="8"/>
        <v>4.794520547945206</v>
      </c>
      <c r="L76" s="3">
        <f t="shared" si="9"/>
        <v>354.79452054794524</v>
      </c>
      <c r="M76" s="3">
        <f t="shared" si="10"/>
        <v>21.287671232876715</v>
      </c>
      <c r="N76" s="67">
        <f t="shared" si="11"/>
        <v>333.50684931506851</v>
      </c>
      <c r="O76" s="3"/>
      <c r="P76" s="70" t="s">
        <v>18609</v>
      </c>
      <c r="Q76" s="2" t="s">
        <v>32</v>
      </c>
      <c r="R76" s="2" t="s">
        <v>681</v>
      </c>
      <c r="T76" s="2" t="s">
        <v>18664</v>
      </c>
      <c r="U76" s="2" t="s">
        <v>18652</v>
      </c>
      <c r="V76" s="107">
        <v>45857</v>
      </c>
      <c r="W76" s="2"/>
      <c r="X76" s="97"/>
      <c r="Y76" s="75">
        <v>333.51</v>
      </c>
    </row>
    <row r="77" spans="1:25" x14ac:dyDescent="0.25">
      <c r="A77" s="76">
        <v>72</v>
      </c>
      <c r="B77" s="2" t="s">
        <v>5410</v>
      </c>
      <c r="C77" s="2" t="s">
        <v>5411</v>
      </c>
      <c r="D77" s="2" t="s">
        <v>5412</v>
      </c>
      <c r="E77" s="2" t="s">
        <v>5413</v>
      </c>
      <c r="F77" s="2" t="s">
        <v>5414</v>
      </c>
      <c r="G77" s="2" t="s">
        <v>1104</v>
      </c>
      <c r="H77" s="17">
        <v>25</v>
      </c>
      <c r="I77" s="31">
        <f t="shared" si="6"/>
        <v>25000</v>
      </c>
      <c r="J77" s="31">
        <f t="shared" si="7"/>
        <v>1750.0000000000002</v>
      </c>
      <c r="K77" s="44">
        <f t="shared" si="8"/>
        <v>4.794520547945206</v>
      </c>
      <c r="L77" s="3">
        <f t="shared" si="9"/>
        <v>354.79452054794524</v>
      </c>
      <c r="M77" s="3">
        <f t="shared" si="10"/>
        <v>21.287671232876715</v>
      </c>
      <c r="N77" s="67">
        <f t="shared" si="11"/>
        <v>333.50684931506851</v>
      </c>
      <c r="O77" s="3"/>
      <c r="P77" s="70" t="s">
        <v>18609</v>
      </c>
      <c r="Q77" s="2" t="s">
        <v>32</v>
      </c>
      <c r="R77" s="2" t="s">
        <v>5415</v>
      </c>
      <c r="T77" s="2" t="s">
        <v>18664</v>
      </c>
      <c r="U77" s="2" t="s">
        <v>18652</v>
      </c>
      <c r="V77" s="107">
        <v>45857</v>
      </c>
      <c r="W77" s="2"/>
      <c r="X77" s="97"/>
      <c r="Y77" s="75">
        <v>333.51</v>
      </c>
    </row>
    <row r="78" spans="1:25" x14ac:dyDescent="0.25">
      <c r="A78" s="76">
        <v>73</v>
      </c>
      <c r="B78" s="2" t="s">
        <v>1641</v>
      </c>
      <c r="C78" s="2" t="s">
        <v>1642</v>
      </c>
      <c r="D78" s="2" t="s">
        <v>1643</v>
      </c>
      <c r="E78" s="2" t="s">
        <v>1644</v>
      </c>
      <c r="F78" s="2" t="s">
        <v>1645</v>
      </c>
      <c r="G78" s="2" t="s">
        <v>381</v>
      </c>
      <c r="H78" s="17">
        <v>40</v>
      </c>
      <c r="I78" s="31">
        <f t="shared" si="6"/>
        <v>40000</v>
      </c>
      <c r="J78" s="31">
        <f t="shared" si="7"/>
        <v>2800.0000000000005</v>
      </c>
      <c r="K78" s="44">
        <f t="shared" si="8"/>
        <v>7.6712328767123301</v>
      </c>
      <c r="L78" s="3">
        <f t="shared" si="9"/>
        <v>567.67123287671245</v>
      </c>
      <c r="M78" s="3">
        <f t="shared" si="10"/>
        <v>34.060273972602744</v>
      </c>
      <c r="N78" s="67">
        <f t="shared" si="11"/>
        <v>533.61095890410968</v>
      </c>
      <c r="O78" s="3"/>
      <c r="P78" s="70" t="s">
        <v>18609</v>
      </c>
      <c r="Q78" s="2" t="s">
        <v>32</v>
      </c>
      <c r="R78" s="2" t="s">
        <v>1646</v>
      </c>
      <c r="T78" s="2" t="s">
        <v>18664</v>
      </c>
      <c r="U78" s="2" t="s">
        <v>18652</v>
      </c>
      <c r="V78" s="107">
        <v>45857</v>
      </c>
      <c r="W78" s="2"/>
      <c r="X78" s="97"/>
      <c r="Y78" s="75">
        <v>533.62</v>
      </c>
    </row>
    <row r="79" spans="1:25" x14ac:dyDescent="0.25">
      <c r="A79" s="76">
        <v>74</v>
      </c>
      <c r="B79" s="2" t="s">
        <v>14175</v>
      </c>
      <c r="C79" s="2" t="s">
        <v>14176</v>
      </c>
      <c r="D79" s="2" t="s">
        <v>14177</v>
      </c>
      <c r="E79" s="2" t="s">
        <v>14178</v>
      </c>
      <c r="F79" s="2" t="s">
        <v>14179</v>
      </c>
      <c r="G79" s="2" t="s">
        <v>1055</v>
      </c>
      <c r="H79" s="17">
        <v>50</v>
      </c>
      <c r="I79" s="31">
        <f t="shared" si="6"/>
        <v>50000</v>
      </c>
      <c r="J79" s="31">
        <f t="shared" si="7"/>
        <v>3500.0000000000005</v>
      </c>
      <c r="K79" s="44">
        <f t="shared" si="8"/>
        <v>9.589041095890412</v>
      </c>
      <c r="L79" s="3">
        <f t="shared" si="9"/>
        <v>709.58904109589048</v>
      </c>
      <c r="M79" s="3">
        <f t="shared" si="10"/>
        <v>42.57534246575343</v>
      </c>
      <c r="N79" s="67">
        <f t="shared" si="11"/>
        <v>667.01369863013701</v>
      </c>
      <c r="O79" s="3"/>
      <c r="P79" s="70" t="s">
        <v>18609</v>
      </c>
      <c r="Q79" s="2" t="s">
        <v>32</v>
      </c>
      <c r="R79" s="2" t="s">
        <v>14180</v>
      </c>
      <c r="T79" s="2" t="s">
        <v>18664</v>
      </c>
      <c r="U79" s="2" t="s">
        <v>18652</v>
      </c>
      <c r="V79" s="107">
        <v>45857</v>
      </c>
      <c r="W79" s="2"/>
      <c r="X79" s="97"/>
      <c r="Y79" s="75">
        <v>667.02</v>
      </c>
    </row>
    <row r="80" spans="1:25" x14ac:dyDescent="0.25">
      <c r="A80" s="76">
        <v>75</v>
      </c>
      <c r="B80" s="2" t="s">
        <v>14763</v>
      </c>
      <c r="C80" s="2" t="s">
        <v>14764</v>
      </c>
      <c r="D80" s="2" t="s">
        <v>14765</v>
      </c>
      <c r="E80" s="2" t="s">
        <v>14766</v>
      </c>
      <c r="F80" s="2" t="s">
        <v>14767</v>
      </c>
      <c r="G80" s="2" t="s">
        <v>1823</v>
      </c>
      <c r="H80" s="17">
        <v>25</v>
      </c>
      <c r="I80" s="31">
        <f t="shared" si="6"/>
        <v>25000</v>
      </c>
      <c r="J80" s="31">
        <f t="shared" si="7"/>
        <v>1750.0000000000002</v>
      </c>
      <c r="K80" s="44">
        <f t="shared" si="8"/>
        <v>4.794520547945206</v>
      </c>
      <c r="L80" s="3">
        <f t="shared" si="9"/>
        <v>354.79452054794524</v>
      </c>
      <c r="M80" s="3">
        <f t="shared" si="10"/>
        <v>21.287671232876715</v>
      </c>
      <c r="N80" s="67">
        <f t="shared" si="11"/>
        <v>333.50684931506851</v>
      </c>
      <c r="O80" s="3"/>
      <c r="P80" s="70" t="s">
        <v>18609</v>
      </c>
      <c r="Q80" s="2" t="s">
        <v>32</v>
      </c>
      <c r="R80" s="2" t="s">
        <v>14768</v>
      </c>
      <c r="T80" s="2" t="s">
        <v>18664</v>
      </c>
      <c r="U80" s="2" t="s">
        <v>18652</v>
      </c>
      <c r="V80" s="107">
        <v>45857</v>
      </c>
      <c r="W80" s="2"/>
      <c r="X80" s="97"/>
      <c r="Y80" s="75">
        <v>333.51</v>
      </c>
    </row>
    <row r="81" spans="1:25" x14ac:dyDescent="0.25">
      <c r="A81" s="76">
        <v>76</v>
      </c>
      <c r="B81" s="2" t="s">
        <v>14187</v>
      </c>
      <c r="C81" s="2" t="s">
        <v>14188</v>
      </c>
      <c r="D81" s="2" t="s">
        <v>14189</v>
      </c>
      <c r="E81" s="2" t="s">
        <v>14190</v>
      </c>
      <c r="F81" s="2" t="s">
        <v>14191</v>
      </c>
      <c r="G81" s="2" t="s">
        <v>4575</v>
      </c>
      <c r="H81" s="17">
        <v>25</v>
      </c>
      <c r="I81" s="31">
        <f t="shared" si="6"/>
        <v>25000</v>
      </c>
      <c r="J81" s="31">
        <f t="shared" si="7"/>
        <v>1750.0000000000002</v>
      </c>
      <c r="K81" s="44">
        <f t="shared" si="8"/>
        <v>4.794520547945206</v>
      </c>
      <c r="L81" s="3">
        <f t="shared" si="9"/>
        <v>354.79452054794524</v>
      </c>
      <c r="M81" s="3">
        <f t="shared" si="10"/>
        <v>21.287671232876715</v>
      </c>
      <c r="N81" s="67">
        <f t="shared" si="11"/>
        <v>333.50684931506851</v>
      </c>
      <c r="O81" s="3"/>
      <c r="P81" s="70" t="s">
        <v>18609</v>
      </c>
      <c r="Q81" s="2" t="s">
        <v>32</v>
      </c>
      <c r="R81" s="2" t="s">
        <v>14192</v>
      </c>
      <c r="T81" s="2" t="s">
        <v>18664</v>
      </c>
      <c r="U81" s="2" t="s">
        <v>18652</v>
      </c>
      <c r="V81" s="107">
        <v>45857</v>
      </c>
      <c r="W81" s="2"/>
      <c r="X81" s="97"/>
      <c r="Y81" s="75">
        <v>333.51</v>
      </c>
    </row>
    <row r="82" spans="1:25" x14ac:dyDescent="0.25">
      <c r="A82" s="76">
        <v>77</v>
      </c>
      <c r="B82" s="2" t="s">
        <v>7761</v>
      </c>
      <c r="C82" s="2" t="s">
        <v>7762</v>
      </c>
      <c r="D82" s="2" t="s">
        <v>7763</v>
      </c>
      <c r="E82" s="2" t="s">
        <v>7764</v>
      </c>
      <c r="F82" s="2" t="s">
        <v>7765</v>
      </c>
      <c r="G82" s="2" t="s">
        <v>1055</v>
      </c>
      <c r="H82" s="17">
        <v>25</v>
      </c>
      <c r="I82" s="31">
        <f t="shared" si="6"/>
        <v>25000</v>
      </c>
      <c r="J82" s="31">
        <f t="shared" si="7"/>
        <v>1750.0000000000002</v>
      </c>
      <c r="K82" s="44">
        <f t="shared" si="8"/>
        <v>4.794520547945206</v>
      </c>
      <c r="L82" s="3">
        <f t="shared" si="9"/>
        <v>354.79452054794524</v>
      </c>
      <c r="M82" s="3">
        <f t="shared" si="10"/>
        <v>21.287671232876715</v>
      </c>
      <c r="N82" s="67">
        <f t="shared" si="11"/>
        <v>333.50684931506851</v>
      </c>
      <c r="O82" s="3"/>
      <c r="P82" s="70" t="s">
        <v>18609</v>
      </c>
      <c r="Q82" s="2" t="s">
        <v>32</v>
      </c>
      <c r="R82" s="2" t="s">
        <v>7766</v>
      </c>
      <c r="T82" s="2" t="s">
        <v>18664</v>
      </c>
      <c r="U82" s="2" t="s">
        <v>18652</v>
      </c>
      <c r="V82" s="107">
        <v>45857</v>
      </c>
      <c r="W82" s="2"/>
      <c r="X82" s="97"/>
      <c r="Y82" s="75">
        <v>333.51</v>
      </c>
    </row>
    <row r="83" spans="1:25" x14ac:dyDescent="0.25">
      <c r="A83" s="76">
        <v>78</v>
      </c>
      <c r="B83" s="2" t="s">
        <v>10904</v>
      </c>
      <c r="C83" s="2" t="s">
        <v>10905</v>
      </c>
      <c r="D83" s="2" t="s">
        <v>10906</v>
      </c>
      <c r="E83" s="2" t="s">
        <v>10907</v>
      </c>
      <c r="F83" s="2" t="s">
        <v>10908</v>
      </c>
      <c r="G83" s="2" t="s">
        <v>309</v>
      </c>
      <c r="H83" s="17">
        <v>50</v>
      </c>
      <c r="I83" s="31">
        <f t="shared" si="6"/>
        <v>50000</v>
      </c>
      <c r="J83" s="31">
        <f t="shared" si="7"/>
        <v>3500.0000000000005</v>
      </c>
      <c r="K83" s="44">
        <f t="shared" si="8"/>
        <v>9.589041095890412</v>
      </c>
      <c r="L83" s="3">
        <f t="shared" si="9"/>
        <v>709.58904109589048</v>
      </c>
      <c r="M83" s="3">
        <f t="shared" si="10"/>
        <v>42.57534246575343</v>
      </c>
      <c r="N83" s="67">
        <f t="shared" si="11"/>
        <v>667.01369863013701</v>
      </c>
      <c r="O83" s="3"/>
      <c r="P83" s="70" t="s">
        <v>18609</v>
      </c>
      <c r="Q83" s="2" t="s">
        <v>32</v>
      </c>
      <c r="R83" s="2" t="s">
        <v>10909</v>
      </c>
      <c r="T83" s="2" t="s">
        <v>18664</v>
      </c>
      <c r="U83" s="2" t="s">
        <v>18652</v>
      </c>
      <c r="V83" s="107">
        <v>45857</v>
      </c>
      <c r="W83" s="2"/>
      <c r="X83" s="97"/>
      <c r="Y83" s="75">
        <v>667.02</v>
      </c>
    </row>
    <row r="84" spans="1:25" x14ac:dyDescent="0.25">
      <c r="A84" s="76">
        <v>79</v>
      </c>
      <c r="B84" s="2" t="s">
        <v>7785</v>
      </c>
      <c r="C84" s="2" t="s">
        <v>7786</v>
      </c>
      <c r="D84" s="2" t="s">
        <v>7787</v>
      </c>
      <c r="E84" s="2" t="s">
        <v>7788</v>
      </c>
      <c r="F84" s="2" t="s">
        <v>7789</v>
      </c>
      <c r="G84" s="2" t="s">
        <v>193</v>
      </c>
      <c r="H84" s="17">
        <v>25</v>
      </c>
      <c r="I84" s="31">
        <f t="shared" si="6"/>
        <v>25000</v>
      </c>
      <c r="J84" s="31">
        <f t="shared" si="7"/>
        <v>1750.0000000000002</v>
      </c>
      <c r="K84" s="44">
        <f t="shared" si="8"/>
        <v>4.794520547945206</v>
      </c>
      <c r="L84" s="3">
        <f t="shared" si="9"/>
        <v>354.79452054794524</v>
      </c>
      <c r="M84" s="3">
        <f t="shared" si="10"/>
        <v>21.287671232876715</v>
      </c>
      <c r="N84" s="67">
        <f t="shared" si="11"/>
        <v>333.50684931506851</v>
      </c>
      <c r="O84" s="3"/>
      <c r="P84" s="70" t="s">
        <v>18609</v>
      </c>
      <c r="Q84" s="2" t="s">
        <v>32</v>
      </c>
      <c r="R84" s="2" t="s">
        <v>7790</v>
      </c>
      <c r="T84" s="2" t="s">
        <v>18664</v>
      </c>
      <c r="U84" s="2" t="s">
        <v>18652</v>
      </c>
      <c r="V84" s="107">
        <v>45857</v>
      </c>
      <c r="W84" s="2"/>
      <c r="X84" s="97"/>
      <c r="Y84" s="75">
        <v>333.51</v>
      </c>
    </row>
    <row r="85" spans="1:25" x14ac:dyDescent="0.25">
      <c r="A85" s="76">
        <v>80</v>
      </c>
      <c r="B85" s="2" t="s">
        <v>10290</v>
      </c>
      <c r="C85" s="2" t="s">
        <v>10291</v>
      </c>
      <c r="D85" s="2" t="s">
        <v>10292</v>
      </c>
      <c r="E85" s="2" t="s">
        <v>10293</v>
      </c>
      <c r="F85" s="2" t="s">
        <v>10294</v>
      </c>
      <c r="G85" s="2" t="s">
        <v>151</v>
      </c>
      <c r="H85" s="17">
        <v>50</v>
      </c>
      <c r="I85" s="31">
        <f t="shared" si="6"/>
        <v>50000</v>
      </c>
      <c r="J85" s="31">
        <f t="shared" si="7"/>
        <v>3500.0000000000005</v>
      </c>
      <c r="K85" s="44">
        <f t="shared" si="8"/>
        <v>9.589041095890412</v>
      </c>
      <c r="L85" s="3">
        <f t="shared" si="9"/>
        <v>709.58904109589048</v>
      </c>
      <c r="M85" s="3">
        <f t="shared" si="10"/>
        <v>42.57534246575343</v>
      </c>
      <c r="N85" s="67">
        <f t="shared" si="11"/>
        <v>667.01369863013701</v>
      </c>
      <c r="O85" s="3"/>
      <c r="P85" s="70" t="s">
        <v>18609</v>
      </c>
      <c r="Q85" s="2" t="s">
        <v>32</v>
      </c>
      <c r="R85" s="2" t="s">
        <v>10295</v>
      </c>
      <c r="T85" s="2" t="s">
        <v>18664</v>
      </c>
      <c r="U85" s="2" t="s">
        <v>18652</v>
      </c>
      <c r="V85" s="107">
        <v>45857</v>
      </c>
      <c r="W85" s="2"/>
      <c r="X85" s="97"/>
      <c r="Y85" s="75">
        <v>667.02</v>
      </c>
    </row>
    <row r="86" spans="1:25" x14ac:dyDescent="0.25">
      <c r="A86" s="76">
        <v>81</v>
      </c>
      <c r="B86" s="2" t="s">
        <v>15774</v>
      </c>
      <c r="C86" s="2" t="s">
        <v>15775</v>
      </c>
      <c r="D86" s="2" t="s">
        <v>15776</v>
      </c>
      <c r="E86" s="2" t="s">
        <v>15777</v>
      </c>
      <c r="F86" s="2" t="s">
        <v>15778</v>
      </c>
      <c r="G86" s="2" t="s">
        <v>240</v>
      </c>
      <c r="H86" s="17">
        <v>25</v>
      </c>
      <c r="I86" s="31">
        <f t="shared" si="6"/>
        <v>25000</v>
      </c>
      <c r="J86" s="31">
        <f t="shared" si="7"/>
        <v>1750.0000000000002</v>
      </c>
      <c r="K86" s="44">
        <f t="shared" si="8"/>
        <v>4.794520547945206</v>
      </c>
      <c r="L86" s="3">
        <f t="shared" si="9"/>
        <v>354.79452054794524</v>
      </c>
      <c r="M86" s="3">
        <f t="shared" si="10"/>
        <v>21.287671232876715</v>
      </c>
      <c r="N86" s="67">
        <f t="shared" si="11"/>
        <v>333.50684931506851</v>
      </c>
      <c r="O86" s="3"/>
      <c r="P86" s="70" t="s">
        <v>18609</v>
      </c>
      <c r="Q86" s="2" t="s">
        <v>32</v>
      </c>
      <c r="R86" s="2" t="s">
        <v>15779</v>
      </c>
      <c r="T86" s="2" t="s">
        <v>18664</v>
      </c>
      <c r="U86" s="2" t="s">
        <v>18652</v>
      </c>
      <c r="V86" s="107">
        <v>45857</v>
      </c>
      <c r="W86" s="2"/>
      <c r="X86" s="97"/>
      <c r="Y86" s="75">
        <v>333.51</v>
      </c>
    </row>
    <row r="87" spans="1:25" x14ac:dyDescent="0.25">
      <c r="A87" s="76">
        <v>82</v>
      </c>
      <c r="B87" s="2" t="s">
        <v>5350</v>
      </c>
      <c r="C87" s="2" t="s">
        <v>5351</v>
      </c>
      <c r="D87" s="2" t="s">
        <v>5352</v>
      </c>
      <c r="E87" s="2" t="s">
        <v>5353</v>
      </c>
      <c r="F87" s="2" t="s">
        <v>5354</v>
      </c>
      <c r="G87" s="2" t="s">
        <v>2380</v>
      </c>
      <c r="H87" s="17">
        <v>25</v>
      </c>
      <c r="I87" s="31">
        <f t="shared" si="6"/>
        <v>25000</v>
      </c>
      <c r="J87" s="31">
        <f t="shared" si="7"/>
        <v>1750.0000000000002</v>
      </c>
      <c r="K87" s="44">
        <f t="shared" si="8"/>
        <v>4.794520547945206</v>
      </c>
      <c r="L87" s="3">
        <f t="shared" si="9"/>
        <v>354.79452054794524</v>
      </c>
      <c r="M87" s="3">
        <f t="shared" si="10"/>
        <v>21.287671232876715</v>
      </c>
      <c r="N87" s="67">
        <f t="shared" si="11"/>
        <v>333.50684931506851</v>
      </c>
      <c r="O87" s="3"/>
      <c r="P87" s="70" t="s">
        <v>18609</v>
      </c>
      <c r="Q87" s="2" t="s">
        <v>32</v>
      </c>
      <c r="R87" s="2" t="s">
        <v>5355</v>
      </c>
      <c r="T87" s="2" t="s">
        <v>18664</v>
      </c>
      <c r="U87" s="2" t="s">
        <v>18652</v>
      </c>
      <c r="V87" s="107">
        <v>45857</v>
      </c>
      <c r="W87" s="2"/>
      <c r="X87" s="97"/>
      <c r="Y87" s="75">
        <v>333.51</v>
      </c>
    </row>
    <row r="88" spans="1:25" x14ac:dyDescent="0.25">
      <c r="A88" s="76">
        <v>83</v>
      </c>
      <c r="B88" s="2" t="s">
        <v>8290</v>
      </c>
      <c r="C88" s="2" t="s">
        <v>8291</v>
      </c>
      <c r="D88" s="2" t="s">
        <v>8292</v>
      </c>
      <c r="E88" s="2" t="s">
        <v>8293</v>
      </c>
      <c r="F88" s="2" t="s">
        <v>8294</v>
      </c>
      <c r="G88" s="2" t="s">
        <v>23</v>
      </c>
      <c r="H88" s="17">
        <v>25</v>
      </c>
      <c r="I88" s="31">
        <f t="shared" si="6"/>
        <v>25000</v>
      </c>
      <c r="J88" s="31">
        <f t="shared" si="7"/>
        <v>1750.0000000000002</v>
      </c>
      <c r="K88" s="44">
        <f t="shared" si="8"/>
        <v>4.794520547945206</v>
      </c>
      <c r="L88" s="3">
        <f t="shared" si="9"/>
        <v>354.79452054794524</v>
      </c>
      <c r="M88" s="3">
        <f t="shared" si="10"/>
        <v>21.287671232876715</v>
      </c>
      <c r="N88" s="67">
        <f t="shared" si="11"/>
        <v>333.50684931506851</v>
      </c>
      <c r="O88" s="3"/>
      <c r="P88" s="70" t="s">
        <v>18609</v>
      </c>
      <c r="Q88" s="2" t="s">
        <v>32</v>
      </c>
      <c r="R88" s="2" t="s">
        <v>8295</v>
      </c>
      <c r="T88" s="2" t="s">
        <v>18664</v>
      </c>
      <c r="U88" s="2" t="s">
        <v>18652</v>
      </c>
      <c r="V88" s="107">
        <v>45857</v>
      </c>
      <c r="W88" s="2"/>
      <c r="X88" s="97"/>
      <c r="Y88" s="75">
        <v>333.51</v>
      </c>
    </row>
    <row r="89" spans="1:25" x14ac:dyDescent="0.25">
      <c r="A89" s="76">
        <v>84</v>
      </c>
      <c r="B89" s="2" t="s">
        <v>14013</v>
      </c>
      <c r="C89" s="2" t="s">
        <v>14014</v>
      </c>
      <c r="D89" s="2" t="s">
        <v>14015</v>
      </c>
      <c r="E89" s="2" t="s">
        <v>14016</v>
      </c>
      <c r="F89" s="2" t="s">
        <v>14017</v>
      </c>
      <c r="G89" s="2" t="s">
        <v>1545</v>
      </c>
      <c r="H89" s="17">
        <v>25</v>
      </c>
      <c r="I89" s="31">
        <f t="shared" si="6"/>
        <v>25000</v>
      </c>
      <c r="J89" s="31">
        <f t="shared" si="7"/>
        <v>1750.0000000000002</v>
      </c>
      <c r="K89" s="44">
        <f t="shared" si="8"/>
        <v>4.794520547945206</v>
      </c>
      <c r="L89" s="3">
        <f t="shared" si="9"/>
        <v>354.79452054794524</v>
      </c>
      <c r="M89" s="3">
        <f t="shared" si="10"/>
        <v>21.287671232876715</v>
      </c>
      <c r="N89" s="67">
        <f t="shared" si="11"/>
        <v>333.50684931506851</v>
      </c>
      <c r="O89" s="3"/>
      <c r="P89" s="70" t="s">
        <v>18609</v>
      </c>
      <c r="Q89" s="2" t="s">
        <v>32</v>
      </c>
      <c r="R89" s="2" t="s">
        <v>14018</v>
      </c>
      <c r="T89" s="2" t="s">
        <v>18664</v>
      </c>
      <c r="U89" s="2" t="s">
        <v>18652</v>
      </c>
      <c r="V89" s="107">
        <v>45857</v>
      </c>
      <c r="W89" s="2"/>
      <c r="X89" s="97"/>
      <c r="Y89" s="75">
        <v>333.51</v>
      </c>
    </row>
    <row r="90" spans="1:25" x14ac:dyDescent="0.25">
      <c r="A90" s="76">
        <v>85</v>
      </c>
      <c r="B90" s="2" t="s">
        <v>7677</v>
      </c>
      <c r="C90" s="2" t="s">
        <v>7678</v>
      </c>
      <c r="D90" s="2" t="s">
        <v>7679</v>
      </c>
      <c r="E90" s="2" t="s">
        <v>7680</v>
      </c>
      <c r="F90" s="2" t="s">
        <v>7681</v>
      </c>
      <c r="G90" s="2" t="s">
        <v>31</v>
      </c>
      <c r="H90" s="17">
        <v>25</v>
      </c>
      <c r="I90" s="31">
        <f t="shared" si="6"/>
        <v>25000</v>
      </c>
      <c r="J90" s="31">
        <f t="shared" si="7"/>
        <v>1750.0000000000002</v>
      </c>
      <c r="K90" s="44">
        <f t="shared" si="8"/>
        <v>4.794520547945206</v>
      </c>
      <c r="L90" s="3">
        <f t="shared" si="9"/>
        <v>354.79452054794524</v>
      </c>
      <c r="M90" s="3">
        <f t="shared" si="10"/>
        <v>21.287671232876715</v>
      </c>
      <c r="N90" s="67">
        <f t="shared" si="11"/>
        <v>333.50684931506851</v>
      </c>
      <c r="O90" s="3"/>
      <c r="P90" s="70" t="s">
        <v>18609</v>
      </c>
      <c r="Q90" s="2" t="s">
        <v>32</v>
      </c>
      <c r="R90" s="2" t="s">
        <v>7682</v>
      </c>
      <c r="T90" s="2" t="s">
        <v>18664</v>
      </c>
      <c r="U90" s="2" t="s">
        <v>18652</v>
      </c>
      <c r="V90" s="107">
        <v>45857</v>
      </c>
      <c r="W90" s="2"/>
      <c r="X90" s="97"/>
      <c r="Y90" s="75">
        <v>333.51</v>
      </c>
    </row>
    <row r="91" spans="1:25" x14ac:dyDescent="0.25">
      <c r="A91" s="76">
        <v>86</v>
      </c>
      <c r="B91" s="2" t="s">
        <v>10400</v>
      </c>
      <c r="C91" s="2" t="s">
        <v>10401</v>
      </c>
      <c r="D91" s="2" t="s">
        <v>10366</v>
      </c>
      <c r="E91" s="2" t="s">
        <v>10367</v>
      </c>
      <c r="F91" s="2" t="s">
        <v>7329</v>
      </c>
      <c r="G91" s="2" t="s">
        <v>282</v>
      </c>
      <c r="H91" s="17">
        <v>25</v>
      </c>
      <c r="I91" s="31">
        <f t="shared" si="6"/>
        <v>25000</v>
      </c>
      <c r="J91" s="31">
        <f t="shared" si="7"/>
        <v>1750.0000000000002</v>
      </c>
      <c r="K91" s="44">
        <f t="shared" si="8"/>
        <v>4.794520547945206</v>
      </c>
      <c r="L91" s="3">
        <f t="shared" si="9"/>
        <v>354.79452054794524</v>
      </c>
      <c r="M91" s="3">
        <f t="shared" si="10"/>
        <v>21.287671232876715</v>
      </c>
      <c r="N91" s="67">
        <f t="shared" si="11"/>
        <v>333.50684931506851</v>
      </c>
      <c r="O91" s="3"/>
      <c r="P91" s="70" t="s">
        <v>18609</v>
      </c>
      <c r="Q91" s="2" t="s">
        <v>32</v>
      </c>
      <c r="R91" s="2" t="s">
        <v>10402</v>
      </c>
      <c r="T91" s="2" t="s">
        <v>18664</v>
      </c>
      <c r="U91" s="2" t="s">
        <v>18652</v>
      </c>
      <c r="V91" s="107">
        <v>45857</v>
      </c>
      <c r="W91" s="2"/>
      <c r="X91" s="97"/>
      <c r="Y91" s="75">
        <v>333.51</v>
      </c>
    </row>
    <row r="92" spans="1:25" x14ac:dyDescent="0.25">
      <c r="A92" s="76">
        <v>87</v>
      </c>
      <c r="B92" s="2" t="s">
        <v>4292</v>
      </c>
      <c r="C92" s="2" t="s">
        <v>4293</v>
      </c>
      <c r="D92" s="2" t="s">
        <v>4294</v>
      </c>
      <c r="E92" s="2" t="s">
        <v>4295</v>
      </c>
      <c r="F92" s="2" t="s">
        <v>4296</v>
      </c>
      <c r="G92" s="2" t="s">
        <v>247</v>
      </c>
      <c r="H92" s="17">
        <v>25</v>
      </c>
      <c r="I92" s="31">
        <f t="shared" si="6"/>
        <v>25000</v>
      </c>
      <c r="J92" s="31">
        <f t="shared" si="7"/>
        <v>1750.0000000000002</v>
      </c>
      <c r="K92" s="44">
        <f t="shared" si="8"/>
        <v>4.794520547945206</v>
      </c>
      <c r="L92" s="3">
        <f t="shared" si="9"/>
        <v>354.79452054794524</v>
      </c>
      <c r="M92" s="3">
        <f t="shared" si="10"/>
        <v>21.287671232876715</v>
      </c>
      <c r="N92" s="67">
        <f t="shared" si="11"/>
        <v>333.50684931506851</v>
      </c>
      <c r="O92" s="3"/>
      <c r="P92" s="70" t="s">
        <v>18609</v>
      </c>
      <c r="Q92" s="2" t="s">
        <v>32</v>
      </c>
      <c r="R92" s="2" t="s">
        <v>4297</v>
      </c>
      <c r="T92" s="2" t="s">
        <v>18664</v>
      </c>
      <c r="U92" s="2" t="s">
        <v>18652</v>
      </c>
      <c r="V92" s="107">
        <v>45857</v>
      </c>
      <c r="W92" s="2"/>
      <c r="X92" s="97"/>
      <c r="Y92" s="75">
        <v>333.51</v>
      </c>
    </row>
    <row r="93" spans="1:25" x14ac:dyDescent="0.25">
      <c r="A93" s="76">
        <v>88</v>
      </c>
      <c r="B93" s="2" t="s">
        <v>7018</v>
      </c>
      <c r="C93" s="2" t="s">
        <v>7019</v>
      </c>
      <c r="D93" s="2" t="s">
        <v>7020</v>
      </c>
      <c r="E93" s="2" t="s">
        <v>7021</v>
      </c>
      <c r="F93" s="2" t="s">
        <v>7022</v>
      </c>
      <c r="G93" s="2" t="s">
        <v>218</v>
      </c>
      <c r="H93" s="17">
        <v>25</v>
      </c>
      <c r="I93" s="31">
        <f t="shared" si="6"/>
        <v>25000</v>
      </c>
      <c r="J93" s="31">
        <f t="shared" si="7"/>
        <v>1750.0000000000002</v>
      </c>
      <c r="K93" s="44">
        <f t="shared" si="8"/>
        <v>4.794520547945206</v>
      </c>
      <c r="L93" s="3">
        <f t="shared" si="9"/>
        <v>354.79452054794524</v>
      </c>
      <c r="M93" s="3">
        <f t="shared" si="10"/>
        <v>21.287671232876715</v>
      </c>
      <c r="N93" s="67">
        <f t="shared" si="11"/>
        <v>333.50684931506851</v>
      </c>
      <c r="O93" s="3"/>
      <c r="P93" s="70" t="s">
        <v>18609</v>
      </c>
      <c r="Q93" s="2" t="s">
        <v>32</v>
      </c>
      <c r="R93" s="2" t="s">
        <v>7023</v>
      </c>
      <c r="T93" s="2" t="s">
        <v>18664</v>
      </c>
      <c r="U93" s="2" t="s">
        <v>18652</v>
      </c>
      <c r="V93" s="107">
        <v>45857</v>
      </c>
      <c r="W93" s="2"/>
      <c r="X93" s="97"/>
      <c r="Y93" s="75">
        <v>333.51</v>
      </c>
    </row>
    <row r="94" spans="1:25" x14ac:dyDescent="0.25">
      <c r="A94" s="76">
        <v>89</v>
      </c>
      <c r="B94" s="2" t="s">
        <v>9995</v>
      </c>
      <c r="C94" s="2" t="s">
        <v>9996</v>
      </c>
      <c r="D94" s="2" t="s">
        <v>9997</v>
      </c>
      <c r="E94" s="2" t="s">
        <v>9998</v>
      </c>
      <c r="F94" s="2" t="s">
        <v>9999</v>
      </c>
      <c r="G94" s="2" t="s">
        <v>31</v>
      </c>
      <c r="H94" s="17">
        <v>25</v>
      </c>
      <c r="I94" s="31">
        <f t="shared" si="6"/>
        <v>25000</v>
      </c>
      <c r="J94" s="31">
        <f t="shared" si="7"/>
        <v>1750.0000000000002</v>
      </c>
      <c r="K94" s="44">
        <f t="shared" si="8"/>
        <v>4.794520547945206</v>
      </c>
      <c r="L94" s="3">
        <f t="shared" si="9"/>
        <v>354.79452054794524</v>
      </c>
      <c r="M94" s="3">
        <f t="shared" si="10"/>
        <v>21.287671232876715</v>
      </c>
      <c r="N94" s="67">
        <f t="shared" si="11"/>
        <v>333.50684931506851</v>
      </c>
      <c r="O94" s="3"/>
      <c r="P94" s="70" t="s">
        <v>18609</v>
      </c>
      <c r="Q94" s="2" t="s">
        <v>32</v>
      </c>
      <c r="R94" s="2" t="s">
        <v>10000</v>
      </c>
      <c r="T94" s="2" t="s">
        <v>18664</v>
      </c>
      <c r="U94" s="2" t="s">
        <v>18652</v>
      </c>
      <c r="V94" s="107">
        <v>45857</v>
      </c>
      <c r="W94" s="2"/>
      <c r="X94" s="97"/>
      <c r="Y94" s="75">
        <v>333.51</v>
      </c>
    </row>
    <row r="95" spans="1:25" x14ac:dyDescent="0.25">
      <c r="A95" s="76">
        <v>90</v>
      </c>
      <c r="B95" s="2" t="s">
        <v>9428</v>
      </c>
      <c r="C95" s="2" t="s">
        <v>9429</v>
      </c>
      <c r="D95" s="2" t="s">
        <v>9430</v>
      </c>
      <c r="E95" s="2" t="s">
        <v>9431</v>
      </c>
      <c r="F95" s="2" t="s">
        <v>9432</v>
      </c>
      <c r="G95" s="2" t="s">
        <v>123</v>
      </c>
      <c r="H95" s="17">
        <v>25</v>
      </c>
      <c r="I95" s="31">
        <f t="shared" si="6"/>
        <v>25000</v>
      </c>
      <c r="J95" s="31">
        <f t="shared" si="7"/>
        <v>1750.0000000000002</v>
      </c>
      <c r="K95" s="44">
        <f t="shared" si="8"/>
        <v>4.794520547945206</v>
      </c>
      <c r="L95" s="3">
        <f t="shared" si="9"/>
        <v>354.79452054794524</v>
      </c>
      <c r="M95" s="3">
        <f t="shared" si="10"/>
        <v>21.287671232876715</v>
      </c>
      <c r="N95" s="67">
        <f t="shared" si="11"/>
        <v>333.50684931506851</v>
      </c>
      <c r="O95" s="3"/>
      <c r="P95" s="70" t="s">
        <v>18609</v>
      </c>
      <c r="Q95" s="2" t="s">
        <v>32</v>
      </c>
      <c r="R95" s="2" t="s">
        <v>9433</v>
      </c>
      <c r="T95" s="2" t="s">
        <v>18664</v>
      </c>
      <c r="U95" s="2" t="s">
        <v>18652</v>
      </c>
      <c r="V95" s="107">
        <v>45857</v>
      </c>
      <c r="W95" s="2"/>
      <c r="X95" s="97"/>
      <c r="Y95" s="75">
        <v>333.51</v>
      </c>
    </row>
    <row r="96" spans="1:25" x14ac:dyDescent="0.25">
      <c r="A96" s="76">
        <v>91</v>
      </c>
      <c r="B96" s="2" t="s">
        <v>15392</v>
      </c>
      <c r="C96" s="2" t="s">
        <v>15393</v>
      </c>
      <c r="D96" s="2" t="s">
        <v>15394</v>
      </c>
      <c r="E96" s="2" t="s">
        <v>15395</v>
      </c>
      <c r="F96" s="2" t="s">
        <v>15396</v>
      </c>
      <c r="G96" s="2" t="s">
        <v>11611</v>
      </c>
      <c r="H96" s="17">
        <v>50</v>
      </c>
      <c r="I96" s="31">
        <f t="shared" si="6"/>
        <v>50000</v>
      </c>
      <c r="J96" s="31">
        <f t="shared" si="7"/>
        <v>3500.0000000000005</v>
      </c>
      <c r="K96" s="44">
        <f t="shared" si="8"/>
        <v>9.589041095890412</v>
      </c>
      <c r="L96" s="3">
        <f t="shared" si="9"/>
        <v>709.58904109589048</v>
      </c>
      <c r="M96" s="3">
        <f t="shared" si="10"/>
        <v>42.57534246575343</v>
      </c>
      <c r="N96" s="67">
        <f t="shared" si="11"/>
        <v>667.01369863013701</v>
      </c>
      <c r="O96" s="3"/>
      <c r="P96" s="70" t="s">
        <v>18609</v>
      </c>
      <c r="Q96" s="2" t="s">
        <v>32</v>
      </c>
      <c r="R96" s="2" t="s">
        <v>15397</v>
      </c>
      <c r="T96" s="2" t="s">
        <v>18664</v>
      </c>
      <c r="U96" s="2" t="s">
        <v>18652</v>
      </c>
      <c r="V96" s="107">
        <v>45857</v>
      </c>
      <c r="W96" s="2"/>
      <c r="X96" s="97"/>
      <c r="Y96" s="75">
        <v>667.02</v>
      </c>
    </row>
    <row r="97" spans="1:25" x14ac:dyDescent="0.25">
      <c r="A97" s="76">
        <v>92</v>
      </c>
      <c r="B97" s="2" t="s">
        <v>8083</v>
      </c>
      <c r="C97" s="2" t="s">
        <v>8084</v>
      </c>
      <c r="D97" s="2" t="s">
        <v>8085</v>
      </c>
      <c r="E97" s="2" t="s">
        <v>8086</v>
      </c>
      <c r="F97" s="2" t="s">
        <v>8087</v>
      </c>
      <c r="G97" s="2" t="s">
        <v>151</v>
      </c>
      <c r="H97" s="17">
        <v>700</v>
      </c>
      <c r="I97" s="31">
        <f t="shared" si="6"/>
        <v>700000</v>
      </c>
      <c r="J97" s="31">
        <f t="shared" si="7"/>
        <v>49000.000000000007</v>
      </c>
      <c r="K97" s="44">
        <f t="shared" si="8"/>
        <v>134.24657534246577</v>
      </c>
      <c r="L97" s="3">
        <f t="shared" si="9"/>
        <v>9934.2465753424676</v>
      </c>
      <c r="M97" s="3">
        <f t="shared" si="10"/>
        <v>596.05479452054806</v>
      </c>
      <c r="N97" s="67">
        <f t="shared" si="11"/>
        <v>9338.1917808219187</v>
      </c>
      <c r="O97" s="3"/>
      <c r="P97" s="70" t="s">
        <v>18609</v>
      </c>
      <c r="Q97" s="2" t="s">
        <v>32</v>
      </c>
      <c r="R97" s="2" t="s">
        <v>8088</v>
      </c>
      <c r="T97" s="2" t="s">
        <v>18664</v>
      </c>
      <c r="U97" s="2" t="s">
        <v>18652</v>
      </c>
      <c r="V97" s="107">
        <v>45857</v>
      </c>
      <c r="W97" s="2"/>
      <c r="X97" s="97"/>
      <c r="Y97" s="75">
        <v>9338.2000000000007</v>
      </c>
    </row>
    <row r="98" spans="1:25" x14ac:dyDescent="0.25">
      <c r="A98" s="76">
        <v>93</v>
      </c>
      <c r="B98" s="2" t="s">
        <v>440</v>
      </c>
      <c r="C98" s="2" t="s">
        <v>441</v>
      </c>
      <c r="D98" s="2" t="s">
        <v>442</v>
      </c>
      <c r="E98" s="2" t="s">
        <v>443</v>
      </c>
      <c r="F98" s="2" t="s">
        <v>444</v>
      </c>
      <c r="G98" s="2" t="s">
        <v>445</v>
      </c>
      <c r="H98" s="17">
        <v>25</v>
      </c>
      <c r="I98" s="31">
        <f t="shared" si="6"/>
        <v>25000</v>
      </c>
      <c r="J98" s="31">
        <f t="shared" si="7"/>
        <v>1750.0000000000002</v>
      </c>
      <c r="K98" s="44">
        <f t="shared" si="8"/>
        <v>4.794520547945206</v>
      </c>
      <c r="L98" s="3">
        <f t="shared" si="9"/>
        <v>354.79452054794524</v>
      </c>
      <c r="M98" s="3">
        <f t="shared" si="10"/>
        <v>21.287671232876715</v>
      </c>
      <c r="N98" s="67">
        <f t="shared" si="11"/>
        <v>333.50684931506851</v>
      </c>
      <c r="O98" s="3"/>
      <c r="P98" s="70" t="s">
        <v>18609</v>
      </c>
      <c r="Q98" s="2" t="s">
        <v>32</v>
      </c>
      <c r="R98" s="2" t="s">
        <v>446</v>
      </c>
      <c r="T98" s="2" t="s">
        <v>18664</v>
      </c>
      <c r="U98" s="2" t="s">
        <v>18652</v>
      </c>
      <c r="V98" s="107">
        <v>45857</v>
      </c>
      <c r="W98" s="2"/>
      <c r="X98" s="97"/>
      <c r="Y98" s="75">
        <v>333.51</v>
      </c>
    </row>
    <row r="99" spans="1:25" x14ac:dyDescent="0.25">
      <c r="A99" s="76">
        <v>94</v>
      </c>
      <c r="B99" s="2" t="s">
        <v>7861</v>
      </c>
      <c r="C99" s="2" t="s">
        <v>7862</v>
      </c>
      <c r="D99" s="2" t="s">
        <v>7863</v>
      </c>
      <c r="E99" s="2" t="s">
        <v>7864</v>
      </c>
      <c r="F99" s="2" t="s">
        <v>7865</v>
      </c>
      <c r="G99" s="2" t="s">
        <v>247</v>
      </c>
      <c r="H99" s="17">
        <v>25</v>
      </c>
      <c r="I99" s="31">
        <f t="shared" si="6"/>
        <v>25000</v>
      </c>
      <c r="J99" s="31">
        <f t="shared" si="7"/>
        <v>1750.0000000000002</v>
      </c>
      <c r="K99" s="44">
        <f t="shared" si="8"/>
        <v>4.794520547945206</v>
      </c>
      <c r="L99" s="3">
        <f t="shared" si="9"/>
        <v>354.79452054794524</v>
      </c>
      <c r="M99" s="3">
        <f t="shared" si="10"/>
        <v>21.287671232876715</v>
      </c>
      <c r="N99" s="67">
        <f t="shared" si="11"/>
        <v>333.50684931506851</v>
      </c>
      <c r="O99" s="3"/>
      <c r="P99" s="70" t="s">
        <v>18609</v>
      </c>
      <c r="Q99" s="2" t="s">
        <v>32</v>
      </c>
      <c r="R99" s="2" t="s">
        <v>7866</v>
      </c>
      <c r="T99" s="2" t="s">
        <v>18664</v>
      </c>
      <c r="U99" s="2" t="s">
        <v>18652</v>
      </c>
      <c r="V99" s="107">
        <v>45857</v>
      </c>
      <c r="W99" s="2"/>
      <c r="X99" s="97"/>
      <c r="Y99" s="75">
        <v>333.51</v>
      </c>
    </row>
    <row r="100" spans="1:25" x14ac:dyDescent="0.25">
      <c r="A100" s="76">
        <v>95</v>
      </c>
      <c r="B100" s="2" t="s">
        <v>3554</v>
      </c>
      <c r="C100" s="2" t="s">
        <v>3555</v>
      </c>
      <c r="D100" s="2" t="s">
        <v>3556</v>
      </c>
      <c r="E100" s="2" t="s">
        <v>3557</v>
      </c>
      <c r="F100" s="2" t="s">
        <v>3558</v>
      </c>
      <c r="G100" s="2" t="s">
        <v>1055</v>
      </c>
      <c r="H100" s="17">
        <v>100</v>
      </c>
      <c r="I100" s="31">
        <f t="shared" si="6"/>
        <v>100000</v>
      </c>
      <c r="J100" s="31">
        <f t="shared" si="7"/>
        <v>7000.0000000000009</v>
      </c>
      <c r="K100" s="44">
        <f t="shared" si="8"/>
        <v>19.178082191780824</v>
      </c>
      <c r="L100" s="3">
        <f t="shared" si="9"/>
        <v>1419.178082191781</v>
      </c>
      <c r="M100" s="3">
        <f t="shared" si="10"/>
        <v>85.150684931506859</v>
      </c>
      <c r="N100" s="67">
        <f t="shared" si="11"/>
        <v>1334.027397260274</v>
      </c>
      <c r="O100" s="3"/>
      <c r="P100" s="70" t="s">
        <v>18609</v>
      </c>
      <c r="Q100" s="2" t="s">
        <v>32</v>
      </c>
      <c r="R100" s="2" t="s">
        <v>3559</v>
      </c>
      <c r="T100" s="2" t="s">
        <v>18664</v>
      </c>
      <c r="U100" s="2" t="s">
        <v>18652</v>
      </c>
      <c r="V100" s="107">
        <v>45857</v>
      </c>
      <c r="W100" s="2"/>
      <c r="X100" s="97"/>
      <c r="Y100" s="75">
        <v>1334.03</v>
      </c>
    </row>
    <row r="101" spans="1:25" x14ac:dyDescent="0.25">
      <c r="A101" s="76">
        <v>96</v>
      </c>
      <c r="B101" s="2" t="s">
        <v>13718</v>
      </c>
      <c r="C101" s="2" t="s">
        <v>13719</v>
      </c>
      <c r="D101" s="2" t="s">
        <v>13720</v>
      </c>
      <c r="E101" s="2" t="s">
        <v>13720</v>
      </c>
      <c r="F101" s="2" t="s">
        <v>13721</v>
      </c>
      <c r="G101" s="2" t="s">
        <v>23</v>
      </c>
      <c r="H101" s="17">
        <v>25</v>
      </c>
      <c r="I101" s="31">
        <f t="shared" si="6"/>
        <v>25000</v>
      </c>
      <c r="J101" s="31">
        <f t="shared" si="7"/>
        <v>1750.0000000000002</v>
      </c>
      <c r="K101" s="44">
        <f t="shared" si="8"/>
        <v>4.794520547945206</v>
      </c>
      <c r="L101" s="3">
        <f t="shared" si="9"/>
        <v>354.79452054794524</v>
      </c>
      <c r="M101" s="3">
        <f t="shared" si="10"/>
        <v>21.287671232876715</v>
      </c>
      <c r="N101" s="67">
        <f t="shared" si="11"/>
        <v>333.50684931506851</v>
      </c>
      <c r="O101" s="3"/>
      <c r="P101" s="70" t="s">
        <v>18609</v>
      </c>
      <c r="Q101" s="2" t="s">
        <v>32</v>
      </c>
      <c r="R101" s="2" t="s">
        <v>13722</v>
      </c>
      <c r="T101" s="2" t="s">
        <v>18664</v>
      </c>
      <c r="U101" s="2" t="s">
        <v>18652</v>
      </c>
      <c r="V101" s="107">
        <v>45857</v>
      </c>
      <c r="W101" s="2"/>
      <c r="X101" s="97"/>
      <c r="Y101" s="75">
        <v>333.51</v>
      </c>
    </row>
    <row r="102" spans="1:25" x14ac:dyDescent="0.25">
      <c r="A102" s="76">
        <v>97</v>
      </c>
      <c r="B102" s="2" t="s">
        <v>13702</v>
      </c>
      <c r="C102" s="2" t="s">
        <v>13703</v>
      </c>
      <c r="D102" s="2" t="s">
        <v>13704</v>
      </c>
      <c r="E102" s="2" t="s">
        <v>13705</v>
      </c>
      <c r="F102" s="2" t="s">
        <v>13706</v>
      </c>
      <c r="G102" s="2" t="s">
        <v>31</v>
      </c>
      <c r="H102" s="17">
        <v>25</v>
      </c>
      <c r="I102" s="31">
        <f t="shared" si="6"/>
        <v>25000</v>
      </c>
      <c r="J102" s="31">
        <f t="shared" si="7"/>
        <v>1750.0000000000002</v>
      </c>
      <c r="K102" s="44">
        <f t="shared" si="8"/>
        <v>4.794520547945206</v>
      </c>
      <c r="L102" s="3">
        <f t="shared" si="9"/>
        <v>354.79452054794524</v>
      </c>
      <c r="M102" s="3">
        <f t="shared" si="10"/>
        <v>21.287671232876715</v>
      </c>
      <c r="N102" s="67">
        <f t="shared" si="11"/>
        <v>333.50684931506851</v>
      </c>
      <c r="O102" s="3"/>
      <c r="P102" s="70" t="s">
        <v>18609</v>
      </c>
      <c r="Q102" s="2" t="s">
        <v>32</v>
      </c>
      <c r="R102" s="2" t="s">
        <v>13707</v>
      </c>
      <c r="T102" s="2" t="s">
        <v>18664</v>
      </c>
      <c r="U102" s="2" t="s">
        <v>18652</v>
      </c>
      <c r="V102" s="107">
        <v>45857</v>
      </c>
      <c r="W102" s="2"/>
      <c r="X102" s="97"/>
      <c r="Y102" s="75">
        <v>333.51</v>
      </c>
    </row>
    <row r="103" spans="1:25" x14ac:dyDescent="0.25">
      <c r="A103" s="76">
        <v>98</v>
      </c>
      <c r="B103" s="2" t="s">
        <v>7641</v>
      </c>
      <c r="C103" s="2" t="s">
        <v>7642</v>
      </c>
      <c r="D103" s="2" t="s">
        <v>7643</v>
      </c>
      <c r="E103" s="2" t="s">
        <v>7644</v>
      </c>
      <c r="F103" s="2" t="s">
        <v>7645</v>
      </c>
      <c r="G103" s="2" t="s">
        <v>1104</v>
      </c>
      <c r="H103" s="17">
        <v>100</v>
      </c>
      <c r="I103" s="31">
        <f t="shared" si="6"/>
        <v>100000</v>
      </c>
      <c r="J103" s="31">
        <f t="shared" si="7"/>
        <v>7000.0000000000009</v>
      </c>
      <c r="K103" s="44">
        <f t="shared" si="8"/>
        <v>19.178082191780824</v>
      </c>
      <c r="L103" s="3">
        <f t="shared" si="9"/>
        <v>1419.178082191781</v>
      </c>
      <c r="M103" s="3">
        <f t="shared" si="10"/>
        <v>85.150684931506859</v>
      </c>
      <c r="N103" s="67">
        <f t="shared" si="11"/>
        <v>1334.027397260274</v>
      </c>
      <c r="O103" s="3"/>
      <c r="P103" s="70" t="s">
        <v>18609</v>
      </c>
      <c r="Q103" s="2" t="s">
        <v>32</v>
      </c>
      <c r="R103" s="2" t="s">
        <v>7646</v>
      </c>
      <c r="T103" s="2" t="s">
        <v>18664</v>
      </c>
      <c r="U103" s="2" t="s">
        <v>18652</v>
      </c>
      <c r="V103" s="107">
        <v>45857</v>
      </c>
      <c r="W103" s="2"/>
      <c r="X103" s="97"/>
      <c r="Y103" s="75">
        <v>1334.03</v>
      </c>
    </row>
    <row r="104" spans="1:25" x14ac:dyDescent="0.25">
      <c r="A104" s="76">
        <v>99</v>
      </c>
      <c r="B104" s="2" t="s">
        <v>14193</v>
      </c>
      <c r="C104" s="2" t="s">
        <v>14194</v>
      </c>
      <c r="D104" s="2" t="s">
        <v>14195</v>
      </c>
      <c r="E104" s="2" t="s">
        <v>14196</v>
      </c>
      <c r="F104" s="2" t="s">
        <v>14197</v>
      </c>
      <c r="G104" s="2" t="s">
        <v>524</v>
      </c>
      <c r="H104" s="17">
        <v>1000</v>
      </c>
      <c r="I104" s="31">
        <f t="shared" si="6"/>
        <v>1000000</v>
      </c>
      <c r="J104" s="31">
        <f t="shared" si="7"/>
        <v>70000</v>
      </c>
      <c r="K104" s="44">
        <f t="shared" si="8"/>
        <v>191.78082191780823</v>
      </c>
      <c r="L104" s="3">
        <f t="shared" si="9"/>
        <v>14191.780821917808</v>
      </c>
      <c r="M104" s="3">
        <f t="shared" si="10"/>
        <v>851.50684931506839</v>
      </c>
      <c r="N104" s="67">
        <f t="shared" si="11"/>
        <v>13340.273972602739</v>
      </c>
      <c r="O104" s="3"/>
      <c r="P104" s="70" t="s">
        <v>18609</v>
      </c>
      <c r="Q104" s="2" t="s">
        <v>32</v>
      </c>
      <c r="R104" s="2" t="s">
        <v>14198</v>
      </c>
      <c r="T104" s="2" t="s">
        <v>18664</v>
      </c>
      <c r="U104" s="2" t="s">
        <v>18652</v>
      </c>
      <c r="V104" s="107">
        <v>45857</v>
      </c>
      <c r="W104" s="2"/>
      <c r="X104" s="97"/>
      <c r="Y104" s="75">
        <v>13340.28</v>
      </c>
    </row>
    <row r="105" spans="1:25" x14ac:dyDescent="0.25">
      <c r="A105" s="76">
        <v>100</v>
      </c>
      <c r="B105" s="2" t="s">
        <v>12260</v>
      </c>
      <c r="C105" s="2" t="s">
        <v>12261</v>
      </c>
      <c r="D105" s="2" t="s">
        <v>12262</v>
      </c>
      <c r="E105" s="2" t="s">
        <v>12263</v>
      </c>
      <c r="F105" s="2" t="s">
        <v>12264</v>
      </c>
      <c r="G105" s="2" t="s">
        <v>1048</v>
      </c>
      <c r="H105" s="17">
        <v>25</v>
      </c>
      <c r="I105" s="31">
        <f t="shared" si="6"/>
        <v>25000</v>
      </c>
      <c r="J105" s="31">
        <f t="shared" si="7"/>
        <v>1750.0000000000002</v>
      </c>
      <c r="K105" s="44">
        <f t="shared" si="8"/>
        <v>4.794520547945206</v>
      </c>
      <c r="L105" s="3">
        <f t="shared" si="9"/>
        <v>354.79452054794524</v>
      </c>
      <c r="M105" s="3">
        <f t="shared" si="10"/>
        <v>21.287671232876715</v>
      </c>
      <c r="N105" s="67">
        <f t="shared" si="11"/>
        <v>333.50684931506851</v>
      </c>
      <c r="O105" s="3"/>
      <c r="P105" s="70" t="s">
        <v>18609</v>
      </c>
      <c r="Q105" s="2" t="s">
        <v>32</v>
      </c>
      <c r="R105" s="2" t="s">
        <v>12265</v>
      </c>
      <c r="T105" s="2" t="s">
        <v>18664</v>
      </c>
      <c r="U105" s="2" t="s">
        <v>18652</v>
      </c>
      <c r="V105" s="107">
        <v>45857</v>
      </c>
      <c r="W105" s="2"/>
      <c r="X105" s="97"/>
      <c r="Y105" s="75">
        <v>333.51</v>
      </c>
    </row>
    <row r="106" spans="1:25" x14ac:dyDescent="0.25">
      <c r="A106" s="76">
        <v>101</v>
      </c>
      <c r="B106" s="2" t="s">
        <v>7257</v>
      </c>
      <c r="C106" s="2" t="s">
        <v>7258</v>
      </c>
      <c r="D106" s="2" t="s">
        <v>7259</v>
      </c>
      <c r="E106" s="2" t="s">
        <v>7260</v>
      </c>
      <c r="F106" s="2" t="s">
        <v>7261</v>
      </c>
      <c r="G106" s="2" t="s">
        <v>1570</v>
      </c>
      <c r="H106" s="17">
        <v>25</v>
      </c>
      <c r="I106" s="31">
        <f t="shared" si="6"/>
        <v>25000</v>
      </c>
      <c r="J106" s="31">
        <f t="shared" si="7"/>
        <v>1750.0000000000002</v>
      </c>
      <c r="K106" s="44">
        <f t="shared" si="8"/>
        <v>4.794520547945206</v>
      </c>
      <c r="L106" s="3">
        <f t="shared" si="9"/>
        <v>354.79452054794524</v>
      </c>
      <c r="M106" s="3">
        <f t="shared" si="10"/>
        <v>21.287671232876715</v>
      </c>
      <c r="N106" s="67">
        <f t="shared" si="11"/>
        <v>333.50684931506851</v>
      </c>
      <c r="O106" s="3"/>
      <c r="P106" s="70" t="s">
        <v>18609</v>
      </c>
      <c r="Q106" s="2" t="s">
        <v>32</v>
      </c>
      <c r="R106" s="2" t="s">
        <v>7262</v>
      </c>
      <c r="T106" s="2" t="s">
        <v>18664</v>
      </c>
      <c r="U106" s="2" t="s">
        <v>18652</v>
      </c>
      <c r="V106" s="107">
        <v>45857</v>
      </c>
      <c r="W106" s="2"/>
      <c r="X106" s="97"/>
      <c r="Y106" s="75">
        <v>333.51</v>
      </c>
    </row>
    <row r="107" spans="1:25" x14ac:dyDescent="0.25">
      <c r="A107" s="76">
        <v>102</v>
      </c>
      <c r="B107" s="2" t="s">
        <v>8296</v>
      </c>
      <c r="C107" s="2" t="s">
        <v>8297</v>
      </c>
      <c r="D107" s="2" t="s">
        <v>8298</v>
      </c>
      <c r="E107" s="2" t="s">
        <v>8299</v>
      </c>
      <c r="F107" s="2" t="s">
        <v>8300</v>
      </c>
      <c r="G107" s="2" t="s">
        <v>876</v>
      </c>
      <c r="H107" s="17">
        <v>25</v>
      </c>
      <c r="I107" s="31">
        <f t="shared" si="6"/>
        <v>25000</v>
      </c>
      <c r="J107" s="31">
        <f t="shared" si="7"/>
        <v>1750.0000000000002</v>
      </c>
      <c r="K107" s="44">
        <f t="shared" si="8"/>
        <v>4.794520547945206</v>
      </c>
      <c r="L107" s="3">
        <f t="shared" si="9"/>
        <v>354.79452054794524</v>
      </c>
      <c r="M107" s="3">
        <f t="shared" si="10"/>
        <v>21.287671232876715</v>
      </c>
      <c r="N107" s="67">
        <f t="shared" si="11"/>
        <v>333.50684931506851</v>
      </c>
      <c r="O107" s="3"/>
      <c r="P107" s="70" t="s">
        <v>18609</v>
      </c>
      <c r="Q107" s="2" t="s">
        <v>32</v>
      </c>
      <c r="R107" s="2" t="s">
        <v>8301</v>
      </c>
      <c r="T107" s="2" t="s">
        <v>18664</v>
      </c>
      <c r="U107" s="2" t="s">
        <v>18652</v>
      </c>
      <c r="V107" s="107">
        <v>45857</v>
      </c>
      <c r="W107" s="2"/>
      <c r="X107" s="97"/>
      <c r="Y107" s="75">
        <v>333.51</v>
      </c>
    </row>
    <row r="108" spans="1:25" x14ac:dyDescent="0.25">
      <c r="A108" s="76">
        <v>103</v>
      </c>
      <c r="B108" s="2" t="s">
        <v>9127</v>
      </c>
      <c r="C108" s="2" t="s">
        <v>9128</v>
      </c>
      <c r="D108" s="2" t="s">
        <v>9129</v>
      </c>
      <c r="E108" s="2" t="s">
        <v>9130</v>
      </c>
      <c r="F108" s="2" t="s">
        <v>9131</v>
      </c>
      <c r="G108" s="2" t="s">
        <v>524</v>
      </c>
      <c r="H108" s="17">
        <v>25</v>
      </c>
      <c r="I108" s="31">
        <f t="shared" si="6"/>
        <v>25000</v>
      </c>
      <c r="J108" s="31">
        <f t="shared" si="7"/>
        <v>1750.0000000000002</v>
      </c>
      <c r="K108" s="44">
        <f t="shared" si="8"/>
        <v>4.794520547945206</v>
      </c>
      <c r="L108" s="3">
        <f t="shared" si="9"/>
        <v>354.79452054794524</v>
      </c>
      <c r="M108" s="3">
        <f t="shared" si="10"/>
        <v>21.287671232876715</v>
      </c>
      <c r="N108" s="67">
        <f t="shared" si="11"/>
        <v>333.50684931506851</v>
      </c>
      <c r="O108" s="3"/>
      <c r="P108" s="70" t="s">
        <v>18609</v>
      </c>
      <c r="Q108" s="2" t="s">
        <v>32</v>
      </c>
      <c r="R108" s="2" t="s">
        <v>9132</v>
      </c>
      <c r="T108" s="2" t="s">
        <v>18664</v>
      </c>
      <c r="U108" s="2" t="s">
        <v>18652</v>
      </c>
      <c r="V108" s="107">
        <v>45857</v>
      </c>
      <c r="W108" s="2"/>
      <c r="X108" s="97"/>
      <c r="Y108" s="75">
        <v>333.51</v>
      </c>
    </row>
    <row r="109" spans="1:25" x14ac:dyDescent="0.25">
      <c r="A109" s="76">
        <v>104</v>
      </c>
      <c r="B109" s="2" t="s">
        <v>7567</v>
      </c>
      <c r="C109" s="2" t="s">
        <v>7568</v>
      </c>
      <c r="D109" s="2" t="s">
        <v>2515</v>
      </c>
      <c r="E109" s="2" t="s">
        <v>7569</v>
      </c>
      <c r="F109" s="2" t="s">
        <v>7570</v>
      </c>
      <c r="G109" s="2" t="s">
        <v>643</v>
      </c>
      <c r="H109" s="17">
        <v>25</v>
      </c>
      <c r="I109" s="31">
        <f t="shared" si="6"/>
        <v>25000</v>
      </c>
      <c r="J109" s="31">
        <f t="shared" si="7"/>
        <v>1750.0000000000002</v>
      </c>
      <c r="K109" s="44">
        <f t="shared" si="8"/>
        <v>4.794520547945206</v>
      </c>
      <c r="L109" s="3">
        <f t="shared" si="9"/>
        <v>354.79452054794524</v>
      </c>
      <c r="M109" s="3">
        <f t="shared" si="10"/>
        <v>21.287671232876715</v>
      </c>
      <c r="N109" s="67">
        <f t="shared" si="11"/>
        <v>333.50684931506851</v>
      </c>
      <c r="O109" s="3"/>
      <c r="P109" s="70" t="s">
        <v>18609</v>
      </c>
      <c r="Q109" s="2" t="s">
        <v>32</v>
      </c>
      <c r="R109" s="2" t="s">
        <v>7571</v>
      </c>
      <c r="T109" s="2" t="s">
        <v>18664</v>
      </c>
      <c r="U109" s="2" t="s">
        <v>18652</v>
      </c>
      <c r="V109" s="107">
        <v>45857</v>
      </c>
      <c r="W109" s="2"/>
      <c r="X109" s="97"/>
      <c r="Y109" s="75">
        <v>333.51</v>
      </c>
    </row>
    <row r="110" spans="1:25" x14ac:dyDescent="0.25">
      <c r="A110" s="76">
        <v>105</v>
      </c>
      <c r="B110" s="2" t="s">
        <v>2781</v>
      </c>
      <c r="C110" s="2" t="s">
        <v>2782</v>
      </c>
      <c r="D110" s="2" t="s">
        <v>2783</v>
      </c>
      <c r="E110" s="2" t="s">
        <v>2784</v>
      </c>
      <c r="F110" s="2" t="s">
        <v>2785</v>
      </c>
      <c r="G110" s="2" t="s">
        <v>240</v>
      </c>
      <c r="H110" s="17">
        <v>25</v>
      </c>
      <c r="I110" s="31">
        <f t="shared" si="6"/>
        <v>25000</v>
      </c>
      <c r="J110" s="31">
        <f t="shared" si="7"/>
        <v>1750.0000000000002</v>
      </c>
      <c r="K110" s="44">
        <f t="shared" si="8"/>
        <v>4.794520547945206</v>
      </c>
      <c r="L110" s="3">
        <f t="shared" si="9"/>
        <v>354.79452054794524</v>
      </c>
      <c r="M110" s="3">
        <f t="shared" si="10"/>
        <v>21.287671232876715</v>
      </c>
      <c r="N110" s="67">
        <f t="shared" si="11"/>
        <v>333.50684931506851</v>
      </c>
      <c r="O110" s="3"/>
      <c r="P110" s="70" t="s">
        <v>18609</v>
      </c>
      <c r="Q110" s="2" t="s">
        <v>32</v>
      </c>
      <c r="R110" s="2" t="s">
        <v>2786</v>
      </c>
      <c r="T110" s="2" t="s">
        <v>18664</v>
      </c>
      <c r="U110" s="2" t="s">
        <v>18652</v>
      </c>
      <c r="V110" s="107">
        <v>45857</v>
      </c>
      <c r="W110" s="2"/>
      <c r="X110" s="97"/>
      <c r="Y110" s="75">
        <v>333.51</v>
      </c>
    </row>
    <row r="111" spans="1:25" x14ac:dyDescent="0.25">
      <c r="A111" s="76">
        <v>106</v>
      </c>
      <c r="B111" s="2" t="s">
        <v>14745</v>
      </c>
      <c r="C111" s="2" t="s">
        <v>14746</v>
      </c>
      <c r="D111" s="2" t="s">
        <v>14747</v>
      </c>
      <c r="E111" s="2" t="s">
        <v>14748</v>
      </c>
      <c r="F111" s="2" t="s">
        <v>14749</v>
      </c>
      <c r="G111" s="2" t="s">
        <v>4575</v>
      </c>
      <c r="H111" s="17">
        <v>25</v>
      </c>
      <c r="I111" s="31">
        <f t="shared" si="6"/>
        <v>25000</v>
      </c>
      <c r="J111" s="31">
        <f t="shared" si="7"/>
        <v>1750.0000000000002</v>
      </c>
      <c r="K111" s="44">
        <f t="shared" si="8"/>
        <v>4.794520547945206</v>
      </c>
      <c r="L111" s="3">
        <f t="shared" si="9"/>
        <v>354.79452054794524</v>
      </c>
      <c r="M111" s="3">
        <f t="shared" si="10"/>
        <v>21.287671232876715</v>
      </c>
      <c r="N111" s="67">
        <f t="shared" si="11"/>
        <v>333.50684931506851</v>
      </c>
      <c r="O111" s="3"/>
      <c r="P111" s="70" t="s">
        <v>18609</v>
      </c>
      <c r="Q111" s="2" t="s">
        <v>32</v>
      </c>
      <c r="R111" s="2" t="s">
        <v>14750</v>
      </c>
      <c r="T111" s="2" t="s">
        <v>18664</v>
      </c>
      <c r="U111" s="2" t="s">
        <v>18652</v>
      </c>
      <c r="V111" s="107">
        <v>45857</v>
      </c>
      <c r="W111" s="2"/>
      <c r="X111" s="97"/>
      <c r="Y111" s="75">
        <v>333.51</v>
      </c>
    </row>
    <row r="112" spans="1:25" x14ac:dyDescent="0.25">
      <c r="A112" s="76">
        <v>107</v>
      </c>
      <c r="B112" s="2" t="s">
        <v>14500</v>
      </c>
      <c r="C112" s="2" t="s">
        <v>14501</v>
      </c>
      <c r="D112" s="2" t="s">
        <v>9666</v>
      </c>
      <c r="E112" s="2" t="s">
        <v>14502</v>
      </c>
      <c r="F112" s="2" t="s">
        <v>14503</v>
      </c>
      <c r="G112" s="2" t="s">
        <v>282</v>
      </c>
      <c r="H112" s="17">
        <v>25</v>
      </c>
      <c r="I112" s="31">
        <f t="shared" si="6"/>
        <v>25000</v>
      </c>
      <c r="J112" s="31">
        <f t="shared" si="7"/>
        <v>1750.0000000000002</v>
      </c>
      <c r="K112" s="44">
        <f t="shared" si="8"/>
        <v>4.794520547945206</v>
      </c>
      <c r="L112" s="3">
        <f t="shared" si="9"/>
        <v>354.79452054794524</v>
      </c>
      <c r="M112" s="3">
        <f t="shared" si="10"/>
        <v>21.287671232876715</v>
      </c>
      <c r="N112" s="67">
        <f t="shared" si="11"/>
        <v>333.50684931506851</v>
      </c>
      <c r="O112" s="3"/>
      <c r="P112" s="70" t="s">
        <v>18609</v>
      </c>
      <c r="Q112" s="2" t="s">
        <v>32</v>
      </c>
      <c r="R112" s="2" t="s">
        <v>14504</v>
      </c>
      <c r="T112" s="2" t="s">
        <v>18664</v>
      </c>
      <c r="U112" s="2" t="s">
        <v>18652</v>
      </c>
      <c r="V112" s="107">
        <v>45857</v>
      </c>
      <c r="W112" s="2"/>
      <c r="X112" s="97"/>
      <c r="Y112" s="75">
        <v>333.51</v>
      </c>
    </row>
    <row r="113" spans="1:25" x14ac:dyDescent="0.25">
      <c r="A113" s="76">
        <v>108</v>
      </c>
      <c r="B113" s="2" t="s">
        <v>18417</v>
      </c>
      <c r="C113" s="2" t="s">
        <v>18418</v>
      </c>
      <c r="D113" s="2" t="s">
        <v>18419</v>
      </c>
      <c r="E113" s="2" t="s">
        <v>18420</v>
      </c>
      <c r="F113" s="2" t="s">
        <v>18421</v>
      </c>
      <c r="G113" s="2" t="s">
        <v>939</v>
      </c>
      <c r="H113" s="17">
        <v>25</v>
      </c>
      <c r="I113" s="31">
        <f t="shared" si="6"/>
        <v>25000</v>
      </c>
      <c r="J113" s="31">
        <f t="shared" si="7"/>
        <v>1750.0000000000002</v>
      </c>
      <c r="K113" s="44">
        <f t="shared" si="8"/>
        <v>4.794520547945206</v>
      </c>
      <c r="L113" s="3">
        <f t="shared" si="9"/>
        <v>354.79452054794524</v>
      </c>
      <c r="M113" s="3">
        <f t="shared" si="10"/>
        <v>21.287671232876715</v>
      </c>
      <c r="N113" s="67">
        <f t="shared" si="11"/>
        <v>333.50684931506851</v>
      </c>
      <c r="O113" s="3"/>
      <c r="P113" s="70" t="s">
        <v>18609</v>
      </c>
      <c r="Q113" s="2" t="s">
        <v>32</v>
      </c>
      <c r="R113" s="2" t="s">
        <v>18422</v>
      </c>
      <c r="T113" s="2" t="s">
        <v>18664</v>
      </c>
      <c r="U113" s="2" t="s">
        <v>18652</v>
      </c>
      <c r="V113" s="107">
        <v>45857</v>
      </c>
      <c r="W113" s="2"/>
      <c r="X113" s="97"/>
      <c r="Y113" s="75">
        <v>333.51</v>
      </c>
    </row>
    <row r="114" spans="1:25" x14ac:dyDescent="0.25">
      <c r="A114" s="76">
        <v>109</v>
      </c>
      <c r="B114" s="2" t="s">
        <v>7990</v>
      </c>
      <c r="C114" s="2" t="s">
        <v>7991</v>
      </c>
      <c r="D114" s="2" t="s">
        <v>7992</v>
      </c>
      <c r="E114" s="2" t="s">
        <v>7993</v>
      </c>
      <c r="F114" s="2" t="s">
        <v>7994</v>
      </c>
      <c r="G114" s="2" t="s">
        <v>524</v>
      </c>
      <c r="H114" s="17">
        <v>25</v>
      </c>
      <c r="I114" s="31">
        <f t="shared" si="6"/>
        <v>25000</v>
      </c>
      <c r="J114" s="31">
        <f t="shared" si="7"/>
        <v>1750.0000000000002</v>
      </c>
      <c r="K114" s="44">
        <f t="shared" si="8"/>
        <v>4.794520547945206</v>
      </c>
      <c r="L114" s="3">
        <f t="shared" si="9"/>
        <v>354.79452054794524</v>
      </c>
      <c r="M114" s="3">
        <f t="shared" si="10"/>
        <v>21.287671232876715</v>
      </c>
      <c r="N114" s="67">
        <f t="shared" si="11"/>
        <v>333.50684931506851</v>
      </c>
      <c r="O114" s="3"/>
      <c r="P114" s="70" t="s">
        <v>18609</v>
      </c>
      <c r="Q114" s="2" t="s">
        <v>32</v>
      </c>
      <c r="R114" s="2" t="s">
        <v>7995</v>
      </c>
      <c r="T114" s="2" t="s">
        <v>18664</v>
      </c>
      <c r="U114" s="2" t="s">
        <v>18652</v>
      </c>
      <c r="V114" s="107">
        <v>45857</v>
      </c>
      <c r="W114" s="2"/>
      <c r="X114" s="97"/>
      <c r="Y114" s="75">
        <v>333.51</v>
      </c>
    </row>
    <row r="115" spans="1:25" x14ac:dyDescent="0.25">
      <c r="A115" s="76">
        <v>110</v>
      </c>
      <c r="B115" s="2" t="s">
        <v>16582</v>
      </c>
      <c r="C115" s="2" t="s">
        <v>16583</v>
      </c>
      <c r="D115" s="2" t="s">
        <v>16584</v>
      </c>
      <c r="E115" s="2" t="s">
        <v>16585</v>
      </c>
      <c r="F115" s="2" t="s">
        <v>16586</v>
      </c>
      <c r="G115" s="2" t="s">
        <v>412</v>
      </c>
      <c r="H115" s="17">
        <v>25</v>
      </c>
      <c r="I115" s="31">
        <f t="shared" si="6"/>
        <v>25000</v>
      </c>
      <c r="J115" s="31">
        <f t="shared" si="7"/>
        <v>1750.0000000000002</v>
      </c>
      <c r="K115" s="44">
        <f t="shared" si="8"/>
        <v>4.794520547945206</v>
      </c>
      <c r="L115" s="3">
        <f t="shared" si="9"/>
        <v>354.79452054794524</v>
      </c>
      <c r="M115" s="3">
        <f t="shared" si="10"/>
        <v>21.287671232876715</v>
      </c>
      <c r="N115" s="67">
        <f t="shared" si="11"/>
        <v>333.50684931506851</v>
      </c>
      <c r="O115" s="3"/>
      <c r="P115" s="70" t="s">
        <v>18609</v>
      </c>
      <c r="Q115" s="2" t="s">
        <v>32</v>
      </c>
      <c r="R115" s="2" t="s">
        <v>16587</v>
      </c>
      <c r="T115" s="2" t="s">
        <v>18664</v>
      </c>
      <c r="U115" s="2" t="s">
        <v>18652</v>
      </c>
      <c r="V115" s="107">
        <v>45857</v>
      </c>
      <c r="W115" s="2"/>
      <c r="X115" s="97"/>
      <c r="Y115" s="75">
        <v>333.51</v>
      </c>
    </row>
    <row r="116" spans="1:25" x14ac:dyDescent="0.25">
      <c r="A116" s="76">
        <v>111</v>
      </c>
      <c r="B116" s="2" t="s">
        <v>8817</v>
      </c>
      <c r="C116" s="2" t="s">
        <v>8818</v>
      </c>
      <c r="D116" s="2" t="s">
        <v>8819</v>
      </c>
      <c r="E116" s="2" t="s">
        <v>8820</v>
      </c>
      <c r="F116" s="2" t="s">
        <v>8821</v>
      </c>
      <c r="G116" s="2" t="s">
        <v>74</v>
      </c>
      <c r="H116" s="17">
        <v>25</v>
      </c>
      <c r="I116" s="31">
        <f t="shared" si="6"/>
        <v>25000</v>
      </c>
      <c r="J116" s="31">
        <f t="shared" si="7"/>
        <v>1750.0000000000002</v>
      </c>
      <c r="K116" s="44">
        <f t="shared" si="8"/>
        <v>4.794520547945206</v>
      </c>
      <c r="L116" s="3">
        <f t="shared" si="9"/>
        <v>354.79452054794524</v>
      </c>
      <c r="M116" s="3">
        <f t="shared" si="10"/>
        <v>21.287671232876715</v>
      </c>
      <c r="N116" s="67">
        <f t="shared" si="11"/>
        <v>333.50684931506851</v>
      </c>
      <c r="O116" s="3"/>
      <c r="P116" s="70" t="s">
        <v>18609</v>
      </c>
      <c r="Q116" s="2" t="s">
        <v>32</v>
      </c>
      <c r="R116" s="2" t="s">
        <v>8822</v>
      </c>
      <c r="T116" s="2" t="s">
        <v>18664</v>
      </c>
      <c r="U116" s="2" t="s">
        <v>18652</v>
      </c>
      <c r="V116" s="107">
        <v>45857</v>
      </c>
      <c r="W116" s="2"/>
      <c r="X116" s="97"/>
      <c r="Y116" s="75">
        <v>333.51</v>
      </c>
    </row>
    <row r="117" spans="1:25" x14ac:dyDescent="0.25">
      <c r="A117" s="76">
        <v>112</v>
      </c>
      <c r="B117" s="2" t="s">
        <v>11974</v>
      </c>
      <c r="C117" s="2" t="s">
        <v>11975</v>
      </c>
      <c r="D117" s="2" t="s">
        <v>11976</v>
      </c>
      <c r="E117" s="2" t="s">
        <v>11977</v>
      </c>
      <c r="F117" s="2" t="s">
        <v>11978</v>
      </c>
      <c r="G117" s="2" t="s">
        <v>2571</v>
      </c>
      <c r="H117" s="17">
        <v>25</v>
      </c>
      <c r="I117" s="31">
        <f t="shared" si="6"/>
        <v>25000</v>
      </c>
      <c r="J117" s="31">
        <f t="shared" si="7"/>
        <v>1750.0000000000002</v>
      </c>
      <c r="K117" s="44">
        <f t="shared" si="8"/>
        <v>4.794520547945206</v>
      </c>
      <c r="L117" s="3">
        <f t="shared" si="9"/>
        <v>354.79452054794524</v>
      </c>
      <c r="M117" s="3">
        <f t="shared" si="10"/>
        <v>21.287671232876715</v>
      </c>
      <c r="N117" s="67">
        <f t="shared" si="11"/>
        <v>333.50684931506851</v>
      </c>
      <c r="O117" s="3"/>
      <c r="P117" s="70" t="s">
        <v>18609</v>
      </c>
      <c r="Q117" s="2" t="s">
        <v>32</v>
      </c>
      <c r="R117" s="2" t="s">
        <v>11979</v>
      </c>
      <c r="T117" s="2" t="s">
        <v>18664</v>
      </c>
      <c r="U117" s="2" t="s">
        <v>18652</v>
      </c>
      <c r="V117" s="107">
        <v>45857</v>
      </c>
      <c r="W117" s="2"/>
      <c r="X117" s="97"/>
      <c r="Y117" s="75">
        <v>333.51</v>
      </c>
    </row>
    <row r="118" spans="1:25" x14ac:dyDescent="0.25">
      <c r="A118" s="76">
        <v>113</v>
      </c>
      <c r="B118" s="2" t="s">
        <v>10365</v>
      </c>
      <c r="C118" s="2" t="s">
        <v>10366</v>
      </c>
      <c r="D118" s="2" t="s">
        <v>10367</v>
      </c>
      <c r="E118" s="2" t="s">
        <v>10368</v>
      </c>
      <c r="F118" s="2" t="s">
        <v>10369</v>
      </c>
      <c r="G118" s="2" t="s">
        <v>282</v>
      </c>
      <c r="H118" s="17">
        <v>25</v>
      </c>
      <c r="I118" s="31">
        <f t="shared" si="6"/>
        <v>25000</v>
      </c>
      <c r="J118" s="31">
        <f t="shared" si="7"/>
        <v>1750.0000000000002</v>
      </c>
      <c r="K118" s="44">
        <f t="shared" si="8"/>
        <v>4.794520547945206</v>
      </c>
      <c r="L118" s="3">
        <f t="shared" si="9"/>
        <v>354.79452054794524</v>
      </c>
      <c r="M118" s="3">
        <f t="shared" si="10"/>
        <v>21.287671232876715</v>
      </c>
      <c r="N118" s="67">
        <f t="shared" si="11"/>
        <v>333.50684931506851</v>
      </c>
      <c r="O118" s="3"/>
      <c r="P118" s="70" t="s">
        <v>18609</v>
      </c>
      <c r="Q118" s="2" t="s">
        <v>32</v>
      </c>
      <c r="R118" s="2" t="s">
        <v>10370</v>
      </c>
      <c r="T118" s="2" t="s">
        <v>18664</v>
      </c>
      <c r="U118" s="2" t="s">
        <v>18652</v>
      </c>
      <c r="V118" s="107">
        <v>45857</v>
      </c>
      <c r="W118" s="2"/>
      <c r="X118" s="97"/>
      <c r="Y118" s="75">
        <v>333.51</v>
      </c>
    </row>
    <row r="119" spans="1:25" x14ac:dyDescent="0.25">
      <c r="A119" s="76">
        <v>114</v>
      </c>
      <c r="B119" s="2" t="s">
        <v>2554</v>
      </c>
      <c r="C119" s="2" t="s">
        <v>2555</v>
      </c>
      <c r="D119" s="2" t="s">
        <v>2556</v>
      </c>
      <c r="E119" s="2" t="s">
        <v>2557</v>
      </c>
      <c r="F119" s="2" t="s">
        <v>2558</v>
      </c>
      <c r="G119" s="2" t="s">
        <v>939</v>
      </c>
      <c r="H119" s="17">
        <v>27</v>
      </c>
      <c r="I119" s="31">
        <f t="shared" si="6"/>
        <v>27000</v>
      </c>
      <c r="J119" s="31">
        <f t="shared" si="7"/>
        <v>1890.0000000000002</v>
      </c>
      <c r="K119" s="44">
        <f t="shared" si="8"/>
        <v>5.1780821917808222</v>
      </c>
      <c r="L119" s="3">
        <f t="shared" si="9"/>
        <v>383.17808219178085</v>
      </c>
      <c r="M119" s="3">
        <f t="shared" si="10"/>
        <v>22.990684931506848</v>
      </c>
      <c r="N119" s="67">
        <f t="shared" si="11"/>
        <v>360.187397260274</v>
      </c>
      <c r="O119" s="3"/>
      <c r="P119" s="70" t="s">
        <v>18609</v>
      </c>
      <c r="Q119" s="2" t="s">
        <v>32</v>
      </c>
      <c r="R119" s="2" t="s">
        <v>2559</v>
      </c>
      <c r="T119" s="2" t="s">
        <v>18664</v>
      </c>
      <c r="U119" s="2" t="s">
        <v>18652</v>
      </c>
      <c r="V119" s="107">
        <v>45857</v>
      </c>
      <c r="W119" s="2"/>
      <c r="X119" s="97"/>
      <c r="Y119" s="75">
        <v>360.19</v>
      </c>
    </row>
    <row r="120" spans="1:25" x14ac:dyDescent="0.25">
      <c r="A120" s="76">
        <v>115</v>
      </c>
      <c r="B120" s="2" t="s">
        <v>15350</v>
      </c>
      <c r="C120" s="2" t="s">
        <v>15351</v>
      </c>
      <c r="D120" s="2" t="s">
        <v>15352</v>
      </c>
      <c r="E120" s="2" t="s">
        <v>15353</v>
      </c>
      <c r="F120" s="2" t="s">
        <v>15354</v>
      </c>
      <c r="G120" s="2" t="s">
        <v>2673</v>
      </c>
      <c r="H120" s="17">
        <v>25</v>
      </c>
      <c r="I120" s="31">
        <f t="shared" si="6"/>
        <v>25000</v>
      </c>
      <c r="J120" s="31">
        <f t="shared" si="7"/>
        <v>1750.0000000000002</v>
      </c>
      <c r="K120" s="44">
        <f t="shared" si="8"/>
        <v>4.794520547945206</v>
      </c>
      <c r="L120" s="3">
        <f t="shared" si="9"/>
        <v>354.79452054794524</v>
      </c>
      <c r="M120" s="3">
        <f t="shared" si="10"/>
        <v>21.287671232876715</v>
      </c>
      <c r="N120" s="67">
        <f t="shared" si="11"/>
        <v>333.50684931506851</v>
      </c>
      <c r="O120" s="3"/>
      <c r="P120" s="70" t="s">
        <v>18609</v>
      </c>
      <c r="Q120" s="2" t="s">
        <v>32</v>
      </c>
      <c r="R120" s="2" t="s">
        <v>15355</v>
      </c>
      <c r="T120" s="2" t="s">
        <v>18664</v>
      </c>
      <c r="U120" s="2" t="s">
        <v>18652</v>
      </c>
      <c r="V120" s="107">
        <v>45857</v>
      </c>
      <c r="W120" s="2"/>
      <c r="X120" s="97"/>
      <c r="Y120" s="75">
        <v>333.51</v>
      </c>
    </row>
    <row r="121" spans="1:25" x14ac:dyDescent="0.25">
      <c r="A121" s="76">
        <v>116</v>
      </c>
      <c r="B121" s="2" t="s">
        <v>3684</v>
      </c>
      <c r="C121" s="2" t="s">
        <v>3685</v>
      </c>
      <c r="D121" s="2" t="s">
        <v>3686</v>
      </c>
      <c r="E121" s="2" t="s">
        <v>3687</v>
      </c>
      <c r="F121" s="2" t="s">
        <v>3688</v>
      </c>
      <c r="G121" s="2" t="s">
        <v>296</v>
      </c>
      <c r="H121" s="17">
        <v>50</v>
      </c>
      <c r="I121" s="31">
        <f t="shared" si="6"/>
        <v>50000</v>
      </c>
      <c r="J121" s="31">
        <f t="shared" si="7"/>
        <v>3500.0000000000005</v>
      </c>
      <c r="K121" s="44">
        <f t="shared" si="8"/>
        <v>9.589041095890412</v>
      </c>
      <c r="L121" s="3">
        <f t="shared" si="9"/>
        <v>709.58904109589048</v>
      </c>
      <c r="M121" s="3">
        <f t="shared" si="10"/>
        <v>42.57534246575343</v>
      </c>
      <c r="N121" s="67">
        <f t="shared" si="11"/>
        <v>667.01369863013701</v>
      </c>
      <c r="O121" s="3"/>
      <c r="P121" s="70" t="s">
        <v>18609</v>
      </c>
      <c r="Q121" s="2" t="s">
        <v>32</v>
      </c>
      <c r="R121" s="2" t="s">
        <v>3689</v>
      </c>
      <c r="T121" s="2" t="s">
        <v>18664</v>
      </c>
      <c r="U121" s="2" t="s">
        <v>18652</v>
      </c>
      <c r="V121" s="107">
        <v>45857</v>
      </c>
      <c r="W121" s="2"/>
      <c r="X121" s="97"/>
      <c r="Y121" s="75">
        <v>667.02</v>
      </c>
    </row>
    <row r="122" spans="1:25" x14ac:dyDescent="0.25">
      <c r="A122" s="76">
        <v>117</v>
      </c>
      <c r="B122" s="2" t="s">
        <v>304</v>
      </c>
      <c r="C122" s="2" t="s">
        <v>305</v>
      </c>
      <c r="D122" s="2" t="s">
        <v>306</v>
      </c>
      <c r="E122" s="2" t="s">
        <v>307</v>
      </c>
      <c r="F122" s="2" t="s">
        <v>308</v>
      </c>
      <c r="G122" s="2" t="s">
        <v>309</v>
      </c>
      <c r="H122" s="17">
        <v>25</v>
      </c>
      <c r="I122" s="31">
        <f t="shared" si="6"/>
        <v>25000</v>
      </c>
      <c r="J122" s="31">
        <f t="shared" si="7"/>
        <v>1750.0000000000002</v>
      </c>
      <c r="K122" s="44">
        <f t="shared" si="8"/>
        <v>4.794520547945206</v>
      </c>
      <c r="L122" s="3">
        <f t="shared" si="9"/>
        <v>354.79452054794524</v>
      </c>
      <c r="M122" s="3">
        <f t="shared" si="10"/>
        <v>21.287671232876715</v>
      </c>
      <c r="N122" s="67">
        <f t="shared" si="11"/>
        <v>333.50684931506851</v>
      </c>
      <c r="O122" s="3"/>
      <c r="P122" s="70" t="s">
        <v>18609</v>
      </c>
      <c r="Q122" s="2" t="s">
        <v>32</v>
      </c>
      <c r="R122" s="2" t="s">
        <v>310</v>
      </c>
      <c r="T122" s="2" t="s">
        <v>18664</v>
      </c>
      <c r="U122" s="2" t="s">
        <v>18652</v>
      </c>
      <c r="V122" s="107">
        <v>45857</v>
      </c>
      <c r="W122" s="2"/>
      <c r="X122" s="97"/>
      <c r="Y122" s="75">
        <v>333.51</v>
      </c>
    </row>
    <row r="123" spans="1:25" x14ac:dyDescent="0.25">
      <c r="A123" s="76">
        <v>118</v>
      </c>
      <c r="B123" s="2" t="s">
        <v>867</v>
      </c>
      <c r="C123" s="2" t="s">
        <v>868</v>
      </c>
      <c r="D123" s="2" t="s">
        <v>306</v>
      </c>
      <c r="E123" s="2" t="s">
        <v>307</v>
      </c>
      <c r="F123" s="2" t="s">
        <v>869</v>
      </c>
      <c r="G123" s="2" t="s">
        <v>309</v>
      </c>
      <c r="H123" s="17">
        <v>25</v>
      </c>
      <c r="I123" s="31">
        <f t="shared" si="6"/>
        <v>25000</v>
      </c>
      <c r="J123" s="31">
        <f t="shared" si="7"/>
        <v>1750.0000000000002</v>
      </c>
      <c r="K123" s="44">
        <f t="shared" si="8"/>
        <v>4.794520547945206</v>
      </c>
      <c r="L123" s="3">
        <f t="shared" si="9"/>
        <v>354.79452054794524</v>
      </c>
      <c r="M123" s="3">
        <f t="shared" si="10"/>
        <v>21.287671232876715</v>
      </c>
      <c r="N123" s="67">
        <f t="shared" si="11"/>
        <v>333.50684931506851</v>
      </c>
      <c r="O123" s="3"/>
      <c r="P123" s="70" t="s">
        <v>18609</v>
      </c>
      <c r="Q123" s="2" t="s">
        <v>32</v>
      </c>
      <c r="R123" s="2" t="s">
        <v>870</v>
      </c>
      <c r="T123" s="2" t="s">
        <v>18664</v>
      </c>
      <c r="U123" s="2" t="s">
        <v>18652</v>
      </c>
      <c r="V123" s="107">
        <v>45857</v>
      </c>
      <c r="W123" s="2"/>
      <c r="X123" s="97"/>
      <c r="Y123" s="75">
        <v>333.51</v>
      </c>
    </row>
    <row r="124" spans="1:25" x14ac:dyDescent="0.25">
      <c r="A124" s="76">
        <v>119</v>
      </c>
      <c r="B124" s="2" t="s">
        <v>4091</v>
      </c>
      <c r="C124" s="2" t="s">
        <v>4092</v>
      </c>
      <c r="D124" s="2" t="s">
        <v>4093</v>
      </c>
      <c r="E124" s="2" t="s">
        <v>4094</v>
      </c>
      <c r="F124" s="2" t="s">
        <v>4095</v>
      </c>
      <c r="G124" s="2" t="s">
        <v>151</v>
      </c>
      <c r="H124" s="17">
        <v>25</v>
      </c>
      <c r="I124" s="31">
        <f t="shared" si="6"/>
        <v>25000</v>
      </c>
      <c r="J124" s="31">
        <f t="shared" si="7"/>
        <v>1750.0000000000002</v>
      </c>
      <c r="K124" s="44">
        <f t="shared" si="8"/>
        <v>4.794520547945206</v>
      </c>
      <c r="L124" s="3">
        <f t="shared" si="9"/>
        <v>354.79452054794524</v>
      </c>
      <c r="M124" s="3">
        <f t="shared" si="10"/>
        <v>21.287671232876715</v>
      </c>
      <c r="N124" s="67">
        <f t="shared" si="11"/>
        <v>333.50684931506851</v>
      </c>
      <c r="O124" s="3"/>
      <c r="P124" s="70" t="s">
        <v>18609</v>
      </c>
      <c r="Q124" s="2" t="s">
        <v>32</v>
      </c>
      <c r="R124" s="2" t="s">
        <v>4096</v>
      </c>
      <c r="T124" s="2" t="s">
        <v>18664</v>
      </c>
      <c r="U124" s="2" t="s">
        <v>18652</v>
      </c>
      <c r="V124" s="107">
        <v>45857</v>
      </c>
      <c r="W124" s="2"/>
      <c r="X124" s="97"/>
      <c r="Y124" s="75">
        <v>333.51</v>
      </c>
    </row>
    <row r="125" spans="1:25" x14ac:dyDescent="0.25">
      <c r="A125" s="76">
        <v>120</v>
      </c>
      <c r="B125" s="2" t="s">
        <v>6648</v>
      </c>
      <c r="C125" s="2" t="s">
        <v>6649</v>
      </c>
      <c r="D125" s="2" t="s">
        <v>6650</v>
      </c>
      <c r="E125" s="2" t="s">
        <v>6651</v>
      </c>
      <c r="F125" s="2" t="s">
        <v>6652</v>
      </c>
      <c r="G125" s="2" t="s">
        <v>31</v>
      </c>
      <c r="H125" s="17">
        <v>25</v>
      </c>
      <c r="I125" s="31">
        <f t="shared" si="6"/>
        <v>25000</v>
      </c>
      <c r="J125" s="31">
        <f t="shared" si="7"/>
        <v>1750.0000000000002</v>
      </c>
      <c r="K125" s="44">
        <f t="shared" si="8"/>
        <v>4.794520547945206</v>
      </c>
      <c r="L125" s="3">
        <f t="shared" si="9"/>
        <v>354.79452054794524</v>
      </c>
      <c r="M125" s="3">
        <f t="shared" si="10"/>
        <v>21.287671232876715</v>
      </c>
      <c r="N125" s="67">
        <f t="shared" si="11"/>
        <v>333.50684931506851</v>
      </c>
      <c r="O125" s="3"/>
      <c r="P125" s="70" t="s">
        <v>18609</v>
      </c>
      <c r="Q125" s="2" t="s">
        <v>32</v>
      </c>
      <c r="R125" s="2" t="s">
        <v>6653</v>
      </c>
      <c r="T125" s="2" t="s">
        <v>18664</v>
      </c>
      <c r="U125" s="2" t="s">
        <v>18652</v>
      </c>
      <c r="V125" s="107">
        <v>45857</v>
      </c>
      <c r="W125" s="2"/>
      <c r="X125" s="97"/>
      <c r="Y125" s="75">
        <v>333.51</v>
      </c>
    </row>
    <row r="126" spans="1:25" x14ac:dyDescent="0.25">
      <c r="A126" s="76">
        <v>121</v>
      </c>
      <c r="B126" s="2" t="s">
        <v>17184</v>
      </c>
      <c r="C126" s="2" t="s">
        <v>17185</v>
      </c>
      <c r="D126" s="2" t="s">
        <v>17186</v>
      </c>
      <c r="E126" s="2" t="s">
        <v>17187</v>
      </c>
      <c r="F126" s="2" t="s">
        <v>17188</v>
      </c>
      <c r="G126" s="2" t="s">
        <v>2571</v>
      </c>
      <c r="H126" s="17">
        <v>25</v>
      </c>
      <c r="I126" s="31">
        <f t="shared" si="6"/>
        <v>25000</v>
      </c>
      <c r="J126" s="31">
        <f t="shared" si="7"/>
        <v>1750.0000000000002</v>
      </c>
      <c r="K126" s="44">
        <f t="shared" si="8"/>
        <v>4.794520547945206</v>
      </c>
      <c r="L126" s="3">
        <f t="shared" si="9"/>
        <v>354.79452054794524</v>
      </c>
      <c r="M126" s="3">
        <f t="shared" si="10"/>
        <v>21.287671232876715</v>
      </c>
      <c r="N126" s="67">
        <f t="shared" si="11"/>
        <v>333.50684931506851</v>
      </c>
      <c r="O126" s="3"/>
      <c r="P126" s="70" t="s">
        <v>18609</v>
      </c>
      <c r="Q126" s="2" t="s">
        <v>32</v>
      </c>
      <c r="R126" s="2" t="s">
        <v>17189</v>
      </c>
      <c r="T126" s="2" t="s">
        <v>18664</v>
      </c>
      <c r="U126" s="2" t="s">
        <v>18652</v>
      </c>
      <c r="V126" s="107">
        <v>45857</v>
      </c>
      <c r="W126" s="2"/>
      <c r="X126" s="97"/>
      <c r="Y126" s="75">
        <v>333.51</v>
      </c>
    </row>
    <row r="127" spans="1:25" x14ac:dyDescent="0.25">
      <c r="A127" s="76">
        <v>122</v>
      </c>
      <c r="B127" s="2" t="s">
        <v>7895</v>
      </c>
      <c r="C127" s="2" t="s">
        <v>7896</v>
      </c>
      <c r="D127" s="2" t="s">
        <v>7897</v>
      </c>
      <c r="E127" s="2" t="s">
        <v>7898</v>
      </c>
      <c r="F127" s="2" t="s">
        <v>7899</v>
      </c>
      <c r="G127" s="2" t="s">
        <v>1570</v>
      </c>
      <c r="H127" s="17">
        <v>25</v>
      </c>
      <c r="I127" s="31">
        <f t="shared" si="6"/>
        <v>25000</v>
      </c>
      <c r="J127" s="31">
        <f t="shared" si="7"/>
        <v>1750.0000000000002</v>
      </c>
      <c r="K127" s="44">
        <f t="shared" si="8"/>
        <v>4.794520547945206</v>
      </c>
      <c r="L127" s="3">
        <f t="shared" si="9"/>
        <v>354.79452054794524</v>
      </c>
      <c r="M127" s="3">
        <f t="shared" si="10"/>
        <v>21.287671232876715</v>
      </c>
      <c r="N127" s="67">
        <f t="shared" si="11"/>
        <v>333.50684931506851</v>
      </c>
      <c r="O127" s="3"/>
      <c r="P127" s="70" t="s">
        <v>18609</v>
      </c>
      <c r="Q127" s="2" t="s">
        <v>32</v>
      </c>
      <c r="R127" s="2" t="s">
        <v>7900</v>
      </c>
      <c r="T127" s="2" t="s">
        <v>18664</v>
      </c>
      <c r="U127" s="2" t="s">
        <v>18652</v>
      </c>
      <c r="V127" s="107">
        <v>45857</v>
      </c>
      <c r="W127" s="2"/>
      <c r="X127" s="97"/>
      <c r="Y127" s="75">
        <v>333.51</v>
      </c>
    </row>
    <row r="128" spans="1:25" x14ac:dyDescent="0.25">
      <c r="A128" s="76">
        <v>123</v>
      </c>
      <c r="B128" s="2" t="s">
        <v>7097</v>
      </c>
      <c r="C128" s="2" t="s">
        <v>7098</v>
      </c>
      <c r="D128" s="2" t="s">
        <v>7099</v>
      </c>
      <c r="E128" s="2" t="s">
        <v>7100</v>
      </c>
      <c r="F128" s="2" t="s">
        <v>7101</v>
      </c>
      <c r="G128" s="2" t="s">
        <v>643</v>
      </c>
      <c r="H128" s="17">
        <v>25</v>
      </c>
      <c r="I128" s="31">
        <f t="shared" si="6"/>
        <v>25000</v>
      </c>
      <c r="J128" s="31">
        <f t="shared" si="7"/>
        <v>1750.0000000000002</v>
      </c>
      <c r="K128" s="44">
        <f t="shared" si="8"/>
        <v>4.794520547945206</v>
      </c>
      <c r="L128" s="3">
        <f t="shared" si="9"/>
        <v>354.79452054794524</v>
      </c>
      <c r="M128" s="3">
        <f t="shared" si="10"/>
        <v>21.287671232876715</v>
      </c>
      <c r="N128" s="67">
        <f t="shared" si="11"/>
        <v>333.50684931506851</v>
      </c>
      <c r="O128" s="3"/>
      <c r="P128" s="70" t="s">
        <v>18609</v>
      </c>
      <c r="Q128" s="2" t="s">
        <v>32</v>
      </c>
      <c r="R128" s="2" t="s">
        <v>7102</v>
      </c>
      <c r="T128" s="2" t="s">
        <v>18664</v>
      </c>
      <c r="U128" s="2" t="s">
        <v>18652</v>
      </c>
      <c r="V128" s="107">
        <v>45857</v>
      </c>
      <c r="W128" s="2"/>
      <c r="X128" s="97"/>
      <c r="Y128" s="75">
        <v>333.51</v>
      </c>
    </row>
    <row r="129" spans="1:25" x14ac:dyDescent="0.25">
      <c r="A129" s="76">
        <v>124</v>
      </c>
      <c r="B129" s="2" t="s">
        <v>13961</v>
      </c>
      <c r="C129" s="2" t="s">
        <v>13962</v>
      </c>
      <c r="D129" s="2" t="s">
        <v>10500</v>
      </c>
      <c r="E129" s="2" t="s">
        <v>13963</v>
      </c>
      <c r="F129" s="2" t="s">
        <v>13964</v>
      </c>
      <c r="G129" s="2" t="s">
        <v>2380</v>
      </c>
      <c r="H129" s="17">
        <v>25</v>
      </c>
      <c r="I129" s="31">
        <f t="shared" si="6"/>
        <v>25000</v>
      </c>
      <c r="J129" s="31">
        <f t="shared" si="7"/>
        <v>1750.0000000000002</v>
      </c>
      <c r="K129" s="44">
        <f t="shared" si="8"/>
        <v>4.794520547945206</v>
      </c>
      <c r="L129" s="3">
        <f t="shared" si="9"/>
        <v>354.79452054794524</v>
      </c>
      <c r="M129" s="3">
        <f t="shared" si="10"/>
        <v>21.287671232876715</v>
      </c>
      <c r="N129" s="67">
        <f t="shared" si="11"/>
        <v>333.50684931506851</v>
      </c>
      <c r="O129" s="3"/>
      <c r="P129" s="70" t="s">
        <v>18609</v>
      </c>
      <c r="Q129" s="2" t="s">
        <v>32</v>
      </c>
      <c r="R129" s="2" t="s">
        <v>13965</v>
      </c>
      <c r="T129" s="2" t="s">
        <v>18664</v>
      </c>
      <c r="U129" s="2" t="s">
        <v>18652</v>
      </c>
      <c r="V129" s="107">
        <v>45857</v>
      </c>
      <c r="W129" s="2"/>
      <c r="X129" s="97"/>
      <c r="Y129" s="75">
        <v>333.51</v>
      </c>
    </row>
    <row r="130" spans="1:25" x14ac:dyDescent="0.25">
      <c r="A130" s="76">
        <v>125</v>
      </c>
      <c r="B130" s="2" t="s">
        <v>9200</v>
      </c>
      <c r="C130" s="2" t="s">
        <v>9201</v>
      </c>
      <c r="D130" s="2" t="s">
        <v>9202</v>
      </c>
      <c r="E130" s="2" t="s">
        <v>9203</v>
      </c>
      <c r="F130" s="2" t="s">
        <v>9204</v>
      </c>
      <c r="G130" s="2" t="s">
        <v>31</v>
      </c>
      <c r="H130" s="17">
        <v>25</v>
      </c>
      <c r="I130" s="31">
        <f t="shared" si="6"/>
        <v>25000</v>
      </c>
      <c r="J130" s="31">
        <f t="shared" si="7"/>
        <v>1750.0000000000002</v>
      </c>
      <c r="K130" s="44">
        <f t="shared" si="8"/>
        <v>4.794520547945206</v>
      </c>
      <c r="L130" s="3">
        <f t="shared" si="9"/>
        <v>354.79452054794524</v>
      </c>
      <c r="M130" s="3">
        <f t="shared" si="10"/>
        <v>21.287671232876715</v>
      </c>
      <c r="N130" s="67">
        <f t="shared" si="11"/>
        <v>333.50684931506851</v>
      </c>
      <c r="O130" s="3"/>
      <c r="P130" s="70" t="s">
        <v>18609</v>
      </c>
      <c r="Q130" s="2" t="s">
        <v>32</v>
      </c>
      <c r="R130" s="2" t="s">
        <v>9205</v>
      </c>
      <c r="T130" s="2" t="s">
        <v>18664</v>
      </c>
      <c r="U130" s="2" t="s">
        <v>18652</v>
      </c>
      <c r="V130" s="107">
        <v>45857</v>
      </c>
      <c r="W130" s="2"/>
      <c r="X130" s="97"/>
      <c r="Y130" s="75">
        <v>333.51</v>
      </c>
    </row>
    <row r="131" spans="1:25" x14ac:dyDescent="0.25">
      <c r="A131" s="76">
        <v>126</v>
      </c>
      <c r="B131" s="2" t="s">
        <v>10019</v>
      </c>
      <c r="C131" s="2" t="s">
        <v>10020</v>
      </c>
      <c r="D131" s="2" t="s">
        <v>10021</v>
      </c>
      <c r="E131" s="2" t="s">
        <v>10022</v>
      </c>
      <c r="F131" s="2" t="s">
        <v>10023</v>
      </c>
      <c r="G131" s="2" t="s">
        <v>31</v>
      </c>
      <c r="H131" s="17">
        <v>25</v>
      </c>
      <c r="I131" s="31">
        <f t="shared" si="6"/>
        <v>25000</v>
      </c>
      <c r="J131" s="31">
        <f t="shared" si="7"/>
        <v>1750.0000000000002</v>
      </c>
      <c r="K131" s="44">
        <f t="shared" si="8"/>
        <v>4.794520547945206</v>
      </c>
      <c r="L131" s="3">
        <f t="shared" si="9"/>
        <v>354.79452054794524</v>
      </c>
      <c r="M131" s="3">
        <f t="shared" si="10"/>
        <v>21.287671232876715</v>
      </c>
      <c r="N131" s="67">
        <f t="shared" si="11"/>
        <v>333.50684931506851</v>
      </c>
      <c r="O131" s="3"/>
      <c r="P131" s="70" t="s">
        <v>18609</v>
      </c>
      <c r="Q131" s="2" t="s">
        <v>32</v>
      </c>
      <c r="R131" s="2" t="s">
        <v>10024</v>
      </c>
      <c r="T131" s="2" t="s">
        <v>18664</v>
      </c>
      <c r="U131" s="2" t="s">
        <v>18652</v>
      </c>
      <c r="V131" s="107">
        <v>45857</v>
      </c>
      <c r="W131" s="2"/>
      <c r="X131" s="97"/>
      <c r="Y131" s="75">
        <v>333.51</v>
      </c>
    </row>
    <row r="132" spans="1:25" x14ac:dyDescent="0.25">
      <c r="A132" s="76">
        <v>127</v>
      </c>
      <c r="B132" s="2" t="s">
        <v>4589</v>
      </c>
      <c r="C132" s="2" t="s">
        <v>4590</v>
      </c>
      <c r="D132" s="2" t="s">
        <v>4591</v>
      </c>
      <c r="E132" s="2" t="s">
        <v>4592</v>
      </c>
      <c r="F132" s="2" t="s">
        <v>4593</v>
      </c>
      <c r="G132" s="2" t="s">
        <v>275</v>
      </c>
      <c r="H132" s="17">
        <v>25</v>
      </c>
      <c r="I132" s="31">
        <f t="shared" si="6"/>
        <v>25000</v>
      </c>
      <c r="J132" s="31">
        <f t="shared" si="7"/>
        <v>1750.0000000000002</v>
      </c>
      <c r="K132" s="44">
        <f t="shared" si="8"/>
        <v>4.794520547945206</v>
      </c>
      <c r="L132" s="3">
        <f t="shared" si="9"/>
        <v>354.79452054794524</v>
      </c>
      <c r="M132" s="3">
        <f t="shared" si="10"/>
        <v>21.287671232876715</v>
      </c>
      <c r="N132" s="67">
        <f t="shared" si="11"/>
        <v>333.50684931506851</v>
      </c>
      <c r="O132" s="3"/>
      <c r="P132" s="70" t="s">
        <v>18609</v>
      </c>
      <c r="Q132" s="2" t="s">
        <v>32</v>
      </c>
      <c r="R132" s="2" t="s">
        <v>4594</v>
      </c>
      <c r="T132" s="2" t="s">
        <v>18664</v>
      </c>
      <c r="U132" s="2" t="s">
        <v>18652</v>
      </c>
      <c r="V132" s="107">
        <v>45857</v>
      </c>
      <c r="W132" s="2"/>
      <c r="X132" s="97"/>
      <c r="Y132" s="75">
        <v>333.51</v>
      </c>
    </row>
    <row r="133" spans="1:25" x14ac:dyDescent="0.25">
      <c r="A133" s="76">
        <v>128</v>
      </c>
      <c r="B133" s="2" t="s">
        <v>16185</v>
      </c>
      <c r="C133" s="2" t="s">
        <v>16186</v>
      </c>
      <c r="D133" s="2" t="s">
        <v>16187</v>
      </c>
      <c r="E133" s="2" t="s">
        <v>16188</v>
      </c>
      <c r="F133" s="2" t="s">
        <v>16189</v>
      </c>
      <c r="G133" s="2" t="s">
        <v>296</v>
      </c>
      <c r="H133" s="17">
        <v>4300</v>
      </c>
      <c r="I133" s="31">
        <f t="shared" si="6"/>
        <v>4300000</v>
      </c>
      <c r="J133" s="31">
        <f t="shared" si="7"/>
        <v>301000</v>
      </c>
      <c r="K133" s="44">
        <f t="shared" si="8"/>
        <v>824.65753424657532</v>
      </c>
      <c r="L133" s="3">
        <f t="shared" si="9"/>
        <v>61024.657534246573</v>
      </c>
      <c r="M133" s="3">
        <f t="shared" si="10"/>
        <v>3661.4794520547944</v>
      </c>
      <c r="N133" s="67">
        <f t="shared" si="11"/>
        <v>57363.178082191778</v>
      </c>
      <c r="O133" s="3"/>
      <c r="P133" s="70" t="s">
        <v>18609</v>
      </c>
      <c r="Q133" s="2" t="s">
        <v>32</v>
      </c>
      <c r="R133" s="2" t="s">
        <v>16190</v>
      </c>
      <c r="T133" s="2" t="s">
        <v>18664</v>
      </c>
      <c r="U133" s="2" t="s">
        <v>18652</v>
      </c>
      <c r="V133" s="107">
        <v>45857</v>
      </c>
      <c r="W133" s="2"/>
      <c r="X133" s="97"/>
      <c r="Y133" s="75">
        <v>57363.18</v>
      </c>
    </row>
    <row r="134" spans="1:25" x14ac:dyDescent="0.25">
      <c r="A134" s="76">
        <v>129</v>
      </c>
      <c r="B134" s="2" t="s">
        <v>8788</v>
      </c>
      <c r="C134" s="2" t="s">
        <v>8789</v>
      </c>
      <c r="D134" s="2" t="s">
        <v>8790</v>
      </c>
      <c r="E134" s="2" t="s">
        <v>8791</v>
      </c>
      <c r="F134" s="2" t="s">
        <v>8792</v>
      </c>
      <c r="G134" s="2" t="s">
        <v>1136</v>
      </c>
      <c r="H134" s="17">
        <v>25</v>
      </c>
      <c r="I134" s="31">
        <f t="shared" ref="I134:I197" si="12">H134*1000</f>
        <v>25000</v>
      </c>
      <c r="J134" s="31">
        <f t="shared" ref="J134:J197" si="13">I134*7%</f>
        <v>1750.0000000000002</v>
      </c>
      <c r="K134" s="44">
        <f t="shared" ref="K134:K197" si="14">J134/365</f>
        <v>4.794520547945206</v>
      </c>
      <c r="L134" s="3">
        <f t="shared" ref="L134:L197" si="15">K134*74</f>
        <v>354.79452054794524</v>
      </c>
      <c r="M134" s="3">
        <f t="shared" ref="M134:M197" si="16">L134*6%</f>
        <v>21.287671232876715</v>
      </c>
      <c r="N134" s="67">
        <f t="shared" ref="N134:N197" si="17">L134-M134</f>
        <v>333.50684931506851</v>
      </c>
      <c r="O134" s="3"/>
      <c r="P134" s="70" t="s">
        <v>18609</v>
      </c>
      <c r="Q134" s="2" t="s">
        <v>32</v>
      </c>
      <c r="R134" s="2" t="s">
        <v>8793</v>
      </c>
      <c r="T134" s="2" t="s">
        <v>18664</v>
      </c>
      <c r="U134" s="2" t="s">
        <v>18652</v>
      </c>
      <c r="V134" s="107">
        <v>45857</v>
      </c>
      <c r="W134" s="2"/>
      <c r="X134" s="97"/>
      <c r="Y134" s="75">
        <v>333.51</v>
      </c>
    </row>
    <row r="135" spans="1:25" x14ac:dyDescent="0.25">
      <c r="A135" s="76">
        <v>130</v>
      </c>
      <c r="B135" s="2" t="s">
        <v>2428</v>
      </c>
      <c r="C135" s="2" t="s">
        <v>2429</v>
      </c>
      <c r="D135" s="2" t="s">
        <v>2430</v>
      </c>
      <c r="E135" s="2" t="s">
        <v>2431</v>
      </c>
      <c r="F135" s="2" t="s">
        <v>2432</v>
      </c>
      <c r="G135" s="2" t="s">
        <v>1823</v>
      </c>
      <c r="H135" s="17">
        <v>25</v>
      </c>
      <c r="I135" s="31">
        <f t="shared" si="12"/>
        <v>25000</v>
      </c>
      <c r="J135" s="31">
        <f t="shared" si="13"/>
        <v>1750.0000000000002</v>
      </c>
      <c r="K135" s="44">
        <f t="shared" si="14"/>
        <v>4.794520547945206</v>
      </c>
      <c r="L135" s="3">
        <f t="shared" si="15"/>
        <v>354.79452054794524</v>
      </c>
      <c r="M135" s="3">
        <f t="shared" si="16"/>
        <v>21.287671232876715</v>
      </c>
      <c r="N135" s="67">
        <f t="shared" si="17"/>
        <v>333.50684931506851</v>
      </c>
      <c r="O135" s="3"/>
      <c r="P135" s="70" t="s">
        <v>18609</v>
      </c>
      <c r="Q135" s="2" t="s">
        <v>32</v>
      </c>
      <c r="R135" s="2" t="s">
        <v>2433</v>
      </c>
      <c r="T135" s="2" t="s">
        <v>18664</v>
      </c>
      <c r="U135" s="2" t="s">
        <v>18652</v>
      </c>
      <c r="V135" s="107">
        <v>45857</v>
      </c>
      <c r="W135" s="2"/>
      <c r="X135" s="97"/>
      <c r="Y135" s="75">
        <v>333.51</v>
      </c>
    </row>
    <row r="136" spans="1:25" x14ac:dyDescent="0.25">
      <c r="A136" s="76">
        <v>131</v>
      </c>
      <c r="B136" s="2" t="s">
        <v>10442</v>
      </c>
      <c r="C136" s="2" t="s">
        <v>10443</v>
      </c>
      <c r="D136" s="2" t="s">
        <v>10444</v>
      </c>
      <c r="E136" s="2" t="s">
        <v>10445</v>
      </c>
      <c r="F136" s="2" t="s">
        <v>10446</v>
      </c>
      <c r="G136" s="2" t="s">
        <v>618</v>
      </c>
      <c r="H136" s="17">
        <v>25</v>
      </c>
      <c r="I136" s="31">
        <f t="shared" si="12"/>
        <v>25000</v>
      </c>
      <c r="J136" s="31">
        <f t="shared" si="13"/>
        <v>1750.0000000000002</v>
      </c>
      <c r="K136" s="44">
        <f t="shared" si="14"/>
        <v>4.794520547945206</v>
      </c>
      <c r="L136" s="3">
        <f t="shared" si="15"/>
        <v>354.79452054794524</v>
      </c>
      <c r="M136" s="3">
        <f t="shared" si="16"/>
        <v>21.287671232876715</v>
      </c>
      <c r="N136" s="67">
        <f t="shared" si="17"/>
        <v>333.50684931506851</v>
      </c>
      <c r="O136" s="3"/>
      <c r="P136" s="70" t="s">
        <v>18609</v>
      </c>
      <c r="Q136" s="2" t="s">
        <v>32</v>
      </c>
      <c r="R136" s="2" t="s">
        <v>10447</v>
      </c>
      <c r="T136" s="2" t="s">
        <v>18664</v>
      </c>
      <c r="U136" s="2" t="s">
        <v>18652</v>
      </c>
      <c r="V136" s="107">
        <v>45857</v>
      </c>
      <c r="W136" s="2"/>
      <c r="X136" s="97"/>
      <c r="Y136" s="75">
        <v>333.51</v>
      </c>
    </row>
    <row r="137" spans="1:25" x14ac:dyDescent="0.25">
      <c r="A137" s="76">
        <v>132</v>
      </c>
      <c r="B137" s="2" t="s">
        <v>10459</v>
      </c>
      <c r="C137" s="2" t="s">
        <v>10460</v>
      </c>
      <c r="D137" s="2" t="s">
        <v>10444</v>
      </c>
      <c r="E137" s="2" t="s">
        <v>10445</v>
      </c>
      <c r="F137" s="2" t="s">
        <v>10461</v>
      </c>
      <c r="G137" s="2" t="s">
        <v>618</v>
      </c>
      <c r="H137" s="17">
        <v>25</v>
      </c>
      <c r="I137" s="31">
        <f t="shared" si="12"/>
        <v>25000</v>
      </c>
      <c r="J137" s="31">
        <f t="shared" si="13"/>
        <v>1750.0000000000002</v>
      </c>
      <c r="K137" s="44">
        <f t="shared" si="14"/>
        <v>4.794520547945206</v>
      </c>
      <c r="L137" s="3">
        <f t="shared" si="15"/>
        <v>354.79452054794524</v>
      </c>
      <c r="M137" s="3">
        <f t="shared" si="16"/>
        <v>21.287671232876715</v>
      </c>
      <c r="N137" s="67">
        <f t="shared" si="17"/>
        <v>333.50684931506851</v>
      </c>
      <c r="O137" s="3"/>
      <c r="P137" s="70" t="s">
        <v>18609</v>
      </c>
      <c r="Q137" s="2" t="s">
        <v>32</v>
      </c>
      <c r="R137" s="2" t="s">
        <v>10462</v>
      </c>
      <c r="T137" s="2" t="s">
        <v>18664</v>
      </c>
      <c r="U137" s="2" t="s">
        <v>18652</v>
      </c>
      <c r="V137" s="107">
        <v>45857</v>
      </c>
      <c r="W137" s="2"/>
      <c r="X137" s="97"/>
      <c r="Y137" s="75">
        <v>333.51</v>
      </c>
    </row>
    <row r="138" spans="1:25" x14ac:dyDescent="0.25">
      <c r="A138" s="76">
        <v>133</v>
      </c>
      <c r="B138" s="2" t="s">
        <v>17724</v>
      </c>
      <c r="C138" s="2" t="s">
        <v>17725</v>
      </c>
      <c r="D138" s="2" t="s">
        <v>6878</v>
      </c>
      <c r="E138" s="2" t="s">
        <v>17726</v>
      </c>
      <c r="F138" s="2" t="s">
        <v>17727</v>
      </c>
      <c r="G138" s="2" t="s">
        <v>31</v>
      </c>
      <c r="H138" s="17">
        <v>50</v>
      </c>
      <c r="I138" s="31">
        <f t="shared" si="12"/>
        <v>50000</v>
      </c>
      <c r="J138" s="31">
        <f t="shared" si="13"/>
        <v>3500.0000000000005</v>
      </c>
      <c r="K138" s="44">
        <f t="shared" si="14"/>
        <v>9.589041095890412</v>
      </c>
      <c r="L138" s="3">
        <f t="shared" si="15"/>
        <v>709.58904109589048</v>
      </c>
      <c r="M138" s="3">
        <f t="shared" si="16"/>
        <v>42.57534246575343</v>
      </c>
      <c r="N138" s="67">
        <f t="shared" si="17"/>
        <v>667.01369863013701</v>
      </c>
      <c r="O138" s="3"/>
      <c r="P138" s="70" t="s">
        <v>18609</v>
      </c>
      <c r="Q138" s="2" t="s">
        <v>32</v>
      </c>
      <c r="R138" s="2" t="s">
        <v>17728</v>
      </c>
      <c r="T138" s="2" t="s">
        <v>18664</v>
      </c>
      <c r="U138" s="2" t="s">
        <v>18652</v>
      </c>
      <c r="V138" s="107">
        <v>45857</v>
      </c>
      <c r="W138" s="2"/>
      <c r="X138" s="97"/>
      <c r="Y138" s="75">
        <v>667.02</v>
      </c>
    </row>
    <row r="139" spans="1:25" x14ac:dyDescent="0.25">
      <c r="A139" s="76">
        <v>134</v>
      </c>
      <c r="B139" s="2" t="s">
        <v>9410</v>
      </c>
      <c r="C139" s="2" t="s">
        <v>9411</v>
      </c>
      <c r="D139" s="2" t="s">
        <v>9412</v>
      </c>
      <c r="E139" s="2" t="s">
        <v>9413</v>
      </c>
      <c r="F139" s="2" t="s">
        <v>9414</v>
      </c>
      <c r="G139" s="2" t="s">
        <v>835</v>
      </c>
      <c r="H139" s="17">
        <v>25</v>
      </c>
      <c r="I139" s="31">
        <f t="shared" si="12"/>
        <v>25000</v>
      </c>
      <c r="J139" s="31">
        <f t="shared" si="13"/>
        <v>1750.0000000000002</v>
      </c>
      <c r="K139" s="44">
        <f t="shared" si="14"/>
        <v>4.794520547945206</v>
      </c>
      <c r="L139" s="3">
        <f t="shared" si="15"/>
        <v>354.79452054794524</v>
      </c>
      <c r="M139" s="3">
        <f t="shared" si="16"/>
        <v>21.287671232876715</v>
      </c>
      <c r="N139" s="67">
        <f t="shared" si="17"/>
        <v>333.50684931506851</v>
      </c>
      <c r="O139" s="3"/>
      <c r="P139" s="70" t="s">
        <v>18609</v>
      </c>
      <c r="Q139" s="2" t="s">
        <v>32</v>
      </c>
      <c r="R139" s="2" t="s">
        <v>9415</v>
      </c>
      <c r="T139" s="2" t="s">
        <v>18664</v>
      </c>
      <c r="U139" s="2" t="s">
        <v>18652</v>
      </c>
      <c r="V139" s="107">
        <v>45857</v>
      </c>
      <c r="W139" s="2"/>
      <c r="X139" s="97"/>
      <c r="Y139" s="75">
        <v>333.51</v>
      </c>
    </row>
    <row r="140" spans="1:25" x14ac:dyDescent="0.25">
      <c r="A140" s="76">
        <v>135</v>
      </c>
      <c r="B140" s="2" t="s">
        <v>49</v>
      </c>
      <c r="C140" s="2" t="s">
        <v>50</v>
      </c>
      <c r="D140" s="2" t="s">
        <v>51</v>
      </c>
      <c r="E140" s="2" t="s">
        <v>52</v>
      </c>
      <c r="F140" s="2" t="s">
        <v>53</v>
      </c>
      <c r="G140" s="2" t="s">
        <v>54</v>
      </c>
      <c r="H140" s="17">
        <v>100</v>
      </c>
      <c r="I140" s="31">
        <f t="shared" si="12"/>
        <v>100000</v>
      </c>
      <c r="J140" s="31">
        <f t="shared" si="13"/>
        <v>7000.0000000000009</v>
      </c>
      <c r="K140" s="44">
        <f t="shared" si="14"/>
        <v>19.178082191780824</v>
      </c>
      <c r="L140" s="3">
        <f t="shared" si="15"/>
        <v>1419.178082191781</v>
      </c>
      <c r="M140" s="3">
        <f t="shared" si="16"/>
        <v>85.150684931506859</v>
      </c>
      <c r="N140" s="67">
        <f t="shared" si="17"/>
        <v>1334.027397260274</v>
      </c>
      <c r="O140" s="3"/>
      <c r="P140" s="70" t="s">
        <v>18609</v>
      </c>
      <c r="Q140" s="2" t="s">
        <v>32</v>
      </c>
      <c r="R140" s="2" t="s">
        <v>55</v>
      </c>
      <c r="T140" s="2" t="s">
        <v>18664</v>
      </c>
      <c r="U140" s="2" t="s">
        <v>18652</v>
      </c>
      <c r="V140" s="107">
        <v>45857</v>
      </c>
      <c r="W140" s="2"/>
      <c r="X140" s="97"/>
      <c r="Y140" s="75">
        <v>1334.03</v>
      </c>
    </row>
    <row r="141" spans="1:25" x14ac:dyDescent="0.25">
      <c r="A141" s="76">
        <v>136</v>
      </c>
      <c r="B141" s="2" t="s">
        <v>7179</v>
      </c>
      <c r="C141" s="2" t="s">
        <v>7180</v>
      </c>
      <c r="D141" s="2" t="s">
        <v>7181</v>
      </c>
      <c r="E141" s="2" t="s">
        <v>7182</v>
      </c>
      <c r="F141" s="2" t="s">
        <v>7183</v>
      </c>
      <c r="G141" s="2" t="s">
        <v>151</v>
      </c>
      <c r="H141" s="17">
        <v>25</v>
      </c>
      <c r="I141" s="31">
        <f t="shared" si="12"/>
        <v>25000</v>
      </c>
      <c r="J141" s="31">
        <f t="shared" si="13"/>
        <v>1750.0000000000002</v>
      </c>
      <c r="K141" s="44">
        <f t="shared" si="14"/>
        <v>4.794520547945206</v>
      </c>
      <c r="L141" s="3">
        <f t="shared" si="15"/>
        <v>354.79452054794524</v>
      </c>
      <c r="M141" s="3">
        <f t="shared" si="16"/>
        <v>21.287671232876715</v>
      </c>
      <c r="N141" s="67">
        <f t="shared" si="17"/>
        <v>333.50684931506851</v>
      </c>
      <c r="O141" s="3"/>
      <c r="P141" s="70" t="s">
        <v>18609</v>
      </c>
      <c r="Q141" s="2" t="s">
        <v>32</v>
      </c>
      <c r="R141" s="2" t="s">
        <v>7184</v>
      </c>
      <c r="T141" s="2" t="s">
        <v>18664</v>
      </c>
      <c r="U141" s="2" t="s">
        <v>18652</v>
      </c>
      <c r="V141" s="107">
        <v>45857</v>
      </c>
      <c r="W141" s="2"/>
      <c r="X141" s="97"/>
      <c r="Y141" s="75">
        <v>333.51</v>
      </c>
    </row>
    <row r="142" spans="1:25" x14ac:dyDescent="0.25">
      <c r="A142" s="76">
        <v>137</v>
      </c>
      <c r="B142" s="2" t="s">
        <v>4739</v>
      </c>
      <c r="C142" s="2" t="s">
        <v>4740</v>
      </c>
      <c r="D142" s="2" t="s">
        <v>1899</v>
      </c>
      <c r="E142" s="2" t="s">
        <v>4741</v>
      </c>
      <c r="F142" s="2" t="s">
        <v>4742</v>
      </c>
      <c r="G142" s="2" t="s">
        <v>1048</v>
      </c>
      <c r="H142" s="17">
        <v>25</v>
      </c>
      <c r="I142" s="31">
        <f t="shared" si="12"/>
        <v>25000</v>
      </c>
      <c r="J142" s="31">
        <f t="shared" si="13"/>
        <v>1750.0000000000002</v>
      </c>
      <c r="K142" s="44">
        <f t="shared" si="14"/>
        <v>4.794520547945206</v>
      </c>
      <c r="L142" s="3">
        <f t="shared" si="15"/>
        <v>354.79452054794524</v>
      </c>
      <c r="M142" s="3">
        <f t="shared" si="16"/>
        <v>21.287671232876715</v>
      </c>
      <c r="N142" s="67">
        <f t="shared" si="17"/>
        <v>333.50684931506851</v>
      </c>
      <c r="O142" s="3"/>
      <c r="P142" s="70" t="s">
        <v>18609</v>
      </c>
      <c r="Q142" s="2" t="s">
        <v>32</v>
      </c>
      <c r="R142" s="2" t="s">
        <v>4743</v>
      </c>
      <c r="T142" s="2" t="s">
        <v>18664</v>
      </c>
      <c r="U142" s="2" t="s">
        <v>18652</v>
      </c>
      <c r="V142" s="107">
        <v>45857</v>
      </c>
      <c r="W142" s="2"/>
      <c r="X142" s="97"/>
      <c r="Y142" s="75">
        <v>333.51</v>
      </c>
    </row>
    <row r="143" spans="1:25" x14ac:dyDescent="0.25">
      <c r="A143" s="76">
        <v>138</v>
      </c>
      <c r="B143" s="2" t="s">
        <v>5374</v>
      </c>
      <c r="C143" s="2" t="s">
        <v>5375</v>
      </c>
      <c r="D143" s="2" t="s">
        <v>5376</v>
      </c>
      <c r="E143" s="2" t="s">
        <v>5377</v>
      </c>
      <c r="F143" s="2" t="s">
        <v>5378</v>
      </c>
      <c r="G143" s="2" t="s">
        <v>123</v>
      </c>
      <c r="H143" s="17">
        <v>25</v>
      </c>
      <c r="I143" s="31">
        <f t="shared" si="12"/>
        <v>25000</v>
      </c>
      <c r="J143" s="31">
        <f t="shared" si="13"/>
        <v>1750.0000000000002</v>
      </c>
      <c r="K143" s="44">
        <f t="shared" si="14"/>
        <v>4.794520547945206</v>
      </c>
      <c r="L143" s="3">
        <f t="shared" si="15"/>
        <v>354.79452054794524</v>
      </c>
      <c r="M143" s="3">
        <f t="shared" si="16"/>
        <v>21.287671232876715</v>
      </c>
      <c r="N143" s="67">
        <f t="shared" si="17"/>
        <v>333.50684931506851</v>
      </c>
      <c r="O143" s="3"/>
      <c r="P143" s="70" t="s">
        <v>18609</v>
      </c>
      <c r="Q143" s="2" t="s">
        <v>32</v>
      </c>
      <c r="R143" s="2" t="s">
        <v>5379</v>
      </c>
      <c r="T143" s="2" t="s">
        <v>18664</v>
      </c>
      <c r="U143" s="2" t="s">
        <v>18652</v>
      </c>
      <c r="V143" s="107">
        <v>45857</v>
      </c>
      <c r="W143" s="2"/>
      <c r="X143" s="97"/>
      <c r="Y143" s="75">
        <v>333.51</v>
      </c>
    </row>
    <row r="144" spans="1:25" x14ac:dyDescent="0.25">
      <c r="A144" s="76">
        <v>139</v>
      </c>
      <c r="B144" s="2" t="s">
        <v>15532</v>
      </c>
      <c r="C144" s="2" t="s">
        <v>15533</v>
      </c>
      <c r="D144" s="2" t="s">
        <v>15534</v>
      </c>
      <c r="E144" s="2" t="s">
        <v>15535</v>
      </c>
      <c r="F144" s="2" t="s">
        <v>15536</v>
      </c>
      <c r="G144" s="2" t="s">
        <v>517</v>
      </c>
      <c r="H144" s="17">
        <v>50</v>
      </c>
      <c r="I144" s="31">
        <f t="shared" si="12"/>
        <v>50000</v>
      </c>
      <c r="J144" s="31">
        <f t="shared" si="13"/>
        <v>3500.0000000000005</v>
      </c>
      <c r="K144" s="44">
        <f t="shared" si="14"/>
        <v>9.589041095890412</v>
      </c>
      <c r="L144" s="3">
        <f t="shared" si="15"/>
        <v>709.58904109589048</v>
      </c>
      <c r="M144" s="3">
        <f t="shared" si="16"/>
        <v>42.57534246575343</v>
      </c>
      <c r="N144" s="67">
        <f t="shared" si="17"/>
        <v>667.01369863013701</v>
      </c>
      <c r="O144" s="3"/>
      <c r="P144" s="70" t="s">
        <v>18609</v>
      </c>
      <c r="Q144" s="2" t="s">
        <v>32</v>
      </c>
      <c r="R144" s="2" t="s">
        <v>15537</v>
      </c>
      <c r="T144" s="2" t="s">
        <v>18664</v>
      </c>
      <c r="U144" s="2" t="s">
        <v>18652</v>
      </c>
      <c r="V144" s="107">
        <v>45857</v>
      </c>
      <c r="W144" s="2"/>
      <c r="X144" s="97"/>
      <c r="Y144" s="75">
        <v>667.02</v>
      </c>
    </row>
    <row r="145" spans="1:25" x14ac:dyDescent="0.25">
      <c r="A145" s="76">
        <v>140</v>
      </c>
      <c r="B145" s="2" t="s">
        <v>12751</v>
      </c>
      <c r="C145" s="2" t="s">
        <v>12752</v>
      </c>
      <c r="D145" s="2" t="s">
        <v>3739</v>
      </c>
      <c r="E145" s="2" t="s">
        <v>12753</v>
      </c>
      <c r="F145" s="2" t="s">
        <v>12754</v>
      </c>
      <c r="G145" s="2" t="s">
        <v>510</v>
      </c>
      <c r="H145" s="17">
        <v>25</v>
      </c>
      <c r="I145" s="31">
        <f t="shared" si="12"/>
        <v>25000</v>
      </c>
      <c r="J145" s="31">
        <f t="shared" si="13"/>
        <v>1750.0000000000002</v>
      </c>
      <c r="K145" s="44">
        <f t="shared" si="14"/>
        <v>4.794520547945206</v>
      </c>
      <c r="L145" s="3">
        <f t="shared" si="15"/>
        <v>354.79452054794524</v>
      </c>
      <c r="M145" s="3">
        <f t="shared" si="16"/>
        <v>21.287671232876715</v>
      </c>
      <c r="N145" s="67">
        <f t="shared" si="17"/>
        <v>333.50684931506851</v>
      </c>
      <c r="O145" s="3"/>
      <c r="P145" s="70" t="s">
        <v>18609</v>
      </c>
      <c r="Q145" s="2" t="s">
        <v>32</v>
      </c>
      <c r="R145" s="2" t="s">
        <v>12755</v>
      </c>
      <c r="T145" s="2" t="s">
        <v>18664</v>
      </c>
      <c r="U145" s="2" t="s">
        <v>18652</v>
      </c>
      <c r="V145" s="107">
        <v>45857</v>
      </c>
      <c r="W145" s="2"/>
      <c r="X145" s="97"/>
      <c r="Y145" s="75">
        <v>333.51</v>
      </c>
    </row>
    <row r="146" spans="1:25" x14ac:dyDescent="0.25">
      <c r="A146" s="76">
        <v>141</v>
      </c>
      <c r="B146" s="2" t="s">
        <v>9322</v>
      </c>
      <c r="C146" s="2" t="s">
        <v>9323</v>
      </c>
      <c r="D146" s="2" t="s">
        <v>9324</v>
      </c>
      <c r="E146" s="2" t="s">
        <v>9325</v>
      </c>
      <c r="F146" s="2" t="s">
        <v>9326</v>
      </c>
      <c r="G146" s="2" t="s">
        <v>1570</v>
      </c>
      <c r="H146" s="17">
        <v>25</v>
      </c>
      <c r="I146" s="31">
        <f t="shared" si="12"/>
        <v>25000</v>
      </c>
      <c r="J146" s="31">
        <f t="shared" si="13"/>
        <v>1750.0000000000002</v>
      </c>
      <c r="K146" s="44">
        <f t="shared" si="14"/>
        <v>4.794520547945206</v>
      </c>
      <c r="L146" s="3">
        <f t="shared" si="15"/>
        <v>354.79452054794524</v>
      </c>
      <c r="M146" s="3">
        <f t="shared" si="16"/>
        <v>21.287671232876715</v>
      </c>
      <c r="N146" s="67">
        <f t="shared" si="17"/>
        <v>333.50684931506851</v>
      </c>
      <c r="O146" s="3"/>
      <c r="P146" s="70" t="s">
        <v>18609</v>
      </c>
      <c r="Q146" s="2" t="s">
        <v>32</v>
      </c>
      <c r="R146" s="2" t="s">
        <v>9327</v>
      </c>
      <c r="T146" s="2" t="s">
        <v>18664</v>
      </c>
      <c r="U146" s="2" t="s">
        <v>18652</v>
      </c>
      <c r="V146" s="107">
        <v>45857</v>
      </c>
      <c r="W146" s="2"/>
      <c r="X146" s="97"/>
      <c r="Y146" s="75">
        <v>333.51</v>
      </c>
    </row>
    <row r="147" spans="1:25" x14ac:dyDescent="0.25">
      <c r="A147" s="76">
        <v>142</v>
      </c>
      <c r="B147" s="2" t="s">
        <v>5008</v>
      </c>
      <c r="C147" s="2" t="s">
        <v>5009</v>
      </c>
      <c r="D147" s="2" t="s">
        <v>5010</v>
      </c>
      <c r="E147" s="2" t="s">
        <v>5011</v>
      </c>
      <c r="F147" s="2" t="s">
        <v>5012</v>
      </c>
      <c r="G147" s="2" t="s">
        <v>5013</v>
      </c>
      <c r="H147" s="17">
        <v>70</v>
      </c>
      <c r="I147" s="31">
        <f t="shared" si="12"/>
        <v>70000</v>
      </c>
      <c r="J147" s="31">
        <f t="shared" si="13"/>
        <v>4900.0000000000009</v>
      </c>
      <c r="K147" s="44">
        <f t="shared" si="14"/>
        <v>13.424657534246577</v>
      </c>
      <c r="L147" s="3">
        <f t="shared" si="15"/>
        <v>993.42465753424676</v>
      </c>
      <c r="M147" s="3">
        <f t="shared" si="16"/>
        <v>59.605479452054801</v>
      </c>
      <c r="N147" s="67">
        <f t="shared" si="17"/>
        <v>933.81917808219191</v>
      </c>
      <c r="O147" s="3"/>
      <c r="P147" s="70" t="s">
        <v>18609</v>
      </c>
      <c r="Q147" s="2" t="s">
        <v>32</v>
      </c>
      <c r="R147" s="2" t="s">
        <v>5014</v>
      </c>
      <c r="T147" s="2" t="s">
        <v>18664</v>
      </c>
      <c r="U147" s="2" t="s">
        <v>18652</v>
      </c>
      <c r="V147" s="107">
        <v>45857</v>
      </c>
      <c r="W147" s="2"/>
      <c r="X147" s="97"/>
      <c r="Y147" s="75">
        <v>933.81999999999994</v>
      </c>
    </row>
    <row r="148" spans="1:25" x14ac:dyDescent="0.25">
      <c r="A148" s="76">
        <v>143</v>
      </c>
      <c r="B148" s="2" t="s">
        <v>2170</v>
      </c>
      <c r="C148" s="2" t="s">
        <v>2171</v>
      </c>
      <c r="D148" s="2" t="s">
        <v>2172</v>
      </c>
      <c r="E148" s="2" t="s">
        <v>2173</v>
      </c>
      <c r="F148" s="2" t="s">
        <v>2174</v>
      </c>
      <c r="G148" s="2" t="s">
        <v>247</v>
      </c>
      <c r="H148" s="17">
        <v>25</v>
      </c>
      <c r="I148" s="31">
        <f t="shared" si="12"/>
        <v>25000</v>
      </c>
      <c r="J148" s="31">
        <f t="shared" si="13"/>
        <v>1750.0000000000002</v>
      </c>
      <c r="K148" s="44">
        <f t="shared" si="14"/>
        <v>4.794520547945206</v>
      </c>
      <c r="L148" s="3">
        <f t="shared" si="15"/>
        <v>354.79452054794524</v>
      </c>
      <c r="M148" s="3">
        <f t="shared" si="16"/>
        <v>21.287671232876715</v>
      </c>
      <c r="N148" s="67">
        <f t="shared" si="17"/>
        <v>333.50684931506851</v>
      </c>
      <c r="O148" s="3"/>
      <c r="P148" s="70" t="s">
        <v>18609</v>
      </c>
      <c r="Q148" s="2" t="s">
        <v>32</v>
      </c>
      <c r="R148" s="2" t="s">
        <v>2175</v>
      </c>
      <c r="T148" s="2" t="s">
        <v>18664</v>
      </c>
      <c r="U148" s="2" t="s">
        <v>18652</v>
      </c>
      <c r="V148" s="107">
        <v>45857</v>
      </c>
      <c r="W148" s="2"/>
      <c r="X148" s="97"/>
      <c r="Y148" s="75">
        <v>333.51</v>
      </c>
    </row>
    <row r="149" spans="1:25" x14ac:dyDescent="0.25">
      <c r="A149" s="76">
        <v>144</v>
      </c>
      <c r="B149" s="2" t="s">
        <v>16321</v>
      </c>
      <c r="C149" s="2" t="s">
        <v>16322</v>
      </c>
      <c r="D149" s="2" t="s">
        <v>16323</v>
      </c>
      <c r="E149" s="2" t="s">
        <v>16324</v>
      </c>
      <c r="F149" s="2" t="s">
        <v>16325</v>
      </c>
      <c r="G149" s="2" t="s">
        <v>275</v>
      </c>
      <c r="H149" s="17">
        <v>500</v>
      </c>
      <c r="I149" s="31">
        <f t="shared" si="12"/>
        <v>500000</v>
      </c>
      <c r="J149" s="31">
        <f t="shared" si="13"/>
        <v>35000</v>
      </c>
      <c r="K149" s="44">
        <f t="shared" si="14"/>
        <v>95.890410958904113</v>
      </c>
      <c r="L149" s="3">
        <f t="shared" si="15"/>
        <v>7095.8904109589039</v>
      </c>
      <c r="M149" s="3">
        <f t="shared" si="16"/>
        <v>425.7534246575342</v>
      </c>
      <c r="N149" s="67">
        <f t="shared" si="17"/>
        <v>6670.1369863013697</v>
      </c>
      <c r="O149" s="3"/>
      <c r="P149" s="70" t="s">
        <v>18609</v>
      </c>
      <c r="Q149" s="2" t="s">
        <v>32</v>
      </c>
      <c r="R149" s="2" t="s">
        <v>16326</v>
      </c>
      <c r="T149" s="2" t="s">
        <v>18664</v>
      </c>
      <c r="U149" s="2" t="s">
        <v>18652</v>
      </c>
      <c r="V149" s="107">
        <v>45857</v>
      </c>
      <c r="W149" s="2"/>
      <c r="X149" s="97"/>
      <c r="Y149" s="75">
        <v>6670.14</v>
      </c>
    </row>
    <row r="150" spans="1:25" x14ac:dyDescent="0.25">
      <c r="A150" s="76">
        <v>145</v>
      </c>
      <c r="B150" s="2" t="s">
        <v>2060</v>
      </c>
      <c r="C150" s="2" t="s">
        <v>2061</v>
      </c>
      <c r="D150" s="2" t="s">
        <v>2062</v>
      </c>
      <c r="E150" s="2" t="s">
        <v>2063</v>
      </c>
      <c r="F150" s="2" t="s">
        <v>2064</v>
      </c>
      <c r="G150" s="2" t="s">
        <v>835</v>
      </c>
      <c r="H150" s="17">
        <v>25</v>
      </c>
      <c r="I150" s="31">
        <f t="shared" si="12"/>
        <v>25000</v>
      </c>
      <c r="J150" s="31">
        <f t="shared" si="13"/>
        <v>1750.0000000000002</v>
      </c>
      <c r="K150" s="44">
        <f t="shared" si="14"/>
        <v>4.794520547945206</v>
      </c>
      <c r="L150" s="3">
        <f t="shared" si="15"/>
        <v>354.79452054794524</v>
      </c>
      <c r="M150" s="3">
        <f t="shared" si="16"/>
        <v>21.287671232876715</v>
      </c>
      <c r="N150" s="67">
        <f t="shared" si="17"/>
        <v>333.50684931506851</v>
      </c>
      <c r="O150" s="3"/>
      <c r="P150" s="70" t="s">
        <v>18609</v>
      </c>
      <c r="Q150" s="2" t="s">
        <v>32</v>
      </c>
      <c r="R150" s="2" t="s">
        <v>2065</v>
      </c>
      <c r="T150" s="2" t="s">
        <v>18664</v>
      </c>
      <c r="U150" s="2" t="s">
        <v>18652</v>
      </c>
      <c r="V150" s="107">
        <v>45857</v>
      </c>
      <c r="W150" s="2"/>
      <c r="X150" s="97"/>
      <c r="Y150" s="75">
        <v>333.51</v>
      </c>
    </row>
    <row r="151" spans="1:25" x14ac:dyDescent="0.25">
      <c r="A151" s="76">
        <v>146</v>
      </c>
      <c r="B151" s="2" t="s">
        <v>601</v>
      </c>
      <c r="C151" s="2" t="s">
        <v>602</v>
      </c>
      <c r="D151" s="2" t="s">
        <v>603</v>
      </c>
      <c r="E151" s="2" t="s">
        <v>604</v>
      </c>
      <c r="F151" s="2" t="s">
        <v>605</v>
      </c>
      <c r="G151" s="2" t="s">
        <v>61</v>
      </c>
      <c r="H151" s="17">
        <v>30</v>
      </c>
      <c r="I151" s="31">
        <f t="shared" si="12"/>
        <v>30000</v>
      </c>
      <c r="J151" s="31">
        <f t="shared" si="13"/>
        <v>2100</v>
      </c>
      <c r="K151" s="44">
        <f t="shared" si="14"/>
        <v>5.7534246575342465</v>
      </c>
      <c r="L151" s="3">
        <f t="shared" si="15"/>
        <v>425.75342465753425</v>
      </c>
      <c r="M151" s="3">
        <f t="shared" si="16"/>
        <v>25.545205479452054</v>
      </c>
      <c r="N151" s="67">
        <f t="shared" si="17"/>
        <v>400.20821917808217</v>
      </c>
      <c r="O151" s="3"/>
      <c r="P151" s="70" t="s">
        <v>18609</v>
      </c>
      <c r="Q151" s="2" t="s">
        <v>32</v>
      </c>
      <c r="R151" s="2" t="s">
        <v>606</v>
      </c>
      <c r="T151" s="2" t="s">
        <v>18664</v>
      </c>
      <c r="U151" s="2" t="s">
        <v>18652</v>
      </c>
      <c r="V151" s="107">
        <v>45857</v>
      </c>
      <c r="W151" s="2"/>
      <c r="X151" s="97"/>
      <c r="Y151" s="75">
        <v>400.21</v>
      </c>
    </row>
    <row r="152" spans="1:25" x14ac:dyDescent="0.25">
      <c r="A152" s="76">
        <v>147</v>
      </c>
      <c r="B152" s="2" t="s">
        <v>14107</v>
      </c>
      <c r="C152" s="2" t="s">
        <v>14108</v>
      </c>
      <c r="D152" s="2" t="s">
        <v>14109</v>
      </c>
      <c r="E152" s="2" t="s">
        <v>14110</v>
      </c>
      <c r="F152" s="2" t="s">
        <v>14111</v>
      </c>
      <c r="G152" s="2" t="s">
        <v>166</v>
      </c>
      <c r="H152" s="17">
        <v>25</v>
      </c>
      <c r="I152" s="31">
        <f t="shared" si="12"/>
        <v>25000</v>
      </c>
      <c r="J152" s="31">
        <f t="shared" si="13"/>
        <v>1750.0000000000002</v>
      </c>
      <c r="K152" s="44">
        <f t="shared" si="14"/>
        <v>4.794520547945206</v>
      </c>
      <c r="L152" s="3">
        <f t="shared" si="15"/>
        <v>354.79452054794524</v>
      </c>
      <c r="M152" s="3">
        <f t="shared" si="16"/>
        <v>21.287671232876715</v>
      </c>
      <c r="N152" s="67">
        <f t="shared" si="17"/>
        <v>333.50684931506851</v>
      </c>
      <c r="O152" s="3"/>
      <c r="P152" s="70" t="s">
        <v>18609</v>
      </c>
      <c r="Q152" s="2" t="s">
        <v>32</v>
      </c>
      <c r="R152" s="2" t="s">
        <v>14112</v>
      </c>
      <c r="T152" s="2" t="s">
        <v>18664</v>
      </c>
      <c r="U152" s="2" t="s">
        <v>18652</v>
      </c>
      <c r="V152" s="107">
        <v>45857</v>
      </c>
      <c r="W152" s="2"/>
      <c r="X152" s="97"/>
      <c r="Y152" s="75">
        <v>333.51</v>
      </c>
    </row>
    <row r="153" spans="1:25" x14ac:dyDescent="0.25">
      <c r="A153" s="76">
        <v>148</v>
      </c>
      <c r="B153" s="2" t="s">
        <v>15433</v>
      </c>
      <c r="C153" s="2" t="s">
        <v>15434</v>
      </c>
      <c r="D153" s="2" t="s">
        <v>15435</v>
      </c>
      <c r="E153" s="2" t="s">
        <v>15436</v>
      </c>
      <c r="F153" s="2" t="s">
        <v>15437</v>
      </c>
      <c r="G153" s="2" t="s">
        <v>247</v>
      </c>
      <c r="H153" s="17">
        <v>30</v>
      </c>
      <c r="I153" s="31">
        <f t="shared" si="12"/>
        <v>30000</v>
      </c>
      <c r="J153" s="31">
        <f t="shared" si="13"/>
        <v>2100</v>
      </c>
      <c r="K153" s="44">
        <f t="shared" si="14"/>
        <v>5.7534246575342465</v>
      </c>
      <c r="L153" s="3">
        <f t="shared" si="15"/>
        <v>425.75342465753425</v>
      </c>
      <c r="M153" s="3">
        <f t="shared" si="16"/>
        <v>25.545205479452054</v>
      </c>
      <c r="N153" s="67">
        <f t="shared" si="17"/>
        <v>400.20821917808217</v>
      </c>
      <c r="O153" s="3"/>
      <c r="P153" s="70" t="s">
        <v>18609</v>
      </c>
      <c r="Q153" s="2" t="s">
        <v>32</v>
      </c>
      <c r="R153" s="2" t="s">
        <v>15438</v>
      </c>
      <c r="T153" s="2" t="s">
        <v>18664</v>
      </c>
      <c r="U153" s="2" t="s">
        <v>18652</v>
      </c>
      <c r="V153" s="107">
        <v>45857</v>
      </c>
      <c r="W153" s="2"/>
      <c r="X153" s="97"/>
      <c r="Y153" s="75">
        <v>400.21</v>
      </c>
    </row>
    <row r="154" spans="1:25" x14ac:dyDescent="0.25">
      <c r="A154" s="76">
        <v>149</v>
      </c>
      <c r="B154" s="2" t="s">
        <v>8661</v>
      </c>
      <c r="C154" s="2" t="s">
        <v>8662</v>
      </c>
      <c r="D154" s="2" t="s">
        <v>8663</v>
      </c>
      <c r="E154" s="2" t="s">
        <v>8664</v>
      </c>
      <c r="F154" s="2" t="s">
        <v>8665</v>
      </c>
      <c r="G154" s="2" t="s">
        <v>2380</v>
      </c>
      <c r="H154" s="17">
        <v>25</v>
      </c>
      <c r="I154" s="31">
        <f t="shared" si="12"/>
        <v>25000</v>
      </c>
      <c r="J154" s="31">
        <f t="shared" si="13"/>
        <v>1750.0000000000002</v>
      </c>
      <c r="K154" s="44">
        <f t="shared" si="14"/>
        <v>4.794520547945206</v>
      </c>
      <c r="L154" s="3">
        <f t="shared" si="15"/>
        <v>354.79452054794524</v>
      </c>
      <c r="M154" s="3">
        <f t="shared" si="16"/>
        <v>21.287671232876715</v>
      </c>
      <c r="N154" s="67">
        <f t="shared" si="17"/>
        <v>333.50684931506851</v>
      </c>
      <c r="O154" s="3"/>
      <c r="P154" s="70" t="s">
        <v>18609</v>
      </c>
      <c r="Q154" s="2" t="s">
        <v>32</v>
      </c>
      <c r="R154" s="2" t="s">
        <v>8666</v>
      </c>
      <c r="T154" s="2" t="s">
        <v>18664</v>
      </c>
      <c r="U154" s="2" t="s">
        <v>18652</v>
      </c>
      <c r="V154" s="107">
        <v>45857</v>
      </c>
      <c r="W154" s="2"/>
      <c r="X154" s="97"/>
      <c r="Y154" s="75">
        <v>333.51</v>
      </c>
    </row>
    <row r="155" spans="1:25" x14ac:dyDescent="0.25">
      <c r="A155" s="76">
        <v>150</v>
      </c>
      <c r="B155" s="2" t="s">
        <v>8725</v>
      </c>
      <c r="C155" s="2" t="s">
        <v>8726</v>
      </c>
      <c r="D155" s="2" t="s">
        <v>502</v>
      </c>
      <c r="E155" s="2" t="s">
        <v>8727</v>
      </c>
      <c r="F155" s="2" t="s">
        <v>5348</v>
      </c>
      <c r="G155" s="2" t="s">
        <v>939</v>
      </c>
      <c r="H155" s="17">
        <v>25</v>
      </c>
      <c r="I155" s="31">
        <f t="shared" si="12"/>
        <v>25000</v>
      </c>
      <c r="J155" s="31">
        <f t="shared" si="13"/>
        <v>1750.0000000000002</v>
      </c>
      <c r="K155" s="44">
        <f t="shared" si="14"/>
        <v>4.794520547945206</v>
      </c>
      <c r="L155" s="3">
        <f t="shared" si="15"/>
        <v>354.79452054794524</v>
      </c>
      <c r="M155" s="3">
        <f t="shared" si="16"/>
        <v>21.287671232876715</v>
      </c>
      <c r="N155" s="67">
        <f t="shared" si="17"/>
        <v>333.50684931506851</v>
      </c>
      <c r="O155" s="3"/>
      <c r="P155" s="70" t="s">
        <v>18609</v>
      </c>
      <c r="Q155" s="2" t="s">
        <v>32</v>
      </c>
      <c r="R155" s="2" t="s">
        <v>8728</v>
      </c>
      <c r="T155" s="2" t="s">
        <v>18664</v>
      </c>
      <c r="U155" s="2" t="s">
        <v>18652</v>
      </c>
      <c r="V155" s="107">
        <v>45857</v>
      </c>
      <c r="W155" s="2"/>
      <c r="X155" s="97"/>
      <c r="Y155" s="75">
        <v>333.51</v>
      </c>
    </row>
    <row r="156" spans="1:25" x14ac:dyDescent="0.25">
      <c r="A156" s="76">
        <v>151</v>
      </c>
      <c r="B156" s="2" t="s">
        <v>10604</v>
      </c>
      <c r="C156" s="2" t="s">
        <v>10605</v>
      </c>
      <c r="D156" s="2" t="s">
        <v>10606</v>
      </c>
      <c r="E156" s="2" t="s">
        <v>10607</v>
      </c>
      <c r="F156" s="2" t="s">
        <v>10608</v>
      </c>
      <c r="G156" s="2" t="s">
        <v>939</v>
      </c>
      <c r="H156" s="17">
        <v>25</v>
      </c>
      <c r="I156" s="31">
        <f t="shared" si="12"/>
        <v>25000</v>
      </c>
      <c r="J156" s="31">
        <f t="shared" si="13"/>
        <v>1750.0000000000002</v>
      </c>
      <c r="K156" s="44">
        <f t="shared" si="14"/>
        <v>4.794520547945206</v>
      </c>
      <c r="L156" s="3">
        <f t="shared" si="15"/>
        <v>354.79452054794524</v>
      </c>
      <c r="M156" s="3">
        <f t="shared" si="16"/>
        <v>21.287671232876715</v>
      </c>
      <c r="N156" s="67">
        <f t="shared" si="17"/>
        <v>333.50684931506851</v>
      </c>
      <c r="O156" s="3"/>
      <c r="P156" s="70" t="s">
        <v>18609</v>
      </c>
      <c r="Q156" s="2" t="s">
        <v>32</v>
      </c>
      <c r="R156" s="2" t="s">
        <v>10609</v>
      </c>
      <c r="T156" s="2" t="s">
        <v>18664</v>
      </c>
      <c r="U156" s="2" t="s">
        <v>18652</v>
      </c>
      <c r="V156" s="107">
        <v>45857</v>
      </c>
      <c r="W156" s="2"/>
      <c r="X156" s="97"/>
      <c r="Y156" s="75">
        <v>333.51</v>
      </c>
    </row>
    <row r="157" spans="1:25" x14ac:dyDescent="0.25">
      <c r="A157" s="76">
        <v>152</v>
      </c>
      <c r="B157" s="2" t="s">
        <v>14711</v>
      </c>
      <c r="C157" s="2" t="s">
        <v>14712</v>
      </c>
      <c r="D157" s="2" t="s">
        <v>14713</v>
      </c>
      <c r="E157" s="2" t="s">
        <v>14714</v>
      </c>
      <c r="F157" s="2" t="s">
        <v>14715</v>
      </c>
      <c r="G157" s="2" t="s">
        <v>240</v>
      </c>
      <c r="H157" s="17">
        <v>25</v>
      </c>
      <c r="I157" s="31">
        <f t="shared" si="12"/>
        <v>25000</v>
      </c>
      <c r="J157" s="31">
        <f t="shared" si="13"/>
        <v>1750.0000000000002</v>
      </c>
      <c r="K157" s="44">
        <f t="shared" si="14"/>
        <v>4.794520547945206</v>
      </c>
      <c r="L157" s="3">
        <f t="shared" si="15"/>
        <v>354.79452054794524</v>
      </c>
      <c r="M157" s="3">
        <f t="shared" si="16"/>
        <v>21.287671232876715</v>
      </c>
      <c r="N157" s="67">
        <f t="shared" si="17"/>
        <v>333.50684931506851</v>
      </c>
      <c r="O157" s="3"/>
      <c r="P157" s="70" t="s">
        <v>18609</v>
      </c>
      <c r="Q157" s="2" t="s">
        <v>32</v>
      </c>
      <c r="R157" s="2" t="s">
        <v>14716</v>
      </c>
      <c r="T157" s="2" t="s">
        <v>18664</v>
      </c>
      <c r="U157" s="2" t="s">
        <v>18652</v>
      </c>
      <c r="V157" s="107">
        <v>45857</v>
      </c>
      <c r="W157" s="2"/>
      <c r="X157" s="97"/>
      <c r="Y157" s="75">
        <v>333.51</v>
      </c>
    </row>
    <row r="158" spans="1:25" x14ac:dyDescent="0.25">
      <c r="A158" s="76">
        <v>153</v>
      </c>
      <c r="B158" s="2" t="s">
        <v>9816</v>
      </c>
      <c r="C158" s="2" t="s">
        <v>9817</v>
      </c>
      <c r="D158" s="2" t="s">
        <v>9818</v>
      </c>
      <c r="E158" s="2" t="s">
        <v>9819</v>
      </c>
      <c r="F158" s="2" t="s">
        <v>9820</v>
      </c>
      <c r="G158" s="2" t="s">
        <v>151</v>
      </c>
      <c r="H158" s="17">
        <v>25</v>
      </c>
      <c r="I158" s="31">
        <f t="shared" si="12"/>
        <v>25000</v>
      </c>
      <c r="J158" s="31">
        <f t="shared" si="13"/>
        <v>1750.0000000000002</v>
      </c>
      <c r="K158" s="44">
        <f t="shared" si="14"/>
        <v>4.794520547945206</v>
      </c>
      <c r="L158" s="3">
        <f t="shared" si="15"/>
        <v>354.79452054794524</v>
      </c>
      <c r="M158" s="3">
        <f t="shared" si="16"/>
        <v>21.287671232876715</v>
      </c>
      <c r="N158" s="67">
        <f t="shared" si="17"/>
        <v>333.50684931506851</v>
      </c>
      <c r="O158" s="3"/>
      <c r="P158" s="70" t="s">
        <v>18609</v>
      </c>
      <c r="Q158" s="2" t="s">
        <v>32</v>
      </c>
      <c r="R158" s="2" t="s">
        <v>9821</v>
      </c>
      <c r="T158" s="2" t="s">
        <v>18664</v>
      </c>
      <c r="U158" s="2" t="s">
        <v>18652</v>
      </c>
      <c r="V158" s="107">
        <v>45857</v>
      </c>
      <c r="W158" s="2"/>
      <c r="X158" s="97"/>
      <c r="Y158" s="75">
        <v>333.51</v>
      </c>
    </row>
    <row r="159" spans="1:25" x14ac:dyDescent="0.25">
      <c r="A159" s="76">
        <v>154</v>
      </c>
      <c r="B159" s="2" t="s">
        <v>8472</v>
      </c>
      <c r="C159" s="2" t="s">
        <v>8473</v>
      </c>
      <c r="D159" s="2" t="s">
        <v>8474</v>
      </c>
      <c r="E159" s="2" t="s">
        <v>8475</v>
      </c>
      <c r="F159" s="2" t="s">
        <v>8476</v>
      </c>
      <c r="G159" s="2" t="s">
        <v>275</v>
      </c>
      <c r="H159" s="17">
        <v>25</v>
      </c>
      <c r="I159" s="31">
        <f t="shared" si="12"/>
        <v>25000</v>
      </c>
      <c r="J159" s="31">
        <f t="shared" si="13"/>
        <v>1750.0000000000002</v>
      </c>
      <c r="K159" s="44">
        <f t="shared" si="14"/>
        <v>4.794520547945206</v>
      </c>
      <c r="L159" s="3">
        <f t="shared" si="15"/>
        <v>354.79452054794524</v>
      </c>
      <c r="M159" s="3">
        <f t="shared" si="16"/>
        <v>21.287671232876715</v>
      </c>
      <c r="N159" s="67">
        <f t="shared" si="17"/>
        <v>333.50684931506851</v>
      </c>
      <c r="O159" s="3"/>
      <c r="P159" s="70" t="s">
        <v>18609</v>
      </c>
      <c r="Q159" s="2" t="s">
        <v>32</v>
      </c>
      <c r="R159" s="2" t="s">
        <v>8477</v>
      </c>
      <c r="T159" s="2" t="s">
        <v>18664</v>
      </c>
      <c r="U159" s="2" t="s">
        <v>18652</v>
      </c>
      <c r="V159" s="107">
        <v>45857</v>
      </c>
      <c r="W159" s="2"/>
      <c r="X159" s="97"/>
      <c r="Y159" s="75">
        <v>333.51</v>
      </c>
    </row>
    <row r="160" spans="1:25" x14ac:dyDescent="0.25">
      <c r="A160" s="76">
        <v>155</v>
      </c>
      <c r="B160" s="2" t="s">
        <v>17729</v>
      </c>
      <c r="C160" s="2" t="s">
        <v>17730</v>
      </c>
      <c r="D160" s="2" t="s">
        <v>17731</v>
      </c>
      <c r="E160" s="2" t="s">
        <v>17732</v>
      </c>
      <c r="F160" s="2" t="s">
        <v>17733</v>
      </c>
      <c r="G160" s="2" t="s">
        <v>31</v>
      </c>
      <c r="H160" s="17">
        <v>100</v>
      </c>
      <c r="I160" s="31">
        <f t="shared" si="12"/>
        <v>100000</v>
      </c>
      <c r="J160" s="31">
        <f t="shared" si="13"/>
        <v>7000.0000000000009</v>
      </c>
      <c r="K160" s="44">
        <f t="shared" si="14"/>
        <v>19.178082191780824</v>
      </c>
      <c r="L160" s="3">
        <f t="shared" si="15"/>
        <v>1419.178082191781</v>
      </c>
      <c r="M160" s="3">
        <f t="shared" si="16"/>
        <v>85.150684931506859</v>
      </c>
      <c r="N160" s="67">
        <f t="shared" si="17"/>
        <v>1334.027397260274</v>
      </c>
      <c r="O160" s="3"/>
      <c r="P160" s="70" t="s">
        <v>18609</v>
      </c>
      <c r="Q160" s="2" t="s">
        <v>32</v>
      </c>
      <c r="R160" s="2" t="s">
        <v>17734</v>
      </c>
      <c r="T160" s="2" t="s">
        <v>18664</v>
      </c>
      <c r="U160" s="2" t="s">
        <v>18652</v>
      </c>
      <c r="V160" s="107">
        <v>45857</v>
      </c>
      <c r="W160" s="2"/>
      <c r="X160" s="97"/>
      <c r="Y160" s="75">
        <v>1334.03</v>
      </c>
    </row>
    <row r="161" spans="1:25" x14ac:dyDescent="0.25">
      <c r="A161" s="76">
        <v>156</v>
      </c>
      <c r="B161" s="2" t="s">
        <v>3075</v>
      </c>
      <c r="C161" s="2" t="s">
        <v>3076</v>
      </c>
      <c r="D161" s="2" t="s">
        <v>3077</v>
      </c>
      <c r="E161" s="2" t="s">
        <v>3078</v>
      </c>
      <c r="F161" s="2" t="s">
        <v>3079</v>
      </c>
      <c r="G161" s="2" t="s">
        <v>1055</v>
      </c>
      <c r="H161" s="17">
        <v>25</v>
      </c>
      <c r="I161" s="31">
        <f t="shared" si="12"/>
        <v>25000</v>
      </c>
      <c r="J161" s="31">
        <f t="shared" si="13"/>
        <v>1750.0000000000002</v>
      </c>
      <c r="K161" s="44">
        <f t="shared" si="14"/>
        <v>4.794520547945206</v>
      </c>
      <c r="L161" s="3">
        <f t="shared" si="15"/>
        <v>354.79452054794524</v>
      </c>
      <c r="M161" s="3">
        <f t="shared" si="16"/>
        <v>21.287671232876715</v>
      </c>
      <c r="N161" s="67">
        <f t="shared" si="17"/>
        <v>333.50684931506851</v>
      </c>
      <c r="O161" s="3"/>
      <c r="P161" s="70" t="s">
        <v>18609</v>
      </c>
      <c r="Q161" s="2" t="s">
        <v>32</v>
      </c>
      <c r="R161" s="2" t="s">
        <v>3080</v>
      </c>
      <c r="T161" s="2" t="s">
        <v>18664</v>
      </c>
      <c r="U161" s="2" t="s">
        <v>18652</v>
      </c>
      <c r="V161" s="107">
        <v>45857</v>
      </c>
      <c r="W161" s="2"/>
      <c r="X161" s="97"/>
      <c r="Y161" s="75">
        <v>333.51</v>
      </c>
    </row>
    <row r="162" spans="1:25" x14ac:dyDescent="0.25">
      <c r="A162" s="76">
        <v>157</v>
      </c>
      <c r="B162" s="2" t="s">
        <v>17466</v>
      </c>
      <c r="C162" s="2" t="s">
        <v>17467</v>
      </c>
      <c r="D162" s="2" t="s">
        <v>17468</v>
      </c>
      <c r="E162" s="2" t="s">
        <v>17469</v>
      </c>
      <c r="F162" s="2" t="s">
        <v>17470</v>
      </c>
      <c r="G162" s="2" t="s">
        <v>643</v>
      </c>
      <c r="H162" s="17">
        <v>25</v>
      </c>
      <c r="I162" s="31">
        <f t="shared" si="12"/>
        <v>25000</v>
      </c>
      <c r="J162" s="31">
        <f t="shared" si="13"/>
        <v>1750.0000000000002</v>
      </c>
      <c r="K162" s="44">
        <f t="shared" si="14"/>
        <v>4.794520547945206</v>
      </c>
      <c r="L162" s="3">
        <f t="shared" si="15"/>
        <v>354.79452054794524</v>
      </c>
      <c r="M162" s="3">
        <f t="shared" si="16"/>
        <v>21.287671232876715</v>
      </c>
      <c r="N162" s="67">
        <f t="shared" si="17"/>
        <v>333.50684931506851</v>
      </c>
      <c r="O162" s="3"/>
      <c r="P162" s="70" t="s">
        <v>18609</v>
      </c>
      <c r="Q162" s="2" t="s">
        <v>32</v>
      </c>
      <c r="R162" s="2" t="s">
        <v>17471</v>
      </c>
      <c r="T162" s="2" t="s">
        <v>18664</v>
      </c>
      <c r="U162" s="2" t="s">
        <v>18652</v>
      </c>
      <c r="V162" s="107">
        <v>45857</v>
      </c>
      <c r="W162" s="2"/>
      <c r="X162" s="97"/>
      <c r="Y162" s="75">
        <v>333.51</v>
      </c>
    </row>
    <row r="163" spans="1:25" x14ac:dyDescent="0.25">
      <c r="A163" s="76">
        <v>158</v>
      </c>
      <c r="B163" s="2" t="s">
        <v>6758</v>
      </c>
      <c r="C163" s="2" t="s">
        <v>6759</v>
      </c>
      <c r="D163" s="2" t="s">
        <v>6760</v>
      </c>
      <c r="E163" s="2" t="s">
        <v>6761</v>
      </c>
      <c r="F163" s="2" t="s">
        <v>6762</v>
      </c>
      <c r="G163" s="2" t="s">
        <v>61</v>
      </c>
      <c r="H163" s="17">
        <v>25</v>
      </c>
      <c r="I163" s="31">
        <f t="shared" si="12"/>
        <v>25000</v>
      </c>
      <c r="J163" s="31">
        <f t="shared" si="13"/>
        <v>1750.0000000000002</v>
      </c>
      <c r="K163" s="44">
        <f t="shared" si="14"/>
        <v>4.794520547945206</v>
      </c>
      <c r="L163" s="3">
        <f t="shared" si="15"/>
        <v>354.79452054794524</v>
      </c>
      <c r="M163" s="3">
        <f t="shared" si="16"/>
        <v>21.287671232876715</v>
      </c>
      <c r="N163" s="67">
        <f t="shared" si="17"/>
        <v>333.50684931506851</v>
      </c>
      <c r="O163" s="3"/>
      <c r="P163" s="70" t="s">
        <v>18609</v>
      </c>
      <c r="Q163" s="2" t="s">
        <v>32</v>
      </c>
      <c r="R163" s="2" t="s">
        <v>6763</v>
      </c>
      <c r="T163" s="2" t="s">
        <v>18664</v>
      </c>
      <c r="U163" s="2" t="s">
        <v>18652</v>
      </c>
      <c r="V163" s="107">
        <v>45857</v>
      </c>
      <c r="W163" s="2"/>
      <c r="X163" s="97"/>
      <c r="Y163" s="75">
        <v>333.51</v>
      </c>
    </row>
    <row r="164" spans="1:25" x14ac:dyDescent="0.25">
      <c r="A164" s="76">
        <v>159</v>
      </c>
      <c r="B164" s="2" t="s">
        <v>2158</v>
      </c>
      <c r="C164" s="2" t="s">
        <v>2159</v>
      </c>
      <c r="D164" s="2" t="s">
        <v>2160</v>
      </c>
      <c r="E164" s="2" t="s">
        <v>2161</v>
      </c>
      <c r="F164" s="2" t="s">
        <v>2162</v>
      </c>
      <c r="G164" s="2" t="s">
        <v>123</v>
      </c>
      <c r="H164" s="17">
        <v>25</v>
      </c>
      <c r="I164" s="31">
        <f t="shared" si="12"/>
        <v>25000</v>
      </c>
      <c r="J164" s="31">
        <f t="shared" si="13"/>
        <v>1750.0000000000002</v>
      </c>
      <c r="K164" s="44">
        <f t="shared" si="14"/>
        <v>4.794520547945206</v>
      </c>
      <c r="L164" s="3">
        <f t="shared" si="15"/>
        <v>354.79452054794524</v>
      </c>
      <c r="M164" s="3">
        <f t="shared" si="16"/>
        <v>21.287671232876715</v>
      </c>
      <c r="N164" s="67">
        <f t="shared" si="17"/>
        <v>333.50684931506851</v>
      </c>
      <c r="O164" s="3"/>
      <c r="P164" s="70" t="s">
        <v>18609</v>
      </c>
      <c r="Q164" s="2" t="s">
        <v>32</v>
      </c>
      <c r="R164" s="2" t="s">
        <v>2163</v>
      </c>
      <c r="T164" s="2" t="s">
        <v>18664</v>
      </c>
      <c r="U164" s="2" t="s">
        <v>18652</v>
      </c>
      <c r="V164" s="107">
        <v>45857</v>
      </c>
      <c r="W164" s="2"/>
      <c r="X164" s="97"/>
      <c r="Y164" s="75">
        <v>333.51</v>
      </c>
    </row>
    <row r="165" spans="1:25" x14ac:dyDescent="0.25">
      <c r="A165" s="76">
        <v>160</v>
      </c>
      <c r="B165" s="2" t="s">
        <v>15368</v>
      </c>
      <c r="C165" s="2" t="s">
        <v>15369</v>
      </c>
      <c r="D165" s="2" t="s">
        <v>15370</v>
      </c>
      <c r="E165" s="2" t="s">
        <v>15371</v>
      </c>
      <c r="F165" s="2" t="s">
        <v>15372</v>
      </c>
      <c r="G165" s="2" t="s">
        <v>2137</v>
      </c>
      <c r="H165" s="17">
        <v>25</v>
      </c>
      <c r="I165" s="31">
        <f t="shared" si="12"/>
        <v>25000</v>
      </c>
      <c r="J165" s="31">
        <f t="shared" si="13"/>
        <v>1750.0000000000002</v>
      </c>
      <c r="K165" s="44">
        <f t="shared" si="14"/>
        <v>4.794520547945206</v>
      </c>
      <c r="L165" s="3">
        <f t="shared" si="15"/>
        <v>354.79452054794524</v>
      </c>
      <c r="M165" s="3">
        <f t="shared" si="16"/>
        <v>21.287671232876715</v>
      </c>
      <c r="N165" s="67">
        <f t="shared" si="17"/>
        <v>333.50684931506851</v>
      </c>
      <c r="O165" s="3"/>
      <c r="P165" s="70" t="s">
        <v>18609</v>
      </c>
      <c r="Q165" s="2" t="s">
        <v>32</v>
      </c>
      <c r="R165" s="2" t="s">
        <v>15373</v>
      </c>
      <c r="T165" s="2" t="s">
        <v>18664</v>
      </c>
      <c r="U165" s="2" t="s">
        <v>18652</v>
      </c>
      <c r="V165" s="107">
        <v>45857</v>
      </c>
      <c r="W165" s="2"/>
      <c r="X165" s="97"/>
      <c r="Y165" s="75">
        <v>333.51</v>
      </c>
    </row>
    <row r="166" spans="1:25" x14ac:dyDescent="0.25">
      <c r="A166" s="76">
        <v>161</v>
      </c>
      <c r="B166" s="2" t="s">
        <v>13909</v>
      </c>
      <c r="C166" s="2" t="s">
        <v>13910</v>
      </c>
      <c r="D166" s="2" t="s">
        <v>13911</v>
      </c>
      <c r="E166" s="2" t="s">
        <v>13912</v>
      </c>
      <c r="F166" s="2" t="s">
        <v>13913</v>
      </c>
      <c r="G166" s="2" t="s">
        <v>31</v>
      </c>
      <c r="H166" s="17">
        <v>750</v>
      </c>
      <c r="I166" s="31">
        <f t="shared" si="12"/>
        <v>750000</v>
      </c>
      <c r="J166" s="31">
        <f t="shared" si="13"/>
        <v>52500.000000000007</v>
      </c>
      <c r="K166" s="44">
        <f t="shared" si="14"/>
        <v>143.8356164383562</v>
      </c>
      <c r="L166" s="3">
        <f t="shared" si="15"/>
        <v>10643.835616438359</v>
      </c>
      <c r="M166" s="3">
        <f t="shared" si="16"/>
        <v>638.63013698630152</v>
      </c>
      <c r="N166" s="67">
        <f t="shared" si="17"/>
        <v>10005.205479452057</v>
      </c>
      <c r="O166" s="3"/>
      <c r="P166" s="70" t="s">
        <v>18609</v>
      </c>
      <c r="Q166" s="2" t="s">
        <v>32</v>
      </c>
      <c r="R166" s="2" t="s">
        <v>13914</v>
      </c>
      <c r="T166" s="2" t="s">
        <v>18664</v>
      </c>
      <c r="U166" s="2" t="s">
        <v>18652</v>
      </c>
      <c r="V166" s="107">
        <v>45857</v>
      </c>
      <c r="W166" s="2"/>
      <c r="X166" s="97"/>
      <c r="Y166" s="75">
        <v>10005.210000000001</v>
      </c>
    </row>
    <row r="167" spans="1:25" x14ac:dyDescent="0.25">
      <c r="A167" s="76">
        <v>162</v>
      </c>
      <c r="B167" s="2" t="s">
        <v>4854</v>
      </c>
      <c r="C167" s="2" t="s">
        <v>4855</v>
      </c>
      <c r="D167" s="2" t="s">
        <v>4856</v>
      </c>
      <c r="E167" s="2" t="s">
        <v>4857</v>
      </c>
      <c r="F167" s="2" t="s">
        <v>4858</v>
      </c>
      <c r="G167" s="2" t="s">
        <v>74</v>
      </c>
      <c r="H167" s="17">
        <v>25</v>
      </c>
      <c r="I167" s="31">
        <f t="shared" si="12"/>
        <v>25000</v>
      </c>
      <c r="J167" s="31">
        <f t="shared" si="13"/>
        <v>1750.0000000000002</v>
      </c>
      <c r="K167" s="44">
        <f t="shared" si="14"/>
        <v>4.794520547945206</v>
      </c>
      <c r="L167" s="3">
        <f t="shared" si="15"/>
        <v>354.79452054794524</v>
      </c>
      <c r="M167" s="3">
        <f t="shared" si="16"/>
        <v>21.287671232876715</v>
      </c>
      <c r="N167" s="67">
        <f t="shared" si="17"/>
        <v>333.50684931506851</v>
      </c>
      <c r="O167" s="3"/>
      <c r="P167" s="70" t="s">
        <v>18609</v>
      </c>
      <c r="Q167" s="2" t="s">
        <v>32</v>
      </c>
      <c r="R167" s="2" t="s">
        <v>4859</v>
      </c>
      <c r="T167" s="2" t="s">
        <v>18664</v>
      </c>
      <c r="U167" s="2" t="s">
        <v>18652</v>
      </c>
      <c r="V167" s="107">
        <v>45857</v>
      </c>
      <c r="W167" s="2"/>
      <c r="X167" s="97"/>
      <c r="Y167" s="75">
        <v>333.51</v>
      </c>
    </row>
    <row r="168" spans="1:25" x14ac:dyDescent="0.25">
      <c r="A168" s="76">
        <v>163</v>
      </c>
      <c r="B168" s="2" t="s">
        <v>15553</v>
      </c>
      <c r="C168" s="2" t="s">
        <v>15554</v>
      </c>
      <c r="D168" s="2" t="s">
        <v>15555</v>
      </c>
      <c r="E168" s="2" t="s">
        <v>15556</v>
      </c>
      <c r="F168" s="2" t="s">
        <v>15557</v>
      </c>
      <c r="G168" s="2" t="s">
        <v>158</v>
      </c>
      <c r="H168" s="17">
        <v>100</v>
      </c>
      <c r="I168" s="31">
        <f t="shared" si="12"/>
        <v>100000</v>
      </c>
      <c r="J168" s="31">
        <f t="shared" si="13"/>
        <v>7000.0000000000009</v>
      </c>
      <c r="K168" s="44">
        <f t="shared" si="14"/>
        <v>19.178082191780824</v>
      </c>
      <c r="L168" s="3">
        <f t="shared" si="15"/>
        <v>1419.178082191781</v>
      </c>
      <c r="M168" s="3">
        <f t="shared" si="16"/>
        <v>85.150684931506859</v>
      </c>
      <c r="N168" s="67">
        <f t="shared" si="17"/>
        <v>1334.027397260274</v>
      </c>
      <c r="O168" s="3"/>
      <c r="P168" s="70" t="s">
        <v>18609</v>
      </c>
      <c r="Q168" s="2" t="s">
        <v>32</v>
      </c>
      <c r="R168" s="2" t="s">
        <v>15558</v>
      </c>
      <c r="T168" s="2" t="s">
        <v>18664</v>
      </c>
      <c r="U168" s="2" t="s">
        <v>18652</v>
      </c>
      <c r="V168" s="107">
        <v>45857</v>
      </c>
      <c r="W168" s="2"/>
      <c r="X168" s="97"/>
      <c r="Y168" s="75">
        <v>1334.03</v>
      </c>
    </row>
    <row r="169" spans="1:25" x14ac:dyDescent="0.25">
      <c r="A169" s="76">
        <v>164</v>
      </c>
      <c r="B169" s="2" t="s">
        <v>8765</v>
      </c>
      <c r="C169" s="2" t="s">
        <v>8766</v>
      </c>
      <c r="D169" s="2" t="s">
        <v>8767</v>
      </c>
      <c r="E169" s="2" t="s">
        <v>8768</v>
      </c>
      <c r="F169" s="2" t="s">
        <v>8769</v>
      </c>
      <c r="G169" s="2" t="s">
        <v>2380</v>
      </c>
      <c r="H169" s="17">
        <v>25</v>
      </c>
      <c r="I169" s="31">
        <f t="shared" si="12"/>
        <v>25000</v>
      </c>
      <c r="J169" s="31">
        <f t="shared" si="13"/>
        <v>1750.0000000000002</v>
      </c>
      <c r="K169" s="44">
        <f t="shared" si="14"/>
        <v>4.794520547945206</v>
      </c>
      <c r="L169" s="3">
        <f t="shared" si="15"/>
        <v>354.79452054794524</v>
      </c>
      <c r="M169" s="3">
        <f t="shared" si="16"/>
        <v>21.287671232876715</v>
      </c>
      <c r="N169" s="67">
        <f t="shared" si="17"/>
        <v>333.50684931506851</v>
      </c>
      <c r="O169" s="3"/>
      <c r="P169" s="70" t="s">
        <v>18609</v>
      </c>
      <c r="Q169" s="2" t="s">
        <v>32</v>
      </c>
      <c r="R169" s="2" t="s">
        <v>8770</v>
      </c>
      <c r="T169" s="2" t="s">
        <v>18664</v>
      </c>
      <c r="U169" s="2" t="s">
        <v>18652</v>
      </c>
      <c r="V169" s="107">
        <v>45857</v>
      </c>
      <c r="W169" s="2"/>
      <c r="X169" s="97"/>
      <c r="Y169" s="75">
        <v>333.51</v>
      </c>
    </row>
    <row r="170" spans="1:25" x14ac:dyDescent="0.25">
      <c r="A170" s="76">
        <v>165</v>
      </c>
      <c r="B170" s="2" t="s">
        <v>6000</v>
      </c>
      <c r="C170" s="2" t="s">
        <v>6001</v>
      </c>
      <c r="D170" s="2" t="s">
        <v>6002</v>
      </c>
      <c r="E170" s="2" t="s">
        <v>6003</v>
      </c>
      <c r="F170" s="2" t="s">
        <v>6004</v>
      </c>
      <c r="G170" s="2" t="s">
        <v>166</v>
      </c>
      <c r="H170" s="17">
        <v>100</v>
      </c>
      <c r="I170" s="31">
        <f t="shared" si="12"/>
        <v>100000</v>
      </c>
      <c r="J170" s="31">
        <f t="shared" si="13"/>
        <v>7000.0000000000009</v>
      </c>
      <c r="K170" s="44">
        <f t="shared" si="14"/>
        <v>19.178082191780824</v>
      </c>
      <c r="L170" s="3">
        <f t="shared" si="15"/>
        <v>1419.178082191781</v>
      </c>
      <c r="M170" s="3">
        <f t="shared" si="16"/>
        <v>85.150684931506859</v>
      </c>
      <c r="N170" s="67">
        <f t="shared" si="17"/>
        <v>1334.027397260274</v>
      </c>
      <c r="O170" s="3"/>
      <c r="P170" s="70" t="s">
        <v>18609</v>
      </c>
      <c r="Q170" s="2" t="s">
        <v>32</v>
      </c>
      <c r="R170" s="2" t="s">
        <v>6005</v>
      </c>
      <c r="T170" s="2" t="s">
        <v>18664</v>
      </c>
      <c r="U170" s="2" t="s">
        <v>18652</v>
      </c>
      <c r="V170" s="107">
        <v>45857</v>
      </c>
      <c r="W170" s="2"/>
      <c r="X170" s="97"/>
      <c r="Y170" s="75">
        <v>1334.03</v>
      </c>
    </row>
    <row r="171" spans="1:25" x14ac:dyDescent="0.25">
      <c r="A171" s="76">
        <v>166</v>
      </c>
      <c r="B171" s="2" t="s">
        <v>6384</v>
      </c>
      <c r="C171" s="2" t="s">
        <v>6385</v>
      </c>
      <c r="D171" s="2" t="s">
        <v>6386</v>
      </c>
      <c r="E171" s="2" t="s">
        <v>6387</v>
      </c>
      <c r="F171" s="2" t="s">
        <v>6388</v>
      </c>
      <c r="G171" s="2" t="s">
        <v>2137</v>
      </c>
      <c r="H171" s="17">
        <v>25</v>
      </c>
      <c r="I171" s="31">
        <f t="shared" si="12"/>
        <v>25000</v>
      </c>
      <c r="J171" s="31">
        <f t="shared" si="13"/>
        <v>1750.0000000000002</v>
      </c>
      <c r="K171" s="44">
        <f t="shared" si="14"/>
        <v>4.794520547945206</v>
      </c>
      <c r="L171" s="3">
        <f t="shared" si="15"/>
        <v>354.79452054794524</v>
      </c>
      <c r="M171" s="3">
        <f t="shared" si="16"/>
        <v>21.287671232876715</v>
      </c>
      <c r="N171" s="67">
        <f t="shared" si="17"/>
        <v>333.50684931506851</v>
      </c>
      <c r="O171" s="3"/>
      <c r="P171" s="70" t="s">
        <v>18609</v>
      </c>
      <c r="Q171" s="2" t="s">
        <v>32</v>
      </c>
      <c r="R171" s="2" t="s">
        <v>6389</v>
      </c>
      <c r="T171" s="2" t="s">
        <v>18664</v>
      </c>
      <c r="U171" s="2" t="s">
        <v>18652</v>
      </c>
      <c r="V171" s="107">
        <v>45857</v>
      </c>
      <c r="W171" s="2"/>
      <c r="X171" s="97"/>
      <c r="Y171" s="75">
        <v>333.51</v>
      </c>
    </row>
    <row r="172" spans="1:25" x14ac:dyDescent="0.25">
      <c r="A172" s="76">
        <v>167</v>
      </c>
      <c r="B172" s="2" t="s">
        <v>15873</v>
      </c>
      <c r="C172" s="2" t="s">
        <v>421</v>
      </c>
      <c r="D172" s="2" t="s">
        <v>15874</v>
      </c>
      <c r="E172" s="2" t="s">
        <v>15875</v>
      </c>
      <c r="F172" s="2" t="s">
        <v>15876</v>
      </c>
      <c r="G172" s="2" t="s">
        <v>412</v>
      </c>
      <c r="H172" s="17">
        <v>25</v>
      </c>
      <c r="I172" s="31">
        <f t="shared" si="12"/>
        <v>25000</v>
      </c>
      <c r="J172" s="31">
        <f t="shared" si="13"/>
        <v>1750.0000000000002</v>
      </c>
      <c r="K172" s="44">
        <f t="shared" si="14"/>
        <v>4.794520547945206</v>
      </c>
      <c r="L172" s="3">
        <f t="shared" si="15"/>
        <v>354.79452054794524</v>
      </c>
      <c r="M172" s="3">
        <f t="shared" si="16"/>
        <v>21.287671232876715</v>
      </c>
      <c r="N172" s="67">
        <f t="shared" si="17"/>
        <v>333.50684931506851</v>
      </c>
      <c r="O172" s="3"/>
      <c r="P172" s="70" t="s">
        <v>18609</v>
      </c>
      <c r="Q172" s="2" t="s">
        <v>32</v>
      </c>
      <c r="R172" s="2" t="s">
        <v>15877</v>
      </c>
      <c r="T172" s="2" t="s">
        <v>18664</v>
      </c>
      <c r="U172" s="2" t="s">
        <v>18652</v>
      </c>
      <c r="V172" s="107">
        <v>45857</v>
      </c>
      <c r="W172" s="2"/>
      <c r="X172" s="97"/>
      <c r="Y172" s="75">
        <v>333.51</v>
      </c>
    </row>
    <row r="173" spans="1:25" x14ac:dyDescent="0.25">
      <c r="A173" s="76">
        <v>168</v>
      </c>
      <c r="B173" s="2" t="s">
        <v>17818</v>
      </c>
      <c r="C173" s="2" t="s">
        <v>17819</v>
      </c>
      <c r="D173" s="2" t="s">
        <v>17820</v>
      </c>
      <c r="E173" s="2" t="s">
        <v>17821</v>
      </c>
      <c r="F173" s="2" t="s">
        <v>17822</v>
      </c>
      <c r="G173" s="2" t="s">
        <v>618</v>
      </c>
      <c r="H173" s="17">
        <v>25</v>
      </c>
      <c r="I173" s="31">
        <f t="shared" si="12"/>
        <v>25000</v>
      </c>
      <c r="J173" s="31">
        <f t="shared" si="13"/>
        <v>1750.0000000000002</v>
      </c>
      <c r="K173" s="44">
        <f t="shared" si="14"/>
        <v>4.794520547945206</v>
      </c>
      <c r="L173" s="3">
        <f t="shared" si="15"/>
        <v>354.79452054794524</v>
      </c>
      <c r="M173" s="3">
        <f t="shared" si="16"/>
        <v>21.287671232876715</v>
      </c>
      <c r="N173" s="67">
        <f t="shared" si="17"/>
        <v>333.50684931506851</v>
      </c>
      <c r="O173" s="3"/>
      <c r="P173" s="70" t="s">
        <v>18609</v>
      </c>
      <c r="Q173" s="2" t="s">
        <v>32</v>
      </c>
      <c r="R173" s="2" t="s">
        <v>17823</v>
      </c>
      <c r="T173" s="2" t="s">
        <v>18664</v>
      </c>
      <c r="U173" s="2" t="s">
        <v>18652</v>
      </c>
      <c r="V173" s="107">
        <v>45857</v>
      </c>
      <c r="W173" s="2"/>
      <c r="X173" s="97"/>
      <c r="Y173" s="75">
        <v>333.51</v>
      </c>
    </row>
    <row r="174" spans="1:25" x14ac:dyDescent="0.25">
      <c r="A174" s="76">
        <v>169</v>
      </c>
      <c r="B174" s="2" t="s">
        <v>16763</v>
      </c>
      <c r="C174" s="2" t="s">
        <v>16764</v>
      </c>
      <c r="D174" s="2" t="s">
        <v>16765</v>
      </c>
      <c r="E174" s="2" t="s">
        <v>16766</v>
      </c>
      <c r="F174" s="2" t="s">
        <v>16767</v>
      </c>
      <c r="G174" s="2" t="s">
        <v>2380</v>
      </c>
      <c r="H174" s="17">
        <v>50</v>
      </c>
      <c r="I174" s="31">
        <f t="shared" si="12"/>
        <v>50000</v>
      </c>
      <c r="J174" s="31">
        <f t="shared" si="13"/>
        <v>3500.0000000000005</v>
      </c>
      <c r="K174" s="44">
        <f t="shared" si="14"/>
        <v>9.589041095890412</v>
      </c>
      <c r="L174" s="3">
        <f t="shared" si="15"/>
        <v>709.58904109589048</v>
      </c>
      <c r="M174" s="3">
        <f t="shared" si="16"/>
        <v>42.57534246575343</v>
      </c>
      <c r="N174" s="67">
        <f t="shared" si="17"/>
        <v>667.01369863013701</v>
      </c>
      <c r="O174" s="3"/>
      <c r="P174" s="70" t="s">
        <v>18609</v>
      </c>
      <c r="Q174" s="2" t="s">
        <v>32</v>
      </c>
      <c r="R174" s="2" t="s">
        <v>16768</v>
      </c>
      <c r="T174" s="2" t="s">
        <v>18664</v>
      </c>
      <c r="U174" s="2" t="s">
        <v>18652</v>
      </c>
      <c r="V174" s="107">
        <v>45857</v>
      </c>
      <c r="W174" s="2"/>
      <c r="X174" s="97"/>
      <c r="Y174" s="75">
        <v>667.02</v>
      </c>
    </row>
    <row r="175" spans="1:25" x14ac:dyDescent="0.25">
      <c r="A175" s="76">
        <v>170</v>
      </c>
      <c r="B175" s="2" t="s">
        <v>14454</v>
      </c>
      <c r="C175" s="2" t="s">
        <v>14455</v>
      </c>
      <c r="D175" s="2" t="s">
        <v>14456</v>
      </c>
      <c r="E175" s="2" t="s">
        <v>14457</v>
      </c>
      <c r="F175" s="2" t="s">
        <v>14458</v>
      </c>
      <c r="G175" s="2" t="s">
        <v>2380</v>
      </c>
      <c r="H175" s="17">
        <v>25</v>
      </c>
      <c r="I175" s="31">
        <f t="shared" si="12"/>
        <v>25000</v>
      </c>
      <c r="J175" s="31">
        <f t="shared" si="13"/>
        <v>1750.0000000000002</v>
      </c>
      <c r="K175" s="44">
        <f t="shared" si="14"/>
        <v>4.794520547945206</v>
      </c>
      <c r="L175" s="3">
        <f t="shared" si="15"/>
        <v>354.79452054794524</v>
      </c>
      <c r="M175" s="3">
        <f t="shared" si="16"/>
        <v>21.287671232876715</v>
      </c>
      <c r="N175" s="67">
        <f t="shared" si="17"/>
        <v>333.50684931506851</v>
      </c>
      <c r="O175" s="3"/>
      <c r="P175" s="70" t="s">
        <v>18609</v>
      </c>
      <c r="Q175" s="2" t="s">
        <v>32</v>
      </c>
      <c r="R175" s="2" t="s">
        <v>14459</v>
      </c>
      <c r="T175" s="2" t="s">
        <v>18664</v>
      </c>
      <c r="U175" s="2" t="s">
        <v>18652</v>
      </c>
      <c r="V175" s="107">
        <v>45857</v>
      </c>
      <c r="W175" s="2"/>
      <c r="X175" s="97"/>
      <c r="Y175" s="75">
        <v>333.51</v>
      </c>
    </row>
    <row r="176" spans="1:25" x14ac:dyDescent="0.25">
      <c r="A176" s="76">
        <v>171</v>
      </c>
      <c r="B176" s="2" t="s">
        <v>6740</v>
      </c>
      <c r="C176" s="2" t="s">
        <v>6741</v>
      </c>
      <c r="D176" s="2" t="s">
        <v>6742</v>
      </c>
      <c r="E176" s="2" t="s">
        <v>6743</v>
      </c>
      <c r="F176" s="2" t="s">
        <v>6744</v>
      </c>
      <c r="G176" s="2" t="s">
        <v>2380</v>
      </c>
      <c r="H176" s="17">
        <v>30</v>
      </c>
      <c r="I176" s="31">
        <f t="shared" si="12"/>
        <v>30000</v>
      </c>
      <c r="J176" s="31">
        <f t="shared" si="13"/>
        <v>2100</v>
      </c>
      <c r="K176" s="44">
        <f t="shared" si="14"/>
        <v>5.7534246575342465</v>
      </c>
      <c r="L176" s="3">
        <f t="shared" si="15"/>
        <v>425.75342465753425</v>
      </c>
      <c r="M176" s="3">
        <f t="shared" si="16"/>
        <v>25.545205479452054</v>
      </c>
      <c r="N176" s="67">
        <f t="shared" si="17"/>
        <v>400.20821917808217</v>
      </c>
      <c r="O176" s="3"/>
      <c r="P176" s="70" t="s">
        <v>18609</v>
      </c>
      <c r="Q176" s="2" t="s">
        <v>32</v>
      </c>
      <c r="R176" s="2" t="s">
        <v>6745</v>
      </c>
      <c r="T176" s="2" t="s">
        <v>18664</v>
      </c>
      <c r="U176" s="2" t="s">
        <v>18652</v>
      </c>
      <c r="V176" s="107">
        <v>45857</v>
      </c>
      <c r="W176" s="2"/>
      <c r="X176" s="97"/>
      <c r="Y176" s="75">
        <v>400.21</v>
      </c>
    </row>
    <row r="177" spans="1:25" x14ac:dyDescent="0.25">
      <c r="A177" s="76">
        <v>172</v>
      </c>
      <c r="B177" s="2" t="s">
        <v>5250</v>
      </c>
      <c r="C177" s="2" t="s">
        <v>5251</v>
      </c>
      <c r="D177" s="2" t="s">
        <v>5252</v>
      </c>
      <c r="E177" s="2" t="s">
        <v>5253</v>
      </c>
      <c r="F177" s="2" t="s">
        <v>5254</v>
      </c>
      <c r="G177" s="2" t="s">
        <v>282</v>
      </c>
      <c r="H177" s="17">
        <v>25</v>
      </c>
      <c r="I177" s="31">
        <f t="shared" si="12"/>
        <v>25000</v>
      </c>
      <c r="J177" s="31">
        <f t="shared" si="13"/>
        <v>1750.0000000000002</v>
      </c>
      <c r="K177" s="44">
        <f t="shared" si="14"/>
        <v>4.794520547945206</v>
      </c>
      <c r="L177" s="3">
        <f t="shared" si="15"/>
        <v>354.79452054794524</v>
      </c>
      <c r="M177" s="3">
        <f t="shared" si="16"/>
        <v>21.287671232876715</v>
      </c>
      <c r="N177" s="67">
        <f t="shared" si="17"/>
        <v>333.50684931506851</v>
      </c>
      <c r="O177" s="3"/>
      <c r="P177" s="70" t="s">
        <v>18609</v>
      </c>
      <c r="Q177" s="2" t="s">
        <v>32</v>
      </c>
      <c r="R177" s="2" t="s">
        <v>5255</v>
      </c>
      <c r="T177" s="2" t="s">
        <v>18664</v>
      </c>
      <c r="U177" s="2" t="s">
        <v>18652</v>
      </c>
      <c r="V177" s="107">
        <v>45857</v>
      </c>
      <c r="W177" s="2"/>
      <c r="X177" s="97"/>
      <c r="Y177" s="75">
        <v>333.51</v>
      </c>
    </row>
    <row r="178" spans="1:25" x14ac:dyDescent="0.25">
      <c r="A178" s="76">
        <v>173</v>
      </c>
      <c r="B178" s="2" t="s">
        <v>5338</v>
      </c>
      <c r="C178" s="2" t="s">
        <v>5339</v>
      </c>
      <c r="D178" s="2" t="s">
        <v>5340</v>
      </c>
      <c r="E178" s="2" t="s">
        <v>5341</v>
      </c>
      <c r="F178" s="2" t="s">
        <v>5342</v>
      </c>
      <c r="G178" s="2" t="s">
        <v>247</v>
      </c>
      <c r="H178" s="17">
        <v>25</v>
      </c>
      <c r="I178" s="31">
        <f t="shared" si="12"/>
        <v>25000</v>
      </c>
      <c r="J178" s="31">
        <f t="shared" si="13"/>
        <v>1750.0000000000002</v>
      </c>
      <c r="K178" s="44">
        <f t="shared" si="14"/>
        <v>4.794520547945206</v>
      </c>
      <c r="L178" s="3">
        <f t="shared" si="15"/>
        <v>354.79452054794524</v>
      </c>
      <c r="M178" s="3">
        <f t="shared" si="16"/>
        <v>21.287671232876715</v>
      </c>
      <c r="N178" s="67">
        <f t="shared" si="17"/>
        <v>333.50684931506851</v>
      </c>
      <c r="O178" s="3"/>
      <c r="P178" s="70" t="s">
        <v>18609</v>
      </c>
      <c r="Q178" s="2" t="s">
        <v>32</v>
      </c>
      <c r="R178" s="2" t="s">
        <v>5343</v>
      </c>
      <c r="T178" s="2" t="s">
        <v>18664</v>
      </c>
      <c r="U178" s="2" t="s">
        <v>18652</v>
      </c>
      <c r="V178" s="107">
        <v>45857</v>
      </c>
      <c r="W178" s="2"/>
      <c r="X178" s="97"/>
      <c r="Y178" s="75">
        <v>333.51</v>
      </c>
    </row>
    <row r="179" spans="1:25" x14ac:dyDescent="0.25">
      <c r="A179" s="76">
        <v>174</v>
      </c>
      <c r="B179" s="2" t="s">
        <v>17018</v>
      </c>
      <c r="C179" s="2" t="s">
        <v>17019</v>
      </c>
      <c r="D179" s="2" t="s">
        <v>17020</v>
      </c>
      <c r="E179" s="2" t="s">
        <v>17021</v>
      </c>
      <c r="F179" s="2" t="s">
        <v>17022</v>
      </c>
      <c r="G179" s="2" t="s">
        <v>5922</v>
      </c>
      <c r="H179" s="17">
        <v>25</v>
      </c>
      <c r="I179" s="31">
        <f t="shared" si="12"/>
        <v>25000</v>
      </c>
      <c r="J179" s="31">
        <f t="shared" si="13"/>
        <v>1750.0000000000002</v>
      </c>
      <c r="K179" s="44">
        <f t="shared" si="14"/>
        <v>4.794520547945206</v>
      </c>
      <c r="L179" s="3">
        <f t="shared" si="15"/>
        <v>354.79452054794524</v>
      </c>
      <c r="M179" s="3">
        <f t="shared" si="16"/>
        <v>21.287671232876715</v>
      </c>
      <c r="N179" s="67">
        <f t="shared" si="17"/>
        <v>333.50684931506851</v>
      </c>
      <c r="O179" s="3"/>
      <c r="P179" s="70" t="s">
        <v>18609</v>
      </c>
      <c r="Q179" s="2" t="s">
        <v>32</v>
      </c>
      <c r="R179" s="2" t="s">
        <v>17023</v>
      </c>
      <c r="T179" s="2" t="s">
        <v>18664</v>
      </c>
      <c r="U179" s="2" t="s">
        <v>18652</v>
      </c>
      <c r="V179" s="107">
        <v>45857</v>
      </c>
      <c r="W179" s="2"/>
      <c r="X179" s="97"/>
      <c r="Y179" s="75">
        <v>333.51</v>
      </c>
    </row>
    <row r="180" spans="1:25" x14ac:dyDescent="0.25">
      <c r="A180" s="76">
        <v>175</v>
      </c>
      <c r="B180" s="2" t="s">
        <v>14589</v>
      </c>
      <c r="C180" s="2" t="s">
        <v>14590</v>
      </c>
      <c r="D180" s="2" t="s">
        <v>14591</v>
      </c>
      <c r="E180" s="2" t="s">
        <v>14592</v>
      </c>
      <c r="F180" s="2" t="s">
        <v>14593</v>
      </c>
      <c r="G180" s="2" t="s">
        <v>268</v>
      </c>
      <c r="H180" s="17">
        <v>30</v>
      </c>
      <c r="I180" s="31">
        <f t="shared" si="12"/>
        <v>30000</v>
      </c>
      <c r="J180" s="31">
        <f t="shared" si="13"/>
        <v>2100</v>
      </c>
      <c r="K180" s="44">
        <f t="shared" si="14"/>
        <v>5.7534246575342465</v>
      </c>
      <c r="L180" s="3">
        <f t="shared" si="15"/>
        <v>425.75342465753425</v>
      </c>
      <c r="M180" s="3">
        <f t="shared" si="16"/>
        <v>25.545205479452054</v>
      </c>
      <c r="N180" s="67">
        <f t="shared" si="17"/>
        <v>400.20821917808217</v>
      </c>
      <c r="O180" s="3"/>
      <c r="P180" s="70" t="s">
        <v>18609</v>
      </c>
      <c r="Q180" s="2" t="s">
        <v>32</v>
      </c>
      <c r="R180" s="2" t="s">
        <v>14594</v>
      </c>
      <c r="T180" s="2" t="s">
        <v>18664</v>
      </c>
      <c r="U180" s="2" t="s">
        <v>18652</v>
      </c>
      <c r="V180" s="107">
        <v>45857</v>
      </c>
      <c r="W180" s="2"/>
      <c r="X180" s="97"/>
      <c r="Y180" s="75">
        <v>400.21</v>
      </c>
    </row>
    <row r="181" spans="1:25" x14ac:dyDescent="0.25">
      <c r="A181" s="76">
        <v>176</v>
      </c>
      <c r="B181" s="2" t="s">
        <v>526</v>
      </c>
      <c r="C181" s="2" t="s">
        <v>527</v>
      </c>
      <c r="D181" s="2" t="s">
        <v>528</v>
      </c>
      <c r="E181" s="2" t="s">
        <v>529</v>
      </c>
      <c r="F181" s="2" t="s">
        <v>530</v>
      </c>
      <c r="G181" s="2" t="s">
        <v>412</v>
      </c>
      <c r="H181" s="17">
        <v>30</v>
      </c>
      <c r="I181" s="31">
        <f t="shared" si="12"/>
        <v>30000</v>
      </c>
      <c r="J181" s="31">
        <f t="shared" si="13"/>
        <v>2100</v>
      </c>
      <c r="K181" s="44">
        <f t="shared" si="14"/>
        <v>5.7534246575342465</v>
      </c>
      <c r="L181" s="3">
        <f t="shared" si="15"/>
        <v>425.75342465753425</v>
      </c>
      <c r="M181" s="3">
        <f t="shared" si="16"/>
        <v>25.545205479452054</v>
      </c>
      <c r="N181" s="67">
        <f t="shared" si="17"/>
        <v>400.20821917808217</v>
      </c>
      <c r="O181" s="3"/>
      <c r="P181" s="70" t="s">
        <v>18609</v>
      </c>
      <c r="Q181" s="2" t="s">
        <v>32</v>
      </c>
      <c r="R181" s="2" t="s">
        <v>531</v>
      </c>
      <c r="T181" s="2" t="s">
        <v>18664</v>
      </c>
      <c r="U181" s="2" t="s">
        <v>18652</v>
      </c>
      <c r="V181" s="107">
        <v>45857</v>
      </c>
      <c r="W181" s="2"/>
      <c r="X181" s="97"/>
      <c r="Y181" s="75">
        <v>400.21</v>
      </c>
    </row>
    <row r="182" spans="1:25" x14ac:dyDescent="0.25">
      <c r="A182" s="76">
        <v>177</v>
      </c>
      <c r="B182" s="2" t="s">
        <v>13605</v>
      </c>
      <c r="C182" s="2" t="s">
        <v>13606</v>
      </c>
      <c r="D182" s="2" t="s">
        <v>13607</v>
      </c>
      <c r="E182" s="2" t="s">
        <v>13608</v>
      </c>
      <c r="F182" s="2" t="s">
        <v>13609</v>
      </c>
      <c r="G182" s="2" t="s">
        <v>328</v>
      </c>
      <c r="H182" s="17">
        <v>50</v>
      </c>
      <c r="I182" s="31">
        <f t="shared" si="12"/>
        <v>50000</v>
      </c>
      <c r="J182" s="31">
        <f t="shared" si="13"/>
        <v>3500.0000000000005</v>
      </c>
      <c r="K182" s="44">
        <f t="shared" si="14"/>
        <v>9.589041095890412</v>
      </c>
      <c r="L182" s="3">
        <f t="shared" si="15"/>
        <v>709.58904109589048</v>
      </c>
      <c r="M182" s="3">
        <f t="shared" si="16"/>
        <v>42.57534246575343</v>
      </c>
      <c r="N182" s="67">
        <f t="shared" si="17"/>
        <v>667.01369863013701</v>
      </c>
      <c r="O182" s="3"/>
      <c r="P182" s="70" t="s">
        <v>18609</v>
      </c>
      <c r="Q182" s="2" t="s">
        <v>32</v>
      </c>
      <c r="R182" s="2" t="s">
        <v>13610</v>
      </c>
      <c r="T182" s="2" t="s">
        <v>18664</v>
      </c>
      <c r="U182" s="2" t="s">
        <v>18652</v>
      </c>
      <c r="V182" s="107">
        <v>45857</v>
      </c>
      <c r="W182" s="2"/>
      <c r="X182" s="97"/>
      <c r="Y182" s="75">
        <v>667.02</v>
      </c>
    </row>
    <row r="183" spans="1:25" x14ac:dyDescent="0.25">
      <c r="A183" s="76">
        <v>178</v>
      </c>
      <c r="B183" s="2" t="s">
        <v>8571</v>
      </c>
      <c r="C183" s="2" t="s">
        <v>8572</v>
      </c>
      <c r="D183" s="2" t="s">
        <v>8573</v>
      </c>
      <c r="E183" s="2" t="s">
        <v>8574</v>
      </c>
      <c r="F183" s="2" t="s">
        <v>8575</v>
      </c>
      <c r="G183" s="2" t="s">
        <v>835</v>
      </c>
      <c r="H183" s="17">
        <v>25</v>
      </c>
      <c r="I183" s="31">
        <f t="shared" si="12"/>
        <v>25000</v>
      </c>
      <c r="J183" s="31">
        <f t="shared" si="13"/>
        <v>1750.0000000000002</v>
      </c>
      <c r="K183" s="44">
        <f t="shared" si="14"/>
        <v>4.794520547945206</v>
      </c>
      <c r="L183" s="3">
        <f t="shared" si="15"/>
        <v>354.79452054794524</v>
      </c>
      <c r="M183" s="3">
        <f t="shared" si="16"/>
        <v>21.287671232876715</v>
      </c>
      <c r="N183" s="67">
        <f t="shared" si="17"/>
        <v>333.50684931506851</v>
      </c>
      <c r="O183" s="3"/>
      <c r="P183" s="70" t="s">
        <v>18609</v>
      </c>
      <c r="Q183" s="2" t="s">
        <v>32</v>
      </c>
      <c r="R183" s="2" t="s">
        <v>8576</v>
      </c>
      <c r="T183" s="2" t="s">
        <v>18664</v>
      </c>
      <c r="U183" s="2" t="s">
        <v>18652</v>
      </c>
      <c r="V183" s="107">
        <v>45857</v>
      </c>
      <c r="W183" s="2"/>
      <c r="X183" s="97"/>
      <c r="Y183" s="75">
        <v>333.51</v>
      </c>
    </row>
    <row r="184" spans="1:25" x14ac:dyDescent="0.25">
      <c r="A184" s="76">
        <v>179</v>
      </c>
      <c r="B184" s="2" t="s">
        <v>14601</v>
      </c>
      <c r="C184" s="2" t="s">
        <v>14602</v>
      </c>
      <c r="D184" s="2" t="s">
        <v>14603</v>
      </c>
      <c r="E184" s="2" t="s">
        <v>14604</v>
      </c>
      <c r="F184" s="2" t="s">
        <v>14605</v>
      </c>
      <c r="G184" s="2" t="s">
        <v>1570</v>
      </c>
      <c r="H184" s="17">
        <v>30</v>
      </c>
      <c r="I184" s="31">
        <f t="shared" si="12"/>
        <v>30000</v>
      </c>
      <c r="J184" s="31">
        <f t="shared" si="13"/>
        <v>2100</v>
      </c>
      <c r="K184" s="44">
        <f t="shared" si="14"/>
        <v>5.7534246575342465</v>
      </c>
      <c r="L184" s="3">
        <f t="shared" si="15"/>
        <v>425.75342465753425</v>
      </c>
      <c r="M184" s="3">
        <f t="shared" si="16"/>
        <v>25.545205479452054</v>
      </c>
      <c r="N184" s="67">
        <f t="shared" si="17"/>
        <v>400.20821917808217</v>
      </c>
      <c r="O184" s="3"/>
      <c r="P184" s="70" t="s">
        <v>18609</v>
      </c>
      <c r="Q184" s="2" t="s">
        <v>32</v>
      </c>
      <c r="R184" s="2" t="s">
        <v>14606</v>
      </c>
      <c r="T184" s="2" t="s">
        <v>18664</v>
      </c>
      <c r="U184" s="2" t="s">
        <v>18652</v>
      </c>
      <c r="V184" s="107">
        <v>45857</v>
      </c>
      <c r="W184" s="2"/>
      <c r="X184" s="97"/>
      <c r="Y184" s="75">
        <v>400.21</v>
      </c>
    </row>
    <row r="185" spans="1:25" x14ac:dyDescent="0.25">
      <c r="A185" s="76">
        <v>180</v>
      </c>
      <c r="B185" s="2" t="s">
        <v>69</v>
      </c>
      <c r="C185" s="2" t="s">
        <v>70</v>
      </c>
      <c r="D185" s="2" t="s">
        <v>71</v>
      </c>
      <c r="E185" s="2" t="s">
        <v>72</v>
      </c>
      <c r="F185" s="2" t="s">
        <v>73</v>
      </c>
      <c r="G185" s="2" t="s">
        <v>74</v>
      </c>
      <c r="H185" s="17">
        <v>25</v>
      </c>
      <c r="I185" s="31">
        <f t="shared" si="12"/>
        <v>25000</v>
      </c>
      <c r="J185" s="31">
        <f t="shared" si="13"/>
        <v>1750.0000000000002</v>
      </c>
      <c r="K185" s="44">
        <f t="shared" si="14"/>
        <v>4.794520547945206</v>
      </c>
      <c r="L185" s="3">
        <f t="shared" si="15"/>
        <v>354.79452054794524</v>
      </c>
      <c r="M185" s="3">
        <f t="shared" si="16"/>
        <v>21.287671232876715</v>
      </c>
      <c r="N185" s="67">
        <f t="shared" si="17"/>
        <v>333.50684931506851</v>
      </c>
      <c r="O185" s="3"/>
      <c r="P185" s="70" t="s">
        <v>18609</v>
      </c>
      <c r="Q185" s="2" t="s">
        <v>32</v>
      </c>
      <c r="R185" s="2" t="s">
        <v>75</v>
      </c>
      <c r="T185" s="2" t="s">
        <v>18664</v>
      </c>
      <c r="U185" s="2" t="s">
        <v>18652</v>
      </c>
      <c r="V185" s="107">
        <v>45857</v>
      </c>
      <c r="W185" s="2"/>
      <c r="X185" s="97"/>
      <c r="Y185" s="75">
        <v>333.51</v>
      </c>
    </row>
    <row r="186" spans="1:25" x14ac:dyDescent="0.25">
      <c r="A186" s="76">
        <v>181</v>
      </c>
      <c r="B186" s="2" t="s">
        <v>16676</v>
      </c>
      <c r="C186" s="2" t="s">
        <v>16677</v>
      </c>
      <c r="D186" s="2" t="s">
        <v>16678</v>
      </c>
      <c r="E186" s="2" t="s">
        <v>16679</v>
      </c>
      <c r="F186" s="2" t="s">
        <v>16680</v>
      </c>
      <c r="G186" s="2" t="s">
        <v>743</v>
      </c>
      <c r="H186" s="17">
        <v>25</v>
      </c>
      <c r="I186" s="31">
        <f t="shared" si="12"/>
        <v>25000</v>
      </c>
      <c r="J186" s="31">
        <f t="shared" si="13"/>
        <v>1750.0000000000002</v>
      </c>
      <c r="K186" s="44">
        <f t="shared" si="14"/>
        <v>4.794520547945206</v>
      </c>
      <c r="L186" s="3">
        <f t="shared" si="15"/>
        <v>354.79452054794524</v>
      </c>
      <c r="M186" s="3">
        <f t="shared" si="16"/>
        <v>21.287671232876715</v>
      </c>
      <c r="N186" s="67">
        <f t="shared" si="17"/>
        <v>333.50684931506851</v>
      </c>
      <c r="O186" s="3"/>
      <c r="P186" s="70" t="s">
        <v>18609</v>
      </c>
      <c r="Q186" s="2" t="s">
        <v>32</v>
      </c>
      <c r="R186" s="2" t="s">
        <v>16681</v>
      </c>
      <c r="T186" s="2" t="s">
        <v>18664</v>
      </c>
      <c r="U186" s="2" t="s">
        <v>18652</v>
      </c>
      <c r="V186" s="107">
        <v>45857</v>
      </c>
      <c r="W186" s="2"/>
      <c r="X186" s="97"/>
      <c r="Y186" s="75">
        <v>333.51</v>
      </c>
    </row>
    <row r="187" spans="1:25" x14ac:dyDescent="0.25">
      <c r="A187" s="76">
        <v>182</v>
      </c>
      <c r="B187" s="2" t="s">
        <v>11083</v>
      </c>
      <c r="C187" s="2" t="s">
        <v>11084</v>
      </c>
      <c r="D187" s="2" t="s">
        <v>11085</v>
      </c>
      <c r="E187" s="2" t="s">
        <v>11086</v>
      </c>
      <c r="F187" s="2" t="s">
        <v>11087</v>
      </c>
      <c r="G187" s="2" t="s">
        <v>412</v>
      </c>
      <c r="H187" s="17">
        <v>100</v>
      </c>
      <c r="I187" s="31">
        <f t="shared" si="12"/>
        <v>100000</v>
      </c>
      <c r="J187" s="31">
        <f t="shared" si="13"/>
        <v>7000.0000000000009</v>
      </c>
      <c r="K187" s="44">
        <f t="shared" si="14"/>
        <v>19.178082191780824</v>
      </c>
      <c r="L187" s="3">
        <f t="shared" si="15"/>
        <v>1419.178082191781</v>
      </c>
      <c r="M187" s="3">
        <f t="shared" si="16"/>
        <v>85.150684931506859</v>
      </c>
      <c r="N187" s="67">
        <f t="shared" si="17"/>
        <v>1334.027397260274</v>
      </c>
      <c r="O187" s="3"/>
      <c r="P187" s="70" t="s">
        <v>18609</v>
      </c>
      <c r="Q187" s="2" t="s">
        <v>32</v>
      </c>
      <c r="R187" s="2" t="s">
        <v>11088</v>
      </c>
      <c r="T187" s="2" t="s">
        <v>18664</v>
      </c>
      <c r="U187" s="2" t="s">
        <v>18652</v>
      </c>
      <c r="V187" s="107">
        <v>45857</v>
      </c>
      <c r="W187" s="2"/>
      <c r="X187" s="97"/>
      <c r="Y187" s="75">
        <v>1334.03</v>
      </c>
    </row>
    <row r="188" spans="1:25" x14ac:dyDescent="0.25">
      <c r="A188" s="76">
        <v>183</v>
      </c>
      <c r="B188" s="2" t="s">
        <v>17219</v>
      </c>
      <c r="C188" s="2" t="s">
        <v>17220</v>
      </c>
      <c r="D188" s="2" t="s">
        <v>17221</v>
      </c>
      <c r="E188" s="2" t="s">
        <v>17222</v>
      </c>
      <c r="F188" s="2" t="s">
        <v>17223</v>
      </c>
      <c r="G188" s="2" t="s">
        <v>151</v>
      </c>
      <c r="H188" s="17">
        <v>25</v>
      </c>
      <c r="I188" s="31">
        <f t="shared" si="12"/>
        <v>25000</v>
      </c>
      <c r="J188" s="31">
        <f t="shared" si="13"/>
        <v>1750.0000000000002</v>
      </c>
      <c r="K188" s="44">
        <f t="shared" si="14"/>
        <v>4.794520547945206</v>
      </c>
      <c r="L188" s="3">
        <f t="shared" si="15"/>
        <v>354.79452054794524</v>
      </c>
      <c r="M188" s="3">
        <f t="shared" si="16"/>
        <v>21.287671232876715</v>
      </c>
      <c r="N188" s="67">
        <f t="shared" si="17"/>
        <v>333.50684931506851</v>
      </c>
      <c r="O188" s="3"/>
      <c r="P188" s="70" t="s">
        <v>18609</v>
      </c>
      <c r="Q188" s="2" t="s">
        <v>32</v>
      </c>
      <c r="R188" s="2" t="s">
        <v>17224</v>
      </c>
      <c r="T188" s="2" t="s">
        <v>18664</v>
      </c>
      <c r="U188" s="2" t="s">
        <v>18652</v>
      </c>
      <c r="V188" s="107">
        <v>45857</v>
      </c>
      <c r="W188" s="2"/>
      <c r="X188" s="97"/>
      <c r="Y188" s="75">
        <v>333.51</v>
      </c>
    </row>
    <row r="189" spans="1:25" x14ac:dyDescent="0.25">
      <c r="A189" s="76">
        <v>184</v>
      </c>
      <c r="B189" s="2" t="s">
        <v>7221</v>
      </c>
      <c r="C189" s="2" t="s">
        <v>7222</v>
      </c>
      <c r="D189" s="2" t="s">
        <v>7223</v>
      </c>
      <c r="E189" s="2" t="s">
        <v>7224</v>
      </c>
      <c r="F189" s="2" t="s">
        <v>7225</v>
      </c>
      <c r="G189" s="2" t="s">
        <v>247</v>
      </c>
      <c r="H189" s="17">
        <v>25</v>
      </c>
      <c r="I189" s="31">
        <f t="shared" si="12"/>
        <v>25000</v>
      </c>
      <c r="J189" s="31">
        <f t="shared" si="13"/>
        <v>1750.0000000000002</v>
      </c>
      <c r="K189" s="44">
        <f t="shared" si="14"/>
        <v>4.794520547945206</v>
      </c>
      <c r="L189" s="3">
        <f t="shared" si="15"/>
        <v>354.79452054794524</v>
      </c>
      <c r="M189" s="3">
        <f t="shared" si="16"/>
        <v>21.287671232876715</v>
      </c>
      <c r="N189" s="67">
        <f t="shared" si="17"/>
        <v>333.50684931506851</v>
      </c>
      <c r="O189" s="3"/>
      <c r="P189" s="70" t="s">
        <v>18609</v>
      </c>
      <c r="Q189" s="2" t="s">
        <v>32</v>
      </c>
      <c r="R189" s="2" t="s">
        <v>7226</v>
      </c>
      <c r="T189" s="2" t="s">
        <v>18664</v>
      </c>
      <c r="U189" s="2" t="s">
        <v>18652</v>
      </c>
      <c r="V189" s="107">
        <v>45857</v>
      </c>
      <c r="W189" s="2"/>
      <c r="X189" s="97"/>
      <c r="Y189" s="75">
        <v>333.51</v>
      </c>
    </row>
    <row r="190" spans="1:25" x14ac:dyDescent="0.25">
      <c r="A190" s="76">
        <v>185</v>
      </c>
      <c r="B190" s="2" t="s">
        <v>16529</v>
      </c>
      <c r="C190" s="2" t="s">
        <v>16530</v>
      </c>
      <c r="D190" s="2" t="s">
        <v>16531</v>
      </c>
      <c r="E190" s="2" t="s">
        <v>16532</v>
      </c>
      <c r="F190" s="2" t="s">
        <v>16533</v>
      </c>
      <c r="G190" s="2" t="s">
        <v>247</v>
      </c>
      <c r="H190" s="17">
        <v>25</v>
      </c>
      <c r="I190" s="31">
        <f t="shared" si="12"/>
        <v>25000</v>
      </c>
      <c r="J190" s="31">
        <f t="shared" si="13"/>
        <v>1750.0000000000002</v>
      </c>
      <c r="K190" s="44">
        <f t="shared" si="14"/>
        <v>4.794520547945206</v>
      </c>
      <c r="L190" s="3">
        <f t="shared" si="15"/>
        <v>354.79452054794524</v>
      </c>
      <c r="M190" s="3">
        <f t="shared" si="16"/>
        <v>21.287671232876715</v>
      </c>
      <c r="N190" s="67">
        <f t="shared" si="17"/>
        <v>333.50684931506851</v>
      </c>
      <c r="O190" s="3"/>
      <c r="P190" s="70" t="s">
        <v>18609</v>
      </c>
      <c r="Q190" s="2" t="s">
        <v>32</v>
      </c>
      <c r="R190" s="2" t="s">
        <v>16534</v>
      </c>
      <c r="T190" s="2" t="s">
        <v>18664</v>
      </c>
      <c r="U190" s="2" t="s">
        <v>18652</v>
      </c>
      <c r="V190" s="107">
        <v>45857</v>
      </c>
      <c r="W190" s="2"/>
      <c r="X190" s="97"/>
      <c r="Y190" s="75">
        <v>333.51</v>
      </c>
    </row>
    <row r="191" spans="1:25" x14ac:dyDescent="0.25">
      <c r="A191" s="76">
        <v>186</v>
      </c>
      <c r="B191" s="2" t="s">
        <v>1286</v>
      </c>
      <c r="C191" s="2" t="s">
        <v>1287</v>
      </c>
      <c r="D191" s="2" t="s">
        <v>1288</v>
      </c>
      <c r="E191" s="2" t="s">
        <v>1289</v>
      </c>
      <c r="F191" s="2" t="s">
        <v>1290</v>
      </c>
      <c r="G191" s="2" t="s">
        <v>240</v>
      </c>
      <c r="H191" s="17">
        <v>25</v>
      </c>
      <c r="I191" s="31">
        <f t="shared" si="12"/>
        <v>25000</v>
      </c>
      <c r="J191" s="31">
        <f t="shared" si="13"/>
        <v>1750.0000000000002</v>
      </c>
      <c r="K191" s="44">
        <f t="shared" si="14"/>
        <v>4.794520547945206</v>
      </c>
      <c r="L191" s="3">
        <f t="shared" si="15"/>
        <v>354.79452054794524</v>
      </c>
      <c r="M191" s="3">
        <f t="shared" si="16"/>
        <v>21.287671232876715</v>
      </c>
      <c r="N191" s="67">
        <f t="shared" si="17"/>
        <v>333.50684931506851</v>
      </c>
      <c r="O191" s="3"/>
      <c r="P191" s="70" t="s">
        <v>18609</v>
      </c>
      <c r="Q191" s="2" t="s">
        <v>32</v>
      </c>
      <c r="R191" s="2" t="s">
        <v>1291</v>
      </c>
      <c r="T191" s="2" t="s">
        <v>18664</v>
      </c>
      <c r="U191" s="2" t="s">
        <v>18652</v>
      </c>
      <c r="V191" s="107">
        <v>45857</v>
      </c>
      <c r="W191" s="2"/>
      <c r="X191" s="97"/>
      <c r="Y191" s="75">
        <v>333.51</v>
      </c>
    </row>
    <row r="192" spans="1:25" x14ac:dyDescent="0.25">
      <c r="A192" s="76">
        <v>187</v>
      </c>
      <c r="B192" s="2" t="s">
        <v>5304</v>
      </c>
      <c r="C192" s="2" t="s">
        <v>5305</v>
      </c>
      <c r="D192" s="2" t="s">
        <v>5306</v>
      </c>
      <c r="E192" s="2" t="s">
        <v>5307</v>
      </c>
      <c r="F192" s="2" t="s">
        <v>5308</v>
      </c>
      <c r="G192" s="2" t="s">
        <v>151</v>
      </c>
      <c r="H192" s="17">
        <v>50</v>
      </c>
      <c r="I192" s="31">
        <f t="shared" si="12"/>
        <v>50000</v>
      </c>
      <c r="J192" s="31">
        <f t="shared" si="13"/>
        <v>3500.0000000000005</v>
      </c>
      <c r="K192" s="44">
        <f t="shared" si="14"/>
        <v>9.589041095890412</v>
      </c>
      <c r="L192" s="3">
        <f t="shared" si="15"/>
        <v>709.58904109589048</v>
      </c>
      <c r="M192" s="3">
        <f t="shared" si="16"/>
        <v>42.57534246575343</v>
      </c>
      <c r="N192" s="67">
        <f t="shared" si="17"/>
        <v>667.01369863013701</v>
      </c>
      <c r="O192" s="3"/>
      <c r="P192" s="70" t="s">
        <v>18609</v>
      </c>
      <c r="Q192" s="2" t="s">
        <v>32</v>
      </c>
      <c r="R192" s="2" t="s">
        <v>5309</v>
      </c>
      <c r="T192" s="2" t="s">
        <v>18664</v>
      </c>
      <c r="U192" s="2" t="s">
        <v>18652</v>
      </c>
      <c r="V192" s="107">
        <v>45857</v>
      </c>
      <c r="W192" s="2"/>
      <c r="X192" s="97"/>
      <c r="Y192" s="75">
        <v>667.02</v>
      </c>
    </row>
    <row r="193" spans="1:25" x14ac:dyDescent="0.25">
      <c r="A193" s="76">
        <v>188</v>
      </c>
      <c r="B193" s="2" t="s">
        <v>5838</v>
      </c>
      <c r="C193" s="2" t="s">
        <v>5804</v>
      </c>
      <c r="D193" s="2" t="s">
        <v>5805</v>
      </c>
      <c r="E193" s="2" t="s">
        <v>5839</v>
      </c>
      <c r="F193" s="2" t="s">
        <v>5840</v>
      </c>
      <c r="G193" s="2" t="s">
        <v>166</v>
      </c>
      <c r="H193" s="17">
        <v>25</v>
      </c>
      <c r="I193" s="31">
        <f t="shared" si="12"/>
        <v>25000</v>
      </c>
      <c r="J193" s="31">
        <f t="shared" si="13"/>
        <v>1750.0000000000002</v>
      </c>
      <c r="K193" s="44">
        <f t="shared" si="14"/>
        <v>4.794520547945206</v>
      </c>
      <c r="L193" s="3">
        <f t="shared" si="15"/>
        <v>354.79452054794524</v>
      </c>
      <c r="M193" s="3">
        <f t="shared" si="16"/>
        <v>21.287671232876715</v>
      </c>
      <c r="N193" s="67">
        <f t="shared" si="17"/>
        <v>333.50684931506851</v>
      </c>
      <c r="O193" s="3"/>
      <c r="P193" s="70" t="s">
        <v>18609</v>
      </c>
      <c r="Q193" s="2" t="s">
        <v>32</v>
      </c>
      <c r="R193" s="2" t="s">
        <v>5841</v>
      </c>
      <c r="T193" s="2" t="s">
        <v>18664</v>
      </c>
      <c r="U193" s="2" t="s">
        <v>18652</v>
      </c>
      <c r="V193" s="107">
        <v>45857</v>
      </c>
      <c r="W193" s="2"/>
      <c r="X193" s="97"/>
      <c r="Y193" s="75">
        <v>333.51</v>
      </c>
    </row>
    <row r="194" spans="1:25" x14ac:dyDescent="0.25">
      <c r="A194" s="76">
        <v>189</v>
      </c>
      <c r="B194" s="2" t="s">
        <v>3572</v>
      </c>
      <c r="C194" s="2" t="s">
        <v>3573</v>
      </c>
      <c r="D194" s="2" t="s">
        <v>3574</v>
      </c>
      <c r="E194" s="2" t="s">
        <v>3575</v>
      </c>
      <c r="F194" s="2" t="s">
        <v>3576</v>
      </c>
      <c r="G194" s="2" t="s">
        <v>799</v>
      </c>
      <c r="H194" s="17">
        <v>25</v>
      </c>
      <c r="I194" s="31">
        <f t="shared" si="12"/>
        <v>25000</v>
      </c>
      <c r="J194" s="31">
        <f t="shared" si="13"/>
        <v>1750.0000000000002</v>
      </c>
      <c r="K194" s="44">
        <f t="shared" si="14"/>
        <v>4.794520547945206</v>
      </c>
      <c r="L194" s="3">
        <f t="shared" si="15"/>
        <v>354.79452054794524</v>
      </c>
      <c r="M194" s="3">
        <f t="shared" si="16"/>
        <v>21.287671232876715</v>
      </c>
      <c r="N194" s="67">
        <f t="shared" si="17"/>
        <v>333.50684931506851</v>
      </c>
      <c r="O194" s="3"/>
      <c r="P194" s="70" t="s">
        <v>18609</v>
      </c>
      <c r="Q194" s="2" t="s">
        <v>32</v>
      </c>
      <c r="R194" s="2" t="s">
        <v>3577</v>
      </c>
      <c r="T194" s="2" t="s">
        <v>18664</v>
      </c>
      <c r="U194" s="2" t="s">
        <v>18652</v>
      </c>
      <c r="V194" s="107">
        <v>45857</v>
      </c>
      <c r="W194" s="2"/>
      <c r="X194" s="97"/>
      <c r="Y194" s="75">
        <v>333.51</v>
      </c>
    </row>
    <row r="195" spans="1:25" x14ac:dyDescent="0.25">
      <c r="A195" s="76">
        <v>190</v>
      </c>
      <c r="B195" s="2" t="s">
        <v>7227</v>
      </c>
      <c r="C195" s="2" t="s">
        <v>7228</v>
      </c>
      <c r="D195" s="2" t="s">
        <v>7229</v>
      </c>
      <c r="E195" s="2" t="s">
        <v>7230</v>
      </c>
      <c r="F195" s="2" t="s">
        <v>7231</v>
      </c>
      <c r="G195" s="2" t="s">
        <v>835</v>
      </c>
      <c r="H195" s="17">
        <v>25</v>
      </c>
      <c r="I195" s="31">
        <f t="shared" si="12"/>
        <v>25000</v>
      </c>
      <c r="J195" s="31">
        <f t="shared" si="13"/>
        <v>1750.0000000000002</v>
      </c>
      <c r="K195" s="44">
        <f t="shared" si="14"/>
        <v>4.794520547945206</v>
      </c>
      <c r="L195" s="3">
        <f t="shared" si="15"/>
        <v>354.79452054794524</v>
      </c>
      <c r="M195" s="3">
        <f t="shared" si="16"/>
        <v>21.287671232876715</v>
      </c>
      <c r="N195" s="67">
        <f t="shared" si="17"/>
        <v>333.50684931506851</v>
      </c>
      <c r="O195" s="3"/>
      <c r="P195" s="70" t="s">
        <v>18609</v>
      </c>
      <c r="Q195" s="2" t="s">
        <v>32</v>
      </c>
      <c r="R195" s="2" t="s">
        <v>7232</v>
      </c>
      <c r="T195" s="2" t="s">
        <v>18664</v>
      </c>
      <c r="U195" s="2" t="s">
        <v>18652</v>
      </c>
      <c r="V195" s="107">
        <v>45857</v>
      </c>
      <c r="W195" s="2"/>
      <c r="X195" s="97"/>
      <c r="Y195" s="75">
        <v>333.51</v>
      </c>
    </row>
    <row r="196" spans="1:25" x14ac:dyDescent="0.25">
      <c r="A196" s="76">
        <v>191</v>
      </c>
      <c r="B196" s="2" t="s">
        <v>1474</v>
      </c>
      <c r="C196" s="2" t="s">
        <v>1475</v>
      </c>
      <c r="D196" s="2" t="s">
        <v>1476</v>
      </c>
      <c r="E196" s="2" t="s">
        <v>1477</v>
      </c>
      <c r="F196" s="2" t="s">
        <v>1478</v>
      </c>
      <c r="G196" s="2" t="s">
        <v>362</v>
      </c>
      <c r="H196" s="17">
        <v>25</v>
      </c>
      <c r="I196" s="31">
        <f t="shared" si="12"/>
        <v>25000</v>
      </c>
      <c r="J196" s="31">
        <f t="shared" si="13"/>
        <v>1750.0000000000002</v>
      </c>
      <c r="K196" s="44">
        <f t="shared" si="14"/>
        <v>4.794520547945206</v>
      </c>
      <c r="L196" s="3">
        <f t="shared" si="15"/>
        <v>354.79452054794524</v>
      </c>
      <c r="M196" s="3">
        <f t="shared" si="16"/>
        <v>21.287671232876715</v>
      </c>
      <c r="N196" s="67">
        <f t="shared" si="17"/>
        <v>333.50684931506851</v>
      </c>
      <c r="O196" s="3"/>
      <c r="P196" s="70" t="s">
        <v>18609</v>
      </c>
      <c r="Q196" s="2" t="s">
        <v>32</v>
      </c>
      <c r="R196" s="2" t="s">
        <v>1479</v>
      </c>
      <c r="T196" s="2" t="s">
        <v>18664</v>
      </c>
      <c r="U196" s="2" t="s">
        <v>18652</v>
      </c>
      <c r="V196" s="107">
        <v>45857</v>
      </c>
      <c r="W196" s="2"/>
      <c r="X196" s="97"/>
      <c r="Y196" s="75">
        <v>333.51</v>
      </c>
    </row>
    <row r="197" spans="1:25" x14ac:dyDescent="0.25">
      <c r="A197" s="76">
        <v>192</v>
      </c>
      <c r="B197" s="2" t="s">
        <v>15630</v>
      </c>
      <c r="C197" s="2" t="s">
        <v>15631</v>
      </c>
      <c r="D197" s="2" t="s">
        <v>15632</v>
      </c>
      <c r="E197" s="2" t="s">
        <v>15633</v>
      </c>
      <c r="F197" s="2" t="s">
        <v>15634</v>
      </c>
      <c r="G197" s="2" t="s">
        <v>517</v>
      </c>
      <c r="H197" s="17">
        <v>25</v>
      </c>
      <c r="I197" s="31">
        <f t="shared" si="12"/>
        <v>25000</v>
      </c>
      <c r="J197" s="31">
        <f t="shared" si="13"/>
        <v>1750.0000000000002</v>
      </c>
      <c r="K197" s="44">
        <f t="shared" si="14"/>
        <v>4.794520547945206</v>
      </c>
      <c r="L197" s="3">
        <f t="shared" si="15"/>
        <v>354.79452054794524</v>
      </c>
      <c r="M197" s="3">
        <f t="shared" si="16"/>
        <v>21.287671232876715</v>
      </c>
      <c r="N197" s="67">
        <f t="shared" si="17"/>
        <v>333.50684931506851</v>
      </c>
      <c r="O197" s="3"/>
      <c r="P197" s="70" t="s">
        <v>18609</v>
      </c>
      <c r="Q197" s="2" t="s">
        <v>32</v>
      </c>
      <c r="R197" s="2" t="s">
        <v>15635</v>
      </c>
      <c r="T197" s="2" t="s">
        <v>18664</v>
      </c>
      <c r="U197" s="2" t="s">
        <v>18652</v>
      </c>
      <c r="V197" s="107">
        <v>45857</v>
      </c>
      <c r="W197" s="2"/>
      <c r="X197" s="97"/>
      <c r="Y197" s="75">
        <v>333.51</v>
      </c>
    </row>
    <row r="198" spans="1:25" x14ac:dyDescent="0.25">
      <c r="A198" s="76">
        <v>193</v>
      </c>
      <c r="B198" s="2" t="s">
        <v>11114</v>
      </c>
      <c r="C198" s="2" t="s">
        <v>11115</v>
      </c>
      <c r="D198" s="2" t="s">
        <v>11116</v>
      </c>
      <c r="E198" s="2" t="s">
        <v>11117</v>
      </c>
      <c r="F198" s="2" t="s">
        <v>11118</v>
      </c>
      <c r="G198" s="2" t="s">
        <v>166</v>
      </c>
      <c r="H198" s="17">
        <v>25</v>
      </c>
      <c r="I198" s="31">
        <f t="shared" ref="I198:I254" si="18">H198*1000</f>
        <v>25000</v>
      </c>
      <c r="J198" s="31">
        <f t="shared" ref="J198:J254" si="19">I198*7%</f>
        <v>1750.0000000000002</v>
      </c>
      <c r="K198" s="44">
        <f t="shared" ref="K198:K254" si="20">J198/365</f>
        <v>4.794520547945206</v>
      </c>
      <c r="L198" s="3">
        <f t="shared" ref="L198:L254" si="21">K198*74</f>
        <v>354.79452054794524</v>
      </c>
      <c r="M198" s="3">
        <f t="shared" ref="M198:M254" si="22">L198*6%</f>
        <v>21.287671232876715</v>
      </c>
      <c r="N198" s="67">
        <f t="shared" ref="N198:N254" si="23">L198-M198</f>
        <v>333.50684931506851</v>
      </c>
      <c r="O198" s="3"/>
      <c r="P198" s="70" t="s">
        <v>18609</v>
      </c>
      <c r="Q198" s="2" t="s">
        <v>32</v>
      </c>
      <c r="R198" s="2" t="s">
        <v>11119</v>
      </c>
      <c r="T198" s="2" t="s">
        <v>18664</v>
      </c>
      <c r="U198" s="2" t="s">
        <v>18652</v>
      </c>
      <c r="V198" s="107">
        <v>45857</v>
      </c>
      <c r="W198" s="2"/>
      <c r="X198" s="97"/>
      <c r="Y198" s="75">
        <v>333.51</v>
      </c>
    </row>
    <row r="199" spans="1:25" x14ac:dyDescent="0.25">
      <c r="A199" s="76">
        <v>194</v>
      </c>
      <c r="B199" s="2" t="s">
        <v>3800</v>
      </c>
      <c r="C199" s="2" t="s">
        <v>3801</v>
      </c>
      <c r="D199" s="2" t="s">
        <v>3802</v>
      </c>
      <c r="E199" s="2" t="s">
        <v>3803</v>
      </c>
      <c r="F199" s="2" t="s">
        <v>3804</v>
      </c>
      <c r="G199" s="2" t="s">
        <v>328</v>
      </c>
      <c r="H199" s="17">
        <v>25</v>
      </c>
      <c r="I199" s="31">
        <f t="shared" si="18"/>
        <v>25000</v>
      </c>
      <c r="J199" s="31">
        <f t="shared" si="19"/>
        <v>1750.0000000000002</v>
      </c>
      <c r="K199" s="44">
        <f t="shared" si="20"/>
        <v>4.794520547945206</v>
      </c>
      <c r="L199" s="3">
        <f t="shared" si="21"/>
        <v>354.79452054794524</v>
      </c>
      <c r="M199" s="3">
        <f t="shared" si="22"/>
        <v>21.287671232876715</v>
      </c>
      <c r="N199" s="67">
        <f t="shared" si="23"/>
        <v>333.50684931506851</v>
      </c>
      <c r="O199" s="3"/>
      <c r="P199" s="70" t="s">
        <v>18609</v>
      </c>
      <c r="Q199" s="2" t="s">
        <v>32</v>
      </c>
      <c r="R199" s="2" t="s">
        <v>3805</v>
      </c>
      <c r="T199" s="2" t="s">
        <v>18664</v>
      </c>
      <c r="U199" s="2" t="s">
        <v>18652</v>
      </c>
      <c r="V199" s="107">
        <v>45857</v>
      </c>
      <c r="W199" s="2"/>
      <c r="X199" s="97"/>
      <c r="Y199" s="75">
        <v>333.51</v>
      </c>
    </row>
    <row r="200" spans="1:25" x14ac:dyDescent="0.25">
      <c r="A200" s="76">
        <v>195</v>
      </c>
      <c r="B200" s="2" t="s">
        <v>14649</v>
      </c>
      <c r="C200" s="2" t="s">
        <v>14650</v>
      </c>
      <c r="D200" s="2" t="s">
        <v>14651</v>
      </c>
      <c r="E200" s="2" t="s">
        <v>14652</v>
      </c>
      <c r="F200" s="2" t="s">
        <v>14653</v>
      </c>
      <c r="G200" s="2" t="s">
        <v>1017</v>
      </c>
      <c r="H200" s="17">
        <v>27</v>
      </c>
      <c r="I200" s="31">
        <f t="shared" si="18"/>
        <v>27000</v>
      </c>
      <c r="J200" s="31">
        <f t="shared" si="19"/>
        <v>1890.0000000000002</v>
      </c>
      <c r="K200" s="44">
        <f t="shared" si="20"/>
        <v>5.1780821917808222</v>
      </c>
      <c r="L200" s="3">
        <f t="shared" si="21"/>
        <v>383.17808219178085</v>
      </c>
      <c r="M200" s="3">
        <f t="shared" si="22"/>
        <v>22.990684931506848</v>
      </c>
      <c r="N200" s="67">
        <f t="shared" si="23"/>
        <v>360.187397260274</v>
      </c>
      <c r="O200" s="3"/>
      <c r="P200" s="70" t="s">
        <v>18609</v>
      </c>
      <c r="Q200" s="2" t="s">
        <v>32</v>
      </c>
      <c r="R200" s="2" t="s">
        <v>14654</v>
      </c>
      <c r="T200" s="2" t="s">
        <v>18664</v>
      </c>
      <c r="U200" s="2" t="s">
        <v>18652</v>
      </c>
      <c r="V200" s="107">
        <v>45857</v>
      </c>
      <c r="W200" s="2"/>
      <c r="X200" s="97"/>
      <c r="Y200" s="75">
        <v>360.19</v>
      </c>
    </row>
    <row r="201" spans="1:25" x14ac:dyDescent="0.25">
      <c r="A201" s="76">
        <v>196</v>
      </c>
      <c r="B201" s="2" t="s">
        <v>11077</v>
      </c>
      <c r="C201" s="2" t="s">
        <v>11078</v>
      </c>
      <c r="D201" s="2" t="s">
        <v>11079</v>
      </c>
      <c r="E201" s="2" t="s">
        <v>11080</v>
      </c>
      <c r="F201" s="2" t="s">
        <v>11081</v>
      </c>
      <c r="G201" s="2" t="s">
        <v>166</v>
      </c>
      <c r="H201" s="17">
        <v>25</v>
      </c>
      <c r="I201" s="31">
        <f t="shared" si="18"/>
        <v>25000</v>
      </c>
      <c r="J201" s="31">
        <f t="shared" si="19"/>
        <v>1750.0000000000002</v>
      </c>
      <c r="K201" s="44">
        <f t="shared" si="20"/>
        <v>4.794520547945206</v>
      </c>
      <c r="L201" s="3">
        <f t="shared" si="21"/>
        <v>354.79452054794524</v>
      </c>
      <c r="M201" s="3">
        <f t="shared" si="22"/>
        <v>21.287671232876715</v>
      </c>
      <c r="N201" s="67">
        <f t="shared" si="23"/>
        <v>333.50684931506851</v>
      </c>
      <c r="O201" s="3"/>
      <c r="P201" s="70" t="s">
        <v>18609</v>
      </c>
      <c r="Q201" s="2" t="s">
        <v>32</v>
      </c>
      <c r="R201" s="2" t="s">
        <v>11082</v>
      </c>
      <c r="T201" s="2" t="s">
        <v>18664</v>
      </c>
      <c r="U201" s="2" t="s">
        <v>18652</v>
      </c>
      <c r="V201" s="107">
        <v>45857</v>
      </c>
      <c r="W201" s="2"/>
      <c r="X201" s="97"/>
      <c r="Y201" s="75">
        <v>333.51</v>
      </c>
    </row>
    <row r="202" spans="1:25" x14ac:dyDescent="0.25">
      <c r="A202" s="76">
        <v>197</v>
      </c>
      <c r="B202" s="2" t="s">
        <v>5946</v>
      </c>
      <c r="C202" s="2" t="s">
        <v>5947</v>
      </c>
      <c r="D202" s="2" t="s">
        <v>5948</v>
      </c>
      <c r="E202" s="2" t="s">
        <v>5949</v>
      </c>
      <c r="F202" s="2" t="s">
        <v>5950</v>
      </c>
      <c r="G202" s="2" t="s">
        <v>587</v>
      </c>
      <c r="H202" s="17">
        <v>40</v>
      </c>
      <c r="I202" s="31">
        <f t="shared" si="18"/>
        <v>40000</v>
      </c>
      <c r="J202" s="31">
        <f t="shared" si="19"/>
        <v>2800.0000000000005</v>
      </c>
      <c r="K202" s="44">
        <f t="shared" si="20"/>
        <v>7.6712328767123301</v>
      </c>
      <c r="L202" s="3">
        <f t="shared" si="21"/>
        <v>567.67123287671245</v>
      </c>
      <c r="M202" s="3">
        <f t="shared" si="22"/>
        <v>34.060273972602744</v>
      </c>
      <c r="N202" s="67">
        <f t="shared" si="23"/>
        <v>533.61095890410968</v>
      </c>
      <c r="O202" s="3"/>
      <c r="P202" s="70" t="s">
        <v>18609</v>
      </c>
      <c r="Q202" s="2" t="s">
        <v>32</v>
      </c>
      <c r="R202" s="2" t="s">
        <v>5951</v>
      </c>
      <c r="T202" s="2" t="s">
        <v>18664</v>
      </c>
      <c r="U202" s="2" t="s">
        <v>18652</v>
      </c>
      <c r="V202" s="107">
        <v>45857</v>
      </c>
      <c r="W202" s="2"/>
      <c r="X202" s="97"/>
      <c r="Y202" s="75">
        <v>533.62</v>
      </c>
    </row>
    <row r="203" spans="1:25" x14ac:dyDescent="0.25">
      <c r="A203" s="76">
        <v>198</v>
      </c>
      <c r="B203" s="2" t="s">
        <v>8414</v>
      </c>
      <c r="C203" s="2" t="s">
        <v>8415</v>
      </c>
      <c r="D203" s="2" t="s">
        <v>8416</v>
      </c>
      <c r="E203" s="2" t="s">
        <v>8417</v>
      </c>
      <c r="F203" s="2" t="s">
        <v>8418</v>
      </c>
      <c r="G203" s="2" t="s">
        <v>643</v>
      </c>
      <c r="H203" s="17">
        <v>25</v>
      </c>
      <c r="I203" s="31">
        <f t="shared" si="18"/>
        <v>25000</v>
      </c>
      <c r="J203" s="31">
        <f t="shared" si="19"/>
        <v>1750.0000000000002</v>
      </c>
      <c r="K203" s="44">
        <f t="shared" si="20"/>
        <v>4.794520547945206</v>
      </c>
      <c r="L203" s="3">
        <f t="shared" si="21"/>
        <v>354.79452054794524</v>
      </c>
      <c r="M203" s="3">
        <f t="shared" si="22"/>
        <v>21.287671232876715</v>
      </c>
      <c r="N203" s="67">
        <f t="shared" si="23"/>
        <v>333.50684931506851</v>
      </c>
      <c r="O203" s="3"/>
      <c r="P203" s="70" t="s">
        <v>18609</v>
      </c>
      <c r="Q203" s="2" t="s">
        <v>32</v>
      </c>
      <c r="R203" s="2" t="s">
        <v>8419</v>
      </c>
      <c r="T203" s="2" t="s">
        <v>18664</v>
      </c>
      <c r="U203" s="2" t="s">
        <v>18652</v>
      </c>
      <c r="V203" s="107">
        <v>45857</v>
      </c>
      <c r="W203" s="2"/>
      <c r="X203" s="97"/>
      <c r="Y203" s="75">
        <v>333.51</v>
      </c>
    </row>
    <row r="204" spans="1:25" x14ac:dyDescent="0.25">
      <c r="A204" s="76">
        <v>199</v>
      </c>
      <c r="B204" s="2" t="s">
        <v>17920</v>
      </c>
      <c r="C204" s="2" t="s">
        <v>17921</v>
      </c>
      <c r="D204" s="2" t="s">
        <v>17922</v>
      </c>
      <c r="E204" s="2" t="s">
        <v>17923</v>
      </c>
      <c r="F204" s="2" t="s">
        <v>17924</v>
      </c>
      <c r="G204" s="2" t="s">
        <v>31</v>
      </c>
      <c r="H204" s="17">
        <v>25</v>
      </c>
      <c r="I204" s="31">
        <f t="shared" si="18"/>
        <v>25000</v>
      </c>
      <c r="J204" s="31">
        <f t="shared" si="19"/>
        <v>1750.0000000000002</v>
      </c>
      <c r="K204" s="44">
        <f t="shared" si="20"/>
        <v>4.794520547945206</v>
      </c>
      <c r="L204" s="3">
        <f t="shared" si="21"/>
        <v>354.79452054794524</v>
      </c>
      <c r="M204" s="3">
        <f t="shared" si="22"/>
        <v>21.287671232876715</v>
      </c>
      <c r="N204" s="67">
        <f t="shared" si="23"/>
        <v>333.50684931506851</v>
      </c>
      <c r="O204" s="3"/>
      <c r="P204" s="70" t="s">
        <v>18609</v>
      </c>
      <c r="Q204" s="2" t="s">
        <v>32</v>
      </c>
      <c r="R204" s="2" t="s">
        <v>17925</v>
      </c>
      <c r="T204" s="2" t="s">
        <v>18664</v>
      </c>
      <c r="U204" s="2" t="s">
        <v>18652</v>
      </c>
      <c r="V204" s="107">
        <v>45857</v>
      </c>
      <c r="W204" s="2"/>
      <c r="X204" s="97"/>
      <c r="Y204" s="75">
        <v>333.51</v>
      </c>
    </row>
    <row r="205" spans="1:25" x14ac:dyDescent="0.25">
      <c r="A205" s="76">
        <v>200</v>
      </c>
      <c r="B205" s="2" t="s">
        <v>10745</v>
      </c>
      <c r="C205" s="2" t="s">
        <v>10746</v>
      </c>
      <c r="D205" s="2" t="s">
        <v>10747</v>
      </c>
      <c r="E205" s="2" t="s">
        <v>10748</v>
      </c>
      <c r="F205" s="2" t="s">
        <v>10749</v>
      </c>
      <c r="G205" s="2" t="s">
        <v>233</v>
      </c>
      <c r="H205" s="17">
        <v>25</v>
      </c>
      <c r="I205" s="31">
        <f t="shared" si="18"/>
        <v>25000</v>
      </c>
      <c r="J205" s="31">
        <f t="shared" si="19"/>
        <v>1750.0000000000002</v>
      </c>
      <c r="K205" s="44">
        <f t="shared" si="20"/>
        <v>4.794520547945206</v>
      </c>
      <c r="L205" s="3">
        <f t="shared" si="21"/>
        <v>354.79452054794524</v>
      </c>
      <c r="M205" s="3">
        <f t="shared" si="22"/>
        <v>21.287671232876715</v>
      </c>
      <c r="N205" s="67">
        <f t="shared" si="23"/>
        <v>333.50684931506851</v>
      </c>
      <c r="O205" s="3"/>
      <c r="P205" s="70" t="s">
        <v>18609</v>
      </c>
      <c r="Q205" s="2" t="s">
        <v>32</v>
      </c>
      <c r="R205" s="2" t="s">
        <v>10750</v>
      </c>
      <c r="T205" s="2" t="s">
        <v>18664</v>
      </c>
      <c r="U205" s="2" t="s">
        <v>18652</v>
      </c>
      <c r="V205" s="107">
        <v>45857</v>
      </c>
      <c r="W205" s="2"/>
      <c r="X205" s="97"/>
      <c r="Y205" s="75">
        <v>333.51</v>
      </c>
    </row>
    <row r="206" spans="1:25" x14ac:dyDescent="0.25">
      <c r="A206" s="76">
        <v>201</v>
      </c>
      <c r="B206" s="2" t="s">
        <v>17961</v>
      </c>
      <c r="C206" s="2" t="s">
        <v>17962</v>
      </c>
      <c r="D206" s="2" t="s">
        <v>17963</v>
      </c>
      <c r="E206" s="2" t="s">
        <v>17964</v>
      </c>
      <c r="F206" s="2" t="s">
        <v>17965</v>
      </c>
      <c r="G206" s="2" t="s">
        <v>233</v>
      </c>
      <c r="H206" s="17">
        <v>25</v>
      </c>
      <c r="I206" s="31">
        <f t="shared" si="18"/>
        <v>25000</v>
      </c>
      <c r="J206" s="31">
        <f t="shared" si="19"/>
        <v>1750.0000000000002</v>
      </c>
      <c r="K206" s="44">
        <f t="shared" si="20"/>
        <v>4.794520547945206</v>
      </c>
      <c r="L206" s="3">
        <f t="shared" si="21"/>
        <v>354.79452054794524</v>
      </c>
      <c r="M206" s="3">
        <f t="shared" si="22"/>
        <v>21.287671232876715</v>
      </c>
      <c r="N206" s="67">
        <f t="shared" si="23"/>
        <v>333.50684931506851</v>
      </c>
      <c r="O206" s="3"/>
      <c r="P206" s="70" t="s">
        <v>18609</v>
      </c>
      <c r="Q206" s="2" t="s">
        <v>32</v>
      </c>
      <c r="R206" s="2" t="s">
        <v>17966</v>
      </c>
      <c r="T206" s="2" t="s">
        <v>18664</v>
      </c>
      <c r="U206" s="2" t="s">
        <v>18652</v>
      </c>
      <c r="V206" s="107">
        <v>45857</v>
      </c>
      <c r="W206" s="2"/>
      <c r="X206" s="97"/>
      <c r="Y206" s="75">
        <v>333.51</v>
      </c>
    </row>
    <row r="207" spans="1:25" x14ac:dyDescent="0.25">
      <c r="A207" s="76">
        <v>202</v>
      </c>
      <c r="B207" s="2" t="s">
        <v>5172</v>
      </c>
      <c r="C207" s="2" t="s">
        <v>5173</v>
      </c>
      <c r="D207" s="2" t="s">
        <v>5174</v>
      </c>
      <c r="E207" s="2" t="s">
        <v>5175</v>
      </c>
      <c r="F207" s="2" t="s">
        <v>5176</v>
      </c>
      <c r="G207" s="2" t="s">
        <v>166</v>
      </c>
      <c r="H207" s="17">
        <v>25</v>
      </c>
      <c r="I207" s="31">
        <f t="shared" si="18"/>
        <v>25000</v>
      </c>
      <c r="J207" s="31">
        <f t="shared" si="19"/>
        <v>1750.0000000000002</v>
      </c>
      <c r="K207" s="44">
        <f t="shared" si="20"/>
        <v>4.794520547945206</v>
      </c>
      <c r="L207" s="3">
        <f t="shared" si="21"/>
        <v>354.79452054794524</v>
      </c>
      <c r="M207" s="3">
        <f t="shared" si="22"/>
        <v>21.287671232876715</v>
      </c>
      <c r="N207" s="67">
        <f t="shared" si="23"/>
        <v>333.50684931506851</v>
      </c>
      <c r="O207" s="3"/>
      <c r="P207" s="70" t="s">
        <v>18609</v>
      </c>
      <c r="Q207" s="2" t="s">
        <v>32</v>
      </c>
      <c r="R207" s="2" t="s">
        <v>5177</v>
      </c>
      <c r="T207" s="2" t="s">
        <v>18664</v>
      </c>
      <c r="U207" s="2" t="s">
        <v>18652</v>
      </c>
      <c r="V207" s="107">
        <v>45857</v>
      </c>
      <c r="W207" s="2"/>
      <c r="X207" s="97"/>
      <c r="Y207" s="75">
        <v>333.51</v>
      </c>
    </row>
    <row r="208" spans="1:25" x14ac:dyDescent="0.25">
      <c r="A208" s="76">
        <v>203</v>
      </c>
      <c r="B208" s="2" t="s">
        <v>9346</v>
      </c>
      <c r="C208" s="2" t="s">
        <v>9347</v>
      </c>
      <c r="D208" s="2" t="s">
        <v>9348</v>
      </c>
      <c r="E208" s="2" t="s">
        <v>9349</v>
      </c>
      <c r="F208" s="2" t="s">
        <v>9350</v>
      </c>
      <c r="G208" s="2" t="s">
        <v>1048</v>
      </c>
      <c r="H208" s="17">
        <v>25</v>
      </c>
      <c r="I208" s="31">
        <f t="shared" si="18"/>
        <v>25000</v>
      </c>
      <c r="J208" s="31">
        <f t="shared" si="19"/>
        <v>1750.0000000000002</v>
      </c>
      <c r="K208" s="44">
        <f t="shared" si="20"/>
        <v>4.794520547945206</v>
      </c>
      <c r="L208" s="3">
        <f t="shared" si="21"/>
        <v>354.79452054794524</v>
      </c>
      <c r="M208" s="3">
        <f t="shared" si="22"/>
        <v>21.287671232876715</v>
      </c>
      <c r="N208" s="67">
        <f t="shared" si="23"/>
        <v>333.50684931506851</v>
      </c>
      <c r="O208" s="3"/>
      <c r="P208" s="70" t="s">
        <v>18609</v>
      </c>
      <c r="Q208" s="2" t="s">
        <v>32</v>
      </c>
      <c r="R208" s="2" t="s">
        <v>9351</v>
      </c>
      <c r="T208" s="2" t="s">
        <v>18664</v>
      </c>
      <c r="U208" s="2" t="s">
        <v>18652</v>
      </c>
      <c r="V208" s="107">
        <v>45857</v>
      </c>
      <c r="W208" s="2"/>
      <c r="X208" s="97"/>
      <c r="Y208" s="75">
        <v>333.51</v>
      </c>
    </row>
    <row r="209" spans="1:25" x14ac:dyDescent="0.25">
      <c r="A209" s="76">
        <v>204</v>
      </c>
      <c r="B209" s="2" t="s">
        <v>3317</v>
      </c>
      <c r="C209" s="2" t="s">
        <v>3318</v>
      </c>
      <c r="D209" s="2" t="s">
        <v>3319</v>
      </c>
      <c r="E209" s="2" t="s">
        <v>3320</v>
      </c>
      <c r="F209" s="2" t="s">
        <v>3321</v>
      </c>
      <c r="G209" s="2" t="s">
        <v>23</v>
      </c>
      <c r="H209" s="17">
        <v>25</v>
      </c>
      <c r="I209" s="31">
        <f t="shared" si="18"/>
        <v>25000</v>
      </c>
      <c r="J209" s="31">
        <f t="shared" si="19"/>
        <v>1750.0000000000002</v>
      </c>
      <c r="K209" s="44">
        <f t="shared" si="20"/>
        <v>4.794520547945206</v>
      </c>
      <c r="L209" s="3">
        <f t="shared" si="21"/>
        <v>354.79452054794524</v>
      </c>
      <c r="M209" s="3">
        <f t="shared" si="22"/>
        <v>21.287671232876715</v>
      </c>
      <c r="N209" s="67">
        <f t="shared" si="23"/>
        <v>333.50684931506851</v>
      </c>
      <c r="O209" s="3"/>
      <c r="P209" s="70" t="s">
        <v>18609</v>
      </c>
      <c r="Q209" s="2" t="s">
        <v>32</v>
      </c>
      <c r="R209" s="2" t="s">
        <v>3322</v>
      </c>
      <c r="T209" s="2" t="s">
        <v>18664</v>
      </c>
      <c r="U209" s="2" t="s">
        <v>18652</v>
      </c>
      <c r="V209" s="107">
        <v>45857</v>
      </c>
      <c r="W209" s="2"/>
      <c r="X209" s="97"/>
      <c r="Y209" s="75">
        <v>333.51</v>
      </c>
    </row>
    <row r="210" spans="1:25" x14ac:dyDescent="0.25">
      <c r="A210" s="76">
        <v>205</v>
      </c>
      <c r="B210" s="2" t="s">
        <v>26</v>
      </c>
      <c r="C210" s="2" t="s">
        <v>27</v>
      </c>
      <c r="D210" s="2" t="s">
        <v>28</v>
      </c>
      <c r="E210" s="2" t="s">
        <v>29</v>
      </c>
      <c r="F210" s="2" t="s">
        <v>30</v>
      </c>
      <c r="G210" s="2" t="s">
        <v>31</v>
      </c>
      <c r="H210" s="17">
        <v>1500</v>
      </c>
      <c r="I210" s="31">
        <f t="shared" si="18"/>
        <v>1500000</v>
      </c>
      <c r="J210" s="31">
        <f t="shared" si="19"/>
        <v>105000.00000000001</v>
      </c>
      <c r="K210" s="44">
        <f t="shared" si="20"/>
        <v>287.67123287671239</v>
      </c>
      <c r="L210" s="3">
        <f t="shared" si="21"/>
        <v>21287.671232876717</v>
      </c>
      <c r="M210" s="3">
        <f t="shared" si="22"/>
        <v>1277.260273972603</v>
      </c>
      <c r="N210" s="67">
        <f t="shared" si="23"/>
        <v>20010.410958904115</v>
      </c>
      <c r="O210" s="3"/>
      <c r="P210" s="70" t="s">
        <v>18609</v>
      </c>
      <c r="Q210" s="2" t="s">
        <v>32</v>
      </c>
      <c r="R210" s="2" t="s">
        <v>33</v>
      </c>
      <c r="T210" s="2" t="s">
        <v>18664</v>
      </c>
      <c r="U210" s="2" t="s">
        <v>18652</v>
      </c>
      <c r="V210" s="107">
        <v>45857</v>
      </c>
      <c r="W210" s="2"/>
      <c r="X210" s="97"/>
      <c r="Y210" s="75">
        <v>20010.419999999998</v>
      </c>
    </row>
    <row r="211" spans="1:25" x14ac:dyDescent="0.25">
      <c r="A211" s="76">
        <v>206</v>
      </c>
      <c r="B211" s="2" t="s">
        <v>12989</v>
      </c>
      <c r="C211" s="2" t="s">
        <v>12990</v>
      </c>
      <c r="D211" s="2" t="s">
        <v>12991</v>
      </c>
      <c r="E211" s="2" t="s">
        <v>12992</v>
      </c>
      <c r="F211" s="2" t="s">
        <v>12993</v>
      </c>
      <c r="G211" s="2" t="s">
        <v>233</v>
      </c>
      <c r="H211" s="17">
        <v>25</v>
      </c>
      <c r="I211" s="31">
        <f t="shared" si="18"/>
        <v>25000</v>
      </c>
      <c r="J211" s="31">
        <f t="shared" si="19"/>
        <v>1750.0000000000002</v>
      </c>
      <c r="K211" s="44">
        <f t="shared" si="20"/>
        <v>4.794520547945206</v>
      </c>
      <c r="L211" s="3">
        <f t="shared" si="21"/>
        <v>354.79452054794524</v>
      </c>
      <c r="M211" s="3">
        <f t="shared" si="22"/>
        <v>21.287671232876715</v>
      </c>
      <c r="N211" s="67">
        <f t="shared" si="23"/>
        <v>333.50684931506851</v>
      </c>
      <c r="O211" s="3"/>
      <c r="P211" s="70" t="s">
        <v>18609</v>
      </c>
      <c r="Q211" s="2" t="s">
        <v>32</v>
      </c>
      <c r="R211" s="2" t="s">
        <v>12994</v>
      </c>
      <c r="T211" s="2" t="s">
        <v>18664</v>
      </c>
      <c r="U211" s="2" t="s">
        <v>18652</v>
      </c>
      <c r="V211" s="107">
        <v>45857</v>
      </c>
      <c r="W211" s="2"/>
      <c r="X211" s="97"/>
      <c r="Y211" s="75">
        <v>333.51</v>
      </c>
    </row>
    <row r="212" spans="1:25" x14ac:dyDescent="0.25">
      <c r="A212" s="76">
        <v>207</v>
      </c>
      <c r="B212" s="2" t="s">
        <v>9457</v>
      </c>
      <c r="C212" s="2" t="s">
        <v>9458</v>
      </c>
      <c r="D212" s="2" t="s">
        <v>9459</v>
      </c>
      <c r="E212" s="2" t="s">
        <v>9460</v>
      </c>
      <c r="F212" s="2" t="s">
        <v>9461</v>
      </c>
      <c r="G212" s="2" t="s">
        <v>2571</v>
      </c>
      <c r="H212" s="17">
        <v>25</v>
      </c>
      <c r="I212" s="31">
        <f t="shared" si="18"/>
        <v>25000</v>
      </c>
      <c r="J212" s="31">
        <f t="shared" si="19"/>
        <v>1750.0000000000002</v>
      </c>
      <c r="K212" s="44">
        <f t="shared" si="20"/>
        <v>4.794520547945206</v>
      </c>
      <c r="L212" s="3">
        <f t="shared" si="21"/>
        <v>354.79452054794524</v>
      </c>
      <c r="M212" s="3">
        <f t="shared" si="22"/>
        <v>21.287671232876715</v>
      </c>
      <c r="N212" s="67">
        <f t="shared" si="23"/>
        <v>333.50684931506851</v>
      </c>
      <c r="O212" s="3"/>
      <c r="P212" s="70" t="s">
        <v>18609</v>
      </c>
      <c r="Q212" s="2" t="s">
        <v>32</v>
      </c>
      <c r="R212" s="2" t="s">
        <v>9462</v>
      </c>
      <c r="T212" s="2" t="s">
        <v>18664</v>
      </c>
      <c r="U212" s="2" t="s">
        <v>18652</v>
      </c>
      <c r="V212" s="107">
        <v>45857</v>
      </c>
      <c r="W212" s="2"/>
      <c r="X212" s="97"/>
      <c r="Y212" s="75">
        <v>333.51</v>
      </c>
    </row>
    <row r="213" spans="1:25" x14ac:dyDescent="0.25">
      <c r="A213" s="76">
        <v>208</v>
      </c>
      <c r="B213" s="2" t="s">
        <v>8101</v>
      </c>
      <c r="C213" s="2" t="s">
        <v>8102</v>
      </c>
      <c r="D213" s="2" t="s">
        <v>8103</v>
      </c>
      <c r="E213" s="2" t="s">
        <v>8104</v>
      </c>
      <c r="F213" s="2" t="s">
        <v>8105</v>
      </c>
      <c r="G213" s="2" t="s">
        <v>275</v>
      </c>
      <c r="H213" s="17">
        <v>25</v>
      </c>
      <c r="I213" s="31">
        <f t="shared" si="18"/>
        <v>25000</v>
      </c>
      <c r="J213" s="31">
        <f t="shared" si="19"/>
        <v>1750.0000000000002</v>
      </c>
      <c r="K213" s="44">
        <f t="shared" si="20"/>
        <v>4.794520547945206</v>
      </c>
      <c r="L213" s="3">
        <f t="shared" si="21"/>
        <v>354.79452054794524</v>
      </c>
      <c r="M213" s="3">
        <f t="shared" si="22"/>
        <v>21.287671232876715</v>
      </c>
      <c r="N213" s="67">
        <f t="shared" si="23"/>
        <v>333.50684931506851</v>
      </c>
      <c r="O213" s="3"/>
      <c r="P213" s="70" t="s">
        <v>18609</v>
      </c>
      <c r="Q213" s="2" t="s">
        <v>32</v>
      </c>
      <c r="R213" s="2" t="s">
        <v>8106</v>
      </c>
      <c r="T213" s="2" t="s">
        <v>18664</v>
      </c>
      <c r="U213" s="2" t="s">
        <v>18652</v>
      </c>
      <c r="V213" s="107">
        <v>45857</v>
      </c>
      <c r="W213" s="2"/>
      <c r="X213" s="97"/>
      <c r="Y213" s="75">
        <v>333.51</v>
      </c>
    </row>
    <row r="214" spans="1:25" x14ac:dyDescent="0.25">
      <c r="A214" s="76">
        <v>209</v>
      </c>
      <c r="B214" s="2" t="s">
        <v>5643</v>
      </c>
      <c r="C214" s="2" t="s">
        <v>5644</v>
      </c>
      <c r="D214" s="2" t="s">
        <v>5645</v>
      </c>
      <c r="E214" s="2" t="s">
        <v>5646</v>
      </c>
      <c r="F214" s="2" t="s">
        <v>5647</v>
      </c>
      <c r="G214" s="2" t="s">
        <v>74</v>
      </c>
      <c r="H214" s="17">
        <v>25</v>
      </c>
      <c r="I214" s="31">
        <f t="shared" si="18"/>
        <v>25000</v>
      </c>
      <c r="J214" s="31">
        <f t="shared" si="19"/>
        <v>1750.0000000000002</v>
      </c>
      <c r="K214" s="44">
        <f t="shared" si="20"/>
        <v>4.794520547945206</v>
      </c>
      <c r="L214" s="3">
        <f t="shared" si="21"/>
        <v>354.79452054794524</v>
      </c>
      <c r="M214" s="3">
        <f t="shared" si="22"/>
        <v>21.287671232876715</v>
      </c>
      <c r="N214" s="67">
        <f t="shared" si="23"/>
        <v>333.50684931506851</v>
      </c>
      <c r="O214" s="3"/>
      <c r="P214" s="70" t="s">
        <v>18609</v>
      </c>
      <c r="Q214" s="2" t="s">
        <v>32</v>
      </c>
      <c r="R214" s="2" t="s">
        <v>5648</v>
      </c>
      <c r="T214" s="2" t="s">
        <v>18664</v>
      </c>
      <c r="U214" s="2" t="s">
        <v>18652</v>
      </c>
      <c r="V214" s="107">
        <v>45857</v>
      </c>
      <c r="W214" s="2"/>
      <c r="X214" s="97"/>
      <c r="Y214" s="75">
        <v>333.51</v>
      </c>
    </row>
    <row r="215" spans="1:25" x14ac:dyDescent="0.25">
      <c r="A215" s="76">
        <v>210</v>
      </c>
      <c r="B215" s="2" t="s">
        <v>2036</v>
      </c>
      <c r="C215" s="2" t="s">
        <v>2037</v>
      </c>
      <c r="D215" s="2" t="s">
        <v>2038</v>
      </c>
      <c r="E215" s="2" t="s">
        <v>2039</v>
      </c>
      <c r="F215" s="2" t="s">
        <v>2040</v>
      </c>
      <c r="G215" s="2" t="s">
        <v>1823</v>
      </c>
      <c r="H215" s="17">
        <v>26</v>
      </c>
      <c r="I215" s="31">
        <f t="shared" si="18"/>
        <v>26000</v>
      </c>
      <c r="J215" s="31">
        <f t="shared" si="19"/>
        <v>1820.0000000000002</v>
      </c>
      <c r="K215" s="44">
        <f t="shared" si="20"/>
        <v>4.9863013698630141</v>
      </c>
      <c r="L215" s="3">
        <f t="shared" si="21"/>
        <v>368.98630136986304</v>
      </c>
      <c r="M215" s="3">
        <f t="shared" si="22"/>
        <v>22.139178082191783</v>
      </c>
      <c r="N215" s="67">
        <f t="shared" si="23"/>
        <v>346.84712328767125</v>
      </c>
      <c r="O215" s="3"/>
      <c r="P215" s="70" t="s">
        <v>18609</v>
      </c>
      <c r="Q215" s="2" t="s">
        <v>32</v>
      </c>
      <c r="R215" s="2" t="s">
        <v>2041</v>
      </c>
      <c r="T215" s="2" t="s">
        <v>18664</v>
      </c>
      <c r="U215" s="2" t="s">
        <v>18652</v>
      </c>
      <c r="V215" s="107">
        <v>45857</v>
      </c>
      <c r="W215" s="2"/>
      <c r="X215" s="97"/>
      <c r="Y215" s="75">
        <v>346.84999999999997</v>
      </c>
    </row>
    <row r="216" spans="1:25" x14ac:dyDescent="0.25">
      <c r="A216" s="76">
        <v>211</v>
      </c>
      <c r="B216" s="2" t="s">
        <v>12896</v>
      </c>
      <c r="C216" s="2" t="s">
        <v>12897</v>
      </c>
      <c r="D216" s="2" t="s">
        <v>12898</v>
      </c>
      <c r="E216" s="2" t="s">
        <v>12899</v>
      </c>
      <c r="F216" s="2" t="s">
        <v>12900</v>
      </c>
      <c r="G216" s="2" t="s">
        <v>151</v>
      </c>
      <c r="H216" s="17">
        <v>25</v>
      </c>
      <c r="I216" s="31">
        <f t="shared" si="18"/>
        <v>25000</v>
      </c>
      <c r="J216" s="31">
        <f t="shared" si="19"/>
        <v>1750.0000000000002</v>
      </c>
      <c r="K216" s="44">
        <f t="shared" si="20"/>
        <v>4.794520547945206</v>
      </c>
      <c r="L216" s="3">
        <f t="shared" si="21"/>
        <v>354.79452054794524</v>
      </c>
      <c r="M216" s="3">
        <f t="shared" si="22"/>
        <v>21.287671232876715</v>
      </c>
      <c r="N216" s="67">
        <f t="shared" si="23"/>
        <v>333.50684931506851</v>
      </c>
      <c r="O216" s="3"/>
      <c r="P216" s="70" t="s">
        <v>18609</v>
      </c>
      <c r="Q216" s="2" t="s">
        <v>32</v>
      </c>
      <c r="R216" s="2" t="s">
        <v>12901</v>
      </c>
      <c r="T216" s="2" t="s">
        <v>18664</v>
      </c>
      <c r="U216" s="2" t="s">
        <v>18652</v>
      </c>
      <c r="V216" s="107">
        <v>45857</v>
      </c>
      <c r="W216" s="2"/>
      <c r="X216" s="97"/>
      <c r="Y216" s="75">
        <v>333.51</v>
      </c>
    </row>
    <row r="217" spans="1:25" x14ac:dyDescent="0.25">
      <c r="A217" s="76">
        <v>212</v>
      </c>
      <c r="B217" s="2" t="s">
        <v>10864</v>
      </c>
      <c r="C217" s="2" t="s">
        <v>10865</v>
      </c>
      <c r="D217" s="2" t="s">
        <v>10866</v>
      </c>
      <c r="E217" s="2" t="s">
        <v>10867</v>
      </c>
      <c r="F217" s="2" t="s">
        <v>10868</v>
      </c>
      <c r="G217" s="2" t="s">
        <v>2380</v>
      </c>
      <c r="H217" s="17">
        <v>25</v>
      </c>
      <c r="I217" s="31">
        <f t="shared" si="18"/>
        <v>25000</v>
      </c>
      <c r="J217" s="31">
        <f t="shared" si="19"/>
        <v>1750.0000000000002</v>
      </c>
      <c r="K217" s="44">
        <f t="shared" si="20"/>
        <v>4.794520547945206</v>
      </c>
      <c r="L217" s="3">
        <f t="shared" si="21"/>
        <v>354.79452054794524</v>
      </c>
      <c r="M217" s="3">
        <f t="shared" si="22"/>
        <v>21.287671232876715</v>
      </c>
      <c r="N217" s="67">
        <f t="shared" si="23"/>
        <v>333.50684931506851</v>
      </c>
      <c r="O217" s="3"/>
      <c r="P217" s="70" t="s">
        <v>18609</v>
      </c>
      <c r="Q217" s="2" t="s">
        <v>32</v>
      </c>
      <c r="R217" s="2" t="s">
        <v>10869</v>
      </c>
      <c r="T217" s="2" t="s">
        <v>18664</v>
      </c>
      <c r="U217" s="2" t="s">
        <v>18652</v>
      </c>
      <c r="V217" s="107">
        <v>45857</v>
      </c>
      <c r="W217" s="2"/>
      <c r="X217" s="97"/>
      <c r="Y217" s="75">
        <v>333.51</v>
      </c>
    </row>
    <row r="218" spans="1:25" x14ac:dyDescent="0.25">
      <c r="A218" s="76">
        <v>213</v>
      </c>
      <c r="B218" s="2" t="s">
        <v>12831</v>
      </c>
      <c r="C218" s="2" t="s">
        <v>12832</v>
      </c>
      <c r="D218" s="2" t="s">
        <v>12833</v>
      </c>
      <c r="E218" s="2" t="s">
        <v>12834</v>
      </c>
      <c r="F218" s="2" t="s">
        <v>12835</v>
      </c>
      <c r="G218" s="2" t="s">
        <v>1315</v>
      </c>
      <c r="H218" s="17">
        <v>25</v>
      </c>
      <c r="I218" s="31">
        <f t="shared" si="18"/>
        <v>25000</v>
      </c>
      <c r="J218" s="31">
        <f t="shared" si="19"/>
        <v>1750.0000000000002</v>
      </c>
      <c r="K218" s="44">
        <f t="shared" si="20"/>
        <v>4.794520547945206</v>
      </c>
      <c r="L218" s="3">
        <f t="shared" si="21"/>
        <v>354.79452054794524</v>
      </c>
      <c r="M218" s="3">
        <f t="shared" si="22"/>
        <v>21.287671232876715</v>
      </c>
      <c r="N218" s="67">
        <f t="shared" si="23"/>
        <v>333.50684931506851</v>
      </c>
      <c r="O218" s="3"/>
      <c r="P218" s="70" t="s">
        <v>18609</v>
      </c>
      <c r="Q218" s="2" t="s">
        <v>32</v>
      </c>
      <c r="R218" s="2" t="s">
        <v>12836</v>
      </c>
      <c r="T218" s="2" t="s">
        <v>18664</v>
      </c>
      <c r="U218" s="2" t="s">
        <v>18652</v>
      </c>
      <c r="V218" s="107">
        <v>45857</v>
      </c>
      <c r="W218" s="2"/>
      <c r="X218" s="97"/>
      <c r="Y218" s="75">
        <v>333.51</v>
      </c>
    </row>
    <row r="219" spans="1:25" x14ac:dyDescent="0.25">
      <c r="A219" s="76">
        <v>214</v>
      </c>
      <c r="B219" s="2" t="s">
        <v>464</v>
      </c>
      <c r="C219" s="2" t="s">
        <v>465</v>
      </c>
      <c r="D219" s="2" t="s">
        <v>466</v>
      </c>
      <c r="E219" s="2" t="s">
        <v>467</v>
      </c>
      <c r="F219" s="2" t="s">
        <v>468</v>
      </c>
      <c r="G219" s="2" t="s">
        <v>445</v>
      </c>
      <c r="H219" s="17">
        <v>25</v>
      </c>
      <c r="I219" s="31">
        <f t="shared" si="18"/>
        <v>25000</v>
      </c>
      <c r="J219" s="31">
        <f t="shared" si="19"/>
        <v>1750.0000000000002</v>
      </c>
      <c r="K219" s="44">
        <f t="shared" si="20"/>
        <v>4.794520547945206</v>
      </c>
      <c r="L219" s="3">
        <f t="shared" si="21"/>
        <v>354.79452054794524</v>
      </c>
      <c r="M219" s="3">
        <f t="shared" si="22"/>
        <v>21.287671232876715</v>
      </c>
      <c r="N219" s="67">
        <f t="shared" si="23"/>
        <v>333.50684931506851</v>
      </c>
      <c r="O219" s="3"/>
      <c r="P219" s="70" t="s">
        <v>18609</v>
      </c>
      <c r="Q219" s="2" t="s">
        <v>32</v>
      </c>
      <c r="R219" s="2" t="s">
        <v>469</v>
      </c>
      <c r="T219" s="2" t="s">
        <v>18664</v>
      </c>
      <c r="U219" s="2" t="s">
        <v>18652</v>
      </c>
      <c r="V219" s="107">
        <v>45857</v>
      </c>
      <c r="W219" s="2"/>
      <c r="X219" s="97"/>
      <c r="Y219" s="75">
        <v>333.51</v>
      </c>
    </row>
    <row r="220" spans="1:25" x14ac:dyDescent="0.25">
      <c r="A220" s="76">
        <v>215</v>
      </c>
      <c r="B220" s="2" t="s">
        <v>626</v>
      </c>
      <c r="C220" s="2" t="s">
        <v>627</v>
      </c>
      <c r="D220" s="2" t="s">
        <v>628</v>
      </c>
      <c r="E220" s="2" t="s">
        <v>628</v>
      </c>
      <c r="F220" s="2" t="s">
        <v>629</v>
      </c>
      <c r="G220" s="2" t="s">
        <v>101</v>
      </c>
      <c r="H220" s="17">
        <v>50</v>
      </c>
      <c r="I220" s="31">
        <f t="shared" si="18"/>
        <v>50000</v>
      </c>
      <c r="J220" s="31">
        <f t="shared" si="19"/>
        <v>3500.0000000000005</v>
      </c>
      <c r="K220" s="44">
        <f t="shared" si="20"/>
        <v>9.589041095890412</v>
      </c>
      <c r="L220" s="3">
        <f t="shared" si="21"/>
        <v>709.58904109589048</v>
      </c>
      <c r="M220" s="3">
        <f t="shared" si="22"/>
        <v>42.57534246575343</v>
      </c>
      <c r="N220" s="67">
        <f t="shared" si="23"/>
        <v>667.01369863013701</v>
      </c>
      <c r="O220" s="3"/>
      <c r="P220" s="70" t="s">
        <v>18609</v>
      </c>
      <c r="Q220" s="2" t="s">
        <v>32</v>
      </c>
      <c r="R220" s="2" t="s">
        <v>630</v>
      </c>
      <c r="T220" s="2" t="s">
        <v>18664</v>
      </c>
      <c r="U220" s="2" t="s">
        <v>18652</v>
      </c>
      <c r="V220" s="107">
        <v>45857</v>
      </c>
      <c r="W220" s="2"/>
      <c r="X220" s="97"/>
      <c r="Y220" s="75">
        <v>667.02</v>
      </c>
    </row>
    <row r="221" spans="1:25" x14ac:dyDescent="0.25">
      <c r="A221" s="76">
        <v>216</v>
      </c>
      <c r="B221" s="2" t="s">
        <v>14286</v>
      </c>
      <c r="C221" s="2" t="s">
        <v>14287</v>
      </c>
      <c r="D221" s="2" t="s">
        <v>14288</v>
      </c>
      <c r="E221" s="2" t="s">
        <v>14289</v>
      </c>
      <c r="F221" s="2" t="s">
        <v>14290</v>
      </c>
      <c r="G221" s="2" t="s">
        <v>1315</v>
      </c>
      <c r="H221" s="17">
        <v>25</v>
      </c>
      <c r="I221" s="31">
        <f t="shared" si="18"/>
        <v>25000</v>
      </c>
      <c r="J221" s="31">
        <f t="shared" si="19"/>
        <v>1750.0000000000002</v>
      </c>
      <c r="K221" s="44">
        <f t="shared" si="20"/>
        <v>4.794520547945206</v>
      </c>
      <c r="L221" s="3">
        <f t="shared" si="21"/>
        <v>354.79452054794524</v>
      </c>
      <c r="M221" s="3">
        <f t="shared" si="22"/>
        <v>21.287671232876715</v>
      </c>
      <c r="N221" s="67">
        <f t="shared" si="23"/>
        <v>333.50684931506851</v>
      </c>
      <c r="O221" s="3"/>
      <c r="P221" s="70" t="s">
        <v>18609</v>
      </c>
      <c r="Q221" s="2" t="s">
        <v>32</v>
      </c>
      <c r="R221" s="2" t="s">
        <v>14291</v>
      </c>
      <c r="T221" s="2" t="s">
        <v>18664</v>
      </c>
      <c r="U221" s="2" t="s">
        <v>18652</v>
      </c>
      <c r="V221" s="107">
        <v>45857</v>
      </c>
      <c r="W221" s="2"/>
      <c r="X221" s="97"/>
      <c r="Y221" s="75">
        <v>333.51</v>
      </c>
    </row>
    <row r="222" spans="1:25" x14ac:dyDescent="0.25">
      <c r="A222" s="76">
        <v>217</v>
      </c>
      <c r="B222" s="2" t="s">
        <v>13351</v>
      </c>
      <c r="C222" s="2" t="s">
        <v>13352</v>
      </c>
      <c r="D222" s="2" t="s">
        <v>13353</v>
      </c>
      <c r="E222" s="2" t="s">
        <v>13354</v>
      </c>
      <c r="F222" s="2" t="s">
        <v>13355</v>
      </c>
      <c r="G222" s="2" t="s">
        <v>261</v>
      </c>
      <c r="H222" s="17">
        <v>50</v>
      </c>
      <c r="I222" s="31">
        <f t="shared" si="18"/>
        <v>50000</v>
      </c>
      <c r="J222" s="31">
        <f t="shared" si="19"/>
        <v>3500.0000000000005</v>
      </c>
      <c r="K222" s="44">
        <f t="shared" si="20"/>
        <v>9.589041095890412</v>
      </c>
      <c r="L222" s="3">
        <f t="shared" si="21"/>
        <v>709.58904109589048</v>
      </c>
      <c r="M222" s="3">
        <f t="shared" si="22"/>
        <v>42.57534246575343</v>
      </c>
      <c r="N222" s="67">
        <f t="shared" si="23"/>
        <v>667.01369863013701</v>
      </c>
      <c r="O222" s="3"/>
      <c r="P222" s="70" t="s">
        <v>18609</v>
      </c>
      <c r="Q222" s="2" t="s">
        <v>32</v>
      </c>
      <c r="R222" s="2" t="s">
        <v>13356</v>
      </c>
      <c r="T222" s="2" t="s">
        <v>18664</v>
      </c>
      <c r="U222" s="2" t="s">
        <v>18652</v>
      </c>
      <c r="V222" s="107">
        <v>45857</v>
      </c>
      <c r="W222" s="2"/>
      <c r="X222" s="97"/>
      <c r="Y222" s="75">
        <v>667.02</v>
      </c>
    </row>
    <row r="223" spans="1:25" x14ac:dyDescent="0.25">
      <c r="A223" s="76">
        <v>218</v>
      </c>
      <c r="B223" s="2" t="s">
        <v>13324</v>
      </c>
      <c r="C223" s="2" t="s">
        <v>13325</v>
      </c>
      <c r="D223" s="2" t="s">
        <v>13326</v>
      </c>
      <c r="E223" s="2" t="s">
        <v>13327</v>
      </c>
      <c r="F223" s="2" t="s">
        <v>13328</v>
      </c>
      <c r="G223" s="2" t="s">
        <v>261</v>
      </c>
      <c r="H223" s="17">
        <v>50</v>
      </c>
      <c r="I223" s="31">
        <f t="shared" si="18"/>
        <v>50000</v>
      </c>
      <c r="J223" s="31">
        <f t="shared" si="19"/>
        <v>3500.0000000000005</v>
      </c>
      <c r="K223" s="44">
        <f t="shared" si="20"/>
        <v>9.589041095890412</v>
      </c>
      <c r="L223" s="3">
        <f t="shared" si="21"/>
        <v>709.58904109589048</v>
      </c>
      <c r="M223" s="3">
        <f t="shared" si="22"/>
        <v>42.57534246575343</v>
      </c>
      <c r="N223" s="67">
        <f t="shared" si="23"/>
        <v>667.01369863013701</v>
      </c>
      <c r="O223" s="3"/>
      <c r="P223" s="70" t="s">
        <v>18609</v>
      </c>
      <c r="Q223" s="2" t="s">
        <v>32</v>
      </c>
      <c r="R223" s="2" t="s">
        <v>13329</v>
      </c>
      <c r="T223" s="2" t="s">
        <v>18664</v>
      </c>
      <c r="U223" s="2" t="s">
        <v>18652</v>
      </c>
      <c r="V223" s="107">
        <v>45857</v>
      </c>
      <c r="W223" s="2"/>
      <c r="X223" s="97"/>
      <c r="Y223" s="75">
        <v>667.02</v>
      </c>
    </row>
    <row r="224" spans="1:25" x14ac:dyDescent="0.25">
      <c r="A224" s="76">
        <v>219</v>
      </c>
      <c r="B224" s="2" t="s">
        <v>13944</v>
      </c>
      <c r="C224" s="2" t="s">
        <v>13945</v>
      </c>
      <c r="D224" s="2" t="s">
        <v>13910</v>
      </c>
      <c r="E224" s="2" t="s">
        <v>13946</v>
      </c>
      <c r="F224" s="2" t="s">
        <v>13947</v>
      </c>
      <c r="G224" s="2" t="s">
        <v>31</v>
      </c>
      <c r="H224" s="17">
        <v>500</v>
      </c>
      <c r="I224" s="31">
        <f t="shared" si="18"/>
        <v>500000</v>
      </c>
      <c r="J224" s="31">
        <f t="shared" si="19"/>
        <v>35000</v>
      </c>
      <c r="K224" s="44">
        <f t="shared" si="20"/>
        <v>95.890410958904113</v>
      </c>
      <c r="L224" s="3">
        <f t="shared" si="21"/>
        <v>7095.8904109589039</v>
      </c>
      <c r="M224" s="3">
        <f t="shared" si="22"/>
        <v>425.7534246575342</v>
      </c>
      <c r="N224" s="67">
        <f t="shared" si="23"/>
        <v>6670.1369863013697</v>
      </c>
      <c r="O224" s="3"/>
      <c r="P224" s="70" t="s">
        <v>18609</v>
      </c>
      <c r="Q224" s="2" t="s">
        <v>32</v>
      </c>
      <c r="R224" s="2" t="s">
        <v>13948</v>
      </c>
      <c r="T224" s="2" t="s">
        <v>18664</v>
      </c>
      <c r="U224" s="2" t="s">
        <v>18652</v>
      </c>
      <c r="V224" s="107">
        <v>45857</v>
      </c>
      <c r="W224" s="2"/>
      <c r="X224" s="97"/>
      <c r="Y224" s="75">
        <v>6670.14</v>
      </c>
    </row>
    <row r="225" spans="1:25" x14ac:dyDescent="0.25">
      <c r="A225" s="76">
        <v>220</v>
      </c>
      <c r="B225" s="2" t="s">
        <v>4476</v>
      </c>
      <c r="C225" s="2" t="s">
        <v>4477</v>
      </c>
      <c r="D225" s="2" t="s">
        <v>4478</v>
      </c>
      <c r="E225" s="2" t="s">
        <v>4479</v>
      </c>
      <c r="F225" s="2" t="s">
        <v>4480</v>
      </c>
      <c r="G225" s="2" t="s">
        <v>587</v>
      </c>
      <c r="H225" s="17">
        <v>25</v>
      </c>
      <c r="I225" s="31">
        <f t="shared" si="18"/>
        <v>25000</v>
      </c>
      <c r="J225" s="31">
        <f t="shared" si="19"/>
        <v>1750.0000000000002</v>
      </c>
      <c r="K225" s="44">
        <f t="shared" si="20"/>
        <v>4.794520547945206</v>
      </c>
      <c r="L225" s="3">
        <f t="shared" si="21"/>
        <v>354.79452054794524</v>
      </c>
      <c r="M225" s="3">
        <f t="shared" si="22"/>
        <v>21.287671232876715</v>
      </c>
      <c r="N225" s="67">
        <f t="shared" si="23"/>
        <v>333.50684931506851</v>
      </c>
      <c r="O225" s="3"/>
      <c r="P225" s="70" t="s">
        <v>18609</v>
      </c>
      <c r="Q225" s="2" t="s">
        <v>32</v>
      </c>
      <c r="R225" s="2" t="s">
        <v>4481</v>
      </c>
      <c r="T225" s="2" t="s">
        <v>18664</v>
      </c>
      <c r="U225" s="2" t="s">
        <v>18652</v>
      </c>
      <c r="V225" s="107">
        <v>45857</v>
      </c>
      <c r="W225" s="2"/>
      <c r="X225" s="97"/>
      <c r="Y225" s="75">
        <v>333.51</v>
      </c>
    </row>
    <row r="226" spans="1:25" x14ac:dyDescent="0.25">
      <c r="A226" s="76">
        <v>221</v>
      </c>
      <c r="B226" s="2" t="s">
        <v>10592</v>
      </c>
      <c r="C226" s="2" t="s">
        <v>10593</v>
      </c>
      <c r="D226" s="2" t="s">
        <v>10594</v>
      </c>
      <c r="E226" s="2" t="s">
        <v>10595</v>
      </c>
      <c r="F226" s="2" t="s">
        <v>10596</v>
      </c>
      <c r="G226" s="2" t="s">
        <v>166</v>
      </c>
      <c r="H226" s="17">
        <v>200</v>
      </c>
      <c r="I226" s="31">
        <f t="shared" si="18"/>
        <v>200000</v>
      </c>
      <c r="J226" s="31">
        <f t="shared" si="19"/>
        <v>14000.000000000002</v>
      </c>
      <c r="K226" s="44">
        <f t="shared" si="20"/>
        <v>38.356164383561648</v>
      </c>
      <c r="L226" s="3">
        <f t="shared" si="21"/>
        <v>2838.3561643835619</v>
      </c>
      <c r="M226" s="3">
        <f t="shared" si="22"/>
        <v>170.30136986301372</v>
      </c>
      <c r="N226" s="67">
        <f t="shared" si="23"/>
        <v>2668.0547945205481</v>
      </c>
      <c r="O226" s="3"/>
      <c r="P226" s="70" t="s">
        <v>18609</v>
      </c>
      <c r="Q226" s="2" t="s">
        <v>32</v>
      </c>
      <c r="R226" s="2" t="s">
        <v>10597</v>
      </c>
      <c r="T226" s="2" t="s">
        <v>18664</v>
      </c>
      <c r="U226" s="2" t="s">
        <v>18652</v>
      </c>
      <c r="V226" s="107">
        <v>45857</v>
      </c>
      <c r="W226" s="2"/>
      <c r="X226" s="97"/>
      <c r="Y226" s="75">
        <v>2668.0600000000004</v>
      </c>
    </row>
    <row r="227" spans="1:25" x14ac:dyDescent="0.25">
      <c r="A227" s="76">
        <v>222</v>
      </c>
      <c r="B227" s="2" t="s">
        <v>13089</v>
      </c>
      <c r="C227" s="2" t="s">
        <v>13090</v>
      </c>
      <c r="D227" s="2" t="s">
        <v>13091</v>
      </c>
      <c r="E227" s="2" t="s">
        <v>13092</v>
      </c>
      <c r="F227" s="2" t="s">
        <v>13093</v>
      </c>
      <c r="G227" s="2" t="s">
        <v>151</v>
      </c>
      <c r="H227" s="17">
        <v>900</v>
      </c>
      <c r="I227" s="31">
        <f t="shared" si="18"/>
        <v>900000</v>
      </c>
      <c r="J227" s="31">
        <f t="shared" si="19"/>
        <v>63000.000000000007</v>
      </c>
      <c r="K227" s="44">
        <f t="shared" si="20"/>
        <v>172.60273972602741</v>
      </c>
      <c r="L227" s="3">
        <f t="shared" si="21"/>
        <v>12772.602739726028</v>
      </c>
      <c r="M227" s="3">
        <f t="shared" si="22"/>
        <v>766.35616438356169</v>
      </c>
      <c r="N227" s="67">
        <f t="shared" si="23"/>
        <v>12006.246575342466</v>
      </c>
      <c r="O227" s="3"/>
      <c r="P227" s="70" t="s">
        <v>18609</v>
      </c>
      <c r="Q227" s="2" t="s">
        <v>32</v>
      </c>
      <c r="R227" s="2" t="s">
        <v>13094</v>
      </c>
      <c r="T227" s="2" t="s">
        <v>18664</v>
      </c>
      <c r="U227" s="2" t="s">
        <v>18652</v>
      </c>
      <c r="V227" s="107">
        <v>45857</v>
      </c>
      <c r="W227" s="2"/>
      <c r="X227" s="97"/>
      <c r="Y227" s="75">
        <v>12006.25</v>
      </c>
    </row>
    <row r="228" spans="1:25" x14ac:dyDescent="0.25">
      <c r="A228" s="76">
        <v>223</v>
      </c>
      <c r="B228" s="2" t="s">
        <v>7707</v>
      </c>
      <c r="C228" s="2" t="s">
        <v>7708</v>
      </c>
      <c r="D228" s="2" t="s">
        <v>7709</v>
      </c>
      <c r="E228" s="2" t="s">
        <v>7710</v>
      </c>
      <c r="F228" s="2" t="s">
        <v>7711</v>
      </c>
      <c r="G228" s="2" t="s">
        <v>1136</v>
      </c>
      <c r="H228" s="17">
        <v>100</v>
      </c>
      <c r="I228" s="31">
        <f t="shared" si="18"/>
        <v>100000</v>
      </c>
      <c r="J228" s="31">
        <f t="shared" si="19"/>
        <v>7000.0000000000009</v>
      </c>
      <c r="K228" s="44">
        <f t="shared" si="20"/>
        <v>19.178082191780824</v>
      </c>
      <c r="L228" s="3">
        <f t="shared" si="21"/>
        <v>1419.178082191781</v>
      </c>
      <c r="M228" s="3">
        <f t="shared" si="22"/>
        <v>85.150684931506859</v>
      </c>
      <c r="N228" s="67">
        <f t="shared" si="23"/>
        <v>1334.027397260274</v>
      </c>
      <c r="O228" s="3"/>
      <c r="P228" s="70" t="s">
        <v>18609</v>
      </c>
      <c r="Q228" s="2" t="s">
        <v>32</v>
      </c>
      <c r="R228" s="2" t="s">
        <v>7712</v>
      </c>
      <c r="T228" s="2" t="s">
        <v>18664</v>
      </c>
      <c r="U228" s="2" t="s">
        <v>18652</v>
      </c>
      <c r="V228" s="107">
        <v>45857</v>
      </c>
      <c r="W228" s="2"/>
      <c r="X228" s="97"/>
      <c r="Y228" s="75">
        <v>1334.03</v>
      </c>
    </row>
    <row r="229" spans="1:25" x14ac:dyDescent="0.25">
      <c r="A229" s="76">
        <v>224</v>
      </c>
      <c r="B229" s="2" t="s">
        <v>13949</v>
      </c>
      <c r="C229" s="2" t="s">
        <v>13950</v>
      </c>
      <c r="D229" s="2" t="s">
        <v>13951</v>
      </c>
      <c r="E229" s="2" t="s">
        <v>13952</v>
      </c>
      <c r="F229" s="2" t="s">
        <v>13953</v>
      </c>
      <c r="G229" s="2" t="s">
        <v>2380</v>
      </c>
      <c r="H229" s="17">
        <v>25</v>
      </c>
      <c r="I229" s="31">
        <f t="shared" si="18"/>
        <v>25000</v>
      </c>
      <c r="J229" s="31">
        <f t="shared" si="19"/>
        <v>1750.0000000000002</v>
      </c>
      <c r="K229" s="44">
        <f t="shared" si="20"/>
        <v>4.794520547945206</v>
      </c>
      <c r="L229" s="3">
        <f t="shared" si="21"/>
        <v>354.79452054794524</v>
      </c>
      <c r="M229" s="3">
        <f t="shared" si="22"/>
        <v>21.287671232876715</v>
      </c>
      <c r="N229" s="67">
        <f t="shared" si="23"/>
        <v>333.50684931506851</v>
      </c>
      <c r="O229" s="3"/>
      <c r="P229" s="70" t="s">
        <v>18609</v>
      </c>
      <c r="Q229" s="2" t="s">
        <v>32</v>
      </c>
      <c r="R229" s="2" t="s">
        <v>13954</v>
      </c>
      <c r="T229" s="2" t="s">
        <v>18664</v>
      </c>
      <c r="U229" s="2" t="s">
        <v>18652</v>
      </c>
      <c r="V229" s="107">
        <v>45857</v>
      </c>
      <c r="W229" s="2"/>
      <c r="X229" s="97"/>
      <c r="Y229" s="75">
        <v>333.51</v>
      </c>
    </row>
    <row r="230" spans="1:25" x14ac:dyDescent="0.25">
      <c r="A230" s="76">
        <v>225</v>
      </c>
      <c r="B230" s="2" t="s">
        <v>3632</v>
      </c>
      <c r="C230" s="2" t="s">
        <v>3633</v>
      </c>
      <c r="D230" s="2" t="s">
        <v>3634</v>
      </c>
      <c r="E230" s="2" t="s">
        <v>3635</v>
      </c>
      <c r="F230" s="2" t="s">
        <v>3636</v>
      </c>
      <c r="G230" s="2" t="s">
        <v>2624</v>
      </c>
      <c r="H230" s="17">
        <v>30</v>
      </c>
      <c r="I230" s="31">
        <f t="shared" si="18"/>
        <v>30000</v>
      </c>
      <c r="J230" s="31">
        <f t="shared" si="19"/>
        <v>2100</v>
      </c>
      <c r="K230" s="44">
        <f t="shared" si="20"/>
        <v>5.7534246575342465</v>
      </c>
      <c r="L230" s="3">
        <f t="shared" si="21"/>
        <v>425.75342465753425</v>
      </c>
      <c r="M230" s="3">
        <f t="shared" si="22"/>
        <v>25.545205479452054</v>
      </c>
      <c r="N230" s="67">
        <f t="shared" si="23"/>
        <v>400.20821917808217</v>
      </c>
      <c r="O230" s="3"/>
      <c r="P230" s="70" t="s">
        <v>18609</v>
      </c>
      <c r="Q230" s="2" t="s">
        <v>32</v>
      </c>
      <c r="R230" s="2" t="s">
        <v>3637</v>
      </c>
      <c r="T230" s="2" t="s">
        <v>18664</v>
      </c>
      <c r="U230" s="2" t="s">
        <v>18652</v>
      </c>
      <c r="V230" s="107">
        <v>45857</v>
      </c>
      <c r="W230" s="2"/>
      <c r="X230" s="97"/>
      <c r="Y230" s="75">
        <v>400.21</v>
      </c>
    </row>
    <row r="231" spans="1:25" x14ac:dyDescent="0.25">
      <c r="A231" s="76">
        <v>226</v>
      </c>
      <c r="B231" s="2" t="s">
        <v>14511</v>
      </c>
      <c r="C231" s="2" t="s">
        <v>14512</v>
      </c>
      <c r="D231" s="2" t="s">
        <v>14513</v>
      </c>
      <c r="E231" s="2" t="s">
        <v>14514</v>
      </c>
      <c r="F231" s="2" t="s">
        <v>14515</v>
      </c>
      <c r="G231" s="2" t="s">
        <v>643</v>
      </c>
      <c r="H231" s="17">
        <v>25</v>
      </c>
      <c r="I231" s="31">
        <f t="shared" si="18"/>
        <v>25000</v>
      </c>
      <c r="J231" s="31">
        <f t="shared" si="19"/>
        <v>1750.0000000000002</v>
      </c>
      <c r="K231" s="44">
        <f t="shared" si="20"/>
        <v>4.794520547945206</v>
      </c>
      <c r="L231" s="3">
        <f t="shared" si="21"/>
        <v>354.79452054794524</v>
      </c>
      <c r="M231" s="3">
        <f t="shared" si="22"/>
        <v>21.287671232876715</v>
      </c>
      <c r="N231" s="67">
        <f t="shared" si="23"/>
        <v>333.50684931506851</v>
      </c>
      <c r="O231" s="3"/>
      <c r="P231" s="70" t="s">
        <v>18609</v>
      </c>
      <c r="Q231" s="2" t="s">
        <v>32</v>
      </c>
      <c r="R231" s="2" t="s">
        <v>14516</v>
      </c>
      <c r="T231" s="2" t="s">
        <v>18664</v>
      </c>
      <c r="U231" s="2" t="s">
        <v>18652</v>
      </c>
      <c r="V231" s="107">
        <v>45857</v>
      </c>
      <c r="W231" s="2"/>
      <c r="X231" s="97"/>
      <c r="Y231" s="75">
        <v>333.51</v>
      </c>
    </row>
    <row r="232" spans="1:25" x14ac:dyDescent="0.25">
      <c r="A232" s="76">
        <v>227</v>
      </c>
      <c r="B232" s="2" t="s">
        <v>12803</v>
      </c>
      <c r="C232" s="2" t="s">
        <v>12804</v>
      </c>
      <c r="D232" s="2" t="s">
        <v>12805</v>
      </c>
      <c r="E232" s="2" t="s">
        <v>12806</v>
      </c>
      <c r="F232" s="2" t="s">
        <v>12807</v>
      </c>
      <c r="G232" s="2" t="s">
        <v>750</v>
      </c>
      <c r="H232" s="17">
        <v>25</v>
      </c>
      <c r="I232" s="31">
        <f t="shared" si="18"/>
        <v>25000</v>
      </c>
      <c r="J232" s="31">
        <f t="shared" si="19"/>
        <v>1750.0000000000002</v>
      </c>
      <c r="K232" s="44">
        <f t="shared" si="20"/>
        <v>4.794520547945206</v>
      </c>
      <c r="L232" s="3">
        <f t="shared" si="21"/>
        <v>354.79452054794524</v>
      </c>
      <c r="M232" s="3">
        <f t="shared" si="22"/>
        <v>21.287671232876715</v>
      </c>
      <c r="N232" s="67">
        <f t="shared" si="23"/>
        <v>333.50684931506851</v>
      </c>
      <c r="O232" s="3"/>
      <c r="P232" s="70" t="s">
        <v>18609</v>
      </c>
      <c r="Q232" s="2" t="s">
        <v>32</v>
      </c>
      <c r="R232" s="2" t="s">
        <v>12808</v>
      </c>
      <c r="T232" s="2" t="s">
        <v>18664</v>
      </c>
      <c r="U232" s="2" t="s">
        <v>18652</v>
      </c>
      <c r="V232" s="107">
        <v>45857</v>
      </c>
      <c r="W232" s="2"/>
      <c r="X232" s="97"/>
      <c r="Y232" s="75">
        <v>333.51</v>
      </c>
    </row>
    <row r="233" spans="1:25" x14ac:dyDescent="0.25">
      <c r="A233" s="76">
        <v>228</v>
      </c>
      <c r="B233" s="2" t="s">
        <v>7913</v>
      </c>
      <c r="C233" s="2" t="s">
        <v>7914</v>
      </c>
      <c r="D233" s="2" t="s">
        <v>7915</v>
      </c>
      <c r="E233" s="2" t="s">
        <v>7916</v>
      </c>
      <c r="F233" s="2" t="s">
        <v>7917</v>
      </c>
      <c r="G233" s="2" t="s">
        <v>1136</v>
      </c>
      <c r="H233" s="17">
        <v>25</v>
      </c>
      <c r="I233" s="31">
        <f t="shared" si="18"/>
        <v>25000</v>
      </c>
      <c r="J233" s="31">
        <f t="shared" si="19"/>
        <v>1750.0000000000002</v>
      </c>
      <c r="K233" s="44">
        <f t="shared" si="20"/>
        <v>4.794520547945206</v>
      </c>
      <c r="L233" s="3">
        <f t="shared" si="21"/>
        <v>354.79452054794524</v>
      </c>
      <c r="M233" s="3">
        <f t="shared" si="22"/>
        <v>21.287671232876715</v>
      </c>
      <c r="N233" s="67">
        <f t="shared" si="23"/>
        <v>333.50684931506851</v>
      </c>
      <c r="O233" s="3"/>
      <c r="P233" s="70" t="s">
        <v>18609</v>
      </c>
      <c r="Q233" s="2" t="s">
        <v>32</v>
      </c>
      <c r="R233" s="2" t="s">
        <v>7918</v>
      </c>
      <c r="T233" s="2" t="s">
        <v>18664</v>
      </c>
      <c r="U233" s="2" t="s">
        <v>18652</v>
      </c>
      <c r="V233" s="107">
        <v>45857</v>
      </c>
      <c r="W233" s="2"/>
      <c r="X233" s="97"/>
      <c r="Y233" s="75">
        <v>333.51</v>
      </c>
    </row>
    <row r="234" spans="1:25" x14ac:dyDescent="0.25">
      <c r="A234" s="76">
        <v>229</v>
      </c>
      <c r="B234" s="2" t="s">
        <v>16781</v>
      </c>
      <c r="C234" s="2" t="s">
        <v>5311</v>
      </c>
      <c r="D234" s="2" t="s">
        <v>16782</v>
      </c>
      <c r="E234" s="2" t="s">
        <v>16783</v>
      </c>
      <c r="F234" s="2" t="s">
        <v>16784</v>
      </c>
      <c r="G234" s="2" t="s">
        <v>240</v>
      </c>
      <c r="H234" s="17">
        <v>25</v>
      </c>
      <c r="I234" s="31">
        <f t="shared" si="18"/>
        <v>25000</v>
      </c>
      <c r="J234" s="31">
        <f t="shared" si="19"/>
        <v>1750.0000000000002</v>
      </c>
      <c r="K234" s="44">
        <f t="shared" si="20"/>
        <v>4.794520547945206</v>
      </c>
      <c r="L234" s="3">
        <f t="shared" si="21"/>
        <v>354.79452054794524</v>
      </c>
      <c r="M234" s="3">
        <f t="shared" si="22"/>
        <v>21.287671232876715</v>
      </c>
      <c r="N234" s="67">
        <f t="shared" si="23"/>
        <v>333.50684931506851</v>
      </c>
      <c r="O234" s="3"/>
      <c r="P234" s="70" t="s">
        <v>18609</v>
      </c>
      <c r="Q234" s="2" t="s">
        <v>32</v>
      </c>
      <c r="R234" s="2" t="s">
        <v>16785</v>
      </c>
      <c r="T234" s="2" t="s">
        <v>18664</v>
      </c>
      <c r="U234" s="2" t="s">
        <v>18652</v>
      </c>
      <c r="V234" s="107">
        <v>45857</v>
      </c>
      <c r="W234" s="2"/>
      <c r="X234" s="97"/>
      <c r="Y234" s="75">
        <v>333.51</v>
      </c>
    </row>
    <row r="235" spans="1:25" x14ac:dyDescent="0.25">
      <c r="A235" s="76">
        <v>230</v>
      </c>
      <c r="B235" s="2" t="s">
        <v>897</v>
      </c>
      <c r="C235" s="2" t="s">
        <v>898</v>
      </c>
      <c r="D235" s="2" t="s">
        <v>899</v>
      </c>
      <c r="E235" s="2" t="s">
        <v>900</v>
      </c>
      <c r="F235" s="2" t="s">
        <v>901</v>
      </c>
      <c r="G235" s="2" t="s">
        <v>328</v>
      </c>
      <c r="H235" s="17">
        <v>25</v>
      </c>
      <c r="I235" s="31">
        <f t="shared" si="18"/>
        <v>25000</v>
      </c>
      <c r="J235" s="31">
        <f t="shared" si="19"/>
        <v>1750.0000000000002</v>
      </c>
      <c r="K235" s="44">
        <f t="shared" si="20"/>
        <v>4.794520547945206</v>
      </c>
      <c r="L235" s="3">
        <f t="shared" si="21"/>
        <v>354.79452054794524</v>
      </c>
      <c r="M235" s="3">
        <f t="shared" si="22"/>
        <v>21.287671232876715</v>
      </c>
      <c r="N235" s="67">
        <f t="shared" si="23"/>
        <v>333.50684931506851</v>
      </c>
      <c r="O235" s="3"/>
      <c r="P235" s="70" t="s">
        <v>18609</v>
      </c>
      <c r="Q235" s="2" t="s">
        <v>32</v>
      </c>
      <c r="R235" s="2" t="s">
        <v>902</v>
      </c>
      <c r="T235" s="2" t="s">
        <v>18664</v>
      </c>
      <c r="U235" s="2" t="s">
        <v>18652</v>
      </c>
      <c r="V235" s="107">
        <v>45857</v>
      </c>
      <c r="W235" s="2"/>
      <c r="X235" s="97"/>
      <c r="Y235" s="75">
        <v>333.51</v>
      </c>
    </row>
    <row r="236" spans="1:25" x14ac:dyDescent="0.25">
      <c r="A236" s="76">
        <v>231</v>
      </c>
      <c r="B236" s="2" t="s">
        <v>17902</v>
      </c>
      <c r="C236" s="2" t="s">
        <v>17903</v>
      </c>
      <c r="D236" s="2" t="s">
        <v>17904</v>
      </c>
      <c r="E236" s="2" t="s">
        <v>17905</v>
      </c>
      <c r="F236" s="2" t="s">
        <v>17906</v>
      </c>
      <c r="G236" s="2" t="s">
        <v>1048</v>
      </c>
      <c r="H236" s="17">
        <v>25</v>
      </c>
      <c r="I236" s="31">
        <f t="shared" si="18"/>
        <v>25000</v>
      </c>
      <c r="J236" s="31">
        <f t="shared" si="19"/>
        <v>1750.0000000000002</v>
      </c>
      <c r="K236" s="44">
        <f t="shared" si="20"/>
        <v>4.794520547945206</v>
      </c>
      <c r="L236" s="3">
        <f t="shared" si="21"/>
        <v>354.79452054794524</v>
      </c>
      <c r="M236" s="3">
        <f t="shared" si="22"/>
        <v>21.287671232876715</v>
      </c>
      <c r="N236" s="67">
        <f t="shared" si="23"/>
        <v>333.50684931506851</v>
      </c>
      <c r="O236" s="3"/>
      <c r="P236" s="70" t="s">
        <v>18609</v>
      </c>
      <c r="Q236" s="2" t="s">
        <v>32</v>
      </c>
      <c r="R236" s="2" t="s">
        <v>17907</v>
      </c>
      <c r="T236" s="2" t="s">
        <v>18664</v>
      </c>
      <c r="U236" s="2" t="s">
        <v>18652</v>
      </c>
      <c r="V236" s="107">
        <v>45857</v>
      </c>
      <c r="W236" s="2"/>
      <c r="X236" s="97"/>
      <c r="Y236" s="75">
        <v>333.51</v>
      </c>
    </row>
    <row r="237" spans="1:25" x14ac:dyDescent="0.25">
      <c r="A237" s="76">
        <v>232</v>
      </c>
      <c r="B237" s="2" t="s">
        <v>10852</v>
      </c>
      <c r="C237" s="2" t="s">
        <v>10853</v>
      </c>
      <c r="D237" s="2" t="s">
        <v>10854</v>
      </c>
      <c r="E237" s="2" t="s">
        <v>10855</v>
      </c>
      <c r="F237" s="2" t="s">
        <v>10856</v>
      </c>
      <c r="G237" s="2" t="s">
        <v>240</v>
      </c>
      <c r="H237" s="17">
        <v>25</v>
      </c>
      <c r="I237" s="31">
        <f t="shared" si="18"/>
        <v>25000</v>
      </c>
      <c r="J237" s="31">
        <f t="shared" si="19"/>
        <v>1750.0000000000002</v>
      </c>
      <c r="K237" s="44">
        <f t="shared" si="20"/>
        <v>4.794520547945206</v>
      </c>
      <c r="L237" s="3">
        <f t="shared" si="21"/>
        <v>354.79452054794524</v>
      </c>
      <c r="M237" s="3">
        <f t="shared" si="22"/>
        <v>21.287671232876715</v>
      </c>
      <c r="N237" s="67">
        <f t="shared" si="23"/>
        <v>333.50684931506851</v>
      </c>
      <c r="O237" s="3"/>
      <c r="P237" s="70" t="s">
        <v>18609</v>
      </c>
      <c r="Q237" s="2" t="s">
        <v>32</v>
      </c>
      <c r="R237" s="2" t="s">
        <v>10857</v>
      </c>
      <c r="T237" s="2" t="s">
        <v>18664</v>
      </c>
      <c r="U237" s="2" t="s">
        <v>18652</v>
      </c>
      <c r="V237" s="107">
        <v>45857</v>
      </c>
      <c r="W237" s="2"/>
      <c r="X237" s="97"/>
      <c r="Y237" s="75">
        <v>333.51</v>
      </c>
    </row>
    <row r="238" spans="1:25" x14ac:dyDescent="0.25">
      <c r="A238" s="76">
        <v>233</v>
      </c>
      <c r="B238" s="2" t="s">
        <v>15538</v>
      </c>
      <c r="C238" s="2" t="s">
        <v>15539</v>
      </c>
      <c r="D238" s="2" t="s">
        <v>15540</v>
      </c>
      <c r="E238" s="2" t="s">
        <v>15541</v>
      </c>
      <c r="F238" s="2" t="s">
        <v>15542</v>
      </c>
      <c r="G238" s="2" t="s">
        <v>835</v>
      </c>
      <c r="H238" s="17">
        <v>50</v>
      </c>
      <c r="I238" s="31">
        <f t="shared" si="18"/>
        <v>50000</v>
      </c>
      <c r="J238" s="31">
        <f t="shared" si="19"/>
        <v>3500.0000000000005</v>
      </c>
      <c r="K238" s="44">
        <f t="shared" si="20"/>
        <v>9.589041095890412</v>
      </c>
      <c r="L238" s="3">
        <f t="shared" si="21"/>
        <v>709.58904109589048</v>
      </c>
      <c r="M238" s="3">
        <f t="shared" si="22"/>
        <v>42.57534246575343</v>
      </c>
      <c r="N238" s="67">
        <f t="shared" si="23"/>
        <v>667.01369863013701</v>
      </c>
      <c r="O238" s="3"/>
      <c r="P238" s="70" t="s">
        <v>18609</v>
      </c>
      <c r="Q238" s="2" t="s">
        <v>32</v>
      </c>
      <c r="R238" s="2" t="s">
        <v>15543</v>
      </c>
      <c r="T238" s="2" t="s">
        <v>18664</v>
      </c>
      <c r="U238" s="2" t="s">
        <v>18652</v>
      </c>
      <c r="V238" s="107">
        <v>45857</v>
      </c>
      <c r="W238" s="2"/>
      <c r="X238" s="97"/>
      <c r="Y238" s="75">
        <v>667.02</v>
      </c>
    </row>
    <row r="239" spans="1:25" x14ac:dyDescent="0.25">
      <c r="A239" s="76">
        <v>234</v>
      </c>
      <c r="B239" s="2" t="s">
        <v>15544</v>
      </c>
      <c r="C239" s="2" t="s">
        <v>15545</v>
      </c>
      <c r="D239" s="2" t="s">
        <v>15540</v>
      </c>
      <c r="E239" s="2" t="s">
        <v>15541</v>
      </c>
      <c r="F239" s="2" t="s">
        <v>2208</v>
      </c>
      <c r="G239" s="2" t="s">
        <v>835</v>
      </c>
      <c r="H239" s="17">
        <v>50</v>
      </c>
      <c r="I239" s="31">
        <f t="shared" si="18"/>
        <v>50000</v>
      </c>
      <c r="J239" s="31">
        <f t="shared" si="19"/>
        <v>3500.0000000000005</v>
      </c>
      <c r="K239" s="44">
        <f t="shared" si="20"/>
        <v>9.589041095890412</v>
      </c>
      <c r="L239" s="3">
        <f t="shared" si="21"/>
        <v>709.58904109589048</v>
      </c>
      <c r="M239" s="3">
        <f t="shared" si="22"/>
        <v>42.57534246575343</v>
      </c>
      <c r="N239" s="67">
        <f t="shared" si="23"/>
        <v>667.01369863013701</v>
      </c>
      <c r="O239" s="3"/>
      <c r="P239" s="70" t="s">
        <v>18609</v>
      </c>
      <c r="Q239" s="2" t="s">
        <v>32</v>
      </c>
      <c r="R239" s="2" t="s">
        <v>15546</v>
      </c>
      <c r="T239" s="2" t="s">
        <v>18664</v>
      </c>
      <c r="U239" s="2" t="s">
        <v>18652</v>
      </c>
      <c r="V239" s="107">
        <v>45857</v>
      </c>
      <c r="W239" s="2"/>
      <c r="X239" s="97"/>
      <c r="Y239" s="75">
        <v>667.02</v>
      </c>
    </row>
    <row r="240" spans="1:25" x14ac:dyDescent="0.25">
      <c r="A240" s="76">
        <v>235</v>
      </c>
      <c r="B240" s="2" t="s">
        <v>7889</v>
      </c>
      <c r="C240" s="2" t="s">
        <v>7890</v>
      </c>
      <c r="D240" s="2" t="s">
        <v>7891</v>
      </c>
      <c r="E240" s="2" t="s">
        <v>7892</v>
      </c>
      <c r="F240" s="2" t="s">
        <v>7893</v>
      </c>
      <c r="G240" s="2" t="s">
        <v>328</v>
      </c>
      <c r="H240" s="17">
        <v>25</v>
      </c>
      <c r="I240" s="31">
        <f t="shared" si="18"/>
        <v>25000</v>
      </c>
      <c r="J240" s="31">
        <f t="shared" si="19"/>
        <v>1750.0000000000002</v>
      </c>
      <c r="K240" s="44">
        <f t="shared" si="20"/>
        <v>4.794520547945206</v>
      </c>
      <c r="L240" s="3">
        <f t="shared" si="21"/>
        <v>354.79452054794524</v>
      </c>
      <c r="M240" s="3">
        <f t="shared" si="22"/>
        <v>21.287671232876715</v>
      </c>
      <c r="N240" s="67">
        <f t="shared" si="23"/>
        <v>333.50684931506851</v>
      </c>
      <c r="O240" s="3"/>
      <c r="P240" s="70" t="s">
        <v>18609</v>
      </c>
      <c r="Q240" s="2" t="s">
        <v>32</v>
      </c>
      <c r="R240" s="2" t="s">
        <v>7894</v>
      </c>
      <c r="T240" s="2" t="s">
        <v>18664</v>
      </c>
      <c r="U240" s="2" t="s">
        <v>18652</v>
      </c>
      <c r="V240" s="107">
        <v>45857</v>
      </c>
      <c r="W240" s="2"/>
      <c r="X240" s="97"/>
      <c r="Y240" s="75">
        <v>333.51</v>
      </c>
    </row>
    <row r="241" spans="1:25" x14ac:dyDescent="0.25">
      <c r="A241" s="76">
        <v>236</v>
      </c>
      <c r="B241" s="2" t="s">
        <v>18007</v>
      </c>
      <c r="C241" s="2" t="s">
        <v>18008</v>
      </c>
      <c r="D241" s="2" t="s">
        <v>18009</v>
      </c>
      <c r="E241" s="2" t="s">
        <v>18010</v>
      </c>
      <c r="F241" s="2" t="s">
        <v>18011</v>
      </c>
      <c r="G241" s="2" t="s">
        <v>680</v>
      </c>
      <c r="H241" s="17">
        <v>25</v>
      </c>
      <c r="I241" s="31">
        <f t="shared" si="18"/>
        <v>25000</v>
      </c>
      <c r="J241" s="31">
        <f t="shared" si="19"/>
        <v>1750.0000000000002</v>
      </c>
      <c r="K241" s="44">
        <f t="shared" si="20"/>
        <v>4.794520547945206</v>
      </c>
      <c r="L241" s="3">
        <f t="shared" si="21"/>
        <v>354.79452054794524</v>
      </c>
      <c r="M241" s="3">
        <f t="shared" si="22"/>
        <v>21.287671232876715</v>
      </c>
      <c r="N241" s="67">
        <f t="shared" si="23"/>
        <v>333.50684931506851</v>
      </c>
      <c r="O241" s="3"/>
      <c r="P241" s="70" t="s">
        <v>18609</v>
      </c>
      <c r="Q241" s="2" t="s">
        <v>32</v>
      </c>
      <c r="R241" s="2" t="s">
        <v>18012</v>
      </c>
      <c r="T241" s="2" t="s">
        <v>18664</v>
      </c>
      <c r="U241" s="2" t="s">
        <v>18652</v>
      </c>
      <c r="V241" s="107">
        <v>45857</v>
      </c>
      <c r="W241" s="2"/>
      <c r="X241" s="97"/>
      <c r="Y241" s="75">
        <v>333.51</v>
      </c>
    </row>
    <row r="242" spans="1:25" x14ac:dyDescent="0.25">
      <c r="A242" s="76">
        <v>237</v>
      </c>
      <c r="B242" s="2" t="s">
        <v>2139</v>
      </c>
      <c r="C242" s="2" t="s">
        <v>2140</v>
      </c>
      <c r="D242" s="2" t="s">
        <v>2141</v>
      </c>
      <c r="E242" s="2" t="s">
        <v>2142</v>
      </c>
      <c r="F242" s="2" t="s">
        <v>2143</v>
      </c>
      <c r="G242" s="2" t="s">
        <v>101</v>
      </c>
      <c r="H242" s="17">
        <v>500</v>
      </c>
      <c r="I242" s="31">
        <f t="shared" si="18"/>
        <v>500000</v>
      </c>
      <c r="J242" s="31">
        <f t="shared" si="19"/>
        <v>35000</v>
      </c>
      <c r="K242" s="44">
        <f t="shared" si="20"/>
        <v>95.890410958904113</v>
      </c>
      <c r="L242" s="3">
        <f t="shared" si="21"/>
        <v>7095.8904109589039</v>
      </c>
      <c r="M242" s="3">
        <f t="shared" si="22"/>
        <v>425.7534246575342</v>
      </c>
      <c r="N242" s="67">
        <f t="shared" si="23"/>
        <v>6670.1369863013697</v>
      </c>
      <c r="O242" s="3"/>
      <c r="P242" s="70" t="s">
        <v>18609</v>
      </c>
      <c r="Q242" s="2" t="s">
        <v>32</v>
      </c>
      <c r="R242" s="2" t="s">
        <v>2144</v>
      </c>
      <c r="T242" s="2" t="s">
        <v>18664</v>
      </c>
      <c r="U242" s="2" t="s">
        <v>18652</v>
      </c>
      <c r="V242" s="107">
        <v>45857</v>
      </c>
      <c r="W242" s="2"/>
      <c r="X242" s="97"/>
      <c r="Y242" s="75">
        <v>6670.14</v>
      </c>
    </row>
    <row r="243" spans="1:25" x14ac:dyDescent="0.25">
      <c r="A243" s="76">
        <v>238</v>
      </c>
      <c r="B243" s="2" t="s">
        <v>12914</v>
      </c>
      <c r="C243" s="2" t="s">
        <v>12915</v>
      </c>
      <c r="D243" s="2" t="s">
        <v>12916</v>
      </c>
      <c r="E243" s="2" t="s">
        <v>10601</v>
      </c>
      <c r="F243" s="2" t="s">
        <v>12917</v>
      </c>
      <c r="G243" s="2" t="s">
        <v>151</v>
      </c>
      <c r="H243" s="17">
        <v>25</v>
      </c>
      <c r="I243" s="31">
        <f t="shared" si="18"/>
        <v>25000</v>
      </c>
      <c r="J243" s="31">
        <f t="shared" si="19"/>
        <v>1750.0000000000002</v>
      </c>
      <c r="K243" s="44">
        <f t="shared" si="20"/>
        <v>4.794520547945206</v>
      </c>
      <c r="L243" s="3">
        <f t="shared" si="21"/>
        <v>354.79452054794524</v>
      </c>
      <c r="M243" s="3">
        <f t="shared" si="22"/>
        <v>21.287671232876715</v>
      </c>
      <c r="N243" s="67">
        <f t="shared" si="23"/>
        <v>333.50684931506851</v>
      </c>
      <c r="O243" s="3"/>
      <c r="P243" s="70" t="s">
        <v>18609</v>
      </c>
      <c r="Q243" s="2" t="s">
        <v>32</v>
      </c>
      <c r="R243" s="2" t="s">
        <v>12918</v>
      </c>
      <c r="T243" s="2" t="s">
        <v>18664</v>
      </c>
      <c r="U243" s="2" t="s">
        <v>18652</v>
      </c>
      <c r="V243" s="107">
        <v>45857</v>
      </c>
      <c r="W243" s="2"/>
      <c r="X243" s="97"/>
      <c r="Y243" s="75">
        <v>333.51</v>
      </c>
    </row>
    <row r="244" spans="1:25" x14ac:dyDescent="0.25">
      <c r="A244" s="76">
        <v>239</v>
      </c>
      <c r="B244" s="2" t="s">
        <v>12657</v>
      </c>
      <c r="C244" s="2" t="s">
        <v>12658</v>
      </c>
      <c r="D244" s="2" t="s">
        <v>12659</v>
      </c>
      <c r="E244" s="2" t="s">
        <v>12660</v>
      </c>
      <c r="F244" s="2" t="s">
        <v>12661</v>
      </c>
      <c r="G244" s="2" t="s">
        <v>362</v>
      </c>
      <c r="H244" s="17">
        <v>25</v>
      </c>
      <c r="I244" s="31">
        <f t="shared" si="18"/>
        <v>25000</v>
      </c>
      <c r="J244" s="31">
        <f t="shared" si="19"/>
        <v>1750.0000000000002</v>
      </c>
      <c r="K244" s="44">
        <f t="shared" si="20"/>
        <v>4.794520547945206</v>
      </c>
      <c r="L244" s="3">
        <f t="shared" si="21"/>
        <v>354.79452054794524</v>
      </c>
      <c r="M244" s="3">
        <f t="shared" si="22"/>
        <v>21.287671232876715</v>
      </c>
      <c r="N244" s="67">
        <f t="shared" si="23"/>
        <v>333.50684931506851</v>
      </c>
      <c r="O244" s="3"/>
      <c r="P244" s="70" t="s">
        <v>18609</v>
      </c>
      <c r="Q244" s="2" t="s">
        <v>32</v>
      </c>
      <c r="R244" s="2" t="s">
        <v>12662</v>
      </c>
      <c r="T244" s="2" t="s">
        <v>18664</v>
      </c>
      <c r="U244" s="2" t="s">
        <v>18652</v>
      </c>
      <c r="V244" s="107">
        <v>45857</v>
      </c>
      <c r="W244" s="2"/>
      <c r="X244" s="97"/>
      <c r="Y244" s="75">
        <v>333.51</v>
      </c>
    </row>
    <row r="245" spans="1:25" x14ac:dyDescent="0.25">
      <c r="A245" s="76">
        <v>240</v>
      </c>
      <c r="B245" s="2" t="s">
        <v>2662</v>
      </c>
      <c r="C245" s="2" t="s">
        <v>2663</v>
      </c>
      <c r="D245" s="2" t="s">
        <v>2664</v>
      </c>
      <c r="E245" s="2" t="s">
        <v>2665</v>
      </c>
      <c r="F245" s="2" t="s">
        <v>2666</v>
      </c>
      <c r="G245" s="2" t="s">
        <v>186</v>
      </c>
      <c r="H245" s="17">
        <v>25</v>
      </c>
      <c r="I245" s="31">
        <f t="shared" si="18"/>
        <v>25000</v>
      </c>
      <c r="J245" s="31">
        <f t="shared" si="19"/>
        <v>1750.0000000000002</v>
      </c>
      <c r="K245" s="44">
        <f t="shared" si="20"/>
        <v>4.794520547945206</v>
      </c>
      <c r="L245" s="3">
        <f t="shared" si="21"/>
        <v>354.79452054794524</v>
      </c>
      <c r="M245" s="3">
        <f t="shared" si="22"/>
        <v>21.287671232876715</v>
      </c>
      <c r="N245" s="67">
        <f t="shared" si="23"/>
        <v>333.50684931506851</v>
      </c>
      <c r="O245" s="3"/>
      <c r="P245" s="70" t="s">
        <v>18609</v>
      </c>
      <c r="Q245" s="2" t="s">
        <v>32</v>
      </c>
      <c r="R245" s="2" t="s">
        <v>2667</v>
      </c>
      <c r="T245" s="2" t="s">
        <v>18664</v>
      </c>
      <c r="U245" s="2" t="s">
        <v>18652</v>
      </c>
      <c r="V245" s="107">
        <v>45857</v>
      </c>
      <c r="W245" s="2"/>
      <c r="X245" s="97"/>
      <c r="Y245" s="75">
        <v>333.51</v>
      </c>
    </row>
    <row r="246" spans="1:25" x14ac:dyDescent="0.25">
      <c r="A246" s="76">
        <v>241</v>
      </c>
      <c r="B246" s="2" t="s">
        <v>16892</v>
      </c>
      <c r="C246" s="2" t="s">
        <v>16893</v>
      </c>
      <c r="D246" s="2" t="s">
        <v>16894</v>
      </c>
      <c r="E246" s="2" t="s">
        <v>16895</v>
      </c>
      <c r="F246" s="2" t="s">
        <v>16896</v>
      </c>
      <c r="G246" s="2" t="s">
        <v>939</v>
      </c>
      <c r="H246" s="17">
        <v>25</v>
      </c>
      <c r="I246" s="31">
        <f t="shared" si="18"/>
        <v>25000</v>
      </c>
      <c r="J246" s="31">
        <f t="shared" si="19"/>
        <v>1750.0000000000002</v>
      </c>
      <c r="K246" s="44">
        <f t="shared" si="20"/>
        <v>4.794520547945206</v>
      </c>
      <c r="L246" s="3">
        <f t="shared" si="21"/>
        <v>354.79452054794524</v>
      </c>
      <c r="M246" s="3">
        <f t="shared" si="22"/>
        <v>21.287671232876715</v>
      </c>
      <c r="N246" s="67">
        <f t="shared" si="23"/>
        <v>333.50684931506851</v>
      </c>
      <c r="O246" s="3"/>
      <c r="P246" s="70" t="s">
        <v>18609</v>
      </c>
      <c r="Q246" s="2" t="s">
        <v>32</v>
      </c>
      <c r="R246" s="2" t="s">
        <v>16897</v>
      </c>
      <c r="T246" s="2" t="s">
        <v>18664</v>
      </c>
      <c r="U246" s="2" t="s">
        <v>18652</v>
      </c>
      <c r="V246" s="107">
        <v>45857</v>
      </c>
      <c r="W246" s="2"/>
      <c r="X246" s="97"/>
      <c r="Y246" s="75">
        <v>333.51</v>
      </c>
    </row>
    <row r="247" spans="1:25" x14ac:dyDescent="0.25">
      <c r="A247" s="76">
        <v>242</v>
      </c>
      <c r="B247" s="2" t="s">
        <v>11045</v>
      </c>
      <c r="C247" s="2" t="s">
        <v>11046</v>
      </c>
      <c r="D247" s="2" t="s">
        <v>11047</v>
      </c>
      <c r="E247" s="2" t="s">
        <v>11048</v>
      </c>
      <c r="F247" s="2" t="s">
        <v>11049</v>
      </c>
      <c r="G247" s="2" t="s">
        <v>517</v>
      </c>
      <c r="H247" s="17">
        <v>25</v>
      </c>
      <c r="I247" s="31">
        <f t="shared" si="18"/>
        <v>25000</v>
      </c>
      <c r="J247" s="31">
        <f t="shared" si="19"/>
        <v>1750.0000000000002</v>
      </c>
      <c r="K247" s="44">
        <f t="shared" si="20"/>
        <v>4.794520547945206</v>
      </c>
      <c r="L247" s="3">
        <f t="shared" si="21"/>
        <v>354.79452054794524</v>
      </c>
      <c r="M247" s="3">
        <f t="shared" si="22"/>
        <v>21.287671232876715</v>
      </c>
      <c r="N247" s="67">
        <f t="shared" si="23"/>
        <v>333.50684931506851</v>
      </c>
      <c r="O247" s="3"/>
      <c r="P247" s="70" t="s">
        <v>18609</v>
      </c>
      <c r="Q247" s="2" t="s">
        <v>32</v>
      </c>
      <c r="R247" s="2" t="s">
        <v>11050</v>
      </c>
      <c r="T247" s="2" t="s">
        <v>18664</v>
      </c>
      <c r="U247" s="2" t="s">
        <v>18652</v>
      </c>
      <c r="V247" s="107">
        <v>45857</v>
      </c>
      <c r="W247" s="2"/>
      <c r="X247" s="97"/>
      <c r="Y247" s="75">
        <v>333.51</v>
      </c>
    </row>
    <row r="248" spans="1:25" x14ac:dyDescent="0.25">
      <c r="A248" s="76">
        <v>243</v>
      </c>
      <c r="B248" s="2" t="s">
        <v>14717</v>
      </c>
      <c r="C248" s="2" t="s">
        <v>14718</v>
      </c>
      <c r="D248" s="2" t="s">
        <v>14719</v>
      </c>
      <c r="E248" s="2" t="s">
        <v>14720</v>
      </c>
      <c r="F248" s="2" t="s">
        <v>14721</v>
      </c>
      <c r="G248" s="2" t="s">
        <v>296</v>
      </c>
      <c r="H248" s="17">
        <v>50</v>
      </c>
      <c r="I248" s="31">
        <f t="shared" si="18"/>
        <v>50000</v>
      </c>
      <c r="J248" s="31">
        <f t="shared" si="19"/>
        <v>3500.0000000000005</v>
      </c>
      <c r="K248" s="44">
        <f t="shared" si="20"/>
        <v>9.589041095890412</v>
      </c>
      <c r="L248" s="3">
        <f t="shared" si="21"/>
        <v>709.58904109589048</v>
      </c>
      <c r="M248" s="3">
        <f t="shared" si="22"/>
        <v>42.57534246575343</v>
      </c>
      <c r="N248" s="67">
        <f t="shared" si="23"/>
        <v>667.01369863013701</v>
      </c>
      <c r="O248" s="3"/>
      <c r="P248" s="70" t="s">
        <v>18609</v>
      </c>
      <c r="Q248" s="2" t="s">
        <v>32</v>
      </c>
      <c r="R248" s="2" t="s">
        <v>14722</v>
      </c>
      <c r="T248" s="2" t="s">
        <v>18664</v>
      </c>
      <c r="U248" s="2" t="s">
        <v>18652</v>
      </c>
      <c r="V248" s="107">
        <v>45857</v>
      </c>
      <c r="W248" s="2"/>
      <c r="X248" s="97"/>
      <c r="Y248" s="75">
        <v>667.02</v>
      </c>
    </row>
    <row r="249" spans="1:25" x14ac:dyDescent="0.25">
      <c r="A249" s="76">
        <v>244</v>
      </c>
      <c r="B249" s="2" t="s">
        <v>14723</v>
      </c>
      <c r="C249" s="2" t="s">
        <v>14724</v>
      </c>
      <c r="D249" s="2" t="s">
        <v>14690</v>
      </c>
      <c r="E249" s="2" t="s">
        <v>14720</v>
      </c>
      <c r="F249" s="2" t="s">
        <v>14725</v>
      </c>
      <c r="G249" s="2" t="s">
        <v>296</v>
      </c>
      <c r="H249" s="17">
        <v>100</v>
      </c>
      <c r="I249" s="31">
        <f t="shared" si="18"/>
        <v>100000</v>
      </c>
      <c r="J249" s="31">
        <f t="shared" si="19"/>
        <v>7000.0000000000009</v>
      </c>
      <c r="K249" s="44">
        <f t="shared" si="20"/>
        <v>19.178082191780824</v>
      </c>
      <c r="L249" s="3">
        <f t="shared" si="21"/>
        <v>1419.178082191781</v>
      </c>
      <c r="M249" s="3">
        <f t="shared" si="22"/>
        <v>85.150684931506859</v>
      </c>
      <c r="N249" s="67">
        <f t="shared" si="23"/>
        <v>1334.027397260274</v>
      </c>
      <c r="O249" s="3"/>
      <c r="P249" s="70" t="s">
        <v>18609</v>
      </c>
      <c r="Q249" s="2" t="s">
        <v>32</v>
      </c>
      <c r="R249" s="2" t="s">
        <v>14726</v>
      </c>
      <c r="T249" s="2" t="s">
        <v>18664</v>
      </c>
      <c r="U249" s="2" t="s">
        <v>18652</v>
      </c>
      <c r="V249" s="107">
        <v>45857</v>
      </c>
      <c r="W249" s="2"/>
      <c r="X249" s="97"/>
      <c r="Y249" s="75">
        <v>1334.03</v>
      </c>
    </row>
    <row r="250" spans="1:25" x14ac:dyDescent="0.25">
      <c r="A250" s="76">
        <v>245</v>
      </c>
      <c r="B250" s="2" t="s">
        <v>3225</v>
      </c>
      <c r="C250" s="2" t="s">
        <v>3226</v>
      </c>
      <c r="D250" s="2" t="s">
        <v>3227</v>
      </c>
      <c r="E250" s="2" t="s">
        <v>3228</v>
      </c>
      <c r="F250" s="2" t="s">
        <v>3229</v>
      </c>
      <c r="G250" s="2" t="s">
        <v>226</v>
      </c>
      <c r="H250" s="17">
        <v>25</v>
      </c>
      <c r="I250" s="31">
        <f t="shared" si="18"/>
        <v>25000</v>
      </c>
      <c r="J250" s="31">
        <f t="shared" si="19"/>
        <v>1750.0000000000002</v>
      </c>
      <c r="K250" s="44">
        <f t="shared" si="20"/>
        <v>4.794520547945206</v>
      </c>
      <c r="L250" s="3">
        <f t="shared" si="21"/>
        <v>354.79452054794524</v>
      </c>
      <c r="M250" s="3">
        <f t="shared" si="22"/>
        <v>21.287671232876715</v>
      </c>
      <c r="N250" s="67">
        <f t="shared" si="23"/>
        <v>333.50684931506851</v>
      </c>
      <c r="O250" s="3"/>
      <c r="P250" s="70" t="s">
        <v>18609</v>
      </c>
      <c r="Q250" s="2" t="s">
        <v>32</v>
      </c>
      <c r="R250" s="2" t="s">
        <v>3230</v>
      </c>
      <c r="T250" s="2" t="s">
        <v>18664</v>
      </c>
      <c r="U250" s="2" t="s">
        <v>18652</v>
      </c>
      <c r="V250" s="107">
        <v>45857</v>
      </c>
      <c r="W250" s="2"/>
      <c r="X250" s="97"/>
      <c r="Y250" s="75">
        <v>333.51</v>
      </c>
    </row>
    <row r="251" spans="1:25" x14ac:dyDescent="0.25">
      <c r="A251" s="76">
        <v>246</v>
      </c>
      <c r="B251" s="2" t="s">
        <v>10946</v>
      </c>
      <c r="C251" s="2" t="s">
        <v>10947</v>
      </c>
      <c r="D251" s="2" t="s">
        <v>10948</v>
      </c>
      <c r="E251" s="2" t="s">
        <v>10949</v>
      </c>
      <c r="F251" s="2" t="s">
        <v>10950</v>
      </c>
      <c r="G251" s="2" t="s">
        <v>2571</v>
      </c>
      <c r="H251" s="17">
        <v>25</v>
      </c>
      <c r="I251" s="31">
        <f t="shared" si="18"/>
        <v>25000</v>
      </c>
      <c r="J251" s="31">
        <f t="shared" si="19"/>
        <v>1750.0000000000002</v>
      </c>
      <c r="K251" s="44">
        <f t="shared" si="20"/>
        <v>4.794520547945206</v>
      </c>
      <c r="L251" s="3">
        <f t="shared" si="21"/>
        <v>354.79452054794524</v>
      </c>
      <c r="M251" s="3">
        <f t="shared" si="22"/>
        <v>21.287671232876715</v>
      </c>
      <c r="N251" s="67">
        <f t="shared" si="23"/>
        <v>333.50684931506851</v>
      </c>
      <c r="O251" s="3"/>
      <c r="P251" s="70" t="s">
        <v>18609</v>
      </c>
      <c r="Q251" s="2" t="s">
        <v>32</v>
      </c>
      <c r="R251" s="2" t="s">
        <v>10951</v>
      </c>
      <c r="T251" s="2" t="s">
        <v>18664</v>
      </c>
      <c r="U251" s="2" t="s">
        <v>18652</v>
      </c>
      <c r="V251" s="107">
        <v>45857</v>
      </c>
      <c r="W251" s="2"/>
      <c r="X251" s="97"/>
      <c r="Y251" s="75">
        <v>333.51</v>
      </c>
    </row>
    <row r="252" spans="1:25" x14ac:dyDescent="0.25">
      <c r="A252" s="76">
        <v>247</v>
      </c>
      <c r="B252" s="2" t="s">
        <v>18036</v>
      </c>
      <c r="C252" s="2" t="s">
        <v>18037</v>
      </c>
      <c r="D252" s="2" t="s">
        <v>18038</v>
      </c>
      <c r="E252" s="2" t="s">
        <v>18039</v>
      </c>
      <c r="F252" s="2" t="s">
        <v>1206</v>
      </c>
      <c r="G252" s="2" t="s">
        <v>218</v>
      </c>
      <c r="H252" s="17">
        <v>25</v>
      </c>
      <c r="I252" s="31">
        <f t="shared" si="18"/>
        <v>25000</v>
      </c>
      <c r="J252" s="31">
        <f t="shared" si="19"/>
        <v>1750.0000000000002</v>
      </c>
      <c r="K252" s="44">
        <f t="shared" si="20"/>
        <v>4.794520547945206</v>
      </c>
      <c r="L252" s="3">
        <f t="shared" si="21"/>
        <v>354.79452054794524</v>
      </c>
      <c r="M252" s="3">
        <f t="shared" si="22"/>
        <v>21.287671232876715</v>
      </c>
      <c r="N252" s="67">
        <f t="shared" si="23"/>
        <v>333.50684931506851</v>
      </c>
      <c r="O252" s="3"/>
      <c r="P252" s="70" t="s">
        <v>18609</v>
      </c>
      <c r="Q252" s="2" t="s">
        <v>32</v>
      </c>
      <c r="R252" s="2" t="s">
        <v>18040</v>
      </c>
      <c r="T252" s="2" t="s">
        <v>18664</v>
      </c>
      <c r="U252" s="2" t="s">
        <v>18652</v>
      </c>
      <c r="V252" s="107">
        <v>45857</v>
      </c>
      <c r="W252" s="2"/>
      <c r="X252" s="97"/>
      <c r="Y252" s="75">
        <v>333.51</v>
      </c>
    </row>
    <row r="253" spans="1:25" x14ac:dyDescent="0.25">
      <c r="A253" s="76">
        <v>248</v>
      </c>
      <c r="B253" s="2" t="s">
        <v>291</v>
      </c>
      <c r="C253" s="2" t="s">
        <v>292</v>
      </c>
      <c r="D253" s="2" t="s">
        <v>293</v>
      </c>
      <c r="E253" s="2" t="s">
        <v>294</v>
      </c>
      <c r="F253" s="2" t="s">
        <v>295</v>
      </c>
      <c r="G253" s="2" t="s">
        <v>296</v>
      </c>
      <c r="H253" s="17">
        <v>50</v>
      </c>
      <c r="I253" s="31">
        <f t="shared" si="18"/>
        <v>50000</v>
      </c>
      <c r="J253" s="31">
        <f t="shared" si="19"/>
        <v>3500.0000000000005</v>
      </c>
      <c r="K253" s="44">
        <f t="shared" si="20"/>
        <v>9.589041095890412</v>
      </c>
      <c r="L253" s="3">
        <f t="shared" si="21"/>
        <v>709.58904109589048</v>
      </c>
      <c r="M253" s="3">
        <f t="shared" si="22"/>
        <v>42.57534246575343</v>
      </c>
      <c r="N253" s="67">
        <f t="shared" si="23"/>
        <v>667.01369863013701</v>
      </c>
      <c r="O253" s="3"/>
      <c r="P253" s="70" t="s">
        <v>18609</v>
      </c>
      <c r="Q253" s="2" t="s">
        <v>32</v>
      </c>
      <c r="R253" s="2" t="s">
        <v>297</v>
      </c>
      <c r="T253" s="2" t="s">
        <v>18664</v>
      </c>
      <c r="U253" s="2" t="s">
        <v>18652</v>
      </c>
      <c r="V253" s="107">
        <v>45857</v>
      </c>
      <c r="W253" s="2"/>
      <c r="X253" s="97"/>
      <c r="Y253" s="75">
        <v>667.02</v>
      </c>
    </row>
    <row r="254" spans="1:25" x14ac:dyDescent="0.25">
      <c r="A254" s="76">
        <v>249</v>
      </c>
      <c r="B254" s="2" t="s">
        <v>17806</v>
      </c>
      <c r="C254" s="2" t="s">
        <v>17807</v>
      </c>
      <c r="D254" s="2" t="s">
        <v>17808</v>
      </c>
      <c r="E254" s="2" t="s">
        <v>17809</v>
      </c>
      <c r="F254" s="2" t="s">
        <v>17810</v>
      </c>
      <c r="G254" s="2" t="s">
        <v>31</v>
      </c>
      <c r="H254" s="17">
        <v>500</v>
      </c>
      <c r="I254" s="31">
        <f t="shared" si="18"/>
        <v>500000</v>
      </c>
      <c r="J254" s="31">
        <f t="shared" si="19"/>
        <v>35000</v>
      </c>
      <c r="K254" s="44">
        <f t="shared" si="20"/>
        <v>95.890410958904113</v>
      </c>
      <c r="L254" s="3">
        <f t="shared" si="21"/>
        <v>7095.8904109589039</v>
      </c>
      <c r="M254" s="3">
        <f t="shared" si="22"/>
        <v>425.7534246575342</v>
      </c>
      <c r="N254" s="67">
        <f t="shared" si="23"/>
        <v>6670.1369863013697</v>
      </c>
      <c r="O254" s="3"/>
      <c r="P254" s="70" t="s">
        <v>18609</v>
      </c>
      <c r="Q254" s="2" t="s">
        <v>32</v>
      </c>
      <c r="R254" s="2" t="s">
        <v>17811</v>
      </c>
      <c r="T254" s="2" t="s">
        <v>18664</v>
      </c>
      <c r="U254" s="2" t="s">
        <v>18652</v>
      </c>
      <c r="V254" s="107">
        <v>45857</v>
      </c>
      <c r="W254" s="2"/>
      <c r="X254" s="97"/>
      <c r="Y254" s="75">
        <v>6670.14</v>
      </c>
    </row>
    <row r="255" spans="1:25" x14ac:dyDescent="0.25">
      <c r="P255"/>
    </row>
    <row r="256" spans="1:25" x14ac:dyDescent="0.25">
      <c r="P256"/>
    </row>
    <row r="258" spans="1:25" x14ac:dyDescent="0.25">
      <c r="A258" s="76">
        <v>251</v>
      </c>
      <c r="B258" s="2" t="s">
        <v>807</v>
      </c>
      <c r="C258" s="2" t="s">
        <v>808</v>
      </c>
      <c r="D258" s="2" t="s">
        <v>809</v>
      </c>
      <c r="E258" s="2" t="s">
        <v>810</v>
      </c>
      <c r="F258" s="2" t="s">
        <v>811</v>
      </c>
      <c r="G258" s="2" t="s">
        <v>31</v>
      </c>
      <c r="H258" s="17">
        <v>25</v>
      </c>
      <c r="I258" s="31">
        <f t="shared" ref="I258:I3129" si="24">H258*1000</f>
        <v>25000</v>
      </c>
      <c r="J258" s="31">
        <f t="shared" ref="J258:J3129" si="25">I258*7%</f>
        <v>1750.0000000000002</v>
      </c>
      <c r="K258" s="44">
        <f t="shared" ref="K258:K3129" si="26">J258/365</f>
        <v>4.794520547945206</v>
      </c>
      <c r="L258" s="3">
        <f t="shared" ref="L258:L3129" si="27">K258*74</f>
        <v>354.79452054794524</v>
      </c>
      <c r="M258" s="3">
        <f t="shared" ref="M258:M3129" si="28">L258*6%</f>
        <v>21.287671232876715</v>
      </c>
      <c r="N258" s="67">
        <f t="shared" ref="N258:N3129" si="29">L258-M258</f>
        <v>333.50684931506851</v>
      </c>
      <c r="O258" s="3"/>
      <c r="P258" s="2" t="s">
        <v>18612</v>
      </c>
      <c r="Q258" s="2" t="s">
        <v>18674</v>
      </c>
      <c r="R258" s="2" t="s">
        <v>18675</v>
      </c>
      <c r="S258" s="2"/>
      <c r="T258" s="2"/>
      <c r="U258" s="2" t="s">
        <v>18652</v>
      </c>
      <c r="V258" s="107">
        <v>45944</v>
      </c>
      <c r="W258" s="2"/>
      <c r="X258" s="3"/>
      <c r="Y258" s="44">
        <v>333.51</v>
      </c>
    </row>
    <row r="259" spans="1:25" x14ac:dyDescent="0.25">
      <c r="A259" s="76">
        <v>252</v>
      </c>
      <c r="B259" s="2" t="s">
        <v>16594</v>
      </c>
      <c r="C259" s="2" t="s">
        <v>16595</v>
      </c>
      <c r="D259" s="2" t="s">
        <v>16596</v>
      </c>
      <c r="E259" s="2" t="s">
        <v>16597</v>
      </c>
      <c r="F259" s="2" t="s">
        <v>16598</v>
      </c>
      <c r="G259" s="2" t="s">
        <v>166</v>
      </c>
      <c r="H259" s="17">
        <v>25</v>
      </c>
      <c r="I259" s="31">
        <f t="shared" si="24"/>
        <v>25000</v>
      </c>
      <c r="J259" s="31">
        <f t="shared" si="25"/>
        <v>1750.0000000000002</v>
      </c>
      <c r="K259" s="44">
        <f t="shared" si="26"/>
        <v>4.794520547945206</v>
      </c>
      <c r="L259" s="3">
        <f t="shared" si="27"/>
        <v>354.79452054794524</v>
      </c>
      <c r="M259" s="3">
        <f t="shared" si="28"/>
        <v>21.287671232876715</v>
      </c>
      <c r="N259" s="67">
        <f t="shared" si="29"/>
        <v>333.50684931506851</v>
      </c>
      <c r="O259" s="3"/>
      <c r="P259" s="2" t="s">
        <v>18612</v>
      </c>
      <c r="Q259" s="2" t="s">
        <v>18677</v>
      </c>
      <c r="R259" s="2" t="s">
        <v>18678</v>
      </c>
      <c r="S259" s="2"/>
      <c r="T259" s="2"/>
      <c r="U259" s="2" t="s">
        <v>18652</v>
      </c>
      <c r="V259" s="107">
        <v>45944</v>
      </c>
      <c r="W259" s="2"/>
      <c r="X259" s="3"/>
      <c r="Y259" s="44">
        <v>333.51</v>
      </c>
    </row>
    <row r="260" spans="1:25" x14ac:dyDescent="0.25">
      <c r="A260" s="76">
        <v>255</v>
      </c>
      <c r="B260" s="2" t="s">
        <v>6684</v>
      </c>
      <c r="C260" s="2" t="s">
        <v>6685</v>
      </c>
      <c r="D260" s="2" t="s">
        <v>6686</v>
      </c>
      <c r="E260" s="2" t="s">
        <v>6687</v>
      </c>
      <c r="F260" s="2" t="s">
        <v>6688</v>
      </c>
      <c r="G260" s="2" t="s">
        <v>835</v>
      </c>
      <c r="H260" s="17">
        <v>25</v>
      </c>
      <c r="I260" s="31">
        <f t="shared" si="24"/>
        <v>25000</v>
      </c>
      <c r="J260" s="31">
        <f t="shared" si="25"/>
        <v>1750.0000000000002</v>
      </c>
      <c r="K260" s="44">
        <f t="shared" si="26"/>
        <v>4.794520547945206</v>
      </c>
      <c r="L260" s="3">
        <f t="shared" si="27"/>
        <v>354.79452054794524</v>
      </c>
      <c r="M260" s="3">
        <f t="shared" si="28"/>
        <v>21.287671232876715</v>
      </c>
      <c r="N260" s="67">
        <f t="shared" si="29"/>
        <v>333.50684931506851</v>
      </c>
      <c r="O260" s="3"/>
      <c r="P260" s="98" t="s">
        <v>18597</v>
      </c>
      <c r="Q260" s="2" t="s">
        <v>18683</v>
      </c>
      <c r="R260" s="2" t="s">
        <v>18684</v>
      </c>
      <c r="S260" s="2"/>
      <c r="T260" s="2"/>
      <c r="U260" s="2" t="s">
        <v>18652</v>
      </c>
      <c r="V260" s="107">
        <v>45944</v>
      </c>
      <c r="W260" s="2"/>
      <c r="X260" s="3"/>
      <c r="Y260" s="44">
        <v>333.51</v>
      </c>
    </row>
    <row r="261" spans="1:25" x14ac:dyDescent="0.25">
      <c r="A261" s="76">
        <v>257</v>
      </c>
      <c r="B261" s="2" t="s">
        <v>8800</v>
      </c>
      <c r="C261" s="2" t="s">
        <v>8801</v>
      </c>
      <c r="D261" s="2" t="s">
        <v>8802</v>
      </c>
      <c r="E261" s="2" t="s">
        <v>8803</v>
      </c>
      <c r="F261" s="2" t="s">
        <v>8804</v>
      </c>
      <c r="G261" s="2" t="s">
        <v>2137</v>
      </c>
      <c r="H261" s="17">
        <v>50</v>
      </c>
      <c r="I261" s="31">
        <f t="shared" si="24"/>
        <v>50000</v>
      </c>
      <c r="J261" s="31">
        <f t="shared" si="25"/>
        <v>3500.0000000000005</v>
      </c>
      <c r="K261" s="44">
        <f t="shared" si="26"/>
        <v>9.589041095890412</v>
      </c>
      <c r="L261" s="3">
        <f t="shared" si="27"/>
        <v>709.58904109589048</v>
      </c>
      <c r="M261" s="3">
        <f t="shared" si="28"/>
        <v>42.57534246575343</v>
      </c>
      <c r="N261" s="67">
        <f t="shared" si="29"/>
        <v>667.01369863013701</v>
      </c>
      <c r="O261" s="3"/>
      <c r="P261" s="2" t="s">
        <v>18608</v>
      </c>
      <c r="Q261" s="2" t="s">
        <v>18607</v>
      </c>
      <c r="R261" s="2" t="s">
        <v>18686</v>
      </c>
      <c r="S261" s="2"/>
      <c r="T261" s="2"/>
      <c r="U261" s="2" t="s">
        <v>18652</v>
      </c>
      <c r="V261" s="107">
        <v>45944</v>
      </c>
      <c r="W261" s="2"/>
      <c r="X261" s="3"/>
      <c r="Y261" s="44">
        <v>667.02</v>
      </c>
    </row>
    <row r="262" spans="1:25" x14ac:dyDescent="0.25">
      <c r="A262" s="76">
        <v>258</v>
      </c>
      <c r="B262" s="2" t="s">
        <v>14119</v>
      </c>
      <c r="C262" s="2" t="s">
        <v>14120</v>
      </c>
      <c r="D262" s="2" t="s">
        <v>14121</v>
      </c>
      <c r="E262" s="2" t="s">
        <v>14122</v>
      </c>
      <c r="F262" s="2" t="s">
        <v>14123</v>
      </c>
      <c r="G262" s="2" t="s">
        <v>240</v>
      </c>
      <c r="H262" s="17">
        <v>30</v>
      </c>
      <c r="I262" s="31">
        <f t="shared" si="24"/>
        <v>30000</v>
      </c>
      <c r="J262" s="31">
        <f t="shared" si="25"/>
        <v>2100</v>
      </c>
      <c r="K262" s="44">
        <f t="shared" si="26"/>
        <v>5.7534246575342465</v>
      </c>
      <c r="L262" s="3">
        <f t="shared" si="27"/>
        <v>425.75342465753425</v>
      </c>
      <c r="M262" s="3">
        <f t="shared" si="28"/>
        <v>25.545205479452054</v>
      </c>
      <c r="N262" s="67">
        <f t="shared" si="29"/>
        <v>400.20821917808217</v>
      </c>
      <c r="O262" s="3"/>
      <c r="P262" s="2" t="s">
        <v>18612</v>
      </c>
      <c r="Q262" s="2" t="s">
        <v>18687</v>
      </c>
      <c r="R262" s="2" t="s">
        <v>18688</v>
      </c>
      <c r="S262" s="2"/>
      <c r="T262" s="2"/>
      <c r="U262" s="2" t="s">
        <v>18652</v>
      </c>
      <c r="V262" s="107">
        <v>45944</v>
      </c>
      <c r="W262" s="2"/>
      <c r="X262" s="3"/>
      <c r="Y262" s="44">
        <v>400.21</v>
      </c>
    </row>
    <row r="263" spans="1:25" x14ac:dyDescent="0.25">
      <c r="A263" s="76">
        <v>260</v>
      </c>
      <c r="B263" s="2" t="s">
        <v>12429</v>
      </c>
      <c r="C263" s="2" t="s">
        <v>7991</v>
      </c>
      <c r="D263" s="2" t="s">
        <v>12430</v>
      </c>
      <c r="E263" s="2" t="s">
        <v>12431</v>
      </c>
      <c r="F263" s="2" t="s">
        <v>12432</v>
      </c>
      <c r="G263" s="2" t="s">
        <v>282</v>
      </c>
      <c r="H263" s="17">
        <v>25</v>
      </c>
      <c r="I263" s="31">
        <f t="shared" si="24"/>
        <v>25000</v>
      </c>
      <c r="J263" s="31">
        <f t="shared" si="25"/>
        <v>1750.0000000000002</v>
      </c>
      <c r="K263" s="44">
        <f t="shared" si="26"/>
        <v>4.794520547945206</v>
      </c>
      <c r="L263" s="3">
        <f t="shared" si="27"/>
        <v>354.79452054794524</v>
      </c>
      <c r="M263" s="3">
        <f t="shared" si="28"/>
        <v>21.287671232876715</v>
      </c>
      <c r="N263" s="67">
        <f t="shared" si="29"/>
        <v>333.50684931506851</v>
      </c>
      <c r="O263" s="3"/>
      <c r="P263" s="98" t="s">
        <v>18597</v>
      </c>
      <c r="Q263" s="2" t="s">
        <v>18676</v>
      </c>
      <c r="R263" s="2" t="s">
        <v>18690</v>
      </c>
      <c r="S263" s="2"/>
      <c r="T263" s="2"/>
      <c r="U263" s="2" t="s">
        <v>18652</v>
      </c>
      <c r="V263" s="107">
        <v>45944</v>
      </c>
      <c r="W263" s="2"/>
      <c r="X263" s="3"/>
      <c r="Y263" s="44">
        <v>333.51</v>
      </c>
    </row>
    <row r="264" spans="1:25" x14ac:dyDescent="0.25">
      <c r="A264" s="76">
        <v>265</v>
      </c>
      <c r="B264" s="2" t="s">
        <v>9939</v>
      </c>
      <c r="C264" s="2" t="s">
        <v>9940</v>
      </c>
      <c r="D264" s="2" t="s">
        <v>9941</v>
      </c>
      <c r="E264" s="2" t="s">
        <v>9942</v>
      </c>
      <c r="F264" s="2" t="s">
        <v>9943</v>
      </c>
      <c r="G264" s="2" t="s">
        <v>31</v>
      </c>
      <c r="H264" s="17">
        <v>25</v>
      </c>
      <c r="I264" s="31">
        <f t="shared" si="24"/>
        <v>25000</v>
      </c>
      <c r="J264" s="31">
        <f t="shared" si="25"/>
        <v>1750.0000000000002</v>
      </c>
      <c r="K264" s="44">
        <f t="shared" si="26"/>
        <v>4.794520547945206</v>
      </c>
      <c r="L264" s="3">
        <f t="shared" si="27"/>
        <v>354.79452054794524</v>
      </c>
      <c r="M264" s="3">
        <f t="shared" si="28"/>
        <v>21.287671232876715</v>
      </c>
      <c r="N264" s="67">
        <f t="shared" si="29"/>
        <v>333.50684931506851</v>
      </c>
      <c r="O264" s="3"/>
      <c r="P264" s="98" t="s">
        <v>18605</v>
      </c>
      <c r="Q264" s="2" t="s">
        <v>18695</v>
      </c>
      <c r="R264" s="2" t="s">
        <v>18696</v>
      </c>
      <c r="S264" s="2"/>
      <c r="T264" s="2"/>
      <c r="U264" s="2" t="s">
        <v>18652</v>
      </c>
      <c r="V264" s="107">
        <v>45944</v>
      </c>
      <c r="W264" s="2"/>
      <c r="X264" s="3"/>
      <c r="Y264" s="44">
        <v>333.51</v>
      </c>
    </row>
    <row r="265" spans="1:25" x14ac:dyDescent="0.25">
      <c r="A265" s="76">
        <v>266</v>
      </c>
      <c r="B265" s="2" t="s">
        <v>4884</v>
      </c>
      <c r="C265" s="2" t="s">
        <v>4885</v>
      </c>
      <c r="D265" s="2" t="s">
        <v>4886</v>
      </c>
      <c r="E265" s="2" t="s">
        <v>4887</v>
      </c>
      <c r="F265" s="2" t="s">
        <v>4888</v>
      </c>
      <c r="G265" s="2" t="s">
        <v>750</v>
      </c>
      <c r="H265" s="17">
        <v>55</v>
      </c>
      <c r="I265" s="31">
        <f t="shared" si="24"/>
        <v>55000</v>
      </c>
      <c r="J265" s="31">
        <f t="shared" si="25"/>
        <v>3850.0000000000005</v>
      </c>
      <c r="K265" s="44">
        <f t="shared" si="26"/>
        <v>10.547945205479452</v>
      </c>
      <c r="L265" s="3">
        <f t="shared" si="27"/>
        <v>780.54794520547944</v>
      </c>
      <c r="M265" s="3">
        <f t="shared" si="28"/>
        <v>46.832876712328762</v>
      </c>
      <c r="N265" s="67">
        <f t="shared" si="29"/>
        <v>733.71506849315062</v>
      </c>
      <c r="O265" s="3"/>
      <c r="P265" s="2" t="s">
        <v>18629</v>
      </c>
      <c r="Q265" s="2" t="s">
        <v>18697</v>
      </c>
      <c r="R265" s="2" t="s">
        <v>18698</v>
      </c>
      <c r="S265" s="2"/>
      <c r="T265" s="2"/>
      <c r="U265" s="2" t="s">
        <v>18652</v>
      </c>
      <c r="V265" s="107">
        <v>45944</v>
      </c>
      <c r="W265" s="2"/>
      <c r="X265" s="3"/>
      <c r="Y265" s="44">
        <v>733.72</v>
      </c>
    </row>
    <row r="266" spans="1:25" x14ac:dyDescent="0.25">
      <c r="A266" s="76">
        <v>267</v>
      </c>
      <c r="B266" s="2" t="s">
        <v>3389</v>
      </c>
      <c r="C266" s="2" t="s">
        <v>3390</v>
      </c>
      <c r="D266" s="2" t="s">
        <v>3391</v>
      </c>
      <c r="E266" s="2" t="s">
        <v>3392</v>
      </c>
      <c r="F266" s="2" t="s">
        <v>3393</v>
      </c>
      <c r="G266" s="2" t="s">
        <v>151</v>
      </c>
      <c r="H266" s="17">
        <v>25</v>
      </c>
      <c r="I266" s="31">
        <f t="shared" si="24"/>
        <v>25000</v>
      </c>
      <c r="J266" s="31">
        <f t="shared" si="25"/>
        <v>1750.0000000000002</v>
      </c>
      <c r="K266" s="44">
        <f t="shared" si="26"/>
        <v>4.794520547945206</v>
      </c>
      <c r="L266" s="3">
        <f t="shared" si="27"/>
        <v>354.79452054794524</v>
      </c>
      <c r="M266" s="3">
        <f t="shared" si="28"/>
        <v>21.287671232876715</v>
      </c>
      <c r="N266" s="67">
        <f t="shared" si="29"/>
        <v>333.50684931506851</v>
      </c>
      <c r="O266" s="3"/>
      <c r="P266" s="98" t="s">
        <v>18597</v>
      </c>
      <c r="Q266" s="2" t="s">
        <v>18699</v>
      </c>
      <c r="R266" s="2" t="s">
        <v>18700</v>
      </c>
      <c r="S266" s="2"/>
      <c r="T266" s="2"/>
      <c r="U266" s="2" t="s">
        <v>18652</v>
      </c>
      <c r="V266" s="107">
        <v>45944</v>
      </c>
      <c r="W266" s="2"/>
      <c r="X266" s="3"/>
      <c r="Y266" s="44">
        <v>333.51</v>
      </c>
    </row>
    <row r="267" spans="1:25" x14ac:dyDescent="0.25">
      <c r="A267" s="108"/>
      <c r="H267" s="109"/>
      <c r="I267" s="110"/>
      <c r="J267" s="110"/>
      <c r="K267" s="75"/>
      <c r="L267" s="111"/>
      <c r="M267" s="111"/>
      <c r="N267" s="112"/>
      <c r="O267" s="111"/>
      <c r="P267" s="106"/>
      <c r="V267" s="104"/>
      <c r="X267" s="111"/>
      <c r="Y267" s="75"/>
    </row>
    <row r="268" spans="1:25" x14ac:dyDescent="0.25">
      <c r="A268" s="108"/>
      <c r="H268" s="109"/>
      <c r="I268" s="110"/>
      <c r="J268" s="110"/>
      <c r="K268" s="75"/>
      <c r="L268" s="111"/>
      <c r="M268" s="111"/>
      <c r="N268" s="112"/>
      <c r="O268" s="111"/>
      <c r="P268" s="106"/>
      <c r="V268" s="104"/>
      <c r="X268" s="111"/>
      <c r="Y268" s="75"/>
    </row>
    <row r="269" spans="1:25" x14ac:dyDescent="0.25">
      <c r="A269" s="76">
        <v>304</v>
      </c>
      <c r="B269" s="2" t="s">
        <v>5707</v>
      </c>
      <c r="C269" s="2" t="s">
        <v>18663</v>
      </c>
      <c r="D269" s="2" t="s">
        <v>5708</v>
      </c>
      <c r="E269" s="2" t="s">
        <v>5709</v>
      </c>
      <c r="F269" s="2" t="s">
        <v>5710</v>
      </c>
      <c r="G269" s="2" t="s">
        <v>31</v>
      </c>
      <c r="H269" s="17">
        <v>1000</v>
      </c>
      <c r="I269" s="31">
        <f t="shared" ref="I269" si="30">H269*1000</f>
        <v>1000000</v>
      </c>
      <c r="J269" s="31">
        <f t="shared" ref="J269" si="31">I269*7%</f>
        <v>70000</v>
      </c>
      <c r="K269" s="44">
        <f t="shared" ref="K269" si="32">J269/365</f>
        <v>191.78082191780823</v>
      </c>
      <c r="L269" s="3">
        <f t="shared" ref="L269" si="33">K269*74</f>
        <v>14191.780821917808</v>
      </c>
      <c r="M269" s="3">
        <f t="shared" ref="M269" si="34">L269*6%</f>
        <v>851.50684931506839</v>
      </c>
      <c r="N269" s="67">
        <f t="shared" ref="N269" si="35">L269-M269</f>
        <v>13340.273972602739</v>
      </c>
      <c r="O269" s="3"/>
      <c r="P269" s="70" t="s">
        <v>18608</v>
      </c>
      <c r="Q269" s="2" t="s">
        <v>24</v>
      </c>
      <c r="R269" s="2" t="s">
        <v>5711</v>
      </c>
      <c r="U269" s="2" t="s">
        <v>18652</v>
      </c>
      <c r="V269" s="107">
        <v>45861</v>
      </c>
      <c r="W269" s="2"/>
      <c r="X269" s="3"/>
      <c r="Y269" s="44">
        <v>13340.28</v>
      </c>
    </row>
    <row r="270" spans="1:25" x14ac:dyDescent="0.25">
      <c r="P270"/>
    </row>
    <row r="271" spans="1:25" x14ac:dyDescent="0.25">
      <c r="P271"/>
    </row>
    <row r="272" spans="1:25" x14ac:dyDescent="0.25">
      <c r="A272" s="76">
        <v>285</v>
      </c>
      <c r="B272" s="2" t="s">
        <v>7103</v>
      </c>
      <c r="C272" s="2" t="s">
        <v>18667</v>
      </c>
      <c r="D272" s="2" t="s">
        <v>7104</v>
      </c>
      <c r="E272" s="2" t="s">
        <v>7105</v>
      </c>
      <c r="F272" s="2" t="s">
        <v>7106</v>
      </c>
      <c r="G272" s="2" t="s">
        <v>750</v>
      </c>
      <c r="H272" s="17">
        <v>50</v>
      </c>
      <c r="I272" s="31">
        <f>H272*1000</f>
        <v>50000</v>
      </c>
      <c r="J272" s="31">
        <f>I272*7%</f>
        <v>3500.0000000000005</v>
      </c>
      <c r="K272" s="44">
        <f>J272/365</f>
        <v>9.589041095890412</v>
      </c>
      <c r="L272" s="3">
        <f>K272*74</f>
        <v>709.58904109589048</v>
      </c>
      <c r="M272" s="3">
        <f>L272*6%</f>
        <v>42.57534246575343</v>
      </c>
      <c r="N272" s="67">
        <f>L272-M272</f>
        <v>667.01369863013701</v>
      </c>
      <c r="O272" s="3"/>
      <c r="P272" s="70" t="s">
        <v>18608</v>
      </c>
      <c r="Q272" s="2" t="s">
        <v>24</v>
      </c>
      <c r="R272" s="2" t="s">
        <v>7107</v>
      </c>
      <c r="U272" s="2" t="s">
        <v>18668</v>
      </c>
      <c r="V272" s="107">
        <v>45908</v>
      </c>
      <c r="W272" s="2"/>
      <c r="X272" s="3"/>
      <c r="Y272" s="44">
        <v>667.02</v>
      </c>
    </row>
    <row r="273" spans="1:25" x14ac:dyDescent="0.25">
      <c r="A273" s="108"/>
      <c r="H273" s="109"/>
      <c r="I273" s="110"/>
      <c r="J273" s="110"/>
      <c r="K273" s="75"/>
      <c r="L273" s="111"/>
      <c r="M273" s="111"/>
      <c r="N273" s="112"/>
      <c r="O273" s="111"/>
      <c r="P273" s="106"/>
      <c r="V273" s="104"/>
      <c r="X273" s="111"/>
      <c r="Y273" s="75"/>
    </row>
    <row r="274" spans="1:25" x14ac:dyDescent="0.25">
      <c r="A274" s="76">
        <v>305</v>
      </c>
      <c r="B274" s="2" t="s">
        <v>18291</v>
      </c>
      <c r="C274" s="2" t="s">
        <v>18292</v>
      </c>
      <c r="D274" s="2" t="s">
        <v>18293</v>
      </c>
      <c r="E274" s="2" t="s">
        <v>18294</v>
      </c>
      <c r="F274" s="2" t="s">
        <v>18295</v>
      </c>
      <c r="G274" s="2" t="s">
        <v>1570</v>
      </c>
      <c r="H274" s="17">
        <v>25</v>
      </c>
      <c r="I274" s="31">
        <f t="shared" ref="I274:I337" si="36">H274*1000</f>
        <v>25000</v>
      </c>
      <c r="J274" s="31">
        <f t="shared" ref="J274:J337" si="37">I274*7%</f>
        <v>1750.0000000000002</v>
      </c>
      <c r="K274" s="44">
        <f t="shared" ref="K274:K337" si="38">J274/365</f>
        <v>4.794520547945206</v>
      </c>
      <c r="L274" s="3">
        <f t="shared" ref="L274:L337" si="39">K274*74</f>
        <v>354.79452054794524</v>
      </c>
      <c r="M274" s="3">
        <f t="shared" ref="M274:M337" si="40">L274*6%</f>
        <v>21.287671232876715</v>
      </c>
      <c r="N274" s="67">
        <f t="shared" ref="N274:N337" si="41">L274-M274</f>
        <v>333.50684931506851</v>
      </c>
      <c r="O274" s="3"/>
      <c r="P274" s="70" t="s">
        <v>18610</v>
      </c>
      <c r="Q274" s="2" t="s">
        <v>130</v>
      </c>
      <c r="R274" s="2" t="s">
        <v>18296</v>
      </c>
      <c r="T274" t="s">
        <v>18666</v>
      </c>
      <c r="U274" t="s">
        <v>18652</v>
      </c>
      <c r="V274" s="104">
        <v>45857</v>
      </c>
      <c r="X274" s="97"/>
      <c r="Y274" s="75">
        <v>333.51</v>
      </c>
    </row>
    <row r="275" spans="1:25" x14ac:dyDescent="0.25">
      <c r="A275" s="76">
        <v>306</v>
      </c>
      <c r="B275" s="2" t="s">
        <v>17513</v>
      </c>
      <c r="C275" s="2" t="s">
        <v>17514</v>
      </c>
      <c r="D275" s="2" t="s">
        <v>17515</v>
      </c>
      <c r="E275" s="2" t="s">
        <v>17516</v>
      </c>
      <c r="F275" s="2" t="s">
        <v>17517</v>
      </c>
      <c r="G275" s="2" t="s">
        <v>186</v>
      </c>
      <c r="H275" s="17">
        <v>100</v>
      </c>
      <c r="I275" s="31">
        <f t="shared" si="36"/>
        <v>100000</v>
      </c>
      <c r="J275" s="31">
        <f t="shared" si="37"/>
        <v>7000.0000000000009</v>
      </c>
      <c r="K275" s="44">
        <f t="shared" si="38"/>
        <v>19.178082191780824</v>
      </c>
      <c r="L275" s="3">
        <f t="shared" si="39"/>
        <v>1419.178082191781</v>
      </c>
      <c r="M275" s="3">
        <f t="shared" si="40"/>
        <v>85.150684931506859</v>
      </c>
      <c r="N275" s="67">
        <f t="shared" si="41"/>
        <v>1334.027397260274</v>
      </c>
      <c r="O275" s="3"/>
      <c r="P275" s="70" t="s">
        <v>18610</v>
      </c>
      <c r="Q275" s="2" t="s">
        <v>130</v>
      </c>
      <c r="R275" s="2" t="s">
        <v>17518</v>
      </c>
      <c r="T275" t="s">
        <v>18666</v>
      </c>
      <c r="U275" t="s">
        <v>18652</v>
      </c>
      <c r="V275" s="104">
        <v>45857</v>
      </c>
      <c r="X275" s="97"/>
      <c r="Y275" s="75">
        <v>1334.03</v>
      </c>
    </row>
    <row r="276" spans="1:25" x14ac:dyDescent="0.25">
      <c r="A276" s="76">
        <v>307</v>
      </c>
      <c r="B276" s="2" t="s">
        <v>16489</v>
      </c>
      <c r="C276" s="2" t="s">
        <v>16490</v>
      </c>
      <c r="D276" s="2" t="s">
        <v>16491</v>
      </c>
      <c r="E276" s="2" t="s">
        <v>16492</v>
      </c>
      <c r="F276" s="2" t="s">
        <v>16493</v>
      </c>
      <c r="G276" s="2" t="s">
        <v>31</v>
      </c>
      <c r="H276" s="17">
        <v>25</v>
      </c>
      <c r="I276" s="31">
        <f t="shared" si="36"/>
        <v>25000</v>
      </c>
      <c r="J276" s="31">
        <f t="shared" si="37"/>
        <v>1750.0000000000002</v>
      </c>
      <c r="K276" s="44">
        <f t="shared" si="38"/>
        <v>4.794520547945206</v>
      </c>
      <c r="L276" s="3">
        <f t="shared" si="39"/>
        <v>354.79452054794524</v>
      </c>
      <c r="M276" s="3">
        <f t="shared" si="40"/>
        <v>21.287671232876715</v>
      </c>
      <c r="N276" s="67">
        <f t="shared" si="41"/>
        <v>333.50684931506851</v>
      </c>
      <c r="O276" s="3"/>
      <c r="P276" s="70" t="s">
        <v>18610</v>
      </c>
      <c r="Q276" s="2" t="s">
        <v>130</v>
      </c>
      <c r="R276" s="2" t="s">
        <v>16494</v>
      </c>
      <c r="T276" t="s">
        <v>18666</v>
      </c>
      <c r="U276" t="s">
        <v>18652</v>
      </c>
      <c r="V276" s="104">
        <v>45857</v>
      </c>
      <c r="X276" s="97"/>
      <c r="Y276" s="75">
        <v>333.51</v>
      </c>
    </row>
    <row r="277" spans="1:25" x14ac:dyDescent="0.25">
      <c r="A277" s="76">
        <v>308</v>
      </c>
      <c r="B277" s="2" t="s">
        <v>5096</v>
      </c>
      <c r="C277" s="2" t="s">
        <v>5097</v>
      </c>
      <c r="D277" s="2" t="s">
        <v>5098</v>
      </c>
      <c r="E277" s="2" t="s">
        <v>5099</v>
      </c>
      <c r="F277" s="2" t="s">
        <v>5100</v>
      </c>
      <c r="G277" s="2" t="s">
        <v>580</v>
      </c>
      <c r="H277" s="17">
        <v>300</v>
      </c>
      <c r="I277" s="31">
        <f t="shared" si="36"/>
        <v>300000</v>
      </c>
      <c r="J277" s="31">
        <f t="shared" si="37"/>
        <v>21000.000000000004</v>
      </c>
      <c r="K277" s="44">
        <f t="shared" si="38"/>
        <v>57.534246575342479</v>
      </c>
      <c r="L277" s="3">
        <f t="shared" si="39"/>
        <v>4257.5342465753438</v>
      </c>
      <c r="M277" s="3">
        <f t="shared" si="40"/>
        <v>255.45205479452062</v>
      </c>
      <c r="N277" s="67">
        <f t="shared" si="41"/>
        <v>4002.082191780823</v>
      </c>
      <c r="O277" s="3"/>
      <c r="P277" s="70" t="s">
        <v>18610</v>
      </c>
      <c r="Q277" s="2" t="s">
        <v>130</v>
      </c>
      <c r="R277" s="2" t="s">
        <v>5101</v>
      </c>
      <c r="T277" t="s">
        <v>18666</v>
      </c>
      <c r="U277" t="s">
        <v>18652</v>
      </c>
      <c r="V277" s="104">
        <v>45857</v>
      </c>
      <c r="X277" s="97"/>
      <c r="Y277" s="75">
        <v>4002.09</v>
      </c>
    </row>
    <row r="278" spans="1:25" x14ac:dyDescent="0.25">
      <c r="A278" s="76">
        <v>309</v>
      </c>
      <c r="B278" s="2" t="s">
        <v>16682</v>
      </c>
      <c r="C278" s="2" t="s">
        <v>16683</v>
      </c>
      <c r="D278" s="2" t="s">
        <v>16684</v>
      </c>
      <c r="E278" s="2" t="s">
        <v>16685</v>
      </c>
      <c r="F278" s="2" t="s">
        <v>16686</v>
      </c>
      <c r="G278" s="2" t="s">
        <v>2680</v>
      </c>
      <c r="H278" s="17">
        <v>25</v>
      </c>
      <c r="I278" s="31">
        <f t="shared" si="36"/>
        <v>25000</v>
      </c>
      <c r="J278" s="31">
        <f t="shared" si="37"/>
        <v>1750.0000000000002</v>
      </c>
      <c r="K278" s="44">
        <f t="shared" si="38"/>
        <v>4.794520547945206</v>
      </c>
      <c r="L278" s="3">
        <f t="shared" si="39"/>
        <v>354.79452054794524</v>
      </c>
      <c r="M278" s="3">
        <f t="shared" si="40"/>
        <v>21.287671232876715</v>
      </c>
      <c r="N278" s="67">
        <f t="shared" si="41"/>
        <v>333.50684931506851</v>
      </c>
      <c r="O278" s="3"/>
      <c r="P278" s="70" t="s">
        <v>18610</v>
      </c>
      <c r="Q278" s="2" t="s">
        <v>130</v>
      </c>
      <c r="R278" s="2" t="s">
        <v>16687</v>
      </c>
      <c r="T278" t="s">
        <v>18666</v>
      </c>
      <c r="U278" t="s">
        <v>18652</v>
      </c>
      <c r="V278" s="104">
        <v>45857</v>
      </c>
      <c r="X278" s="97"/>
      <c r="Y278" s="75">
        <v>333.51</v>
      </c>
    </row>
    <row r="279" spans="1:25" x14ac:dyDescent="0.25">
      <c r="A279" s="76">
        <v>310</v>
      </c>
      <c r="B279" s="2" t="s">
        <v>16700</v>
      </c>
      <c r="C279" s="2" t="s">
        <v>16701</v>
      </c>
      <c r="D279" s="2" t="s">
        <v>16684</v>
      </c>
      <c r="E279" s="2" t="s">
        <v>16685</v>
      </c>
      <c r="F279" s="2" t="s">
        <v>16702</v>
      </c>
      <c r="G279" s="2" t="s">
        <v>2680</v>
      </c>
      <c r="H279" s="17">
        <v>25</v>
      </c>
      <c r="I279" s="31">
        <f t="shared" si="36"/>
        <v>25000</v>
      </c>
      <c r="J279" s="31">
        <f t="shared" si="37"/>
        <v>1750.0000000000002</v>
      </c>
      <c r="K279" s="44">
        <f t="shared" si="38"/>
        <v>4.794520547945206</v>
      </c>
      <c r="L279" s="3">
        <f t="shared" si="39"/>
        <v>354.79452054794524</v>
      </c>
      <c r="M279" s="3">
        <f t="shared" si="40"/>
        <v>21.287671232876715</v>
      </c>
      <c r="N279" s="67">
        <f t="shared" si="41"/>
        <v>333.50684931506851</v>
      </c>
      <c r="O279" s="3"/>
      <c r="P279" s="70" t="s">
        <v>18610</v>
      </c>
      <c r="Q279" s="2" t="s">
        <v>130</v>
      </c>
      <c r="R279" s="2" t="s">
        <v>16703</v>
      </c>
      <c r="T279" t="s">
        <v>18666</v>
      </c>
      <c r="U279" t="s">
        <v>18652</v>
      </c>
      <c r="V279" s="104">
        <v>45857</v>
      </c>
      <c r="X279" s="97"/>
      <c r="Y279" s="75">
        <v>333.51</v>
      </c>
    </row>
    <row r="280" spans="1:25" x14ac:dyDescent="0.25">
      <c r="A280" s="76">
        <v>311</v>
      </c>
      <c r="B280" s="2" t="s">
        <v>12936</v>
      </c>
      <c r="C280" s="2" t="s">
        <v>12937</v>
      </c>
      <c r="D280" s="2" t="s">
        <v>12938</v>
      </c>
      <c r="E280" s="2" t="s">
        <v>12939</v>
      </c>
      <c r="F280" s="2" t="s">
        <v>12940</v>
      </c>
      <c r="G280" s="2" t="s">
        <v>580</v>
      </c>
      <c r="H280" s="17">
        <v>25</v>
      </c>
      <c r="I280" s="31">
        <f t="shared" si="36"/>
        <v>25000</v>
      </c>
      <c r="J280" s="31">
        <f t="shared" si="37"/>
        <v>1750.0000000000002</v>
      </c>
      <c r="K280" s="44">
        <f t="shared" si="38"/>
        <v>4.794520547945206</v>
      </c>
      <c r="L280" s="3">
        <f t="shared" si="39"/>
        <v>354.79452054794524</v>
      </c>
      <c r="M280" s="3">
        <f t="shared" si="40"/>
        <v>21.287671232876715</v>
      </c>
      <c r="N280" s="67">
        <f t="shared" si="41"/>
        <v>333.50684931506851</v>
      </c>
      <c r="O280" s="3"/>
      <c r="P280" s="70" t="s">
        <v>18610</v>
      </c>
      <c r="Q280" s="2" t="s">
        <v>130</v>
      </c>
      <c r="R280" s="2" t="s">
        <v>12941</v>
      </c>
      <c r="T280" t="s">
        <v>18666</v>
      </c>
      <c r="U280" t="s">
        <v>18652</v>
      </c>
      <c r="V280" s="104">
        <v>45857</v>
      </c>
      <c r="X280" s="97"/>
      <c r="Y280" s="75">
        <v>333.51</v>
      </c>
    </row>
    <row r="281" spans="1:25" x14ac:dyDescent="0.25">
      <c r="A281" s="76">
        <v>312</v>
      </c>
      <c r="B281" s="2" t="s">
        <v>9546</v>
      </c>
      <c r="C281" s="2" t="s">
        <v>9547</v>
      </c>
      <c r="D281" s="2" t="s">
        <v>9548</v>
      </c>
      <c r="E281" s="2" t="s">
        <v>9549</v>
      </c>
      <c r="F281" s="2" t="s">
        <v>9550</v>
      </c>
      <c r="G281" s="2" t="s">
        <v>580</v>
      </c>
      <c r="H281" s="17">
        <v>25</v>
      </c>
      <c r="I281" s="31">
        <f t="shared" si="36"/>
        <v>25000</v>
      </c>
      <c r="J281" s="31">
        <f t="shared" si="37"/>
        <v>1750.0000000000002</v>
      </c>
      <c r="K281" s="44">
        <f t="shared" si="38"/>
        <v>4.794520547945206</v>
      </c>
      <c r="L281" s="3">
        <f t="shared" si="39"/>
        <v>354.79452054794524</v>
      </c>
      <c r="M281" s="3">
        <f t="shared" si="40"/>
        <v>21.287671232876715</v>
      </c>
      <c r="N281" s="67">
        <f t="shared" si="41"/>
        <v>333.50684931506851</v>
      </c>
      <c r="O281" s="3"/>
      <c r="P281" s="70" t="s">
        <v>18610</v>
      </c>
      <c r="Q281" s="2" t="s">
        <v>130</v>
      </c>
      <c r="R281" s="2" t="s">
        <v>9551</v>
      </c>
      <c r="T281" t="s">
        <v>18666</v>
      </c>
      <c r="U281" t="s">
        <v>18652</v>
      </c>
      <c r="V281" s="104">
        <v>45857</v>
      </c>
      <c r="X281" s="97"/>
      <c r="Y281" s="75">
        <v>333.51</v>
      </c>
    </row>
    <row r="282" spans="1:25" x14ac:dyDescent="0.25">
      <c r="A282" s="76">
        <v>313</v>
      </c>
      <c r="B282" s="2" t="s">
        <v>1825</v>
      </c>
      <c r="C282" s="2" t="s">
        <v>1826</v>
      </c>
      <c r="D282" s="2" t="s">
        <v>1827</v>
      </c>
      <c r="E282" s="2" t="s">
        <v>1828</v>
      </c>
      <c r="F282" s="2" t="s">
        <v>1829</v>
      </c>
      <c r="G282" s="2" t="s">
        <v>31</v>
      </c>
      <c r="H282" s="17">
        <v>25</v>
      </c>
      <c r="I282" s="31">
        <f t="shared" si="36"/>
        <v>25000</v>
      </c>
      <c r="J282" s="31">
        <f t="shared" si="37"/>
        <v>1750.0000000000002</v>
      </c>
      <c r="K282" s="44">
        <f t="shared" si="38"/>
        <v>4.794520547945206</v>
      </c>
      <c r="L282" s="3">
        <f t="shared" si="39"/>
        <v>354.79452054794524</v>
      </c>
      <c r="M282" s="3">
        <f t="shared" si="40"/>
        <v>21.287671232876715</v>
      </c>
      <c r="N282" s="67">
        <f t="shared" si="41"/>
        <v>333.50684931506851</v>
      </c>
      <c r="O282" s="3"/>
      <c r="P282" s="70" t="s">
        <v>18610</v>
      </c>
      <c r="Q282" s="2" t="s">
        <v>130</v>
      </c>
      <c r="R282" s="2" t="s">
        <v>1830</v>
      </c>
      <c r="T282" t="s">
        <v>18666</v>
      </c>
      <c r="U282" t="s">
        <v>18652</v>
      </c>
      <c r="V282" s="104">
        <v>45857</v>
      </c>
      <c r="X282" s="97"/>
      <c r="Y282" s="75">
        <v>333.51</v>
      </c>
    </row>
    <row r="283" spans="1:25" x14ac:dyDescent="0.25">
      <c r="A283" s="76">
        <v>314</v>
      </c>
      <c r="B283" s="2" t="s">
        <v>9025</v>
      </c>
      <c r="C283" s="2" t="s">
        <v>9026</v>
      </c>
      <c r="D283" s="2" t="s">
        <v>9027</v>
      </c>
      <c r="E283" s="2" t="s">
        <v>9028</v>
      </c>
      <c r="F283" s="2" t="s">
        <v>9029</v>
      </c>
      <c r="G283" s="2" t="s">
        <v>31</v>
      </c>
      <c r="H283" s="17">
        <v>25</v>
      </c>
      <c r="I283" s="31">
        <f t="shared" si="36"/>
        <v>25000</v>
      </c>
      <c r="J283" s="31">
        <f t="shared" si="37"/>
        <v>1750.0000000000002</v>
      </c>
      <c r="K283" s="44">
        <f t="shared" si="38"/>
        <v>4.794520547945206</v>
      </c>
      <c r="L283" s="3">
        <f t="shared" si="39"/>
        <v>354.79452054794524</v>
      </c>
      <c r="M283" s="3">
        <f t="shared" si="40"/>
        <v>21.287671232876715</v>
      </c>
      <c r="N283" s="67">
        <f t="shared" si="41"/>
        <v>333.50684931506851</v>
      </c>
      <c r="O283" s="3"/>
      <c r="P283" s="70" t="s">
        <v>18610</v>
      </c>
      <c r="Q283" s="2" t="s">
        <v>130</v>
      </c>
      <c r="R283" s="2" t="s">
        <v>9030</v>
      </c>
      <c r="T283" t="s">
        <v>18666</v>
      </c>
      <c r="U283" t="s">
        <v>18652</v>
      </c>
      <c r="V283" s="104">
        <v>45857</v>
      </c>
      <c r="X283" s="97"/>
      <c r="Y283" s="75">
        <v>333.51</v>
      </c>
    </row>
    <row r="284" spans="1:25" x14ac:dyDescent="0.25">
      <c r="A284" s="76">
        <v>315</v>
      </c>
      <c r="B284" s="2" t="s">
        <v>16038</v>
      </c>
      <c r="C284" s="2" t="s">
        <v>16039</v>
      </c>
      <c r="D284" s="2" t="s">
        <v>16040</v>
      </c>
      <c r="E284" s="2" t="s">
        <v>16041</v>
      </c>
      <c r="F284" s="2" t="s">
        <v>16042</v>
      </c>
      <c r="G284" s="2" t="s">
        <v>31</v>
      </c>
      <c r="H284" s="17">
        <v>25</v>
      </c>
      <c r="I284" s="31">
        <f t="shared" si="36"/>
        <v>25000</v>
      </c>
      <c r="J284" s="31">
        <f t="shared" si="37"/>
        <v>1750.0000000000002</v>
      </c>
      <c r="K284" s="44">
        <f t="shared" si="38"/>
        <v>4.794520547945206</v>
      </c>
      <c r="L284" s="3">
        <f t="shared" si="39"/>
        <v>354.79452054794524</v>
      </c>
      <c r="M284" s="3">
        <f t="shared" si="40"/>
        <v>21.287671232876715</v>
      </c>
      <c r="N284" s="67">
        <f t="shared" si="41"/>
        <v>333.50684931506851</v>
      </c>
      <c r="O284" s="3"/>
      <c r="P284" s="70" t="s">
        <v>18610</v>
      </c>
      <c r="Q284" s="2" t="s">
        <v>130</v>
      </c>
      <c r="R284" s="2" t="s">
        <v>16043</v>
      </c>
      <c r="T284" t="s">
        <v>18666</v>
      </c>
      <c r="U284" t="s">
        <v>18652</v>
      </c>
      <c r="V284" s="104">
        <v>45857</v>
      </c>
      <c r="X284" s="97"/>
      <c r="Y284" s="75">
        <v>333.51</v>
      </c>
    </row>
    <row r="285" spans="1:25" x14ac:dyDescent="0.25">
      <c r="A285" s="76">
        <v>316</v>
      </c>
      <c r="B285" s="2" t="s">
        <v>16430</v>
      </c>
      <c r="C285" s="2" t="s">
        <v>16431</v>
      </c>
      <c r="D285" s="2" t="s">
        <v>16432</v>
      </c>
      <c r="E285" s="2" t="s">
        <v>16433</v>
      </c>
      <c r="F285" s="2" t="s">
        <v>16434</v>
      </c>
      <c r="G285" s="2" t="s">
        <v>517</v>
      </c>
      <c r="H285" s="17">
        <v>30</v>
      </c>
      <c r="I285" s="31">
        <f t="shared" si="36"/>
        <v>30000</v>
      </c>
      <c r="J285" s="31">
        <f t="shared" si="37"/>
        <v>2100</v>
      </c>
      <c r="K285" s="44">
        <f t="shared" si="38"/>
        <v>5.7534246575342465</v>
      </c>
      <c r="L285" s="3">
        <f t="shared" si="39"/>
        <v>425.75342465753425</v>
      </c>
      <c r="M285" s="3">
        <f t="shared" si="40"/>
        <v>25.545205479452054</v>
      </c>
      <c r="N285" s="67">
        <f t="shared" si="41"/>
        <v>400.20821917808217</v>
      </c>
      <c r="O285" s="3"/>
      <c r="P285" s="70" t="s">
        <v>18610</v>
      </c>
      <c r="Q285" s="2" t="s">
        <v>130</v>
      </c>
      <c r="R285" s="2" t="s">
        <v>16435</v>
      </c>
      <c r="T285" t="s">
        <v>18666</v>
      </c>
      <c r="U285" t="s">
        <v>18652</v>
      </c>
      <c r="V285" s="104">
        <v>45857</v>
      </c>
      <c r="X285" s="97"/>
      <c r="Y285" s="75">
        <v>400.21</v>
      </c>
    </row>
    <row r="286" spans="1:25" x14ac:dyDescent="0.25">
      <c r="A286" s="76">
        <v>317</v>
      </c>
      <c r="B286" s="2" t="s">
        <v>14733</v>
      </c>
      <c r="C286" s="2" t="s">
        <v>14734</v>
      </c>
      <c r="D286" s="2" t="s">
        <v>14735</v>
      </c>
      <c r="E286" s="2" t="s">
        <v>14736</v>
      </c>
      <c r="F286" s="2" t="s">
        <v>14737</v>
      </c>
      <c r="G286" s="2" t="s">
        <v>517</v>
      </c>
      <c r="H286" s="17">
        <v>25</v>
      </c>
      <c r="I286" s="31">
        <f t="shared" si="36"/>
        <v>25000</v>
      </c>
      <c r="J286" s="31">
        <f t="shared" si="37"/>
        <v>1750.0000000000002</v>
      </c>
      <c r="K286" s="44">
        <f t="shared" si="38"/>
        <v>4.794520547945206</v>
      </c>
      <c r="L286" s="3">
        <f t="shared" si="39"/>
        <v>354.79452054794524</v>
      </c>
      <c r="M286" s="3">
        <f t="shared" si="40"/>
        <v>21.287671232876715</v>
      </c>
      <c r="N286" s="67">
        <f t="shared" si="41"/>
        <v>333.50684931506851</v>
      </c>
      <c r="O286" s="3"/>
      <c r="P286" s="70" t="s">
        <v>18610</v>
      </c>
      <c r="Q286" s="2" t="s">
        <v>130</v>
      </c>
      <c r="R286" s="2" t="s">
        <v>14738</v>
      </c>
      <c r="T286" t="s">
        <v>18666</v>
      </c>
      <c r="U286" t="s">
        <v>18652</v>
      </c>
      <c r="V286" s="104">
        <v>45857</v>
      </c>
      <c r="X286" s="97"/>
      <c r="Y286" s="75">
        <v>333.51</v>
      </c>
    </row>
    <row r="287" spans="1:25" x14ac:dyDescent="0.25">
      <c r="A287" s="76">
        <v>318</v>
      </c>
      <c r="B287" s="2" t="s">
        <v>1383</v>
      </c>
      <c r="C287" s="2" t="s">
        <v>1384</v>
      </c>
      <c r="D287" s="2" t="s">
        <v>1385</v>
      </c>
      <c r="E287" s="2" t="s">
        <v>1386</v>
      </c>
      <c r="F287" s="2" t="s">
        <v>1387</v>
      </c>
      <c r="G287" s="2" t="s">
        <v>381</v>
      </c>
      <c r="H287" s="17">
        <v>300</v>
      </c>
      <c r="I287" s="31">
        <f t="shared" si="36"/>
        <v>300000</v>
      </c>
      <c r="J287" s="31">
        <f t="shared" si="37"/>
        <v>21000.000000000004</v>
      </c>
      <c r="K287" s="44">
        <f t="shared" si="38"/>
        <v>57.534246575342479</v>
      </c>
      <c r="L287" s="3">
        <f t="shared" si="39"/>
        <v>4257.5342465753438</v>
      </c>
      <c r="M287" s="3">
        <f t="shared" si="40"/>
        <v>255.45205479452062</v>
      </c>
      <c r="N287" s="67">
        <f t="shared" si="41"/>
        <v>4002.082191780823</v>
      </c>
      <c r="O287" s="3"/>
      <c r="P287" s="70" t="s">
        <v>18610</v>
      </c>
      <c r="Q287" s="2" t="s">
        <v>130</v>
      </c>
      <c r="R287" s="2" t="s">
        <v>1388</v>
      </c>
      <c r="T287" t="s">
        <v>18666</v>
      </c>
      <c r="U287" t="s">
        <v>18652</v>
      </c>
      <c r="V287" s="104">
        <v>45857</v>
      </c>
      <c r="X287" s="97"/>
      <c r="Y287" s="75">
        <v>4002.09</v>
      </c>
    </row>
    <row r="288" spans="1:25" x14ac:dyDescent="0.25">
      <c r="A288" s="76">
        <v>319</v>
      </c>
      <c r="B288" s="2" t="s">
        <v>776</v>
      </c>
      <c r="C288" s="2" t="s">
        <v>777</v>
      </c>
      <c r="D288" s="2" t="s">
        <v>778</v>
      </c>
      <c r="E288" s="2" t="s">
        <v>779</v>
      </c>
      <c r="F288" s="2" t="s">
        <v>780</v>
      </c>
      <c r="G288" s="2" t="s">
        <v>193</v>
      </c>
      <c r="H288" s="17">
        <v>25</v>
      </c>
      <c r="I288" s="31">
        <f t="shared" si="36"/>
        <v>25000</v>
      </c>
      <c r="J288" s="31">
        <f t="shared" si="37"/>
        <v>1750.0000000000002</v>
      </c>
      <c r="K288" s="44">
        <f t="shared" si="38"/>
        <v>4.794520547945206</v>
      </c>
      <c r="L288" s="3">
        <f t="shared" si="39"/>
        <v>354.79452054794524</v>
      </c>
      <c r="M288" s="3">
        <f t="shared" si="40"/>
        <v>21.287671232876715</v>
      </c>
      <c r="N288" s="67">
        <f t="shared" si="41"/>
        <v>333.50684931506851</v>
      </c>
      <c r="O288" s="3"/>
      <c r="P288" s="70" t="s">
        <v>18610</v>
      </c>
      <c r="Q288" s="2" t="s">
        <v>130</v>
      </c>
      <c r="R288" s="2" t="s">
        <v>781</v>
      </c>
      <c r="T288" t="s">
        <v>18666</v>
      </c>
      <c r="U288" t="s">
        <v>18652</v>
      </c>
      <c r="V288" s="104">
        <v>45857</v>
      </c>
      <c r="X288" s="97"/>
      <c r="Y288" s="75">
        <v>333.51</v>
      </c>
    </row>
    <row r="289" spans="1:25" x14ac:dyDescent="0.25">
      <c r="A289" s="76">
        <v>320</v>
      </c>
      <c r="B289" s="2" t="s">
        <v>11760</v>
      </c>
      <c r="C289" s="2" t="s">
        <v>11761</v>
      </c>
      <c r="D289" s="2" t="s">
        <v>11762</v>
      </c>
      <c r="E289" s="2" t="s">
        <v>11763</v>
      </c>
      <c r="F289" s="2" t="s">
        <v>11764</v>
      </c>
      <c r="G289" s="2" t="s">
        <v>39</v>
      </c>
      <c r="H289" s="17">
        <v>25</v>
      </c>
      <c r="I289" s="31">
        <f t="shared" si="36"/>
        <v>25000</v>
      </c>
      <c r="J289" s="31">
        <f t="shared" si="37"/>
        <v>1750.0000000000002</v>
      </c>
      <c r="K289" s="44">
        <f t="shared" si="38"/>
        <v>4.794520547945206</v>
      </c>
      <c r="L289" s="3">
        <f t="shared" si="39"/>
        <v>354.79452054794524</v>
      </c>
      <c r="M289" s="3">
        <f t="shared" si="40"/>
        <v>21.287671232876715</v>
      </c>
      <c r="N289" s="67">
        <f t="shared" si="41"/>
        <v>333.50684931506851</v>
      </c>
      <c r="O289" s="3"/>
      <c r="P289" s="70" t="s">
        <v>18610</v>
      </c>
      <c r="Q289" s="2" t="s">
        <v>130</v>
      </c>
      <c r="R289" s="2" t="s">
        <v>11765</v>
      </c>
      <c r="T289" t="s">
        <v>18666</v>
      </c>
      <c r="U289" t="s">
        <v>18652</v>
      </c>
      <c r="V289" s="104">
        <v>45857</v>
      </c>
      <c r="X289" s="97"/>
      <c r="Y289" s="75">
        <v>333.51</v>
      </c>
    </row>
    <row r="290" spans="1:25" x14ac:dyDescent="0.25">
      <c r="A290" s="76">
        <v>321</v>
      </c>
      <c r="B290" s="2" t="s">
        <v>8902</v>
      </c>
      <c r="C290" s="2" t="s">
        <v>8903</v>
      </c>
      <c r="D290" s="2" t="s">
        <v>8904</v>
      </c>
      <c r="E290" s="2" t="s">
        <v>8905</v>
      </c>
      <c r="F290" s="2" t="s">
        <v>8906</v>
      </c>
      <c r="G290" s="2" t="s">
        <v>309</v>
      </c>
      <c r="H290" s="17">
        <v>50</v>
      </c>
      <c r="I290" s="31">
        <f t="shared" si="36"/>
        <v>50000</v>
      </c>
      <c r="J290" s="31">
        <f t="shared" si="37"/>
        <v>3500.0000000000005</v>
      </c>
      <c r="K290" s="44">
        <f t="shared" si="38"/>
        <v>9.589041095890412</v>
      </c>
      <c r="L290" s="3">
        <f t="shared" si="39"/>
        <v>709.58904109589048</v>
      </c>
      <c r="M290" s="3">
        <f t="shared" si="40"/>
        <v>42.57534246575343</v>
      </c>
      <c r="N290" s="67">
        <f t="shared" si="41"/>
        <v>667.01369863013701</v>
      </c>
      <c r="O290" s="3"/>
      <c r="P290" s="70" t="s">
        <v>18610</v>
      </c>
      <c r="Q290" s="2" t="s">
        <v>130</v>
      </c>
      <c r="R290" s="2" t="s">
        <v>8907</v>
      </c>
      <c r="T290" t="s">
        <v>18666</v>
      </c>
      <c r="U290" t="s">
        <v>18652</v>
      </c>
      <c r="V290" s="104">
        <v>45857</v>
      </c>
      <c r="X290" s="97"/>
      <c r="Y290" s="75">
        <v>667.02</v>
      </c>
    </row>
    <row r="291" spans="1:25" x14ac:dyDescent="0.25">
      <c r="A291" s="76">
        <v>322</v>
      </c>
      <c r="B291" s="2" t="s">
        <v>9121</v>
      </c>
      <c r="C291" s="2" t="s">
        <v>9122</v>
      </c>
      <c r="D291" s="2" t="s">
        <v>9123</v>
      </c>
      <c r="E291" s="2" t="s">
        <v>9124</v>
      </c>
      <c r="F291" s="2" t="s">
        <v>9125</v>
      </c>
      <c r="G291" s="2" t="s">
        <v>296</v>
      </c>
      <c r="H291" s="17">
        <v>200</v>
      </c>
      <c r="I291" s="31">
        <f t="shared" si="36"/>
        <v>200000</v>
      </c>
      <c r="J291" s="31">
        <f t="shared" si="37"/>
        <v>14000.000000000002</v>
      </c>
      <c r="K291" s="44">
        <f t="shared" si="38"/>
        <v>38.356164383561648</v>
      </c>
      <c r="L291" s="3">
        <f t="shared" si="39"/>
        <v>2838.3561643835619</v>
      </c>
      <c r="M291" s="3">
        <f t="shared" si="40"/>
        <v>170.30136986301372</v>
      </c>
      <c r="N291" s="67">
        <f t="shared" si="41"/>
        <v>2668.0547945205481</v>
      </c>
      <c r="O291" s="3"/>
      <c r="P291" s="70" t="s">
        <v>18610</v>
      </c>
      <c r="Q291" s="2" t="s">
        <v>130</v>
      </c>
      <c r="R291" s="2" t="s">
        <v>9126</v>
      </c>
      <c r="T291" t="s">
        <v>18666</v>
      </c>
      <c r="U291" t="s">
        <v>18652</v>
      </c>
      <c r="V291" s="104">
        <v>45857</v>
      </c>
      <c r="X291" s="97"/>
      <c r="Y291" s="75">
        <v>2668.0600000000004</v>
      </c>
    </row>
    <row r="292" spans="1:25" x14ac:dyDescent="0.25">
      <c r="A292" s="76">
        <v>323</v>
      </c>
      <c r="B292" s="2" t="s">
        <v>4328</v>
      </c>
      <c r="C292" s="2" t="s">
        <v>4329</v>
      </c>
      <c r="D292" s="2" t="s">
        <v>4330</v>
      </c>
      <c r="E292" s="2" t="s">
        <v>4331</v>
      </c>
      <c r="F292" s="2" t="s">
        <v>4332</v>
      </c>
      <c r="G292" s="2" t="s">
        <v>31</v>
      </c>
      <c r="H292" s="17">
        <v>50</v>
      </c>
      <c r="I292" s="31">
        <f t="shared" si="36"/>
        <v>50000</v>
      </c>
      <c r="J292" s="31">
        <f t="shared" si="37"/>
        <v>3500.0000000000005</v>
      </c>
      <c r="K292" s="44">
        <f t="shared" si="38"/>
        <v>9.589041095890412</v>
      </c>
      <c r="L292" s="3">
        <f t="shared" si="39"/>
        <v>709.58904109589048</v>
      </c>
      <c r="M292" s="3">
        <f t="shared" si="40"/>
        <v>42.57534246575343</v>
      </c>
      <c r="N292" s="67">
        <f t="shared" si="41"/>
        <v>667.01369863013701</v>
      </c>
      <c r="O292" s="3"/>
      <c r="P292" s="70" t="s">
        <v>18610</v>
      </c>
      <c r="Q292" s="2" t="s">
        <v>130</v>
      </c>
      <c r="R292" s="2" t="s">
        <v>4333</v>
      </c>
      <c r="T292" t="s">
        <v>18666</v>
      </c>
      <c r="U292" t="s">
        <v>18652</v>
      </c>
      <c r="V292" s="104">
        <v>45857</v>
      </c>
      <c r="X292" s="97"/>
      <c r="Y292" s="75">
        <v>667.02</v>
      </c>
    </row>
    <row r="293" spans="1:25" x14ac:dyDescent="0.25">
      <c r="A293" s="76">
        <v>324</v>
      </c>
      <c r="B293" s="2" t="s">
        <v>4346</v>
      </c>
      <c r="C293" s="2" t="s">
        <v>4347</v>
      </c>
      <c r="D293" s="2" t="s">
        <v>4330</v>
      </c>
      <c r="E293" s="2" t="s">
        <v>4348</v>
      </c>
      <c r="F293" s="2" t="s">
        <v>4349</v>
      </c>
      <c r="G293" s="2" t="s">
        <v>31</v>
      </c>
      <c r="H293" s="17">
        <v>50</v>
      </c>
      <c r="I293" s="31">
        <f t="shared" si="36"/>
        <v>50000</v>
      </c>
      <c r="J293" s="31">
        <f t="shared" si="37"/>
        <v>3500.0000000000005</v>
      </c>
      <c r="K293" s="44">
        <f t="shared" si="38"/>
        <v>9.589041095890412</v>
      </c>
      <c r="L293" s="3">
        <f t="shared" si="39"/>
        <v>709.58904109589048</v>
      </c>
      <c r="M293" s="3">
        <f t="shared" si="40"/>
        <v>42.57534246575343</v>
      </c>
      <c r="N293" s="67">
        <f t="shared" si="41"/>
        <v>667.01369863013701</v>
      </c>
      <c r="O293" s="3"/>
      <c r="P293" s="70" t="s">
        <v>18610</v>
      </c>
      <c r="Q293" s="2" t="s">
        <v>130</v>
      </c>
      <c r="R293" s="2" t="s">
        <v>4350</v>
      </c>
      <c r="T293" t="s">
        <v>18666</v>
      </c>
      <c r="U293" t="s">
        <v>18652</v>
      </c>
      <c r="V293" s="104">
        <v>45857</v>
      </c>
      <c r="X293" s="97"/>
      <c r="Y293" s="75">
        <v>667.02</v>
      </c>
    </row>
    <row r="294" spans="1:25" x14ac:dyDescent="0.25">
      <c r="A294" s="76">
        <v>325</v>
      </c>
      <c r="B294" s="2" t="s">
        <v>8166</v>
      </c>
      <c r="C294" s="2" t="s">
        <v>8167</v>
      </c>
      <c r="D294" s="2" t="s">
        <v>8168</v>
      </c>
      <c r="E294" s="2" t="s">
        <v>8169</v>
      </c>
      <c r="F294" s="2" t="s">
        <v>8170</v>
      </c>
      <c r="G294" s="2" t="s">
        <v>517</v>
      </c>
      <c r="H294" s="17">
        <v>25</v>
      </c>
      <c r="I294" s="31">
        <f t="shared" si="36"/>
        <v>25000</v>
      </c>
      <c r="J294" s="31">
        <f t="shared" si="37"/>
        <v>1750.0000000000002</v>
      </c>
      <c r="K294" s="44">
        <f t="shared" si="38"/>
        <v>4.794520547945206</v>
      </c>
      <c r="L294" s="3">
        <f t="shared" si="39"/>
        <v>354.79452054794524</v>
      </c>
      <c r="M294" s="3">
        <f t="shared" si="40"/>
        <v>21.287671232876715</v>
      </c>
      <c r="N294" s="67">
        <f t="shared" si="41"/>
        <v>333.50684931506851</v>
      </c>
      <c r="O294" s="3"/>
      <c r="P294" s="70" t="s">
        <v>18610</v>
      </c>
      <c r="Q294" s="2" t="s">
        <v>130</v>
      </c>
      <c r="R294" s="2" t="s">
        <v>8171</v>
      </c>
      <c r="T294" t="s">
        <v>18666</v>
      </c>
      <c r="U294" t="s">
        <v>18652</v>
      </c>
      <c r="V294" s="104">
        <v>45857</v>
      </c>
      <c r="X294" s="97"/>
      <c r="Y294" s="75">
        <v>333.51</v>
      </c>
    </row>
    <row r="295" spans="1:25" x14ac:dyDescent="0.25">
      <c r="A295" s="76">
        <v>326</v>
      </c>
      <c r="B295" s="2" t="s">
        <v>17283</v>
      </c>
      <c r="C295" s="2" t="s">
        <v>9507</v>
      </c>
      <c r="D295" s="2" t="s">
        <v>17284</v>
      </c>
      <c r="E295" s="2" t="s">
        <v>17285</v>
      </c>
      <c r="F295" s="2" t="s">
        <v>17286</v>
      </c>
      <c r="G295" s="2" t="s">
        <v>218</v>
      </c>
      <c r="H295" s="17">
        <v>25</v>
      </c>
      <c r="I295" s="31">
        <f t="shared" si="36"/>
        <v>25000</v>
      </c>
      <c r="J295" s="31">
        <f t="shared" si="37"/>
        <v>1750.0000000000002</v>
      </c>
      <c r="K295" s="44">
        <f t="shared" si="38"/>
        <v>4.794520547945206</v>
      </c>
      <c r="L295" s="3">
        <f t="shared" si="39"/>
        <v>354.79452054794524</v>
      </c>
      <c r="M295" s="3">
        <f t="shared" si="40"/>
        <v>21.287671232876715</v>
      </c>
      <c r="N295" s="67">
        <f t="shared" si="41"/>
        <v>333.50684931506851</v>
      </c>
      <c r="O295" s="3"/>
      <c r="P295" s="70" t="s">
        <v>18610</v>
      </c>
      <c r="Q295" s="2" t="s">
        <v>130</v>
      </c>
      <c r="R295" s="2" t="s">
        <v>17287</v>
      </c>
      <c r="T295" t="s">
        <v>18666</v>
      </c>
      <c r="U295" t="s">
        <v>18652</v>
      </c>
      <c r="V295" s="104">
        <v>45857</v>
      </c>
      <c r="X295" s="97"/>
      <c r="Y295" s="75">
        <v>333.51</v>
      </c>
    </row>
    <row r="296" spans="1:25" x14ac:dyDescent="0.25">
      <c r="A296" s="76">
        <v>327</v>
      </c>
      <c r="B296" s="2" t="s">
        <v>9055</v>
      </c>
      <c r="C296" s="2" t="s">
        <v>9056</v>
      </c>
      <c r="D296" s="2" t="s">
        <v>9057</v>
      </c>
      <c r="E296" s="2" t="s">
        <v>9058</v>
      </c>
      <c r="F296" s="2" t="s">
        <v>9059</v>
      </c>
      <c r="G296" s="2" t="s">
        <v>412</v>
      </c>
      <c r="H296" s="17">
        <v>75</v>
      </c>
      <c r="I296" s="31">
        <f t="shared" si="36"/>
        <v>75000</v>
      </c>
      <c r="J296" s="31">
        <f t="shared" si="37"/>
        <v>5250.0000000000009</v>
      </c>
      <c r="K296" s="44">
        <f t="shared" si="38"/>
        <v>14.38356164383562</v>
      </c>
      <c r="L296" s="3">
        <f t="shared" si="39"/>
        <v>1064.3835616438359</v>
      </c>
      <c r="M296" s="3">
        <f t="shared" si="40"/>
        <v>63.863013698630155</v>
      </c>
      <c r="N296" s="67">
        <f t="shared" si="41"/>
        <v>1000.5205479452057</v>
      </c>
      <c r="O296" s="3"/>
      <c r="P296" s="70" t="s">
        <v>18610</v>
      </c>
      <c r="Q296" s="2" t="s">
        <v>130</v>
      </c>
      <c r="R296" s="2" t="s">
        <v>9060</v>
      </c>
      <c r="T296" t="s">
        <v>18666</v>
      </c>
      <c r="U296" t="s">
        <v>18652</v>
      </c>
      <c r="V296" s="104">
        <v>45857</v>
      </c>
      <c r="X296" s="97"/>
      <c r="Y296" s="75">
        <v>1000.53</v>
      </c>
    </row>
    <row r="297" spans="1:25" x14ac:dyDescent="0.25">
      <c r="A297" s="76">
        <v>328</v>
      </c>
      <c r="B297" s="2" t="s">
        <v>13764</v>
      </c>
      <c r="C297" s="2" t="s">
        <v>13765</v>
      </c>
      <c r="D297" s="2" t="s">
        <v>13766</v>
      </c>
      <c r="E297" s="2" t="s">
        <v>13767</v>
      </c>
      <c r="F297" s="2" t="s">
        <v>13768</v>
      </c>
      <c r="G297" s="2" t="s">
        <v>1136</v>
      </c>
      <c r="H297" s="17">
        <v>100</v>
      </c>
      <c r="I297" s="31">
        <f t="shared" si="36"/>
        <v>100000</v>
      </c>
      <c r="J297" s="31">
        <f t="shared" si="37"/>
        <v>7000.0000000000009</v>
      </c>
      <c r="K297" s="44">
        <f t="shared" si="38"/>
        <v>19.178082191780824</v>
      </c>
      <c r="L297" s="3">
        <f t="shared" si="39"/>
        <v>1419.178082191781</v>
      </c>
      <c r="M297" s="3">
        <f t="shared" si="40"/>
        <v>85.150684931506859</v>
      </c>
      <c r="N297" s="67">
        <f t="shared" si="41"/>
        <v>1334.027397260274</v>
      </c>
      <c r="O297" s="3"/>
      <c r="P297" s="70" t="s">
        <v>18610</v>
      </c>
      <c r="Q297" s="2" t="s">
        <v>130</v>
      </c>
      <c r="R297" s="2" t="s">
        <v>13769</v>
      </c>
      <c r="T297" t="s">
        <v>18666</v>
      </c>
      <c r="U297" t="s">
        <v>18652</v>
      </c>
      <c r="V297" s="104">
        <v>45857</v>
      </c>
      <c r="X297" s="97"/>
      <c r="Y297" s="75">
        <v>1334.03</v>
      </c>
    </row>
    <row r="298" spans="1:25" x14ac:dyDescent="0.25">
      <c r="A298" s="76">
        <v>329</v>
      </c>
      <c r="B298" s="2" t="s">
        <v>8938</v>
      </c>
      <c r="C298" s="2" t="s">
        <v>8939</v>
      </c>
      <c r="D298" s="2" t="s">
        <v>8940</v>
      </c>
      <c r="E298" s="2" t="s">
        <v>8941</v>
      </c>
      <c r="F298" s="2" t="s">
        <v>8942</v>
      </c>
      <c r="G298" s="2" t="s">
        <v>412</v>
      </c>
      <c r="H298" s="17">
        <v>25</v>
      </c>
      <c r="I298" s="31">
        <f t="shared" si="36"/>
        <v>25000</v>
      </c>
      <c r="J298" s="31">
        <f t="shared" si="37"/>
        <v>1750.0000000000002</v>
      </c>
      <c r="K298" s="44">
        <f t="shared" si="38"/>
        <v>4.794520547945206</v>
      </c>
      <c r="L298" s="3">
        <f t="shared" si="39"/>
        <v>354.79452054794524</v>
      </c>
      <c r="M298" s="3">
        <f t="shared" si="40"/>
        <v>21.287671232876715</v>
      </c>
      <c r="N298" s="67">
        <f t="shared" si="41"/>
        <v>333.50684931506851</v>
      </c>
      <c r="O298" s="3"/>
      <c r="P298" s="70" t="s">
        <v>18610</v>
      </c>
      <c r="Q298" s="2" t="s">
        <v>130</v>
      </c>
      <c r="R298" s="2" t="s">
        <v>8943</v>
      </c>
      <c r="T298" t="s">
        <v>18666</v>
      </c>
      <c r="U298" t="s">
        <v>18652</v>
      </c>
      <c r="V298" s="104">
        <v>45857</v>
      </c>
      <c r="X298" s="97"/>
      <c r="Y298" s="75">
        <v>333.51</v>
      </c>
    </row>
    <row r="299" spans="1:25" x14ac:dyDescent="0.25">
      <c r="A299" s="76">
        <v>330</v>
      </c>
      <c r="B299" s="2" t="s">
        <v>13708</v>
      </c>
      <c r="C299" s="2" t="s">
        <v>13709</v>
      </c>
      <c r="D299" s="2" t="s">
        <v>13710</v>
      </c>
      <c r="E299" s="2" t="s">
        <v>13711</v>
      </c>
      <c r="F299" s="2" t="s">
        <v>13712</v>
      </c>
      <c r="G299" s="2" t="s">
        <v>362</v>
      </c>
      <c r="H299" s="17">
        <v>28</v>
      </c>
      <c r="I299" s="31">
        <f t="shared" si="36"/>
        <v>28000</v>
      </c>
      <c r="J299" s="31">
        <f t="shared" si="37"/>
        <v>1960.0000000000002</v>
      </c>
      <c r="K299" s="44">
        <f t="shared" si="38"/>
        <v>5.3698630136986312</v>
      </c>
      <c r="L299" s="3">
        <f t="shared" si="39"/>
        <v>397.3698630136987</v>
      </c>
      <c r="M299" s="3">
        <f t="shared" si="40"/>
        <v>23.842191780821921</v>
      </c>
      <c r="N299" s="67">
        <f t="shared" si="41"/>
        <v>373.5276712328768</v>
      </c>
      <c r="O299" s="3"/>
      <c r="P299" s="70" t="s">
        <v>18610</v>
      </c>
      <c r="Q299" s="2" t="s">
        <v>130</v>
      </c>
      <c r="R299" s="2" t="s">
        <v>13713</v>
      </c>
      <c r="T299" t="s">
        <v>18666</v>
      </c>
      <c r="U299" t="s">
        <v>18652</v>
      </c>
      <c r="V299" s="104">
        <v>45857</v>
      </c>
      <c r="X299" s="97"/>
      <c r="Y299" s="75">
        <v>373.53</v>
      </c>
    </row>
    <row r="300" spans="1:25" x14ac:dyDescent="0.25">
      <c r="A300" s="76">
        <v>331</v>
      </c>
      <c r="B300" s="2" t="s">
        <v>941</v>
      </c>
      <c r="C300" s="2" t="s">
        <v>942</v>
      </c>
      <c r="D300" s="2" t="s">
        <v>943</v>
      </c>
      <c r="E300" s="2" t="s">
        <v>944</v>
      </c>
      <c r="F300" s="2" t="s">
        <v>945</v>
      </c>
      <c r="G300" s="2" t="s">
        <v>31</v>
      </c>
      <c r="H300" s="17">
        <v>55</v>
      </c>
      <c r="I300" s="31">
        <f t="shared" si="36"/>
        <v>55000</v>
      </c>
      <c r="J300" s="31">
        <f t="shared" si="37"/>
        <v>3850.0000000000005</v>
      </c>
      <c r="K300" s="44">
        <f t="shared" si="38"/>
        <v>10.547945205479452</v>
      </c>
      <c r="L300" s="3">
        <f t="shared" si="39"/>
        <v>780.54794520547944</v>
      </c>
      <c r="M300" s="3">
        <f t="shared" si="40"/>
        <v>46.832876712328762</v>
      </c>
      <c r="N300" s="67">
        <f t="shared" si="41"/>
        <v>733.71506849315062</v>
      </c>
      <c r="O300" s="3"/>
      <c r="P300" s="70" t="s">
        <v>18610</v>
      </c>
      <c r="Q300" s="2" t="s">
        <v>130</v>
      </c>
      <c r="R300" s="2" t="s">
        <v>946</v>
      </c>
      <c r="T300" t="s">
        <v>18666</v>
      </c>
      <c r="U300" t="s">
        <v>18652</v>
      </c>
      <c r="V300" s="104">
        <v>45857</v>
      </c>
      <c r="X300" s="97"/>
      <c r="Y300" s="75">
        <v>733.72</v>
      </c>
    </row>
    <row r="301" spans="1:25" x14ac:dyDescent="0.25">
      <c r="A301" s="76">
        <v>332</v>
      </c>
      <c r="B301" s="2" t="s">
        <v>17756</v>
      </c>
      <c r="C301" s="2" t="s">
        <v>17757</v>
      </c>
      <c r="D301" s="2" t="s">
        <v>17758</v>
      </c>
      <c r="E301" s="2" t="s">
        <v>17759</v>
      </c>
      <c r="F301" s="2" t="s">
        <v>17760</v>
      </c>
      <c r="G301" s="2" t="s">
        <v>876</v>
      </c>
      <c r="H301" s="17">
        <v>25</v>
      </c>
      <c r="I301" s="31">
        <f t="shared" si="36"/>
        <v>25000</v>
      </c>
      <c r="J301" s="31">
        <f t="shared" si="37"/>
        <v>1750.0000000000002</v>
      </c>
      <c r="K301" s="44">
        <f t="shared" si="38"/>
        <v>4.794520547945206</v>
      </c>
      <c r="L301" s="3">
        <f t="shared" si="39"/>
        <v>354.79452054794524</v>
      </c>
      <c r="M301" s="3">
        <f t="shared" si="40"/>
        <v>21.287671232876715</v>
      </c>
      <c r="N301" s="67">
        <f t="shared" si="41"/>
        <v>333.50684931506851</v>
      </c>
      <c r="O301" s="3"/>
      <c r="P301" s="70" t="s">
        <v>18610</v>
      </c>
      <c r="Q301" s="2" t="s">
        <v>130</v>
      </c>
      <c r="R301" s="2" t="s">
        <v>17761</v>
      </c>
      <c r="T301" t="s">
        <v>18666</v>
      </c>
      <c r="U301" t="s">
        <v>18652</v>
      </c>
      <c r="V301" s="104">
        <v>45857</v>
      </c>
      <c r="X301" s="97"/>
      <c r="Y301" s="75">
        <v>333.51</v>
      </c>
    </row>
    <row r="302" spans="1:25" x14ac:dyDescent="0.25">
      <c r="A302" s="76">
        <v>333</v>
      </c>
      <c r="B302" s="2" t="s">
        <v>2388</v>
      </c>
      <c r="C302" s="2" t="s">
        <v>2389</v>
      </c>
      <c r="D302" s="2" t="s">
        <v>2390</v>
      </c>
      <c r="E302" s="2" t="s">
        <v>2391</v>
      </c>
      <c r="F302" s="2" t="s">
        <v>2392</v>
      </c>
      <c r="G302" s="2" t="s">
        <v>31</v>
      </c>
      <c r="H302" s="17">
        <v>25</v>
      </c>
      <c r="I302" s="31">
        <f t="shared" si="36"/>
        <v>25000</v>
      </c>
      <c r="J302" s="31">
        <f t="shared" si="37"/>
        <v>1750.0000000000002</v>
      </c>
      <c r="K302" s="44">
        <f t="shared" si="38"/>
        <v>4.794520547945206</v>
      </c>
      <c r="L302" s="3">
        <f t="shared" si="39"/>
        <v>354.79452054794524</v>
      </c>
      <c r="M302" s="3">
        <f t="shared" si="40"/>
        <v>21.287671232876715</v>
      </c>
      <c r="N302" s="67">
        <f t="shared" si="41"/>
        <v>333.50684931506851</v>
      </c>
      <c r="O302" s="3"/>
      <c r="P302" s="70" t="s">
        <v>18610</v>
      </c>
      <c r="Q302" s="2" t="s">
        <v>130</v>
      </c>
      <c r="R302" s="2" t="s">
        <v>2393</v>
      </c>
      <c r="T302" t="s">
        <v>18666</v>
      </c>
      <c r="U302" t="s">
        <v>18652</v>
      </c>
      <c r="V302" s="104">
        <v>45857</v>
      </c>
      <c r="X302" s="97"/>
      <c r="Y302" s="75">
        <v>333.51</v>
      </c>
    </row>
    <row r="303" spans="1:25" x14ac:dyDescent="0.25">
      <c r="A303" s="76">
        <v>334</v>
      </c>
      <c r="B303" s="2" t="s">
        <v>8649</v>
      </c>
      <c r="C303" s="2" t="s">
        <v>8650</v>
      </c>
      <c r="D303" s="2" t="s">
        <v>8651</v>
      </c>
      <c r="E303" s="2" t="s">
        <v>8652</v>
      </c>
      <c r="F303" s="2" t="s">
        <v>8653</v>
      </c>
      <c r="G303" s="2" t="s">
        <v>517</v>
      </c>
      <c r="H303" s="17">
        <v>25</v>
      </c>
      <c r="I303" s="31">
        <f t="shared" si="36"/>
        <v>25000</v>
      </c>
      <c r="J303" s="31">
        <f t="shared" si="37"/>
        <v>1750.0000000000002</v>
      </c>
      <c r="K303" s="44">
        <f t="shared" si="38"/>
        <v>4.794520547945206</v>
      </c>
      <c r="L303" s="3">
        <f t="shared" si="39"/>
        <v>354.79452054794524</v>
      </c>
      <c r="M303" s="3">
        <f t="shared" si="40"/>
        <v>21.287671232876715</v>
      </c>
      <c r="N303" s="67">
        <f t="shared" si="41"/>
        <v>333.50684931506851</v>
      </c>
      <c r="O303" s="3"/>
      <c r="P303" s="70" t="s">
        <v>18610</v>
      </c>
      <c r="Q303" s="2" t="s">
        <v>130</v>
      </c>
      <c r="R303" s="2" t="s">
        <v>8654</v>
      </c>
      <c r="T303" t="s">
        <v>18666</v>
      </c>
      <c r="U303" t="s">
        <v>18652</v>
      </c>
      <c r="V303" s="104">
        <v>45857</v>
      </c>
      <c r="X303" s="97"/>
      <c r="Y303" s="75">
        <v>333.51</v>
      </c>
    </row>
    <row r="304" spans="1:25" x14ac:dyDescent="0.25">
      <c r="A304" s="76">
        <v>335</v>
      </c>
      <c r="B304" s="2" t="s">
        <v>11494</v>
      </c>
      <c r="C304" s="2" t="s">
        <v>11495</v>
      </c>
      <c r="D304" s="2" t="s">
        <v>11496</v>
      </c>
      <c r="E304" s="2" t="s">
        <v>11497</v>
      </c>
      <c r="F304" s="2" t="s">
        <v>11498</v>
      </c>
      <c r="G304" s="2" t="s">
        <v>5013</v>
      </c>
      <c r="H304" s="17">
        <v>25</v>
      </c>
      <c r="I304" s="31">
        <f t="shared" si="36"/>
        <v>25000</v>
      </c>
      <c r="J304" s="31">
        <f t="shared" si="37"/>
        <v>1750.0000000000002</v>
      </c>
      <c r="K304" s="44">
        <f t="shared" si="38"/>
        <v>4.794520547945206</v>
      </c>
      <c r="L304" s="3">
        <f t="shared" si="39"/>
        <v>354.79452054794524</v>
      </c>
      <c r="M304" s="3">
        <f t="shared" si="40"/>
        <v>21.287671232876715</v>
      </c>
      <c r="N304" s="67">
        <f t="shared" si="41"/>
        <v>333.50684931506851</v>
      </c>
      <c r="O304" s="3"/>
      <c r="P304" s="70" t="s">
        <v>18610</v>
      </c>
      <c r="Q304" s="2" t="s">
        <v>130</v>
      </c>
      <c r="R304" s="2" t="s">
        <v>11499</v>
      </c>
      <c r="T304" t="s">
        <v>18666</v>
      </c>
      <c r="U304" t="s">
        <v>18652</v>
      </c>
      <c r="V304" s="104">
        <v>45857</v>
      </c>
      <c r="X304" s="97"/>
      <c r="Y304" s="75">
        <v>333.51</v>
      </c>
    </row>
    <row r="305" spans="1:25" x14ac:dyDescent="0.25">
      <c r="A305" s="76">
        <v>336</v>
      </c>
      <c r="B305" s="2" t="s">
        <v>12549</v>
      </c>
      <c r="C305" s="2" t="s">
        <v>12550</v>
      </c>
      <c r="D305" s="2" t="s">
        <v>12551</v>
      </c>
      <c r="E305" s="2" t="s">
        <v>12552</v>
      </c>
      <c r="F305" s="2" t="s">
        <v>12553</v>
      </c>
      <c r="G305" s="2" t="s">
        <v>39</v>
      </c>
      <c r="H305" s="17">
        <v>25</v>
      </c>
      <c r="I305" s="31">
        <f t="shared" si="36"/>
        <v>25000</v>
      </c>
      <c r="J305" s="31">
        <f t="shared" si="37"/>
        <v>1750.0000000000002</v>
      </c>
      <c r="K305" s="44">
        <f t="shared" si="38"/>
        <v>4.794520547945206</v>
      </c>
      <c r="L305" s="3">
        <f t="shared" si="39"/>
        <v>354.79452054794524</v>
      </c>
      <c r="M305" s="3">
        <f t="shared" si="40"/>
        <v>21.287671232876715</v>
      </c>
      <c r="N305" s="67">
        <f t="shared" si="41"/>
        <v>333.50684931506851</v>
      </c>
      <c r="O305" s="3"/>
      <c r="P305" s="70" t="s">
        <v>18610</v>
      </c>
      <c r="Q305" s="2" t="s">
        <v>130</v>
      </c>
      <c r="R305" s="2" t="s">
        <v>12554</v>
      </c>
      <c r="T305" t="s">
        <v>18666</v>
      </c>
      <c r="U305" t="s">
        <v>18652</v>
      </c>
      <c r="V305" s="104">
        <v>45857</v>
      </c>
      <c r="X305" s="97"/>
      <c r="Y305" s="75">
        <v>333.51</v>
      </c>
    </row>
    <row r="306" spans="1:25" x14ac:dyDescent="0.25">
      <c r="A306" s="76">
        <v>337</v>
      </c>
      <c r="B306" s="2" t="s">
        <v>4901</v>
      </c>
      <c r="C306" s="2" t="s">
        <v>4902</v>
      </c>
      <c r="D306" s="2" t="s">
        <v>4903</v>
      </c>
      <c r="E306" s="2" t="s">
        <v>4904</v>
      </c>
      <c r="F306" s="2" t="s">
        <v>4905</v>
      </c>
      <c r="G306" s="2" t="s">
        <v>193</v>
      </c>
      <c r="H306" s="17">
        <v>25</v>
      </c>
      <c r="I306" s="31">
        <f t="shared" si="36"/>
        <v>25000</v>
      </c>
      <c r="J306" s="31">
        <f t="shared" si="37"/>
        <v>1750.0000000000002</v>
      </c>
      <c r="K306" s="44">
        <f t="shared" si="38"/>
        <v>4.794520547945206</v>
      </c>
      <c r="L306" s="3">
        <f t="shared" si="39"/>
        <v>354.79452054794524</v>
      </c>
      <c r="M306" s="3">
        <f t="shared" si="40"/>
        <v>21.287671232876715</v>
      </c>
      <c r="N306" s="67">
        <f t="shared" si="41"/>
        <v>333.50684931506851</v>
      </c>
      <c r="O306" s="3"/>
      <c r="P306" s="70" t="s">
        <v>18610</v>
      </c>
      <c r="Q306" s="2" t="s">
        <v>130</v>
      </c>
      <c r="R306" s="2" t="s">
        <v>4906</v>
      </c>
      <c r="T306" t="s">
        <v>18666</v>
      </c>
      <c r="U306" t="s">
        <v>18652</v>
      </c>
      <c r="V306" s="104">
        <v>45857</v>
      </c>
      <c r="X306" s="97"/>
      <c r="Y306" s="75">
        <v>333.51</v>
      </c>
    </row>
    <row r="307" spans="1:25" x14ac:dyDescent="0.25">
      <c r="A307" s="76">
        <v>338</v>
      </c>
      <c r="B307" s="2" t="s">
        <v>11424</v>
      </c>
      <c r="C307" s="2" t="s">
        <v>11425</v>
      </c>
      <c r="D307" s="2" t="s">
        <v>11426</v>
      </c>
      <c r="E307" s="2" t="s">
        <v>11427</v>
      </c>
      <c r="F307" s="2" t="s">
        <v>11428</v>
      </c>
      <c r="G307" s="2" t="s">
        <v>2571</v>
      </c>
      <c r="H307" s="17">
        <v>25</v>
      </c>
      <c r="I307" s="31">
        <f t="shared" si="36"/>
        <v>25000</v>
      </c>
      <c r="J307" s="31">
        <f t="shared" si="37"/>
        <v>1750.0000000000002</v>
      </c>
      <c r="K307" s="44">
        <f t="shared" si="38"/>
        <v>4.794520547945206</v>
      </c>
      <c r="L307" s="3">
        <f t="shared" si="39"/>
        <v>354.79452054794524</v>
      </c>
      <c r="M307" s="3">
        <f t="shared" si="40"/>
        <v>21.287671232876715</v>
      </c>
      <c r="N307" s="67">
        <f t="shared" si="41"/>
        <v>333.50684931506851</v>
      </c>
      <c r="O307" s="3"/>
      <c r="P307" s="70" t="s">
        <v>18610</v>
      </c>
      <c r="Q307" s="2" t="s">
        <v>130</v>
      </c>
      <c r="R307" s="2" t="s">
        <v>11429</v>
      </c>
      <c r="T307" t="s">
        <v>18666</v>
      </c>
      <c r="U307" t="s">
        <v>18652</v>
      </c>
      <c r="V307" s="104">
        <v>45857</v>
      </c>
      <c r="X307" s="97"/>
      <c r="Y307" s="75">
        <v>333.51</v>
      </c>
    </row>
    <row r="308" spans="1:25" x14ac:dyDescent="0.25">
      <c r="A308" s="76">
        <v>339</v>
      </c>
      <c r="B308" s="2" t="s">
        <v>824</v>
      </c>
      <c r="C308" s="2" t="s">
        <v>825</v>
      </c>
      <c r="D308" s="2" t="s">
        <v>826</v>
      </c>
      <c r="E308" s="2" t="s">
        <v>827</v>
      </c>
      <c r="F308" s="2" t="s">
        <v>828</v>
      </c>
      <c r="G308" s="2" t="s">
        <v>587</v>
      </c>
      <c r="H308" s="17">
        <v>100</v>
      </c>
      <c r="I308" s="31">
        <f t="shared" si="36"/>
        <v>100000</v>
      </c>
      <c r="J308" s="31">
        <f t="shared" si="37"/>
        <v>7000.0000000000009</v>
      </c>
      <c r="K308" s="44">
        <f t="shared" si="38"/>
        <v>19.178082191780824</v>
      </c>
      <c r="L308" s="3">
        <f t="shared" si="39"/>
        <v>1419.178082191781</v>
      </c>
      <c r="M308" s="3">
        <f t="shared" si="40"/>
        <v>85.150684931506859</v>
      </c>
      <c r="N308" s="67">
        <f t="shared" si="41"/>
        <v>1334.027397260274</v>
      </c>
      <c r="O308" s="3"/>
      <c r="P308" s="70" t="s">
        <v>18610</v>
      </c>
      <c r="Q308" s="2" t="s">
        <v>130</v>
      </c>
      <c r="R308" s="2" t="s">
        <v>829</v>
      </c>
      <c r="T308" t="s">
        <v>18666</v>
      </c>
      <c r="U308" t="s">
        <v>18652</v>
      </c>
      <c r="V308" s="104">
        <v>45857</v>
      </c>
      <c r="X308" s="97"/>
      <c r="Y308" s="75">
        <v>1334.03</v>
      </c>
    </row>
    <row r="309" spans="1:25" x14ac:dyDescent="0.25">
      <c r="A309" s="76">
        <v>340</v>
      </c>
      <c r="B309" s="2" t="s">
        <v>10828</v>
      </c>
      <c r="C309" s="2" t="s">
        <v>10829</v>
      </c>
      <c r="D309" s="2" t="s">
        <v>10830</v>
      </c>
      <c r="E309" s="2" t="s">
        <v>10831</v>
      </c>
      <c r="F309" s="2" t="s">
        <v>10832</v>
      </c>
      <c r="G309" s="2" t="s">
        <v>268</v>
      </c>
      <c r="H309" s="17">
        <v>25</v>
      </c>
      <c r="I309" s="31">
        <f t="shared" si="36"/>
        <v>25000</v>
      </c>
      <c r="J309" s="31">
        <f t="shared" si="37"/>
        <v>1750.0000000000002</v>
      </c>
      <c r="K309" s="44">
        <f t="shared" si="38"/>
        <v>4.794520547945206</v>
      </c>
      <c r="L309" s="3">
        <f t="shared" si="39"/>
        <v>354.79452054794524</v>
      </c>
      <c r="M309" s="3">
        <f t="shared" si="40"/>
        <v>21.287671232876715</v>
      </c>
      <c r="N309" s="67">
        <f t="shared" si="41"/>
        <v>333.50684931506851</v>
      </c>
      <c r="O309" s="3"/>
      <c r="P309" s="70" t="s">
        <v>18610</v>
      </c>
      <c r="Q309" s="2" t="s">
        <v>130</v>
      </c>
      <c r="R309" s="2" t="s">
        <v>10833</v>
      </c>
      <c r="T309" t="s">
        <v>18666</v>
      </c>
      <c r="U309" t="s">
        <v>18652</v>
      </c>
      <c r="V309" s="104">
        <v>45857</v>
      </c>
      <c r="X309" s="97"/>
      <c r="Y309" s="75">
        <v>333.51</v>
      </c>
    </row>
    <row r="310" spans="1:25" x14ac:dyDescent="0.25">
      <c r="A310" s="76">
        <v>341</v>
      </c>
      <c r="B310" s="2" t="s">
        <v>17783</v>
      </c>
      <c r="C310" s="2" t="s">
        <v>17784</v>
      </c>
      <c r="D310" s="2" t="s">
        <v>17785</v>
      </c>
      <c r="E310" s="2" t="s">
        <v>17786</v>
      </c>
      <c r="F310" s="2" t="s">
        <v>17787</v>
      </c>
      <c r="G310" s="2" t="s">
        <v>1315</v>
      </c>
      <c r="H310" s="17">
        <v>25</v>
      </c>
      <c r="I310" s="31">
        <f t="shared" si="36"/>
        <v>25000</v>
      </c>
      <c r="J310" s="31">
        <f t="shared" si="37"/>
        <v>1750.0000000000002</v>
      </c>
      <c r="K310" s="44">
        <f t="shared" si="38"/>
        <v>4.794520547945206</v>
      </c>
      <c r="L310" s="3">
        <f t="shared" si="39"/>
        <v>354.79452054794524</v>
      </c>
      <c r="M310" s="3">
        <f t="shared" si="40"/>
        <v>21.287671232876715</v>
      </c>
      <c r="N310" s="67">
        <f t="shared" si="41"/>
        <v>333.50684931506851</v>
      </c>
      <c r="O310" s="3"/>
      <c r="P310" s="70" t="s">
        <v>18610</v>
      </c>
      <c r="Q310" s="2" t="s">
        <v>130</v>
      </c>
      <c r="R310" s="2" t="s">
        <v>17788</v>
      </c>
      <c r="T310" t="s">
        <v>18666</v>
      </c>
      <c r="U310" t="s">
        <v>18652</v>
      </c>
      <c r="V310" s="104">
        <v>45857</v>
      </c>
      <c r="X310" s="97"/>
      <c r="Y310" s="75">
        <v>333.51</v>
      </c>
    </row>
    <row r="311" spans="1:25" x14ac:dyDescent="0.25">
      <c r="A311" s="76">
        <v>342</v>
      </c>
      <c r="B311" s="2" t="s">
        <v>3790</v>
      </c>
      <c r="C311" s="2" t="s">
        <v>3791</v>
      </c>
      <c r="D311" s="2" t="s">
        <v>3792</v>
      </c>
      <c r="E311" s="2" t="s">
        <v>3793</v>
      </c>
      <c r="F311" s="2" t="s">
        <v>3794</v>
      </c>
      <c r="G311" s="2" t="s">
        <v>1017</v>
      </c>
      <c r="H311" s="17">
        <v>25</v>
      </c>
      <c r="I311" s="31">
        <f t="shared" si="36"/>
        <v>25000</v>
      </c>
      <c r="J311" s="31">
        <f t="shared" si="37"/>
        <v>1750.0000000000002</v>
      </c>
      <c r="K311" s="44">
        <f t="shared" si="38"/>
        <v>4.794520547945206</v>
      </c>
      <c r="L311" s="3">
        <f t="shared" si="39"/>
        <v>354.79452054794524</v>
      </c>
      <c r="M311" s="3">
        <f t="shared" si="40"/>
        <v>21.287671232876715</v>
      </c>
      <c r="N311" s="67">
        <f t="shared" si="41"/>
        <v>333.50684931506851</v>
      </c>
      <c r="O311" s="3"/>
      <c r="P311" s="70" t="s">
        <v>18610</v>
      </c>
      <c r="Q311" s="2" t="s">
        <v>130</v>
      </c>
      <c r="R311" s="2" t="s">
        <v>3795</v>
      </c>
      <c r="T311" t="s">
        <v>18666</v>
      </c>
      <c r="U311" t="s">
        <v>18652</v>
      </c>
      <c r="V311" s="104">
        <v>45857</v>
      </c>
      <c r="X311" s="97"/>
      <c r="Y311" s="75">
        <v>333.51</v>
      </c>
    </row>
    <row r="312" spans="1:25" x14ac:dyDescent="0.25">
      <c r="A312" s="76">
        <v>343</v>
      </c>
      <c r="B312" s="2" t="s">
        <v>6549</v>
      </c>
      <c r="C312" s="2" t="s">
        <v>6550</v>
      </c>
      <c r="D312" s="2" t="s">
        <v>6551</v>
      </c>
      <c r="E312" s="2" t="s">
        <v>6552</v>
      </c>
      <c r="F312" s="2" t="s">
        <v>6553</v>
      </c>
      <c r="G312" s="2" t="s">
        <v>166</v>
      </c>
      <c r="H312" s="17">
        <v>100</v>
      </c>
      <c r="I312" s="31">
        <f t="shared" si="36"/>
        <v>100000</v>
      </c>
      <c r="J312" s="31">
        <f t="shared" si="37"/>
        <v>7000.0000000000009</v>
      </c>
      <c r="K312" s="44">
        <f t="shared" si="38"/>
        <v>19.178082191780824</v>
      </c>
      <c r="L312" s="3">
        <f t="shared" si="39"/>
        <v>1419.178082191781</v>
      </c>
      <c r="M312" s="3">
        <f t="shared" si="40"/>
        <v>85.150684931506859</v>
      </c>
      <c r="N312" s="67">
        <f t="shared" si="41"/>
        <v>1334.027397260274</v>
      </c>
      <c r="O312" s="3"/>
      <c r="P312" s="70" t="s">
        <v>18610</v>
      </c>
      <c r="Q312" s="2" t="s">
        <v>130</v>
      </c>
      <c r="R312" s="2" t="s">
        <v>6554</v>
      </c>
      <c r="T312" t="s">
        <v>18666</v>
      </c>
      <c r="U312" t="s">
        <v>18652</v>
      </c>
      <c r="V312" s="104">
        <v>45857</v>
      </c>
      <c r="X312" s="97"/>
      <c r="Y312" s="75">
        <v>1334.03</v>
      </c>
    </row>
    <row r="313" spans="1:25" x14ac:dyDescent="0.25">
      <c r="A313" s="76">
        <v>344</v>
      </c>
      <c r="B313" s="2" t="s">
        <v>976</v>
      </c>
      <c r="C313" s="2" t="s">
        <v>977</v>
      </c>
      <c r="D313" s="2" t="s">
        <v>978</v>
      </c>
      <c r="E313" s="2" t="s">
        <v>979</v>
      </c>
      <c r="F313" s="2" t="s">
        <v>980</v>
      </c>
      <c r="G313" s="2" t="s">
        <v>144</v>
      </c>
      <c r="H313" s="17">
        <v>25</v>
      </c>
      <c r="I313" s="31">
        <f t="shared" si="36"/>
        <v>25000</v>
      </c>
      <c r="J313" s="31">
        <f t="shared" si="37"/>
        <v>1750.0000000000002</v>
      </c>
      <c r="K313" s="44">
        <f t="shared" si="38"/>
        <v>4.794520547945206</v>
      </c>
      <c r="L313" s="3">
        <f t="shared" si="39"/>
        <v>354.79452054794524</v>
      </c>
      <c r="M313" s="3">
        <f t="shared" si="40"/>
        <v>21.287671232876715</v>
      </c>
      <c r="N313" s="67">
        <f t="shared" si="41"/>
        <v>333.50684931506851</v>
      </c>
      <c r="O313" s="3"/>
      <c r="P313" s="70" t="s">
        <v>18610</v>
      </c>
      <c r="Q313" s="2" t="s">
        <v>130</v>
      </c>
      <c r="R313" s="2" t="s">
        <v>981</v>
      </c>
      <c r="T313" t="s">
        <v>18666</v>
      </c>
      <c r="U313" t="s">
        <v>18652</v>
      </c>
      <c r="V313" s="104">
        <v>45857</v>
      </c>
      <c r="X313" s="97"/>
      <c r="Y313" s="75">
        <v>333.51</v>
      </c>
    </row>
    <row r="314" spans="1:25" x14ac:dyDescent="0.25">
      <c r="A314" s="76">
        <v>345</v>
      </c>
      <c r="B314" s="2" t="s">
        <v>13587</v>
      </c>
      <c r="C314" s="2" t="s">
        <v>13588</v>
      </c>
      <c r="D314" s="2" t="s">
        <v>13589</v>
      </c>
      <c r="E314" s="2" t="s">
        <v>13590</v>
      </c>
      <c r="F314" s="2" t="s">
        <v>13591</v>
      </c>
      <c r="G314" s="2" t="s">
        <v>247</v>
      </c>
      <c r="H314" s="17">
        <v>100</v>
      </c>
      <c r="I314" s="31">
        <f t="shared" si="36"/>
        <v>100000</v>
      </c>
      <c r="J314" s="31">
        <f t="shared" si="37"/>
        <v>7000.0000000000009</v>
      </c>
      <c r="K314" s="44">
        <f t="shared" si="38"/>
        <v>19.178082191780824</v>
      </c>
      <c r="L314" s="3">
        <f t="shared" si="39"/>
        <v>1419.178082191781</v>
      </c>
      <c r="M314" s="3">
        <f t="shared" si="40"/>
        <v>85.150684931506859</v>
      </c>
      <c r="N314" s="67">
        <f t="shared" si="41"/>
        <v>1334.027397260274</v>
      </c>
      <c r="O314" s="3"/>
      <c r="P314" s="70" t="s">
        <v>18610</v>
      </c>
      <c r="Q314" s="2" t="s">
        <v>130</v>
      </c>
      <c r="R314" s="2" t="s">
        <v>13592</v>
      </c>
      <c r="T314" t="s">
        <v>18666</v>
      </c>
      <c r="U314" t="s">
        <v>18652</v>
      </c>
      <c r="V314" s="104">
        <v>45857</v>
      </c>
      <c r="X314" s="97"/>
      <c r="Y314" s="75">
        <v>1334.03</v>
      </c>
    </row>
    <row r="315" spans="1:25" x14ac:dyDescent="0.25">
      <c r="A315" s="76">
        <v>346</v>
      </c>
      <c r="B315" s="2" t="s">
        <v>2997</v>
      </c>
      <c r="C315" s="2" t="s">
        <v>2998</v>
      </c>
      <c r="D315" s="2" t="s">
        <v>2999</v>
      </c>
      <c r="E315" s="2" t="s">
        <v>3000</v>
      </c>
      <c r="F315" s="2" t="s">
        <v>3001</v>
      </c>
      <c r="G315" s="2" t="s">
        <v>939</v>
      </c>
      <c r="H315" s="17">
        <v>25</v>
      </c>
      <c r="I315" s="31">
        <f t="shared" si="36"/>
        <v>25000</v>
      </c>
      <c r="J315" s="31">
        <f t="shared" si="37"/>
        <v>1750.0000000000002</v>
      </c>
      <c r="K315" s="44">
        <f t="shared" si="38"/>
        <v>4.794520547945206</v>
      </c>
      <c r="L315" s="3">
        <f t="shared" si="39"/>
        <v>354.79452054794524</v>
      </c>
      <c r="M315" s="3">
        <f t="shared" si="40"/>
        <v>21.287671232876715</v>
      </c>
      <c r="N315" s="67">
        <f t="shared" si="41"/>
        <v>333.50684931506851</v>
      </c>
      <c r="O315" s="3"/>
      <c r="P315" s="70" t="s">
        <v>18610</v>
      </c>
      <c r="Q315" s="2" t="s">
        <v>130</v>
      </c>
      <c r="R315" s="2" t="s">
        <v>3002</v>
      </c>
      <c r="T315" t="s">
        <v>18666</v>
      </c>
      <c r="U315" t="s">
        <v>18652</v>
      </c>
      <c r="V315" s="104">
        <v>45857</v>
      </c>
      <c r="X315" s="97"/>
      <c r="Y315" s="75">
        <v>333.51</v>
      </c>
    </row>
    <row r="316" spans="1:25" x14ac:dyDescent="0.25">
      <c r="A316" s="76">
        <v>347</v>
      </c>
      <c r="B316" s="2" t="s">
        <v>3177</v>
      </c>
      <c r="C316" s="2" t="s">
        <v>3178</v>
      </c>
      <c r="D316" s="2" t="s">
        <v>3179</v>
      </c>
      <c r="E316" s="2" t="s">
        <v>3180</v>
      </c>
      <c r="F316" s="2" t="s">
        <v>3181</v>
      </c>
      <c r="G316" s="2" t="s">
        <v>31</v>
      </c>
      <c r="H316" s="17">
        <v>25</v>
      </c>
      <c r="I316" s="31">
        <f t="shared" si="36"/>
        <v>25000</v>
      </c>
      <c r="J316" s="31">
        <f t="shared" si="37"/>
        <v>1750.0000000000002</v>
      </c>
      <c r="K316" s="44">
        <f t="shared" si="38"/>
        <v>4.794520547945206</v>
      </c>
      <c r="L316" s="3">
        <f t="shared" si="39"/>
        <v>354.79452054794524</v>
      </c>
      <c r="M316" s="3">
        <f t="shared" si="40"/>
        <v>21.287671232876715</v>
      </c>
      <c r="N316" s="67">
        <f t="shared" si="41"/>
        <v>333.50684931506851</v>
      </c>
      <c r="O316" s="3"/>
      <c r="P316" s="70" t="s">
        <v>18610</v>
      </c>
      <c r="Q316" s="2" t="s">
        <v>130</v>
      </c>
      <c r="R316" s="2" t="s">
        <v>3182</v>
      </c>
      <c r="T316" t="s">
        <v>18666</v>
      </c>
      <c r="U316" t="s">
        <v>18652</v>
      </c>
      <c r="V316" s="104">
        <v>45857</v>
      </c>
      <c r="X316" s="97"/>
      <c r="Y316" s="75">
        <v>333.51</v>
      </c>
    </row>
    <row r="317" spans="1:25" x14ac:dyDescent="0.25">
      <c r="A317" s="76">
        <v>348</v>
      </c>
      <c r="B317" s="2" t="s">
        <v>4298</v>
      </c>
      <c r="C317" s="2" t="s">
        <v>4299</v>
      </c>
      <c r="D317" s="2" t="s">
        <v>4300</v>
      </c>
      <c r="E317" s="2" t="s">
        <v>4301</v>
      </c>
      <c r="F317" s="2" t="s">
        <v>4302</v>
      </c>
      <c r="G317" s="2" t="s">
        <v>750</v>
      </c>
      <c r="H317" s="17">
        <v>50</v>
      </c>
      <c r="I317" s="31">
        <f t="shared" si="36"/>
        <v>50000</v>
      </c>
      <c r="J317" s="31">
        <f t="shared" si="37"/>
        <v>3500.0000000000005</v>
      </c>
      <c r="K317" s="44">
        <f t="shared" si="38"/>
        <v>9.589041095890412</v>
      </c>
      <c r="L317" s="3">
        <f t="shared" si="39"/>
        <v>709.58904109589048</v>
      </c>
      <c r="M317" s="3">
        <f t="shared" si="40"/>
        <v>42.57534246575343</v>
      </c>
      <c r="N317" s="67">
        <f t="shared" si="41"/>
        <v>667.01369863013701</v>
      </c>
      <c r="O317" s="3"/>
      <c r="P317" s="70" t="s">
        <v>18610</v>
      </c>
      <c r="Q317" s="2" t="s">
        <v>130</v>
      </c>
      <c r="R317" s="2" t="s">
        <v>4303</v>
      </c>
      <c r="T317" t="s">
        <v>18666</v>
      </c>
      <c r="U317" t="s">
        <v>18652</v>
      </c>
      <c r="V317" s="104">
        <v>45857</v>
      </c>
      <c r="X317" s="97"/>
      <c r="Y317" s="75">
        <v>667.02</v>
      </c>
    </row>
    <row r="318" spans="1:25" x14ac:dyDescent="0.25">
      <c r="A318" s="76">
        <v>349</v>
      </c>
      <c r="B318" s="2" t="s">
        <v>16044</v>
      </c>
      <c r="C318" s="2" t="s">
        <v>16040</v>
      </c>
      <c r="D318" s="2" t="s">
        <v>16045</v>
      </c>
      <c r="E318" s="2" t="s">
        <v>16046</v>
      </c>
      <c r="F318" s="2" t="s">
        <v>16047</v>
      </c>
      <c r="G318" s="2" t="s">
        <v>31</v>
      </c>
      <c r="H318" s="17">
        <v>25</v>
      </c>
      <c r="I318" s="31">
        <f t="shared" si="36"/>
        <v>25000</v>
      </c>
      <c r="J318" s="31">
        <f t="shared" si="37"/>
        <v>1750.0000000000002</v>
      </c>
      <c r="K318" s="44">
        <f t="shared" si="38"/>
        <v>4.794520547945206</v>
      </c>
      <c r="L318" s="3">
        <f t="shared" si="39"/>
        <v>354.79452054794524</v>
      </c>
      <c r="M318" s="3">
        <f t="shared" si="40"/>
        <v>21.287671232876715</v>
      </c>
      <c r="N318" s="67">
        <f t="shared" si="41"/>
        <v>333.50684931506851</v>
      </c>
      <c r="O318" s="3"/>
      <c r="P318" s="70" t="s">
        <v>18610</v>
      </c>
      <c r="Q318" s="2" t="s">
        <v>130</v>
      </c>
      <c r="R318" s="2" t="s">
        <v>16048</v>
      </c>
      <c r="T318" t="s">
        <v>18666</v>
      </c>
      <c r="U318" t="s">
        <v>18652</v>
      </c>
      <c r="V318" s="104">
        <v>45857</v>
      </c>
      <c r="X318" s="97"/>
      <c r="Y318" s="75">
        <v>333.51</v>
      </c>
    </row>
    <row r="319" spans="1:25" x14ac:dyDescent="0.25">
      <c r="A319" s="76">
        <v>350</v>
      </c>
      <c r="B319" s="2" t="s">
        <v>7797</v>
      </c>
      <c r="C319" s="2" t="s">
        <v>7798</v>
      </c>
      <c r="D319" s="2" t="s">
        <v>7799</v>
      </c>
      <c r="E319" s="2" t="s">
        <v>7800</v>
      </c>
      <c r="F319" s="2" t="s">
        <v>7801</v>
      </c>
      <c r="G319" s="2" t="s">
        <v>2380</v>
      </c>
      <c r="H319" s="17">
        <v>25</v>
      </c>
      <c r="I319" s="31">
        <f t="shared" si="36"/>
        <v>25000</v>
      </c>
      <c r="J319" s="31">
        <f t="shared" si="37"/>
        <v>1750.0000000000002</v>
      </c>
      <c r="K319" s="44">
        <f t="shared" si="38"/>
        <v>4.794520547945206</v>
      </c>
      <c r="L319" s="3">
        <f t="shared" si="39"/>
        <v>354.79452054794524</v>
      </c>
      <c r="M319" s="3">
        <f t="shared" si="40"/>
        <v>21.287671232876715</v>
      </c>
      <c r="N319" s="67">
        <f t="shared" si="41"/>
        <v>333.50684931506851</v>
      </c>
      <c r="O319" s="3"/>
      <c r="P319" s="70" t="s">
        <v>18610</v>
      </c>
      <c r="Q319" s="2" t="s">
        <v>130</v>
      </c>
      <c r="R319" s="2" t="s">
        <v>7802</v>
      </c>
      <c r="T319" t="s">
        <v>18666</v>
      </c>
      <c r="U319" t="s">
        <v>18652</v>
      </c>
      <c r="V319" s="104">
        <v>45857</v>
      </c>
      <c r="X319" s="97"/>
      <c r="Y319" s="75">
        <v>333.51</v>
      </c>
    </row>
    <row r="320" spans="1:25" x14ac:dyDescent="0.25">
      <c r="A320" s="76">
        <v>351</v>
      </c>
      <c r="B320" s="2" t="s">
        <v>15463</v>
      </c>
      <c r="C320" s="2" t="s">
        <v>15464</v>
      </c>
      <c r="D320" s="2" t="s">
        <v>15465</v>
      </c>
      <c r="E320" s="2" t="s">
        <v>15466</v>
      </c>
      <c r="F320" s="2" t="s">
        <v>6335</v>
      </c>
      <c r="G320" s="2" t="s">
        <v>1055</v>
      </c>
      <c r="H320" s="17">
        <v>25</v>
      </c>
      <c r="I320" s="31">
        <f t="shared" si="36"/>
        <v>25000</v>
      </c>
      <c r="J320" s="31">
        <f t="shared" si="37"/>
        <v>1750.0000000000002</v>
      </c>
      <c r="K320" s="44">
        <f t="shared" si="38"/>
        <v>4.794520547945206</v>
      </c>
      <c r="L320" s="3">
        <f t="shared" si="39"/>
        <v>354.79452054794524</v>
      </c>
      <c r="M320" s="3">
        <f t="shared" si="40"/>
        <v>21.287671232876715</v>
      </c>
      <c r="N320" s="67">
        <f t="shared" si="41"/>
        <v>333.50684931506851</v>
      </c>
      <c r="O320" s="3"/>
      <c r="P320" s="70" t="s">
        <v>18610</v>
      </c>
      <c r="Q320" s="2" t="s">
        <v>130</v>
      </c>
      <c r="R320" s="2" t="s">
        <v>15467</v>
      </c>
      <c r="T320" t="s">
        <v>18666</v>
      </c>
      <c r="U320" t="s">
        <v>18652</v>
      </c>
      <c r="V320" s="104">
        <v>45857</v>
      </c>
      <c r="X320" s="97"/>
      <c r="Y320" s="75">
        <v>333.51</v>
      </c>
    </row>
    <row r="321" spans="1:25" x14ac:dyDescent="0.25">
      <c r="A321" s="76">
        <v>352</v>
      </c>
      <c r="B321" s="2" t="s">
        <v>14304</v>
      </c>
      <c r="C321" s="2" t="s">
        <v>14305</v>
      </c>
      <c r="D321" s="2" t="s">
        <v>14306</v>
      </c>
      <c r="E321" s="2" t="s">
        <v>14307</v>
      </c>
      <c r="F321" s="2" t="s">
        <v>14308</v>
      </c>
      <c r="G321" s="2" t="s">
        <v>101</v>
      </c>
      <c r="H321" s="17">
        <v>25</v>
      </c>
      <c r="I321" s="31">
        <f t="shared" si="36"/>
        <v>25000</v>
      </c>
      <c r="J321" s="31">
        <f t="shared" si="37"/>
        <v>1750.0000000000002</v>
      </c>
      <c r="K321" s="44">
        <f t="shared" si="38"/>
        <v>4.794520547945206</v>
      </c>
      <c r="L321" s="3">
        <f t="shared" si="39"/>
        <v>354.79452054794524</v>
      </c>
      <c r="M321" s="3">
        <f t="shared" si="40"/>
        <v>21.287671232876715</v>
      </c>
      <c r="N321" s="67">
        <f t="shared" si="41"/>
        <v>333.50684931506851</v>
      </c>
      <c r="O321" s="3"/>
      <c r="P321" s="70" t="s">
        <v>18610</v>
      </c>
      <c r="Q321" s="2" t="s">
        <v>130</v>
      </c>
      <c r="R321" s="2" t="s">
        <v>14309</v>
      </c>
      <c r="T321" t="s">
        <v>18666</v>
      </c>
      <c r="U321" t="s">
        <v>18652</v>
      </c>
      <c r="V321" s="104">
        <v>45857</v>
      </c>
      <c r="X321" s="97"/>
      <c r="Y321" s="75">
        <v>333.51</v>
      </c>
    </row>
    <row r="322" spans="1:25" x14ac:dyDescent="0.25">
      <c r="A322" s="76">
        <v>353</v>
      </c>
      <c r="B322" s="2" t="s">
        <v>3903</v>
      </c>
      <c r="C322" s="2" t="s">
        <v>3904</v>
      </c>
      <c r="D322" s="2" t="s">
        <v>3905</v>
      </c>
      <c r="E322" s="2" t="s">
        <v>3906</v>
      </c>
      <c r="F322" s="2" t="s">
        <v>3907</v>
      </c>
      <c r="G322" s="2" t="s">
        <v>158</v>
      </c>
      <c r="H322" s="17">
        <v>25</v>
      </c>
      <c r="I322" s="31">
        <f t="shared" si="36"/>
        <v>25000</v>
      </c>
      <c r="J322" s="31">
        <f t="shared" si="37"/>
        <v>1750.0000000000002</v>
      </c>
      <c r="K322" s="44">
        <f t="shared" si="38"/>
        <v>4.794520547945206</v>
      </c>
      <c r="L322" s="3">
        <f t="shared" si="39"/>
        <v>354.79452054794524</v>
      </c>
      <c r="M322" s="3">
        <f t="shared" si="40"/>
        <v>21.287671232876715</v>
      </c>
      <c r="N322" s="67">
        <f t="shared" si="41"/>
        <v>333.50684931506851</v>
      </c>
      <c r="O322" s="3"/>
      <c r="P322" s="70" t="s">
        <v>18610</v>
      </c>
      <c r="Q322" s="2" t="s">
        <v>130</v>
      </c>
      <c r="R322" s="2" t="s">
        <v>3908</v>
      </c>
      <c r="T322" t="s">
        <v>18666</v>
      </c>
      <c r="U322" t="s">
        <v>18652</v>
      </c>
      <c r="V322" s="104">
        <v>45857</v>
      </c>
      <c r="X322" s="97"/>
      <c r="Y322" s="75">
        <v>333.51</v>
      </c>
    </row>
    <row r="323" spans="1:25" x14ac:dyDescent="0.25">
      <c r="A323" s="76">
        <v>354</v>
      </c>
      <c r="B323" s="2" t="s">
        <v>4304</v>
      </c>
      <c r="C323" s="2" t="s">
        <v>4305</v>
      </c>
      <c r="D323" s="2" t="s">
        <v>4306</v>
      </c>
      <c r="E323" s="2" t="s">
        <v>4307</v>
      </c>
      <c r="F323" s="2" t="s">
        <v>4308</v>
      </c>
      <c r="G323" s="2" t="s">
        <v>61</v>
      </c>
      <c r="H323" s="17">
        <v>25</v>
      </c>
      <c r="I323" s="31">
        <f t="shared" si="36"/>
        <v>25000</v>
      </c>
      <c r="J323" s="31">
        <f t="shared" si="37"/>
        <v>1750.0000000000002</v>
      </c>
      <c r="K323" s="44">
        <f t="shared" si="38"/>
        <v>4.794520547945206</v>
      </c>
      <c r="L323" s="3">
        <f t="shared" si="39"/>
        <v>354.79452054794524</v>
      </c>
      <c r="M323" s="3">
        <f t="shared" si="40"/>
        <v>21.287671232876715</v>
      </c>
      <c r="N323" s="67">
        <f t="shared" si="41"/>
        <v>333.50684931506851</v>
      </c>
      <c r="O323" s="3"/>
      <c r="P323" s="70" t="s">
        <v>18610</v>
      </c>
      <c r="Q323" s="2" t="s">
        <v>130</v>
      </c>
      <c r="R323" s="2" t="s">
        <v>4309</v>
      </c>
      <c r="T323" t="s">
        <v>18666</v>
      </c>
      <c r="U323" t="s">
        <v>18652</v>
      </c>
      <c r="V323" s="104">
        <v>45857</v>
      </c>
      <c r="X323" s="97"/>
      <c r="Y323" s="75">
        <v>333.51</v>
      </c>
    </row>
    <row r="324" spans="1:25" x14ac:dyDescent="0.25">
      <c r="A324" s="76">
        <v>355</v>
      </c>
      <c r="B324" s="2" t="s">
        <v>2949</v>
      </c>
      <c r="C324" s="2" t="s">
        <v>2950</v>
      </c>
      <c r="D324" s="2" t="s">
        <v>2951</v>
      </c>
      <c r="E324" s="2" t="s">
        <v>2952</v>
      </c>
      <c r="F324" s="2" t="s">
        <v>2953</v>
      </c>
      <c r="G324" s="2" t="s">
        <v>101</v>
      </c>
      <c r="H324" s="17">
        <v>50</v>
      </c>
      <c r="I324" s="31">
        <f t="shared" si="36"/>
        <v>50000</v>
      </c>
      <c r="J324" s="31">
        <f t="shared" si="37"/>
        <v>3500.0000000000005</v>
      </c>
      <c r="K324" s="44">
        <f t="shared" si="38"/>
        <v>9.589041095890412</v>
      </c>
      <c r="L324" s="3">
        <f t="shared" si="39"/>
        <v>709.58904109589048</v>
      </c>
      <c r="M324" s="3">
        <f t="shared" si="40"/>
        <v>42.57534246575343</v>
      </c>
      <c r="N324" s="67">
        <f t="shared" si="41"/>
        <v>667.01369863013701</v>
      </c>
      <c r="O324" s="3"/>
      <c r="P324" s="70" t="s">
        <v>18610</v>
      </c>
      <c r="Q324" s="2" t="s">
        <v>130</v>
      </c>
      <c r="R324" s="2" t="s">
        <v>2954</v>
      </c>
      <c r="T324" t="s">
        <v>18666</v>
      </c>
      <c r="U324" t="s">
        <v>18652</v>
      </c>
      <c r="V324" s="104">
        <v>45857</v>
      </c>
      <c r="X324" s="97"/>
      <c r="Y324" s="75">
        <v>667.02</v>
      </c>
    </row>
    <row r="325" spans="1:25" x14ac:dyDescent="0.25">
      <c r="A325" s="76">
        <v>356</v>
      </c>
      <c r="B325" s="2" t="s">
        <v>13770</v>
      </c>
      <c r="C325" s="2" t="s">
        <v>13771</v>
      </c>
      <c r="D325" s="2" t="s">
        <v>13772</v>
      </c>
      <c r="E325" s="2" t="s">
        <v>13773</v>
      </c>
      <c r="F325" s="2" t="s">
        <v>13774</v>
      </c>
      <c r="G325" s="2" t="s">
        <v>618</v>
      </c>
      <c r="H325" s="17">
        <v>25</v>
      </c>
      <c r="I325" s="31">
        <f t="shared" si="36"/>
        <v>25000</v>
      </c>
      <c r="J325" s="31">
        <f t="shared" si="37"/>
        <v>1750.0000000000002</v>
      </c>
      <c r="K325" s="44">
        <f t="shared" si="38"/>
        <v>4.794520547945206</v>
      </c>
      <c r="L325" s="3">
        <f t="shared" si="39"/>
        <v>354.79452054794524</v>
      </c>
      <c r="M325" s="3">
        <f t="shared" si="40"/>
        <v>21.287671232876715</v>
      </c>
      <c r="N325" s="67">
        <f t="shared" si="41"/>
        <v>333.50684931506851</v>
      </c>
      <c r="O325" s="3"/>
      <c r="P325" s="70" t="s">
        <v>18610</v>
      </c>
      <c r="Q325" s="2" t="s">
        <v>130</v>
      </c>
      <c r="R325" s="2" t="s">
        <v>13775</v>
      </c>
      <c r="T325" t="s">
        <v>18666</v>
      </c>
      <c r="U325" t="s">
        <v>18652</v>
      </c>
      <c r="V325" s="104">
        <v>45857</v>
      </c>
      <c r="X325" s="97"/>
      <c r="Y325" s="75">
        <v>333.51</v>
      </c>
    </row>
    <row r="326" spans="1:25" x14ac:dyDescent="0.25">
      <c r="A326" s="76">
        <v>357</v>
      </c>
      <c r="B326" s="2" t="s">
        <v>9115</v>
      </c>
      <c r="C326" s="2" t="s">
        <v>9116</v>
      </c>
      <c r="D326" s="2" t="s">
        <v>9117</v>
      </c>
      <c r="E326" s="2" t="s">
        <v>9118</v>
      </c>
      <c r="F326" s="2" t="s">
        <v>9119</v>
      </c>
      <c r="G326" s="2" t="s">
        <v>268</v>
      </c>
      <c r="H326" s="17">
        <v>25</v>
      </c>
      <c r="I326" s="31">
        <f t="shared" si="36"/>
        <v>25000</v>
      </c>
      <c r="J326" s="31">
        <f t="shared" si="37"/>
        <v>1750.0000000000002</v>
      </c>
      <c r="K326" s="44">
        <f t="shared" si="38"/>
        <v>4.794520547945206</v>
      </c>
      <c r="L326" s="3">
        <f t="shared" si="39"/>
        <v>354.79452054794524</v>
      </c>
      <c r="M326" s="3">
        <f t="shared" si="40"/>
        <v>21.287671232876715</v>
      </c>
      <c r="N326" s="67">
        <f t="shared" si="41"/>
        <v>333.50684931506851</v>
      </c>
      <c r="O326" s="3"/>
      <c r="P326" s="70" t="s">
        <v>18610</v>
      </c>
      <c r="Q326" s="2" t="s">
        <v>130</v>
      </c>
      <c r="R326" s="2" t="s">
        <v>9120</v>
      </c>
      <c r="T326" t="s">
        <v>18666</v>
      </c>
      <c r="U326" t="s">
        <v>18652</v>
      </c>
      <c r="V326" s="104">
        <v>45857</v>
      </c>
      <c r="X326" s="97"/>
      <c r="Y326" s="75">
        <v>333.51</v>
      </c>
    </row>
    <row r="327" spans="1:25" x14ac:dyDescent="0.25">
      <c r="A327" s="76">
        <v>358</v>
      </c>
      <c r="B327" s="2" t="s">
        <v>4989</v>
      </c>
      <c r="C327" s="2" t="s">
        <v>4990</v>
      </c>
      <c r="D327" s="2" t="s">
        <v>4991</v>
      </c>
      <c r="E327" s="2" t="s">
        <v>4992</v>
      </c>
      <c r="F327" s="2" t="s">
        <v>4993</v>
      </c>
      <c r="G327" s="2" t="s">
        <v>4994</v>
      </c>
      <c r="H327" s="17">
        <v>25</v>
      </c>
      <c r="I327" s="31">
        <f t="shared" si="36"/>
        <v>25000</v>
      </c>
      <c r="J327" s="31">
        <f t="shared" si="37"/>
        <v>1750.0000000000002</v>
      </c>
      <c r="K327" s="44">
        <f t="shared" si="38"/>
        <v>4.794520547945206</v>
      </c>
      <c r="L327" s="3">
        <f t="shared" si="39"/>
        <v>354.79452054794524</v>
      </c>
      <c r="M327" s="3">
        <f t="shared" si="40"/>
        <v>21.287671232876715</v>
      </c>
      <c r="N327" s="67">
        <f t="shared" si="41"/>
        <v>333.50684931506851</v>
      </c>
      <c r="O327" s="3"/>
      <c r="P327" s="70" t="s">
        <v>18610</v>
      </c>
      <c r="Q327" s="2" t="s">
        <v>130</v>
      </c>
      <c r="R327" s="2" t="s">
        <v>4995</v>
      </c>
      <c r="T327" t="s">
        <v>18666</v>
      </c>
      <c r="U327" t="s">
        <v>18652</v>
      </c>
      <c r="V327" s="104">
        <v>45857</v>
      </c>
      <c r="X327" s="97"/>
      <c r="Y327" s="75">
        <v>333.51</v>
      </c>
    </row>
    <row r="328" spans="1:25" x14ac:dyDescent="0.25">
      <c r="A328" s="76">
        <v>359</v>
      </c>
      <c r="B328" s="2" t="s">
        <v>1945</v>
      </c>
      <c r="C328" s="2" t="s">
        <v>1946</v>
      </c>
      <c r="D328" s="2" t="s">
        <v>1947</v>
      </c>
      <c r="E328" s="2" t="s">
        <v>1948</v>
      </c>
      <c r="F328" s="2" t="s">
        <v>1949</v>
      </c>
      <c r="G328" s="2" t="s">
        <v>1570</v>
      </c>
      <c r="H328" s="17">
        <v>50</v>
      </c>
      <c r="I328" s="31">
        <f t="shared" si="36"/>
        <v>50000</v>
      </c>
      <c r="J328" s="31">
        <f t="shared" si="37"/>
        <v>3500.0000000000005</v>
      </c>
      <c r="K328" s="44">
        <f t="shared" si="38"/>
        <v>9.589041095890412</v>
      </c>
      <c r="L328" s="3">
        <f t="shared" si="39"/>
        <v>709.58904109589048</v>
      </c>
      <c r="M328" s="3">
        <f t="shared" si="40"/>
        <v>42.57534246575343</v>
      </c>
      <c r="N328" s="67">
        <f t="shared" si="41"/>
        <v>667.01369863013701</v>
      </c>
      <c r="O328" s="3"/>
      <c r="P328" s="70" t="s">
        <v>18610</v>
      </c>
      <c r="Q328" s="2" t="s">
        <v>130</v>
      </c>
      <c r="R328" s="2" t="s">
        <v>1950</v>
      </c>
      <c r="T328" t="s">
        <v>18666</v>
      </c>
      <c r="U328" t="s">
        <v>18652</v>
      </c>
      <c r="V328" s="104">
        <v>45857</v>
      </c>
      <c r="X328" s="97"/>
      <c r="Y328" s="75">
        <v>667.02</v>
      </c>
    </row>
    <row r="329" spans="1:25" x14ac:dyDescent="0.25">
      <c r="A329" s="76">
        <v>360</v>
      </c>
      <c r="B329" s="2" t="s">
        <v>9164</v>
      </c>
      <c r="C329" s="2" t="s">
        <v>9165</v>
      </c>
      <c r="D329" s="2" t="s">
        <v>9166</v>
      </c>
      <c r="E329" s="2" t="s">
        <v>9167</v>
      </c>
      <c r="F329" s="2" t="s">
        <v>9168</v>
      </c>
      <c r="G329" s="2" t="s">
        <v>412</v>
      </c>
      <c r="H329" s="17">
        <v>50</v>
      </c>
      <c r="I329" s="31">
        <f t="shared" si="36"/>
        <v>50000</v>
      </c>
      <c r="J329" s="31">
        <f t="shared" si="37"/>
        <v>3500.0000000000005</v>
      </c>
      <c r="K329" s="44">
        <f t="shared" si="38"/>
        <v>9.589041095890412</v>
      </c>
      <c r="L329" s="3">
        <f t="shared" si="39"/>
        <v>709.58904109589048</v>
      </c>
      <c r="M329" s="3">
        <f t="shared" si="40"/>
        <v>42.57534246575343</v>
      </c>
      <c r="N329" s="67">
        <f t="shared" si="41"/>
        <v>667.01369863013701</v>
      </c>
      <c r="O329" s="3"/>
      <c r="P329" s="70" t="s">
        <v>18610</v>
      </c>
      <c r="Q329" s="2" t="s">
        <v>130</v>
      </c>
      <c r="R329" s="2" t="s">
        <v>9169</v>
      </c>
      <c r="T329" t="s">
        <v>18666</v>
      </c>
      <c r="U329" t="s">
        <v>18652</v>
      </c>
      <c r="V329" s="104">
        <v>45857</v>
      </c>
      <c r="X329" s="97"/>
      <c r="Y329" s="75">
        <v>667.02</v>
      </c>
    </row>
    <row r="330" spans="1:25" x14ac:dyDescent="0.25">
      <c r="A330" s="76">
        <v>361</v>
      </c>
      <c r="B330" s="2" t="s">
        <v>3129</v>
      </c>
      <c r="C330" s="2" t="s">
        <v>3130</v>
      </c>
      <c r="D330" s="2" t="s">
        <v>3131</v>
      </c>
      <c r="E330" s="2" t="s">
        <v>3132</v>
      </c>
      <c r="F330" s="2" t="s">
        <v>3133</v>
      </c>
      <c r="G330" s="2" t="s">
        <v>296</v>
      </c>
      <c r="H330" s="17">
        <v>25</v>
      </c>
      <c r="I330" s="31">
        <f t="shared" si="36"/>
        <v>25000</v>
      </c>
      <c r="J330" s="31">
        <f t="shared" si="37"/>
        <v>1750.0000000000002</v>
      </c>
      <c r="K330" s="44">
        <f t="shared" si="38"/>
        <v>4.794520547945206</v>
      </c>
      <c r="L330" s="3">
        <f t="shared" si="39"/>
        <v>354.79452054794524</v>
      </c>
      <c r="M330" s="3">
        <f t="shared" si="40"/>
        <v>21.287671232876715</v>
      </c>
      <c r="N330" s="67">
        <f t="shared" si="41"/>
        <v>333.50684931506851</v>
      </c>
      <c r="O330" s="3"/>
      <c r="P330" s="70" t="s">
        <v>18610</v>
      </c>
      <c r="Q330" s="2" t="s">
        <v>130</v>
      </c>
      <c r="R330" s="2" t="s">
        <v>3134</v>
      </c>
      <c r="T330" t="s">
        <v>18666</v>
      </c>
      <c r="U330" t="s">
        <v>18652</v>
      </c>
      <c r="V330" s="104">
        <v>45857</v>
      </c>
      <c r="X330" s="97"/>
      <c r="Y330" s="75">
        <v>333.51</v>
      </c>
    </row>
    <row r="331" spans="1:25" x14ac:dyDescent="0.25">
      <c r="A331" s="76">
        <v>362</v>
      </c>
      <c r="B331" s="2" t="s">
        <v>7689</v>
      </c>
      <c r="C331" s="2" t="s">
        <v>7690</v>
      </c>
      <c r="D331" s="2" t="s">
        <v>7691</v>
      </c>
      <c r="E331" s="2" t="s">
        <v>7692</v>
      </c>
      <c r="F331" s="2" t="s">
        <v>7693</v>
      </c>
      <c r="G331" s="2" t="s">
        <v>2380</v>
      </c>
      <c r="H331" s="17">
        <v>100</v>
      </c>
      <c r="I331" s="31">
        <f t="shared" si="36"/>
        <v>100000</v>
      </c>
      <c r="J331" s="31">
        <f t="shared" si="37"/>
        <v>7000.0000000000009</v>
      </c>
      <c r="K331" s="44">
        <f t="shared" si="38"/>
        <v>19.178082191780824</v>
      </c>
      <c r="L331" s="3">
        <f t="shared" si="39"/>
        <v>1419.178082191781</v>
      </c>
      <c r="M331" s="3">
        <f t="shared" si="40"/>
        <v>85.150684931506859</v>
      </c>
      <c r="N331" s="67">
        <f t="shared" si="41"/>
        <v>1334.027397260274</v>
      </c>
      <c r="O331" s="3"/>
      <c r="P331" s="70" t="s">
        <v>18610</v>
      </c>
      <c r="Q331" s="2" t="s">
        <v>130</v>
      </c>
      <c r="R331" s="2" t="s">
        <v>7694</v>
      </c>
      <c r="T331" t="s">
        <v>18666</v>
      </c>
      <c r="U331" t="s">
        <v>18652</v>
      </c>
      <c r="V331" s="104">
        <v>45857</v>
      </c>
      <c r="X331" s="97"/>
      <c r="Y331" s="75">
        <v>1334.03</v>
      </c>
    </row>
    <row r="332" spans="1:25" x14ac:dyDescent="0.25">
      <c r="A332" s="76">
        <v>363</v>
      </c>
      <c r="B332" s="2" t="s">
        <v>14083</v>
      </c>
      <c r="C332" s="2" t="s">
        <v>14084</v>
      </c>
      <c r="D332" s="2" t="s">
        <v>14085</v>
      </c>
      <c r="E332" s="2" t="s">
        <v>14086</v>
      </c>
      <c r="F332" s="2" t="s">
        <v>14087</v>
      </c>
      <c r="G332" s="2" t="s">
        <v>275</v>
      </c>
      <c r="H332" s="17">
        <v>50</v>
      </c>
      <c r="I332" s="31">
        <f t="shared" si="36"/>
        <v>50000</v>
      </c>
      <c r="J332" s="31">
        <f t="shared" si="37"/>
        <v>3500.0000000000005</v>
      </c>
      <c r="K332" s="44">
        <f t="shared" si="38"/>
        <v>9.589041095890412</v>
      </c>
      <c r="L332" s="3">
        <f t="shared" si="39"/>
        <v>709.58904109589048</v>
      </c>
      <c r="M332" s="3">
        <f t="shared" si="40"/>
        <v>42.57534246575343</v>
      </c>
      <c r="N332" s="67">
        <f t="shared" si="41"/>
        <v>667.01369863013701</v>
      </c>
      <c r="O332" s="3"/>
      <c r="P332" s="70" t="s">
        <v>18610</v>
      </c>
      <c r="Q332" s="2" t="s">
        <v>130</v>
      </c>
      <c r="R332" s="2" t="s">
        <v>14088</v>
      </c>
      <c r="T332" t="s">
        <v>18666</v>
      </c>
      <c r="U332" t="s">
        <v>18652</v>
      </c>
      <c r="V332" s="104">
        <v>45857</v>
      </c>
      <c r="X332" s="97"/>
      <c r="Y332" s="75">
        <v>667.02</v>
      </c>
    </row>
    <row r="333" spans="1:25" x14ac:dyDescent="0.25">
      <c r="A333" s="76">
        <v>364</v>
      </c>
      <c r="B333" s="2" t="s">
        <v>125</v>
      </c>
      <c r="C333" s="2" t="s">
        <v>126</v>
      </c>
      <c r="D333" s="2" t="s">
        <v>127</v>
      </c>
      <c r="E333" s="2" t="s">
        <v>128</v>
      </c>
      <c r="F333" s="2" t="s">
        <v>129</v>
      </c>
      <c r="G333" s="2" t="s">
        <v>74</v>
      </c>
      <c r="H333" s="17">
        <v>25</v>
      </c>
      <c r="I333" s="31">
        <f t="shared" si="36"/>
        <v>25000</v>
      </c>
      <c r="J333" s="31">
        <f t="shared" si="37"/>
        <v>1750.0000000000002</v>
      </c>
      <c r="K333" s="44">
        <f t="shared" si="38"/>
        <v>4.794520547945206</v>
      </c>
      <c r="L333" s="3">
        <f t="shared" si="39"/>
        <v>354.79452054794524</v>
      </c>
      <c r="M333" s="3">
        <f t="shared" si="40"/>
        <v>21.287671232876715</v>
      </c>
      <c r="N333" s="67">
        <f t="shared" si="41"/>
        <v>333.50684931506851</v>
      </c>
      <c r="O333" s="3"/>
      <c r="P333" s="70" t="s">
        <v>18610</v>
      </c>
      <c r="Q333" s="2" t="s">
        <v>130</v>
      </c>
      <c r="R333" s="2" t="s">
        <v>131</v>
      </c>
      <c r="T333" t="s">
        <v>18666</v>
      </c>
      <c r="U333" t="s">
        <v>18652</v>
      </c>
      <c r="V333" s="104">
        <v>45857</v>
      </c>
      <c r="X333" s="97"/>
      <c r="Y333" s="75">
        <v>333.51</v>
      </c>
    </row>
    <row r="334" spans="1:25" x14ac:dyDescent="0.25">
      <c r="A334" s="76">
        <v>365</v>
      </c>
      <c r="B334" s="2" t="s">
        <v>14607</v>
      </c>
      <c r="C334" s="2" t="s">
        <v>14608</v>
      </c>
      <c r="D334" s="2" t="s">
        <v>14609</v>
      </c>
      <c r="E334" s="2" t="s">
        <v>14610</v>
      </c>
      <c r="F334" s="2" t="s">
        <v>14611</v>
      </c>
      <c r="G334" s="2" t="s">
        <v>31</v>
      </c>
      <c r="H334" s="17">
        <v>300</v>
      </c>
      <c r="I334" s="31">
        <f t="shared" si="36"/>
        <v>300000</v>
      </c>
      <c r="J334" s="31">
        <f t="shared" si="37"/>
        <v>21000.000000000004</v>
      </c>
      <c r="K334" s="44">
        <f t="shared" si="38"/>
        <v>57.534246575342479</v>
      </c>
      <c r="L334" s="3">
        <f t="shared" si="39"/>
        <v>4257.5342465753438</v>
      </c>
      <c r="M334" s="3">
        <f t="shared" si="40"/>
        <v>255.45205479452062</v>
      </c>
      <c r="N334" s="67">
        <f t="shared" si="41"/>
        <v>4002.082191780823</v>
      </c>
      <c r="O334" s="3"/>
      <c r="P334" s="70" t="s">
        <v>18610</v>
      </c>
      <c r="Q334" s="2" t="s">
        <v>130</v>
      </c>
      <c r="R334" s="2" t="s">
        <v>14612</v>
      </c>
      <c r="T334" t="s">
        <v>18666</v>
      </c>
      <c r="U334" t="s">
        <v>18652</v>
      </c>
      <c r="V334" s="104">
        <v>45857</v>
      </c>
      <c r="X334" s="97"/>
      <c r="Y334" s="75">
        <v>4002.09</v>
      </c>
    </row>
    <row r="335" spans="1:25" x14ac:dyDescent="0.25">
      <c r="A335" s="76">
        <v>366</v>
      </c>
      <c r="B335" s="2" t="s">
        <v>14001</v>
      </c>
      <c r="C335" s="2" t="s">
        <v>14002</v>
      </c>
      <c r="D335" s="2" t="s">
        <v>14003</v>
      </c>
      <c r="E335" s="2" t="s">
        <v>14004</v>
      </c>
      <c r="F335" s="2" t="s">
        <v>14005</v>
      </c>
      <c r="G335" s="2" t="s">
        <v>23</v>
      </c>
      <c r="H335" s="17">
        <v>50</v>
      </c>
      <c r="I335" s="31">
        <f t="shared" si="36"/>
        <v>50000</v>
      </c>
      <c r="J335" s="31">
        <f t="shared" si="37"/>
        <v>3500.0000000000005</v>
      </c>
      <c r="K335" s="44">
        <f t="shared" si="38"/>
        <v>9.589041095890412</v>
      </c>
      <c r="L335" s="3">
        <f t="shared" si="39"/>
        <v>709.58904109589048</v>
      </c>
      <c r="M335" s="3">
        <f t="shared" si="40"/>
        <v>42.57534246575343</v>
      </c>
      <c r="N335" s="67">
        <f t="shared" si="41"/>
        <v>667.01369863013701</v>
      </c>
      <c r="O335" s="3"/>
      <c r="P335" s="70" t="s">
        <v>18610</v>
      </c>
      <c r="Q335" s="2" t="s">
        <v>130</v>
      </c>
      <c r="R335" s="2" t="s">
        <v>14006</v>
      </c>
      <c r="T335" t="s">
        <v>18666</v>
      </c>
      <c r="U335" t="s">
        <v>18652</v>
      </c>
      <c r="V335" s="104">
        <v>45857</v>
      </c>
      <c r="X335" s="97"/>
      <c r="Y335" s="75">
        <v>667.02</v>
      </c>
    </row>
    <row r="336" spans="1:25" x14ac:dyDescent="0.25">
      <c r="A336" s="76">
        <v>367</v>
      </c>
      <c r="B336" s="2" t="s">
        <v>11412</v>
      </c>
      <c r="C336" s="2" t="s">
        <v>11413</v>
      </c>
      <c r="D336" s="2" t="s">
        <v>11414</v>
      </c>
      <c r="E336" s="2" t="s">
        <v>11415</v>
      </c>
      <c r="F336" s="2" t="s">
        <v>11416</v>
      </c>
      <c r="G336" s="2" t="s">
        <v>31</v>
      </c>
      <c r="H336" s="17">
        <v>150</v>
      </c>
      <c r="I336" s="31">
        <f t="shared" si="36"/>
        <v>150000</v>
      </c>
      <c r="J336" s="31">
        <f t="shared" si="37"/>
        <v>10500.000000000002</v>
      </c>
      <c r="K336" s="44">
        <f t="shared" si="38"/>
        <v>28.767123287671239</v>
      </c>
      <c r="L336" s="3">
        <f t="shared" si="39"/>
        <v>2128.7671232876719</v>
      </c>
      <c r="M336" s="3">
        <f t="shared" si="40"/>
        <v>127.72602739726031</v>
      </c>
      <c r="N336" s="67">
        <f t="shared" si="41"/>
        <v>2001.0410958904115</v>
      </c>
      <c r="O336" s="3"/>
      <c r="P336" s="70" t="s">
        <v>18610</v>
      </c>
      <c r="Q336" s="2" t="s">
        <v>130</v>
      </c>
      <c r="R336" s="2" t="s">
        <v>11417</v>
      </c>
      <c r="T336" t="s">
        <v>18666</v>
      </c>
      <c r="U336" t="s">
        <v>18652</v>
      </c>
      <c r="V336" s="104">
        <v>45857</v>
      </c>
      <c r="X336" s="97"/>
      <c r="Y336" s="75">
        <v>2001.05</v>
      </c>
    </row>
    <row r="337" spans="1:25" x14ac:dyDescent="0.25">
      <c r="A337" s="76">
        <v>368</v>
      </c>
      <c r="B337" s="2" t="s">
        <v>18195</v>
      </c>
      <c r="C337" s="2" t="s">
        <v>18196</v>
      </c>
      <c r="D337" s="2" t="s">
        <v>18166</v>
      </c>
      <c r="E337" s="2" t="s">
        <v>18197</v>
      </c>
      <c r="F337" s="2" t="s">
        <v>18198</v>
      </c>
      <c r="G337" s="2" t="s">
        <v>381</v>
      </c>
      <c r="H337" s="17">
        <v>25</v>
      </c>
      <c r="I337" s="31">
        <f t="shared" si="36"/>
        <v>25000</v>
      </c>
      <c r="J337" s="31">
        <f t="shared" si="37"/>
        <v>1750.0000000000002</v>
      </c>
      <c r="K337" s="44">
        <f t="shared" si="38"/>
        <v>4.794520547945206</v>
      </c>
      <c r="L337" s="3">
        <f t="shared" si="39"/>
        <v>354.79452054794524</v>
      </c>
      <c r="M337" s="3">
        <f t="shared" si="40"/>
        <v>21.287671232876715</v>
      </c>
      <c r="N337" s="67">
        <f t="shared" si="41"/>
        <v>333.50684931506851</v>
      </c>
      <c r="O337" s="3"/>
      <c r="P337" s="70" t="s">
        <v>18616</v>
      </c>
      <c r="Q337" s="2" t="s">
        <v>18170</v>
      </c>
      <c r="R337" s="2" t="s">
        <v>18199</v>
      </c>
      <c r="T337" t="s">
        <v>18666</v>
      </c>
      <c r="U337" t="s">
        <v>18652</v>
      </c>
      <c r="V337" s="104">
        <v>45857</v>
      </c>
      <c r="X337" s="97"/>
      <c r="Y337" s="75">
        <v>333.51</v>
      </c>
    </row>
    <row r="338" spans="1:25" x14ac:dyDescent="0.25">
      <c r="A338" s="76">
        <v>369</v>
      </c>
      <c r="B338" s="2" t="s">
        <v>18212</v>
      </c>
      <c r="C338" s="2" t="s">
        <v>18213</v>
      </c>
      <c r="D338" s="2" t="s">
        <v>18214</v>
      </c>
      <c r="E338" s="2" t="s">
        <v>18166</v>
      </c>
      <c r="F338" s="2" t="s">
        <v>18215</v>
      </c>
      <c r="G338" s="2" t="s">
        <v>381</v>
      </c>
      <c r="H338" s="17">
        <v>25</v>
      </c>
      <c r="I338" s="31">
        <f t="shared" ref="I338:I401" si="42">H338*1000</f>
        <v>25000</v>
      </c>
      <c r="J338" s="31">
        <f t="shared" ref="J338:J401" si="43">I338*7%</f>
        <v>1750.0000000000002</v>
      </c>
      <c r="K338" s="44">
        <f t="shared" ref="K338:K401" si="44">J338/365</f>
        <v>4.794520547945206</v>
      </c>
      <c r="L338" s="3">
        <f t="shared" ref="L338:L401" si="45">K338*74</f>
        <v>354.79452054794524</v>
      </c>
      <c r="M338" s="3">
        <f t="shared" ref="M338:M401" si="46">L338*6%</f>
        <v>21.287671232876715</v>
      </c>
      <c r="N338" s="67">
        <f t="shared" ref="N338:N401" si="47">L338-M338</f>
        <v>333.50684931506851</v>
      </c>
      <c r="O338" s="3"/>
      <c r="P338" s="70" t="s">
        <v>18616</v>
      </c>
      <c r="Q338" s="2" t="s">
        <v>18170</v>
      </c>
      <c r="R338" s="2" t="s">
        <v>18216</v>
      </c>
      <c r="T338" t="s">
        <v>18666</v>
      </c>
      <c r="U338" t="s">
        <v>18652</v>
      </c>
      <c r="V338" s="104">
        <v>45857</v>
      </c>
      <c r="X338" s="97"/>
      <c r="Y338" s="75">
        <v>333.51</v>
      </c>
    </row>
    <row r="339" spans="1:25" x14ac:dyDescent="0.25">
      <c r="A339" s="76">
        <v>370</v>
      </c>
      <c r="B339" s="2" t="s">
        <v>18165</v>
      </c>
      <c r="C339" s="2" t="s">
        <v>18166</v>
      </c>
      <c r="D339" s="2" t="s">
        <v>18167</v>
      </c>
      <c r="E339" s="2" t="s">
        <v>18168</v>
      </c>
      <c r="F339" s="2" t="s">
        <v>18169</v>
      </c>
      <c r="G339" s="2" t="s">
        <v>381</v>
      </c>
      <c r="H339" s="17">
        <v>50</v>
      </c>
      <c r="I339" s="31">
        <f t="shared" si="42"/>
        <v>50000</v>
      </c>
      <c r="J339" s="31">
        <f t="shared" si="43"/>
        <v>3500.0000000000005</v>
      </c>
      <c r="K339" s="44">
        <f t="shared" si="44"/>
        <v>9.589041095890412</v>
      </c>
      <c r="L339" s="3">
        <f t="shared" si="45"/>
        <v>709.58904109589048</v>
      </c>
      <c r="M339" s="3">
        <f t="shared" si="46"/>
        <v>42.57534246575343</v>
      </c>
      <c r="N339" s="67">
        <f t="shared" si="47"/>
        <v>667.01369863013701</v>
      </c>
      <c r="O339" s="3"/>
      <c r="P339" s="70" t="s">
        <v>18616</v>
      </c>
      <c r="Q339" s="2" t="s">
        <v>18170</v>
      </c>
      <c r="R339" s="2" t="s">
        <v>18171</v>
      </c>
      <c r="T339" t="s">
        <v>18666</v>
      </c>
      <c r="U339" t="s">
        <v>18652</v>
      </c>
      <c r="V339" s="104">
        <v>45857</v>
      </c>
      <c r="X339" s="97"/>
      <c r="Y339" s="75">
        <v>667.02</v>
      </c>
    </row>
    <row r="340" spans="1:25" x14ac:dyDescent="0.25">
      <c r="A340" s="76">
        <v>371</v>
      </c>
      <c r="B340" s="2" t="s">
        <v>12405</v>
      </c>
      <c r="C340" s="2" t="s">
        <v>12406</v>
      </c>
      <c r="D340" s="2" t="s">
        <v>12407</v>
      </c>
      <c r="E340" s="2" t="s">
        <v>12408</v>
      </c>
      <c r="F340" s="2" t="s">
        <v>12409</v>
      </c>
      <c r="G340" s="2" t="s">
        <v>31</v>
      </c>
      <c r="H340" s="17">
        <v>250</v>
      </c>
      <c r="I340" s="31">
        <f t="shared" si="42"/>
        <v>250000</v>
      </c>
      <c r="J340" s="31">
        <f t="shared" si="43"/>
        <v>17500</v>
      </c>
      <c r="K340" s="44">
        <f t="shared" si="44"/>
        <v>47.945205479452056</v>
      </c>
      <c r="L340" s="3">
        <f t="shared" si="45"/>
        <v>3547.9452054794519</v>
      </c>
      <c r="M340" s="3">
        <f t="shared" si="46"/>
        <v>212.8767123287671</v>
      </c>
      <c r="N340" s="67">
        <f t="shared" si="47"/>
        <v>3335.0684931506848</v>
      </c>
      <c r="O340" s="3"/>
      <c r="P340" s="70" t="s">
        <v>18617</v>
      </c>
      <c r="Q340" s="2" t="s">
        <v>438</v>
      </c>
      <c r="R340" s="2" t="s">
        <v>12410</v>
      </c>
      <c r="T340" t="s">
        <v>18666</v>
      </c>
      <c r="U340" t="s">
        <v>18652</v>
      </c>
      <c r="V340" s="104">
        <v>45857</v>
      </c>
      <c r="X340" s="97"/>
      <c r="Y340" s="75">
        <v>3335.07</v>
      </c>
    </row>
    <row r="341" spans="1:25" x14ac:dyDescent="0.25">
      <c r="A341" s="76">
        <v>372</v>
      </c>
      <c r="B341" s="2" t="s">
        <v>3830</v>
      </c>
      <c r="C341" s="2" t="s">
        <v>3831</v>
      </c>
      <c r="D341" s="2" t="s">
        <v>3832</v>
      </c>
      <c r="E341" s="2" t="s">
        <v>3833</v>
      </c>
      <c r="F341" s="2" t="s">
        <v>3834</v>
      </c>
      <c r="G341" s="2" t="s">
        <v>743</v>
      </c>
      <c r="H341" s="17">
        <v>25</v>
      </c>
      <c r="I341" s="31">
        <f t="shared" si="42"/>
        <v>25000</v>
      </c>
      <c r="J341" s="31">
        <f t="shared" si="43"/>
        <v>1750.0000000000002</v>
      </c>
      <c r="K341" s="44">
        <f t="shared" si="44"/>
        <v>4.794520547945206</v>
      </c>
      <c r="L341" s="3">
        <f t="shared" si="45"/>
        <v>354.79452054794524</v>
      </c>
      <c r="M341" s="3">
        <f t="shared" si="46"/>
        <v>21.287671232876715</v>
      </c>
      <c r="N341" s="67">
        <f t="shared" si="47"/>
        <v>333.50684931506851</v>
      </c>
      <c r="O341" s="3"/>
      <c r="P341" s="70" t="s">
        <v>18617</v>
      </c>
      <c r="Q341" s="2" t="s">
        <v>438</v>
      </c>
      <c r="R341" s="2" t="s">
        <v>3835</v>
      </c>
      <c r="T341" t="s">
        <v>18666</v>
      </c>
      <c r="U341" t="s">
        <v>18652</v>
      </c>
      <c r="V341" s="104">
        <v>45857</v>
      </c>
      <c r="X341" s="97"/>
      <c r="Y341" s="75">
        <v>333.51</v>
      </c>
    </row>
    <row r="342" spans="1:25" x14ac:dyDescent="0.25">
      <c r="A342" s="76">
        <v>373</v>
      </c>
      <c r="B342" s="2" t="s">
        <v>9965</v>
      </c>
      <c r="C342" s="2" t="s">
        <v>9966</v>
      </c>
      <c r="D342" s="2" t="s">
        <v>9967</v>
      </c>
      <c r="E342" s="2" t="s">
        <v>9968</v>
      </c>
      <c r="F342" s="2" t="s">
        <v>9969</v>
      </c>
      <c r="G342" s="2" t="s">
        <v>186</v>
      </c>
      <c r="H342" s="17">
        <v>25</v>
      </c>
      <c r="I342" s="31">
        <f t="shared" si="42"/>
        <v>25000</v>
      </c>
      <c r="J342" s="31">
        <f t="shared" si="43"/>
        <v>1750.0000000000002</v>
      </c>
      <c r="K342" s="44">
        <f t="shared" si="44"/>
        <v>4.794520547945206</v>
      </c>
      <c r="L342" s="3">
        <f t="shared" si="45"/>
        <v>354.79452054794524</v>
      </c>
      <c r="M342" s="3">
        <f t="shared" si="46"/>
        <v>21.287671232876715</v>
      </c>
      <c r="N342" s="67">
        <f t="shared" si="47"/>
        <v>333.50684931506851</v>
      </c>
      <c r="O342" s="3"/>
      <c r="P342" s="70" t="s">
        <v>18617</v>
      </c>
      <c r="Q342" s="2" t="s">
        <v>438</v>
      </c>
      <c r="R342" s="2" t="s">
        <v>9970</v>
      </c>
      <c r="T342" t="s">
        <v>18666</v>
      </c>
      <c r="U342" t="s">
        <v>18652</v>
      </c>
      <c r="V342" s="104">
        <v>45857</v>
      </c>
      <c r="X342" s="97"/>
      <c r="Y342" s="75">
        <v>333.51</v>
      </c>
    </row>
    <row r="343" spans="1:25" x14ac:dyDescent="0.25">
      <c r="A343" s="76">
        <v>374</v>
      </c>
      <c r="B343" s="2" t="s">
        <v>13048</v>
      </c>
      <c r="C343" s="2" t="s">
        <v>13049</v>
      </c>
      <c r="D343" s="2" t="s">
        <v>13050</v>
      </c>
      <c r="E343" s="2" t="s">
        <v>13051</v>
      </c>
      <c r="F343" s="2" t="s">
        <v>13052</v>
      </c>
      <c r="G343" s="2" t="s">
        <v>166</v>
      </c>
      <c r="H343" s="17">
        <v>100</v>
      </c>
      <c r="I343" s="31">
        <f t="shared" si="42"/>
        <v>100000</v>
      </c>
      <c r="J343" s="31">
        <f t="shared" si="43"/>
        <v>7000.0000000000009</v>
      </c>
      <c r="K343" s="44">
        <f t="shared" si="44"/>
        <v>19.178082191780824</v>
      </c>
      <c r="L343" s="3">
        <f t="shared" si="45"/>
        <v>1419.178082191781</v>
      </c>
      <c r="M343" s="3">
        <f t="shared" si="46"/>
        <v>85.150684931506859</v>
      </c>
      <c r="N343" s="67">
        <f t="shared" si="47"/>
        <v>1334.027397260274</v>
      </c>
      <c r="O343" s="3"/>
      <c r="P343" s="70" t="s">
        <v>18617</v>
      </c>
      <c r="Q343" s="2" t="s">
        <v>438</v>
      </c>
      <c r="R343" s="2" t="s">
        <v>13053</v>
      </c>
      <c r="T343" t="s">
        <v>18666</v>
      </c>
      <c r="U343" t="s">
        <v>18652</v>
      </c>
      <c r="V343" s="104">
        <v>45857</v>
      </c>
      <c r="X343" s="97"/>
      <c r="Y343" s="75">
        <v>1334.03</v>
      </c>
    </row>
    <row r="344" spans="1:25" x14ac:dyDescent="0.25">
      <c r="A344" s="76">
        <v>375</v>
      </c>
      <c r="B344" s="2" t="s">
        <v>1329</v>
      </c>
      <c r="C344" s="2" t="s">
        <v>1330</v>
      </c>
      <c r="D344" s="2" t="s">
        <v>1331</v>
      </c>
      <c r="E344" s="2" t="s">
        <v>1332</v>
      </c>
      <c r="F344" s="2" t="s">
        <v>1333</v>
      </c>
      <c r="G344" s="2" t="s">
        <v>254</v>
      </c>
      <c r="H344" s="17">
        <v>25</v>
      </c>
      <c r="I344" s="31">
        <f t="shared" si="42"/>
        <v>25000</v>
      </c>
      <c r="J344" s="31">
        <f t="shared" si="43"/>
        <v>1750.0000000000002</v>
      </c>
      <c r="K344" s="44">
        <f t="shared" si="44"/>
        <v>4.794520547945206</v>
      </c>
      <c r="L344" s="3">
        <f t="shared" si="45"/>
        <v>354.79452054794524</v>
      </c>
      <c r="M344" s="3">
        <f t="shared" si="46"/>
        <v>21.287671232876715</v>
      </c>
      <c r="N344" s="67">
        <f t="shared" si="47"/>
        <v>333.50684931506851</v>
      </c>
      <c r="O344" s="3"/>
      <c r="P344" s="70" t="s">
        <v>18617</v>
      </c>
      <c r="Q344" s="2" t="s">
        <v>438</v>
      </c>
      <c r="R344" s="2" t="s">
        <v>1334</v>
      </c>
      <c r="T344" t="s">
        <v>18666</v>
      </c>
      <c r="U344" t="s">
        <v>18652</v>
      </c>
      <c r="V344" s="104">
        <v>45857</v>
      </c>
      <c r="X344" s="97"/>
      <c r="Y344" s="75">
        <v>333.51</v>
      </c>
    </row>
    <row r="345" spans="1:25" x14ac:dyDescent="0.25">
      <c r="A345" s="76">
        <v>376</v>
      </c>
      <c r="B345" s="2" t="s">
        <v>4452</v>
      </c>
      <c r="C345" s="2" t="s">
        <v>4453</v>
      </c>
      <c r="D345" s="2" t="s">
        <v>4454</v>
      </c>
      <c r="E345" s="2" t="s">
        <v>4455</v>
      </c>
      <c r="F345" s="2" t="s">
        <v>4456</v>
      </c>
      <c r="G345" s="2" t="s">
        <v>39</v>
      </c>
      <c r="H345" s="17">
        <v>25</v>
      </c>
      <c r="I345" s="31">
        <f t="shared" si="42"/>
        <v>25000</v>
      </c>
      <c r="J345" s="31">
        <f t="shared" si="43"/>
        <v>1750.0000000000002</v>
      </c>
      <c r="K345" s="44">
        <f t="shared" si="44"/>
        <v>4.794520547945206</v>
      </c>
      <c r="L345" s="3">
        <f t="shared" si="45"/>
        <v>354.79452054794524</v>
      </c>
      <c r="M345" s="3">
        <f t="shared" si="46"/>
        <v>21.287671232876715</v>
      </c>
      <c r="N345" s="67">
        <f t="shared" si="47"/>
        <v>333.50684931506851</v>
      </c>
      <c r="O345" s="3"/>
      <c r="P345" s="70" t="s">
        <v>18617</v>
      </c>
      <c r="Q345" s="2" t="s">
        <v>438</v>
      </c>
      <c r="R345" s="2" t="s">
        <v>4457</v>
      </c>
      <c r="T345" t="s">
        <v>18666</v>
      </c>
      <c r="U345" t="s">
        <v>18652</v>
      </c>
      <c r="V345" s="104">
        <v>45857</v>
      </c>
      <c r="X345" s="97"/>
      <c r="Y345" s="75">
        <v>333.51</v>
      </c>
    </row>
    <row r="346" spans="1:25" x14ac:dyDescent="0.25">
      <c r="A346" s="76">
        <v>377</v>
      </c>
      <c r="B346" s="2" t="s">
        <v>14352</v>
      </c>
      <c r="C346" s="2" t="s">
        <v>14353</v>
      </c>
      <c r="D346" s="2" t="s">
        <v>14354</v>
      </c>
      <c r="E346" s="2" t="s">
        <v>14355</v>
      </c>
      <c r="F346" s="2" t="s">
        <v>14356</v>
      </c>
      <c r="G346" s="2" t="s">
        <v>186</v>
      </c>
      <c r="H346" s="17">
        <v>25</v>
      </c>
      <c r="I346" s="31">
        <f t="shared" si="42"/>
        <v>25000</v>
      </c>
      <c r="J346" s="31">
        <f t="shared" si="43"/>
        <v>1750.0000000000002</v>
      </c>
      <c r="K346" s="44">
        <f t="shared" si="44"/>
        <v>4.794520547945206</v>
      </c>
      <c r="L346" s="3">
        <f t="shared" si="45"/>
        <v>354.79452054794524</v>
      </c>
      <c r="M346" s="3">
        <f t="shared" si="46"/>
        <v>21.287671232876715</v>
      </c>
      <c r="N346" s="67">
        <f t="shared" si="47"/>
        <v>333.50684931506851</v>
      </c>
      <c r="O346" s="3"/>
      <c r="P346" s="70" t="s">
        <v>18617</v>
      </c>
      <c r="Q346" s="2" t="s">
        <v>438</v>
      </c>
      <c r="R346" s="2" t="s">
        <v>14357</v>
      </c>
      <c r="T346" t="s">
        <v>18666</v>
      </c>
      <c r="U346" t="s">
        <v>18652</v>
      </c>
      <c r="V346" s="104">
        <v>45857</v>
      </c>
      <c r="X346" s="97"/>
      <c r="Y346" s="75">
        <v>333.51</v>
      </c>
    </row>
    <row r="347" spans="1:25" x14ac:dyDescent="0.25">
      <c r="A347" s="76">
        <v>378</v>
      </c>
      <c r="B347" s="2" t="s">
        <v>13776</v>
      </c>
      <c r="C347" s="2" t="s">
        <v>13777</v>
      </c>
      <c r="D347" s="2" t="s">
        <v>13778</v>
      </c>
      <c r="E347" s="2" t="s">
        <v>1095</v>
      </c>
      <c r="F347" s="2" t="s">
        <v>13779</v>
      </c>
      <c r="G347" s="2" t="s">
        <v>39</v>
      </c>
      <c r="H347" s="17">
        <v>25</v>
      </c>
      <c r="I347" s="31">
        <f t="shared" si="42"/>
        <v>25000</v>
      </c>
      <c r="J347" s="31">
        <f t="shared" si="43"/>
        <v>1750.0000000000002</v>
      </c>
      <c r="K347" s="44">
        <f t="shared" si="44"/>
        <v>4.794520547945206</v>
      </c>
      <c r="L347" s="3">
        <f t="shared" si="45"/>
        <v>354.79452054794524</v>
      </c>
      <c r="M347" s="3">
        <f t="shared" si="46"/>
        <v>21.287671232876715</v>
      </c>
      <c r="N347" s="67">
        <f t="shared" si="47"/>
        <v>333.50684931506851</v>
      </c>
      <c r="O347" s="3"/>
      <c r="P347" s="70" t="s">
        <v>18617</v>
      </c>
      <c r="Q347" s="2" t="s">
        <v>438</v>
      </c>
      <c r="R347" s="2" t="s">
        <v>13780</v>
      </c>
      <c r="T347" t="s">
        <v>18666</v>
      </c>
      <c r="U347" t="s">
        <v>18652</v>
      </c>
      <c r="V347" s="104">
        <v>45857</v>
      </c>
      <c r="X347" s="97"/>
      <c r="Y347" s="75">
        <v>333.51</v>
      </c>
    </row>
    <row r="348" spans="1:25" x14ac:dyDescent="0.25">
      <c r="A348" s="76">
        <v>379</v>
      </c>
      <c r="B348" s="2" t="s">
        <v>13581</v>
      </c>
      <c r="C348" s="2" t="s">
        <v>13582</v>
      </c>
      <c r="D348" s="2" t="s">
        <v>13583</v>
      </c>
      <c r="E348" s="2" t="s">
        <v>13584</v>
      </c>
      <c r="F348" s="2" t="s">
        <v>13585</v>
      </c>
      <c r="G348" s="2" t="s">
        <v>39</v>
      </c>
      <c r="H348" s="17">
        <v>25</v>
      </c>
      <c r="I348" s="31">
        <f t="shared" si="42"/>
        <v>25000</v>
      </c>
      <c r="J348" s="31">
        <f t="shared" si="43"/>
        <v>1750.0000000000002</v>
      </c>
      <c r="K348" s="44">
        <f t="shared" si="44"/>
        <v>4.794520547945206</v>
      </c>
      <c r="L348" s="3">
        <f t="shared" si="45"/>
        <v>354.79452054794524</v>
      </c>
      <c r="M348" s="3">
        <f t="shared" si="46"/>
        <v>21.287671232876715</v>
      </c>
      <c r="N348" s="67">
        <f t="shared" si="47"/>
        <v>333.50684931506851</v>
      </c>
      <c r="O348" s="3"/>
      <c r="P348" s="70" t="s">
        <v>18617</v>
      </c>
      <c r="Q348" s="2" t="s">
        <v>438</v>
      </c>
      <c r="R348" s="2" t="s">
        <v>13586</v>
      </c>
      <c r="T348" t="s">
        <v>18666</v>
      </c>
      <c r="U348" t="s">
        <v>18652</v>
      </c>
      <c r="V348" s="104">
        <v>45857</v>
      </c>
      <c r="X348" s="97"/>
      <c r="Y348" s="75">
        <v>333.51</v>
      </c>
    </row>
    <row r="349" spans="1:25" x14ac:dyDescent="0.25">
      <c r="A349" s="76">
        <v>380</v>
      </c>
      <c r="B349" s="2" t="s">
        <v>1800</v>
      </c>
      <c r="C349" s="2" t="s">
        <v>1801</v>
      </c>
      <c r="D349" s="2" t="s">
        <v>1802</v>
      </c>
      <c r="E349" s="2" t="s">
        <v>1803</v>
      </c>
      <c r="F349" s="2" t="s">
        <v>1804</v>
      </c>
      <c r="G349" s="2" t="s">
        <v>1315</v>
      </c>
      <c r="H349" s="17">
        <v>30</v>
      </c>
      <c r="I349" s="31">
        <f t="shared" si="42"/>
        <v>30000</v>
      </c>
      <c r="J349" s="31">
        <f t="shared" si="43"/>
        <v>2100</v>
      </c>
      <c r="K349" s="44">
        <f t="shared" si="44"/>
        <v>5.7534246575342465</v>
      </c>
      <c r="L349" s="3">
        <f t="shared" si="45"/>
        <v>425.75342465753425</v>
      </c>
      <c r="M349" s="3">
        <f t="shared" si="46"/>
        <v>25.545205479452054</v>
      </c>
      <c r="N349" s="67">
        <f t="shared" si="47"/>
        <v>400.20821917808217</v>
      </c>
      <c r="O349" s="3"/>
      <c r="P349" s="70" t="s">
        <v>18617</v>
      </c>
      <c r="Q349" s="2" t="s">
        <v>438</v>
      </c>
      <c r="R349" s="2" t="s">
        <v>1805</v>
      </c>
      <c r="T349" t="s">
        <v>18666</v>
      </c>
      <c r="U349" t="s">
        <v>18652</v>
      </c>
      <c r="V349" s="104">
        <v>45857</v>
      </c>
      <c r="X349" s="97"/>
      <c r="Y349" s="75">
        <v>400.21</v>
      </c>
    </row>
    <row r="350" spans="1:25" x14ac:dyDescent="0.25">
      <c r="A350" s="76">
        <v>381</v>
      </c>
      <c r="B350" s="2" t="s">
        <v>11150</v>
      </c>
      <c r="C350" s="2" t="s">
        <v>11151</v>
      </c>
      <c r="D350" s="2" t="s">
        <v>11152</v>
      </c>
      <c r="E350" s="2" t="s">
        <v>11153</v>
      </c>
      <c r="F350" s="2" t="s">
        <v>11154</v>
      </c>
      <c r="G350" s="2" t="s">
        <v>445</v>
      </c>
      <c r="H350" s="17">
        <v>25</v>
      </c>
      <c r="I350" s="31">
        <f t="shared" si="42"/>
        <v>25000</v>
      </c>
      <c r="J350" s="31">
        <f t="shared" si="43"/>
        <v>1750.0000000000002</v>
      </c>
      <c r="K350" s="44">
        <f t="shared" si="44"/>
        <v>4.794520547945206</v>
      </c>
      <c r="L350" s="3">
        <f t="shared" si="45"/>
        <v>354.79452054794524</v>
      </c>
      <c r="M350" s="3">
        <f t="shared" si="46"/>
        <v>21.287671232876715</v>
      </c>
      <c r="N350" s="67">
        <f t="shared" si="47"/>
        <v>333.50684931506851</v>
      </c>
      <c r="O350" s="3"/>
      <c r="P350" s="70" t="s">
        <v>18617</v>
      </c>
      <c r="Q350" s="2" t="s">
        <v>438</v>
      </c>
      <c r="R350" s="2" t="s">
        <v>11155</v>
      </c>
      <c r="T350" t="s">
        <v>18666</v>
      </c>
      <c r="U350" t="s">
        <v>18652</v>
      </c>
      <c r="V350" s="104">
        <v>45857</v>
      </c>
      <c r="X350" s="97"/>
      <c r="Y350" s="75">
        <v>333.51</v>
      </c>
    </row>
    <row r="351" spans="1:25" x14ac:dyDescent="0.25">
      <c r="A351" s="76">
        <v>382</v>
      </c>
      <c r="B351" s="2" t="s">
        <v>4228</v>
      </c>
      <c r="C351" s="2" t="s">
        <v>4229</v>
      </c>
      <c r="D351" s="2" t="s">
        <v>4230</v>
      </c>
      <c r="E351" s="2" t="s">
        <v>4231</v>
      </c>
      <c r="F351" s="2" t="s">
        <v>4232</v>
      </c>
      <c r="G351" s="2" t="s">
        <v>31</v>
      </c>
      <c r="H351" s="17">
        <v>5000</v>
      </c>
      <c r="I351" s="31">
        <f t="shared" si="42"/>
        <v>5000000</v>
      </c>
      <c r="J351" s="31">
        <f t="shared" si="43"/>
        <v>350000.00000000006</v>
      </c>
      <c r="K351" s="44">
        <f t="shared" si="44"/>
        <v>958.90410958904124</v>
      </c>
      <c r="L351" s="3">
        <f t="shared" si="45"/>
        <v>70958.904109589057</v>
      </c>
      <c r="M351" s="3">
        <f t="shared" si="46"/>
        <v>4257.5342465753429</v>
      </c>
      <c r="N351" s="67">
        <f t="shared" si="47"/>
        <v>66701.369863013708</v>
      </c>
      <c r="O351" s="3"/>
      <c r="P351" s="70" t="s">
        <v>18617</v>
      </c>
      <c r="Q351" s="2" t="s">
        <v>438</v>
      </c>
      <c r="R351" s="2" t="s">
        <v>4233</v>
      </c>
      <c r="T351" t="s">
        <v>18666</v>
      </c>
      <c r="U351" t="s">
        <v>18652</v>
      </c>
      <c r="V351" s="104">
        <v>45857</v>
      </c>
      <c r="X351" s="97"/>
      <c r="Y351" s="75">
        <v>66701.37</v>
      </c>
    </row>
    <row r="352" spans="1:25" x14ac:dyDescent="0.25">
      <c r="A352" s="76">
        <v>383</v>
      </c>
      <c r="B352" s="2" t="s">
        <v>13735</v>
      </c>
      <c r="C352" s="2" t="s">
        <v>13736</v>
      </c>
      <c r="D352" s="2" t="s">
        <v>13737</v>
      </c>
      <c r="E352" s="2" t="s">
        <v>13738</v>
      </c>
      <c r="F352" s="2" t="s">
        <v>13739</v>
      </c>
      <c r="G352" s="2" t="s">
        <v>1315</v>
      </c>
      <c r="H352" s="17">
        <v>25</v>
      </c>
      <c r="I352" s="31">
        <f t="shared" si="42"/>
        <v>25000</v>
      </c>
      <c r="J352" s="31">
        <f t="shared" si="43"/>
        <v>1750.0000000000002</v>
      </c>
      <c r="K352" s="44">
        <f t="shared" si="44"/>
        <v>4.794520547945206</v>
      </c>
      <c r="L352" s="3">
        <f t="shared" si="45"/>
        <v>354.79452054794524</v>
      </c>
      <c r="M352" s="3">
        <f t="shared" si="46"/>
        <v>21.287671232876715</v>
      </c>
      <c r="N352" s="67">
        <f t="shared" si="47"/>
        <v>333.50684931506851</v>
      </c>
      <c r="O352" s="3"/>
      <c r="P352" s="70" t="s">
        <v>18617</v>
      </c>
      <c r="Q352" s="2" t="s">
        <v>438</v>
      </c>
      <c r="R352" s="2" t="s">
        <v>13740</v>
      </c>
      <c r="T352" t="s">
        <v>18666</v>
      </c>
      <c r="U352" t="s">
        <v>18652</v>
      </c>
      <c r="V352" s="104">
        <v>45857</v>
      </c>
      <c r="X352" s="97"/>
      <c r="Y352" s="75">
        <v>333.51</v>
      </c>
    </row>
    <row r="353" spans="1:25" x14ac:dyDescent="0.25">
      <c r="A353" s="76">
        <v>384</v>
      </c>
      <c r="B353" s="2" t="s">
        <v>4380</v>
      </c>
      <c r="C353" s="2" t="s">
        <v>4381</v>
      </c>
      <c r="D353" s="2" t="s">
        <v>4382</v>
      </c>
      <c r="E353" s="2" t="s">
        <v>4383</v>
      </c>
      <c r="F353" s="2" t="s">
        <v>4384</v>
      </c>
      <c r="G353" s="2" t="s">
        <v>1315</v>
      </c>
      <c r="H353" s="17">
        <v>25</v>
      </c>
      <c r="I353" s="31">
        <f t="shared" si="42"/>
        <v>25000</v>
      </c>
      <c r="J353" s="31">
        <f t="shared" si="43"/>
        <v>1750.0000000000002</v>
      </c>
      <c r="K353" s="44">
        <f t="shared" si="44"/>
        <v>4.794520547945206</v>
      </c>
      <c r="L353" s="3">
        <f t="shared" si="45"/>
        <v>354.79452054794524</v>
      </c>
      <c r="M353" s="3">
        <f t="shared" si="46"/>
        <v>21.287671232876715</v>
      </c>
      <c r="N353" s="67">
        <f t="shared" si="47"/>
        <v>333.50684931506851</v>
      </c>
      <c r="O353" s="3"/>
      <c r="P353" s="70" t="s">
        <v>18617</v>
      </c>
      <c r="Q353" s="2" t="s">
        <v>438</v>
      </c>
      <c r="R353" s="2" t="s">
        <v>4385</v>
      </c>
      <c r="T353" t="s">
        <v>18666</v>
      </c>
      <c r="U353" t="s">
        <v>18652</v>
      </c>
      <c r="V353" s="104">
        <v>45857</v>
      </c>
      <c r="X353" s="97"/>
      <c r="Y353" s="75">
        <v>333.51</v>
      </c>
    </row>
    <row r="354" spans="1:25" x14ac:dyDescent="0.25">
      <c r="A354" s="76">
        <v>385</v>
      </c>
      <c r="B354" s="2" t="s">
        <v>3873</v>
      </c>
      <c r="C354" s="2" t="s">
        <v>3874</v>
      </c>
      <c r="D354" s="2" t="s">
        <v>3875</v>
      </c>
      <c r="E354" s="2" t="s">
        <v>3876</v>
      </c>
      <c r="F354" s="2" t="s">
        <v>3877</v>
      </c>
      <c r="G354" s="2" t="s">
        <v>750</v>
      </c>
      <c r="H354" s="17">
        <v>25</v>
      </c>
      <c r="I354" s="31">
        <f t="shared" si="42"/>
        <v>25000</v>
      </c>
      <c r="J354" s="31">
        <f t="shared" si="43"/>
        <v>1750.0000000000002</v>
      </c>
      <c r="K354" s="44">
        <f t="shared" si="44"/>
        <v>4.794520547945206</v>
      </c>
      <c r="L354" s="3">
        <f t="shared" si="45"/>
        <v>354.79452054794524</v>
      </c>
      <c r="M354" s="3">
        <f t="shared" si="46"/>
        <v>21.287671232876715</v>
      </c>
      <c r="N354" s="67">
        <f t="shared" si="47"/>
        <v>333.50684931506851</v>
      </c>
      <c r="O354" s="3"/>
      <c r="P354" s="70" t="s">
        <v>18617</v>
      </c>
      <c r="Q354" s="2" t="s">
        <v>438</v>
      </c>
      <c r="R354" s="2" t="s">
        <v>3878</v>
      </c>
      <c r="T354" t="s">
        <v>18666</v>
      </c>
      <c r="U354" t="s">
        <v>18652</v>
      </c>
      <c r="V354" s="104">
        <v>45857</v>
      </c>
      <c r="X354" s="97"/>
      <c r="Y354" s="75">
        <v>333.51</v>
      </c>
    </row>
    <row r="355" spans="1:25" x14ac:dyDescent="0.25">
      <c r="A355" s="76">
        <v>386</v>
      </c>
      <c r="B355" s="2" t="s">
        <v>2005</v>
      </c>
      <c r="C355" s="2" t="s">
        <v>2006</v>
      </c>
      <c r="D355" s="2" t="s">
        <v>2007</v>
      </c>
      <c r="E355" s="2" t="s">
        <v>2008</v>
      </c>
      <c r="F355" s="2" t="s">
        <v>2009</v>
      </c>
      <c r="G355" s="2" t="s">
        <v>750</v>
      </c>
      <c r="H355" s="17">
        <v>25</v>
      </c>
      <c r="I355" s="31">
        <f t="shared" si="42"/>
        <v>25000</v>
      </c>
      <c r="J355" s="31">
        <f t="shared" si="43"/>
        <v>1750.0000000000002</v>
      </c>
      <c r="K355" s="44">
        <f t="shared" si="44"/>
        <v>4.794520547945206</v>
      </c>
      <c r="L355" s="3">
        <f t="shared" si="45"/>
        <v>354.79452054794524</v>
      </c>
      <c r="M355" s="3">
        <f t="shared" si="46"/>
        <v>21.287671232876715</v>
      </c>
      <c r="N355" s="67">
        <f t="shared" si="47"/>
        <v>333.50684931506851</v>
      </c>
      <c r="O355" s="3"/>
      <c r="P355" s="70" t="s">
        <v>18617</v>
      </c>
      <c r="Q355" s="2" t="s">
        <v>438</v>
      </c>
      <c r="R355" s="2" t="s">
        <v>2010</v>
      </c>
      <c r="T355" t="s">
        <v>18666</v>
      </c>
      <c r="U355" t="s">
        <v>18652</v>
      </c>
      <c r="V355" s="104">
        <v>45857</v>
      </c>
      <c r="X355" s="97"/>
      <c r="Y355" s="75">
        <v>333.51</v>
      </c>
    </row>
    <row r="356" spans="1:25" x14ac:dyDescent="0.25">
      <c r="A356" s="76">
        <v>387</v>
      </c>
      <c r="B356" s="2" t="s">
        <v>7125</v>
      </c>
      <c r="C356" s="2" t="s">
        <v>7126</v>
      </c>
      <c r="D356" s="2" t="s">
        <v>7127</v>
      </c>
      <c r="E356" s="2" t="s">
        <v>7128</v>
      </c>
      <c r="F356" s="2" t="s">
        <v>7129</v>
      </c>
      <c r="G356" s="2" t="s">
        <v>31</v>
      </c>
      <c r="H356" s="17">
        <v>25</v>
      </c>
      <c r="I356" s="31">
        <f t="shared" si="42"/>
        <v>25000</v>
      </c>
      <c r="J356" s="31">
        <f t="shared" si="43"/>
        <v>1750.0000000000002</v>
      </c>
      <c r="K356" s="44">
        <f t="shared" si="44"/>
        <v>4.794520547945206</v>
      </c>
      <c r="L356" s="3">
        <f t="shared" si="45"/>
        <v>354.79452054794524</v>
      </c>
      <c r="M356" s="3">
        <f t="shared" si="46"/>
        <v>21.287671232876715</v>
      </c>
      <c r="N356" s="67">
        <f t="shared" si="47"/>
        <v>333.50684931506851</v>
      </c>
      <c r="O356" s="3"/>
      <c r="P356" s="70" t="s">
        <v>18617</v>
      </c>
      <c r="Q356" s="2" t="s">
        <v>438</v>
      </c>
      <c r="R356" s="2" t="s">
        <v>7130</v>
      </c>
      <c r="T356" t="s">
        <v>18666</v>
      </c>
      <c r="U356" t="s">
        <v>18652</v>
      </c>
      <c r="V356" s="104">
        <v>45857</v>
      </c>
      <c r="X356" s="97"/>
      <c r="Y356" s="75">
        <v>333.51</v>
      </c>
    </row>
    <row r="357" spans="1:25" x14ac:dyDescent="0.25">
      <c r="A357" s="76">
        <v>388</v>
      </c>
      <c r="B357" s="2" t="s">
        <v>10645</v>
      </c>
      <c r="C357" s="2" t="s">
        <v>10646</v>
      </c>
      <c r="D357" s="2" t="s">
        <v>10647</v>
      </c>
      <c r="E357" s="2" t="s">
        <v>10648</v>
      </c>
      <c r="F357" s="2" t="s">
        <v>10649</v>
      </c>
      <c r="G357" s="2" t="s">
        <v>1048</v>
      </c>
      <c r="H357" s="17">
        <v>100</v>
      </c>
      <c r="I357" s="31">
        <f t="shared" si="42"/>
        <v>100000</v>
      </c>
      <c r="J357" s="31">
        <f t="shared" si="43"/>
        <v>7000.0000000000009</v>
      </c>
      <c r="K357" s="44">
        <f t="shared" si="44"/>
        <v>19.178082191780824</v>
      </c>
      <c r="L357" s="3">
        <f t="shared" si="45"/>
        <v>1419.178082191781</v>
      </c>
      <c r="M357" s="3">
        <f t="shared" si="46"/>
        <v>85.150684931506859</v>
      </c>
      <c r="N357" s="67">
        <f t="shared" si="47"/>
        <v>1334.027397260274</v>
      </c>
      <c r="O357" s="3"/>
      <c r="P357" s="70" t="s">
        <v>18617</v>
      </c>
      <c r="Q357" s="2" t="s">
        <v>438</v>
      </c>
      <c r="R357" s="2" t="s">
        <v>10650</v>
      </c>
      <c r="T357" t="s">
        <v>18666</v>
      </c>
      <c r="U357" t="s">
        <v>18652</v>
      </c>
      <c r="V357" s="104">
        <v>45857</v>
      </c>
      <c r="X357" s="97"/>
      <c r="Y357" s="75">
        <v>1334.03</v>
      </c>
    </row>
    <row r="358" spans="1:25" x14ac:dyDescent="0.25">
      <c r="A358" s="76">
        <v>389</v>
      </c>
      <c r="B358" s="2" t="s">
        <v>13723</v>
      </c>
      <c r="C358" s="2" t="s">
        <v>13724</v>
      </c>
      <c r="D358" s="2" t="s">
        <v>13725</v>
      </c>
      <c r="E358" s="2" t="s">
        <v>13726</v>
      </c>
      <c r="F358" s="2" t="s">
        <v>13727</v>
      </c>
      <c r="G358" s="2" t="s">
        <v>517</v>
      </c>
      <c r="H358" s="17">
        <v>25</v>
      </c>
      <c r="I358" s="31">
        <f t="shared" si="42"/>
        <v>25000</v>
      </c>
      <c r="J358" s="31">
        <f t="shared" si="43"/>
        <v>1750.0000000000002</v>
      </c>
      <c r="K358" s="44">
        <f t="shared" si="44"/>
        <v>4.794520547945206</v>
      </c>
      <c r="L358" s="3">
        <f t="shared" si="45"/>
        <v>354.79452054794524</v>
      </c>
      <c r="M358" s="3">
        <f t="shared" si="46"/>
        <v>21.287671232876715</v>
      </c>
      <c r="N358" s="67">
        <f t="shared" si="47"/>
        <v>333.50684931506851</v>
      </c>
      <c r="O358" s="3"/>
      <c r="P358" s="70" t="s">
        <v>18617</v>
      </c>
      <c r="Q358" s="2" t="s">
        <v>438</v>
      </c>
      <c r="R358" s="2" t="s">
        <v>13728</v>
      </c>
      <c r="T358" t="s">
        <v>18666</v>
      </c>
      <c r="U358" t="s">
        <v>18652</v>
      </c>
      <c r="V358" s="104">
        <v>45857</v>
      </c>
      <c r="X358" s="97"/>
      <c r="Y358" s="75">
        <v>333.51</v>
      </c>
    </row>
    <row r="359" spans="1:25" x14ac:dyDescent="0.25">
      <c r="A359" s="76">
        <v>390</v>
      </c>
      <c r="B359" s="2" t="s">
        <v>3069</v>
      </c>
      <c r="C359" s="2" t="s">
        <v>3070</v>
      </c>
      <c r="D359" s="2" t="s">
        <v>3071</v>
      </c>
      <c r="E359" s="2" t="s">
        <v>3072</v>
      </c>
      <c r="F359" s="2" t="s">
        <v>3073</v>
      </c>
      <c r="G359" s="2" t="s">
        <v>381</v>
      </c>
      <c r="H359" s="17">
        <v>25</v>
      </c>
      <c r="I359" s="31">
        <f t="shared" si="42"/>
        <v>25000</v>
      </c>
      <c r="J359" s="31">
        <f t="shared" si="43"/>
        <v>1750.0000000000002</v>
      </c>
      <c r="K359" s="44">
        <f t="shared" si="44"/>
        <v>4.794520547945206</v>
      </c>
      <c r="L359" s="3">
        <f t="shared" si="45"/>
        <v>354.79452054794524</v>
      </c>
      <c r="M359" s="3">
        <f t="shared" si="46"/>
        <v>21.287671232876715</v>
      </c>
      <c r="N359" s="67">
        <f t="shared" si="47"/>
        <v>333.50684931506851</v>
      </c>
      <c r="O359" s="3"/>
      <c r="P359" s="70" t="s">
        <v>18617</v>
      </c>
      <c r="Q359" s="2" t="s">
        <v>438</v>
      </c>
      <c r="R359" s="2" t="s">
        <v>3074</v>
      </c>
      <c r="T359" t="s">
        <v>18666</v>
      </c>
      <c r="U359" t="s">
        <v>18652</v>
      </c>
      <c r="V359" s="104">
        <v>45857</v>
      </c>
      <c r="X359" s="97"/>
      <c r="Y359" s="75">
        <v>333.51</v>
      </c>
    </row>
    <row r="360" spans="1:25" x14ac:dyDescent="0.25">
      <c r="A360" s="76">
        <v>391</v>
      </c>
      <c r="B360" s="2" t="s">
        <v>10657</v>
      </c>
      <c r="C360" s="2" t="s">
        <v>10658</v>
      </c>
      <c r="D360" s="2" t="s">
        <v>10659</v>
      </c>
      <c r="E360" s="2" t="s">
        <v>10660</v>
      </c>
      <c r="F360" s="2" t="s">
        <v>10661</v>
      </c>
      <c r="G360" s="2" t="s">
        <v>835</v>
      </c>
      <c r="H360" s="17">
        <v>25</v>
      </c>
      <c r="I360" s="31">
        <f t="shared" si="42"/>
        <v>25000</v>
      </c>
      <c r="J360" s="31">
        <f t="shared" si="43"/>
        <v>1750.0000000000002</v>
      </c>
      <c r="K360" s="44">
        <f t="shared" si="44"/>
        <v>4.794520547945206</v>
      </c>
      <c r="L360" s="3">
        <f t="shared" si="45"/>
        <v>354.79452054794524</v>
      </c>
      <c r="M360" s="3">
        <f t="shared" si="46"/>
        <v>21.287671232876715</v>
      </c>
      <c r="N360" s="67">
        <f t="shared" si="47"/>
        <v>333.50684931506851</v>
      </c>
      <c r="O360" s="3"/>
      <c r="P360" s="70" t="s">
        <v>18617</v>
      </c>
      <c r="Q360" s="2" t="s">
        <v>438</v>
      </c>
      <c r="R360" s="2" t="s">
        <v>10662</v>
      </c>
      <c r="T360" t="s">
        <v>18666</v>
      </c>
      <c r="U360" t="s">
        <v>18652</v>
      </c>
      <c r="V360" s="104">
        <v>45857</v>
      </c>
      <c r="X360" s="97"/>
      <c r="Y360" s="75">
        <v>333.51</v>
      </c>
    </row>
    <row r="361" spans="1:25" x14ac:dyDescent="0.25">
      <c r="A361" s="76">
        <v>392</v>
      </c>
      <c r="B361" s="2" t="s">
        <v>12861</v>
      </c>
      <c r="C361" s="2" t="s">
        <v>12862</v>
      </c>
      <c r="D361" s="2" t="s">
        <v>12863</v>
      </c>
      <c r="E361" s="2" t="s">
        <v>12864</v>
      </c>
      <c r="F361" s="2" t="s">
        <v>12865</v>
      </c>
      <c r="G361" s="2" t="s">
        <v>328</v>
      </c>
      <c r="H361" s="17">
        <v>25</v>
      </c>
      <c r="I361" s="31">
        <f t="shared" si="42"/>
        <v>25000</v>
      </c>
      <c r="J361" s="31">
        <f t="shared" si="43"/>
        <v>1750.0000000000002</v>
      </c>
      <c r="K361" s="44">
        <f t="shared" si="44"/>
        <v>4.794520547945206</v>
      </c>
      <c r="L361" s="3">
        <f t="shared" si="45"/>
        <v>354.79452054794524</v>
      </c>
      <c r="M361" s="3">
        <f t="shared" si="46"/>
        <v>21.287671232876715</v>
      </c>
      <c r="N361" s="67">
        <f t="shared" si="47"/>
        <v>333.50684931506851</v>
      </c>
      <c r="O361" s="3"/>
      <c r="P361" s="70" t="s">
        <v>18617</v>
      </c>
      <c r="Q361" s="2" t="s">
        <v>438</v>
      </c>
      <c r="R361" s="2" t="s">
        <v>12866</v>
      </c>
      <c r="T361" t="s">
        <v>18666</v>
      </c>
      <c r="U361" t="s">
        <v>18652</v>
      </c>
      <c r="V361" s="104">
        <v>45857</v>
      </c>
      <c r="X361" s="97"/>
      <c r="Y361" s="75">
        <v>333.51</v>
      </c>
    </row>
    <row r="362" spans="1:25" x14ac:dyDescent="0.25">
      <c r="A362" s="76">
        <v>393</v>
      </c>
      <c r="B362" s="2" t="s">
        <v>4422</v>
      </c>
      <c r="C362" s="2" t="s">
        <v>4423</v>
      </c>
      <c r="D362" s="2" t="s">
        <v>4424</v>
      </c>
      <c r="E362" s="2" t="s">
        <v>4425</v>
      </c>
      <c r="F362" s="2" t="s">
        <v>4426</v>
      </c>
      <c r="G362" s="2" t="s">
        <v>381</v>
      </c>
      <c r="H362" s="17">
        <v>25</v>
      </c>
      <c r="I362" s="31">
        <f t="shared" si="42"/>
        <v>25000</v>
      </c>
      <c r="J362" s="31">
        <f t="shared" si="43"/>
        <v>1750.0000000000002</v>
      </c>
      <c r="K362" s="44">
        <f t="shared" si="44"/>
        <v>4.794520547945206</v>
      </c>
      <c r="L362" s="3">
        <f t="shared" si="45"/>
        <v>354.79452054794524</v>
      </c>
      <c r="M362" s="3">
        <f t="shared" si="46"/>
        <v>21.287671232876715</v>
      </c>
      <c r="N362" s="67">
        <f t="shared" si="47"/>
        <v>333.50684931506851</v>
      </c>
      <c r="O362" s="3"/>
      <c r="P362" s="70" t="s">
        <v>18617</v>
      </c>
      <c r="Q362" s="2" t="s">
        <v>438</v>
      </c>
      <c r="R362" s="2" t="s">
        <v>4427</v>
      </c>
      <c r="T362" t="s">
        <v>18666</v>
      </c>
      <c r="U362" t="s">
        <v>18652</v>
      </c>
      <c r="V362" s="104">
        <v>45857</v>
      </c>
      <c r="X362" s="97"/>
      <c r="Y362" s="75">
        <v>333.51</v>
      </c>
    </row>
    <row r="363" spans="1:25" x14ac:dyDescent="0.25">
      <c r="A363" s="76">
        <v>394</v>
      </c>
      <c r="B363" s="2" t="s">
        <v>17628</v>
      </c>
      <c r="C363" s="2" t="s">
        <v>17629</v>
      </c>
      <c r="D363" s="2" t="s">
        <v>17630</v>
      </c>
      <c r="E363" s="2" t="s">
        <v>641</v>
      </c>
      <c r="F363" s="2" t="s">
        <v>17631</v>
      </c>
      <c r="G363" s="2" t="s">
        <v>618</v>
      </c>
      <c r="H363" s="17">
        <v>25</v>
      </c>
      <c r="I363" s="31">
        <f t="shared" si="42"/>
        <v>25000</v>
      </c>
      <c r="J363" s="31">
        <f t="shared" si="43"/>
        <v>1750.0000000000002</v>
      </c>
      <c r="K363" s="44">
        <f t="shared" si="44"/>
        <v>4.794520547945206</v>
      </c>
      <c r="L363" s="3">
        <f t="shared" si="45"/>
        <v>354.79452054794524</v>
      </c>
      <c r="M363" s="3">
        <f t="shared" si="46"/>
        <v>21.287671232876715</v>
      </c>
      <c r="N363" s="67">
        <f t="shared" si="47"/>
        <v>333.50684931506851</v>
      </c>
      <c r="O363" s="3"/>
      <c r="P363" s="70" t="s">
        <v>18617</v>
      </c>
      <c r="Q363" s="2" t="s">
        <v>438</v>
      </c>
      <c r="R363" s="2" t="s">
        <v>17632</v>
      </c>
      <c r="T363" t="s">
        <v>18666</v>
      </c>
      <c r="U363" t="s">
        <v>18652</v>
      </c>
      <c r="V363" s="104">
        <v>45857</v>
      </c>
      <c r="X363" s="97"/>
      <c r="Y363" s="75">
        <v>333.51</v>
      </c>
    </row>
    <row r="364" spans="1:25" x14ac:dyDescent="0.25">
      <c r="A364" s="76">
        <v>395</v>
      </c>
      <c r="B364" s="2" t="s">
        <v>8926</v>
      </c>
      <c r="C364" s="2" t="s">
        <v>8927</v>
      </c>
      <c r="D364" s="2" t="s">
        <v>8928</v>
      </c>
      <c r="E364" s="2" t="s">
        <v>8929</v>
      </c>
      <c r="F364" s="2" t="s">
        <v>8930</v>
      </c>
      <c r="G364" s="2" t="s">
        <v>543</v>
      </c>
      <c r="H364" s="17">
        <v>25</v>
      </c>
      <c r="I364" s="31">
        <f t="shared" si="42"/>
        <v>25000</v>
      </c>
      <c r="J364" s="31">
        <f t="shared" si="43"/>
        <v>1750.0000000000002</v>
      </c>
      <c r="K364" s="44">
        <f t="shared" si="44"/>
        <v>4.794520547945206</v>
      </c>
      <c r="L364" s="3">
        <f t="shared" si="45"/>
        <v>354.79452054794524</v>
      </c>
      <c r="M364" s="3">
        <f t="shared" si="46"/>
        <v>21.287671232876715</v>
      </c>
      <c r="N364" s="67">
        <f t="shared" si="47"/>
        <v>333.50684931506851</v>
      </c>
      <c r="O364" s="3"/>
      <c r="P364" s="70" t="s">
        <v>18617</v>
      </c>
      <c r="Q364" s="2" t="s">
        <v>438</v>
      </c>
      <c r="R364" s="2" t="s">
        <v>8931</v>
      </c>
      <c r="T364" t="s">
        <v>18666</v>
      </c>
      <c r="U364" t="s">
        <v>18652</v>
      </c>
      <c r="V364" s="104">
        <v>45857</v>
      </c>
      <c r="X364" s="97"/>
      <c r="Y364" s="75">
        <v>333.51</v>
      </c>
    </row>
    <row r="365" spans="1:25" x14ac:dyDescent="0.25">
      <c r="A365" s="76">
        <v>396</v>
      </c>
      <c r="B365" s="2" t="s">
        <v>10371</v>
      </c>
      <c r="C365" s="2" t="s">
        <v>10372</v>
      </c>
      <c r="D365" s="2" t="s">
        <v>10373</v>
      </c>
      <c r="E365" s="2" t="s">
        <v>10374</v>
      </c>
      <c r="F365" s="2" t="s">
        <v>10375</v>
      </c>
      <c r="G365" s="2" t="s">
        <v>31</v>
      </c>
      <c r="H365" s="17">
        <v>25</v>
      </c>
      <c r="I365" s="31">
        <f t="shared" si="42"/>
        <v>25000</v>
      </c>
      <c r="J365" s="31">
        <f t="shared" si="43"/>
        <v>1750.0000000000002</v>
      </c>
      <c r="K365" s="44">
        <f t="shared" si="44"/>
        <v>4.794520547945206</v>
      </c>
      <c r="L365" s="3">
        <f t="shared" si="45"/>
        <v>354.79452054794524</v>
      </c>
      <c r="M365" s="3">
        <f t="shared" si="46"/>
        <v>21.287671232876715</v>
      </c>
      <c r="N365" s="67">
        <f t="shared" si="47"/>
        <v>333.50684931506851</v>
      </c>
      <c r="O365" s="3"/>
      <c r="P365" s="70" t="s">
        <v>18617</v>
      </c>
      <c r="Q365" s="2" t="s">
        <v>438</v>
      </c>
      <c r="R365" s="2" t="s">
        <v>10376</v>
      </c>
      <c r="T365" t="s">
        <v>18666</v>
      </c>
      <c r="U365" t="s">
        <v>18652</v>
      </c>
      <c r="V365" s="104">
        <v>45857</v>
      </c>
      <c r="X365" s="97"/>
      <c r="Y365" s="75">
        <v>333.51</v>
      </c>
    </row>
    <row r="366" spans="1:25" x14ac:dyDescent="0.25">
      <c r="A366" s="76">
        <v>397</v>
      </c>
      <c r="B366" s="2" t="s">
        <v>8707</v>
      </c>
      <c r="C366" s="2" t="s">
        <v>8708</v>
      </c>
      <c r="D366" s="2" t="s">
        <v>8709</v>
      </c>
      <c r="E366" s="2" t="s">
        <v>8710</v>
      </c>
      <c r="F366" s="2" t="s">
        <v>8711</v>
      </c>
      <c r="G366" s="2" t="s">
        <v>31</v>
      </c>
      <c r="H366" s="17">
        <v>100</v>
      </c>
      <c r="I366" s="31">
        <f t="shared" si="42"/>
        <v>100000</v>
      </c>
      <c r="J366" s="31">
        <f t="shared" si="43"/>
        <v>7000.0000000000009</v>
      </c>
      <c r="K366" s="44">
        <f t="shared" si="44"/>
        <v>19.178082191780824</v>
      </c>
      <c r="L366" s="3">
        <f t="shared" si="45"/>
        <v>1419.178082191781</v>
      </c>
      <c r="M366" s="3">
        <f t="shared" si="46"/>
        <v>85.150684931506859</v>
      </c>
      <c r="N366" s="67">
        <f t="shared" si="47"/>
        <v>1334.027397260274</v>
      </c>
      <c r="O366" s="3"/>
      <c r="P366" s="70" t="s">
        <v>18617</v>
      </c>
      <c r="Q366" s="2" t="s">
        <v>438</v>
      </c>
      <c r="R366" s="2" t="s">
        <v>8712</v>
      </c>
      <c r="T366" t="s">
        <v>18666</v>
      </c>
      <c r="U366" t="s">
        <v>18652</v>
      </c>
      <c r="V366" s="104">
        <v>45857</v>
      </c>
      <c r="X366" s="97"/>
      <c r="Y366" s="75">
        <v>1334.03</v>
      </c>
    </row>
    <row r="367" spans="1:25" x14ac:dyDescent="0.25">
      <c r="A367" s="76">
        <v>398</v>
      </c>
      <c r="B367" s="2" t="s">
        <v>1154</v>
      </c>
      <c r="C367" s="2" t="s">
        <v>1155</v>
      </c>
      <c r="D367" s="2" t="s">
        <v>1156</v>
      </c>
      <c r="E367" s="2" t="s">
        <v>1157</v>
      </c>
      <c r="F367" s="2" t="s">
        <v>1158</v>
      </c>
      <c r="G367" s="2" t="s">
        <v>31</v>
      </c>
      <c r="H367" s="17">
        <v>100</v>
      </c>
      <c r="I367" s="31">
        <f t="shared" si="42"/>
        <v>100000</v>
      </c>
      <c r="J367" s="31">
        <f t="shared" si="43"/>
        <v>7000.0000000000009</v>
      </c>
      <c r="K367" s="44">
        <f t="shared" si="44"/>
        <v>19.178082191780824</v>
      </c>
      <c r="L367" s="3">
        <f t="shared" si="45"/>
        <v>1419.178082191781</v>
      </c>
      <c r="M367" s="3">
        <f t="shared" si="46"/>
        <v>85.150684931506859</v>
      </c>
      <c r="N367" s="67">
        <f t="shared" si="47"/>
        <v>1334.027397260274</v>
      </c>
      <c r="O367" s="3"/>
      <c r="P367" s="70" t="s">
        <v>18617</v>
      </c>
      <c r="Q367" s="2" t="s">
        <v>438</v>
      </c>
      <c r="R367" s="2" t="s">
        <v>1159</v>
      </c>
      <c r="T367" t="s">
        <v>18666</v>
      </c>
      <c r="U367" t="s">
        <v>18652</v>
      </c>
      <c r="V367" s="104">
        <v>45857</v>
      </c>
      <c r="X367" s="97"/>
      <c r="Y367" s="75">
        <v>1334.03</v>
      </c>
    </row>
    <row r="368" spans="1:25" x14ac:dyDescent="0.25">
      <c r="A368" s="76">
        <v>399</v>
      </c>
      <c r="B368" s="2" t="s">
        <v>17863</v>
      </c>
      <c r="C368" s="2" t="s">
        <v>3169</v>
      </c>
      <c r="D368" s="2" t="s">
        <v>17864</v>
      </c>
      <c r="E368" s="2" t="s">
        <v>17865</v>
      </c>
      <c r="F368" s="2" t="s">
        <v>17866</v>
      </c>
      <c r="G368" s="2" t="s">
        <v>11611</v>
      </c>
      <c r="H368" s="17">
        <v>25</v>
      </c>
      <c r="I368" s="31">
        <f t="shared" si="42"/>
        <v>25000</v>
      </c>
      <c r="J368" s="31">
        <f t="shared" si="43"/>
        <v>1750.0000000000002</v>
      </c>
      <c r="K368" s="44">
        <f t="shared" si="44"/>
        <v>4.794520547945206</v>
      </c>
      <c r="L368" s="3">
        <f t="shared" si="45"/>
        <v>354.79452054794524</v>
      </c>
      <c r="M368" s="3">
        <f t="shared" si="46"/>
        <v>21.287671232876715</v>
      </c>
      <c r="N368" s="67">
        <f t="shared" si="47"/>
        <v>333.50684931506851</v>
      </c>
      <c r="O368" s="3"/>
      <c r="P368" s="70" t="s">
        <v>18617</v>
      </c>
      <c r="Q368" s="2" t="s">
        <v>438</v>
      </c>
      <c r="R368" s="2" t="s">
        <v>17867</v>
      </c>
      <c r="T368" t="s">
        <v>18666</v>
      </c>
      <c r="U368" t="s">
        <v>18652</v>
      </c>
      <c r="V368" s="104">
        <v>45857</v>
      </c>
      <c r="X368" s="97"/>
      <c r="Y368" s="75">
        <v>333.51</v>
      </c>
    </row>
    <row r="369" spans="1:25" x14ac:dyDescent="0.25">
      <c r="A369" s="76">
        <v>400</v>
      </c>
      <c r="B369" s="2" t="s">
        <v>16927</v>
      </c>
      <c r="C369" s="2" t="s">
        <v>16928</v>
      </c>
      <c r="D369" s="2" t="s">
        <v>16929</v>
      </c>
      <c r="E369" s="2" t="s">
        <v>16930</v>
      </c>
      <c r="F369" s="2" t="s">
        <v>16931</v>
      </c>
      <c r="G369" s="2" t="s">
        <v>2022</v>
      </c>
      <c r="H369" s="17">
        <v>25</v>
      </c>
      <c r="I369" s="31">
        <f t="shared" si="42"/>
        <v>25000</v>
      </c>
      <c r="J369" s="31">
        <f t="shared" si="43"/>
        <v>1750.0000000000002</v>
      </c>
      <c r="K369" s="44">
        <f t="shared" si="44"/>
        <v>4.794520547945206</v>
      </c>
      <c r="L369" s="3">
        <f t="shared" si="45"/>
        <v>354.79452054794524</v>
      </c>
      <c r="M369" s="3">
        <f t="shared" si="46"/>
        <v>21.287671232876715</v>
      </c>
      <c r="N369" s="67">
        <f t="shared" si="47"/>
        <v>333.50684931506851</v>
      </c>
      <c r="O369" s="3"/>
      <c r="P369" s="70" t="s">
        <v>18617</v>
      </c>
      <c r="Q369" s="2" t="s">
        <v>438</v>
      </c>
      <c r="R369" s="2" t="s">
        <v>16932</v>
      </c>
      <c r="T369" t="s">
        <v>18666</v>
      </c>
      <c r="U369" t="s">
        <v>18652</v>
      </c>
      <c r="V369" s="104">
        <v>45857</v>
      </c>
      <c r="X369" s="97"/>
      <c r="Y369" s="75">
        <v>333.51</v>
      </c>
    </row>
    <row r="370" spans="1:25" x14ac:dyDescent="0.25">
      <c r="A370" s="76">
        <v>401</v>
      </c>
      <c r="B370" s="2" t="s">
        <v>5440</v>
      </c>
      <c r="C370" s="2" t="s">
        <v>5441</v>
      </c>
      <c r="D370" s="2" t="s">
        <v>5442</v>
      </c>
      <c r="E370" s="2" t="s">
        <v>5443</v>
      </c>
      <c r="F370" s="2" t="s">
        <v>5444</v>
      </c>
      <c r="G370" s="2" t="s">
        <v>218</v>
      </c>
      <c r="H370" s="17">
        <v>25</v>
      </c>
      <c r="I370" s="31">
        <f t="shared" si="42"/>
        <v>25000</v>
      </c>
      <c r="J370" s="31">
        <f t="shared" si="43"/>
        <v>1750.0000000000002</v>
      </c>
      <c r="K370" s="44">
        <f t="shared" si="44"/>
        <v>4.794520547945206</v>
      </c>
      <c r="L370" s="3">
        <f t="shared" si="45"/>
        <v>354.79452054794524</v>
      </c>
      <c r="M370" s="3">
        <f t="shared" si="46"/>
        <v>21.287671232876715</v>
      </c>
      <c r="N370" s="67">
        <f t="shared" si="47"/>
        <v>333.50684931506851</v>
      </c>
      <c r="O370" s="3"/>
      <c r="P370" s="70" t="s">
        <v>18617</v>
      </c>
      <c r="Q370" s="2" t="s">
        <v>438</v>
      </c>
      <c r="R370" s="2" t="s">
        <v>5445</v>
      </c>
      <c r="T370" t="s">
        <v>18666</v>
      </c>
      <c r="U370" t="s">
        <v>18652</v>
      </c>
      <c r="V370" s="104">
        <v>45857</v>
      </c>
      <c r="X370" s="97"/>
      <c r="Y370" s="75">
        <v>333.51</v>
      </c>
    </row>
    <row r="371" spans="1:25" x14ac:dyDescent="0.25">
      <c r="A371" s="76">
        <v>402</v>
      </c>
      <c r="B371" s="2" t="s">
        <v>16078</v>
      </c>
      <c r="C371" s="2" t="s">
        <v>16079</v>
      </c>
      <c r="D371" s="2" t="s">
        <v>16080</v>
      </c>
      <c r="E371" s="2" t="s">
        <v>16081</v>
      </c>
      <c r="F371" s="2" t="s">
        <v>16082</v>
      </c>
      <c r="G371" s="2" t="s">
        <v>2380</v>
      </c>
      <c r="H371" s="17">
        <v>25</v>
      </c>
      <c r="I371" s="31">
        <f t="shared" si="42"/>
        <v>25000</v>
      </c>
      <c r="J371" s="31">
        <f t="shared" si="43"/>
        <v>1750.0000000000002</v>
      </c>
      <c r="K371" s="44">
        <f t="shared" si="44"/>
        <v>4.794520547945206</v>
      </c>
      <c r="L371" s="3">
        <f t="shared" si="45"/>
        <v>354.79452054794524</v>
      </c>
      <c r="M371" s="3">
        <f t="shared" si="46"/>
        <v>21.287671232876715</v>
      </c>
      <c r="N371" s="67">
        <f t="shared" si="47"/>
        <v>333.50684931506851</v>
      </c>
      <c r="O371" s="3"/>
      <c r="P371" s="70" t="s">
        <v>18617</v>
      </c>
      <c r="Q371" s="2" t="s">
        <v>438</v>
      </c>
      <c r="R371" s="2" t="s">
        <v>16083</v>
      </c>
      <c r="T371" t="s">
        <v>18666</v>
      </c>
      <c r="U371" t="s">
        <v>18652</v>
      </c>
      <c r="V371" s="104">
        <v>45857</v>
      </c>
      <c r="X371" s="97"/>
      <c r="Y371" s="75">
        <v>333.51</v>
      </c>
    </row>
    <row r="372" spans="1:25" x14ac:dyDescent="0.25">
      <c r="A372" s="76">
        <v>403</v>
      </c>
      <c r="B372" s="2" t="s">
        <v>17859</v>
      </c>
      <c r="C372" s="2" t="s">
        <v>17860</v>
      </c>
      <c r="D372" s="2" t="s">
        <v>692</v>
      </c>
      <c r="E372" s="2" t="s">
        <v>15076</v>
      </c>
      <c r="F372" s="2" t="s">
        <v>17861</v>
      </c>
      <c r="G372" s="2" t="s">
        <v>144</v>
      </c>
      <c r="H372" s="17">
        <v>25</v>
      </c>
      <c r="I372" s="31">
        <f t="shared" si="42"/>
        <v>25000</v>
      </c>
      <c r="J372" s="31">
        <f t="shared" si="43"/>
        <v>1750.0000000000002</v>
      </c>
      <c r="K372" s="44">
        <f t="shared" si="44"/>
        <v>4.794520547945206</v>
      </c>
      <c r="L372" s="3">
        <f t="shared" si="45"/>
        <v>354.79452054794524</v>
      </c>
      <c r="M372" s="3">
        <f t="shared" si="46"/>
        <v>21.287671232876715</v>
      </c>
      <c r="N372" s="67">
        <f t="shared" si="47"/>
        <v>333.50684931506851</v>
      </c>
      <c r="O372" s="3"/>
      <c r="P372" s="70" t="s">
        <v>18617</v>
      </c>
      <c r="Q372" s="2" t="s">
        <v>438</v>
      </c>
      <c r="R372" s="2" t="s">
        <v>17862</v>
      </c>
      <c r="T372" t="s">
        <v>18666</v>
      </c>
      <c r="U372" t="s">
        <v>18652</v>
      </c>
      <c r="V372" s="104">
        <v>45857</v>
      </c>
      <c r="X372" s="97"/>
      <c r="Y372" s="75">
        <v>333.51</v>
      </c>
    </row>
    <row r="373" spans="1:25" x14ac:dyDescent="0.25">
      <c r="A373" s="76">
        <v>404</v>
      </c>
      <c r="B373" s="2" t="s">
        <v>16134</v>
      </c>
      <c r="C373" s="2" t="s">
        <v>16135</v>
      </c>
      <c r="D373" s="2" t="s">
        <v>16136</v>
      </c>
      <c r="E373" s="2" t="s">
        <v>5874</v>
      </c>
      <c r="F373" s="2" t="s">
        <v>16137</v>
      </c>
      <c r="G373" s="2" t="s">
        <v>31</v>
      </c>
      <c r="H373" s="17">
        <v>25</v>
      </c>
      <c r="I373" s="31">
        <f t="shared" si="42"/>
        <v>25000</v>
      </c>
      <c r="J373" s="31">
        <f t="shared" si="43"/>
        <v>1750.0000000000002</v>
      </c>
      <c r="K373" s="44">
        <f t="shared" si="44"/>
        <v>4.794520547945206</v>
      </c>
      <c r="L373" s="3">
        <f t="shared" si="45"/>
        <v>354.79452054794524</v>
      </c>
      <c r="M373" s="3">
        <f t="shared" si="46"/>
        <v>21.287671232876715</v>
      </c>
      <c r="N373" s="67">
        <f t="shared" si="47"/>
        <v>333.50684931506851</v>
      </c>
      <c r="O373" s="3"/>
      <c r="P373" s="70" t="s">
        <v>18617</v>
      </c>
      <c r="Q373" s="2" t="s">
        <v>438</v>
      </c>
      <c r="R373" s="2" t="s">
        <v>16138</v>
      </c>
      <c r="T373" t="s">
        <v>18666</v>
      </c>
      <c r="U373" t="s">
        <v>18652</v>
      </c>
      <c r="V373" s="104">
        <v>45857</v>
      </c>
      <c r="X373" s="97"/>
      <c r="Y373" s="75">
        <v>333.51</v>
      </c>
    </row>
    <row r="374" spans="1:25" x14ac:dyDescent="0.25">
      <c r="A374" s="76">
        <v>405</v>
      </c>
      <c r="B374" s="2" t="s">
        <v>16786</v>
      </c>
      <c r="C374" s="2" t="s">
        <v>16787</v>
      </c>
      <c r="D374" s="2" t="s">
        <v>16788</v>
      </c>
      <c r="E374" s="2" t="s">
        <v>16789</v>
      </c>
      <c r="F374" s="2" t="s">
        <v>16790</v>
      </c>
      <c r="G374" s="2" t="s">
        <v>580</v>
      </c>
      <c r="H374" s="17">
        <v>25</v>
      </c>
      <c r="I374" s="31">
        <f t="shared" si="42"/>
        <v>25000</v>
      </c>
      <c r="J374" s="31">
        <f t="shared" si="43"/>
        <v>1750.0000000000002</v>
      </c>
      <c r="K374" s="44">
        <f t="shared" si="44"/>
        <v>4.794520547945206</v>
      </c>
      <c r="L374" s="3">
        <f t="shared" si="45"/>
        <v>354.79452054794524</v>
      </c>
      <c r="M374" s="3">
        <f t="shared" si="46"/>
        <v>21.287671232876715</v>
      </c>
      <c r="N374" s="67">
        <f t="shared" si="47"/>
        <v>333.50684931506851</v>
      </c>
      <c r="O374" s="3"/>
      <c r="P374" s="70" t="s">
        <v>18617</v>
      </c>
      <c r="Q374" s="2" t="s">
        <v>438</v>
      </c>
      <c r="R374" s="2" t="s">
        <v>16791</v>
      </c>
      <c r="T374" t="s">
        <v>18666</v>
      </c>
      <c r="U374" t="s">
        <v>18652</v>
      </c>
      <c r="V374" s="104">
        <v>45857</v>
      </c>
      <c r="X374" s="97"/>
      <c r="Y374" s="75">
        <v>333.51</v>
      </c>
    </row>
    <row r="375" spans="1:25" x14ac:dyDescent="0.25">
      <c r="A375" s="76">
        <v>406</v>
      </c>
      <c r="B375" s="2" t="s">
        <v>10928</v>
      </c>
      <c r="C375" s="2" t="s">
        <v>10929</v>
      </c>
      <c r="D375" s="2" t="s">
        <v>10930</v>
      </c>
      <c r="E375" s="2" t="s">
        <v>10931</v>
      </c>
      <c r="F375" s="2" t="s">
        <v>10932</v>
      </c>
      <c r="G375" s="2" t="s">
        <v>750</v>
      </c>
      <c r="H375" s="17">
        <v>1000</v>
      </c>
      <c r="I375" s="31">
        <f t="shared" si="42"/>
        <v>1000000</v>
      </c>
      <c r="J375" s="31">
        <f t="shared" si="43"/>
        <v>70000</v>
      </c>
      <c r="K375" s="44">
        <f t="shared" si="44"/>
        <v>191.78082191780823</v>
      </c>
      <c r="L375" s="3">
        <f t="shared" si="45"/>
        <v>14191.780821917808</v>
      </c>
      <c r="M375" s="3">
        <f t="shared" si="46"/>
        <v>851.50684931506839</v>
      </c>
      <c r="N375" s="67">
        <f t="shared" si="47"/>
        <v>13340.273972602739</v>
      </c>
      <c r="O375" s="3"/>
      <c r="P375" s="70" t="s">
        <v>18617</v>
      </c>
      <c r="Q375" s="2" t="s">
        <v>438</v>
      </c>
      <c r="R375" s="2" t="s">
        <v>10933</v>
      </c>
      <c r="T375" t="s">
        <v>18666</v>
      </c>
      <c r="U375" t="s">
        <v>18652</v>
      </c>
      <c r="V375" s="104">
        <v>45857</v>
      </c>
      <c r="X375" s="97"/>
      <c r="Y375" s="75">
        <v>13340.28</v>
      </c>
    </row>
    <row r="376" spans="1:25" x14ac:dyDescent="0.25">
      <c r="A376" s="76">
        <v>407</v>
      </c>
      <c r="B376" s="2" t="s">
        <v>4446</v>
      </c>
      <c r="C376" s="2" t="s">
        <v>4447</v>
      </c>
      <c r="D376" s="2" t="s">
        <v>4448</v>
      </c>
      <c r="E376" s="2" t="s">
        <v>4449</v>
      </c>
      <c r="F376" s="2" t="s">
        <v>4450</v>
      </c>
      <c r="G376" s="2" t="s">
        <v>381</v>
      </c>
      <c r="H376" s="17">
        <v>25</v>
      </c>
      <c r="I376" s="31">
        <f t="shared" si="42"/>
        <v>25000</v>
      </c>
      <c r="J376" s="31">
        <f t="shared" si="43"/>
        <v>1750.0000000000002</v>
      </c>
      <c r="K376" s="44">
        <f t="shared" si="44"/>
        <v>4.794520547945206</v>
      </c>
      <c r="L376" s="3">
        <f t="shared" si="45"/>
        <v>354.79452054794524</v>
      </c>
      <c r="M376" s="3">
        <f t="shared" si="46"/>
        <v>21.287671232876715</v>
      </c>
      <c r="N376" s="67">
        <f t="shared" si="47"/>
        <v>333.50684931506851</v>
      </c>
      <c r="O376" s="3"/>
      <c r="P376" s="70" t="s">
        <v>18617</v>
      </c>
      <c r="Q376" s="2" t="s">
        <v>438</v>
      </c>
      <c r="R376" s="2" t="s">
        <v>4451</v>
      </c>
      <c r="T376" t="s">
        <v>18666</v>
      </c>
      <c r="U376" t="s">
        <v>18652</v>
      </c>
      <c r="V376" s="104">
        <v>45857</v>
      </c>
      <c r="X376" s="97"/>
      <c r="Y376" s="75">
        <v>333.51</v>
      </c>
    </row>
    <row r="377" spans="1:25" x14ac:dyDescent="0.25">
      <c r="A377" s="76">
        <v>408</v>
      </c>
      <c r="B377" s="2" t="s">
        <v>13414</v>
      </c>
      <c r="C377" s="2" t="s">
        <v>13415</v>
      </c>
      <c r="D377" s="2" t="s">
        <v>13416</v>
      </c>
      <c r="E377" s="2" t="s">
        <v>13417</v>
      </c>
      <c r="F377" s="2" t="s">
        <v>13418</v>
      </c>
      <c r="G377" s="2" t="s">
        <v>10199</v>
      </c>
      <c r="H377" s="17">
        <v>25</v>
      </c>
      <c r="I377" s="31">
        <f t="shared" si="42"/>
        <v>25000</v>
      </c>
      <c r="J377" s="31">
        <f t="shared" si="43"/>
        <v>1750.0000000000002</v>
      </c>
      <c r="K377" s="44">
        <f t="shared" si="44"/>
        <v>4.794520547945206</v>
      </c>
      <c r="L377" s="3">
        <f t="shared" si="45"/>
        <v>354.79452054794524</v>
      </c>
      <c r="M377" s="3">
        <f t="shared" si="46"/>
        <v>21.287671232876715</v>
      </c>
      <c r="N377" s="67">
        <f t="shared" si="47"/>
        <v>333.50684931506851</v>
      </c>
      <c r="O377" s="3"/>
      <c r="P377" s="70" t="s">
        <v>18617</v>
      </c>
      <c r="Q377" s="2" t="s">
        <v>438</v>
      </c>
      <c r="R377" s="2" t="s">
        <v>13419</v>
      </c>
      <c r="T377" t="s">
        <v>18666</v>
      </c>
      <c r="U377" t="s">
        <v>18652</v>
      </c>
      <c r="V377" s="104">
        <v>45857</v>
      </c>
      <c r="X377" s="97"/>
      <c r="Y377" s="75">
        <v>333.51</v>
      </c>
    </row>
    <row r="378" spans="1:25" x14ac:dyDescent="0.25">
      <c r="A378" s="76">
        <v>409</v>
      </c>
      <c r="B378" s="2" t="s">
        <v>5446</v>
      </c>
      <c r="C378" s="2" t="s">
        <v>5447</v>
      </c>
      <c r="D378" s="2" t="s">
        <v>5441</v>
      </c>
      <c r="E378" s="2" t="s">
        <v>5448</v>
      </c>
      <c r="F378" s="2" t="s">
        <v>5449</v>
      </c>
      <c r="G378" s="2" t="s">
        <v>2380</v>
      </c>
      <c r="H378" s="17">
        <v>25</v>
      </c>
      <c r="I378" s="31">
        <f t="shared" si="42"/>
        <v>25000</v>
      </c>
      <c r="J378" s="31">
        <f t="shared" si="43"/>
        <v>1750.0000000000002</v>
      </c>
      <c r="K378" s="44">
        <f t="shared" si="44"/>
        <v>4.794520547945206</v>
      </c>
      <c r="L378" s="3">
        <f t="shared" si="45"/>
        <v>354.79452054794524</v>
      </c>
      <c r="M378" s="3">
        <f t="shared" si="46"/>
        <v>21.287671232876715</v>
      </c>
      <c r="N378" s="67">
        <f t="shared" si="47"/>
        <v>333.50684931506851</v>
      </c>
      <c r="O378" s="3"/>
      <c r="P378" s="70" t="s">
        <v>18617</v>
      </c>
      <c r="Q378" s="2" t="s">
        <v>438</v>
      </c>
      <c r="R378" s="2" t="s">
        <v>5450</v>
      </c>
      <c r="T378" t="s">
        <v>18666</v>
      </c>
      <c r="U378" t="s">
        <v>18652</v>
      </c>
      <c r="V378" s="104">
        <v>45857</v>
      </c>
      <c r="X378" s="97"/>
      <c r="Y378" s="75">
        <v>333.51</v>
      </c>
    </row>
    <row r="379" spans="1:25" x14ac:dyDescent="0.25">
      <c r="A379" s="76">
        <v>410</v>
      </c>
      <c r="B379" s="2" t="s">
        <v>15984</v>
      </c>
      <c r="C379" s="2" t="s">
        <v>15985</v>
      </c>
      <c r="D379" s="2" t="s">
        <v>15986</v>
      </c>
      <c r="E379" s="2" t="s">
        <v>15987</v>
      </c>
      <c r="F379" s="2" t="s">
        <v>15988</v>
      </c>
      <c r="G379" s="2" t="s">
        <v>11611</v>
      </c>
      <c r="H379" s="17">
        <v>25</v>
      </c>
      <c r="I379" s="31">
        <f t="shared" si="42"/>
        <v>25000</v>
      </c>
      <c r="J379" s="31">
        <f t="shared" si="43"/>
        <v>1750.0000000000002</v>
      </c>
      <c r="K379" s="44">
        <f t="shared" si="44"/>
        <v>4.794520547945206</v>
      </c>
      <c r="L379" s="3">
        <f t="shared" si="45"/>
        <v>354.79452054794524</v>
      </c>
      <c r="M379" s="3">
        <f t="shared" si="46"/>
        <v>21.287671232876715</v>
      </c>
      <c r="N379" s="67">
        <f t="shared" si="47"/>
        <v>333.50684931506851</v>
      </c>
      <c r="O379" s="3"/>
      <c r="P379" s="70" t="s">
        <v>18617</v>
      </c>
      <c r="Q379" s="2" t="s">
        <v>438</v>
      </c>
      <c r="R379" s="2" t="s">
        <v>15989</v>
      </c>
      <c r="T379" t="s">
        <v>18666</v>
      </c>
      <c r="U379" t="s">
        <v>18652</v>
      </c>
      <c r="V379" s="104">
        <v>45857</v>
      </c>
      <c r="X379" s="97"/>
      <c r="Y379" s="75">
        <v>333.51</v>
      </c>
    </row>
    <row r="380" spans="1:25" x14ac:dyDescent="0.25">
      <c r="A380" s="76">
        <v>411</v>
      </c>
      <c r="B380" s="2" t="s">
        <v>10616</v>
      </c>
      <c r="C380" s="2" t="s">
        <v>10617</v>
      </c>
      <c r="D380" s="2" t="s">
        <v>10618</v>
      </c>
      <c r="E380" s="2" t="s">
        <v>10619</v>
      </c>
      <c r="F380" s="2" t="s">
        <v>10620</v>
      </c>
      <c r="G380" s="2" t="s">
        <v>193</v>
      </c>
      <c r="H380" s="17">
        <v>25</v>
      </c>
      <c r="I380" s="31">
        <f t="shared" si="42"/>
        <v>25000</v>
      </c>
      <c r="J380" s="31">
        <f t="shared" si="43"/>
        <v>1750.0000000000002</v>
      </c>
      <c r="K380" s="44">
        <f t="shared" si="44"/>
        <v>4.794520547945206</v>
      </c>
      <c r="L380" s="3">
        <f t="shared" si="45"/>
        <v>354.79452054794524</v>
      </c>
      <c r="M380" s="3">
        <f t="shared" si="46"/>
        <v>21.287671232876715</v>
      </c>
      <c r="N380" s="67">
        <f t="shared" si="47"/>
        <v>333.50684931506851</v>
      </c>
      <c r="O380" s="3"/>
      <c r="P380" s="70" t="s">
        <v>18617</v>
      </c>
      <c r="Q380" s="2" t="s">
        <v>438</v>
      </c>
      <c r="R380" s="2" t="s">
        <v>10621</v>
      </c>
      <c r="T380" t="s">
        <v>18666</v>
      </c>
      <c r="U380" t="s">
        <v>18652</v>
      </c>
      <c r="V380" s="104">
        <v>45857</v>
      </c>
      <c r="X380" s="97"/>
      <c r="Y380" s="75">
        <v>333.51</v>
      </c>
    </row>
    <row r="381" spans="1:25" x14ac:dyDescent="0.25">
      <c r="A381" s="76">
        <v>412</v>
      </c>
      <c r="B381" s="2" t="s">
        <v>14089</v>
      </c>
      <c r="C381" s="2" t="s">
        <v>14090</v>
      </c>
      <c r="D381" s="2" t="s">
        <v>14091</v>
      </c>
      <c r="E381" s="2" t="s">
        <v>14092</v>
      </c>
      <c r="F381" s="2" t="s">
        <v>14093</v>
      </c>
      <c r="G381" s="2" t="s">
        <v>31</v>
      </c>
      <c r="H381" s="17">
        <v>50</v>
      </c>
      <c r="I381" s="31">
        <f t="shared" si="42"/>
        <v>50000</v>
      </c>
      <c r="J381" s="31">
        <f t="shared" si="43"/>
        <v>3500.0000000000005</v>
      </c>
      <c r="K381" s="44">
        <f t="shared" si="44"/>
        <v>9.589041095890412</v>
      </c>
      <c r="L381" s="3">
        <f t="shared" si="45"/>
        <v>709.58904109589048</v>
      </c>
      <c r="M381" s="3">
        <f t="shared" si="46"/>
        <v>42.57534246575343</v>
      </c>
      <c r="N381" s="67">
        <f t="shared" si="47"/>
        <v>667.01369863013701</v>
      </c>
      <c r="O381" s="3"/>
      <c r="P381" s="70" t="s">
        <v>18617</v>
      </c>
      <c r="Q381" s="2" t="s">
        <v>438</v>
      </c>
      <c r="R381" s="2" t="s">
        <v>14094</v>
      </c>
      <c r="T381" t="s">
        <v>18666</v>
      </c>
      <c r="U381" t="s">
        <v>18652</v>
      </c>
      <c r="V381" s="104">
        <v>45857</v>
      </c>
      <c r="X381" s="97"/>
      <c r="Y381" s="75">
        <v>667.02</v>
      </c>
    </row>
    <row r="382" spans="1:25" x14ac:dyDescent="0.25">
      <c r="A382" s="76">
        <v>413</v>
      </c>
      <c r="B382" s="2" t="s">
        <v>982</v>
      </c>
      <c r="C382" s="2" t="s">
        <v>983</v>
      </c>
      <c r="D382" s="2" t="s">
        <v>984</v>
      </c>
      <c r="E382" s="2" t="s">
        <v>985</v>
      </c>
      <c r="F382" s="2" t="s">
        <v>986</v>
      </c>
      <c r="G382" s="2" t="s">
        <v>31</v>
      </c>
      <c r="H382" s="17">
        <v>25</v>
      </c>
      <c r="I382" s="31">
        <f t="shared" si="42"/>
        <v>25000</v>
      </c>
      <c r="J382" s="31">
        <f t="shared" si="43"/>
        <v>1750.0000000000002</v>
      </c>
      <c r="K382" s="44">
        <f t="shared" si="44"/>
        <v>4.794520547945206</v>
      </c>
      <c r="L382" s="3">
        <f t="shared" si="45"/>
        <v>354.79452054794524</v>
      </c>
      <c r="M382" s="3">
        <f t="shared" si="46"/>
        <v>21.287671232876715</v>
      </c>
      <c r="N382" s="67">
        <f t="shared" si="47"/>
        <v>333.50684931506851</v>
      </c>
      <c r="O382" s="3"/>
      <c r="P382" s="70" t="s">
        <v>18617</v>
      </c>
      <c r="Q382" s="2" t="s">
        <v>438</v>
      </c>
      <c r="R382" s="2" t="s">
        <v>987</v>
      </c>
      <c r="T382" t="s">
        <v>18666</v>
      </c>
      <c r="U382" t="s">
        <v>18652</v>
      </c>
      <c r="V382" s="104">
        <v>45857</v>
      </c>
      <c r="X382" s="97"/>
      <c r="Y382" s="75">
        <v>333.51</v>
      </c>
    </row>
    <row r="383" spans="1:25" x14ac:dyDescent="0.25">
      <c r="A383" s="76">
        <v>414</v>
      </c>
      <c r="B383" s="2" t="s">
        <v>8272</v>
      </c>
      <c r="C383" s="2" t="s">
        <v>8273</v>
      </c>
      <c r="D383" s="2" t="s">
        <v>8274</v>
      </c>
      <c r="E383" s="2" t="s">
        <v>8275</v>
      </c>
      <c r="F383" s="2" t="s">
        <v>8276</v>
      </c>
      <c r="G383" s="2" t="s">
        <v>580</v>
      </c>
      <c r="H383" s="17">
        <v>25</v>
      </c>
      <c r="I383" s="31">
        <f t="shared" si="42"/>
        <v>25000</v>
      </c>
      <c r="J383" s="31">
        <f t="shared" si="43"/>
        <v>1750.0000000000002</v>
      </c>
      <c r="K383" s="44">
        <f t="shared" si="44"/>
        <v>4.794520547945206</v>
      </c>
      <c r="L383" s="3">
        <f t="shared" si="45"/>
        <v>354.79452054794524</v>
      </c>
      <c r="M383" s="3">
        <f t="shared" si="46"/>
        <v>21.287671232876715</v>
      </c>
      <c r="N383" s="67">
        <f t="shared" si="47"/>
        <v>333.50684931506851</v>
      </c>
      <c r="O383" s="3"/>
      <c r="P383" s="70" t="s">
        <v>18617</v>
      </c>
      <c r="Q383" s="2" t="s">
        <v>438</v>
      </c>
      <c r="R383" s="2" t="s">
        <v>8277</v>
      </c>
      <c r="T383" t="s">
        <v>18666</v>
      </c>
      <c r="U383" t="s">
        <v>18652</v>
      </c>
      <c r="V383" s="104">
        <v>45857</v>
      </c>
      <c r="X383" s="97"/>
      <c r="Y383" s="75">
        <v>333.51</v>
      </c>
    </row>
    <row r="384" spans="1:25" x14ac:dyDescent="0.25">
      <c r="A384" s="76">
        <v>415</v>
      </c>
      <c r="B384" s="2" t="s">
        <v>8368</v>
      </c>
      <c r="C384" s="2" t="s">
        <v>8369</v>
      </c>
      <c r="D384" s="2" t="s">
        <v>8370</v>
      </c>
      <c r="E384" s="2" t="s">
        <v>8371</v>
      </c>
      <c r="F384" s="2" t="s">
        <v>8372</v>
      </c>
      <c r="G384" s="2" t="s">
        <v>1315</v>
      </c>
      <c r="H384" s="17">
        <v>25</v>
      </c>
      <c r="I384" s="31">
        <f t="shared" si="42"/>
        <v>25000</v>
      </c>
      <c r="J384" s="31">
        <f t="shared" si="43"/>
        <v>1750.0000000000002</v>
      </c>
      <c r="K384" s="44">
        <f t="shared" si="44"/>
        <v>4.794520547945206</v>
      </c>
      <c r="L384" s="3">
        <f t="shared" si="45"/>
        <v>354.79452054794524</v>
      </c>
      <c r="M384" s="3">
        <f t="shared" si="46"/>
        <v>21.287671232876715</v>
      </c>
      <c r="N384" s="67">
        <f t="shared" si="47"/>
        <v>333.50684931506851</v>
      </c>
      <c r="O384" s="3"/>
      <c r="P384" s="70" t="s">
        <v>18617</v>
      </c>
      <c r="Q384" s="2" t="s">
        <v>438</v>
      </c>
      <c r="R384" s="2" t="s">
        <v>8373</v>
      </c>
      <c r="T384" t="s">
        <v>18666</v>
      </c>
      <c r="U384" t="s">
        <v>18652</v>
      </c>
      <c r="V384" s="104">
        <v>45857</v>
      </c>
      <c r="X384" s="97"/>
      <c r="Y384" s="75">
        <v>333.51</v>
      </c>
    </row>
    <row r="385" spans="1:25" x14ac:dyDescent="0.25">
      <c r="A385" s="76">
        <v>416</v>
      </c>
      <c r="B385" s="2" t="s">
        <v>8631</v>
      </c>
      <c r="C385" s="2" t="s">
        <v>8632</v>
      </c>
      <c r="D385" s="2" t="s">
        <v>8633</v>
      </c>
      <c r="E385" s="2" t="s">
        <v>8634</v>
      </c>
      <c r="F385" s="2" t="s">
        <v>8635</v>
      </c>
      <c r="G385" s="2" t="s">
        <v>31</v>
      </c>
      <c r="H385" s="17">
        <v>25</v>
      </c>
      <c r="I385" s="31">
        <f t="shared" si="42"/>
        <v>25000</v>
      </c>
      <c r="J385" s="31">
        <f t="shared" si="43"/>
        <v>1750.0000000000002</v>
      </c>
      <c r="K385" s="44">
        <f t="shared" si="44"/>
        <v>4.794520547945206</v>
      </c>
      <c r="L385" s="3">
        <f t="shared" si="45"/>
        <v>354.79452054794524</v>
      </c>
      <c r="M385" s="3">
        <f t="shared" si="46"/>
        <v>21.287671232876715</v>
      </c>
      <c r="N385" s="67">
        <f t="shared" si="47"/>
        <v>333.50684931506851</v>
      </c>
      <c r="O385" s="3"/>
      <c r="P385" s="70" t="s">
        <v>18617</v>
      </c>
      <c r="Q385" s="2" t="s">
        <v>438</v>
      </c>
      <c r="R385" s="2" t="s">
        <v>8636</v>
      </c>
      <c r="T385" t="s">
        <v>18666</v>
      </c>
      <c r="U385" t="s">
        <v>18652</v>
      </c>
      <c r="V385" s="104">
        <v>45857</v>
      </c>
      <c r="X385" s="97"/>
      <c r="Y385" s="75">
        <v>333.51</v>
      </c>
    </row>
    <row r="386" spans="1:25" x14ac:dyDescent="0.25">
      <c r="A386" s="76">
        <v>417</v>
      </c>
      <c r="B386" s="2" t="s">
        <v>2506</v>
      </c>
      <c r="C386" s="2" t="s">
        <v>2507</v>
      </c>
      <c r="D386" s="2" t="s">
        <v>2508</v>
      </c>
      <c r="E386" s="2" t="s">
        <v>2509</v>
      </c>
      <c r="F386" s="2" t="s">
        <v>2510</v>
      </c>
      <c r="G386" s="2" t="s">
        <v>750</v>
      </c>
      <c r="H386" s="17">
        <v>25</v>
      </c>
      <c r="I386" s="31">
        <f t="shared" si="42"/>
        <v>25000</v>
      </c>
      <c r="J386" s="31">
        <f t="shared" si="43"/>
        <v>1750.0000000000002</v>
      </c>
      <c r="K386" s="44">
        <f t="shared" si="44"/>
        <v>4.794520547945206</v>
      </c>
      <c r="L386" s="3">
        <f t="shared" si="45"/>
        <v>354.79452054794524</v>
      </c>
      <c r="M386" s="3">
        <f t="shared" si="46"/>
        <v>21.287671232876715</v>
      </c>
      <c r="N386" s="67">
        <f t="shared" si="47"/>
        <v>333.50684931506851</v>
      </c>
      <c r="O386" s="3"/>
      <c r="P386" s="70" t="s">
        <v>18617</v>
      </c>
      <c r="Q386" s="2" t="s">
        <v>438</v>
      </c>
      <c r="R386" s="2" t="s">
        <v>2511</v>
      </c>
      <c r="T386" t="s">
        <v>18666</v>
      </c>
      <c r="U386" t="s">
        <v>18652</v>
      </c>
      <c r="V386" s="104">
        <v>45857</v>
      </c>
      <c r="X386" s="97"/>
      <c r="Y386" s="75">
        <v>333.51</v>
      </c>
    </row>
    <row r="387" spans="1:25" x14ac:dyDescent="0.25">
      <c r="A387" s="76">
        <v>418</v>
      </c>
      <c r="B387" s="2" t="s">
        <v>6689</v>
      </c>
      <c r="C387" s="2" t="s">
        <v>6690</v>
      </c>
      <c r="D387" s="2" t="s">
        <v>6691</v>
      </c>
      <c r="E387" s="2" t="s">
        <v>6692</v>
      </c>
      <c r="F387" s="2" t="s">
        <v>6693</v>
      </c>
      <c r="G387" s="2" t="s">
        <v>2571</v>
      </c>
      <c r="H387" s="17">
        <v>25</v>
      </c>
      <c r="I387" s="31">
        <f t="shared" si="42"/>
        <v>25000</v>
      </c>
      <c r="J387" s="31">
        <f t="shared" si="43"/>
        <v>1750.0000000000002</v>
      </c>
      <c r="K387" s="44">
        <f t="shared" si="44"/>
        <v>4.794520547945206</v>
      </c>
      <c r="L387" s="3">
        <f t="shared" si="45"/>
        <v>354.79452054794524</v>
      </c>
      <c r="M387" s="3">
        <f t="shared" si="46"/>
        <v>21.287671232876715</v>
      </c>
      <c r="N387" s="67">
        <f t="shared" si="47"/>
        <v>333.50684931506851</v>
      </c>
      <c r="O387" s="3"/>
      <c r="P387" s="70" t="s">
        <v>18617</v>
      </c>
      <c r="Q387" s="2" t="s">
        <v>438</v>
      </c>
      <c r="R387" s="2" t="s">
        <v>6694</v>
      </c>
      <c r="T387" t="s">
        <v>18666</v>
      </c>
      <c r="U387" t="s">
        <v>18652</v>
      </c>
      <c r="V387" s="104">
        <v>45857</v>
      </c>
      <c r="X387" s="97"/>
      <c r="Y387" s="75">
        <v>333.51</v>
      </c>
    </row>
    <row r="388" spans="1:25" x14ac:dyDescent="0.25">
      <c r="A388" s="76">
        <v>419</v>
      </c>
      <c r="B388" s="2" t="s">
        <v>15439</v>
      </c>
      <c r="C388" s="2" t="s">
        <v>15440</v>
      </c>
      <c r="D388" s="2" t="s">
        <v>15441</v>
      </c>
      <c r="E388" s="2" t="s">
        <v>15442</v>
      </c>
      <c r="F388" s="2" t="s">
        <v>15443</v>
      </c>
      <c r="G388" s="2" t="s">
        <v>23</v>
      </c>
      <c r="H388" s="17">
        <v>25</v>
      </c>
      <c r="I388" s="31">
        <f t="shared" si="42"/>
        <v>25000</v>
      </c>
      <c r="J388" s="31">
        <f t="shared" si="43"/>
        <v>1750.0000000000002</v>
      </c>
      <c r="K388" s="44">
        <f t="shared" si="44"/>
        <v>4.794520547945206</v>
      </c>
      <c r="L388" s="3">
        <f t="shared" si="45"/>
        <v>354.79452054794524</v>
      </c>
      <c r="M388" s="3">
        <f t="shared" si="46"/>
        <v>21.287671232876715</v>
      </c>
      <c r="N388" s="67">
        <f t="shared" si="47"/>
        <v>333.50684931506851</v>
      </c>
      <c r="O388" s="3"/>
      <c r="P388" s="70" t="s">
        <v>18617</v>
      </c>
      <c r="Q388" s="2" t="s">
        <v>438</v>
      </c>
      <c r="R388" s="2" t="s">
        <v>15444</v>
      </c>
      <c r="T388" t="s">
        <v>18666</v>
      </c>
      <c r="U388" t="s">
        <v>18652</v>
      </c>
      <c r="V388" s="104">
        <v>45857</v>
      </c>
      <c r="X388" s="97"/>
      <c r="Y388" s="75">
        <v>333.51</v>
      </c>
    </row>
    <row r="389" spans="1:25" x14ac:dyDescent="0.25">
      <c r="A389" s="76">
        <v>420</v>
      </c>
      <c r="B389" s="2" t="s">
        <v>1250</v>
      </c>
      <c r="C389" s="2" t="s">
        <v>1251</v>
      </c>
      <c r="D389" s="2" t="s">
        <v>1252</v>
      </c>
      <c r="E389" s="2" t="s">
        <v>1253</v>
      </c>
      <c r="F389" s="2" t="s">
        <v>1254</v>
      </c>
      <c r="G389" s="2" t="s">
        <v>328</v>
      </c>
      <c r="H389" s="17">
        <v>25</v>
      </c>
      <c r="I389" s="31">
        <f t="shared" si="42"/>
        <v>25000</v>
      </c>
      <c r="J389" s="31">
        <f t="shared" si="43"/>
        <v>1750.0000000000002</v>
      </c>
      <c r="K389" s="44">
        <f t="shared" si="44"/>
        <v>4.794520547945206</v>
      </c>
      <c r="L389" s="3">
        <f t="shared" si="45"/>
        <v>354.79452054794524</v>
      </c>
      <c r="M389" s="3">
        <f t="shared" si="46"/>
        <v>21.287671232876715</v>
      </c>
      <c r="N389" s="67">
        <f t="shared" si="47"/>
        <v>333.50684931506851</v>
      </c>
      <c r="O389" s="3"/>
      <c r="P389" s="70" t="s">
        <v>18617</v>
      </c>
      <c r="Q389" s="2" t="s">
        <v>438</v>
      </c>
      <c r="R389" s="2" t="s">
        <v>1255</v>
      </c>
      <c r="T389" t="s">
        <v>18666</v>
      </c>
      <c r="U389" t="s">
        <v>18652</v>
      </c>
      <c r="V389" s="104">
        <v>45857</v>
      </c>
      <c r="X389" s="97"/>
      <c r="Y389" s="75">
        <v>333.51</v>
      </c>
    </row>
    <row r="390" spans="1:25" x14ac:dyDescent="0.25">
      <c r="A390" s="76">
        <v>421</v>
      </c>
      <c r="B390" s="2" t="s">
        <v>11606</v>
      </c>
      <c r="C390" s="2" t="s">
        <v>11607</v>
      </c>
      <c r="D390" s="2" t="s">
        <v>11608</v>
      </c>
      <c r="E390" s="2" t="s">
        <v>11609</v>
      </c>
      <c r="F390" s="2" t="s">
        <v>11610</v>
      </c>
      <c r="G390" s="2" t="s">
        <v>11611</v>
      </c>
      <c r="H390" s="17">
        <v>25</v>
      </c>
      <c r="I390" s="31">
        <f t="shared" si="42"/>
        <v>25000</v>
      </c>
      <c r="J390" s="31">
        <f t="shared" si="43"/>
        <v>1750.0000000000002</v>
      </c>
      <c r="K390" s="44">
        <f t="shared" si="44"/>
        <v>4.794520547945206</v>
      </c>
      <c r="L390" s="3">
        <f t="shared" si="45"/>
        <v>354.79452054794524</v>
      </c>
      <c r="M390" s="3">
        <f t="shared" si="46"/>
        <v>21.287671232876715</v>
      </c>
      <c r="N390" s="67">
        <f t="shared" si="47"/>
        <v>333.50684931506851</v>
      </c>
      <c r="O390" s="3"/>
      <c r="P390" s="70" t="s">
        <v>18617</v>
      </c>
      <c r="Q390" s="2" t="s">
        <v>438</v>
      </c>
      <c r="R390" s="2" t="s">
        <v>11612</v>
      </c>
      <c r="T390" t="s">
        <v>18666</v>
      </c>
      <c r="U390" t="s">
        <v>18652</v>
      </c>
      <c r="V390" s="104">
        <v>45857</v>
      </c>
      <c r="X390" s="97"/>
      <c r="Y390" s="75">
        <v>333.51</v>
      </c>
    </row>
    <row r="391" spans="1:25" x14ac:dyDescent="0.25">
      <c r="A391" s="76">
        <v>422</v>
      </c>
      <c r="B391" s="2" t="s">
        <v>10769</v>
      </c>
      <c r="C391" s="2" t="s">
        <v>10770</v>
      </c>
      <c r="D391" s="2" t="s">
        <v>10771</v>
      </c>
      <c r="E391" s="2" t="s">
        <v>10772</v>
      </c>
      <c r="F391" s="2" t="s">
        <v>10773</v>
      </c>
      <c r="G391" s="2" t="s">
        <v>31</v>
      </c>
      <c r="H391" s="17">
        <v>100</v>
      </c>
      <c r="I391" s="31">
        <f t="shared" si="42"/>
        <v>100000</v>
      </c>
      <c r="J391" s="31">
        <f t="shared" si="43"/>
        <v>7000.0000000000009</v>
      </c>
      <c r="K391" s="44">
        <f t="shared" si="44"/>
        <v>19.178082191780824</v>
      </c>
      <c r="L391" s="3">
        <f t="shared" si="45"/>
        <v>1419.178082191781</v>
      </c>
      <c r="M391" s="3">
        <f t="shared" si="46"/>
        <v>85.150684931506859</v>
      </c>
      <c r="N391" s="67">
        <f t="shared" si="47"/>
        <v>1334.027397260274</v>
      </c>
      <c r="O391" s="3"/>
      <c r="P391" s="70" t="s">
        <v>18617</v>
      </c>
      <c r="Q391" s="2" t="s">
        <v>438</v>
      </c>
      <c r="R391" s="2" t="s">
        <v>10774</v>
      </c>
      <c r="T391" t="s">
        <v>18666</v>
      </c>
      <c r="U391" t="s">
        <v>18652</v>
      </c>
      <c r="V391" s="104">
        <v>45857</v>
      </c>
      <c r="X391" s="97"/>
      <c r="Y391" s="75">
        <v>1334.03</v>
      </c>
    </row>
    <row r="392" spans="1:25" x14ac:dyDescent="0.25">
      <c r="A392" s="76">
        <v>423</v>
      </c>
      <c r="B392" s="2" t="s">
        <v>12369</v>
      </c>
      <c r="C392" s="2" t="s">
        <v>12370</v>
      </c>
      <c r="D392" s="2" t="s">
        <v>12371</v>
      </c>
      <c r="E392" s="2" t="s">
        <v>12372</v>
      </c>
      <c r="F392" s="2" t="s">
        <v>12373</v>
      </c>
      <c r="G392" s="2" t="s">
        <v>31</v>
      </c>
      <c r="H392" s="17">
        <v>25</v>
      </c>
      <c r="I392" s="31">
        <f t="shared" si="42"/>
        <v>25000</v>
      </c>
      <c r="J392" s="31">
        <f t="shared" si="43"/>
        <v>1750.0000000000002</v>
      </c>
      <c r="K392" s="44">
        <f t="shared" si="44"/>
        <v>4.794520547945206</v>
      </c>
      <c r="L392" s="3">
        <f t="shared" si="45"/>
        <v>354.79452054794524</v>
      </c>
      <c r="M392" s="3">
        <f t="shared" si="46"/>
        <v>21.287671232876715</v>
      </c>
      <c r="N392" s="67">
        <f t="shared" si="47"/>
        <v>333.50684931506851</v>
      </c>
      <c r="O392" s="3"/>
      <c r="P392" s="70" t="s">
        <v>18617</v>
      </c>
      <c r="Q392" s="2" t="s">
        <v>438</v>
      </c>
      <c r="R392" s="2" t="s">
        <v>12374</v>
      </c>
      <c r="T392" t="s">
        <v>18666</v>
      </c>
      <c r="U392" t="s">
        <v>18652</v>
      </c>
      <c r="V392" s="104">
        <v>45857</v>
      </c>
      <c r="X392" s="97"/>
      <c r="Y392" s="75">
        <v>333.51</v>
      </c>
    </row>
    <row r="393" spans="1:25" x14ac:dyDescent="0.25">
      <c r="A393" s="76">
        <v>424</v>
      </c>
      <c r="B393" s="2" t="s">
        <v>3045</v>
      </c>
      <c r="C393" s="2" t="s">
        <v>3046</v>
      </c>
      <c r="D393" s="2" t="s">
        <v>3047</v>
      </c>
      <c r="E393" s="2" t="s">
        <v>3048</v>
      </c>
      <c r="F393" s="2" t="s">
        <v>3049</v>
      </c>
      <c r="G393" s="2" t="s">
        <v>412</v>
      </c>
      <c r="H393" s="17">
        <v>25</v>
      </c>
      <c r="I393" s="31">
        <f t="shared" si="42"/>
        <v>25000</v>
      </c>
      <c r="J393" s="31">
        <f t="shared" si="43"/>
        <v>1750.0000000000002</v>
      </c>
      <c r="K393" s="44">
        <f t="shared" si="44"/>
        <v>4.794520547945206</v>
      </c>
      <c r="L393" s="3">
        <f t="shared" si="45"/>
        <v>354.79452054794524</v>
      </c>
      <c r="M393" s="3">
        <f t="shared" si="46"/>
        <v>21.287671232876715</v>
      </c>
      <c r="N393" s="67">
        <f t="shared" si="47"/>
        <v>333.50684931506851</v>
      </c>
      <c r="O393" s="3"/>
      <c r="P393" s="70" t="s">
        <v>18617</v>
      </c>
      <c r="Q393" s="2" t="s">
        <v>438</v>
      </c>
      <c r="R393" s="2" t="s">
        <v>3050</v>
      </c>
      <c r="T393" t="s">
        <v>18666</v>
      </c>
      <c r="U393" t="s">
        <v>18652</v>
      </c>
      <c r="V393" s="104">
        <v>45857</v>
      </c>
      <c r="X393" s="97"/>
      <c r="Y393" s="75">
        <v>333.51</v>
      </c>
    </row>
    <row r="394" spans="1:25" x14ac:dyDescent="0.25">
      <c r="A394" s="76">
        <v>425</v>
      </c>
      <c r="B394" s="2" t="s">
        <v>11167</v>
      </c>
      <c r="C394" s="2" t="s">
        <v>11168</v>
      </c>
      <c r="D394" s="2" t="s">
        <v>11169</v>
      </c>
      <c r="E394" s="2" t="s">
        <v>11162</v>
      </c>
      <c r="F394" s="2" t="s">
        <v>11170</v>
      </c>
      <c r="G394" s="2" t="s">
        <v>31</v>
      </c>
      <c r="H394" s="17">
        <v>25</v>
      </c>
      <c r="I394" s="31">
        <f t="shared" si="42"/>
        <v>25000</v>
      </c>
      <c r="J394" s="31">
        <f t="shared" si="43"/>
        <v>1750.0000000000002</v>
      </c>
      <c r="K394" s="44">
        <f t="shared" si="44"/>
        <v>4.794520547945206</v>
      </c>
      <c r="L394" s="3">
        <f t="shared" si="45"/>
        <v>354.79452054794524</v>
      </c>
      <c r="M394" s="3">
        <f t="shared" si="46"/>
        <v>21.287671232876715</v>
      </c>
      <c r="N394" s="67">
        <f t="shared" si="47"/>
        <v>333.50684931506851</v>
      </c>
      <c r="O394" s="3"/>
      <c r="P394" s="70" t="s">
        <v>18617</v>
      </c>
      <c r="Q394" s="2" t="s">
        <v>438</v>
      </c>
      <c r="R394" s="2" t="s">
        <v>11171</v>
      </c>
      <c r="T394" t="s">
        <v>18666</v>
      </c>
      <c r="U394" t="s">
        <v>18652</v>
      </c>
      <c r="V394" s="104">
        <v>45857</v>
      </c>
      <c r="X394" s="97"/>
      <c r="Y394" s="75">
        <v>333.51</v>
      </c>
    </row>
    <row r="395" spans="1:25" x14ac:dyDescent="0.25">
      <c r="A395" s="76">
        <v>426</v>
      </c>
      <c r="B395" s="2" t="s">
        <v>7438</v>
      </c>
      <c r="C395" s="2" t="s">
        <v>7423</v>
      </c>
      <c r="D395" s="2" t="s">
        <v>7439</v>
      </c>
      <c r="E395" s="2" t="s">
        <v>3018</v>
      </c>
      <c r="F395" s="2" t="s">
        <v>7440</v>
      </c>
      <c r="G395" s="2" t="s">
        <v>750</v>
      </c>
      <c r="H395" s="17">
        <v>30</v>
      </c>
      <c r="I395" s="31">
        <f t="shared" si="42"/>
        <v>30000</v>
      </c>
      <c r="J395" s="31">
        <f t="shared" si="43"/>
        <v>2100</v>
      </c>
      <c r="K395" s="44">
        <f t="shared" si="44"/>
        <v>5.7534246575342465</v>
      </c>
      <c r="L395" s="3">
        <f t="shared" si="45"/>
        <v>425.75342465753425</v>
      </c>
      <c r="M395" s="3">
        <f t="shared" si="46"/>
        <v>25.545205479452054</v>
      </c>
      <c r="N395" s="67">
        <f t="shared" si="47"/>
        <v>400.20821917808217</v>
      </c>
      <c r="O395" s="3"/>
      <c r="P395" s="70" t="s">
        <v>18617</v>
      </c>
      <c r="Q395" s="2" t="s">
        <v>438</v>
      </c>
      <c r="R395" s="2" t="s">
        <v>7441</v>
      </c>
      <c r="T395" t="s">
        <v>18666</v>
      </c>
      <c r="U395" t="s">
        <v>18652</v>
      </c>
      <c r="V395" s="104">
        <v>45857</v>
      </c>
      <c r="X395" s="97"/>
      <c r="Y395" s="75">
        <v>400.21</v>
      </c>
    </row>
    <row r="396" spans="1:25" x14ac:dyDescent="0.25">
      <c r="A396" s="76">
        <v>427</v>
      </c>
      <c r="B396" s="2" t="s">
        <v>14007</v>
      </c>
      <c r="C396" s="2" t="s">
        <v>14008</v>
      </c>
      <c r="D396" s="2" t="s">
        <v>14009</v>
      </c>
      <c r="E396" s="2" t="s">
        <v>14010</v>
      </c>
      <c r="F396" s="2" t="s">
        <v>14011</v>
      </c>
      <c r="G396" s="2" t="s">
        <v>381</v>
      </c>
      <c r="H396" s="17">
        <v>100</v>
      </c>
      <c r="I396" s="31">
        <f t="shared" si="42"/>
        <v>100000</v>
      </c>
      <c r="J396" s="31">
        <f t="shared" si="43"/>
        <v>7000.0000000000009</v>
      </c>
      <c r="K396" s="44">
        <f t="shared" si="44"/>
        <v>19.178082191780824</v>
      </c>
      <c r="L396" s="3">
        <f t="shared" si="45"/>
        <v>1419.178082191781</v>
      </c>
      <c r="M396" s="3">
        <f t="shared" si="46"/>
        <v>85.150684931506859</v>
      </c>
      <c r="N396" s="67">
        <f t="shared" si="47"/>
        <v>1334.027397260274</v>
      </c>
      <c r="O396" s="3"/>
      <c r="P396" s="70" t="s">
        <v>18617</v>
      </c>
      <c r="Q396" s="2" t="s">
        <v>438</v>
      </c>
      <c r="R396" s="2" t="s">
        <v>14012</v>
      </c>
      <c r="T396" t="s">
        <v>18666</v>
      </c>
      <c r="U396" t="s">
        <v>18652</v>
      </c>
      <c r="V396" s="104">
        <v>45857</v>
      </c>
      <c r="X396" s="97"/>
      <c r="Y396" s="75">
        <v>1334.03</v>
      </c>
    </row>
    <row r="397" spans="1:25" x14ac:dyDescent="0.25">
      <c r="A397" s="76">
        <v>428</v>
      </c>
      <c r="B397" s="2" t="s">
        <v>16665</v>
      </c>
      <c r="C397" s="2" t="s">
        <v>16666</v>
      </c>
      <c r="D397" s="2" t="s">
        <v>16667</v>
      </c>
      <c r="E397" s="2" t="s">
        <v>16668</v>
      </c>
      <c r="F397" s="2" t="s">
        <v>16669</v>
      </c>
      <c r="G397" s="2" t="s">
        <v>31</v>
      </c>
      <c r="H397" s="17">
        <v>200</v>
      </c>
      <c r="I397" s="31">
        <f t="shared" si="42"/>
        <v>200000</v>
      </c>
      <c r="J397" s="31">
        <f t="shared" si="43"/>
        <v>14000.000000000002</v>
      </c>
      <c r="K397" s="44">
        <f t="shared" si="44"/>
        <v>38.356164383561648</v>
      </c>
      <c r="L397" s="3">
        <f t="shared" si="45"/>
        <v>2838.3561643835619</v>
      </c>
      <c r="M397" s="3">
        <f t="shared" si="46"/>
        <v>170.30136986301372</v>
      </c>
      <c r="N397" s="67">
        <f t="shared" si="47"/>
        <v>2668.0547945205481</v>
      </c>
      <c r="O397" s="3"/>
      <c r="P397" s="70" t="s">
        <v>18617</v>
      </c>
      <c r="Q397" s="2" t="s">
        <v>438</v>
      </c>
      <c r="R397" s="2" t="s">
        <v>16670</v>
      </c>
      <c r="T397" t="s">
        <v>18666</v>
      </c>
      <c r="U397" t="s">
        <v>18652</v>
      </c>
      <c r="V397" s="104">
        <v>45857</v>
      </c>
      <c r="X397" s="97"/>
      <c r="Y397" s="75">
        <v>2668.0600000000004</v>
      </c>
    </row>
    <row r="398" spans="1:25" x14ac:dyDescent="0.25">
      <c r="A398" s="76">
        <v>429</v>
      </c>
      <c r="B398" s="2" t="s">
        <v>17853</v>
      </c>
      <c r="C398" s="2" t="s">
        <v>17854</v>
      </c>
      <c r="D398" s="2" t="s">
        <v>17855</v>
      </c>
      <c r="E398" s="2" t="s">
        <v>17856</v>
      </c>
      <c r="F398" s="2" t="s">
        <v>17857</v>
      </c>
      <c r="G398" s="2" t="s">
        <v>2680</v>
      </c>
      <c r="H398" s="17">
        <v>25</v>
      </c>
      <c r="I398" s="31">
        <f t="shared" si="42"/>
        <v>25000</v>
      </c>
      <c r="J398" s="31">
        <f t="shared" si="43"/>
        <v>1750.0000000000002</v>
      </c>
      <c r="K398" s="44">
        <f t="shared" si="44"/>
        <v>4.794520547945206</v>
      </c>
      <c r="L398" s="3">
        <f t="shared" si="45"/>
        <v>354.79452054794524</v>
      </c>
      <c r="M398" s="3">
        <f t="shared" si="46"/>
        <v>21.287671232876715</v>
      </c>
      <c r="N398" s="67">
        <f t="shared" si="47"/>
        <v>333.50684931506851</v>
      </c>
      <c r="O398" s="3"/>
      <c r="P398" s="70" t="s">
        <v>18617</v>
      </c>
      <c r="Q398" s="2" t="s">
        <v>438</v>
      </c>
      <c r="R398" s="2" t="s">
        <v>17858</v>
      </c>
      <c r="T398" t="s">
        <v>18666</v>
      </c>
      <c r="U398" t="s">
        <v>18652</v>
      </c>
      <c r="V398" s="104">
        <v>45857</v>
      </c>
      <c r="X398" s="97"/>
      <c r="Y398" s="75">
        <v>333.51</v>
      </c>
    </row>
    <row r="399" spans="1:25" x14ac:dyDescent="0.25">
      <c r="A399" s="76">
        <v>430</v>
      </c>
      <c r="B399" s="2" t="s">
        <v>8522</v>
      </c>
      <c r="C399" s="2" t="s">
        <v>8523</v>
      </c>
      <c r="D399" s="2" t="s">
        <v>8524</v>
      </c>
      <c r="E399" s="2" t="s">
        <v>8525</v>
      </c>
      <c r="F399" s="2" t="s">
        <v>8526</v>
      </c>
      <c r="G399" s="2" t="s">
        <v>835</v>
      </c>
      <c r="H399" s="17">
        <v>25</v>
      </c>
      <c r="I399" s="31">
        <f t="shared" si="42"/>
        <v>25000</v>
      </c>
      <c r="J399" s="31">
        <f t="shared" si="43"/>
        <v>1750.0000000000002</v>
      </c>
      <c r="K399" s="44">
        <f t="shared" si="44"/>
        <v>4.794520547945206</v>
      </c>
      <c r="L399" s="3">
        <f t="shared" si="45"/>
        <v>354.79452054794524</v>
      </c>
      <c r="M399" s="3">
        <f t="shared" si="46"/>
        <v>21.287671232876715</v>
      </c>
      <c r="N399" s="67">
        <f t="shared" si="47"/>
        <v>333.50684931506851</v>
      </c>
      <c r="O399" s="3"/>
      <c r="P399" s="70" t="s">
        <v>18617</v>
      </c>
      <c r="Q399" s="2" t="s">
        <v>438</v>
      </c>
      <c r="R399" s="2" t="s">
        <v>8527</v>
      </c>
      <c r="T399" t="s">
        <v>18666</v>
      </c>
      <c r="U399" t="s">
        <v>18652</v>
      </c>
      <c r="V399" s="104">
        <v>45857</v>
      </c>
      <c r="X399" s="97"/>
      <c r="Y399" s="75">
        <v>333.51</v>
      </c>
    </row>
    <row r="400" spans="1:25" x14ac:dyDescent="0.25">
      <c r="A400" s="76">
        <v>431</v>
      </c>
      <c r="B400" s="2" t="s">
        <v>12977</v>
      </c>
      <c r="C400" s="2" t="s">
        <v>12978</v>
      </c>
      <c r="D400" s="2" t="s">
        <v>12979</v>
      </c>
      <c r="E400" s="2" t="s">
        <v>12980</v>
      </c>
      <c r="F400" s="2" t="s">
        <v>12981</v>
      </c>
      <c r="G400" s="2" t="s">
        <v>226</v>
      </c>
      <c r="H400" s="17">
        <v>25</v>
      </c>
      <c r="I400" s="31">
        <f t="shared" si="42"/>
        <v>25000</v>
      </c>
      <c r="J400" s="31">
        <f t="shared" si="43"/>
        <v>1750.0000000000002</v>
      </c>
      <c r="K400" s="44">
        <f t="shared" si="44"/>
        <v>4.794520547945206</v>
      </c>
      <c r="L400" s="3">
        <f t="shared" si="45"/>
        <v>354.79452054794524</v>
      </c>
      <c r="M400" s="3">
        <f t="shared" si="46"/>
        <v>21.287671232876715</v>
      </c>
      <c r="N400" s="67">
        <f t="shared" si="47"/>
        <v>333.50684931506851</v>
      </c>
      <c r="O400" s="3"/>
      <c r="P400" s="70" t="s">
        <v>18617</v>
      </c>
      <c r="Q400" s="2" t="s">
        <v>438</v>
      </c>
      <c r="R400" s="2" t="s">
        <v>12982</v>
      </c>
      <c r="T400" t="s">
        <v>18666</v>
      </c>
      <c r="U400" t="s">
        <v>18652</v>
      </c>
      <c r="V400" s="104">
        <v>45857</v>
      </c>
      <c r="X400" s="97"/>
      <c r="Y400" s="75">
        <v>333.51</v>
      </c>
    </row>
    <row r="401" spans="1:25" x14ac:dyDescent="0.25">
      <c r="A401" s="76">
        <v>432</v>
      </c>
      <c r="B401" s="2" t="s">
        <v>4570</v>
      </c>
      <c r="C401" s="2" t="s">
        <v>4571</v>
      </c>
      <c r="D401" s="2" t="s">
        <v>4572</v>
      </c>
      <c r="E401" s="2" t="s">
        <v>4573</v>
      </c>
      <c r="F401" s="2" t="s">
        <v>4574</v>
      </c>
      <c r="G401" s="2" t="s">
        <v>4575</v>
      </c>
      <c r="H401" s="17">
        <v>25</v>
      </c>
      <c r="I401" s="31">
        <f t="shared" si="42"/>
        <v>25000</v>
      </c>
      <c r="J401" s="31">
        <f t="shared" si="43"/>
        <v>1750.0000000000002</v>
      </c>
      <c r="K401" s="44">
        <f t="shared" si="44"/>
        <v>4.794520547945206</v>
      </c>
      <c r="L401" s="3">
        <f t="shared" si="45"/>
        <v>354.79452054794524</v>
      </c>
      <c r="M401" s="3">
        <f t="shared" si="46"/>
        <v>21.287671232876715</v>
      </c>
      <c r="N401" s="67">
        <f t="shared" si="47"/>
        <v>333.50684931506851</v>
      </c>
      <c r="O401" s="3"/>
      <c r="P401" s="70" t="s">
        <v>18617</v>
      </c>
      <c r="Q401" s="2" t="s">
        <v>438</v>
      </c>
      <c r="R401" s="2" t="s">
        <v>4576</v>
      </c>
      <c r="T401" t="s">
        <v>18666</v>
      </c>
      <c r="U401" t="s">
        <v>18652</v>
      </c>
      <c r="V401" s="104">
        <v>45857</v>
      </c>
      <c r="X401" s="97"/>
      <c r="Y401" s="75">
        <v>333.51</v>
      </c>
    </row>
    <row r="402" spans="1:25" x14ac:dyDescent="0.25">
      <c r="A402" s="76">
        <v>433</v>
      </c>
      <c r="B402" s="2" t="s">
        <v>15279</v>
      </c>
      <c r="C402" s="2" t="s">
        <v>15280</v>
      </c>
      <c r="D402" s="2" t="s">
        <v>15281</v>
      </c>
      <c r="E402" s="2" t="s">
        <v>15282</v>
      </c>
      <c r="F402" s="2" t="s">
        <v>15283</v>
      </c>
      <c r="G402" s="2" t="s">
        <v>587</v>
      </c>
      <c r="H402" s="17">
        <v>30</v>
      </c>
      <c r="I402" s="31">
        <f t="shared" ref="I402:I465" si="48">H402*1000</f>
        <v>30000</v>
      </c>
      <c r="J402" s="31">
        <f t="shared" ref="J402:J465" si="49">I402*7%</f>
        <v>2100</v>
      </c>
      <c r="K402" s="44">
        <f t="shared" ref="K402:K465" si="50">J402/365</f>
        <v>5.7534246575342465</v>
      </c>
      <c r="L402" s="3">
        <f t="shared" ref="L402:L465" si="51">K402*74</f>
        <v>425.75342465753425</v>
      </c>
      <c r="M402" s="3">
        <f t="shared" ref="M402:M465" si="52">L402*6%</f>
        <v>25.545205479452054</v>
      </c>
      <c r="N402" s="67">
        <f t="shared" ref="N402:N465" si="53">L402-M402</f>
        <v>400.20821917808217</v>
      </c>
      <c r="O402" s="3"/>
      <c r="P402" s="70" t="s">
        <v>18617</v>
      </c>
      <c r="Q402" s="2" t="s">
        <v>438</v>
      </c>
      <c r="R402" s="2" t="s">
        <v>15284</v>
      </c>
      <c r="T402" t="s">
        <v>18666</v>
      </c>
      <c r="U402" t="s">
        <v>18652</v>
      </c>
      <c r="V402" s="104">
        <v>45857</v>
      </c>
      <c r="X402" s="97"/>
      <c r="Y402" s="75">
        <v>400.21</v>
      </c>
    </row>
    <row r="403" spans="1:25" x14ac:dyDescent="0.25">
      <c r="A403" s="76">
        <v>434</v>
      </c>
      <c r="B403" s="2" t="s">
        <v>16910</v>
      </c>
      <c r="C403" s="2" t="s">
        <v>16911</v>
      </c>
      <c r="D403" s="2" t="s">
        <v>16912</v>
      </c>
      <c r="E403" s="2" t="s">
        <v>16913</v>
      </c>
      <c r="F403" s="2" t="s">
        <v>16914</v>
      </c>
      <c r="G403" s="2" t="s">
        <v>835</v>
      </c>
      <c r="H403" s="17">
        <v>25</v>
      </c>
      <c r="I403" s="31">
        <f t="shared" si="48"/>
        <v>25000</v>
      </c>
      <c r="J403" s="31">
        <f t="shared" si="49"/>
        <v>1750.0000000000002</v>
      </c>
      <c r="K403" s="44">
        <f t="shared" si="50"/>
        <v>4.794520547945206</v>
      </c>
      <c r="L403" s="3">
        <f t="shared" si="51"/>
        <v>354.79452054794524</v>
      </c>
      <c r="M403" s="3">
        <f t="shared" si="52"/>
        <v>21.287671232876715</v>
      </c>
      <c r="N403" s="67">
        <f t="shared" si="53"/>
        <v>333.50684931506851</v>
      </c>
      <c r="O403" s="3"/>
      <c r="P403" s="70" t="s">
        <v>18617</v>
      </c>
      <c r="Q403" s="2" t="s">
        <v>438</v>
      </c>
      <c r="R403" s="2" t="s">
        <v>16915</v>
      </c>
      <c r="T403" t="s">
        <v>18666</v>
      </c>
      <c r="U403" t="s">
        <v>18652</v>
      </c>
      <c r="V403" s="104">
        <v>45857</v>
      </c>
      <c r="X403" s="97"/>
      <c r="Y403" s="75">
        <v>333.51</v>
      </c>
    </row>
    <row r="404" spans="1:25" x14ac:dyDescent="0.25">
      <c r="A404" s="76">
        <v>435</v>
      </c>
      <c r="B404" s="2" t="s">
        <v>7030</v>
      </c>
      <c r="C404" s="2" t="s">
        <v>7031</v>
      </c>
      <c r="D404" s="2" t="s">
        <v>7032</v>
      </c>
      <c r="E404" s="2" t="s">
        <v>7033</v>
      </c>
      <c r="F404" s="2" t="s">
        <v>7034</v>
      </c>
      <c r="G404" s="2" t="s">
        <v>247</v>
      </c>
      <c r="H404" s="17">
        <v>25</v>
      </c>
      <c r="I404" s="31">
        <f t="shared" si="48"/>
        <v>25000</v>
      </c>
      <c r="J404" s="31">
        <f t="shared" si="49"/>
        <v>1750.0000000000002</v>
      </c>
      <c r="K404" s="44">
        <f t="shared" si="50"/>
        <v>4.794520547945206</v>
      </c>
      <c r="L404" s="3">
        <f t="shared" si="51"/>
        <v>354.79452054794524</v>
      </c>
      <c r="M404" s="3">
        <f t="shared" si="52"/>
        <v>21.287671232876715</v>
      </c>
      <c r="N404" s="67">
        <f t="shared" si="53"/>
        <v>333.50684931506851</v>
      </c>
      <c r="O404" s="3"/>
      <c r="P404" s="70" t="s">
        <v>18617</v>
      </c>
      <c r="Q404" s="2" t="s">
        <v>438</v>
      </c>
      <c r="R404" s="2" t="s">
        <v>7035</v>
      </c>
      <c r="T404" t="s">
        <v>18666</v>
      </c>
      <c r="U404" t="s">
        <v>18652</v>
      </c>
      <c r="V404" s="104">
        <v>45857</v>
      </c>
      <c r="X404" s="97"/>
      <c r="Y404" s="75">
        <v>333.51</v>
      </c>
    </row>
    <row r="405" spans="1:25" x14ac:dyDescent="0.25">
      <c r="A405" s="76">
        <v>436</v>
      </c>
      <c r="B405" s="2" t="s">
        <v>6666</v>
      </c>
      <c r="C405" s="2" t="s">
        <v>6667</v>
      </c>
      <c r="D405" s="2" t="s">
        <v>6668</v>
      </c>
      <c r="E405" s="2" t="s">
        <v>6669</v>
      </c>
      <c r="F405" s="2" t="s">
        <v>6670</v>
      </c>
      <c r="G405" s="2" t="s">
        <v>151</v>
      </c>
      <c r="H405" s="17">
        <v>25</v>
      </c>
      <c r="I405" s="31">
        <f t="shared" si="48"/>
        <v>25000</v>
      </c>
      <c r="J405" s="31">
        <f t="shared" si="49"/>
        <v>1750.0000000000002</v>
      </c>
      <c r="K405" s="44">
        <f t="shared" si="50"/>
        <v>4.794520547945206</v>
      </c>
      <c r="L405" s="3">
        <f t="shared" si="51"/>
        <v>354.79452054794524</v>
      </c>
      <c r="M405" s="3">
        <f t="shared" si="52"/>
        <v>21.287671232876715</v>
      </c>
      <c r="N405" s="67">
        <f t="shared" si="53"/>
        <v>333.50684931506851</v>
      </c>
      <c r="O405" s="3"/>
      <c r="P405" s="70" t="s">
        <v>18617</v>
      </c>
      <c r="Q405" s="2" t="s">
        <v>438</v>
      </c>
      <c r="R405" s="2" t="s">
        <v>6671</v>
      </c>
      <c r="T405" t="s">
        <v>18666</v>
      </c>
      <c r="U405" t="s">
        <v>18652</v>
      </c>
      <c r="V405" s="104">
        <v>45857</v>
      </c>
      <c r="X405" s="97"/>
      <c r="Y405" s="75">
        <v>333.51</v>
      </c>
    </row>
    <row r="406" spans="1:25" x14ac:dyDescent="0.25">
      <c r="A406" s="76">
        <v>437</v>
      </c>
      <c r="B406" s="2" t="s">
        <v>12621</v>
      </c>
      <c r="C406" s="2" t="s">
        <v>12622</v>
      </c>
      <c r="D406" s="2" t="s">
        <v>12623</v>
      </c>
      <c r="E406" s="2" t="s">
        <v>12624</v>
      </c>
      <c r="F406" s="2" t="s">
        <v>12625</v>
      </c>
      <c r="G406" s="2" t="s">
        <v>268</v>
      </c>
      <c r="H406" s="17">
        <v>100</v>
      </c>
      <c r="I406" s="31">
        <f t="shared" si="48"/>
        <v>100000</v>
      </c>
      <c r="J406" s="31">
        <f t="shared" si="49"/>
        <v>7000.0000000000009</v>
      </c>
      <c r="K406" s="44">
        <f t="shared" si="50"/>
        <v>19.178082191780824</v>
      </c>
      <c r="L406" s="3">
        <f t="shared" si="51"/>
        <v>1419.178082191781</v>
      </c>
      <c r="M406" s="3">
        <f t="shared" si="52"/>
        <v>85.150684931506859</v>
      </c>
      <c r="N406" s="67">
        <f t="shared" si="53"/>
        <v>1334.027397260274</v>
      </c>
      <c r="O406" s="3"/>
      <c r="P406" s="70" t="s">
        <v>18617</v>
      </c>
      <c r="Q406" s="2" t="s">
        <v>438</v>
      </c>
      <c r="R406" s="2" t="s">
        <v>12626</v>
      </c>
      <c r="T406" t="s">
        <v>18666</v>
      </c>
      <c r="U406" t="s">
        <v>18652</v>
      </c>
      <c r="V406" s="104">
        <v>45857</v>
      </c>
      <c r="X406" s="97"/>
      <c r="Y406" s="75">
        <v>1334.03</v>
      </c>
    </row>
    <row r="407" spans="1:25" x14ac:dyDescent="0.25">
      <c r="A407" s="76">
        <v>438</v>
      </c>
      <c r="B407" s="2" t="s">
        <v>855</v>
      </c>
      <c r="C407" s="2" t="s">
        <v>856</v>
      </c>
      <c r="D407" s="2" t="s">
        <v>857</v>
      </c>
      <c r="E407" s="2" t="s">
        <v>858</v>
      </c>
      <c r="F407" s="2" t="s">
        <v>859</v>
      </c>
      <c r="G407" s="2" t="s">
        <v>247</v>
      </c>
      <c r="H407" s="17">
        <v>25</v>
      </c>
      <c r="I407" s="31">
        <f t="shared" si="48"/>
        <v>25000</v>
      </c>
      <c r="J407" s="31">
        <f t="shared" si="49"/>
        <v>1750.0000000000002</v>
      </c>
      <c r="K407" s="44">
        <f t="shared" si="50"/>
        <v>4.794520547945206</v>
      </c>
      <c r="L407" s="3">
        <f t="shared" si="51"/>
        <v>354.79452054794524</v>
      </c>
      <c r="M407" s="3">
        <f t="shared" si="52"/>
        <v>21.287671232876715</v>
      </c>
      <c r="N407" s="67">
        <f t="shared" si="53"/>
        <v>333.50684931506851</v>
      </c>
      <c r="O407" s="3"/>
      <c r="P407" s="70" t="s">
        <v>18617</v>
      </c>
      <c r="Q407" s="2" t="s">
        <v>438</v>
      </c>
      <c r="R407" s="2" t="s">
        <v>860</v>
      </c>
      <c r="T407" t="s">
        <v>18666</v>
      </c>
      <c r="U407" t="s">
        <v>18652</v>
      </c>
      <c r="V407" s="104">
        <v>45857</v>
      </c>
      <c r="X407" s="97"/>
      <c r="Y407" s="75">
        <v>333.51</v>
      </c>
    </row>
    <row r="408" spans="1:25" x14ac:dyDescent="0.25">
      <c r="A408" s="76">
        <v>439</v>
      </c>
      <c r="B408" s="2" t="s">
        <v>13444</v>
      </c>
      <c r="C408" s="2" t="s">
        <v>13445</v>
      </c>
      <c r="D408" s="2" t="s">
        <v>13446</v>
      </c>
      <c r="E408" s="2" t="s">
        <v>13447</v>
      </c>
      <c r="F408" s="2" t="s">
        <v>13448</v>
      </c>
      <c r="G408" s="2" t="s">
        <v>510</v>
      </c>
      <c r="H408" s="17">
        <v>25</v>
      </c>
      <c r="I408" s="31">
        <f t="shared" si="48"/>
        <v>25000</v>
      </c>
      <c r="J408" s="31">
        <f t="shared" si="49"/>
        <v>1750.0000000000002</v>
      </c>
      <c r="K408" s="44">
        <f t="shared" si="50"/>
        <v>4.794520547945206</v>
      </c>
      <c r="L408" s="3">
        <f t="shared" si="51"/>
        <v>354.79452054794524</v>
      </c>
      <c r="M408" s="3">
        <f t="shared" si="52"/>
        <v>21.287671232876715</v>
      </c>
      <c r="N408" s="67">
        <f t="shared" si="53"/>
        <v>333.50684931506851</v>
      </c>
      <c r="O408" s="3"/>
      <c r="P408" s="70" t="s">
        <v>18617</v>
      </c>
      <c r="Q408" s="2" t="s">
        <v>438</v>
      </c>
      <c r="R408" s="2" t="s">
        <v>13449</v>
      </c>
      <c r="T408" t="s">
        <v>18666</v>
      </c>
      <c r="U408" t="s">
        <v>18652</v>
      </c>
      <c r="V408" s="104">
        <v>45857</v>
      </c>
      <c r="X408" s="97"/>
      <c r="Y408" s="75">
        <v>333.51</v>
      </c>
    </row>
    <row r="409" spans="1:25" x14ac:dyDescent="0.25">
      <c r="A409" s="76">
        <v>440</v>
      </c>
      <c r="B409" s="2" t="s">
        <v>14894</v>
      </c>
      <c r="C409" s="2" t="s">
        <v>14895</v>
      </c>
      <c r="D409" s="2" t="s">
        <v>14896</v>
      </c>
      <c r="E409" s="2" t="s">
        <v>14897</v>
      </c>
      <c r="F409" s="2" t="s">
        <v>14898</v>
      </c>
      <c r="G409" s="2" t="s">
        <v>599</v>
      </c>
      <c r="H409" s="17">
        <v>25</v>
      </c>
      <c r="I409" s="31">
        <f t="shared" si="48"/>
        <v>25000</v>
      </c>
      <c r="J409" s="31">
        <f t="shared" si="49"/>
        <v>1750.0000000000002</v>
      </c>
      <c r="K409" s="44">
        <f t="shared" si="50"/>
        <v>4.794520547945206</v>
      </c>
      <c r="L409" s="3">
        <f t="shared" si="51"/>
        <v>354.79452054794524</v>
      </c>
      <c r="M409" s="3">
        <f t="shared" si="52"/>
        <v>21.287671232876715</v>
      </c>
      <c r="N409" s="67">
        <f t="shared" si="53"/>
        <v>333.50684931506851</v>
      </c>
      <c r="O409" s="3"/>
      <c r="P409" s="70" t="s">
        <v>18617</v>
      </c>
      <c r="Q409" s="2" t="s">
        <v>438</v>
      </c>
      <c r="R409" s="2" t="s">
        <v>14899</v>
      </c>
      <c r="T409" t="s">
        <v>18666</v>
      </c>
      <c r="U409" t="s">
        <v>18652</v>
      </c>
      <c r="V409" s="104">
        <v>45857</v>
      </c>
      <c r="X409" s="97"/>
      <c r="Y409" s="75">
        <v>333.51</v>
      </c>
    </row>
    <row r="410" spans="1:25" x14ac:dyDescent="0.25">
      <c r="A410" s="76">
        <v>441</v>
      </c>
      <c r="B410" s="2" t="s">
        <v>16216</v>
      </c>
      <c r="C410" s="2" t="s">
        <v>16217</v>
      </c>
      <c r="D410" s="2" t="s">
        <v>16218</v>
      </c>
      <c r="E410" s="2" t="s">
        <v>16219</v>
      </c>
      <c r="F410" s="2" t="s">
        <v>16220</v>
      </c>
      <c r="G410" s="2" t="s">
        <v>445</v>
      </c>
      <c r="H410" s="17">
        <v>25</v>
      </c>
      <c r="I410" s="31">
        <f t="shared" si="48"/>
        <v>25000</v>
      </c>
      <c r="J410" s="31">
        <f t="shared" si="49"/>
        <v>1750.0000000000002</v>
      </c>
      <c r="K410" s="44">
        <f t="shared" si="50"/>
        <v>4.794520547945206</v>
      </c>
      <c r="L410" s="3">
        <f t="shared" si="51"/>
        <v>354.79452054794524</v>
      </c>
      <c r="M410" s="3">
        <f t="shared" si="52"/>
        <v>21.287671232876715</v>
      </c>
      <c r="N410" s="67">
        <f t="shared" si="53"/>
        <v>333.50684931506851</v>
      </c>
      <c r="O410" s="3"/>
      <c r="P410" s="70" t="s">
        <v>18617</v>
      </c>
      <c r="Q410" s="2" t="s">
        <v>438</v>
      </c>
      <c r="R410" s="2" t="s">
        <v>16221</v>
      </c>
      <c r="T410" t="s">
        <v>18666</v>
      </c>
      <c r="U410" t="s">
        <v>18652</v>
      </c>
      <c r="V410" s="104">
        <v>45857</v>
      </c>
      <c r="X410" s="97"/>
      <c r="Y410" s="75">
        <v>333.51</v>
      </c>
    </row>
    <row r="411" spans="1:25" x14ac:dyDescent="0.25">
      <c r="A411" s="76">
        <v>442</v>
      </c>
      <c r="B411" s="2" t="s">
        <v>11864</v>
      </c>
      <c r="C411" s="2" t="s">
        <v>11865</v>
      </c>
      <c r="D411" s="2" t="s">
        <v>11866</v>
      </c>
      <c r="E411" s="2" t="s">
        <v>11867</v>
      </c>
      <c r="F411" s="2" t="s">
        <v>11868</v>
      </c>
      <c r="G411" s="2" t="s">
        <v>296</v>
      </c>
      <c r="H411" s="17">
        <v>50</v>
      </c>
      <c r="I411" s="31">
        <f t="shared" si="48"/>
        <v>50000</v>
      </c>
      <c r="J411" s="31">
        <f t="shared" si="49"/>
        <v>3500.0000000000005</v>
      </c>
      <c r="K411" s="44">
        <f t="shared" si="50"/>
        <v>9.589041095890412</v>
      </c>
      <c r="L411" s="3">
        <f t="shared" si="51"/>
        <v>709.58904109589048</v>
      </c>
      <c r="M411" s="3">
        <f t="shared" si="52"/>
        <v>42.57534246575343</v>
      </c>
      <c r="N411" s="67">
        <f t="shared" si="53"/>
        <v>667.01369863013701</v>
      </c>
      <c r="O411" s="3"/>
      <c r="P411" s="70" t="s">
        <v>18617</v>
      </c>
      <c r="Q411" s="2" t="s">
        <v>438</v>
      </c>
      <c r="R411" s="2" t="s">
        <v>11869</v>
      </c>
      <c r="T411" t="s">
        <v>18666</v>
      </c>
      <c r="U411" t="s">
        <v>18652</v>
      </c>
      <c r="V411" s="104">
        <v>45857</v>
      </c>
      <c r="X411" s="97"/>
      <c r="Y411" s="75">
        <v>667.02</v>
      </c>
    </row>
    <row r="412" spans="1:25" x14ac:dyDescent="0.25">
      <c r="A412" s="76">
        <v>443</v>
      </c>
      <c r="B412" s="2" t="s">
        <v>638</v>
      </c>
      <c r="C412" s="2" t="s">
        <v>639</v>
      </c>
      <c r="D412" s="2" t="s">
        <v>640</v>
      </c>
      <c r="E412" s="2" t="s">
        <v>641</v>
      </c>
      <c r="F412" s="2" t="s">
        <v>642</v>
      </c>
      <c r="G412" s="2" t="s">
        <v>643</v>
      </c>
      <c r="H412" s="17">
        <v>30</v>
      </c>
      <c r="I412" s="31">
        <f t="shared" si="48"/>
        <v>30000</v>
      </c>
      <c r="J412" s="31">
        <f t="shared" si="49"/>
        <v>2100</v>
      </c>
      <c r="K412" s="44">
        <f t="shared" si="50"/>
        <v>5.7534246575342465</v>
      </c>
      <c r="L412" s="3">
        <f t="shared" si="51"/>
        <v>425.75342465753425</v>
      </c>
      <c r="M412" s="3">
        <f t="shared" si="52"/>
        <v>25.545205479452054</v>
      </c>
      <c r="N412" s="67">
        <f t="shared" si="53"/>
        <v>400.20821917808217</v>
      </c>
      <c r="O412" s="3"/>
      <c r="P412" s="70" t="s">
        <v>18617</v>
      </c>
      <c r="Q412" s="2" t="s">
        <v>438</v>
      </c>
      <c r="R412" s="2" t="s">
        <v>644</v>
      </c>
      <c r="T412" t="s">
        <v>18666</v>
      </c>
      <c r="U412" t="s">
        <v>18652</v>
      </c>
      <c r="V412" s="104">
        <v>45857</v>
      </c>
      <c r="X412" s="97"/>
      <c r="Y412" s="75">
        <v>400.21</v>
      </c>
    </row>
    <row r="413" spans="1:25" x14ac:dyDescent="0.25">
      <c r="A413" s="76">
        <v>444</v>
      </c>
      <c r="B413" s="2" t="s">
        <v>16775</v>
      </c>
      <c r="C413" s="2" t="s">
        <v>16776</v>
      </c>
      <c r="D413" s="2" t="s">
        <v>16777</v>
      </c>
      <c r="E413" s="2" t="s">
        <v>16778</v>
      </c>
      <c r="F413" s="2" t="s">
        <v>16779</v>
      </c>
      <c r="G413" s="2" t="s">
        <v>1570</v>
      </c>
      <c r="H413" s="17">
        <v>100</v>
      </c>
      <c r="I413" s="31">
        <f t="shared" si="48"/>
        <v>100000</v>
      </c>
      <c r="J413" s="31">
        <f t="shared" si="49"/>
        <v>7000.0000000000009</v>
      </c>
      <c r="K413" s="44">
        <f t="shared" si="50"/>
        <v>19.178082191780824</v>
      </c>
      <c r="L413" s="3">
        <f t="shared" si="51"/>
        <v>1419.178082191781</v>
      </c>
      <c r="M413" s="3">
        <f t="shared" si="52"/>
        <v>85.150684931506859</v>
      </c>
      <c r="N413" s="67">
        <f t="shared" si="53"/>
        <v>1334.027397260274</v>
      </c>
      <c r="O413" s="3"/>
      <c r="P413" s="70" t="s">
        <v>18617</v>
      </c>
      <c r="Q413" s="2" t="s">
        <v>438</v>
      </c>
      <c r="R413" s="2" t="s">
        <v>16780</v>
      </c>
      <c r="T413" t="s">
        <v>18666</v>
      </c>
      <c r="U413" t="s">
        <v>18652</v>
      </c>
      <c r="V413" s="104">
        <v>45857</v>
      </c>
      <c r="X413" s="97"/>
      <c r="Y413" s="75">
        <v>1334.03</v>
      </c>
    </row>
    <row r="414" spans="1:25" x14ac:dyDescent="0.25">
      <c r="A414" s="76">
        <v>445</v>
      </c>
      <c r="B414" s="2" t="s">
        <v>8678</v>
      </c>
      <c r="C414" s="2" t="s">
        <v>8679</v>
      </c>
      <c r="D414" s="2" t="s">
        <v>8680</v>
      </c>
      <c r="E414" s="2" t="s">
        <v>8681</v>
      </c>
      <c r="F414" s="2" t="s">
        <v>8682</v>
      </c>
      <c r="G414" s="2" t="s">
        <v>2022</v>
      </c>
      <c r="H414" s="17">
        <v>25</v>
      </c>
      <c r="I414" s="31">
        <f t="shared" si="48"/>
        <v>25000</v>
      </c>
      <c r="J414" s="31">
        <f t="shared" si="49"/>
        <v>1750.0000000000002</v>
      </c>
      <c r="K414" s="44">
        <f t="shared" si="50"/>
        <v>4.794520547945206</v>
      </c>
      <c r="L414" s="3">
        <f t="shared" si="51"/>
        <v>354.79452054794524</v>
      </c>
      <c r="M414" s="3">
        <f t="shared" si="52"/>
        <v>21.287671232876715</v>
      </c>
      <c r="N414" s="67">
        <f t="shared" si="53"/>
        <v>333.50684931506851</v>
      </c>
      <c r="O414" s="3"/>
      <c r="P414" s="70" t="s">
        <v>18617</v>
      </c>
      <c r="Q414" s="2" t="s">
        <v>438</v>
      </c>
      <c r="R414" s="2" t="s">
        <v>8683</v>
      </c>
      <c r="T414" t="s">
        <v>18666</v>
      </c>
      <c r="U414" t="s">
        <v>18652</v>
      </c>
      <c r="V414" s="104">
        <v>45857</v>
      </c>
      <c r="X414" s="97"/>
      <c r="Y414" s="75">
        <v>333.51</v>
      </c>
    </row>
    <row r="415" spans="1:25" x14ac:dyDescent="0.25">
      <c r="A415" s="76">
        <v>446</v>
      </c>
      <c r="B415" s="2" t="s">
        <v>11161</v>
      </c>
      <c r="C415" s="2" t="s">
        <v>11162</v>
      </c>
      <c r="D415" s="2" t="s">
        <v>11163</v>
      </c>
      <c r="E415" s="2" t="s">
        <v>11164</v>
      </c>
      <c r="F415" s="2" t="s">
        <v>11165</v>
      </c>
      <c r="G415" s="2" t="s">
        <v>31</v>
      </c>
      <c r="H415" s="17">
        <v>25</v>
      </c>
      <c r="I415" s="31">
        <f t="shared" si="48"/>
        <v>25000</v>
      </c>
      <c r="J415" s="31">
        <f t="shared" si="49"/>
        <v>1750.0000000000002</v>
      </c>
      <c r="K415" s="44">
        <f t="shared" si="50"/>
        <v>4.794520547945206</v>
      </c>
      <c r="L415" s="3">
        <f t="shared" si="51"/>
        <v>354.79452054794524</v>
      </c>
      <c r="M415" s="3">
        <f t="shared" si="52"/>
        <v>21.287671232876715</v>
      </c>
      <c r="N415" s="67">
        <f t="shared" si="53"/>
        <v>333.50684931506851</v>
      </c>
      <c r="O415" s="3"/>
      <c r="P415" s="70" t="s">
        <v>18617</v>
      </c>
      <c r="Q415" s="2" t="s">
        <v>438</v>
      </c>
      <c r="R415" s="2" t="s">
        <v>11166</v>
      </c>
      <c r="T415" t="s">
        <v>18666</v>
      </c>
      <c r="U415" t="s">
        <v>18652</v>
      </c>
      <c r="V415" s="104">
        <v>45857</v>
      </c>
      <c r="X415" s="97"/>
      <c r="Y415" s="75">
        <v>333.51</v>
      </c>
    </row>
    <row r="416" spans="1:25" x14ac:dyDescent="0.25">
      <c r="A416" s="76">
        <v>447</v>
      </c>
      <c r="B416" s="2" t="s">
        <v>12300</v>
      </c>
      <c r="C416" s="2" t="s">
        <v>12301</v>
      </c>
      <c r="D416" s="2" t="s">
        <v>12302</v>
      </c>
      <c r="E416" s="2" t="s">
        <v>12303</v>
      </c>
      <c r="F416" s="2" t="s">
        <v>12304</v>
      </c>
      <c r="G416" s="2" t="s">
        <v>799</v>
      </c>
      <c r="H416" s="17">
        <v>25</v>
      </c>
      <c r="I416" s="31">
        <f t="shared" si="48"/>
        <v>25000</v>
      </c>
      <c r="J416" s="31">
        <f t="shared" si="49"/>
        <v>1750.0000000000002</v>
      </c>
      <c r="K416" s="44">
        <f t="shared" si="50"/>
        <v>4.794520547945206</v>
      </c>
      <c r="L416" s="3">
        <f t="shared" si="51"/>
        <v>354.79452054794524</v>
      </c>
      <c r="M416" s="3">
        <f t="shared" si="52"/>
        <v>21.287671232876715</v>
      </c>
      <c r="N416" s="67">
        <f t="shared" si="53"/>
        <v>333.50684931506851</v>
      </c>
      <c r="O416" s="3"/>
      <c r="P416" s="70" t="s">
        <v>18617</v>
      </c>
      <c r="Q416" s="2" t="s">
        <v>438</v>
      </c>
      <c r="R416" s="2" t="s">
        <v>12305</v>
      </c>
      <c r="T416" t="s">
        <v>18666</v>
      </c>
      <c r="U416" t="s">
        <v>18652</v>
      </c>
      <c r="V416" s="104">
        <v>45857</v>
      </c>
      <c r="X416" s="97"/>
      <c r="Y416" s="75">
        <v>333.51</v>
      </c>
    </row>
    <row r="417" spans="1:25" x14ac:dyDescent="0.25">
      <c r="A417" s="76">
        <v>448</v>
      </c>
      <c r="B417" s="2" t="s">
        <v>5712</v>
      </c>
      <c r="C417" s="2" t="s">
        <v>5713</v>
      </c>
      <c r="D417" s="2" t="s">
        <v>5714</v>
      </c>
      <c r="E417" s="2" t="s">
        <v>5715</v>
      </c>
      <c r="F417" s="2" t="s">
        <v>5716</v>
      </c>
      <c r="G417" s="2" t="s">
        <v>233</v>
      </c>
      <c r="H417" s="17">
        <v>50</v>
      </c>
      <c r="I417" s="31">
        <f t="shared" si="48"/>
        <v>50000</v>
      </c>
      <c r="J417" s="31">
        <f t="shared" si="49"/>
        <v>3500.0000000000005</v>
      </c>
      <c r="K417" s="44">
        <f t="shared" si="50"/>
        <v>9.589041095890412</v>
      </c>
      <c r="L417" s="3">
        <f t="shared" si="51"/>
        <v>709.58904109589048</v>
      </c>
      <c r="M417" s="3">
        <f t="shared" si="52"/>
        <v>42.57534246575343</v>
      </c>
      <c r="N417" s="67">
        <f t="shared" si="53"/>
        <v>667.01369863013701</v>
      </c>
      <c r="O417" s="3"/>
      <c r="P417" s="70" t="s">
        <v>18617</v>
      </c>
      <c r="Q417" s="2" t="s">
        <v>438</v>
      </c>
      <c r="R417" s="2" t="s">
        <v>5717</v>
      </c>
      <c r="T417" t="s">
        <v>18666</v>
      </c>
      <c r="U417" t="s">
        <v>18652</v>
      </c>
      <c r="V417" s="104">
        <v>45857</v>
      </c>
      <c r="X417" s="97"/>
      <c r="Y417" s="75">
        <v>667.02</v>
      </c>
    </row>
    <row r="418" spans="1:25" x14ac:dyDescent="0.25">
      <c r="A418" s="76">
        <v>449</v>
      </c>
      <c r="B418" s="2" t="s">
        <v>10302</v>
      </c>
      <c r="C418" s="2" t="s">
        <v>10303</v>
      </c>
      <c r="D418" s="2" t="s">
        <v>1898</v>
      </c>
      <c r="E418" s="2" t="s">
        <v>10304</v>
      </c>
      <c r="F418" s="2" t="s">
        <v>10305</v>
      </c>
      <c r="G418" s="2" t="s">
        <v>282</v>
      </c>
      <c r="H418" s="17">
        <v>100</v>
      </c>
      <c r="I418" s="31">
        <f t="shared" si="48"/>
        <v>100000</v>
      </c>
      <c r="J418" s="31">
        <f t="shared" si="49"/>
        <v>7000.0000000000009</v>
      </c>
      <c r="K418" s="44">
        <f t="shared" si="50"/>
        <v>19.178082191780824</v>
      </c>
      <c r="L418" s="3">
        <f t="shared" si="51"/>
        <v>1419.178082191781</v>
      </c>
      <c r="M418" s="3">
        <f t="shared" si="52"/>
        <v>85.150684931506859</v>
      </c>
      <c r="N418" s="67">
        <f t="shared" si="53"/>
        <v>1334.027397260274</v>
      </c>
      <c r="O418" s="3"/>
      <c r="P418" s="70" t="s">
        <v>18617</v>
      </c>
      <c r="Q418" s="2" t="s">
        <v>438</v>
      </c>
      <c r="R418" s="2" t="s">
        <v>10306</v>
      </c>
      <c r="T418" t="s">
        <v>18666</v>
      </c>
      <c r="U418" t="s">
        <v>18652</v>
      </c>
      <c r="V418" s="104">
        <v>45857</v>
      </c>
      <c r="X418" s="97"/>
      <c r="Y418" s="75">
        <v>1334.03</v>
      </c>
    </row>
    <row r="419" spans="1:25" x14ac:dyDescent="0.25">
      <c r="A419" s="76">
        <v>450</v>
      </c>
      <c r="B419" s="2" t="s">
        <v>10547</v>
      </c>
      <c r="C419" s="2" t="s">
        <v>10548</v>
      </c>
      <c r="D419" s="2" t="s">
        <v>10549</v>
      </c>
      <c r="E419" s="2" t="s">
        <v>10550</v>
      </c>
      <c r="F419" s="2" t="s">
        <v>10551</v>
      </c>
      <c r="G419" s="2" t="s">
        <v>835</v>
      </c>
      <c r="H419" s="17">
        <v>25</v>
      </c>
      <c r="I419" s="31">
        <f t="shared" si="48"/>
        <v>25000</v>
      </c>
      <c r="J419" s="31">
        <f t="shared" si="49"/>
        <v>1750.0000000000002</v>
      </c>
      <c r="K419" s="44">
        <f t="shared" si="50"/>
        <v>4.794520547945206</v>
      </c>
      <c r="L419" s="3">
        <f t="shared" si="51"/>
        <v>354.79452054794524</v>
      </c>
      <c r="M419" s="3">
        <f t="shared" si="52"/>
        <v>21.287671232876715</v>
      </c>
      <c r="N419" s="67">
        <f t="shared" si="53"/>
        <v>333.50684931506851</v>
      </c>
      <c r="O419" s="3"/>
      <c r="P419" s="70" t="s">
        <v>18617</v>
      </c>
      <c r="Q419" s="2" t="s">
        <v>438</v>
      </c>
      <c r="R419" s="2" t="s">
        <v>10552</v>
      </c>
      <c r="T419" t="s">
        <v>18666</v>
      </c>
      <c r="U419" t="s">
        <v>18652</v>
      </c>
      <c r="V419" s="104">
        <v>45857</v>
      </c>
      <c r="X419" s="97"/>
      <c r="Y419" s="75">
        <v>333.51</v>
      </c>
    </row>
    <row r="420" spans="1:25" x14ac:dyDescent="0.25">
      <c r="A420" s="76">
        <v>451</v>
      </c>
      <c r="B420" s="2" t="s">
        <v>12423</v>
      </c>
      <c r="C420" s="2" t="s">
        <v>12424</v>
      </c>
      <c r="D420" s="2" t="s">
        <v>12425</v>
      </c>
      <c r="E420" s="2" t="s">
        <v>12426</v>
      </c>
      <c r="F420" s="2" t="s">
        <v>12427</v>
      </c>
      <c r="G420" s="2" t="s">
        <v>296</v>
      </c>
      <c r="H420" s="17">
        <v>25</v>
      </c>
      <c r="I420" s="31">
        <f t="shared" si="48"/>
        <v>25000</v>
      </c>
      <c r="J420" s="31">
        <f t="shared" si="49"/>
        <v>1750.0000000000002</v>
      </c>
      <c r="K420" s="44">
        <f t="shared" si="50"/>
        <v>4.794520547945206</v>
      </c>
      <c r="L420" s="3">
        <f t="shared" si="51"/>
        <v>354.79452054794524</v>
      </c>
      <c r="M420" s="3">
        <f t="shared" si="52"/>
        <v>21.287671232876715</v>
      </c>
      <c r="N420" s="67">
        <f t="shared" si="53"/>
        <v>333.50684931506851</v>
      </c>
      <c r="O420" s="3"/>
      <c r="P420" s="70" t="s">
        <v>18617</v>
      </c>
      <c r="Q420" s="2" t="s">
        <v>438</v>
      </c>
      <c r="R420" s="2" t="s">
        <v>12428</v>
      </c>
      <c r="T420" t="s">
        <v>18666</v>
      </c>
      <c r="U420" t="s">
        <v>18652</v>
      </c>
      <c r="V420" s="104">
        <v>45857</v>
      </c>
      <c r="X420" s="97"/>
      <c r="Y420" s="75">
        <v>333.51</v>
      </c>
    </row>
    <row r="421" spans="1:25" x14ac:dyDescent="0.25">
      <c r="A421" s="76">
        <v>452</v>
      </c>
      <c r="B421" s="2" t="s">
        <v>5492</v>
      </c>
      <c r="C421" s="2" t="s">
        <v>5493</v>
      </c>
      <c r="D421" s="2" t="s">
        <v>899</v>
      </c>
      <c r="E421" s="2" t="s">
        <v>5494</v>
      </c>
      <c r="F421" s="2" t="s">
        <v>5495</v>
      </c>
      <c r="G421" s="2" t="s">
        <v>233</v>
      </c>
      <c r="H421" s="17">
        <v>25</v>
      </c>
      <c r="I421" s="31">
        <f t="shared" si="48"/>
        <v>25000</v>
      </c>
      <c r="J421" s="31">
        <f t="shared" si="49"/>
        <v>1750.0000000000002</v>
      </c>
      <c r="K421" s="44">
        <f t="shared" si="50"/>
        <v>4.794520547945206</v>
      </c>
      <c r="L421" s="3">
        <f t="shared" si="51"/>
        <v>354.79452054794524</v>
      </c>
      <c r="M421" s="3">
        <f t="shared" si="52"/>
        <v>21.287671232876715</v>
      </c>
      <c r="N421" s="67">
        <f t="shared" si="53"/>
        <v>333.50684931506851</v>
      </c>
      <c r="O421" s="3"/>
      <c r="P421" s="70" t="s">
        <v>18617</v>
      </c>
      <c r="Q421" s="2" t="s">
        <v>438</v>
      </c>
      <c r="R421" s="2" t="s">
        <v>5496</v>
      </c>
      <c r="T421" t="s">
        <v>18666</v>
      </c>
      <c r="U421" t="s">
        <v>18652</v>
      </c>
      <c r="V421" s="104">
        <v>45857</v>
      </c>
      <c r="X421" s="97"/>
      <c r="Y421" s="75">
        <v>333.51</v>
      </c>
    </row>
    <row r="422" spans="1:25" x14ac:dyDescent="0.25">
      <c r="A422" s="76">
        <v>453</v>
      </c>
      <c r="B422" s="2" t="s">
        <v>433</v>
      </c>
      <c r="C422" s="2" t="s">
        <v>434</v>
      </c>
      <c r="D422" s="2" t="s">
        <v>435</v>
      </c>
      <c r="E422" s="2" t="s">
        <v>436</v>
      </c>
      <c r="F422" s="2" t="s">
        <v>437</v>
      </c>
      <c r="G422" s="2" t="s">
        <v>362</v>
      </c>
      <c r="H422" s="17">
        <v>25</v>
      </c>
      <c r="I422" s="31">
        <f t="shared" si="48"/>
        <v>25000</v>
      </c>
      <c r="J422" s="31">
        <f t="shared" si="49"/>
        <v>1750.0000000000002</v>
      </c>
      <c r="K422" s="44">
        <f t="shared" si="50"/>
        <v>4.794520547945206</v>
      </c>
      <c r="L422" s="3">
        <f t="shared" si="51"/>
        <v>354.79452054794524</v>
      </c>
      <c r="M422" s="3">
        <f t="shared" si="52"/>
        <v>21.287671232876715</v>
      </c>
      <c r="N422" s="67">
        <f t="shared" si="53"/>
        <v>333.50684931506851</v>
      </c>
      <c r="O422" s="3"/>
      <c r="P422" s="70" t="s">
        <v>18617</v>
      </c>
      <c r="Q422" s="2" t="s">
        <v>438</v>
      </c>
      <c r="R422" s="2" t="s">
        <v>439</v>
      </c>
      <c r="T422" t="s">
        <v>18666</v>
      </c>
      <c r="U422" t="s">
        <v>18652</v>
      </c>
      <c r="V422" s="104">
        <v>45857</v>
      </c>
      <c r="X422" s="97"/>
      <c r="Y422" s="75">
        <v>333.51</v>
      </c>
    </row>
    <row r="423" spans="1:25" x14ac:dyDescent="0.25">
      <c r="A423" s="76">
        <v>454</v>
      </c>
      <c r="B423" s="2" t="s">
        <v>14619</v>
      </c>
      <c r="C423" s="2" t="s">
        <v>14620</v>
      </c>
      <c r="D423" s="2" t="s">
        <v>14621</v>
      </c>
      <c r="E423" s="2" t="s">
        <v>14622</v>
      </c>
      <c r="F423" s="2" t="s">
        <v>14623</v>
      </c>
      <c r="G423" s="2" t="s">
        <v>381</v>
      </c>
      <c r="H423" s="17">
        <v>25</v>
      </c>
      <c r="I423" s="31">
        <f t="shared" si="48"/>
        <v>25000</v>
      </c>
      <c r="J423" s="31">
        <f t="shared" si="49"/>
        <v>1750.0000000000002</v>
      </c>
      <c r="K423" s="44">
        <f t="shared" si="50"/>
        <v>4.794520547945206</v>
      </c>
      <c r="L423" s="3">
        <f t="shared" si="51"/>
        <v>354.79452054794524</v>
      </c>
      <c r="M423" s="3">
        <f t="shared" si="52"/>
        <v>21.287671232876715</v>
      </c>
      <c r="N423" s="67">
        <f t="shared" si="53"/>
        <v>333.50684931506851</v>
      </c>
      <c r="O423" s="3"/>
      <c r="P423" s="70" t="s">
        <v>18617</v>
      </c>
      <c r="Q423" s="2" t="s">
        <v>438</v>
      </c>
      <c r="R423" s="2" t="s">
        <v>14624</v>
      </c>
      <c r="T423" t="s">
        <v>18666</v>
      </c>
      <c r="U423" t="s">
        <v>18652</v>
      </c>
      <c r="V423" s="104">
        <v>45857</v>
      </c>
      <c r="X423" s="97"/>
      <c r="Y423" s="75">
        <v>333.51</v>
      </c>
    </row>
    <row r="424" spans="1:25" x14ac:dyDescent="0.25">
      <c r="A424" s="76">
        <v>455</v>
      </c>
      <c r="B424" s="2" t="s">
        <v>12282</v>
      </c>
      <c r="C424" s="2" t="s">
        <v>12283</v>
      </c>
      <c r="D424" s="2" t="s">
        <v>12284</v>
      </c>
      <c r="E424" s="2" t="s">
        <v>12285</v>
      </c>
      <c r="F424" s="2" t="s">
        <v>12286</v>
      </c>
      <c r="G424" s="2" t="s">
        <v>247</v>
      </c>
      <c r="H424" s="17">
        <v>25</v>
      </c>
      <c r="I424" s="31">
        <f t="shared" si="48"/>
        <v>25000</v>
      </c>
      <c r="J424" s="31">
        <f t="shared" si="49"/>
        <v>1750.0000000000002</v>
      </c>
      <c r="K424" s="44">
        <f t="shared" si="50"/>
        <v>4.794520547945206</v>
      </c>
      <c r="L424" s="3">
        <f t="shared" si="51"/>
        <v>354.79452054794524</v>
      </c>
      <c r="M424" s="3">
        <f t="shared" si="52"/>
        <v>21.287671232876715</v>
      </c>
      <c r="N424" s="67">
        <f t="shared" si="53"/>
        <v>333.50684931506851</v>
      </c>
      <c r="O424" s="3"/>
      <c r="P424" s="70" t="s">
        <v>18617</v>
      </c>
      <c r="Q424" s="2" t="s">
        <v>438</v>
      </c>
      <c r="R424" s="2" t="s">
        <v>12287</v>
      </c>
      <c r="T424" t="s">
        <v>18666</v>
      </c>
      <c r="U424" t="s">
        <v>18652</v>
      </c>
      <c r="V424" s="104">
        <v>45857</v>
      </c>
      <c r="X424" s="97"/>
      <c r="Y424" s="75">
        <v>333.51</v>
      </c>
    </row>
    <row r="425" spans="1:25" x14ac:dyDescent="0.25">
      <c r="A425" s="76">
        <v>456</v>
      </c>
      <c r="B425" s="2" t="s">
        <v>11625</v>
      </c>
      <c r="C425" s="2" t="s">
        <v>11626</v>
      </c>
      <c r="D425" s="2" t="s">
        <v>11627</v>
      </c>
      <c r="E425" s="2" t="s">
        <v>11628</v>
      </c>
      <c r="F425" s="2" t="s">
        <v>11629</v>
      </c>
      <c r="G425" s="2" t="s">
        <v>166</v>
      </c>
      <c r="H425" s="17">
        <v>25</v>
      </c>
      <c r="I425" s="31">
        <f t="shared" si="48"/>
        <v>25000</v>
      </c>
      <c r="J425" s="31">
        <f t="shared" si="49"/>
        <v>1750.0000000000002</v>
      </c>
      <c r="K425" s="44">
        <f t="shared" si="50"/>
        <v>4.794520547945206</v>
      </c>
      <c r="L425" s="3">
        <f t="shared" si="51"/>
        <v>354.79452054794524</v>
      </c>
      <c r="M425" s="3">
        <f t="shared" si="52"/>
        <v>21.287671232876715</v>
      </c>
      <c r="N425" s="67">
        <f t="shared" si="53"/>
        <v>333.50684931506851</v>
      </c>
      <c r="O425" s="3"/>
      <c r="P425" s="70" t="s">
        <v>18617</v>
      </c>
      <c r="Q425" s="2" t="s">
        <v>438</v>
      </c>
      <c r="R425" s="2" t="s">
        <v>11630</v>
      </c>
      <c r="T425" t="s">
        <v>18666</v>
      </c>
      <c r="U425" t="s">
        <v>18652</v>
      </c>
      <c r="V425" s="104">
        <v>45857</v>
      </c>
      <c r="X425" s="97"/>
      <c r="Y425" s="75">
        <v>333.51</v>
      </c>
    </row>
    <row r="426" spans="1:25" x14ac:dyDescent="0.25">
      <c r="A426" s="76">
        <v>457</v>
      </c>
      <c r="B426" s="2" t="s">
        <v>11909</v>
      </c>
      <c r="C426" s="2" t="s">
        <v>11910</v>
      </c>
      <c r="D426" s="2" t="s">
        <v>11911</v>
      </c>
      <c r="E426" s="2" t="s">
        <v>11912</v>
      </c>
      <c r="F426" s="2" t="s">
        <v>11913</v>
      </c>
      <c r="G426" s="2" t="s">
        <v>268</v>
      </c>
      <c r="H426" s="17">
        <v>25</v>
      </c>
      <c r="I426" s="31">
        <f t="shared" si="48"/>
        <v>25000</v>
      </c>
      <c r="J426" s="31">
        <f t="shared" si="49"/>
        <v>1750.0000000000002</v>
      </c>
      <c r="K426" s="44">
        <f t="shared" si="50"/>
        <v>4.794520547945206</v>
      </c>
      <c r="L426" s="3">
        <f t="shared" si="51"/>
        <v>354.79452054794524</v>
      </c>
      <c r="M426" s="3">
        <f t="shared" si="52"/>
        <v>21.287671232876715</v>
      </c>
      <c r="N426" s="67">
        <f t="shared" si="53"/>
        <v>333.50684931506851</v>
      </c>
      <c r="O426" s="3"/>
      <c r="P426" s="70" t="s">
        <v>18617</v>
      </c>
      <c r="Q426" s="2" t="s">
        <v>438</v>
      </c>
      <c r="R426" s="2" t="s">
        <v>11914</v>
      </c>
      <c r="T426" t="s">
        <v>18666</v>
      </c>
      <c r="U426" t="s">
        <v>18652</v>
      </c>
      <c r="V426" s="104">
        <v>45857</v>
      </c>
      <c r="X426" s="97"/>
      <c r="Y426" s="75">
        <v>333.51</v>
      </c>
    </row>
    <row r="427" spans="1:25" x14ac:dyDescent="0.25">
      <c r="A427" s="76">
        <v>458</v>
      </c>
      <c r="B427" s="2" t="s">
        <v>3854</v>
      </c>
      <c r="C427" s="2" t="s">
        <v>3855</v>
      </c>
      <c r="D427" s="2" t="s">
        <v>3856</v>
      </c>
      <c r="E427" s="2" t="s">
        <v>3857</v>
      </c>
      <c r="F427" s="2" t="s">
        <v>3858</v>
      </c>
      <c r="G427" s="2" t="s">
        <v>31</v>
      </c>
      <c r="H427" s="17">
        <v>25</v>
      </c>
      <c r="I427" s="31">
        <f t="shared" si="48"/>
        <v>25000</v>
      </c>
      <c r="J427" s="31">
        <f t="shared" si="49"/>
        <v>1750.0000000000002</v>
      </c>
      <c r="K427" s="44">
        <f t="shared" si="50"/>
        <v>4.794520547945206</v>
      </c>
      <c r="L427" s="3">
        <f t="shared" si="51"/>
        <v>354.79452054794524</v>
      </c>
      <c r="M427" s="3">
        <f t="shared" si="52"/>
        <v>21.287671232876715</v>
      </c>
      <c r="N427" s="67">
        <f t="shared" si="53"/>
        <v>333.50684931506851</v>
      </c>
      <c r="O427" s="3"/>
      <c r="P427" s="70" t="s">
        <v>18617</v>
      </c>
      <c r="Q427" s="2" t="s">
        <v>438</v>
      </c>
      <c r="R427" s="2" t="s">
        <v>3859</v>
      </c>
      <c r="T427" t="s">
        <v>18666</v>
      </c>
      <c r="U427" t="s">
        <v>18652</v>
      </c>
      <c r="V427" s="104">
        <v>45857</v>
      </c>
      <c r="X427" s="97"/>
      <c r="Y427" s="75">
        <v>333.51</v>
      </c>
    </row>
    <row r="428" spans="1:25" x14ac:dyDescent="0.25">
      <c r="A428" s="76">
        <v>459</v>
      </c>
      <c r="B428" s="2" t="s">
        <v>15261</v>
      </c>
      <c r="C428" s="2" t="s">
        <v>15262</v>
      </c>
      <c r="D428" s="2" t="s">
        <v>15263</v>
      </c>
      <c r="E428" s="2" t="s">
        <v>15264</v>
      </c>
      <c r="F428" s="2" t="s">
        <v>15265</v>
      </c>
      <c r="G428" s="2" t="s">
        <v>750</v>
      </c>
      <c r="H428" s="17">
        <v>25</v>
      </c>
      <c r="I428" s="31">
        <f t="shared" si="48"/>
        <v>25000</v>
      </c>
      <c r="J428" s="31">
        <f t="shared" si="49"/>
        <v>1750.0000000000002</v>
      </c>
      <c r="K428" s="44">
        <f t="shared" si="50"/>
        <v>4.794520547945206</v>
      </c>
      <c r="L428" s="3">
        <f t="shared" si="51"/>
        <v>354.79452054794524</v>
      </c>
      <c r="M428" s="3">
        <f t="shared" si="52"/>
        <v>21.287671232876715</v>
      </c>
      <c r="N428" s="67">
        <f t="shared" si="53"/>
        <v>333.50684931506851</v>
      </c>
      <c r="O428" s="3"/>
      <c r="P428" s="70" t="s">
        <v>18617</v>
      </c>
      <c r="Q428" s="2" t="s">
        <v>438</v>
      </c>
      <c r="R428" s="2" t="s">
        <v>15266</v>
      </c>
      <c r="T428" t="s">
        <v>18666</v>
      </c>
      <c r="U428" t="s">
        <v>18652</v>
      </c>
      <c r="V428" s="104">
        <v>45857</v>
      </c>
      <c r="X428" s="97"/>
      <c r="Y428" s="75">
        <v>333.51</v>
      </c>
    </row>
    <row r="429" spans="1:25" x14ac:dyDescent="0.25">
      <c r="A429" s="76">
        <v>460</v>
      </c>
      <c r="B429" s="2" t="s">
        <v>7713</v>
      </c>
      <c r="C429" s="2" t="s">
        <v>7714</v>
      </c>
      <c r="D429" s="2" t="s">
        <v>7715</v>
      </c>
      <c r="E429" s="2" t="s">
        <v>7716</v>
      </c>
      <c r="F429" s="2" t="s">
        <v>7717</v>
      </c>
      <c r="G429" s="2" t="s">
        <v>31</v>
      </c>
      <c r="H429" s="17">
        <v>7500</v>
      </c>
      <c r="I429" s="31">
        <f t="shared" si="48"/>
        <v>7500000</v>
      </c>
      <c r="J429" s="31">
        <f t="shared" si="49"/>
        <v>525000</v>
      </c>
      <c r="K429" s="44">
        <f t="shared" si="50"/>
        <v>1438.3561643835617</v>
      </c>
      <c r="L429" s="3">
        <f t="shared" si="51"/>
        <v>106438.35616438357</v>
      </c>
      <c r="M429" s="3">
        <f t="shared" si="52"/>
        <v>6386.3013698630139</v>
      </c>
      <c r="N429" s="67">
        <f t="shared" si="53"/>
        <v>100052.05479452056</v>
      </c>
      <c r="O429" s="3"/>
      <c r="P429" s="70" t="s">
        <v>18617</v>
      </c>
      <c r="Q429" s="2" t="s">
        <v>438</v>
      </c>
      <c r="R429" s="2" t="s">
        <v>7718</v>
      </c>
      <c r="T429" t="s">
        <v>18666</v>
      </c>
      <c r="U429" t="s">
        <v>18652</v>
      </c>
      <c r="V429" s="104">
        <v>45857</v>
      </c>
      <c r="X429" s="97"/>
      <c r="Y429" s="75">
        <v>100052.06</v>
      </c>
    </row>
    <row r="430" spans="1:25" x14ac:dyDescent="0.25">
      <c r="A430" s="76">
        <v>461</v>
      </c>
      <c r="B430" s="2" t="s">
        <v>15796</v>
      </c>
      <c r="C430" s="2" t="s">
        <v>15797</v>
      </c>
      <c r="D430" s="2" t="s">
        <v>15798</v>
      </c>
      <c r="E430" s="2" t="s">
        <v>15799</v>
      </c>
      <c r="F430" s="2" t="s">
        <v>15800</v>
      </c>
      <c r="G430" s="2" t="s">
        <v>835</v>
      </c>
      <c r="H430" s="17">
        <v>25</v>
      </c>
      <c r="I430" s="31">
        <f t="shared" si="48"/>
        <v>25000</v>
      </c>
      <c r="J430" s="31">
        <f t="shared" si="49"/>
        <v>1750.0000000000002</v>
      </c>
      <c r="K430" s="44">
        <f t="shared" si="50"/>
        <v>4.794520547945206</v>
      </c>
      <c r="L430" s="3">
        <f t="shared" si="51"/>
        <v>354.79452054794524</v>
      </c>
      <c r="M430" s="3">
        <f t="shared" si="52"/>
        <v>21.287671232876715</v>
      </c>
      <c r="N430" s="67">
        <f t="shared" si="53"/>
        <v>333.50684931506851</v>
      </c>
      <c r="O430" s="3"/>
      <c r="P430" s="70" t="s">
        <v>18617</v>
      </c>
      <c r="Q430" s="2" t="s">
        <v>438</v>
      </c>
      <c r="R430" s="2" t="s">
        <v>15801</v>
      </c>
      <c r="T430" t="s">
        <v>18666</v>
      </c>
      <c r="U430" t="s">
        <v>18652</v>
      </c>
      <c r="V430" s="104">
        <v>45857</v>
      </c>
      <c r="X430" s="97"/>
      <c r="Y430" s="75">
        <v>333.51</v>
      </c>
    </row>
    <row r="431" spans="1:25" x14ac:dyDescent="0.25">
      <c r="A431" s="76">
        <v>462</v>
      </c>
      <c r="B431" s="2" t="s">
        <v>7432</v>
      </c>
      <c r="C431" s="2" t="s">
        <v>7433</v>
      </c>
      <c r="D431" s="2" t="s">
        <v>7434</v>
      </c>
      <c r="E431" s="2" t="s">
        <v>7435</v>
      </c>
      <c r="F431" s="2" t="s">
        <v>7436</v>
      </c>
      <c r="G431" s="2" t="s">
        <v>158</v>
      </c>
      <c r="H431" s="17">
        <v>45</v>
      </c>
      <c r="I431" s="31">
        <f t="shared" si="48"/>
        <v>45000</v>
      </c>
      <c r="J431" s="31">
        <f t="shared" si="49"/>
        <v>3150.0000000000005</v>
      </c>
      <c r="K431" s="44">
        <f t="shared" si="50"/>
        <v>8.6301369863013715</v>
      </c>
      <c r="L431" s="3">
        <f t="shared" si="51"/>
        <v>638.63013698630152</v>
      </c>
      <c r="M431" s="3">
        <f t="shared" si="52"/>
        <v>38.31780821917809</v>
      </c>
      <c r="N431" s="67">
        <f t="shared" si="53"/>
        <v>600.3123287671234</v>
      </c>
      <c r="O431" s="3"/>
      <c r="P431" s="70" t="s">
        <v>18617</v>
      </c>
      <c r="Q431" s="2" t="s">
        <v>438</v>
      </c>
      <c r="R431" s="2" t="s">
        <v>7437</v>
      </c>
      <c r="T431" t="s">
        <v>18666</v>
      </c>
      <c r="U431" t="s">
        <v>18652</v>
      </c>
      <c r="V431" s="104">
        <v>45857</v>
      </c>
      <c r="X431" s="97"/>
      <c r="Y431" s="75">
        <v>600.31999999999994</v>
      </c>
    </row>
    <row r="432" spans="1:25" x14ac:dyDescent="0.25">
      <c r="A432" s="76">
        <v>463</v>
      </c>
      <c r="B432" s="2" t="s">
        <v>964</v>
      </c>
      <c r="C432" s="2" t="s">
        <v>965</v>
      </c>
      <c r="D432" s="2" t="s">
        <v>966</v>
      </c>
      <c r="E432" s="2" t="s">
        <v>967</v>
      </c>
      <c r="F432" s="2" t="s">
        <v>968</v>
      </c>
      <c r="G432" s="2" t="s">
        <v>328</v>
      </c>
      <c r="H432" s="17">
        <v>25</v>
      </c>
      <c r="I432" s="31">
        <f t="shared" si="48"/>
        <v>25000</v>
      </c>
      <c r="J432" s="31">
        <f t="shared" si="49"/>
        <v>1750.0000000000002</v>
      </c>
      <c r="K432" s="44">
        <f t="shared" si="50"/>
        <v>4.794520547945206</v>
      </c>
      <c r="L432" s="3">
        <f t="shared" si="51"/>
        <v>354.79452054794524</v>
      </c>
      <c r="M432" s="3">
        <f t="shared" si="52"/>
        <v>21.287671232876715</v>
      </c>
      <c r="N432" s="67">
        <f t="shared" si="53"/>
        <v>333.50684931506851</v>
      </c>
      <c r="O432" s="3"/>
      <c r="P432" s="70" t="s">
        <v>18618</v>
      </c>
      <c r="Q432" s="2" t="s">
        <v>159</v>
      </c>
      <c r="R432" s="2" t="s">
        <v>969</v>
      </c>
      <c r="T432" t="s">
        <v>18666</v>
      </c>
      <c r="U432" t="s">
        <v>18652</v>
      </c>
      <c r="V432" s="104">
        <v>45857</v>
      </c>
      <c r="X432" s="97"/>
      <c r="Y432" s="75">
        <v>333.51</v>
      </c>
    </row>
    <row r="433" spans="1:25" x14ac:dyDescent="0.25">
      <c r="A433" s="76">
        <v>464</v>
      </c>
      <c r="B433" s="2" t="s">
        <v>14292</v>
      </c>
      <c r="C433" s="2" t="s">
        <v>14293</v>
      </c>
      <c r="D433" s="2" t="s">
        <v>14294</v>
      </c>
      <c r="E433" s="2" t="s">
        <v>14295</v>
      </c>
      <c r="F433" s="2" t="s">
        <v>14296</v>
      </c>
      <c r="G433" s="2" t="s">
        <v>362</v>
      </c>
      <c r="H433" s="17">
        <v>25</v>
      </c>
      <c r="I433" s="31">
        <f t="shared" si="48"/>
        <v>25000</v>
      </c>
      <c r="J433" s="31">
        <f t="shared" si="49"/>
        <v>1750.0000000000002</v>
      </c>
      <c r="K433" s="44">
        <f t="shared" si="50"/>
        <v>4.794520547945206</v>
      </c>
      <c r="L433" s="3">
        <f t="shared" si="51"/>
        <v>354.79452054794524</v>
      </c>
      <c r="M433" s="3">
        <f t="shared" si="52"/>
        <v>21.287671232876715</v>
      </c>
      <c r="N433" s="67">
        <f t="shared" si="53"/>
        <v>333.50684931506851</v>
      </c>
      <c r="O433" s="3"/>
      <c r="P433" s="70" t="s">
        <v>18618</v>
      </c>
      <c r="Q433" s="2" t="s">
        <v>159</v>
      </c>
      <c r="R433" s="2" t="s">
        <v>14297</v>
      </c>
      <c r="T433" t="s">
        <v>18666</v>
      </c>
      <c r="U433" t="s">
        <v>18652</v>
      </c>
      <c r="V433" s="104">
        <v>45857</v>
      </c>
      <c r="X433" s="97"/>
      <c r="Y433" s="75">
        <v>333.51</v>
      </c>
    </row>
    <row r="434" spans="1:25" x14ac:dyDescent="0.25">
      <c r="A434" s="76">
        <v>465</v>
      </c>
      <c r="B434" s="2" t="s">
        <v>14124</v>
      </c>
      <c r="C434" s="2" t="s">
        <v>14125</v>
      </c>
      <c r="D434" s="2" t="s">
        <v>14126</v>
      </c>
      <c r="E434" s="2" t="s">
        <v>14127</v>
      </c>
      <c r="F434" s="2" t="s">
        <v>14128</v>
      </c>
      <c r="G434" s="2" t="s">
        <v>580</v>
      </c>
      <c r="H434" s="17">
        <v>1100</v>
      </c>
      <c r="I434" s="31">
        <f t="shared" si="48"/>
        <v>1100000</v>
      </c>
      <c r="J434" s="31">
        <f t="shared" si="49"/>
        <v>77000.000000000015</v>
      </c>
      <c r="K434" s="44">
        <f t="shared" si="50"/>
        <v>210.95890410958907</v>
      </c>
      <c r="L434" s="3">
        <f t="shared" si="51"/>
        <v>15610.958904109591</v>
      </c>
      <c r="M434" s="3">
        <f t="shared" si="52"/>
        <v>936.65753424657544</v>
      </c>
      <c r="N434" s="67">
        <f t="shared" si="53"/>
        <v>14674.301369863017</v>
      </c>
      <c r="O434" s="3"/>
      <c r="P434" s="70" t="s">
        <v>18618</v>
      </c>
      <c r="Q434" s="2" t="s">
        <v>159</v>
      </c>
      <c r="R434" s="2" t="s">
        <v>14129</v>
      </c>
      <c r="T434" t="s">
        <v>18666</v>
      </c>
      <c r="U434" t="s">
        <v>18652</v>
      </c>
      <c r="V434" s="104">
        <v>45857</v>
      </c>
      <c r="X434" s="97"/>
      <c r="Y434" s="75">
        <v>14674.31</v>
      </c>
    </row>
    <row r="435" spans="1:25" x14ac:dyDescent="0.25">
      <c r="A435" s="76">
        <v>466</v>
      </c>
      <c r="B435" s="2" t="s">
        <v>4046</v>
      </c>
      <c r="C435" s="2" t="s">
        <v>3544</v>
      </c>
      <c r="D435" s="2" t="s">
        <v>4047</v>
      </c>
      <c r="E435" s="2" t="s">
        <v>4048</v>
      </c>
      <c r="F435" s="2" t="s">
        <v>4049</v>
      </c>
      <c r="G435" s="2" t="s">
        <v>233</v>
      </c>
      <c r="H435" s="17">
        <v>25</v>
      </c>
      <c r="I435" s="31">
        <f t="shared" si="48"/>
        <v>25000</v>
      </c>
      <c r="J435" s="31">
        <f t="shared" si="49"/>
        <v>1750.0000000000002</v>
      </c>
      <c r="K435" s="44">
        <f t="shared" si="50"/>
        <v>4.794520547945206</v>
      </c>
      <c r="L435" s="3">
        <f t="shared" si="51"/>
        <v>354.79452054794524</v>
      </c>
      <c r="M435" s="3">
        <f t="shared" si="52"/>
        <v>21.287671232876715</v>
      </c>
      <c r="N435" s="67">
        <f t="shared" si="53"/>
        <v>333.50684931506851</v>
      </c>
      <c r="O435" s="3"/>
      <c r="P435" s="70" t="s">
        <v>18618</v>
      </c>
      <c r="Q435" s="2" t="s">
        <v>159</v>
      </c>
      <c r="R435" s="2" t="s">
        <v>4050</v>
      </c>
      <c r="T435" t="s">
        <v>18666</v>
      </c>
      <c r="U435" t="s">
        <v>18652</v>
      </c>
      <c r="V435" s="104">
        <v>45857</v>
      </c>
      <c r="X435" s="97"/>
      <c r="Y435" s="75">
        <v>333.51</v>
      </c>
    </row>
    <row r="436" spans="1:25" x14ac:dyDescent="0.25">
      <c r="A436" s="76">
        <v>467</v>
      </c>
      <c r="B436" s="2" t="s">
        <v>752</v>
      </c>
      <c r="C436" s="2" t="s">
        <v>753</v>
      </c>
      <c r="D436" s="2" t="s">
        <v>754</v>
      </c>
      <c r="E436" s="2" t="s">
        <v>755</v>
      </c>
      <c r="F436" s="2" t="s">
        <v>756</v>
      </c>
      <c r="G436" s="2" t="s">
        <v>233</v>
      </c>
      <c r="H436" s="17">
        <v>25</v>
      </c>
      <c r="I436" s="31">
        <f t="shared" si="48"/>
        <v>25000</v>
      </c>
      <c r="J436" s="31">
        <f t="shared" si="49"/>
        <v>1750.0000000000002</v>
      </c>
      <c r="K436" s="44">
        <f t="shared" si="50"/>
        <v>4.794520547945206</v>
      </c>
      <c r="L436" s="3">
        <f t="shared" si="51"/>
        <v>354.79452054794524</v>
      </c>
      <c r="M436" s="3">
        <f t="shared" si="52"/>
        <v>21.287671232876715</v>
      </c>
      <c r="N436" s="67">
        <f t="shared" si="53"/>
        <v>333.50684931506851</v>
      </c>
      <c r="O436" s="3"/>
      <c r="P436" s="70" t="s">
        <v>18618</v>
      </c>
      <c r="Q436" s="2" t="s">
        <v>159</v>
      </c>
      <c r="R436" s="2" t="s">
        <v>757</v>
      </c>
      <c r="T436" t="s">
        <v>18666</v>
      </c>
      <c r="U436" t="s">
        <v>18652</v>
      </c>
      <c r="V436" s="104">
        <v>45857</v>
      </c>
      <c r="X436" s="97"/>
      <c r="Y436" s="75">
        <v>333.51</v>
      </c>
    </row>
    <row r="437" spans="1:25" x14ac:dyDescent="0.25">
      <c r="A437" s="76">
        <v>468</v>
      </c>
      <c r="B437" s="2" t="s">
        <v>2857</v>
      </c>
      <c r="C437" s="2" t="s">
        <v>2858</v>
      </c>
      <c r="D437" s="2" t="s">
        <v>2859</v>
      </c>
      <c r="E437" s="2" t="s">
        <v>2860</v>
      </c>
      <c r="F437" s="2" t="s">
        <v>2825</v>
      </c>
      <c r="G437" s="2" t="s">
        <v>74</v>
      </c>
      <c r="H437" s="17">
        <v>25</v>
      </c>
      <c r="I437" s="31">
        <f t="shared" si="48"/>
        <v>25000</v>
      </c>
      <c r="J437" s="31">
        <f t="shared" si="49"/>
        <v>1750.0000000000002</v>
      </c>
      <c r="K437" s="44">
        <f t="shared" si="50"/>
        <v>4.794520547945206</v>
      </c>
      <c r="L437" s="3">
        <f t="shared" si="51"/>
        <v>354.79452054794524</v>
      </c>
      <c r="M437" s="3">
        <f t="shared" si="52"/>
        <v>21.287671232876715</v>
      </c>
      <c r="N437" s="67">
        <f t="shared" si="53"/>
        <v>333.50684931506851</v>
      </c>
      <c r="O437" s="3"/>
      <c r="P437" s="70" t="s">
        <v>18618</v>
      </c>
      <c r="Q437" s="2" t="s">
        <v>159</v>
      </c>
      <c r="R437" s="2" t="s">
        <v>2861</v>
      </c>
      <c r="T437" t="s">
        <v>18666</v>
      </c>
      <c r="U437" t="s">
        <v>18652</v>
      </c>
      <c r="V437" s="104">
        <v>45857</v>
      </c>
      <c r="X437" s="97"/>
      <c r="Y437" s="75">
        <v>333.51</v>
      </c>
    </row>
    <row r="438" spans="1:25" x14ac:dyDescent="0.25">
      <c r="A438" s="76">
        <v>469</v>
      </c>
      <c r="B438" s="2" t="s">
        <v>12780</v>
      </c>
      <c r="C438" s="2" t="s">
        <v>12781</v>
      </c>
      <c r="D438" s="2" t="s">
        <v>12782</v>
      </c>
      <c r="E438" s="2" t="s">
        <v>12783</v>
      </c>
      <c r="F438" s="2" t="s">
        <v>12784</v>
      </c>
      <c r="G438" s="2" t="s">
        <v>328</v>
      </c>
      <c r="H438" s="17">
        <v>25</v>
      </c>
      <c r="I438" s="31">
        <f t="shared" si="48"/>
        <v>25000</v>
      </c>
      <c r="J438" s="31">
        <f t="shared" si="49"/>
        <v>1750.0000000000002</v>
      </c>
      <c r="K438" s="44">
        <f t="shared" si="50"/>
        <v>4.794520547945206</v>
      </c>
      <c r="L438" s="3">
        <f t="shared" si="51"/>
        <v>354.79452054794524</v>
      </c>
      <c r="M438" s="3">
        <f t="shared" si="52"/>
        <v>21.287671232876715</v>
      </c>
      <c r="N438" s="67">
        <f t="shared" si="53"/>
        <v>333.50684931506851</v>
      </c>
      <c r="O438" s="3"/>
      <c r="P438" s="70" t="s">
        <v>18618</v>
      </c>
      <c r="Q438" s="2" t="s">
        <v>159</v>
      </c>
      <c r="R438" s="2" t="s">
        <v>12785</v>
      </c>
      <c r="T438" t="s">
        <v>18666</v>
      </c>
      <c r="U438" t="s">
        <v>18652</v>
      </c>
      <c r="V438" s="104">
        <v>45857</v>
      </c>
      <c r="X438" s="97"/>
      <c r="Y438" s="75">
        <v>333.51</v>
      </c>
    </row>
    <row r="439" spans="1:25" x14ac:dyDescent="0.25">
      <c r="A439" s="76">
        <v>470</v>
      </c>
      <c r="B439" s="2" t="s">
        <v>12959</v>
      </c>
      <c r="C439" s="2" t="s">
        <v>12960</v>
      </c>
      <c r="D439" s="2" t="s">
        <v>12961</v>
      </c>
      <c r="E439" s="2" t="s">
        <v>12962</v>
      </c>
      <c r="F439" s="2" t="s">
        <v>12963</v>
      </c>
      <c r="G439" s="2" t="s">
        <v>309</v>
      </c>
      <c r="H439" s="17">
        <v>25</v>
      </c>
      <c r="I439" s="31">
        <f t="shared" si="48"/>
        <v>25000</v>
      </c>
      <c r="J439" s="31">
        <f t="shared" si="49"/>
        <v>1750.0000000000002</v>
      </c>
      <c r="K439" s="44">
        <f t="shared" si="50"/>
        <v>4.794520547945206</v>
      </c>
      <c r="L439" s="3">
        <f t="shared" si="51"/>
        <v>354.79452054794524</v>
      </c>
      <c r="M439" s="3">
        <f t="shared" si="52"/>
        <v>21.287671232876715</v>
      </c>
      <c r="N439" s="67">
        <f t="shared" si="53"/>
        <v>333.50684931506851</v>
      </c>
      <c r="O439" s="3"/>
      <c r="P439" s="70" t="s">
        <v>18618</v>
      </c>
      <c r="Q439" s="2" t="s">
        <v>159</v>
      </c>
      <c r="R439" s="2" t="s">
        <v>12964</v>
      </c>
      <c r="T439" t="s">
        <v>18666</v>
      </c>
      <c r="U439" t="s">
        <v>18652</v>
      </c>
      <c r="V439" s="104">
        <v>45857</v>
      </c>
      <c r="X439" s="97"/>
      <c r="Y439" s="75">
        <v>333.51</v>
      </c>
    </row>
    <row r="440" spans="1:25" x14ac:dyDescent="0.25">
      <c r="A440" s="76">
        <v>471</v>
      </c>
      <c r="B440" s="2" t="s">
        <v>9266</v>
      </c>
      <c r="C440" s="2" t="s">
        <v>7991</v>
      </c>
      <c r="D440" s="2" t="s">
        <v>9267</v>
      </c>
      <c r="E440" s="2" t="s">
        <v>9268</v>
      </c>
      <c r="F440" s="2" t="s">
        <v>9269</v>
      </c>
      <c r="G440" s="2" t="s">
        <v>750</v>
      </c>
      <c r="H440" s="17">
        <v>26</v>
      </c>
      <c r="I440" s="31">
        <f t="shared" si="48"/>
        <v>26000</v>
      </c>
      <c r="J440" s="31">
        <f t="shared" si="49"/>
        <v>1820.0000000000002</v>
      </c>
      <c r="K440" s="44">
        <f t="shared" si="50"/>
        <v>4.9863013698630141</v>
      </c>
      <c r="L440" s="3">
        <f t="shared" si="51"/>
        <v>368.98630136986304</v>
      </c>
      <c r="M440" s="3">
        <f t="shared" si="52"/>
        <v>22.139178082191783</v>
      </c>
      <c r="N440" s="67">
        <f t="shared" si="53"/>
        <v>346.84712328767125</v>
      </c>
      <c r="O440" s="3"/>
      <c r="P440" s="70" t="s">
        <v>18618</v>
      </c>
      <c r="Q440" s="2" t="s">
        <v>159</v>
      </c>
      <c r="R440" s="2" t="s">
        <v>9270</v>
      </c>
      <c r="T440" t="s">
        <v>18666</v>
      </c>
      <c r="U440" t="s">
        <v>18652</v>
      </c>
      <c r="V440" s="104">
        <v>45857</v>
      </c>
      <c r="X440" s="97"/>
      <c r="Y440" s="75">
        <v>346.84999999999997</v>
      </c>
    </row>
    <row r="441" spans="1:25" x14ac:dyDescent="0.25">
      <c r="A441" s="76">
        <v>472</v>
      </c>
      <c r="B441" s="2" t="s">
        <v>7843</v>
      </c>
      <c r="C441" s="2" t="s">
        <v>7844</v>
      </c>
      <c r="D441" s="2" t="s">
        <v>7845</v>
      </c>
      <c r="E441" s="2" t="s">
        <v>7846</v>
      </c>
      <c r="F441" s="2" t="s">
        <v>7847</v>
      </c>
      <c r="G441" s="2" t="s">
        <v>750</v>
      </c>
      <c r="H441" s="17">
        <v>25</v>
      </c>
      <c r="I441" s="31">
        <f t="shared" si="48"/>
        <v>25000</v>
      </c>
      <c r="J441" s="31">
        <f t="shared" si="49"/>
        <v>1750.0000000000002</v>
      </c>
      <c r="K441" s="44">
        <f t="shared" si="50"/>
        <v>4.794520547945206</v>
      </c>
      <c r="L441" s="3">
        <f t="shared" si="51"/>
        <v>354.79452054794524</v>
      </c>
      <c r="M441" s="3">
        <f t="shared" si="52"/>
        <v>21.287671232876715</v>
      </c>
      <c r="N441" s="67">
        <f t="shared" si="53"/>
        <v>333.50684931506851</v>
      </c>
      <c r="O441" s="3"/>
      <c r="P441" s="70" t="s">
        <v>18618</v>
      </c>
      <c r="Q441" s="2" t="s">
        <v>159</v>
      </c>
      <c r="R441" s="2" t="s">
        <v>7848</v>
      </c>
      <c r="T441" t="s">
        <v>18666</v>
      </c>
      <c r="U441" t="s">
        <v>18652</v>
      </c>
      <c r="V441" s="104">
        <v>45857</v>
      </c>
      <c r="X441" s="97"/>
      <c r="Y441" s="75">
        <v>333.51</v>
      </c>
    </row>
    <row r="442" spans="1:25" x14ac:dyDescent="0.25">
      <c r="A442" s="76">
        <v>473</v>
      </c>
      <c r="B442" s="2" t="s">
        <v>8060</v>
      </c>
      <c r="C442" s="2" t="s">
        <v>8061</v>
      </c>
      <c r="D442" s="2" t="s">
        <v>8062</v>
      </c>
      <c r="E442" s="2" t="s">
        <v>8063</v>
      </c>
      <c r="F442" s="2" t="s">
        <v>8064</v>
      </c>
      <c r="G442" s="2" t="s">
        <v>618</v>
      </c>
      <c r="H442" s="17">
        <v>25</v>
      </c>
      <c r="I442" s="31">
        <f t="shared" si="48"/>
        <v>25000</v>
      </c>
      <c r="J442" s="31">
        <f t="shared" si="49"/>
        <v>1750.0000000000002</v>
      </c>
      <c r="K442" s="44">
        <f t="shared" si="50"/>
        <v>4.794520547945206</v>
      </c>
      <c r="L442" s="3">
        <f t="shared" si="51"/>
        <v>354.79452054794524</v>
      </c>
      <c r="M442" s="3">
        <f t="shared" si="52"/>
        <v>21.287671232876715</v>
      </c>
      <c r="N442" s="67">
        <f t="shared" si="53"/>
        <v>333.50684931506851</v>
      </c>
      <c r="O442" s="3"/>
      <c r="P442" s="70" t="s">
        <v>18618</v>
      </c>
      <c r="Q442" s="2" t="s">
        <v>159</v>
      </c>
      <c r="R442" s="2" t="s">
        <v>8065</v>
      </c>
      <c r="T442" t="s">
        <v>18666</v>
      </c>
      <c r="U442" t="s">
        <v>18652</v>
      </c>
      <c r="V442" s="104">
        <v>45857</v>
      </c>
      <c r="X442" s="97"/>
      <c r="Y442" s="75">
        <v>333.51</v>
      </c>
    </row>
    <row r="443" spans="1:25" x14ac:dyDescent="0.25">
      <c r="A443" s="76">
        <v>474</v>
      </c>
      <c r="B443" s="2" t="s">
        <v>17347</v>
      </c>
      <c r="C443" s="2" t="s">
        <v>17348</v>
      </c>
      <c r="D443" s="2" t="s">
        <v>17349</v>
      </c>
      <c r="E443" s="2" t="s">
        <v>17350</v>
      </c>
      <c r="F443" s="2" t="s">
        <v>17351</v>
      </c>
      <c r="G443" s="2" t="s">
        <v>1104</v>
      </c>
      <c r="H443" s="17">
        <v>25</v>
      </c>
      <c r="I443" s="31">
        <f t="shared" si="48"/>
        <v>25000</v>
      </c>
      <c r="J443" s="31">
        <f t="shared" si="49"/>
        <v>1750.0000000000002</v>
      </c>
      <c r="K443" s="44">
        <f t="shared" si="50"/>
        <v>4.794520547945206</v>
      </c>
      <c r="L443" s="3">
        <f t="shared" si="51"/>
        <v>354.79452054794524</v>
      </c>
      <c r="M443" s="3">
        <f t="shared" si="52"/>
        <v>21.287671232876715</v>
      </c>
      <c r="N443" s="67">
        <f t="shared" si="53"/>
        <v>333.50684931506851</v>
      </c>
      <c r="O443" s="3"/>
      <c r="P443" s="70" t="s">
        <v>18618</v>
      </c>
      <c r="Q443" s="2" t="s">
        <v>159</v>
      </c>
      <c r="R443" s="2" t="s">
        <v>17352</v>
      </c>
      <c r="T443" t="s">
        <v>18666</v>
      </c>
      <c r="U443" t="s">
        <v>18652</v>
      </c>
      <c r="V443" s="104">
        <v>45857</v>
      </c>
      <c r="X443" s="97"/>
      <c r="Y443" s="75">
        <v>333.51</v>
      </c>
    </row>
    <row r="444" spans="1:25" x14ac:dyDescent="0.25">
      <c r="A444" s="76">
        <v>475</v>
      </c>
      <c r="B444" s="2" t="s">
        <v>6847</v>
      </c>
      <c r="C444" s="2" t="s">
        <v>6848</v>
      </c>
      <c r="D444" s="2" t="s">
        <v>6849</v>
      </c>
      <c r="E444" s="2" t="s">
        <v>6850</v>
      </c>
      <c r="F444" s="2" t="s">
        <v>6851</v>
      </c>
      <c r="G444" s="2" t="s">
        <v>31</v>
      </c>
      <c r="H444" s="17">
        <v>100</v>
      </c>
      <c r="I444" s="31">
        <f t="shared" si="48"/>
        <v>100000</v>
      </c>
      <c r="J444" s="31">
        <f t="shared" si="49"/>
        <v>7000.0000000000009</v>
      </c>
      <c r="K444" s="44">
        <f t="shared" si="50"/>
        <v>19.178082191780824</v>
      </c>
      <c r="L444" s="3">
        <f t="shared" si="51"/>
        <v>1419.178082191781</v>
      </c>
      <c r="M444" s="3">
        <f t="shared" si="52"/>
        <v>85.150684931506859</v>
      </c>
      <c r="N444" s="67">
        <f t="shared" si="53"/>
        <v>1334.027397260274</v>
      </c>
      <c r="O444" s="3"/>
      <c r="P444" s="70" t="s">
        <v>18618</v>
      </c>
      <c r="Q444" s="2" t="s">
        <v>159</v>
      </c>
      <c r="R444" s="2" t="s">
        <v>6852</v>
      </c>
      <c r="T444" t="s">
        <v>18666</v>
      </c>
      <c r="U444" t="s">
        <v>18652</v>
      </c>
      <c r="V444" s="104">
        <v>45857</v>
      </c>
      <c r="X444" s="97"/>
      <c r="Y444" s="75">
        <v>1334.03</v>
      </c>
    </row>
    <row r="445" spans="1:25" x14ac:dyDescent="0.25">
      <c r="A445" s="76">
        <v>476</v>
      </c>
      <c r="B445" s="2" t="s">
        <v>14705</v>
      </c>
      <c r="C445" s="2" t="s">
        <v>14706</v>
      </c>
      <c r="D445" s="2" t="s">
        <v>14707</v>
      </c>
      <c r="E445" s="2" t="s">
        <v>14708</v>
      </c>
      <c r="F445" s="2" t="s">
        <v>14709</v>
      </c>
      <c r="G445" s="2" t="s">
        <v>218</v>
      </c>
      <c r="H445" s="17">
        <v>50</v>
      </c>
      <c r="I445" s="31">
        <f t="shared" si="48"/>
        <v>50000</v>
      </c>
      <c r="J445" s="31">
        <f t="shared" si="49"/>
        <v>3500.0000000000005</v>
      </c>
      <c r="K445" s="44">
        <f t="shared" si="50"/>
        <v>9.589041095890412</v>
      </c>
      <c r="L445" s="3">
        <f t="shared" si="51"/>
        <v>709.58904109589048</v>
      </c>
      <c r="M445" s="3">
        <f t="shared" si="52"/>
        <v>42.57534246575343</v>
      </c>
      <c r="N445" s="67">
        <f t="shared" si="53"/>
        <v>667.01369863013701</v>
      </c>
      <c r="O445" s="3"/>
      <c r="P445" s="70" t="s">
        <v>18618</v>
      </c>
      <c r="Q445" s="2" t="s">
        <v>159</v>
      </c>
      <c r="R445" s="2" t="s">
        <v>14710</v>
      </c>
      <c r="T445" t="s">
        <v>18666</v>
      </c>
      <c r="U445" t="s">
        <v>18652</v>
      </c>
      <c r="V445" s="104">
        <v>45857</v>
      </c>
      <c r="X445" s="97"/>
      <c r="Y445" s="75">
        <v>667.02</v>
      </c>
    </row>
    <row r="446" spans="1:25" x14ac:dyDescent="0.25">
      <c r="A446" s="76">
        <v>477</v>
      </c>
      <c r="B446" s="2" t="s">
        <v>18172</v>
      </c>
      <c r="C446" s="2" t="s">
        <v>18173</v>
      </c>
      <c r="D446" s="2" t="s">
        <v>18174</v>
      </c>
      <c r="E446" s="2" t="s">
        <v>18175</v>
      </c>
      <c r="F446" s="2" t="s">
        <v>18176</v>
      </c>
      <c r="G446" s="2" t="s">
        <v>328</v>
      </c>
      <c r="H446" s="17">
        <v>25</v>
      </c>
      <c r="I446" s="31">
        <f t="shared" si="48"/>
        <v>25000</v>
      </c>
      <c r="J446" s="31">
        <f t="shared" si="49"/>
        <v>1750.0000000000002</v>
      </c>
      <c r="K446" s="44">
        <f t="shared" si="50"/>
        <v>4.794520547945206</v>
      </c>
      <c r="L446" s="3">
        <f t="shared" si="51"/>
        <v>354.79452054794524</v>
      </c>
      <c r="M446" s="3">
        <f t="shared" si="52"/>
        <v>21.287671232876715</v>
      </c>
      <c r="N446" s="67">
        <f t="shared" si="53"/>
        <v>333.50684931506851</v>
      </c>
      <c r="O446" s="3"/>
      <c r="P446" s="70" t="s">
        <v>18618</v>
      </c>
      <c r="Q446" s="2" t="s">
        <v>159</v>
      </c>
      <c r="R446" s="2" t="s">
        <v>18177</v>
      </c>
      <c r="T446" t="s">
        <v>18666</v>
      </c>
      <c r="U446" t="s">
        <v>18652</v>
      </c>
      <c r="V446" s="104">
        <v>45857</v>
      </c>
      <c r="X446" s="97"/>
      <c r="Y446" s="75">
        <v>333.51</v>
      </c>
    </row>
    <row r="447" spans="1:25" x14ac:dyDescent="0.25">
      <c r="A447" s="76">
        <v>478</v>
      </c>
      <c r="B447" s="2" t="s">
        <v>12411</v>
      </c>
      <c r="C447" s="2" t="s">
        <v>12412</v>
      </c>
      <c r="D447" s="2" t="s">
        <v>12413</v>
      </c>
      <c r="E447" s="2" t="s">
        <v>12414</v>
      </c>
      <c r="F447" s="2" t="s">
        <v>12415</v>
      </c>
      <c r="G447" s="2" t="s">
        <v>268</v>
      </c>
      <c r="H447" s="17">
        <v>25</v>
      </c>
      <c r="I447" s="31">
        <f t="shared" si="48"/>
        <v>25000</v>
      </c>
      <c r="J447" s="31">
        <f t="shared" si="49"/>
        <v>1750.0000000000002</v>
      </c>
      <c r="K447" s="44">
        <f t="shared" si="50"/>
        <v>4.794520547945206</v>
      </c>
      <c r="L447" s="3">
        <f t="shared" si="51"/>
        <v>354.79452054794524</v>
      </c>
      <c r="M447" s="3">
        <f t="shared" si="52"/>
        <v>21.287671232876715</v>
      </c>
      <c r="N447" s="67">
        <f t="shared" si="53"/>
        <v>333.50684931506851</v>
      </c>
      <c r="O447" s="3"/>
      <c r="P447" s="70" t="s">
        <v>18618</v>
      </c>
      <c r="Q447" s="2" t="s">
        <v>159</v>
      </c>
      <c r="R447" s="2" t="s">
        <v>12416</v>
      </c>
      <c r="T447" t="s">
        <v>18666</v>
      </c>
      <c r="U447" t="s">
        <v>18652</v>
      </c>
      <c r="V447" s="104">
        <v>45857</v>
      </c>
      <c r="X447" s="97"/>
      <c r="Y447" s="75">
        <v>333.51</v>
      </c>
    </row>
    <row r="448" spans="1:25" x14ac:dyDescent="0.25">
      <c r="A448" s="76">
        <v>479</v>
      </c>
      <c r="B448" s="2" t="s">
        <v>6966</v>
      </c>
      <c r="C448" s="2" t="s">
        <v>6967</v>
      </c>
      <c r="D448" s="2" t="s">
        <v>6968</v>
      </c>
      <c r="E448" s="2" t="s">
        <v>6969</v>
      </c>
      <c r="F448" s="2" t="s">
        <v>6970</v>
      </c>
      <c r="G448" s="2" t="s">
        <v>31</v>
      </c>
      <c r="H448" s="17">
        <v>1000</v>
      </c>
      <c r="I448" s="31">
        <f t="shared" si="48"/>
        <v>1000000</v>
      </c>
      <c r="J448" s="31">
        <f t="shared" si="49"/>
        <v>70000</v>
      </c>
      <c r="K448" s="44">
        <f t="shared" si="50"/>
        <v>191.78082191780823</v>
      </c>
      <c r="L448" s="3">
        <f t="shared" si="51"/>
        <v>14191.780821917808</v>
      </c>
      <c r="M448" s="3">
        <f t="shared" si="52"/>
        <v>851.50684931506839</v>
      </c>
      <c r="N448" s="67">
        <f t="shared" si="53"/>
        <v>13340.273972602739</v>
      </c>
      <c r="O448" s="3"/>
      <c r="P448" s="70" t="s">
        <v>18618</v>
      </c>
      <c r="Q448" s="2" t="s">
        <v>159</v>
      </c>
      <c r="R448" s="2" t="s">
        <v>6971</v>
      </c>
      <c r="T448" t="s">
        <v>18666</v>
      </c>
      <c r="U448" t="s">
        <v>18652</v>
      </c>
      <c r="V448" s="104">
        <v>45857</v>
      </c>
      <c r="X448" s="97"/>
      <c r="Y448" s="75">
        <v>13340.28</v>
      </c>
    </row>
    <row r="449" spans="1:25" x14ac:dyDescent="0.25">
      <c r="A449" s="76">
        <v>480</v>
      </c>
      <c r="B449" s="2" t="s">
        <v>5683</v>
      </c>
      <c r="C449" s="2" t="s">
        <v>5684</v>
      </c>
      <c r="D449" s="2" t="s">
        <v>5685</v>
      </c>
      <c r="E449" s="2" t="s">
        <v>5686</v>
      </c>
      <c r="F449" s="2" t="s">
        <v>5687</v>
      </c>
      <c r="G449" s="2" t="s">
        <v>1823</v>
      </c>
      <c r="H449" s="17">
        <v>25</v>
      </c>
      <c r="I449" s="31">
        <f t="shared" si="48"/>
        <v>25000</v>
      </c>
      <c r="J449" s="31">
        <f t="shared" si="49"/>
        <v>1750.0000000000002</v>
      </c>
      <c r="K449" s="44">
        <f t="shared" si="50"/>
        <v>4.794520547945206</v>
      </c>
      <c r="L449" s="3">
        <f t="shared" si="51"/>
        <v>354.79452054794524</v>
      </c>
      <c r="M449" s="3">
        <f t="shared" si="52"/>
        <v>21.287671232876715</v>
      </c>
      <c r="N449" s="67">
        <f t="shared" si="53"/>
        <v>333.50684931506851</v>
      </c>
      <c r="O449" s="3"/>
      <c r="P449" s="70" t="s">
        <v>18618</v>
      </c>
      <c r="Q449" s="2" t="s">
        <v>159</v>
      </c>
      <c r="R449" s="2" t="s">
        <v>5688</v>
      </c>
      <c r="T449" t="s">
        <v>18666</v>
      </c>
      <c r="U449" t="s">
        <v>18652</v>
      </c>
      <c r="V449" s="104">
        <v>45857</v>
      </c>
      <c r="X449" s="97"/>
      <c r="Y449" s="75">
        <v>333.51</v>
      </c>
    </row>
    <row r="450" spans="1:25" x14ac:dyDescent="0.25">
      <c r="A450" s="76">
        <v>481</v>
      </c>
      <c r="B450" s="2" t="s">
        <v>512</v>
      </c>
      <c r="C450" s="2" t="s">
        <v>513</v>
      </c>
      <c r="D450" s="2" t="s">
        <v>514</v>
      </c>
      <c r="E450" s="2" t="s">
        <v>515</v>
      </c>
      <c r="F450" s="2" t="s">
        <v>516</v>
      </c>
      <c r="G450" s="2" t="s">
        <v>517</v>
      </c>
      <c r="H450" s="17">
        <v>25</v>
      </c>
      <c r="I450" s="31">
        <f t="shared" si="48"/>
        <v>25000</v>
      </c>
      <c r="J450" s="31">
        <f t="shared" si="49"/>
        <v>1750.0000000000002</v>
      </c>
      <c r="K450" s="44">
        <f t="shared" si="50"/>
        <v>4.794520547945206</v>
      </c>
      <c r="L450" s="3">
        <f t="shared" si="51"/>
        <v>354.79452054794524</v>
      </c>
      <c r="M450" s="3">
        <f t="shared" si="52"/>
        <v>21.287671232876715</v>
      </c>
      <c r="N450" s="67">
        <f t="shared" si="53"/>
        <v>333.50684931506851</v>
      </c>
      <c r="O450" s="3"/>
      <c r="P450" s="70" t="s">
        <v>18618</v>
      </c>
      <c r="Q450" s="2" t="s">
        <v>159</v>
      </c>
      <c r="R450" s="2" t="s">
        <v>518</v>
      </c>
      <c r="T450" t="s">
        <v>18666</v>
      </c>
      <c r="U450" t="s">
        <v>18652</v>
      </c>
      <c r="V450" s="104">
        <v>45857</v>
      </c>
      <c r="X450" s="97"/>
      <c r="Y450" s="75">
        <v>333.51</v>
      </c>
    </row>
    <row r="451" spans="1:25" x14ac:dyDescent="0.25">
      <c r="A451" s="76">
        <v>482</v>
      </c>
      <c r="B451" s="2" t="s">
        <v>12357</v>
      </c>
      <c r="C451" s="2" t="s">
        <v>12358</v>
      </c>
      <c r="D451" s="2" t="s">
        <v>12359</v>
      </c>
      <c r="E451" s="2" t="s">
        <v>12360</v>
      </c>
      <c r="F451" s="2" t="s">
        <v>12361</v>
      </c>
      <c r="G451" s="2" t="s">
        <v>2380</v>
      </c>
      <c r="H451" s="17">
        <v>25</v>
      </c>
      <c r="I451" s="31">
        <f t="shared" si="48"/>
        <v>25000</v>
      </c>
      <c r="J451" s="31">
        <f t="shared" si="49"/>
        <v>1750.0000000000002</v>
      </c>
      <c r="K451" s="44">
        <f t="shared" si="50"/>
        <v>4.794520547945206</v>
      </c>
      <c r="L451" s="3">
        <f t="shared" si="51"/>
        <v>354.79452054794524</v>
      </c>
      <c r="M451" s="3">
        <f t="shared" si="52"/>
        <v>21.287671232876715</v>
      </c>
      <c r="N451" s="67">
        <f t="shared" si="53"/>
        <v>333.50684931506851</v>
      </c>
      <c r="O451" s="3"/>
      <c r="P451" s="70" t="s">
        <v>18618</v>
      </c>
      <c r="Q451" s="2" t="s">
        <v>159</v>
      </c>
      <c r="R451" s="2" t="s">
        <v>12362</v>
      </c>
      <c r="T451" t="s">
        <v>18666</v>
      </c>
      <c r="U451" t="s">
        <v>18652</v>
      </c>
      <c r="V451" s="104">
        <v>45857</v>
      </c>
      <c r="X451" s="97"/>
      <c r="Y451" s="75">
        <v>333.51</v>
      </c>
    </row>
    <row r="452" spans="1:25" x14ac:dyDescent="0.25">
      <c r="A452" s="76">
        <v>483</v>
      </c>
      <c r="B452" s="2" t="s">
        <v>9635</v>
      </c>
      <c r="C452" s="2" t="s">
        <v>9636</v>
      </c>
      <c r="D452" s="2" t="s">
        <v>9637</v>
      </c>
      <c r="E452" s="2" t="s">
        <v>9638</v>
      </c>
      <c r="F452" s="2" t="s">
        <v>9639</v>
      </c>
      <c r="G452" s="2" t="s">
        <v>166</v>
      </c>
      <c r="H452" s="17">
        <v>25</v>
      </c>
      <c r="I452" s="31">
        <f t="shared" si="48"/>
        <v>25000</v>
      </c>
      <c r="J452" s="31">
        <f t="shared" si="49"/>
        <v>1750.0000000000002</v>
      </c>
      <c r="K452" s="44">
        <f t="shared" si="50"/>
        <v>4.794520547945206</v>
      </c>
      <c r="L452" s="3">
        <f t="shared" si="51"/>
        <v>354.79452054794524</v>
      </c>
      <c r="M452" s="3">
        <f t="shared" si="52"/>
        <v>21.287671232876715</v>
      </c>
      <c r="N452" s="67">
        <f t="shared" si="53"/>
        <v>333.50684931506851</v>
      </c>
      <c r="O452" s="3"/>
      <c r="P452" s="70" t="s">
        <v>18618</v>
      </c>
      <c r="Q452" s="2" t="s">
        <v>159</v>
      </c>
      <c r="R452" s="2" t="s">
        <v>9640</v>
      </c>
      <c r="T452" t="s">
        <v>18666</v>
      </c>
      <c r="U452" t="s">
        <v>18652</v>
      </c>
      <c r="V452" s="104">
        <v>45857</v>
      </c>
      <c r="X452" s="97"/>
      <c r="Y452" s="75">
        <v>333.51</v>
      </c>
    </row>
    <row r="453" spans="1:25" x14ac:dyDescent="0.25">
      <c r="A453" s="76">
        <v>484</v>
      </c>
      <c r="B453" s="2" t="s">
        <v>5032</v>
      </c>
      <c r="C453" s="2" t="s">
        <v>5033</v>
      </c>
      <c r="D453" s="2" t="s">
        <v>5034</v>
      </c>
      <c r="E453" s="2" t="s">
        <v>5035</v>
      </c>
      <c r="F453" s="2" t="s">
        <v>5036</v>
      </c>
      <c r="G453" s="2" t="s">
        <v>799</v>
      </c>
      <c r="H453" s="17">
        <v>25</v>
      </c>
      <c r="I453" s="31">
        <f t="shared" si="48"/>
        <v>25000</v>
      </c>
      <c r="J453" s="31">
        <f t="shared" si="49"/>
        <v>1750.0000000000002</v>
      </c>
      <c r="K453" s="44">
        <f t="shared" si="50"/>
        <v>4.794520547945206</v>
      </c>
      <c r="L453" s="3">
        <f t="shared" si="51"/>
        <v>354.79452054794524</v>
      </c>
      <c r="M453" s="3">
        <f t="shared" si="52"/>
        <v>21.287671232876715</v>
      </c>
      <c r="N453" s="67">
        <f t="shared" si="53"/>
        <v>333.50684931506851</v>
      </c>
      <c r="O453" s="3"/>
      <c r="P453" s="70" t="s">
        <v>18618</v>
      </c>
      <c r="Q453" s="2" t="s">
        <v>159</v>
      </c>
      <c r="R453" s="2" t="s">
        <v>5037</v>
      </c>
      <c r="T453" t="s">
        <v>18666</v>
      </c>
      <c r="U453" t="s">
        <v>18652</v>
      </c>
      <c r="V453" s="104">
        <v>45857</v>
      </c>
      <c r="X453" s="97"/>
      <c r="Y453" s="75">
        <v>333.51</v>
      </c>
    </row>
    <row r="454" spans="1:25" x14ac:dyDescent="0.25">
      <c r="A454" s="76">
        <v>485</v>
      </c>
      <c r="B454" s="2" t="s">
        <v>2315</v>
      </c>
      <c r="C454" s="2" t="s">
        <v>2316</v>
      </c>
      <c r="D454" s="2" t="s">
        <v>2317</v>
      </c>
      <c r="E454" s="2" t="s">
        <v>2318</v>
      </c>
      <c r="F454" s="2" t="s">
        <v>2319</v>
      </c>
      <c r="G454" s="2" t="s">
        <v>876</v>
      </c>
      <c r="H454" s="17">
        <v>100</v>
      </c>
      <c r="I454" s="31">
        <f t="shared" si="48"/>
        <v>100000</v>
      </c>
      <c r="J454" s="31">
        <f t="shared" si="49"/>
        <v>7000.0000000000009</v>
      </c>
      <c r="K454" s="44">
        <f t="shared" si="50"/>
        <v>19.178082191780824</v>
      </c>
      <c r="L454" s="3">
        <f t="shared" si="51"/>
        <v>1419.178082191781</v>
      </c>
      <c r="M454" s="3">
        <f t="shared" si="52"/>
        <v>85.150684931506859</v>
      </c>
      <c r="N454" s="67">
        <f t="shared" si="53"/>
        <v>1334.027397260274</v>
      </c>
      <c r="O454" s="3"/>
      <c r="P454" s="70" t="s">
        <v>18618</v>
      </c>
      <c r="Q454" s="2" t="s">
        <v>159</v>
      </c>
      <c r="R454" s="2" t="s">
        <v>2320</v>
      </c>
      <c r="T454" t="s">
        <v>18666</v>
      </c>
      <c r="U454" t="s">
        <v>18652</v>
      </c>
      <c r="V454" s="104">
        <v>45857</v>
      </c>
      <c r="X454" s="97"/>
      <c r="Y454" s="75">
        <v>1334.03</v>
      </c>
    </row>
    <row r="455" spans="1:25" x14ac:dyDescent="0.25">
      <c r="A455" s="76">
        <v>486</v>
      </c>
      <c r="B455" s="2" t="s">
        <v>17312</v>
      </c>
      <c r="C455" s="2" t="s">
        <v>5673</v>
      </c>
      <c r="D455" s="2" t="s">
        <v>17313</v>
      </c>
      <c r="E455" s="2" t="s">
        <v>17314</v>
      </c>
      <c r="F455" s="2" t="s">
        <v>17315</v>
      </c>
      <c r="G455" s="2" t="s">
        <v>186</v>
      </c>
      <c r="H455" s="17">
        <v>25</v>
      </c>
      <c r="I455" s="31">
        <f t="shared" si="48"/>
        <v>25000</v>
      </c>
      <c r="J455" s="31">
        <f t="shared" si="49"/>
        <v>1750.0000000000002</v>
      </c>
      <c r="K455" s="44">
        <f t="shared" si="50"/>
        <v>4.794520547945206</v>
      </c>
      <c r="L455" s="3">
        <f t="shared" si="51"/>
        <v>354.79452054794524</v>
      </c>
      <c r="M455" s="3">
        <f t="shared" si="52"/>
        <v>21.287671232876715</v>
      </c>
      <c r="N455" s="67">
        <f t="shared" si="53"/>
        <v>333.50684931506851</v>
      </c>
      <c r="O455" s="3"/>
      <c r="P455" s="70" t="s">
        <v>18618</v>
      </c>
      <c r="Q455" s="2" t="s">
        <v>159</v>
      </c>
      <c r="R455" s="2" t="s">
        <v>17316</v>
      </c>
      <c r="T455" t="s">
        <v>18666</v>
      </c>
      <c r="U455" t="s">
        <v>18652</v>
      </c>
      <c r="V455" s="104">
        <v>45857</v>
      </c>
      <c r="X455" s="97"/>
      <c r="Y455" s="75">
        <v>333.51</v>
      </c>
    </row>
    <row r="456" spans="1:25" x14ac:dyDescent="0.25">
      <c r="A456" s="76">
        <v>487</v>
      </c>
      <c r="B456" s="2" t="s">
        <v>7297</v>
      </c>
      <c r="C456" s="2" t="s">
        <v>7298</v>
      </c>
      <c r="D456" s="2" t="s">
        <v>7299</v>
      </c>
      <c r="E456" s="2" t="s">
        <v>7300</v>
      </c>
      <c r="F456" s="2" t="s">
        <v>7301</v>
      </c>
      <c r="G456" s="2" t="s">
        <v>186</v>
      </c>
      <c r="H456" s="17">
        <v>10000</v>
      </c>
      <c r="I456" s="31">
        <f t="shared" si="48"/>
        <v>10000000</v>
      </c>
      <c r="J456" s="31">
        <f t="shared" si="49"/>
        <v>700000.00000000012</v>
      </c>
      <c r="K456" s="44">
        <f t="shared" si="50"/>
        <v>1917.8082191780825</v>
      </c>
      <c r="L456" s="3">
        <f t="shared" si="51"/>
        <v>141917.80821917811</v>
      </c>
      <c r="M456" s="3">
        <f t="shared" si="52"/>
        <v>8515.0684931506858</v>
      </c>
      <c r="N456" s="67">
        <f t="shared" si="53"/>
        <v>133402.73972602742</v>
      </c>
      <c r="O456" s="3"/>
      <c r="P456" s="70" t="s">
        <v>18618</v>
      </c>
      <c r="Q456" s="2" t="s">
        <v>159</v>
      </c>
      <c r="R456" s="2" t="s">
        <v>7302</v>
      </c>
      <c r="T456" t="s">
        <v>18666</v>
      </c>
      <c r="U456" t="s">
        <v>18652</v>
      </c>
      <c r="V456" s="104">
        <v>45857</v>
      </c>
      <c r="X456" s="97"/>
      <c r="Y456" s="75">
        <v>133402.74000000002</v>
      </c>
    </row>
    <row r="457" spans="1:25" x14ac:dyDescent="0.25">
      <c r="A457" s="76">
        <v>488</v>
      </c>
      <c r="B457" s="2" t="s">
        <v>17679</v>
      </c>
      <c r="C457" s="2" t="s">
        <v>17680</v>
      </c>
      <c r="D457" s="2" t="s">
        <v>17681</v>
      </c>
      <c r="E457" s="2" t="s">
        <v>17682</v>
      </c>
      <c r="F457" s="2" t="s">
        <v>17683</v>
      </c>
      <c r="G457" s="2" t="s">
        <v>158</v>
      </c>
      <c r="H457" s="17">
        <v>50</v>
      </c>
      <c r="I457" s="31">
        <f t="shared" si="48"/>
        <v>50000</v>
      </c>
      <c r="J457" s="31">
        <f t="shared" si="49"/>
        <v>3500.0000000000005</v>
      </c>
      <c r="K457" s="44">
        <f t="shared" si="50"/>
        <v>9.589041095890412</v>
      </c>
      <c r="L457" s="3">
        <f t="shared" si="51"/>
        <v>709.58904109589048</v>
      </c>
      <c r="M457" s="3">
        <f t="shared" si="52"/>
        <v>42.57534246575343</v>
      </c>
      <c r="N457" s="67">
        <f t="shared" si="53"/>
        <v>667.01369863013701</v>
      </c>
      <c r="O457" s="3"/>
      <c r="P457" s="70" t="s">
        <v>18618</v>
      </c>
      <c r="Q457" s="2" t="s">
        <v>159</v>
      </c>
      <c r="R457" s="2" t="s">
        <v>17684</v>
      </c>
      <c r="T457" t="s">
        <v>18666</v>
      </c>
      <c r="U457" t="s">
        <v>18652</v>
      </c>
      <c r="V457" s="104">
        <v>45857</v>
      </c>
      <c r="X457" s="97"/>
      <c r="Y457" s="75">
        <v>667.02</v>
      </c>
    </row>
    <row r="458" spans="1:25" x14ac:dyDescent="0.25">
      <c r="A458" s="76">
        <v>489</v>
      </c>
      <c r="B458" s="2" t="s">
        <v>12478</v>
      </c>
      <c r="C458" s="2" t="s">
        <v>12479</v>
      </c>
      <c r="D458" s="2" t="s">
        <v>12480</v>
      </c>
      <c r="E458" s="2" t="s">
        <v>12481</v>
      </c>
      <c r="F458" s="2" t="s">
        <v>12482</v>
      </c>
      <c r="G458" s="2" t="s">
        <v>282</v>
      </c>
      <c r="H458" s="17">
        <v>50</v>
      </c>
      <c r="I458" s="31">
        <f t="shared" si="48"/>
        <v>50000</v>
      </c>
      <c r="J458" s="31">
        <f t="shared" si="49"/>
        <v>3500.0000000000005</v>
      </c>
      <c r="K458" s="44">
        <f t="shared" si="50"/>
        <v>9.589041095890412</v>
      </c>
      <c r="L458" s="3">
        <f t="shared" si="51"/>
        <v>709.58904109589048</v>
      </c>
      <c r="M458" s="3">
        <f t="shared" si="52"/>
        <v>42.57534246575343</v>
      </c>
      <c r="N458" s="67">
        <f t="shared" si="53"/>
        <v>667.01369863013701</v>
      </c>
      <c r="O458" s="3"/>
      <c r="P458" s="70" t="s">
        <v>18618</v>
      </c>
      <c r="Q458" s="2" t="s">
        <v>159</v>
      </c>
      <c r="R458" s="2" t="s">
        <v>12483</v>
      </c>
      <c r="T458" t="s">
        <v>18666</v>
      </c>
      <c r="U458" t="s">
        <v>18652</v>
      </c>
      <c r="V458" s="104">
        <v>45857</v>
      </c>
      <c r="X458" s="97"/>
      <c r="Y458" s="75">
        <v>667.02</v>
      </c>
    </row>
    <row r="459" spans="1:25" x14ac:dyDescent="0.25">
      <c r="A459" s="76">
        <v>490</v>
      </c>
      <c r="B459" s="2" t="s">
        <v>4216</v>
      </c>
      <c r="C459" s="2" t="s">
        <v>4217</v>
      </c>
      <c r="D459" s="2" t="s">
        <v>4218</v>
      </c>
      <c r="E459" s="2" t="s">
        <v>4219</v>
      </c>
      <c r="F459" s="2" t="s">
        <v>4220</v>
      </c>
      <c r="G459" s="2" t="s">
        <v>31</v>
      </c>
      <c r="H459" s="17">
        <v>25</v>
      </c>
      <c r="I459" s="31">
        <f t="shared" si="48"/>
        <v>25000</v>
      </c>
      <c r="J459" s="31">
        <f t="shared" si="49"/>
        <v>1750.0000000000002</v>
      </c>
      <c r="K459" s="44">
        <f t="shared" si="50"/>
        <v>4.794520547945206</v>
      </c>
      <c r="L459" s="3">
        <f t="shared" si="51"/>
        <v>354.79452054794524</v>
      </c>
      <c r="M459" s="3">
        <f t="shared" si="52"/>
        <v>21.287671232876715</v>
      </c>
      <c r="N459" s="67">
        <f t="shared" si="53"/>
        <v>333.50684931506851</v>
      </c>
      <c r="O459" s="3"/>
      <c r="P459" s="70" t="s">
        <v>18618</v>
      </c>
      <c r="Q459" s="2" t="s">
        <v>159</v>
      </c>
      <c r="R459" s="2" t="s">
        <v>4221</v>
      </c>
      <c r="T459" t="s">
        <v>18666</v>
      </c>
      <c r="U459" t="s">
        <v>18652</v>
      </c>
      <c r="V459" s="104">
        <v>45857</v>
      </c>
      <c r="X459" s="97"/>
      <c r="Y459" s="75">
        <v>333.51</v>
      </c>
    </row>
    <row r="460" spans="1:25" x14ac:dyDescent="0.25">
      <c r="A460" s="76">
        <v>491</v>
      </c>
      <c r="B460" s="2" t="s">
        <v>17166</v>
      </c>
      <c r="C460" s="2" t="s">
        <v>17167</v>
      </c>
      <c r="D460" s="2" t="s">
        <v>17168</v>
      </c>
      <c r="E460" s="2" t="s">
        <v>17169</v>
      </c>
      <c r="F460" s="2" t="s">
        <v>17170</v>
      </c>
      <c r="G460" s="2" t="s">
        <v>412</v>
      </c>
      <c r="H460" s="17">
        <v>25</v>
      </c>
      <c r="I460" s="31">
        <f t="shared" si="48"/>
        <v>25000</v>
      </c>
      <c r="J460" s="31">
        <f t="shared" si="49"/>
        <v>1750.0000000000002</v>
      </c>
      <c r="K460" s="44">
        <f t="shared" si="50"/>
        <v>4.794520547945206</v>
      </c>
      <c r="L460" s="3">
        <f t="shared" si="51"/>
        <v>354.79452054794524</v>
      </c>
      <c r="M460" s="3">
        <f t="shared" si="52"/>
        <v>21.287671232876715</v>
      </c>
      <c r="N460" s="67">
        <f t="shared" si="53"/>
        <v>333.50684931506851</v>
      </c>
      <c r="O460" s="3"/>
      <c r="P460" s="70" t="s">
        <v>18618</v>
      </c>
      <c r="Q460" s="2" t="s">
        <v>159</v>
      </c>
      <c r="R460" s="2" t="s">
        <v>17171</v>
      </c>
      <c r="T460" t="s">
        <v>18666</v>
      </c>
      <c r="U460" t="s">
        <v>18652</v>
      </c>
      <c r="V460" s="104">
        <v>45857</v>
      </c>
      <c r="X460" s="97"/>
      <c r="Y460" s="75">
        <v>333.51</v>
      </c>
    </row>
    <row r="461" spans="1:25" x14ac:dyDescent="0.25">
      <c r="A461" s="76">
        <v>492</v>
      </c>
      <c r="B461" s="2" t="s">
        <v>7767</v>
      </c>
      <c r="C461" s="2" t="s">
        <v>7768</v>
      </c>
      <c r="D461" s="2" t="s">
        <v>7769</v>
      </c>
      <c r="E461" s="2" t="s">
        <v>7770</v>
      </c>
      <c r="F461" s="2" t="s">
        <v>7771</v>
      </c>
      <c r="G461" s="2" t="s">
        <v>74</v>
      </c>
      <c r="H461" s="17">
        <v>500</v>
      </c>
      <c r="I461" s="31">
        <f t="shared" si="48"/>
        <v>500000</v>
      </c>
      <c r="J461" s="31">
        <f t="shared" si="49"/>
        <v>35000</v>
      </c>
      <c r="K461" s="44">
        <f t="shared" si="50"/>
        <v>95.890410958904113</v>
      </c>
      <c r="L461" s="3">
        <f t="shared" si="51"/>
        <v>7095.8904109589039</v>
      </c>
      <c r="M461" s="3">
        <f t="shared" si="52"/>
        <v>425.7534246575342</v>
      </c>
      <c r="N461" s="67">
        <f t="shared" si="53"/>
        <v>6670.1369863013697</v>
      </c>
      <c r="O461" s="3"/>
      <c r="P461" s="70" t="s">
        <v>18618</v>
      </c>
      <c r="Q461" s="2" t="s">
        <v>159</v>
      </c>
      <c r="R461" s="2" t="s">
        <v>7772</v>
      </c>
      <c r="T461" t="s">
        <v>18666</v>
      </c>
      <c r="U461" t="s">
        <v>18652</v>
      </c>
      <c r="V461" s="104">
        <v>45857</v>
      </c>
      <c r="X461" s="97"/>
      <c r="Y461" s="75">
        <v>6670.14</v>
      </c>
    </row>
    <row r="462" spans="1:25" x14ac:dyDescent="0.25">
      <c r="A462" s="76">
        <v>493</v>
      </c>
      <c r="B462" s="2" t="s">
        <v>15907</v>
      </c>
      <c r="C462" s="2" t="s">
        <v>15908</v>
      </c>
      <c r="D462" s="2" t="s">
        <v>15909</v>
      </c>
      <c r="E462" s="2" t="s">
        <v>15910</v>
      </c>
      <c r="F462" s="2" t="s">
        <v>15911</v>
      </c>
      <c r="G462" s="2" t="s">
        <v>31</v>
      </c>
      <c r="H462" s="17">
        <v>25</v>
      </c>
      <c r="I462" s="31">
        <f t="shared" si="48"/>
        <v>25000</v>
      </c>
      <c r="J462" s="31">
        <f t="shared" si="49"/>
        <v>1750.0000000000002</v>
      </c>
      <c r="K462" s="44">
        <f t="shared" si="50"/>
        <v>4.794520547945206</v>
      </c>
      <c r="L462" s="3">
        <f t="shared" si="51"/>
        <v>354.79452054794524</v>
      </c>
      <c r="M462" s="3">
        <f t="shared" si="52"/>
        <v>21.287671232876715</v>
      </c>
      <c r="N462" s="67">
        <f t="shared" si="53"/>
        <v>333.50684931506851</v>
      </c>
      <c r="O462" s="3"/>
      <c r="P462" s="70" t="s">
        <v>18618</v>
      </c>
      <c r="Q462" s="2" t="s">
        <v>159</v>
      </c>
      <c r="R462" s="2" t="s">
        <v>15912</v>
      </c>
      <c r="T462" t="s">
        <v>18666</v>
      </c>
      <c r="U462" t="s">
        <v>18652</v>
      </c>
      <c r="V462" s="104">
        <v>45857</v>
      </c>
      <c r="X462" s="97"/>
      <c r="Y462" s="75">
        <v>333.51</v>
      </c>
    </row>
    <row r="463" spans="1:25" x14ac:dyDescent="0.25">
      <c r="A463" s="76">
        <v>494</v>
      </c>
      <c r="B463" s="2" t="s">
        <v>12208</v>
      </c>
      <c r="C463" s="2" t="s">
        <v>8181</v>
      </c>
      <c r="D463" s="2" t="s">
        <v>12209</v>
      </c>
      <c r="E463" s="2" t="s">
        <v>12210</v>
      </c>
      <c r="F463" s="2" t="s">
        <v>12211</v>
      </c>
      <c r="G463" s="2" t="s">
        <v>4575</v>
      </c>
      <c r="H463" s="17">
        <v>25</v>
      </c>
      <c r="I463" s="31">
        <f t="shared" si="48"/>
        <v>25000</v>
      </c>
      <c r="J463" s="31">
        <f t="shared" si="49"/>
        <v>1750.0000000000002</v>
      </c>
      <c r="K463" s="44">
        <f t="shared" si="50"/>
        <v>4.794520547945206</v>
      </c>
      <c r="L463" s="3">
        <f t="shared" si="51"/>
        <v>354.79452054794524</v>
      </c>
      <c r="M463" s="3">
        <f t="shared" si="52"/>
        <v>21.287671232876715</v>
      </c>
      <c r="N463" s="67">
        <f t="shared" si="53"/>
        <v>333.50684931506851</v>
      </c>
      <c r="O463" s="3"/>
      <c r="P463" s="70" t="s">
        <v>18618</v>
      </c>
      <c r="Q463" s="2" t="s">
        <v>159</v>
      </c>
      <c r="R463" s="2" t="s">
        <v>12212</v>
      </c>
      <c r="T463" t="s">
        <v>18666</v>
      </c>
      <c r="U463" t="s">
        <v>18652</v>
      </c>
      <c r="V463" s="104">
        <v>45857</v>
      </c>
      <c r="X463" s="97"/>
      <c r="Y463" s="75">
        <v>333.51</v>
      </c>
    </row>
    <row r="464" spans="1:25" x14ac:dyDescent="0.25">
      <c r="A464" s="76">
        <v>495</v>
      </c>
      <c r="B464" s="2" t="s">
        <v>13375</v>
      </c>
      <c r="C464" s="2" t="s">
        <v>13366</v>
      </c>
      <c r="D464" s="2" t="s">
        <v>13376</v>
      </c>
      <c r="E464" s="2" t="s">
        <v>13377</v>
      </c>
      <c r="F464" s="2" t="s">
        <v>13378</v>
      </c>
      <c r="G464" s="2" t="s">
        <v>381</v>
      </c>
      <c r="H464" s="17">
        <v>30</v>
      </c>
      <c r="I464" s="31">
        <f t="shared" si="48"/>
        <v>30000</v>
      </c>
      <c r="J464" s="31">
        <f t="shared" si="49"/>
        <v>2100</v>
      </c>
      <c r="K464" s="44">
        <f t="shared" si="50"/>
        <v>5.7534246575342465</v>
      </c>
      <c r="L464" s="3">
        <f t="shared" si="51"/>
        <v>425.75342465753425</v>
      </c>
      <c r="M464" s="3">
        <f t="shared" si="52"/>
        <v>25.545205479452054</v>
      </c>
      <c r="N464" s="67">
        <f t="shared" si="53"/>
        <v>400.20821917808217</v>
      </c>
      <c r="O464" s="3"/>
      <c r="P464" s="70" t="s">
        <v>18618</v>
      </c>
      <c r="Q464" s="2" t="s">
        <v>159</v>
      </c>
      <c r="R464" s="2" t="s">
        <v>13379</v>
      </c>
      <c r="T464" t="s">
        <v>18666</v>
      </c>
      <c r="U464" t="s">
        <v>18652</v>
      </c>
      <c r="V464" s="104">
        <v>45857</v>
      </c>
      <c r="X464" s="97"/>
      <c r="Y464" s="75">
        <v>400.21</v>
      </c>
    </row>
    <row r="465" spans="1:25" x14ac:dyDescent="0.25">
      <c r="A465" s="76">
        <v>496</v>
      </c>
      <c r="B465" s="2" t="s">
        <v>5866</v>
      </c>
      <c r="C465" s="2" t="s">
        <v>5867</v>
      </c>
      <c r="D465" s="2" t="s">
        <v>5868</v>
      </c>
      <c r="E465" s="2" t="s">
        <v>5869</v>
      </c>
      <c r="F465" s="2" t="s">
        <v>5870</v>
      </c>
      <c r="G465" s="2" t="s">
        <v>31</v>
      </c>
      <c r="H465" s="17">
        <v>25</v>
      </c>
      <c r="I465" s="31">
        <f t="shared" si="48"/>
        <v>25000</v>
      </c>
      <c r="J465" s="31">
        <f t="shared" si="49"/>
        <v>1750.0000000000002</v>
      </c>
      <c r="K465" s="44">
        <f t="shared" si="50"/>
        <v>4.794520547945206</v>
      </c>
      <c r="L465" s="3">
        <f t="shared" si="51"/>
        <v>354.79452054794524</v>
      </c>
      <c r="M465" s="3">
        <f t="shared" si="52"/>
        <v>21.287671232876715</v>
      </c>
      <c r="N465" s="67">
        <f t="shared" si="53"/>
        <v>333.50684931506851</v>
      </c>
      <c r="O465" s="3"/>
      <c r="P465" s="70" t="s">
        <v>18618</v>
      </c>
      <c r="Q465" s="2" t="s">
        <v>159</v>
      </c>
      <c r="R465" s="2" t="s">
        <v>5871</v>
      </c>
      <c r="T465" t="s">
        <v>18666</v>
      </c>
      <c r="U465" t="s">
        <v>18652</v>
      </c>
      <c r="V465" s="104">
        <v>45857</v>
      </c>
      <c r="X465" s="97"/>
      <c r="Y465" s="75">
        <v>333.51</v>
      </c>
    </row>
    <row r="466" spans="1:25" x14ac:dyDescent="0.25">
      <c r="A466" s="76">
        <v>497</v>
      </c>
      <c r="B466" s="2" t="s">
        <v>2650</v>
      </c>
      <c r="C466" s="2" t="s">
        <v>2651</v>
      </c>
      <c r="D466" s="2" t="s">
        <v>2652</v>
      </c>
      <c r="E466" s="2" t="s">
        <v>2653</v>
      </c>
      <c r="F466" s="2" t="s">
        <v>2654</v>
      </c>
      <c r="G466" s="2" t="s">
        <v>101</v>
      </c>
      <c r="H466" s="17">
        <v>25</v>
      </c>
      <c r="I466" s="31">
        <f t="shared" ref="I466:I529" si="54">H466*1000</f>
        <v>25000</v>
      </c>
      <c r="J466" s="31">
        <f t="shared" ref="J466:J529" si="55">I466*7%</f>
        <v>1750.0000000000002</v>
      </c>
      <c r="K466" s="44">
        <f t="shared" ref="K466:K529" si="56">J466/365</f>
        <v>4.794520547945206</v>
      </c>
      <c r="L466" s="3">
        <f t="shared" ref="L466:L529" si="57">K466*74</f>
        <v>354.79452054794524</v>
      </c>
      <c r="M466" s="3">
        <f t="shared" ref="M466:M529" si="58">L466*6%</f>
        <v>21.287671232876715</v>
      </c>
      <c r="N466" s="67">
        <f t="shared" ref="N466:N529" si="59">L466-M466</f>
        <v>333.50684931506851</v>
      </c>
      <c r="O466" s="3"/>
      <c r="P466" s="70" t="s">
        <v>18618</v>
      </c>
      <c r="Q466" s="2" t="s">
        <v>159</v>
      </c>
      <c r="R466" s="2" t="s">
        <v>2655</v>
      </c>
      <c r="T466" t="s">
        <v>18666</v>
      </c>
      <c r="U466" t="s">
        <v>18652</v>
      </c>
      <c r="V466" s="104">
        <v>45857</v>
      </c>
      <c r="X466" s="97"/>
      <c r="Y466" s="75">
        <v>333.51</v>
      </c>
    </row>
    <row r="467" spans="1:25" x14ac:dyDescent="0.25">
      <c r="A467" s="76">
        <v>498</v>
      </c>
      <c r="B467" s="2" t="s">
        <v>1119</v>
      </c>
      <c r="C467" s="2" t="s">
        <v>1120</v>
      </c>
      <c r="D467" s="2" t="s">
        <v>1121</v>
      </c>
      <c r="E467" s="2" t="s">
        <v>1122</v>
      </c>
      <c r="F467" s="2" t="s">
        <v>1123</v>
      </c>
      <c r="G467" s="2" t="s">
        <v>412</v>
      </c>
      <c r="H467" s="17">
        <v>1000</v>
      </c>
      <c r="I467" s="31">
        <f t="shared" si="54"/>
        <v>1000000</v>
      </c>
      <c r="J467" s="31">
        <f t="shared" si="55"/>
        <v>70000</v>
      </c>
      <c r="K467" s="44">
        <f t="shared" si="56"/>
        <v>191.78082191780823</v>
      </c>
      <c r="L467" s="3">
        <f t="shared" si="57"/>
        <v>14191.780821917808</v>
      </c>
      <c r="M467" s="3">
        <f t="shared" si="58"/>
        <v>851.50684931506839</v>
      </c>
      <c r="N467" s="67">
        <f t="shared" si="59"/>
        <v>13340.273972602739</v>
      </c>
      <c r="O467" s="3"/>
      <c r="P467" s="70" t="s">
        <v>18618</v>
      </c>
      <c r="Q467" s="2" t="s">
        <v>159</v>
      </c>
      <c r="R467" s="2" t="s">
        <v>1124</v>
      </c>
      <c r="T467" t="s">
        <v>18666</v>
      </c>
      <c r="U467" t="s">
        <v>18652</v>
      </c>
      <c r="V467" s="104">
        <v>45857</v>
      </c>
      <c r="X467" s="97"/>
      <c r="Y467" s="75">
        <v>13340.28</v>
      </c>
    </row>
    <row r="468" spans="1:25" x14ac:dyDescent="0.25">
      <c r="A468" s="76">
        <v>499</v>
      </c>
      <c r="B468" s="2" t="s">
        <v>13623</v>
      </c>
      <c r="C468" s="2" t="s">
        <v>13624</v>
      </c>
      <c r="D468" s="2" t="s">
        <v>13625</v>
      </c>
      <c r="E468" s="2" t="s">
        <v>13626</v>
      </c>
      <c r="F468" s="2" t="s">
        <v>13627</v>
      </c>
      <c r="G468" s="2" t="s">
        <v>31</v>
      </c>
      <c r="H468" s="17">
        <v>1000</v>
      </c>
      <c r="I468" s="31">
        <f t="shared" si="54"/>
        <v>1000000</v>
      </c>
      <c r="J468" s="31">
        <f t="shared" si="55"/>
        <v>70000</v>
      </c>
      <c r="K468" s="44">
        <f t="shared" si="56"/>
        <v>191.78082191780823</v>
      </c>
      <c r="L468" s="3">
        <f t="shared" si="57"/>
        <v>14191.780821917808</v>
      </c>
      <c r="M468" s="3">
        <f t="shared" si="58"/>
        <v>851.50684931506839</v>
      </c>
      <c r="N468" s="67">
        <f t="shared" si="59"/>
        <v>13340.273972602739</v>
      </c>
      <c r="O468" s="3"/>
      <c r="P468" s="70" t="s">
        <v>18618</v>
      </c>
      <c r="Q468" s="2" t="s">
        <v>159</v>
      </c>
      <c r="R468" s="2" t="s">
        <v>13628</v>
      </c>
      <c r="T468" t="s">
        <v>18666</v>
      </c>
      <c r="U468" t="s">
        <v>18652</v>
      </c>
      <c r="V468" s="104">
        <v>45857</v>
      </c>
      <c r="X468" s="97"/>
      <c r="Y468" s="75">
        <v>13340.28</v>
      </c>
    </row>
    <row r="469" spans="1:25" x14ac:dyDescent="0.25">
      <c r="A469" s="76">
        <v>500</v>
      </c>
      <c r="B469" s="2" t="s">
        <v>13629</v>
      </c>
      <c r="C469" s="2" t="s">
        <v>13630</v>
      </c>
      <c r="D469" s="2" t="s">
        <v>13625</v>
      </c>
      <c r="E469" s="2" t="s">
        <v>13631</v>
      </c>
      <c r="F469" s="2" t="s">
        <v>13632</v>
      </c>
      <c r="G469" s="2" t="s">
        <v>31</v>
      </c>
      <c r="H469" s="17">
        <v>1000</v>
      </c>
      <c r="I469" s="31">
        <f t="shared" si="54"/>
        <v>1000000</v>
      </c>
      <c r="J469" s="31">
        <f t="shared" si="55"/>
        <v>70000</v>
      </c>
      <c r="K469" s="44">
        <f t="shared" si="56"/>
        <v>191.78082191780823</v>
      </c>
      <c r="L469" s="3">
        <f t="shared" si="57"/>
        <v>14191.780821917808</v>
      </c>
      <c r="M469" s="3">
        <f t="shared" si="58"/>
        <v>851.50684931506839</v>
      </c>
      <c r="N469" s="67">
        <f t="shared" si="59"/>
        <v>13340.273972602739</v>
      </c>
      <c r="O469" s="3"/>
      <c r="P469" s="70" t="s">
        <v>18618</v>
      </c>
      <c r="Q469" s="2" t="s">
        <v>159</v>
      </c>
      <c r="R469" s="2" t="s">
        <v>13633</v>
      </c>
      <c r="T469" t="s">
        <v>18666</v>
      </c>
      <c r="U469" t="s">
        <v>18652</v>
      </c>
      <c r="V469" s="104">
        <v>45857</v>
      </c>
      <c r="X469" s="97"/>
      <c r="Y469" s="75">
        <v>13340.28</v>
      </c>
    </row>
    <row r="470" spans="1:25" x14ac:dyDescent="0.25">
      <c r="A470" s="76">
        <v>501</v>
      </c>
      <c r="B470" s="2" t="s">
        <v>18101</v>
      </c>
      <c r="C470" s="2" t="s">
        <v>18102</v>
      </c>
      <c r="D470" s="2" t="s">
        <v>18103</v>
      </c>
      <c r="E470" s="2" t="s">
        <v>18090</v>
      </c>
      <c r="F470" s="2" t="s">
        <v>18104</v>
      </c>
      <c r="G470" s="2" t="s">
        <v>939</v>
      </c>
      <c r="H470" s="17">
        <v>25</v>
      </c>
      <c r="I470" s="31">
        <f t="shared" si="54"/>
        <v>25000</v>
      </c>
      <c r="J470" s="31">
        <f t="shared" si="55"/>
        <v>1750.0000000000002</v>
      </c>
      <c r="K470" s="44">
        <f t="shared" si="56"/>
        <v>4.794520547945206</v>
      </c>
      <c r="L470" s="3">
        <f t="shared" si="57"/>
        <v>354.79452054794524</v>
      </c>
      <c r="M470" s="3">
        <f t="shared" si="58"/>
        <v>21.287671232876715</v>
      </c>
      <c r="N470" s="67">
        <f t="shared" si="59"/>
        <v>333.50684931506851</v>
      </c>
      <c r="O470" s="3"/>
      <c r="P470" s="70" t="s">
        <v>18618</v>
      </c>
      <c r="Q470" s="2" t="s">
        <v>159</v>
      </c>
      <c r="R470" s="2" t="s">
        <v>18105</v>
      </c>
      <c r="T470" t="s">
        <v>18666</v>
      </c>
      <c r="U470" t="s">
        <v>18652</v>
      </c>
      <c r="V470" s="104">
        <v>45857</v>
      </c>
      <c r="X470" s="97"/>
      <c r="Y470" s="75">
        <v>333.51</v>
      </c>
    </row>
    <row r="471" spans="1:25" x14ac:dyDescent="0.25">
      <c r="A471" s="76">
        <v>502</v>
      </c>
      <c r="B471" s="2" t="s">
        <v>17172</v>
      </c>
      <c r="C471" s="2" t="s">
        <v>17173</v>
      </c>
      <c r="D471" s="2" t="s">
        <v>17174</v>
      </c>
      <c r="E471" s="2" t="s">
        <v>17175</v>
      </c>
      <c r="F471" s="2" t="s">
        <v>17176</v>
      </c>
      <c r="G471" s="2" t="s">
        <v>282</v>
      </c>
      <c r="H471" s="17">
        <v>25</v>
      </c>
      <c r="I471" s="31">
        <f t="shared" si="54"/>
        <v>25000</v>
      </c>
      <c r="J471" s="31">
        <f t="shared" si="55"/>
        <v>1750.0000000000002</v>
      </c>
      <c r="K471" s="44">
        <f t="shared" si="56"/>
        <v>4.794520547945206</v>
      </c>
      <c r="L471" s="3">
        <f t="shared" si="57"/>
        <v>354.79452054794524</v>
      </c>
      <c r="M471" s="3">
        <f t="shared" si="58"/>
        <v>21.287671232876715</v>
      </c>
      <c r="N471" s="67">
        <f t="shared" si="59"/>
        <v>333.50684931506851</v>
      </c>
      <c r="O471" s="3"/>
      <c r="P471" s="70" t="s">
        <v>18618</v>
      </c>
      <c r="Q471" s="2" t="s">
        <v>159</v>
      </c>
      <c r="R471" s="2" t="s">
        <v>17177</v>
      </c>
      <c r="T471" t="s">
        <v>18666</v>
      </c>
      <c r="U471" t="s">
        <v>18652</v>
      </c>
      <c r="V471" s="104">
        <v>45857</v>
      </c>
      <c r="X471" s="97"/>
      <c r="Y471" s="75">
        <v>333.51</v>
      </c>
    </row>
    <row r="472" spans="1:25" x14ac:dyDescent="0.25">
      <c r="A472" s="76">
        <v>503</v>
      </c>
      <c r="B472" s="2" t="s">
        <v>3455</v>
      </c>
      <c r="C472" s="2" t="s">
        <v>3456</v>
      </c>
      <c r="D472" s="2" t="s">
        <v>3457</v>
      </c>
      <c r="E472" s="2" t="s">
        <v>3458</v>
      </c>
      <c r="F472" s="2" t="s">
        <v>3459</v>
      </c>
      <c r="G472" s="2" t="s">
        <v>275</v>
      </c>
      <c r="H472" s="17">
        <v>25</v>
      </c>
      <c r="I472" s="31">
        <f t="shared" si="54"/>
        <v>25000</v>
      </c>
      <c r="J472" s="31">
        <f t="shared" si="55"/>
        <v>1750.0000000000002</v>
      </c>
      <c r="K472" s="44">
        <f t="shared" si="56"/>
        <v>4.794520547945206</v>
      </c>
      <c r="L472" s="3">
        <f t="shared" si="57"/>
        <v>354.79452054794524</v>
      </c>
      <c r="M472" s="3">
        <f t="shared" si="58"/>
        <v>21.287671232876715</v>
      </c>
      <c r="N472" s="67">
        <f t="shared" si="59"/>
        <v>333.50684931506851</v>
      </c>
      <c r="O472" s="3"/>
      <c r="P472" s="70" t="s">
        <v>18618</v>
      </c>
      <c r="Q472" s="2" t="s">
        <v>159</v>
      </c>
      <c r="R472" s="2" t="s">
        <v>3460</v>
      </c>
      <c r="T472" t="s">
        <v>18666</v>
      </c>
      <c r="U472" t="s">
        <v>18652</v>
      </c>
      <c r="V472" s="104">
        <v>45857</v>
      </c>
      <c r="X472" s="97"/>
      <c r="Y472" s="75">
        <v>333.51</v>
      </c>
    </row>
    <row r="473" spans="1:25" x14ac:dyDescent="0.25">
      <c r="A473" s="76">
        <v>504</v>
      </c>
      <c r="B473" s="2" t="s">
        <v>4606</v>
      </c>
      <c r="C473" s="2" t="s">
        <v>4607</v>
      </c>
      <c r="D473" s="2" t="s">
        <v>4608</v>
      </c>
      <c r="E473" s="2" t="s">
        <v>4609</v>
      </c>
      <c r="F473" s="2" t="s">
        <v>4610</v>
      </c>
      <c r="G473" s="2" t="s">
        <v>261</v>
      </c>
      <c r="H473" s="17">
        <v>25</v>
      </c>
      <c r="I473" s="31">
        <f t="shared" si="54"/>
        <v>25000</v>
      </c>
      <c r="J473" s="31">
        <f t="shared" si="55"/>
        <v>1750.0000000000002</v>
      </c>
      <c r="K473" s="44">
        <f t="shared" si="56"/>
        <v>4.794520547945206</v>
      </c>
      <c r="L473" s="3">
        <f t="shared" si="57"/>
        <v>354.79452054794524</v>
      </c>
      <c r="M473" s="3">
        <f t="shared" si="58"/>
        <v>21.287671232876715</v>
      </c>
      <c r="N473" s="67">
        <f t="shared" si="59"/>
        <v>333.50684931506851</v>
      </c>
      <c r="O473" s="3"/>
      <c r="P473" s="70" t="s">
        <v>18618</v>
      </c>
      <c r="Q473" s="2" t="s">
        <v>159</v>
      </c>
      <c r="R473" s="2" t="s">
        <v>4611</v>
      </c>
      <c r="T473" t="s">
        <v>18666</v>
      </c>
      <c r="U473" t="s">
        <v>18652</v>
      </c>
      <c r="V473" s="104">
        <v>45857</v>
      </c>
      <c r="X473" s="97"/>
      <c r="Y473" s="75">
        <v>333.51</v>
      </c>
    </row>
    <row r="474" spans="1:25" x14ac:dyDescent="0.25">
      <c r="A474" s="76">
        <v>505</v>
      </c>
      <c r="B474" s="2" t="s">
        <v>2967</v>
      </c>
      <c r="C474" s="2" t="s">
        <v>2968</v>
      </c>
      <c r="D474" s="2" t="s">
        <v>2969</v>
      </c>
      <c r="E474" s="2" t="s">
        <v>2970</v>
      </c>
      <c r="F474" s="2" t="s">
        <v>2971</v>
      </c>
      <c r="G474" s="2" t="s">
        <v>835</v>
      </c>
      <c r="H474" s="17">
        <v>25</v>
      </c>
      <c r="I474" s="31">
        <f t="shared" si="54"/>
        <v>25000</v>
      </c>
      <c r="J474" s="31">
        <f t="shared" si="55"/>
        <v>1750.0000000000002</v>
      </c>
      <c r="K474" s="44">
        <f t="shared" si="56"/>
        <v>4.794520547945206</v>
      </c>
      <c r="L474" s="3">
        <f t="shared" si="57"/>
        <v>354.79452054794524</v>
      </c>
      <c r="M474" s="3">
        <f t="shared" si="58"/>
        <v>21.287671232876715</v>
      </c>
      <c r="N474" s="67">
        <f t="shared" si="59"/>
        <v>333.50684931506851</v>
      </c>
      <c r="O474" s="3"/>
      <c r="P474" s="70" t="s">
        <v>18618</v>
      </c>
      <c r="Q474" s="2" t="s">
        <v>159</v>
      </c>
      <c r="R474" s="2" t="s">
        <v>2972</v>
      </c>
      <c r="T474" t="s">
        <v>18666</v>
      </c>
      <c r="U474" t="s">
        <v>18652</v>
      </c>
      <c r="V474" s="104">
        <v>45857</v>
      </c>
      <c r="X474" s="97"/>
      <c r="Y474" s="75">
        <v>333.51</v>
      </c>
    </row>
    <row r="475" spans="1:25" x14ac:dyDescent="0.25">
      <c r="A475" s="76">
        <v>506</v>
      </c>
      <c r="B475" s="2" t="s">
        <v>2827</v>
      </c>
      <c r="C475" s="2" t="s">
        <v>2828</v>
      </c>
      <c r="D475" s="2" t="s">
        <v>2829</v>
      </c>
      <c r="E475" s="2" t="s">
        <v>2830</v>
      </c>
      <c r="F475" s="2" t="s">
        <v>2831</v>
      </c>
      <c r="G475" s="2" t="s">
        <v>123</v>
      </c>
      <c r="H475" s="17">
        <v>25</v>
      </c>
      <c r="I475" s="31">
        <f t="shared" si="54"/>
        <v>25000</v>
      </c>
      <c r="J475" s="31">
        <f t="shared" si="55"/>
        <v>1750.0000000000002</v>
      </c>
      <c r="K475" s="44">
        <f t="shared" si="56"/>
        <v>4.794520547945206</v>
      </c>
      <c r="L475" s="3">
        <f t="shared" si="57"/>
        <v>354.79452054794524</v>
      </c>
      <c r="M475" s="3">
        <f t="shared" si="58"/>
        <v>21.287671232876715</v>
      </c>
      <c r="N475" s="67">
        <f t="shared" si="59"/>
        <v>333.50684931506851</v>
      </c>
      <c r="O475" s="3"/>
      <c r="P475" s="70" t="s">
        <v>18618</v>
      </c>
      <c r="Q475" s="2" t="s">
        <v>159</v>
      </c>
      <c r="R475" s="2" t="s">
        <v>2832</v>
      </c>
      <c r="T475" t="s">
        <v>18666</v>
      </c>
      <c r="U475" t="s">
        <v>18652</v>
      </c>
      <c r="V475" s="104">
        <v>45857</v>
      </c>
      <c r="X475" s="97"/>
      <c r="Y475" s="75">
        <v>333.51</v>
      </c>
    </row>
    <row r="476" spans="1:25" x14ac:dyDescent="0.25">
      <c r="A476" s="76">
        <v>507</v>
      </c>
      <c r="B476" s="2" t="s">
        <v>10715</v>
      </c>
      <c r="C476" s="2" t="s">
        <v>10716</v>
      </c>
      <c r="D476" s="2" t="s">
        <v>10717</v>
      </c>
      <c r="E476" s="2" t="s">
        <v>10718</v>
      </c>
      <c r="F476" s="2" t="s">
        <v>10719</v>
      </c>
      <c r="G476" s="2" t="s">
        <v>186</v>
      </c>
      <c r="H476" s="17">
        <v>25</v>
      </c>
      <c r="I476" s="31">
        <f t="shared" si="54"/>
        <v>25000</v>
      </c>
      <c r="J476" s="31">
        <f t="shared" si="55"/>
        <v>1750.0000000000002</v>
      </c>
      <c r="K476" s="44">
        <f t="shared" si="56"/>
        <v>4.794520547945206</v>
      </c>
      <c r="L476" s="3">
        <f t="shared" si="57"/>
        <v>354.79452054794524</v>
      </c>
      <c r="M476" s="3">
        <f t="shared" si="58"/>
        <v>21.287671232876715</v>
      </c>
      <c r="N476" s="67">
        <f t="shared" si="59"/>
        <v>333.50684931506851</v>
      </c>
      <c r="O476" s="3"/>
      <c r="P476" s="70" t="s">
        <v>18618</v>
      </c>
      <c r="Q476" s="2" t="s">
        <v>159</v>
      </c>
      <c r="R476" s="2" t="s">
        <v>10720</v>
      </c>
      <c r="T476" t="s">
        <v>18666</v>
      </c>
      <c r="U476" t="s">
        <v>18652</v>
      </c>
      <c r="V476" s="104">
        <v>45857</v>
      </c>
      <c r="X476" s="97"/>
      <c r="Y476" s="75">
        <v>333.51</v>
      </c>
    </row>
    <row r="477" spans="1:25" x14ac:dyDescent="0.25">
      <c r="A477" s="76">
        <v>508</v>
      </c>
      <c r="B477" s="2" t="s">
        <v>15698</v>
      </c>
      <c r="C477" s="2" t="s">
        <v>15699</v>
      </c>
      <c r="D477" s="2" t="s">
        <v>15700</v>
      </c>
      <c r="E477" s="2" t="s">
        <v>15701</v>
      </c>
      <c r="F477" s="2" t="s">
        <v>15702</v>
      </c>
      <c r="G477" s="2" t="s">
        <v>412</v>
      </c>
      <c r="H477" s="17">
        <v>25</v>
      </c>
      <c r="I477" s="31">
        <f t="shared" si="54"/>
        <v>25000</v>
      </c>
      <c r="J477" s="31">
        <f t="shared" si="55"/>
        <v>1750.0000000000002</v>
      </c>
      <c r="K477" s="44">
        <f t="shared" si="56"/>
        <v>4.794520547945206</v>
      </c>
      <c r="L477" s="3">
        <f t="shared" si="57"/>
        <v>354.79452054794524</v>
      </c>
      <c r="M477" s="3">
        <f t="shared" si="58"/>
        <v>21.287671232876715</v>
      </c>
      <c r="N477" s="67">
        <f t="shared" si="59"/>
        <v>333.50684931506851</v>
      </c>
      <c r="O477" s="3"/>
      <c r="P477" s="70" t="s">
        <v>18618</v>
      </c>
      <c r="Q477" s="2" t="s">
        <v>159</v>
      </c>
      <c r="R477" s="2" t="s">
        <v>15703</v>
      </c>
      <c r="T477" t="s">
        <v>18666</v>
      </c>
      <c r="U477" t="s">
        <v>18652</v>
      </c>
      <c r="V477" s="104">
        <v>45857</v>
      </c>
      <c r="X477" s="97"/>
      <c r="Y477" s="75">
        <v>333.51</v>
      </c>
    </row>
    <row r="478" spans="1:25" x14ac:dyDescent="0.25">
      <c r="A478" s="76">
        <v>509</v>
      </c>
      <c r="B478" s="2" t="s">
        <v>153</v>
      </c>
      <c r="C478" s="2" t="s">
        <v>154</v>
      </c>
      <c r="D478" s="2" t="s">
        <v>155</v>
      </c>
      <c r="E478" s="2" t="s">
        <v>156</v>
      </c>
      <c r="F478" s="2" t="s">
        <v>157</v>
      </c>
      <c r="G478" s="2" t="s">
        <v>158</v>
      </c>
      <c r="H478" s="17">
        <v>25</v>
      </c>
      <c r="I478" s="31">
        <f t="shared" si="54"/>
        <v>25000</v>
      </c>
      <c r="J478" s="31">
        <f t="shared" si="55"/>
        <v>1750.0000000000002</v>
      </c>
      <c r="K478" s="44">
        <f t="shared" si="56"/>
        <v>4.794520547945206</v>
      </c>
      <c r="L478" s="3">
        <f t="shared" si="57"/>
        <v>354.79452054794524</v>
      </c>
      <c r="M478" s="3">
        <f t="shared" si="58"/>
        <v>21.287671232876715</v>
      </c>
      <c r="N478" s="67">
        <f t="shared" si="59"/>
        <v>333.50684931506851</v>
      </c>
      <c r="O478" s="3"/>
      <c r="P478" s="70" t="s">
        <v>18618</v>
      </c>
      <c r="Q478" s="2" t="s">
        <v>159</v>
      </c>
      <c r="R478" s="2" t="s">
        <v>160</v>
      </c>
      <c r="T478" t="s">
        <v>18666</v>
      </c>
      <c r="U478" t="s">
        <v>18652</v>
      </c>
      <c r="V478" s="104">
        <v>45857</v>
      </c>
      <c r="X478" s="97"/>
      <c r="Y478" s="75">
        <v>333.51</v>
      </c>
    </row>
    <row r="479" spans="1:25" x14ac:dyDescent="0.25">
      <c r="A479" s="76">
        <v>510</v>
      </c>
      <c r="B479" s="2" t="s">
        <v>17030</v>
      </c>
      <c r="C479" s="2" t="s">
        <v>17031</v>
      </c>
      <c r="D479" s="2" t="s">
        <v>17032</v>
      </c>
      <c r="E479" s="2" t="s">
        <v>17033</v>
      </c>
      <c r="F479" s="2" t="s">
        <v>17034</v>
      </c>
      <c r="G479" s="2" t="s">
        <v>939</v>
      </c>
      <c r="H479" s="17">
        <v>25</v>
      </c>
      <c r="I479" s="31">
        <f t="shared" si="54"/>
        <v>25000</v>
      </c>
      <c r="J479" s="31">
        <f t="shared" si="55"/>
        <v>1750.0000000000002</v>
      </c>
      <c r="K479" s="44">
        <f t="shared" si="56"/>
        <v>4.794520547945206</v>
      </c>
      <c r="L479" s="3">
        <f t="shared" si="57"/>
        <v>354.79452054794524</v>
      </c>
      <c r="M479" s="3">
        <f t="shared" si="58"/>
        <v>21.287671232876715</v>
      </c>
      <c r="N479" s="67">
        <f t="shared" si="59"/>
        <v>333.50684931506851</v>
      </c>
      <c r="O479" s="3"/>
      <c r="P479" s="70" t="s">
        <v>18618</v>
      </c>
      <c r="Q479" s="2" t="s">
        <v>159</v>
      </c>
      <c r="R479" s="2" t="s">
        <v>17035</v>
      </c>
      <c r="T479" t="s">
        <v>18666</v>
      </c>
      <c r="U479" t="s">
        <v>18652</v>
      </c>
      <c r="V479" s="104">
        <v>45857</v>
      </c>
      <c r="X479" s="97"/>
      <c r="Y479" s="75">
        <v>333.51</v>
      </c>
    </row>
    <row r="480" spans="1:25" x14ac:dyDescent="0.25">
      <c r="A480" s="76">
        <v>511</v>
      </c>
      <c r="B480" s="2" t="s">
        <v>11471</v>
      </c>
      <c r="C480" s="2" t="s">
        <v>11472</v>
      </c>
      <c r="D480" s="2" t="s">
        <v>11473</v>
      </c>
      <c r="E480" s="2" t="s">
        <v>11474</v>
      </c>
      <c r="F480" s="2" t="s">
        <v>11475</v>
      </c>
      <c r="G480" s="2" t="s">
        <v>247</v>
      </c>
      <c r="H480" s="17">
        <v>25</v>
      </c>
      <c r="I480" s="31">
        <f t="shared" si="54"/>
        <v>25000</v>
      </c>
      <c r="J480" s="31">
        <f t="shared" si="55"/>
        <v>1750.0000000000002</v>
      </c>
      <c r="K480" s="44">
        <f t="shared" si="56"/>
        <v>4.794520547945206</v>
      </c>
      <c r="L480" s="3">
        <f t="shared" si="57"/>
        <v>354.79452054794524</v>
      </c>
      <c r="M480" s="3">
        <f t="shared" si="58"/>
        <v>21.287671232876715</v>
      </c>
      <c r="N480" s="67">
        <f t="shared" si="59"/>
        <v>333.50684931506851</v>
      </c>
      <c r="O480" s="3"/>
      <c r="P480" s="70" t="s">
        <v>18618</v>
      </c>
      <c r="Q480" s="2" t="s">
        <v>159</v>
      </c>
      <c r="R480" s="2" t="s">
        <v>11476</v>
      </c>
      <c r="T480" t="s">
        <v>18666</v>
      </c>
      <c r="U480" t="s">
        <v>18652</v>
      </c>
      <c r="V480" s="104">
        <v>45857</v>
      </c>
      <c r="X480" s="97"/>
      <c r="Y480" s="75">
        <v>333.51</v>
      </c>
    </row>
    <row r="481" spans="1:25" x14ac:dyDescent="0.25">
      <c r="A481" s="76">
        <v>512</v>
      </c>
      <c r="B481" s="2" t="s">
        <v>18118</v>
      </c>
      <c r="C481" s="2" t="s">
        <v>18119</v>
      </c>
      <c r="D481" s="2" t="s">
        <v>18120</v>
      </c>
      <c r="E481" s="2" t="s">
        <v>18121</v>
      </c>
      <c r="F481" s="2" t="s">
        <v>18122</v>
      </c>
      <c r="G481" s="2" t="s">
        <v>31</v>
      </c>
      <c r="H481" s="17">
        <v>1000</v>
      </c>
      <c r="I481" s="31">
        <f t="shared" si="54"/>
        <v>1000000</v>
      </c>
      <c r="J481" s="31">
        <f t="shared" si="55"/>
        <v>70000</v>
      </c>
      <c r="K481" s="44">
        <f t="shared" si="56"/>
        <v>191.78082191780823</v>
      </c>
      <c r="L481" s="3">
        <f t="shared" si="57"/>
        <v>14191.780821917808</v>
      </c>
      <c r="M481" s="3">
        <f t="shared" si="58"/>
        <v>851.50684931506839</v>
      </c>
      <c r="N481" s="67">
        <f t="shared" si="59"/>
        <v>13340.273972602739</v>
      </c>
      <c r="O481" s="3"/>
      <c r="P481" s="70" t="s">
        <v>18618</v>
      </c>
      <c r="Q481" s="2" t="s">
        <v>159</v>
      </c>
      <c r="R481" s="2" t="s">
        <v>18123</v>
      </c>
      <c r="T481" t="s">
        <v>18666</v>
      </c>
      <c r="U481" t="s">
        <v>18652</v>
      </c>
      <c r="V481" s="104">
        <v>45857</v>
      </c>
      <c r="X481" s="97"/>
      <c r="Y481" s="75">
        <v>13340.28</v>
      </c>
    </row>
    <row r="482" spans="1:25" x14ac:dyDescent="0.25">
      <c r="A482" s="76">
        <v>513</v>
      </c>
      <c r="B482" s="2" t="s">
        <v>17160</v>
      </c>
      <c r="C482" s="2" t="s">
        <v>17161</v>
      </c>
      <c r="D482" s="2" t="s">
        <v>17162</v>
      </c>
      <c r="E482" s="2" t="s">
        <v>17163</v>
      </c>
      <c r="F482" s="2" t="s">
        <v>17164</v>
      </c>
      <c r="G482" s="2" t="s">
        <v>412</v>
      </c>
      <c r="H482" s="17">
        <v>25</v>
      </c>
      <c r="I482" s="31">
        <f t="shared" si="54"/>
        <v>25000</v>
      </c>
      <c r="J482" s="31">
        <f t="shared" si="55"/>
        <v>1750.0000000000002</v>
      </c>
      <c r="K482" s="44">
        <f t="shared" si="56"/>
        <v>4.794520547945206</v>
      </c>
      <c r="L482" s="3">
        <f t="shared" si="57"/>
        <v>354.79452054794524</v>
      </c>
      <c r="M482" s="3">
        <f t="shared" si="58"/>
        <v>21.287671232876715</v>
      </c>
      <c r="N482" s="67">
        <f t="shared" si="59"/>
        <v>333.50684931506851</v>
      </c>
      <c r="O482" s="3"/>
      <c r="P482" s="70" t="s">
        <v>18618</v>
      </c>
      <c r="Q482" s="2" t="s">
        <v>159</v>
      </c>
      <c r="R482" s="2" t="s">
        <v>17165</v>
      </c>
      <c r="T482" t="s">
        <v>18666</v>
      </c>
      <c r="U482" t="s">
        <v>18652</v>
      </c>
      <c r="V482" s="104">
        <v>45857</v>
      </c>
      <c r="X482" s="97"/>
      <c r="Y482" s="75">
        <v>333.51</v>
      </c>
    </row>
    <row r="483" spans="1:25" x14ac:dyDescent="0.25">
      <c r="A483" s="76">
        <v>514</v>
      </c>
      <c r="B483" s="2" t="s">
        <v>13192</v>
      </c>
      <c r="C483" s="2" t="s">
        <v>13193</v>
      </c>
      <c r="D483" s="2" t="s">
        <v>13194</v>
      </c>
      <c r="E483" s="2" t="s">
        <v>13195</v>
      </c>
      <c r="F483" s="2" t="s">
        <v>13196</v>
      </c>
      <c r="G483" s="2" t="s">
        <v>296</v>
      </c>
      <c r="H483" s="17">
        <v>35</v>
      </c>
      <c r="I483" s="31">
        <f t="shared" si="54"/>
        <v>35000</v>
      </c>
      <c r="J483" s="31">
        <f t="shared" si="55"/>
        <v>2450.0000000000005</v>
      </c>
      <c r="K483" s="44">
        <f t="shared" si="56"/>
        <v>6.7123287671232887</v>
      </c>
      <c r="L483" s="3">
        <f t="shared" si="57"/>
        <v>496.71232876712338</v>
      </c>
      <c r="M483" s="3">
        <f t="shared" si="58"/>
        <v>29.802739726027401</v>
      </c>
      <c r="N483" s="67">
        <f t="shared" si="59"/>
        <v>466.90958904109596</v>
      </c>
      <c r="O483" s="3"/>
      <c r="P483" s="70" t="s">
        <v>18618</v>
      </c>
      <c r="Q483" s="2" t="s">
        <v>159</v>
      </c>
      <c r="R483" s="2" t="s">
        <v>13197</v>
      </c>
      <c r="T483" t="s">
        <v>18666</v>
      </c>
      <c r="U483" t="s">
        <v>18652</v>
      </c>
      <c r="V483" s="104">
        <v>45857</v>
      </c>
      <c r="X483" s="97"/>
      <c r="Y483" s="75">
        <v>466.90999999999997</v>
      </c>
    </row>
    <row r="484" spans="1:25" x14ac:dyDescent="0.25">
      <c r="A484" s="76">
        <v>515</v>
      </c>
      <c r="B484" s="2" t="s">
        <v>9334</v>
      </c>
      <c r="C484" s="2" t="s">
        <v>9335</v>
      </c>
      <c r="D484" s="2" t="s">
        <v>9336</v>
      </c>
      <c r="E484" s="2" t="s">
        <v>9337</v>
      </c>
      <c r="F484" s="2" t="s">
        <v>9338</v>
      </c>
      <c r="G484" s="2" t="s">
        <v>381</v>
      </c>
      <c r="H484" s="17">
        <v>25</v>
      </c>
      <c r="I484" s="31">
        <f t="shared" si="54"/>
        <v>25000</v>
      </c>
      <c r="J484" s="31">
        <f t="shared" si="55"/>
        <v>1750.0000000000002</v>
      </c>
      <c r="K484" s="44">
        <f t="shared" si="56"/>
        <v>4.794520547945206</v>
      </c>
      <c r="L484" s="3">
        <f t="shared" si="57"/>
        <v>354.79452054794524</v>
      </c>
      <c r="M484" s="3">
        <f t="shared" si="58"/>
        <v>21.287671232876715</v>
      </c>
      <c r="N484" s="67">
        <f t="shared" si="59"/>
        <v>333.50684931506851</v>
      </c>
      <c r="O484" s="3"/>
      <c r="P484" s="70" t="s">
        <v>18618</v>
      </c>
      <c r="Q484" s="2" t="s">
        <v>159</v>
      </c>
      <c r="R484" s="2" t="s">
        <v>9339</v>
      </c>
      <c r="T484" t="s">
        <v>18666</v>
      </c>
      <c r="U484" t="s">
        <v>18652</v>
      </c>
      <c r="V484" s="104">
        <v>45857</v>
      </c>
      <c r="X484" s="97"/>
      <c r="Y484" s="75">
        <v>333.51</v>
      </c>
    </row>
    <row r="485" spans="1:25" x14ac:dyDescent="0.25">
      <c r="A485" s="76">
        <v>516</v>
      </c>
      <c r="B485" s="2" t="s">
        <v>10177</v>
      </c>
      <c r="C485" s="2" t="s">
        <v>10178</v>
      </c>
      <c r="D485" s="2" t="s">
        <v>10179</v>
      </c>
      <c r="E485" s="2" t="s">
        <v>5352</v>
      </c>
      <c r="F485" s="2" t="s">
        <v>10180</v>
      </c>
      <c r="G485" s="2" t="s">
        <v>186</v>
      </c>
      <c r="H485" s="17">
        <v>100</v>
      </c>
      <c r="I485" s="31">
        <f t="shared" si="54"/>
        <v>100000</v>
      </c>
      <c r="J485" s="31">
        <f t="shared" si="55"/>
        <v>7000.0000000000009</v>
      </c>
      <c r="K485" s="44">
        <f t="shared" si="56"/>
        <v>19.178082191780824</v>
      </c>
      <c r="L485" s="3">
        <f t="shared" si="57"/>
        <v>1419.178082191781</v>
      </c>
      <c r="M485" s="3">
        <f t="shared" si="58"/>
        <v>85.150684931506859</v>
      </c>
      <c r="N485" s="67">
        <f t="shared" si="59"/>
        <v>1334.027397260274</v>
      </c>
      <c r="O485" s="3"/>
      <c r="P485" s="70" t="s">
        <v>18618</v>
      </c>
      <c r="Q485" s="2" t="s">
        <v>159</v>
      </c>
      <c r="R485" s="2" t="s">
        <v>10181</v>
      </c>
      <c r="T485" t="s">
        <v>18666</v>
      </c>
      <c r="U485" t="s">
        <v>18652</v>
      </c>
      <c r="V485" s="104">
        <v>45857</v>
      </c>
      <c r="X485" s="97"/>
      <c r="Y485" s="75">
        <v>1334.03</v>
      </c>
    </row>
    <row r="486" spans="1:25" x14ac:dyDescent="0.25">
      <c r="A486" s="76">
        <v>517</v>
      </c>
      <c r="B486" s="2" t="s">
        <v>13480</v>
      </c>
      <c r="C486" s="2" t="s">
        <v>13481</v>
      </c>
      <c r="D486" s="2" t="s">
        <v>13482</v>
      </c>
      <c r="E486" s="2" t="s">
        <v>13483</v>
      </c>
      <c r="F486" s="2" t="s">
        <v>13484</v>
      </c>
      <c r="G486" s="2" t="s">
        <v>643</v>
      </c>
      <c r="H486" s="17">
        <v>25</v>
      </c>
      <c r="I486" s="31">
        <f t="shared" si="54"/>
        <v>25000</v>
      </c>
      <c r="J486" s="31">
        <f t="shared" si="55"/>
        <v>1750.0000000000002</v>
      </c>
      <c r="K486" s="44">
        <f t="shared" si="56"/>
        <v>4.794520547945206</v>
      </c>
      <c r="L486" s="3">
        <f t="shared" si="57"/>
        <v>354.79452054794524</v>
      </c>
      <c r="M486" s="3">
        <f t="shared" si="58"/>
        <v>21.287671232876715</v>
      </c>
      <c r="N486" s="67">
        <f t="shared" si="59"/>
        <v>333.50684931506851</v>
      </c>
      <c r="O486" s="3"/>
      <c r="P486" s="70" t="s">
        <v>18618</v>
      </c>
      <c r="Q486" s="2" t="s">
        <v>159</v>
      </c>
      <c r="R486" s="2" t="s">
        <v>13485</v>
      </c>
      <c r="T486" t="s">
        <v>18666</v>
      </c>
      <c r="U486" t="s">
        <v>18652</v>
      </c>
      <c r="V486" s="104">
        <v>45857</v>
      </c>
      <c r="X486" s="97"/>
      <c r="Y486" s="75">
        <v>333.51</v>
      </c>
    </row>
    <row r="487" spans="1:25" x14ac:dyDescent="0.25">
      <c r="A487" s="76">
        <v>518</v>
      </c>
      <c r="B487" s="2" t="s">
        <v>2042</v>
      </c>
      <c r="C487" s="2" t="s">
        <v>2043</v>
      </c>
      <c r="D487" s="2" t="s">
        <v>2044</v>
      </c>
      <c r="E487" s="2" t="s">
        <v>2045</v>
      </c>
      <c r="F487" s="2" t="s">
        <v>2046</v>
      </c>
      <c r="G487" s="2" t="s">
        <v>750</v>
      </c>
      <c r="H487" s="17">
        <v>50</v>
      </c>
      <c r="I487" s="31">
        <f t="shared" si="54"/>
        <v>50000</v>
      </c>
      <c r="J487" s="31">
        <f t="shared" si="55"/>
        <v>3500.0000000000005</v>
      </c>
      <c r="K487" s="44">
        <f t="shared" si="56"/>
        <v>9.589041095890412</v>
      </c>
      <c r="L487" s="3">
        <f t="shared" si="57"/>
        <v>709.58904109589048</v>
      </c>
      <c r="M487" s="3">
        <f t="shared" si="58"/>
        <v>42.57534246575343</v>
      </c>
      <c r="N487" s="67">
        <f t="shared" si="59"/>
        <v>667.01369863013701</v>
      </c>
      <c r="O487" s="3"/>
      <c r="P487" s="70" t="s">
        <v>18618</v>
      </c>
      <c r="Q487" s="2" t="s">
        <v>159</v>
      </c>
      <c r="R487" s="2" t="s">
        <v>2047</v>
      </c>
      <c r="T487" t="s">
        <v>18666</v>
      </c>
      <c r="U487" t="s">
        <v>18652</v>
      </c>
      <c r="V487" s="104">
        <v>45857</v>
      </c>
      <c r="X487" s="97"/>
      <c r="Y487" s="75">
        <v>667.02</v>
      </c>
    </row>
    <row r="488" spans="1:25" x14ac:dyDescent="0.25">
      <c r="A488" s="76">
        <v>519</v>
      </c>
      <c r="B488" s="2" t="s">
        <v>8625</v>
      </c>
      <c r="C488" s="2" t="s">
        <v>8626</v>
      </c>
      <c r="D488" s="2" t="s">
        <v>8627</v>
      </c>
      <c r="E488" s="2" t="s">
        <v>8628</v>
      </c>
      <c r="F488" s="2" t="s">
        <v>8629</v>
      </c>
      <c r="G488" s="2" t="s">
        <v>381</v>
      </c>
      <c r="H488" s="17">
        <v>25</v>
      </c>
      <c r="I488" s="31">
        <f t="shared" si="54"/>
        <v>25000</v>
      </c>
      <c r="J488" s="31">
        <f t="shared" si="55"/>
        <v>1750.0000000000002</v>
      </c>
      <c r="K488" s="44">
        <f t="shared" si="56"/>
        <v>4.794520547945206</v>
      </c>
      <c r="L488" s="3">
        <f t="shared" si="57"/>
        <v>354.79452054794524</v>
      </c>
      <c r="M488" s="3">
        <f t="shared" si="58"/>
        <v>21.287671232876715</v>
      </c>
      <c r="N488" s="67">
        <f t="shared" si="59"/>
        <v>333.50684931506851</v>
      </c>
      <c r="O488" s="3"/>
      <c r="P488" s="70" t="s">
        <v>18618</v>
      </c>
      <c r="Q488" s="2" t="s">
        <v>159</v>
      </c>
      <c r="R488" s="2" t="s">
        <v>8630</v>
      </c>
      <c r="T488" t="s">
        <v>18666</v>
      </c>
      <c r="U488" t="s">
        <v>18652</v>
      </c>
      <c r="V488" s="104">
        <v>45857</v>
      </c>
      <c r="X488" s="97"/>
      <c r="Y488" s="75">
        <v>333.51</v>
      </c>
    </row>
    <row r="489" spans="1:25" x14ac:dyDescent="0.25">
      <c r="A489" s="76">
        <v>520</v>
      </c>
      <c r="B489" s="2" t="s">
        <v>884</v>
      </c>
      <c r="C489" s="2" t="s">
        <v>885</v>
      </c>
      <c r="D489" s="2" t="s">
        <v>886</v>
      </c>
      <c r="E489" s="2" t="s">
        <v>887</v>
      </c>
      <c r="F489" s="2" t="s">
        <v>888</v>
      </c>
      <c r="G489" s="2" t="s">
        <v>599</v>
      </c>
      <c r="H489" s="17">
        <v>25</v>
      </c>
      <c r="I489" s="31">
        <f t="shared" si="54"/>
        <v>25000</v>
      </c>
      <c r="J489" s="31">
        <f t="shared" si="55"/>
        <v>1750.0000000000002</v>
      </c>
      <c r="K489" s="44">
        <f t="shared" si="56"/>
        <v>4.794520547945206</v>
      </c>
      <c r="L489" s="3">
        <f t="shared" si="57"/>
        <v>354.79452054794524</v>
      </c>
      <c r="M489" s="3">
        <f t="shared" si="58"/>
        <v>21.287671232876715</v>
      </c>
      <c r="N489" s="67">
        <f t="shared" si="59"/>
        <v>333.50684931506851</v>
      </c>
      <c r="O489" s="3"/>
      <c r="P489" s="70" t="s">
        <v>18618</v>
      </c>
      <c r="Q489" s="2" t="s">
        <v>159</v>
      </c>
      <c r="R489" s="2" t="s">
        <v>889</v>
      </c>
      <c r="T489" t="s">
        <v>18666</v>
      </c>
      <c r="U489" t="s">
        <v>18652</v>
      </c>
      <c r="V489" s="104">
        <v>45857</v>
      </c>
      <c r="X489" s="97"/>
      <c r="Y489" s="75">
        <v>333.51</v>
      </c>
    </row>
    <row r="490" spans="1:25" x14ac:dyDescent="0.25">
      <c r="A490" s="76">
        <v>521</v>
      </c>
      <c r="B490" s="2" t="s">
        <v>12699</v>
      </c>
      <c r="C490" s="2" t="s">
        <v>12700</v>
      </c>
      <c r="D490" s="2" t="s">
        <v>12701</v>
      </c>
      <c r="E490" s="2" t="s">
        <v>12702</v>
      </c>
      <c r="F490" s="2" t="s">
        <v>12703</v>
      </c>
      <c r="G490" s="2" t="s">
        <v>247</v>
      </c>
      <c r="H490" s="17">
        <v>50</v>
      </c>
      <c r="I490" s="31">
        <f t="shared" si="54"/>
        <v>50000</v>
      </c>
      <c r="J490" s="31">
        <f t="shared" si="55"/>
        <v>3500.0000000000005</v>
      </c>
      <c r="K490" s="44">
        <f t="shared" si="56"/>
        <v>9.589041095890412</v>
      </c>
      <c r="L490" s="3">
        <f t="shared" si="57"/>
        <v>709.58904109589048</v>
      </c>
      <c r="M490" s="3">
        <f t="shared" si="58"/>
        <v>42.57534246575343</v>
      </c>
      <c r="N490" s="67">
        <f t="shared" si="59"/>
        <v>667.01369863013701</v>
      </c>
      <c r="O490" s="3"/>
      <c r="P490" s="70" t="s">
        <v>18618</v>
      </c>
      <c r="Q490" s="2" t="s">
        <v>159</v>
      </c>
      <c r="R490" s="2" t="s">
        <v>12704</v>
      </c>
      <c r="T490" t="s">
        <v>18666</v>
      </c>
      <c r="U490" t="s">
        <v>18652</v>
      </c>
      <c r="V490" s="104">
        <v>45857</v>
      </c>
      <c r="X490" s="97"/>
      <c r="Y490" s="75">
        <v>667.02</v>
      </c>
    </row>
    <row r="491" spans="1:25" x14ac:dyDescent="0.25">
      <c r="A491" s="76">
        <v>522</v>
      </c>
      <c r="B491" s="2" t="s">
        <v>3123</v>
      </c>
      <c r="C491" s="2" t="s">
        <v>3124</v>
      </c>
      <c r="D491" s="2" t="s">
        <v>3125</v>
      </c>
      <c r="E491" s="2" t="s">
        <v>3126</v>
      </c>
      <c r="F491" s="2" t="s">
        <v>3127</v>
      </c>
      <c r="G491" s="2" t="s">
        <v>750</v>
      </c>
      <c r="H491" s="17">
        <v>300</v>
      </c>
      <c r="I491" s="31">
        <f t="shared" si="54"/>
        <v>300000</v>
      </c>
      <c r="J491" s="31">
        <f t="shared" si="55"/>
        <v>21000.000000000004</v>
      </c>
      <c r="K491" s="44">
        <f t="shared" si="56"/>
        <v>57.534246575342479</v>
      </c>
      <c r="L491" s="3">
        <f t="shared" si="57"/>
        <v>4257.5342465753438</v>
      </c>
      <c r="M491" s="3">
        <f t="shared" si="58"/>
        <v>255.45205479452062</v>
      </c>
      <c r="N491" s="67">
        <f t="shared" si="59"/>
        <v>4002.082191780823</v>
      </c>
      <c r="O491" s="3"/>
      <c r="P491" s="70" t="s">
        <v>18618</v>
      </c>
      <c r="Q491" s="2" t="s">
        <v>159</v>
      </c>
      <c r="R491" s="2" t="s">
        <v>3128</v>
      </c>
      <c r="T491" t="s">
        <v>18666</v>
      </c>
      <c r="U491" t="s">
        <v>18652</v>
      </c>
      <c r="V491" s="104">
        <v>45857</v>
      </c>
      <c r="X491" s="97"/>
      <c r="Y491" s="75">
        <v>4002.09</v>
      </c>
    </row>
    <row r="492" spans="1:25" x14ac:dyDescent="0.25">
      <c r="A492" s="76">
        <v>523</v>
      </c>
      <c r="B492" s="2" t="s">
        <v>8118</v>
      </c>
      <c r="C492" s="2" t="s">
        <v>8119</v>
      </c>
      <c r="D492" s="2" t="s">
        <v>8120</v>
      </c>
      <c r="E492" s="2" t="s">
        <v>8121</v>
      </c>
      <c r="F492" s="2" t="s">
        <v>8122</v>
      </c>
      <c r="G492" s="2" t="s">
        <v>309</v>
      </c>
      <c r="H492" s="17">
        <v>25</v>
      </c>
      <c r="I492" s="31">
        <f t="shared" si="54"/>
        <v>25000</v>
      </c>
      <c r="J492" s="31">
        <f t="shared" si="55"/>
        <v>1750.0000000000002</v>
      </c>
      <c r="K492" s="44">
        <f t="shared" si="56"/>
        <v>4.794520547945206</v>
      </c>
      <c r="L492" s="3">
        <f t="shared" si="57"/>
        <v>354.79452054794524</v>
      </c>
      <c r="M492" s="3">
        <f t="shared" si="58"/>
        <v>21.287671232876715</v>
      </c>
      <c r="N492" s="67">
        <f t="shared" si="59"/>
        <v>333.50684931506851</v>
      </c>
      <c r="O492" s="3"/>
      <c r="P492" s="70" t="s">
        <v>18618</v>
      </c>
      <c r="Q492" s="2" t="s">
        <v>159</v>
      </c>
      <c r="R492" s="2" t="s">
        <v>8123</v>
      </c>
      <c r="T492" t="s">
        <v>18666</v>
      </c>
      <c r="U492" t="s">
        <v>18652</v>
      </c>
      <c r="V492" s="104">
        <v>45857</v>
      </c>
      <c r="X492" s="97"/>
      <c r="Y492" s="75">
        <v>333.51</v>
      </c>
    </row>
    <row r="493" spans="1:25" x14ac:dyDescent="0.25">
      <c r="A493" s="76">
        <v>524</v>
      </c>
      <c r="B493" s="2" t="s">
        <v>9944</v>
      </c>
      <c r="C493" s="2" t="s">
        <v>9945</v>
      </c>
      <c r="D493" s="2" t="s">
        <v>9946</v>
      </c>
      <c r="E493" s="2" t="s">
        <v>9947</v>
      </c>
      <c r="F493" s="2" t="s">
        <v>9948</v>
      </c>
      <c r="G493" s="2" t="s">
        <v>166</v>
      </c>
      <c r="H493" s="17">
        <v>25</v>
      </c>
      <c r="I493" s="31">
        <f t="shared" si="54"/>
        <v>25000</v>
      </c>
      <c r="J493" s="31">
        <f t="shared" si="55"/>
        <v>1750.0000000000002</v>
      </c>
      <c r="K493" s="44">
        <f t="shared" si="56"/>
        <v>4.794520547945206</v>
      </c>
      <c r="L493" s="3">
        <f t="shared" si="57"/>
        <v>354.79452054794524</v>
      </c>
      <c r="M493" s="3">
        <f t="shared" si="58"/>
        <v>21.287671232876715</v>
      </c>
      <c r="N493" s="67">
        <f t="shared" si="59"/>
        <v>333.50684931506851</v>
      </c>
      <c r="O493" s="3"/>
      <c r="P493" s="70" t="s">
        <v>18618</v>
      </c>
      <c r="Q493" s="2" t="s">
        <v>159</v>
      </c>
      <c r="R493" s="2" t="s">
        <v>9949</v>
      </c>
      <c r="T493" t="s">
        <v>18666</v>
      </c>
      <c r="U493" t="s">
        <v>18652</v>
      </c>
      <c r="V493" s="104">
        <v>45857</v>
      </c>
      <c r="X493" s="97"/>
      <c r="Y493" s="75">
        <v>333.51</v>
      </c>
    </row>
    <row r="494" spans="1:25" x14ac:dyDescent="0.25">
      <c r="A494" s="76">
        <v>525</v>
      </c>
      <c r="B494" s="2" t="s">
        <v>12633</v>
      </c>
      <c r="C494" s="2" t="s">
        <v>12634</v>
      </c>
      <c r="D494" s="2" t="s">
        <v>12635</v>
      </c>
      <c r="E494" s="2" t="s">
        <v>12636</v>
      </c>
      <c r="F494" s="2" t="s">
        <v>12637</v>
      </c>
      <c r="G494" s="2" t="s">
        <v>166</v>
      </c>
      <c r="H494" s="17">
        <v>100</v>
      </c>
      <c r="I494" s="31">
        <f t="shared" si="54"/>
        <v>100000</v>
      </c>
      <c r="J494" s="31">
        <f t="shared" si="55"/>
        <v>7000.0000000000009</v>
      </c>
      <c r="K494" s="44">
        <f t="shared" si="56"/>
        <v>19.178082191780824</v>
      </c>
      <c r="L494" s="3">
        <f t="shared" si="57"/>
        <v>1419.178082191781</v>
      </c>
      <c r="M494" s="3">
        <f t="shared" si="58"/>
        <v>85.150684931506859</v>
      </c>
      <c r="N494" s="67">
        <f t="shared" si="59"/>
        <v>1334.027397260274</v>
      </c>
      <c r="O494" s="3"/>
      <c r="P494" s="70" t="s">
        <v>18618</v>
      </c>
      <c r="Q494" s="2" t="s">
        <v>159</v>
      </c>
      <c r="R494" s="2" t="s">
        <v>12638</v>
      </c>
      <c r="T494" t="s">
        <v>18666</v>
      </c>
      <c r="U494" t="s">
        <v>18652</v>
      </c>
      <c r="V494" s="104">
        <v>45857</v>
      </c>
      <c r="X494" s="97"/>
      <c r="Y494" s="75">
        <v>1334.03</v>
      </c>
    </row>
    <row r="495" spans="1:25" x14ac:dyDescent="0.25">
      <c r="A495" s="76">
        <v>526</v>
      </c>
      <c r="B495" s="2" t="s">
        <v>11294</v>
      </c>
      <c r="C495" s="2" t="s">
        <v>11295</v>
      </c>
      <c r="D495" s="2" t="s">
        <v>11296</v>
      </c>
      <c r="E495" s="2" t="s">
        <v>11297</v>
      </c>
      <c r="F495" s="2" t="s">
        <v>11298</v>
      </c>
      <c r="G495" s="2" t="s">
        <v>381</v>
      </c>
      <c r="H495" s="17">
        <v>25</v>
      </c>
      <c r="I495" s="31">
        <f t="shared" si="54"/>
        <v>25000</v>
      </c>
      <c r="J495" s="31">
        <f t="shared" si="55"/>
        <v>1750.0000000000002</v>
      </c>
      <c r="K495" s="44">
        <f t="shared" si="56"/>
        <v>4.794520547945206</v>
      </c>
      <c r="L495" s="3">
        <f t="shared" si="57"/>
        <v>354.79452054794524</v>
      </c>
      <c r="M495" s="3">
        <f t="shared" si="58"/>
        <v>21.287671232876715</v>
      </c>
      <c r="N495" s="67">
        <f t="shared" si="59"/>
        <v>333.50684931506851</v>
      </c>
      <c r="O495" s="3"/>
      <c r="P495" s="70" t="s">
        <v>18618</v>
      </c>
      <c r="Q495" s="2" t="s">
        <v>159</v>
      </c>
      <c r="R495" s="2" t="s">
        <v>11299</v>
      </c>
      <c r="T495" t="s">
        <v>18666</v>
      </c>
      <c r="U495" t="s">
        <v>18652</v>
      </c>
      <c r="V495" s="104">
        <v>45857</v>
      </c>
      <c r="X495" s="97"/>
      <c r="Y495" s="75">
        <v>333.51</v>
      </c>
    </row>
    <row r="496" spans="1:25" x14ac:dyDescent="0.25">
      <c r="A496" s="76">
        <v>527</v>
      </c>
      <c r="B496" s="2" t="s">
        <v>7167</v>
      </c>
      <c r="C496" s="2" t="s">
        <v>7168</v>
      </c>
      <c r="D496" s="2" t="s">
        <v>7169</v>
      </c>
      <c r="E496" s="2" t="s">
        <v>7170</v>
      </c>
      <c r="F496" s="2" t="s">
        <v>7171</v>
      </c>
      <c r="G496" s="2" t="s">
        <v>412</v>
      </c>
      <c r="H496" s="17">
        <v>25</v>
      </c>
      <c r="I496" s="31">
        <f t="shared" si="54"/>
        <v>25000</v>
      </c>
      <c r="J496" s="31">
        <f t="shared" si="55"/>
        <v>1750.0000000000002</v>
      </c>
      <c r="K496" s="44">
        <f t="shared" si="56"/>
        <v>4.794520547945206</v>
      </c>
      <c r="L496" s="3">
        <f t="shared" si="57"/>
        <v>354.79452054794524</v>
      </c>
      <c r="M496" s="3">
        <f t="shared" si="58"/>
        <v>21.287671232876715</v>
      </c>
      <c r="N496" s="67">
        <f t="shared" si="59"/>
        <v>333.50684931506851</v>
      </c>
      <c r="O496" s="3"/>
      <c r="P496" s="70" t="s">
        <v>18618</v>
      </c>
      <c r="Q496" s="2" t="s">
        <v>159</v>
      </c>
      <c r="R496" s="2" t="s">
        <v>7172</v>
      </c>
      <c r="T496" t="s">
        <v>18666</v>
      </c>
      <c r="U496" t="s">
        <v>18652</v>
      </c>
      <c r="V496" s="104">
        <v>45857</v>
      </c>
      <c r="X496" s="97"/>
      <c r="Y496" s="75">
        <v>333.51</v>
      </c>
    </row>
    <row r="497" spans="1:25" x14ac:dyDescent="0.25">
      <c r="A497" s="76">
        <v>528</v>
      </c>
      <c r="B497" s="2" t="s">
        <v>8566</v>
      </c>
      <c r="C497" s="2" t="s">
        <v>2865</v>
      </c>
      <c r="D497" s="2" t="s">
        <v>8567</v>
      </c>
      <c r="E497" s="2" t="s">
        <v>8568</v>
      </c>
      <c r="F497" s="2" t="s">
        <v>8569</v>
      </c>
      <c r="G497" s="2" t="s">
        <v>282</v>
      </c>
      <c r="H497" s="17">
        <v>25</v>
      </c>
      <c r="I497" s="31">
        <f t="shared" si="54"/>
        <v>25000</v>
      </c>
      <c r="J497" s="31">
        <f t="shared" si="55"/>
        <v>1750.0000000000002</v>
      </c>
      <c r="K497" s="44">
        <f t="shared" si="56"/>
        <v>4.794520547945206</v>
      </c>
      <c r="L497" s="3">
        <f t="shared" si="57"/>
        <v>354.79452054794524</v>
      </c>
      <c r="M497" s="3">
        <f t="shared" si="58"/>
        <v>21.287671232876715</v>
      </c>
      <c r="N497" s="67">
        <f t="shared" si="59"/>
        <v>333.50684931506851</v>
      </c>
      <c r="O497" s="3"/>
      <c r="P497" s="70" t="s">
        <v>18618</v>
      </c>
      <c r="Q497" s="2" t="s">
        <v>159</v>
      </c>
      <c r="R497" s="2" t="s">
        <v>8570</v>
      </c>
      <c r="T497" t="s">
        <v>18666</v>
      </c>
      <c r="U497" t="s">
        <v>18652</v>
      </c>
      <c r="V497" s="104">
        <v>45857</v>
      </c>
      <c r="X497" s="97"/>
      <c r="Y497" s="75">
        <v>333.51</v>
      </c>
    </row>
    <row r="498" spans="1:25" x14ac:dyDescent="0.25">
      <c r="A498" s="76">
        <v>529</v>
      </c>
      <c r="B498" s="2" t="s">
        <v>1860</v>
      </c>
      <c r="C498" s="2" t="s">
        <v>1861</v>
      </c>
      <c r="D498" s="2" t="s">
        <v>1862</v>
      </c>
      <c r="E498" s="2" t="s">
        <v>1863</v>
      </c>
      <c r="F498" s="2" t="s">
        <v>1864</v>
      </c>
      <c r="G498" s="2" t="s">
        <v>173</v>
      </c>
      <c r="H498" s="17">
        <v>25</v>
      </c>
      <c r="I498" s="31">
        <f t="shared" si="54"/>
        <v>25000</v>
      </c>
      <c r="J498" s="31">
        <f t="shared" si="55"/>
        <v>1750.0000000000002</v>
      </c>
      <c r="K498" s="44">
        <f t="shared" si="56"/>
        <v>4.794520547945206</v>
      </c>
      <c r="L498" s="3">
        <f t="shared" si="57"/>
        <v>354.79452054794524</v>
      </c>
      <c r="M498" s="3">
        <f t="shared" si="58"/>
        <v>21.287671232876715</v>
      </c>
      <c r="N498" s="67">
        <f t="shared" si="59"/>
        <v>333.50684931506851</v>
      </c>
      <c r="O498" s="3"/>
      <c r="P498" s="70" t="s">
        <v>18618</v>
      </c>
      <c r="Q498" s="2" t="s">
        <v>159</v>
      </c>
      <c r="R498" s="2" t="s">
        <v>1865</v>
      </c>
      <c r="T498" t="s">
        <v>18666</v>
      </c>
      <c r="U498" t="s">
        <v>18652</v>
      </c>
      <c r="V498" s="104">
        <v>45857</v>
      </c>
      <c r="X498" s="97"/>
      <c r="Y498" s="75">
        <v>333.51</v>
      </c>
    </row>
    <row r="499" spans="1:25" x14ac:dyDescent="0.25">
      <c r="A499" s="76">
        <v>530</v>
      </c>
      <c r="B499" s="2" t="s">
        <v>5463</v>
      </c>
      <c r="C499" s="2" t="s">
        <v>5464</v>
      </c>
      <c r="D499" s="2" t="s">
        <v>5465</v>
      </c>
      <c r="E499" s="2" t="s">
        <v>5466</v>
      </c>
      <c r="F499" s="2" t="s">
        <v>5467</v>
      </c>
      <c r="G499" s="2" t="s">
        <v>2137</v>
      </c>
      <c r="H499" s="17">
        <v>25</v>
      </c>
      <c r="I499" s="31">
        <f t="shared" si="54"/>
        <v>25000</v>
      </c>
      <c r="J499" s="31">
        <f t="shared" si="55"/>
        <v>1750.0000000000002</v>
      </c>
      <c r="K499" s="44">
        <f t="shared" si="56"/>
        <v>4.794520547945206</v>
      </c>
      <c r="L499" s="3">
        <f t="shared" si="57"/>
        <v>354.79452054794524</v>
      </c>
      <c r="M499" s="3">
        <f t="shared" si="58"/>
        <v>21.287671232876715</v>
      </c>
      <c r="N499" s="67">
        <f t="shared" si="59"/>
        <v>333.50684931506851</v>
      </c>
      <c r="O499" s="3"/>
      <c r="P499" s="70" t="s">
        <v>18618</v>
      </c>
      <c r="Q499" s="2" t="s">
        <v>159</v>
      </c>
      <c r="R499" s="2" t="s">
        <v>5468</v>
      </c>
      <c r="T499" t="s">
        <v>18666</v>
      </c>
      <c r="U499" t="s">
        <v>18652</v>
      </c>
      <c r="V499" s="104">
        <v>45857</v>
      </c>
      <c r="X499" s="97"/>
      <c r="Y499" s="75">
        <v>333.51</v>
      </c>
    </row>
    <row r="500" spans="1:25" x14ac:dyDescent="0.25">
      <c r="A500" s="76">
        <v>531</v>
      </c>
      <c r="B500" s="2" t="s">
        <v>1413</v>
      </c>
      <c r="C500" s="2" t="s">
        <v>1414</v>
      </c>
      <c r="D500" s="2" t="s">
        <v>1415</v>
      </c>
      <c r="E500" s="2" t="s">
        <v>1416</v>
      </c>
      <c r="F500" s="2" t="s">
        <v>1417</v>
      </c>
      <c r="G500" s="2" t="s">
        <v>31</v>
      </c>
      <c r="H500" s="17">
        <v>100</v>
      </c>
      <c r="I500" s="31">
        <f t="shared" si="54"/>
        <v>100000</v>
      </c>
      <c r="J500" s="31">
        <f t="shared" si="55"/>
        <v>7000.0000000000009</v>
      </c>
      <c r="K500" s="44">
        <f t="shared" si="56"/>
        <v>19.178082191780824</v>
      </c>
      <c r="L500" s="3">
        <f t="shared" si="57"/>
        <v>1419.178082191781</v>
      </c>
      <c r="M500" s="3">
        <f t="shared" si="58"/>
        <v>85.150684931506859</v>
      </c>
      <c r="N500" s="67">
        <f t="shared" si="59"/>
        <v>1334.027397260274</v>
      </c>
      <c r="O500" s="3"/>
      <c r="P500" s="70" t="s">
        <v>18618</v>
      </c>
      <c r="Q500" s="2" t="s">
        <v>159</v>
      </c>
      <c r="R500" s="2" t="s">
        <v>1418</v>
      </c>
      <c r="T500" t="s">
        <v>18666</v>
      </c>
      <c r="U500" t="s">
        <v>18652</v>
      </c>
      <c r="V500" s="104">
        <v>45857</v>
      </c>
      <c r="X500" s="97"/>
      <c r="Y500" s="75">
        <v>1334.03</v>
      </c>
    </row>
    <row r="501" spans="1:25" x14ac:dyDescent="0.25">
      <c r="A501" s="76">
        <v>532</v>
      </c>
      <c r="B501" s="2" t="s">
        <v>3542</v>
      </c>
      <c r="C501" s="2" t="s">
        <v>3543</v>
      </c>
      <c r="D501" s="2" t="s">
        <v>3544</v>
      </c>
      <c r="E501" s="2" t="s">
        <v>3545</v>
      </c>
      <c r="F501" s="2" t="s">
        <v>3546</v>
      </c>
      <c r="G501" s="2" t="s">
        <v>218</v>
      </c>
      <c r="H501" s="17">
        <v>25</v>
      </c>
      <c r="I501" s="31">
        <f t="shared" si="54"/>
        <v>25000</v>
      </c>
      <c r="J501" s="31">
        <f t="shared" si="55"/>
        <v>1750.0000000000002</v>
      </c>
      <c r="K501" s="44">
        <f t="shared" si="56"/>
        <v>4.794520547945206</v>
      </c>
      <c r="L501" s="3">
        <f t="shared" si="57"/>
        <v>354.79452054794524</v>
      </c>
      <c r="M501" s="3">
        <f t="shared" si="58"/>
        <v>21.287671232876715</v>
      </c>
      <c r="N501" s="67">
        <f t="shared" si="59"/>
        <v>333.50684931506851</v>
      </c>
      <c r="O501" s="3"/>
      <c r="P501" s="70" t="s">
        <v>18618</v>
      </c>
      <c r="Q501" s="2" t="s">
        <v>159</v>
      </c>
      <c r="R501" s="2" t="s">
        <v>3547</v>
      </c>
      <c r="T501" t="s">
        <v>18666</v>
      </c>
      <c r="U501" t="s">
        <v>18652</v>
      </c>
      <c r="V501" s="104">
        <v>45857</v>
      </c>
      <c r="X501" s="97"/>
      <c r="Y501" s="75">
        <v>333.51</v>
      </c>
    </row>
    <row r="502" spans="1:25" x14ac:dyDescent="0.25">
      <c r="A502" s="76">
        <v>533</v>
      </c>
      <c r="B502" s="2" t="s">
        <v>3283</v>
      </c>
      <c r="C502" s="2" t="s">
        <v>3284</v>
      </c>
      <c r="D502" s="2" t="s">
        <v>3285</v>
      </c>
      <c r="E502" s="2" t="s">
        <v>3286</v>
      </c>
      <c r="F502" s="2" t="s">
        <v>3287</v>
      </c>
      <c r="G502" s="2" t="s">
        <v>31</v>
      </c>
      <c r="H502" s="17">
        <v>2500</v>
      </c>
      <c r="I502" s="31">
        <f t="shared" si="54"/>
        <v>2500000</v>
      </c>
      <c r="J502" s="31">
        <f t="shared" si="55"/>
        <v>175000.00000000003</v>
      </c>
      <c r="K502" s="44">
        <f t="shared" si="56"/>
        <v>479.45205479452062</v>
      </c>
      <c r="L502" s="3">
        <f t="shared" si="57"/>
        <v>35479.452054794529</v>
      </c>
      <c r="M502" s="3">
        <f t="shared" si="58"/>
        <v>2128.7671232876714</v>
      </c>
      <c r="N502" s="67">
        <f t="shared" si="59"/>
        <v>33350.684931506854</v>
      </c>
      <c r="O502" s="3"/>
      <c r="P502" s="70" t="s">
        <v>18618</v>
      </c>
      <c r="Q502" s="2" t="s">
        <v>159</v>
      </c>
      <c r="R502" s="2" t="s">
        <v>3288</v>
      </c>
      <c r="T502" t="s">
        <v>18666</v>
      </c>
      <c r="U502" t="s">
        <v>18652</v>
      </c>
      <c r="V502" s="104">
        <v>45857</v>
      </c>
      <c r="X502" s="97"/>
      <c r="Y502" s="75">
        <v>33350.69</v>
      </c>
    </row>
    <row r="503" spans="1:25" x14ac:dyDescent="0.25">
      <c r="A503" s="76">
        <v>534</v>
      </c>
      <c r="B503" s="2" t="s">
        <v>11696</v>
      </c>
      <c r="C503" s="2" t="s">
        <v>11697</v>
      </c>
      <c r="D503" s="2" t="s">
        <v>11698</v>
      </c>
      <c r="E503" s="2" t="s">
        <v>8598</v>
      </c>
      <c r="F503" s="2" t="s">
        <v>11699</v>
      </c>
      <c r="G503" s="2" t="s">
        <v>31</v>
      </c>
      <c r="H503" s="17">
        <v>50</v>
      </c>
      <c r="I503" s="31">
        <f t="shared" si="54"/>
        <v>50000</v>
      </c>
      <c r="J503" s="31">
        <f t="shared" si="55"/>
        <v>3500.0000000000005</v>
      </c>
      <c r="K503" s="44">
        <f t="shared" si="56"/>
        <v>9.589041095890412</v>
      </c>
      <c r="L503" s="3">
        <f t="shared" si="57"/>
        <v>709.58904109589048</v>
      </c>
      <c r="M503" s="3">
        <f t="shared" si="58"/>
        <v>42.57534246575343</v>
      </c>
      <c r="N503" s="67">
        <f t="shared" si="59"/>
        <v>667.01369863013701</v>
      </c>
      <c r="O503" s="3"/>
      <c r="P503" s="70" t="s">
        <v>18618</v>
      </c>
      <c r="Q503" s="2" t="s">
        <v>159</v>
      </c>
      <c r="R503" s="2" t="s">
        <v>11700</v>
      </c>
      <c r="T503" t="s">
        <v>18666</v>
      </c>
      <c r="U503" t="s">
        <v>18652</v>
      </c>
      <c r="V503" s="104">
        <v>45857</v>
      </c>
      <c r="X503" s="97"/>
      <c r="Y503" s="75">
        <v>667.02</v>
      </c>
    </row>
    <row r="504" spans="1:25" x14ac:dyDescent="0.25">
      <c r="A504" s="76">
        <v>535</v>
      </c>
      <c r="B504" s="2" t="s">
        <v>13802</v>
      </c>
      <c r="C504" s="2" t="s">
        <v>13803</v>
      </c>
      <c r="D504" s="2" t="s">
        <v>13804</v>
      </c>
      <c r="E504" s="2" t="s">
        <v>13805</v>
      </c>
      <c r="F504" s="2" t="s">
        <v>13806</v>
      </c>
      <c r="G504" s="2" t="s">
        <v>74</v>
      </c>
      <c r="H504" s="17">
        <v>25</v>
      </c>
      <c r="I504" s="31">
        <f t="shared" si="54"/>
        <v>25000</v>
      </c>
      <c r="J504" s="31">
        <f t="shared" si="55"/>
        <v>1750.0000000000002</v>
      </c>
      <c r="K504" s="44">
        <f t="shared" si="56"/>
        <v>4.794520547945206</v>
      </c>
      <c r="L504" s="3">
        <f t="shared" si="57"/>
        <v>354.79452054794524</v>
      </c>
      <c r="M504" s="3">
        <f t="shared" si="58"/>
        <v>21.287671232876715</v>
      </c>
      <c r="N504" s="67">
        <f t="shared" si="59"/>
        <v>333.50684931506851</v>
      </c>
      <c r="O504" s="3"/>
      <c r="P504" s="70" t="s">
        <v>18618</v>
      </c>
      <c r="Q504" s="2" t="s">
        <v>159</v>
      </c>
      <c r="R504" s="2" t="s">
        <v>13807</v>
      </c>
      <c r="T504" t="s">
        <v>18666</v>
      </c>
      <c r="U504" t="s">
        <v>18652</v>
      </c>
      <c r="V504" s="104">
        <v>45857</v>
      </c>
      <c r="X504" s="97"/>
      <c r="Y504" s="75">
        <v>333.51</v>
      </c>
    </row>
    <row r="505" spans="1:25" x14ac:dyDescent="0.25">
      <c r="A505" s="76">
        <v>536</v>
      </c>
      <c r="B505" s="2" t="s">
        <v>7251</v>
      </c>
      <c r="C505" s="2" t="s">
        <v>7252</v>
      </c>
      <c r="D505" s="2" t="s">
        <v>7253</v>
      </c>
      <c r="E505" s="2" t="s">
        <v>7254</v>
      </c>
      <c r="F505" s="2" t="s">
        <v>7255</v>
      </c>
      <c r="G505" s="2" t="s">
        <v>1055</v>
      </c>
      <c r="H505" s="17">
        <v>25</v>
      </c>
      <c r="I505" s="31">
        <f t="shared" si="54"/>
        <v>25000</v>
      </c>
      <c r="J505" s="31">
        <f t="shared" si="55"/>
        <v>1750.0000000000002</v>
      </c>
      <c r="K505" s="44">
        <f t="shared" si="56"/>
        <v>4.794520547945206</v>
      </c>
      <c r="L505" s="3">
        <f t="shared" si="57"/>
        <v>354.79452054794524</v>
      </c>
      <c r="M505" s="3">
        <f t="shared" si="58"/>
        <v>21.287671232876715</v>
      </c>
      <c r="N505" s="67">
        <f t="shared" si="59"/>
        <v>333.50684931506851</v>
      </c>
      <c r="O505" s="3"/>
      <c r="P505" s="70" t="s">
        <v>18618</v>
      </c>
      <c r="Q505" s="2" t="s">
        <v>159</v>
      </c>
      <c r="R505" s="2" t="s">
        <v>7256</v>
      </c>
      <c r="T505" t="s">
        <v>18666</v>
      </c>
      <c r="U505" t="s">
        <v>18652</v>
      </c>
      <c r="V505" s="104">
        <v>45857</v>
      </c>
      <c r="X505" s="97"/>
      <c r="Y505" s="75">
        <v>333.51</v>
      </c>
    </row>
    <row r="506" spans="1:25" x14ac:dyDescent="0.25">
      <c r="A506" s="76">
        <v>537</v>
      </c>
      <c r="B506" s="2" t="s">
        <v>11317</v>
      </c>
      <c r="C506" s="2" t="s">
        <v>11318</v>
      </c>
      <c r="D506" s="2" t="s">
        <v>11319</v>
      </c>
      <c r="E506" s="2" t="s">
        <v>11320</v>
      </c>
      <c r="F506" s="2" t="s">
        <v>11321</v>
      </c>
      <c r="G506" s="2" t="s">
        <v>31</v>
      </c>
      <c r="H506" s="17">
        <v>100</v>
      </c>
      <c r="I506" s="31">
        <f t="shared" si="54"/>
        <v>100000</v>
      </c>
      <c r="J506" s="31">
        <f t="shared" si="55"/>
        <v>7000.0000000000009</v>
      </c>
      <c r="K506" s="44">
        <f t="shared" si="56"/>
        <v>19.178082191780824</v>
      </c>
      <c r="L506" s="3">
        <f t="shared" si="57"/>
        <v>1419.178082191781</v>
      </c>
      <c r="M506" s="3">
        <f t="shared" si="58"/>
        <v>85.150684931506859</v>
      </c>
      <c r="N506" s="67">
        <f t="shared" si="59"/>
        <v>1334.027397260274</v>
      </c>
      <c r="O506" s="3"/>
      <c r="P506" s="70" t="s">
        <v>18618</v>
      </c>
      <c r="Q506" s="2" t="s">
        <v>159</v>
      </c>
      <c r="R506" s="2" t="s">
        <v>11322</v>
      </c>
      <c r="T506" t="s">
        <v>18666</v>
      </c>
      <c r="U506" t="s">
        <v>18652</v>
      </c>
      <c r="V506" s="104">
        <v>45857</v>
      </c>
      <c r="X506" s="97"/>
      <c r="Y506" s="75">
        <v>1334.03</v>
      </c>
    </row>
    <row r="507" spans="1:25" x14ac:dyDescent="0.25">
      <c r="A507" s="76">
        <v>538</v>
      </c>
      <c r="B507" s="2" t="s">
        <v>14340</v>
      </c>
      <c r="C507" s="2" t="s">
        <v>14341</v>
      </c>
      <c r="D507" s="2" t="s">
        <v>14342</v>
      </c>
      <c r="E507" s="2" t="s">
        <v>14343</v>
      </c>
      <c r="F507" s="2" t="s">
        <v>14344</v>
      </c>
      <c r="G507" s="2" t="s">
        <v>166</v>
      </c>
      <c r="H507" s="17">
        <v>25</v>
      </c>
      <c r="I507" s="31">
        <f t="shared" si="54"/>
        <v>25000</v>
      </c>
      <c r="J507" s="31">
        <f t="shared" si="55"/>
        <v>1750.0000000000002</v>
      </c>
      <c r="K507" s="44">
        <f t="shared" si="56"/>
        <v>4.794520547945206</v>
      </c>
      <c r="L507" s="3">
        <f t="shared" si="57"/>
        <v>354.79452054794524</v>
      </c>
      <c r="M507" s="3">
        <f t="shared" si="58"/>
        <v>21.287671232876715</v>
      </c>
      <c r="N507" s="67">
        <f t="shared" si="59"/>
        <v>333.50684931506851</v>
      </c>
      <c r="O507" s="3"/>
      <c r="P507" s="70" t="s">
        <v>18618</v>
      </c>
      <c r="Q507" s="2" t="s">
        <v>159</v>
      </c>
      <c r="R507" s="2" t="s">
        <v>14345</v>
      </c>
      <c r="T507" t="s">
        <v>18666</v>
      </c>
      <c r="U507" t="s">
        <v>18652</v>
      </c>
      <c r="V507" s="104">
        <v>45857</v>
      </c>
      <c r="X507" s="97"/>
      <c r="Y507" s="75">
        <v>333.51</v>
      </c>
    </row>
    <row r="508" spans="1:25" x14ac:dyDescent="0.25">
      <c r="A508" s="76">
        <v>539</v>
      </c>
      <c r="B508" s="2" t="s">
        <v>5994</v>
      </c>
      <c r="C508" s="2" t="s">
        <v>5995</v>
      </c>
      <c r="D508" s="2" t="s">
        <v>5996</v>
      </c>
      <c r="E508" s="2" t="s">
        <v>5997</v>
      </c>
      <c r="F508" s="2" t="s">
        <v>5998</v>
      </c>
      <c r="G508" s="2" t="s">
        <v>362</v>
      </c>
      <c r="H508" s="17">
        <v>25</v>
      </c>
      <c r="I508" s="31">
        <f t="shared" si="54"/>
        <v>25000</v>
      </c>
      <c r="J508" s="31">
        <f t="shared" si="55"/>
        <v>1750.0000000000002</v>
      </c>
      <c r="K508" s="44">
        <f t="shared" si="56"/>
        <v>4.794520547945206</v>
      </c>
      <c r="L508" s="3">
        <f t="shared" si="57"/>
        <v>354.79452054794524</v>
      </c>
      <c r="M508" s="3">
        <f t="shared" si="58"/>
        <v>21.287671232876715</v>
      </c>
      <c r="N508" s="67">
        <f t="shared" si="59"/>
        <v>333.50684931506851</v>
      </c>
      <c r="O508" s="3"/>
      <c r="P508" s="70" t="s">
        <v>18618</v>
      </c>
      <c r="Q508" s="2" t="s">
        <v>159</v>
      </c>
      <c r="R508" s="2" t="s">
        <v>5999</v>
      </c>
      <c r="T508" t="s">
        <v>18666</v>
      </c>
      <c r="U508" t="s">
        <v>18652</v>
      </c>
      <c r="V508" s="104">
        <v>45857</v>
      </c>
      <c r="X508" s="97"/>
      <c r="Y508" s="75">
        <v>333.51</v>
      </c>
    </row>
    <row r="509" spans="1:25" x14ac:dyDescent="0.25">
      <c r="A509" s="76">
        <v>540</v>
      </c>
      <c r="B509" s="2" t="s">
        <v>2309</v>
      </c>
      <c r="C509" s="2" t="s">
        <v>2310</v>
      </c>
      <c r="D509" s="2" t="s">
        <v>2311</v>
      </c>
      <c r="E509" s="2" t="s">
        <v>2312</v>
      </c>
      <c r="F509" s="2" t="s">
        <v>2313</v>
      </c>
      <c r="G509" s="2" t="s">
        <v>643</v>
      </c>
      <c r="H509" s="17">
        <v>25</v>
      </c>
      <c r="I509" s="31">
        <f t="shared" si="54"/>
        <v>25000</v>
      </c>
      <c r="J509" s="31">
        <f t="shared" si="55"/>
        <v>1750.0000000000002</v>
      </c>
      <c r="K509" s="44">
        <f t="shared" si="56"/>
        <v>4.794520547945206</v>
      </c>
      <c r="L509" s="3">
        <f t="shared" si="57"/>
        <v>354.79452054794524</v>
      </c>
      <c r="M509" s="3">
        <f t="shared" si="58"/>
        <v>21.287671232876715</v>
      </c>
      <c r="N509" s="67">
        <f t="shared" si="59"/>
        <v>333.50684931506851</v>
      </c>
      <c r="O509" s="3"/>
      <c r="P509" s="70" t="s">
        <v>18618</v>
      </c>
      <c r="Q509" s="2" t="s">
        <v>159</v>
      </c>
      <c r="R509" s="2" t="s">
        <v>2314</v>
      </c>
      <c r="T509" t="s">
        <v>18666</v>
      </c>
      <c r="U509" t="s">
        <v>18652</v>
      </c>
      <c r="V509" s="104">
        <v>45857</v>
      </c>
      <c r="X509" s="97"/>
      <c r="Y509" s="75">
        <v>333.51</v>
      </c>
    </row>
    <row r="510" spans="1:25" x14ac:dyDescent="0.25">
      <c r="A510" s="76">
        <v>541</v>
      </c>
      <c r="B510" s="2" t="s">
        <v>3254</v>
      </c>
      <c r="C510" s="2" t="s">
        <v>3255</v>
      </c>
      <c r="D510" s="2" t="s">
        <v>3256</v>
      </c>
      <c r="E510" s="2" t="s">
        <v>3257</v>
      </c>
      <c r="F510" s="2" t="s">
        <v>3258</v>
      </c>
      <c r="G510" s="2" t="s">
        <v>2380</v>
      </c>
      <c r="H510" s="17">
        <v>25</v>
      </c>
      <c r="I510" s="31">
        <f t="shared" si="54"/>
        <v>25000</v>
      </c>
      <c r="J510" s="31">
        <f t="shared" si="55"/>
        <v>1750.0000000000002</v>
      </c>
      <c r="K510" s="44">
        <f t="shared" si="56"/>
        <v>4.794520547945206</v>
      </c>
      <c r="L510" s="3">
        <f t="shared" si="57"/>
        <v>354.79452054794524</v>
      </c>
      <c r="M510" s="3">
        <f t="shared" si="58"/>
        <v>21.287671232876715</v>
      </c>
      <c r="N510" s="67">
        <f t="shared" si="59"/>
        <v>333.50684931506851</v>
      </c>
      <c r="O510" s="3"/>
      <c r="P510" s="70" t="s">
        <v>18618</v>
      </c>
      <c r="Q510" s="2" t="s">
        <v>159</v>
      </c>
      <c r="R510" s="2" t="s">
        <v>3259</v>
      </c>
      <c r="T510" t="s">
        <v>18666</v>
      </c>
      <c r="U510" t="s">
        <v>18652</v>
      </c>
      <c r="V510" s="104">
        <v>45857</v>
      </c>
      <c r="X510" s="97"/>
      <c r="Y510" s="75">
        <v>333.51</v>
      </c>
    </row>
    <row r="511" spans="1:25" x14ac:dyDescent="0.25">
      <c r="A511" s="76">
        <v>542</v>
      </c>
      <c r="B511" s="2" t="s">
        <v>15855</v>
      </c>
      <c r="C511" s="2" t="s">
        <v>15856</v>
      </c>
      <c r="D511" s="2" t="s">
        <v>15857</v>
      </c>
      <c r="E511" s="2" t="s">
        <v>15858</v>
      </c>
      <c r="F511" s="2" t="s">
        <v>15859</v>
      </c>
      <c r="G511" s="2" t="s">
        <v>31</v>
      </c>
      <c r="H511" s="17">
        <v>25</v>
      </c>
      <c r="I511" s="31">
        <f t="shared" si="54"/>
        <v>25000</v>
      </c>
      <c r="J511" s="31">
        <f t="shared" si="55"/>
        <v>1750.0000000000002</v>
      </c>
      <c r="K511" s="44">
        <f t="shared" si="56"/>
        <v>4.794520547945206</v>
      </c>
      <c r="L511" s="3">
        <f t="shared" si="57"/>
        <v>354.79452054794524</v>
      </c>
      <c r="M511" s="3">
        <f t="shared" si="58"/>
        <v>21.287671232876715</v>
      </c>
      <c r="N511" s="67">
        <f t="shared" si="59"/>
        <v>333.50684931506851</v>
      </c>
      <c r="O511" s="3"/>
      <c r="P511" s="70" t="s">
        <v>18618</v>
      </c>
      <c r="Q511" s="2" t="s">
        <v>159</v>
      </c>
      <c r="R511" s="2" t="s">
        <v>15860</v>
      </c>
      <c r="T511" t="s">
        <v>18666</v>
      </c>
      <c r="U511" t="s">
        <v>18652</v>
      </c>
      <c r="V511" s="104">
        <v>45857</v>
      </c>
      <c r="X511" s="97"/>
      <c r="Y511" s="75">
        <v>333.51</v>
      </c>
    </row>
    <row r="512" spans="1:25" x14ac:dyDescent="0.25">
      <c r="A512" s="76">
        <v>543</v>
      </c>
      <c r="B512" s="2" t="s">
        <v>5952</v>
      </c>
      <c r="C512" s="2" t="s">
        <v>5953</v>
      </c>
      <c r="D512" s="2" t="s">
        <v>5954</v>
      </c>
      <c r="E512" s="2" t="s">
        <v>5955</v>
      </c>
      <c r="F512" s="2" t="s">
        <v>5956</v>
      </c>
      <c r="G512" s="2" t="s">
        <v>31</v>
      </c>
      <c r="H512" s="17">
        <v>25</v>
      </c>
      <c r="I512" s="31">
        <f t="shared" si="54"/>
        <v>25000</v>
      </c>
      <c r="J512" s="31">
        <f t="shared" si="55"/>
        <v>1750.0000000000002</v>
      </c>
      <c r="K512" s="44">
        <f t="shared" si="56"/>
        <v>4.794520547945206</v>
      </c>
      <c r="L512" s="3">
        <f t="shared" si="57"/>
        <v>354.79452054794524</v>
      </c>
      <c r="M512" s="3">
        <f t="shared" si="58"/>
        <v>21.287671232876715</v>
      </c>
      <c r="N512" s="67">
        <f t="shared" si="59"/>
        <v>333.50684931506851</v>
      </c>
      <c r="O512" s="3"/>
      <c r="P512" s="70" t="s">
        <v>18618</v>
      </c>
      <c r="Q512" s="2" t="s">
        <v>159</v>
      </c>
      <c r="R512" s="2" t="s">
        <v>5957</v>
      </c>
      <c r="T512" t="s">
        <v>18666</v>
      </c>
      <c r="U512" t="s">
        <v>18652</v>
      </c>
      <c r="V512" s="104">
        <v>45857</v>
      </c>
      <c r="X512" s="97"/>
      <c r="Y512" s="75">
        <v>333.51</v>
      </c>
    </row>
    <row r="513" spans="1:25" x14ac:dyDescent="0.25">
      <c r="A513" s="76">
        <v>544</v>
      </c>
      <c r="B513" s="2" t="s">
        <v>10194</v>
      </c>
      <c r="C513" s="2" t="s">
        <v>10195</v>
      </c>
      <c r="D513" s="2" t="s">
        <v>10196</v>
      </c>
      <c r="E513" s="2" t="s">
        <v>10197</v>
      </c>
      <c r="F513" s="2" t="s">
        <v>10198</v>
      </c>
      <c r="G513" s="2" t="s">
        <v>10199</v>
      </c>
      <c r="H513" s="17">
        <v>25</v>
      </c>
      <c r="I513" s="31">
        <f t="shared" si="54"/>
        <v>25000</v>
      </c>
      <c r="J513" s="31">
        <f t="shared" si="55"/>
        <v>1750.0000000000002</v>
      </c>
      <c r="K513" s="44">
        <f t="shared" si="56"/>
        <v>4.794520547945206</v>
      </c>
      <c r="L513" s="3">
        <f t="shared" si="57"/>
        <v>354.79452054794524</v>
      </c>
      <c r="M513" s="3">
        <f t="shared" si="58"/>
        <v>21.287671232876715</v>
      </c>
      <c r="N513" s="67">
        <f t="shared" si="59"/>
        <v>333.50684931506851</v>
      </c>
      <c r="O513" s="3"/>
      <c r="P513" s="70" t="s">
        <v>18618</v>
      </c>
      <c r="Q513" s="2" t="s">
        <v>159</v>
      </c>
      <c r="R513" s="2" t="s">
        <v>10200</v>
      </c>
      <c r="T513" t="s">
        <v>18666</v>
      </c>
      <c r="U513" t="s">
        <v>18652</v>
      </c>
      <c r="V513" s="104">
        <v>45857</v>
      </c>
      <c r="X513" s="97"/>
      <c r="Y513" s="75">
        <v>333.51</v>
      </c>
    </row>
    <row r="514" spans="1:25" x14ac:dyDescent="0.25">
      <c r="A514" s="76">
        <v>545</v>
      </c>
      <c r="B514" s="2" t="s">
        <v>13363</v>
      </c>
      <c r="C514" s="2" t="s">
        <v>13364</v>
      </c>
      <c r="D514" s="2" t="s">
        <v>13365</v>
      </c>
      <c r="E514" s="2" t="s">
        <v>13366</v>
      </c>
      <c r="F514" s="2" t="s">
        <v>13367</v>
      </c>
      <c r="G514" s="2" t="s">
        <v>31</v>
      </c>
      <c r="H514" s="17">
        <v>25</v>
      </c>
      <c r="I514" s="31">
        <f t="shared" si="54"/>
        <v>25000</v>
      </c>
      <c r="J514" s="31">
        <f t="shared" si="55"/>
        <v>1750.0000000000002</v>
      </c>
      <c r="K514" s="44">
        <f t="shared" si="56"/>
        <v>4.794520547945206</v>
      </c>
      <c r="L514" s="3">
        <f t="shared" si="57"/>
        <v>354.79452054794524</v>
      </c>
      <c r="M514" s="3">
        <f t="shared" si="58"/>
        <v>21.287671232876715</v>
      </c>
      <c r="N514" s="67">
        <f t="shared" si="59"/>
        <v>333.50684931506851</v>
      </c>
      <c r="O514" s="3"/>
      <c r="P514" s="70" t="s">
        <v>18618</v>
      </c>
      <c r="Q514" s="2" t="s">
        <v>159</v>
      </c>
      <c r="R514" s="2" t="s">
        <v>13368</v>
      </c>
      <c r="T514" t="s">
        <v>18666</v>
      </c>
      <c r="U514" t="s">
        <v>18652</v>
      </c>
      <c r="V514" s="104">
        <v>45857</v>
      </c>
      <c r="X514" s="97"/>
      <c r="Y514" s="75">
        <v>333.51</v>
      </c>
    </row>
    <row r="515" spans="1:25" x14ac:dyDescent="0.25">
      <c r="A515" s="76">
        <v>546</v>
      </c>
      <c r="B515" s="2" t="s">
        <v>13897</v>
      </c>
      <c r="C515" s="2" t="s">
        <v>13898</v>
      </c>
      <c r="D515" s="2" t="s">
        <v>13899</v>
      </c>
      <c r="E515" s="2" t="s">
        <v>13900</v>
      </c>
      <c r="F515" s="2" t="s">
        <v>13901</v>
      </c>
      <c r="G515" s="2" t="s">
        <v>218</v>
      </c>
      <c r="H515" s="17">
        <v>25</v>
      </c>
      <c r="I515" s="31">
        <f t="shared" si="54"/>
        <v>25000</v>
      </c>
      <c r="J515" s="31">
        <f t="shared" si="55"/>
        <v>1750.0000000000002</v>
      </c>
      <c r="K515" s="44">
        <f t="shared" si="56"/>
        <v>4.794520547945206</v>
      </c>
      <c r="L515" s="3">
        <f t="shared" si="57"/>
        <v>354.79452054794524</v>
      </c>
      <c r="M515" s="3">
        <f t="shared" si="58"/>
        <v>21.287671232876715</v>
      </c>
      <c r="N515" s="67">
        <f t="shared" si="59"/>
        <v>333.50684931506851</v>
      </c>
      <c r="O515" s="3"/>
      <c r="P515" s="70" t="s">
        <v>18618</v>
      </c>
      <c r="Q515" s="2" t="s">
        <v>159</v>
      </c>
      <c r="R515" s="2" t="s">
        <v>13902</v>
      </c>
      <c r="T515" t="s">
        <v>18666</v>
      </c>
      <c r="U515" t="s">
        <v>18652</v>
      </c>
      <c r="V515" s="104">
        <v>45857</v>
      </c>
      <c r="X515" s="97"/>
      <c r="Y515" s="75">
        <v>333.51</v>
      </c>
    </row>
    <row r="516" spans="1:25" x14ac:dyDescent="0.25">
      <c r="A516" s="76">
        <v>547</v>
      </c>
      <c r="B516" s="2" t="s">
        <v>11586</v>
      </c>
      <c r="C516" s="2" t="s">
        <v>11587</v>
      </c>
      <c r="D516" s="2" t="s">
        <v>11582</v>
      </c>
      <c r="E516" s="2" t="s">
        <v>11588</v>
      </c>
      <c r="F516" s="2" t="s">
        <v>11589</v>
      </c>
      <c r="G516" s="2" t="s">
        <v>31</v>
      </c>
      <c r="H516" s="17">
        <v>50</v>
      </c>
      <c r="I516" s="31">
        <f t="shared" si="54"/>
        <v>50000</v>
      </c>
      <c r="J516" s="31">
        <f t="shared" si="55"/>
        <v>3500.0000000000005</v>
      </c>
      <c r="K516" s="44">
        <f t="shared" si="56"/>
        <v>9.589041095890412</v>
      </c>
      <c r="L516" s="3">
        <f t="shared" si="57"/>
        <v>709.58904109589048</v>
      </c>
      <c r="M516" s="3">
        <f t="shared" si="58"/>
        <v>42.57534246575343</v>
      </c>
      <c r="N516" s="67">
        <f t="shared" si="59"/>
        <v>667.01369863013701</v>
      </c>
      <c r="O516" s="3"/>
      <c r="P516" s="70" t="s">
        <v>18618</v>
      </c>
      <c r="Q516" s="2" t="s">
        <v>159</v>
      </c>
      <c r="R516" s="2" t="s">
        <v>11590</v>
      </c>
      <c r="T516" t="s">
        <v>18666</v>
      </c>
      <c r="U516" t="s">
        <v>18652</v>
      </c>
      <c r="V516" s="104">
        <v>45857</v>
      </c>
      <c r="X516" s="97"/>
      <c r="Y516" s="75">
        <v>667.02</v>
      </c>
    </row>
    <row r="517" spans="1:25" x14ac:dyDescent="0.25">
      <c r="A517" s="76">
        <v>548</v>
      </c>
      <c r="B517" s="2" t="s">
        <v>11886</v>
      </c>
      <c r="C517" s="2" t="s">
        <v>11887</v>
      </c>
      <c r="D517" s="2" t="s">
        <v>11888</v>
      </c>
      <c r="E517" s="2" t="s">
        <v>5319</v>
      </c>
      <c r="F517" s="2" t="s">
        <v>11889</v>
      </c>
      <c r="G517" s="2" t="s">
        <v>1136</v>
      </c>
      <c r="H517" s="17">
        <v>30</v>
      </c>
      <c r="I517" s="31">
        <f t="shared" si="54"/>
        <v>30000</v>
      </c>
      <c r="J517" s="31">
        <f t="shared" si="55"/>
        <v>2100</v>
      </c>
      <c r="K517" s="44">
        <f t="shared" si="56"/>
        <v>5.7534246575342465</v>
      </c>
      <c r="L517" s="3">
        <f t="shared" si="57"/>
        <v>425.75342465753425</v>
      </c>
      <c r="M517" s="3">
        <f t="shared" si="58"/>
        <v>25.545205479452054</v>
      </c>
      <c r="N517" s="67">
        <f t="shared" si="59"/>
        <v>400.20821917808217</v>
      </c>
      <c r="O517" s="3"/>
      <c r="P517" s="70" t="s">
        <v>18618</v>
      </c>
      <c r="Q517" s="2" t="s">
        <v>159</v>
      </c>
      <c r="R517" s="2" t="s">
        <v>11890</v>
      </c>
      <c r="T517" t="s">
        <v>18666</v>
      </c>
      <c r="U517" t="s">
        <v>18652</v>
      </c>
      <c r="V517" s="104">
        <v>45857</v>
      </c>
      <c r="X517" s="97"/>
      <c r="Y517" s="75">
        <v>400.21</v>
      </c>
    </row>
    <row r="518" spans="1:25" x14ac:dyDescent="0.25">
      <c r="A518" s="76">
        <v>549</v>
      </c>
      <c r="B518" s="2" t="s">
        <v>1975</v>
      </c>
      <c r="C518" s="2" t="s">
        <v>1976</v>
      </c>
      <c r="D518" s="2" t="s">
        <v>1977</v>
      </c>
      <c r="E518" s="2" t="s">
        <v>1978</v>
      </c>
      <c r="F518" s="2" t="s">
        <v>1979</v>
      </c>
      <c r="G518" s="2" t="s">
        <v>618</v>
      </c>
      <c r="H518" s="17">
        <v>100</v>
      </c>
      <c r="I518" s="31">
        <f t="shared" si="54"/>
        <v>100000</v>
      </c>
      <c r="J518" s="31">
        <f t="shared" si="55"/>
        <v>7000.0000000000009</v>
      </c>
      <c r="K518" s="44">
        <f t="shared" si="56"/>
        <v>19.178082191780824</v>
      </c>
      <c r="L518" s="3">
        <f t="shared" si="57"/>
        <v>1419.178082191781</v>
      </c>
      <c r="M518" s="3">
        <f t="shared" si="58"/>
        <v>85.150684931506859</v>
      </c>
      <c r="N518" s="67">
        <f t="shared" si="59"/>
        <v>1334.027397260274</v>
      </c>
      <c r="O518" s="3"/>
      <c r="P518" s="70" t="s">
        <v>18618</v>
      </c>
      <c r="Q518" s="2" t="s">
        <v>159</v>
      </c>
      <c r="R518" s="2" t="s">
        <v>1980</v>
      </c>
      <c r="T518" t="s">
        <v>18666</v>
      </c>
      <c r="U518" t="s">
        <v>18652</v>
      </c>
      <c r="V518" s="104">
        <v>45857</v>
      </c>
      <c r="X518" s="97"/>
      <c r="Y518" s="75">
        <v>1334.03</v>
      </c>
    </row>
    <row r="519" spans="1:25" x14ac:dyDescent="0.25">
      <c r="A519" s="76">
        <v>550</v>
      </c>
      <c r="B519" s="2" t="s">
        <v>3153</v>
      </c>
      <c r="C519" s="2" t="s">
        <v>3154</v>
      </c>
      <c r="D519" s="2" t="s">
        <v>3155</v>
      </c>
      <c r="E519" s="2" t="s">
        <v>3156</v>
      </c>
      <c r="F519" s="2" t="s">
        <v>3157</v>
      </c>
      <c r="G519" s="2" t="s">
        <v>1570</v>
      </c>
      <c r="H519" s="17">
        <v>25</v>
      </c>
      <c r="I519" s="31">
        <f t="shared" si="54"/>
        <v>25000</v>
      </c>
      <c r="J519" s="31">
        <f t="shared" si="55"/>
        <v>1750.0000000000002</v>
      </c>
      <c r="K519" s="44">
        <f t="shared" si="56"/>
        <v>4.794520547945206</v>
      </c>
      <c r="L519" s="3">
        <f t="shared" si="57"/>
        <v>354.79452054794524</v>
      </c>
      <c r="M519" s="3">
        <f t="shared" si="58"/>
        <v>21.287671232876715</v>
      </c>
      <c r="N519" s="67">
        <f t="shared" si="59"/>
        <v>333.50684931506851</v>
      </c>
      <c r="O519" s="3"/>
      <c r="P519" s="70" t="s">
        <v>18619</v>
      </c>
      <c r="Q519" s="2" t="s">
        <v>3158</v>
      </c>
      <c r="R519" s="2" t="s">
        <v>3159</v>
      </c>
      <c r="T519" t="s">
        <v>18666</v>
      </c>
      <c r="U519" t="s">
        <v>18652</v>
      </c>
      <c r="V519" s="104">
        <v>45857</v>
      </c>
      <c r="X519" s="97"/>
      <c r="Y519" s="75">
        <v>333.51</v>
      </c>
    </row>
    <row r="520" spans="1:25" x14ac:dyDescent="0.25">
      <c r="A520" s="76">
        <v>551</v>
      </c>
      <c r="B520" s="2" t="s">
        <v>12591</v>
      </c>
      <c r="C520" s="2" t="s">
        <v>12592</v>
      </c>
      <c r="D520" s="2" t="s">
        <v>12593</v>
      </c>
      <c r="E520" s="2" t="s">
        <v>12594</v>
      </c>
      <c r="F520" s="2" t="s">
        <v>12595</v>
      </c>
      <c r="G520" s="2" t="s">
        <v>166</v>
      </c>
      <c r="H520" s="17">
        <v>55</v>
      </c>
      <c r="I520" s="31">
        <f t="shared" si="54"/>
        <v>55000</v>
      </c>
      <c r="J520" s="31">
        <f t="shared" si="55"/>
        <v>3850.0000000000005</v>
      </c>
      <c r="K520" s="44">
        <f t="shared" si="56"/>
        <v>10.547945205479452</v>
      </c>
      <c r="L520" s="3">
        <f t="shared" si="57"/>
        <v>780.54794520547944</v>
      </c>
      <c r="M520" s="3">
        <f t="shared" si="58"/>
        <v>46.832876712328762</v>
      </c>
      <c r="N520" s="67">
        <f t="shared" si="59"/>
        <v>733.71506849315062</v>
      </c>
      <c r="O520" s="3"/>
      <c r="P520" s="70" t="s">
        <v>18620</v>
      </c>
      <c r="Q520" s="2" t="s">
        <v>180</v>
      </c>
      <c r="R520" s="2" t="s">
        <v>12596</v>
      </c>
      <c r="T520" t="s">
        <v>18666</v>
      </c>
      <c r="U520" t="s">
        <v>18652</v>
      </c>
      <c r="V520" s="104">
        <v>45857</v>
      </c>
      <c r="X520" s="97"/>
      <c r="Y520" s="75">
        <v>733.72</v>
      </c>
    </row>
    <row r="521" spans="1:25" x14ac:dyDescent="0.25">
      <c r="A521" s="76">
        <v>552</v>
      </c>
      <c r="B521" s="2" t="s">
        <v>175</v>
      </c>
      <c r="C521" s="2" t="s">
        <v>176</v>
      </c>
      <c r="D521" s="2" t="s">
        <v>177</v>
      </c>
      <c r="E521" s="2" t="s">
        <v>178</v>
      </c>
      <c r="F521" s="2" t="s">
        <v>179</v>
      </c>
      <c r="G521" s="2" t="s">
        <v>158</v>
      </c>
      <c r="H521" s="17">
        <v>25</v>
      </c>
      <c r="I521" s="31">
        <f t="shared" si="54"/>
        <v>25000</v>
      </c>
      <c r="J521" s="31">
        <f t="shared" si="55"/>
        <v>1750.0000000000002</v>
      </c>
      <c r="K521" s="44">
        <f t="shared" si="56"/>
        <v>4.794520547945206</v>
      </c>
      <c r="L521" s="3">
        <f t="shared" si="57"/>
        <v>354.79452054794524</v>
      </c>
      <c r="M521" s="3">
        <f t="shared" si="58"/>
        <v>21.287671232876715</v>
      </c>
      <c r="N521" s="67">
        <f t="shared" si="59"/>
        <v>333.50684931506851</v>
      </c>
      <c r="O521" s="3"/>
      <c r="P521" s="70" t="s">
        <v>18620</v>
      </c>
      <c r="Q521" s="2" t="s">
        <v>180</v>
      </c>
      <c r="R521" s="2" t="s">
        <v>181</v>
      </c>
      <c r="T521" t="s">
        <v>18666</v>
      </c>
      <c r="U521" t="s">
        <v>18652</v>
      </c>
      <c r="V521" s="104">
        <v>45857</v>
      </c>
      <c r="X521" s="97"/>
      <c r="Y521" s="75">
        <v>333.51</v>
      </c>
    </row>
    <row r="522" spans="1:25" x14ac:dyDescent="0.25">
      <c r="A522" s="76">
        <v>553</v>
      </c>
      <c r="B522" s="2" t="s">
        <v>3713</v>
      </c>
      <c r="C522" s="2" t="s">
        <v>3714</v>
      </c>
      <c r="D522" s="2" t="s">
        <v>3715</v>
      </c>
      <c r="E522" s="2" t="s">
        <v>3716</v>
      </c>
      <c r="F522" s="2" t="s">
        <v>3717</v>
      </c>
      <c r="G522" s="2" t="s">
        <v>328</v>
      </c>
      <c r="H522" s="17">
        <v>25</v>
      </c>
      <c r="I522" s="31">
        <f t="shared" si="54"/>
        <v>25000</v>
      </c>
      <c r="J522" s="31">
        <f t="shared" si="55"/>
        <v>1750.0000000000002</v>
      </c>
      <c r="K522" s="44">
        <f t="shared" si="56"/>
        <v>4.794520547945206</v>
      </c>
      <c r="L522" s="3">
        <f t="shared" si="57"/>
        <v>354.79452054794524</v>
      </c>
      <c r="M522" s="3">
        <f t="shared" si="58"/>
        <v>21.287671232876715</v>
      </c>
      <c r="N522" s="67">
        <f t="shared" si="59"/>
        <v>333.50684931506851</v>
      </c>
      <c r="O522" s="3"/>
      <c r="P522" s="70" t="s">
        <v>18620</v>
      </c>
      <c r="Q522" s="2" t="s">
        <v>180</v>
      </c>
      <c r="R522" s="2" t="s">
        <v>3718</v>
      </c>
      <c r="T522" t="s">
        <v>18666</v>
      </c>
      <c r="U522" t="s">
        <v>18652</v>
      </c>
      <c r="V522" s="104">
        <v>45857</v>
      </c>
      <c r="X522" s="97"/>
      <c r="Y522" s="75">
        <v>333.51</v>
      </c>
    </row>
    <row r="523" spans="1:25" x14ac:dyDescent="0.25">
      <c r="A523" s="76">
        <v>554</v>
      </c>
      <c r="B523" s="2" t="s">
        <v>8438</v>
      </c>
      <c r="C523" s="2" t="s">
        <v>8439</v>
      </c>
      <c r="D523" s="2" t="s">
        <v>8440</v>
      </c>
      <c r="E523" s="2" t="s">
        <v>8441</v>
      </c>
      <c r="F523" s="2" t="s">
        <v>8442</v>
      </c>
      <c r="G523" s="2" t="s">
        <v>876</v>
      </c>
      <c r="H523" s="17">
        <v>100</v>
      </c>
      <c r="I523" s="31">
        <f t="shared" si="54"/>
        <v>100000</v>
      </c>
      <c r="J523" s="31">
        <f t="shared" si="55"/>
        <v>7000.0000000000009</v>
      </c>
      <c r="K523" s="44">
        <f t="shared" si="56"/>
        <v>19.178082191780824</v>
      </c>
      <c r="L523" s="3">
        <f t="shared" si="57"/>
        <v>1419.178082191781</v>
      </c>
      <c r="M523" s="3">
        <f t="shared" si="58"/>
        <v>85.150684931506859</v>
      </c>
      <c r="N523" s="67">
        <f t="shared" si="59"/>
        <v>1334.027397260274</v>
      </c>
      <c r="O523" s="3"/>
      <c r="P523" s="70" t="s">
        <v>18620</v>
      </c>
      <c r="Q523" s="2" t="s">
        <v>180</v>
      </c>
      <c r="R523" s="2" t="s">
        <v>8443</v>
      </c>
      <c r="T523" t="s">
        <v>18666</v>
      </c>
      <c r="U523" t="s">
        <v>18652</v>
      </c>
      <c r="V523" s="104">
        <v>45857</v>
      </c>
      <c r="X523" s="97"/>
      <c r="Y523" s="75">
        <v>1334.03</v>
      </c>
    </row>
    <row r="524" spans="1:25" x14ac:dyDescent="0.25">
      <c r="A524" s="76">
        <v>555</v>
      </c>
      <c r="B524" s="2" t="s">
        <v>3666</v>
      </c>
      <c r="C524" s="2" t="s">
        <v>3667</v>
      </c>
      <c r="D524" s="2" t="s">
        <v>3668</v>
      </c>
      <c r="E524" s="2" t="s">
        <v>3669</v>
      </c>
      <c r="F524" s="2" t="s">
        <v>3670</v>
      </c>
      <c r="G524" s="2" t="s">
        <v>254</v>
      </c>
      <c r="H524" s="17">
        <v>25</v>
      </c>
      <c r="I524" s="31">
        <f t="shared" si="54"/>
        <v>25000</v>
      </c>
      <c r="J524" s="31">
        <f t="shared" si="55"/>
        <v>1750.0000000000002</v>
      </c>
      <c r="K524" s="44">
        <f t="shared" si="56"/>
        <v>4.794520547945206</v>
      </c>
      <c r="L524" s="3">
        <f t="shared" si="57"/>
        <v>354.79452054794524</v>
      </c>
      <c r="M524" s="3">
        <f t="shared" si="58"/>
        <v>21.287671232876715</v>
      </c>
      <c r="N524" s="67">
        <f t="shared" si="59"/>
        <v>333.50684931506851</v>
      </c>
      <c r="O524" s="3"/>
      <c r="P524" s="70" t="s">
        <v>18620</v>
      </c>
      <c r="Q524" s="2" t="s">
        <v>180</v>
      </c>
      <c r="R524" s="2" t="s">
        <v>3671</v>
      </c>
      <c r="T524" t="s">
        <v>18666</v>
      </c>
      <c r="U524" t="s">
        <v>18652</v>
      </c>
      <c r="V524" s="104">
        <v>45857</v>
      </c>
      <c r="X524" s="97"/>
      <c r="Y524" s="75">
        <v>333.51</v>
      </c>
    </row>
    <row r="525" spans="1:25" x14ac:dyDescent="0.25">
      <c r="A525" s="76">
        <v>556</v>
      </c>
      <c r="B525" s="2" t="s">
        <v>4322</v>
      </c>
      <c r="C525" s="2" t="s">
        <v>4323</v>
      </c>
      <c r="D525" s="2" t="s">
        <v>4324</v>
      </c>
      <c r="E525" s="2" t="s">
        <v>4325</v>
      </c>
      <c r="F525" s="2" t="s">
        <v>4326</v>
      </c>
      <c r="G525" s="2" t="s">
        <v>328</v>
      </c>
      <c r="H525" s="17">
        <v>25</v>
      </c>
      <c r="I525" s="31">
        <f t="shared" si="54"/>
        <v>25000</v>
      </c>
      <c r="J525" s="31">
        <f t="shared" si="55"/>
        <v>1750.0000000000002</v>
      </c>
      <c r="K525" s="44">
        <f t="shared" si="56"/>
        <v>4.794520547945206</v>
      </c>
      <c r="L525" s="3">
        <f t="shared" si="57"/>
        <v>354.79452054794524</v>
      </c>
      <c r="M525" s="3">
        <f t="shared" si="58"/>
        <v>21.287671232876715</v>
      </c>
      <c r="N525" s="67">
        <f t="shared" si="59"/>
        <v>333.50684931506851</v>
      </c>
      <c r="O525" s="3"/>
      <c r="P525" s="70" t="s">
        <v>18620</v>
      </c>
      <c r="Q525" s="2" t="s">
        <v>180</v>
      </c>
      <c r="R525" s="2" t="s">
        <v>4327</v>
      </c>
      <c r="T525" t="s">
        <v>18666</v>
      </c>
      <c r="U525" t="s">
        <v>18652</v>
      </c>
      <c r="V525" s="104">
        <v>45857</v>
      </c>
      <c r="X525" s="97"/>
      <c r="Y525" s="75">
        <v>333.51</v>
      </c>
    </row>
    <row r="526" spans="1:25" x14ac:dyDescent="0.25">
      <c r="A526" s="76">
        <v>557</v>
      </c>
      <c r="B526" s="2" t="s">
        <v>1190</v>
      </c>
      <c r="C526" s="2" t="s">
        <v>1191</v>
      </c>
      <c r="D526" s="2" t="s">
        <v>1192</v>
      </c>
      <c r="E526" s="2" t="s">
        <v>1193</v>
      </c>
      <c r="F526" s="2" t="s">
        <v>1194</v>
      </c>
      <c r="G526" s="2" t="s">
        <v>296</v>
      </c>
      <c r="H526" s="17">
        <v>100</v>
      </c>
      <c r="I526" s="31">
        <f t="shared" si="54"/>
        <v>100000</v>
      </c>
      <c r="J526" s="31">
        <f t="shared" si="55"/>
        <v>7000.0000000000009</v>
      </c>
      <c r="K526" s="44">
        <f t="shared" si="56"/>
        <v>19.178082191780824</v>
      </c>
      <c r="L526" s="3">
        <f t="shared" si="57"/>
        <v>1419.178082191781</v>
      </c>
      <c r="M526" s="3">
        <f t="shared" si="58"/>
        <v>85.150684931506859</v>
      </c>
      <c r="N526" s="67">
        <f t="shared" si="59"/>
        <v>1334.027397260274</v>
      </c>
      <c r="O526" s="3"/>
      <c r="P526" s="70" t="s">
        <v>18620</v>
      </c>
      <c r="Q526" s="2" t="s">
        <v>180</v>
      </c>
      <c r="R526" s="2" t="s">
        <v>1195</v>
      </c>
      <c r="T526" t="s">
        <v>18666</v>
      </c>
      <c r="U526" t="s">
        <v>18652</v>
      </c>
      <c r="V526" s="104">
        <v>45857</v>
      </c>
      <c r="X526" s="97"/>
      <c r="Y526" s="75">
        <v>1334.03</v>
      </c>
    </row>
    <row r="527" spans="1:25" x14ac:dyDescent="0.25">
      <c r="A527" s="76">
        <v>558</v>
      </c>
      <c r="B527" s="2" t="s">
        <v>8986</v>
      </c>
      <c r="C527" s="2" t="s">
        <v>8987</v>
      </c>
      <c r="D527" s="2" t="s">
        <v>8988</v>
      </c>
      <c r="E527" s="2" t="s">
        <v>8989</v>
      </c>
      <c r="F527" s="2" t="s">
        <v>8990</v>
      </c>
      <c r="G527" s="2" t="s">
        <v>39</v>
      </c>
      <c r="H527" s="17">
        <v>25</v>
      </c>
      <c r="I527" s="31">
        <f t="shared" si="54"/>
        <v>25000</v>
      </c>
      <c r="J527" s="31">
        <f t="shared" si="55"/>
        <v>1750.0000000000002</v>
      </c>
      <c r="K527" s="44">
        <f t="shared" si="56"/>
        <v>4.794520547945206</v>
      </c>
      <c r="L527" s="3">
        <f t="shared" si="57"/>
        <v>354.79452054794524</v>
      </c>
      <c r="M527" s="3">
        <f t="shared" si="58"/>
        <v>21.287671232876715</v>
      </c>
      <c r="N527" s="67">
        <f t="shared" si="59"/>
        <v>333.50684931506851</v>
      </c>
      <c r="O527" s="3"/>
      <c r="P527" s="70" t="s">
        <v>18620</v>
      </c>
      <c r="Q527" s="2" t="s">
        <v>180</v>
      </c>
      <c r="R527" s="2" t="s">
        <v>8991</v>
      </c>
      <c r="T527" t="s">
        <v>18666</v>
      </c>
      <c r="U527" t="s">
        <v>18652</v>
      </c>
      <c r="V527" s="104">
        <v>45857</v>
      </c>
      <c r="X527" s="97"/>
      <c r="Y527" s="75">
        <v>333.51</v>
      </c>
    </row>
    <row r="528" spans="1:25" x14ac:dyDescent="0.25">
      <c r="A528" s="76">
        <v>559</v>
      </c>
      <c r="B528" s="2" t="s">
        <v>9009</v>
      </c>
      <c r="C528" s="2" t="s">
        <v>9010</v>
      </c>
      <c r="D528" s="2" t="s">
        <v>8988</v>
      </c>
      <c r="E528" s="2" t="s">
        <v>8989</v>
      </c>
      <c r="F528" s="2" t="s">
        <v>9011</v>
      </c>
      <c r="G528" s="2" t="s">
        <v>39</v>
      </c>
      <c r="H528" s="17">
        <v>25</v>
      </c>
      <c r="I528" s="31">
        <f t="shared" si="54"/>
        <v>25000</v>
      </c>
      <c r="J528" s="31">
        <f t="shared" si="55"/>
        <v>1750.0000000000002</v>
      </c>
      <c r="K528" s="44">
        <f t="shared" si="56"/>
        <v>4.794520547945206</v>
      </c>
      <c r="L528" s="3">
        <f t="shared" si="57"/>
        <v>354.79452054794524</v>
      </c>
      <c r="M528" s="3">
        <f t="shared" si="58"/>
        <v>21.287671232876715</v>
      </c>
      <c r="N528" s="67">
        <f t="shared" si="59"/>
        <v>333.50684931506851</v>
      </c>
      <c r="O528" s="3"/>
      <c r="P528" s="70" t="s">
        <v>18620</v>
      </c>
      <c r="Q528" s="2" t="s">
        <v>180</v>
      </c>
      <c r="R528" s="2" t="s">
        <v>9012</v>
      </c>
      <c r="T528" t="s">
        <v>18666</v>
      </c>
      <c r="U528" t="s">
        <v>18652</v>
      </c>
      <c r="V528" s="104">
        <v>45857</v>
      </c>
      <c r="X528" s="97"/>
      <c r="Y528" s="75">
        <v>333.51</v>
      </c>
    </row>
    <row r="529" spans="1:25" x14ac:dyDescent="0.25">
      <c r="A529" s="76">
        <v>560</v>
      </c>
      <c r="B529" s="2" t="s">
        <v>10107</v>
      </c>
      <c r="C529" s="2" t="s">
        <v>10108</v>
      </c>
      <c r="D529" s="2" t="s">
        <v>10109</v>
      </c>
      <c r="E529" s="2" t="s">
        <v>10110</v>
      </c>
      <c r="F529" s="2" t="s">
        <v>10111</v>
      </c>
      <c r="G529" s="2" t="s">
        <v>296</v>
      </c>
      <c r="H529" s="17">
        <v>25</v>
      </c>
      <c r="I529" s="31">
        <f t="shared" si="54"/>
        <v>25000</v>
      </c>
      <c r="J529" s="31">
        <f t="shared" si="55"/>
        <v>1750.0000000000002</v>
      </c>
      <c r="K529" s="44">
        <f t="shared" si="56"/>
        <v>4.794520547945206</v>
      </c>
      <c r="L529" s="3">
        <f t="shared" si="57"/>
        <v>354.79452054794524</v>
      </c>
      <c r="M529" s="3">
        <f t="shared" si="58"/>
        <v>21.287671232876715</v>
      </c>
      <c r="N529" s="67">
        <f t="shared" si="59"/>
        <v>333.50684931506851</v>
      </c>
      <c r="O529" s="3"/>
      <c r="P529" s="70" t="s">
        <v>18620</v>
      </c>
      <c r="Q529" s="2" t="s">
        <v>180</v>
      </c>
      <c r="R529" s="2" t="s">
        <v>10112</v>
      </c>
      <c r="T529" t="s">
        <v>18666</v>
      </c>
      <c r="U529" t="s">
        <v>18652</v>
      </c>
      <c r="V529" s="104">
        <v>45857</v>
      </c>
      <c r="X529" s="97"/>
      <c r="Y529" s="75">
        <v>333.51</v>
      </c>
    </row>
    <row r="530" spans="1:25" x14ac:dyDescent="0.25">
      <c r="A530" s="76">
        <v>561</v>
      </c>
      <c r="B530" s="2" t="s">
        <v>16979</v>
      </c>
      <c r="C530" s="2" t="s">
        <v>16980</v>
      </c>
      <c r="D530" s="2" t="s">
        <v>16981</v>
      </c>
      <c r="E530" s="2" t="s">
        <v>16982</v>
      </c>
      <c r="F530" s="2" t="s">
        <v>16983</v>
      </c>
      <c r="G530" s="2" t="s">
        <v>296</v>
      </c>
      <c r="H530" s="17">
        <v>25</v>
      </c>
      <c r="I530" s="31">
        <f t="shared" ref="I530:I593" si="60">H530*1000</f>
        <v>25000</v>
      </c>
      <c r="J530" s="31">
        <f t="shared" ref="J530:J593" si="61">I530*7%</f>
        <v>1750.0000000000002</v>
      </c>
      <c r="K530" s="44">
        <f t="shared" ref="K530:K593" si="62">J530/365</f>
        <v>4.794520547945206</v>
      </c>
      <c r="L530" s="3">
        <f t="shared" ref="L530:L593" si="63">K530*74</f>
        <v>354.79452054794524</v>
      </c>
      <c r="M530" s="3">
        <f t="shared" ref="M530:M593" si="64">L530*6%</f>
        <v>21.287671232876715</v>
      </c>
      <c r="N530" s="67">
        <f t="shared" ref="N530:N593" si="65">L530-M530</f>
        <v>333.50684931506851</v>
      </c>
      <c r="O530" s="3"/>
      <c r="P530" s="70" t="s">
        <v>18620</v>
      </c>
      <c r="Q530" s="2" t="s">
        <v>180</v>
      </c>
      <c r="R530" s="2" t="s">
        <v>16984</v>
      </c>
      <c r="T530" t="s">
        <v>18666</v>
      </c>
      <c r="U530" t="s">
        <v>18652</v>
      </c>
      <c r="V530" s="104">
        <v>45857</v>
      </c>
      <c r="X530" s="97"/>
      <c r="Y530" s="75">
        <v>333.51</v>
      </c>
    </row>
    <row r="531" spans="1:25" x14ac:dyDescent="0.25">
      <c r="A531" s="76">
        <v>562</v>
      </c>
      <c r="B531" s="2" t="s">
        <v>14136</v>
      </c>
      <c r="C531" s="2" t="s">
        <v>14137</v>
      </c>
      <c r="D531" s="2" t="s">
        <v>14138</v>
      </c>
      <c r="E531" s="2" t="s">
        <v>14139</v>
      </c>
      <c r="F531" s="2" t="s">
        <v>14140</v>
      </c>
      <c r="G531" s="2" t="s">
        <v>412</v>
      </c>
      <c r="H531" s="17">
        <v>25</v>
      </c>
      <c r="I531" s="31">
        <f t="shared" si="60"/>
        <v>25000</v>
      </c>
      <c r="J531" s="31">
        <f t="shared" si="61"/>
        <v>1750.0000000000002</v>
      </c>
      <c r="K531" s="44">
        <f t="shared" si="62"/>
        <v>4.794520547945206</v>
      </c>
      <c r="L531" s="3">
        <f t="shared" si="63"/>
        <v>354.79452054794524</v>
      </c>
      <c r="M531" s="3">
        <f t="shared" si="64"/>
        <v>21.287671232876715</v>
      </c>
      <c r="N531" s="67">
        <f t="shared" si="65"/>
        <v>333.50684931506851</v>
      </c>
      <c r="O531" s="3"/>
      <c r="P531" s="70" t="s">
        <v>18620</v>
      </c>
      <c r="Q531" s="2" t="s">
        <v>180</v>
      </c>
      <c r="R531" s="2" t="s">
        <v>14141</v>
      </c>
      <c r="T531" t="s">
        <v>18666</v>
      </c>
      <c r="U531" t="s">
        <v>18652</v>
      </c>
      <c r="V531" s="104">
        <v>45857</v>
      </c>
      <c r="X531" s="97"/>
      <c r="Y531" s="75">
        <v>333.51</v>
      </c>
    </row>
    <row r="532" spans="1:25" x14ac:dyDescent="0.25">
      <c r="A532" s="76">
        <v>563</v>
      </c>
      <c r="B532" s="2" t="s">
        <v>14169</v>
      </c>
      <c r="C532" s="2" t="s">
        <v>14170</v>
      </c>
      <c r="D532" s="2" t="s">
        <v>14171</v>
      </c>
      <c r="E532" s="2" t="s">
        <v>14172</v>
      </c>
      <c r="F532" s="2" t="s">
        <v>14173</v>
      </c>
      <c r="G532" s="2" t="s">
        <v>151</v>
      </c>
      <c r="H532" s="17">
        <v>25</v>
      </c>
      <c r="I532" s="31">
        <f t="shared" si="60"/>
        <v>25000</v>
      </c>
      <c r="J532" s="31">
        <f t="shared" si="61"/>
        <v>1750.0000000000002</v>
      </c>
      <c r="K532" s="44">
        <f t="shared" si="62"/>
        <v>4.794520547945206</v>
      </c>
      <c r="L532" s="3">
        <f t="shared" si="63"/>
        <v>354.79452054794524</v>
      </c>
      <c r="M532" s="3">
        <f t="shared" si="64"/>
        <v>21.287671232876715</v>
      </c>
      <c r="N532" s="67">
        <f t="shared" si="65"/>
        <v>333.50684931506851</v>
      </c>
      <c r="O532" s="3"/>
      <c r="P532" s="70" t="s">
        <v>18620</v>
      </c>
      <c r="Q532" s="2" t="s">
        <v>180</v>
      </c>
      <c r="R532" s="2" t="s">
        <v>14174</v>
      </c>
      <c r="T532" t="s">
        <v>18666</v>
      </c>
      <c r="U532" t="s">
        <v>18652</v>
      </c>
      <c r="V532" s="104">
        <v>45857</v>
      </c>
      <c r="X532" s="97"/>
      <c r="Y532" s="75">
        <v>333.51</v>
      </c>
    </row>
    <row r="533" spans="1:25" x14ac:dyDescent="0.25">
      <c r="A533" s="76">
        <v>564</v>
      </c>
      <c r="B533" s="2" t="s">
        <v>18228</v>
      </c>
      <c r="C533" s="2" t="s">
        <v>18229</v>
      </c>
      <c r="D533" s="2" t="s">
        <v>18230</v>
      </c>
      <c r="E533" s="2" t="s">
        <v>18231</v>
      </c>
      <c r="F533" s="2" t="s">
        <v>18232</v>
      </c>
      <c r="G533" s="2" t="s">
        <v>328</v>
      </c>
      <c r="H533" s="17">
        <v>25</v>
      </c>
      <c r="I533" s="31">
        <f t="shared" si="60"/>
        <v>25000</v>
      </c>
      <c r="J533" s="31">
        <f t="shared" si="61"/>
        <v>1750.0000000000002</v>
      </c>
      <c r="K533" s="44">
        <f t="shared" si="62"/>
        <v>4.794520547945206</v>
      </c>
      <c r="L533" s="3">
        <f t="shared" si="63"/>
        <v>354.79452054794524</v>
      </c>
      <c r="M533" s="3">
        <f t="shared" si="64"/>
        <v>21.287671232876715</v>
      </c>
      <c r="N533" s="67">
        <f t="shared" si="65"/>
        <v>333.50684931506851</v>
      </c>
      <c r="O533" s="3"/>
      <c r="P533" s="70" t="s">
        <v>18620</v>
      </c>
      <c r="Q533" s="2" t="s">
        <v>180</v>
      </c>
      <c r="R533" s="2" t="s">
        <v>18233</v>
      </c>
      <c r="T533" t="s">
        <v>18666</v>
      </c>
      <c r="U533" t="s">
        <v>18652</v>
      </c>
      <c r="V533" s="104">
        <v>45857</v>
      </c>
      <c r="X533" s="97"/>
      <c r="Y533" s="75">
        <v>333.51</v>
      </c>
    </row>
    <row r="534" spans="1:25" x14ac:dyDescent="0.25">
      <c r="A534" s="76">
        <v>565</v>
      </c>
      <c r="B534" s="2" t="s">
        <v>1093</v>
      </c>
      <c r="C534" s="2" t="s">
        <v>1094</v>
      </c>
      <c r="D534" s="2" t="s">
        <v>1095</v>
      </c>
      <c r="E534" s="2" t="s">
        <v>1096</v>
      </c>
      <c r="F534" s="2" t="s">
        <v>1097</v>
      </c>
      <c r="G534" s="2" t="s">
        <v>876</v>
      </c>
      <c r="H534" s="17">
        <v>25</v>
      </c>
      <c r="I534" s="31">
        <f t="shared" si="60"/>
        <v>25000</v>
      </c>
      <c r="J534" s="31">
        <f t="shared" si="61"/>
        <v>1750.0000000000002</v>
      </c>
      <c r="K534" s="44">
        <f t="shared" si="62"/>
        <v>4.794520547945206</v>
      </c>
      <c r="L534" s="3">
        <f t="shared" si="63"/>
        <v>354.79452054794524</v>
      </c>
      <c r="M534" s="3">
        <f t="shared" si="64"/>
        <v>21.287671232876715</v>
      </c>
      <c r="N534" s="67">
        <f t="shared" si="65"/>
        <v>333.50684931506851</v>
      </c>
      <c r="O534" s="3"/>
      <c r="P534" s="70" t="s">
        <v>18620</v>
      </c>
      <c r="Q534" s="2" t="s">
        <v>180</v>
      </c>
      <c r="R534" s="2" t="s">
        <v>1098</v>
      </c>
      <c r="T534" t="s">
        <v>18666</v>
      </c>
      <c r="U534" t="s">
        <v>18652</v>
      </c>
      <c r="V534" s="104">
        <v>45857</v>
      </c>
      <c r="X534" s="97"/>
      <c r="Y534" s="75">
        <v>333.51</v>
      </c>
    </row>
    <row r="535" spans="1:25" x14ac:dyDescent="0.25">
      <c r="A535" s="76">
        <v>566</v>
      </c>
      <c r="B535" s="2" t="s">
        <v>2862</v>
      </c>
      <c r="C535" s="2" t="s">
        <v>2863</v>
      </c>
      <c r="D535" s="2" t="s">
        <v>2864</v>
      </c>
      <c r="E535" s="2" t="s">
        <v>2865</v>
      </c>
      <c r="F535" s="2" t="s">
        <v>2866</v>
      </c>
      <c r="G535" s="2" t="s">
        <v>296</v>
      </c>
      <c r="H535" s="17">
        <v>100</v>
      </c>
      <c r="I535" s="31">
        <f t="shared" si="60"/>
        <v>100000</v>
      </c>
      <c r="J535" s="31">
        <f t="shared" si="61"/>
        <v>7000.0000000000009</v>
      </c>
      <c r="K535" s="44">
        <f t="shared" si="62"/>
        <v>19.178082191780824</v>
      </c>
      <c r="L535" s="3">
        <f t="shared" si="63"/>
        <v>1419.178082191781</v>
      </c>
      <c r="M535" s="3">
        <f t="shared" si="64"/>
        <v>85.150684931506859</v>
      </c>
      <c r="N535" s="67">
        <f t="shared" si="65"/>
        <v>1334.027397260274</v>
      </c>
      <c r="O535" s="3"/>
      <c r="P535" s="70" t="s">
        <v>18620</v>
      </c>
      <c r="Q535" s="2" t="s">
        <v>180</v>
      </c>
      <c r="R535" s="2" t="s">
        <v>2867</v>
      </c>
      <c r="T535" t="s">
        <v>18666</v>
      </c>
      <c r="U535" t="s">
        <v>18652</v>
      </c>
      <c r="V535" s="104">
        <v>45857</v>
      </c>
      <c r="X535" s="97"/>
      <c r="Y535" s="75">
        <v>1334.03</v>
      </c>
    </row>
    <row r="536" spans="1:25" x14ac:dyDescent="0.25">
      <c r="A536" s="76">
        <v>567</v>
      </c>
      <c r="B536" s="2" t="s">
        <v>18077</v>
      </c>
      <c r="C536" s="2" t="s">
        <v>18078</v>
      </c>
      <c r="D536" s="2" t="s">
        <v>18079</v>
      </c>
      <c r="E536" s="2" t="s">
        <v>18080</v>
      </c>
      <c r="F536" s="2" t="s">
        <v>18081</v>
      </c>
      <c r="G536" s="2" t="s">
        <v>23</v>
      </c>
      <c r="H536" s="17">
        <v>50</v>
      </c>
      <c r="I536" s="31">
        <f t="shared" si="60"/>
        <v>50000</v>
      </c>
      <c r="J536" s="31">
        <f t="shared" si="61"/>
        <v>3500.0000000000005</v>
      </c>
      <c r="K536" s="44">
        <f t="shared" si="62"/>
        <v>9.589041095890412</v>
      </c>
      <c r="L536" s="3">
        <f t="shared" si="63"/>
        <v>709.58904109589048</v>
      </c>
      <c r="M536" s="3">
        <f t="shared" si="64"/>
        <v>42.57534246575343</v>
      </c>
      <c r="N536" s="67">
        <f t="shared" si="65"/>
        <v>667.01369863013701</v>
      </c>
      <c r="O536" s="3"/>
      <c r="P536" s="70" t="s">
        <v>18620</v>
      </c>
      <c r="Q536" s="2" t="s">
        <v>180</v>
      </c>
      <c r="R536" s="2" t="s">
        <v>18082</v>
      </c>
      <c r="T536" t="s">
        <v>18666</v>
      </c>
      <c r="U536" t="s">
        <v>18652</v>
      </c>
      <c r="V536" s="104">
        <v>45857</v>
      </c>
      <c r="X536" s="97"/>
      <c r="Y536" s="75">
        <v>667.02</v>
      </c>
    </row>
    <row r="537" spans="1:25" x14ac:dyDescent="0.25">
      <c r="A537" s="76">
        <v>568</v>
      </c>
      <c r="B537" s="2" t="s">
        <v>5274</v>
      </c>
      <c r="C537" s="2" t="s">
        <v>5275</v>
      </c>
      <c r="D537" s="2" t="s">
        <v>5276</v>
      </c>
      <c r="E537" s="2" t="s">
        <v>5277</v>
      </c>
      <c r="F537" s="2" t="s">
        <v>5278</v>
      </c>
      <c r="G537" s="2" t="s">
        <v>226</v>
      </c>
      <c r="H537" s="17">
        <v>25</v>
      </c>
      <c r="I537" s="31">
        <f t="shared" si="60"/>
        <v>25000</v>
      </c>
      <c r="J537" s="31">
        <f t="shared" si="61"/>
        <v>1750.0000000000002</v>
      </c>
      <c r="K537" s="44">
        <f t="shared" si="62"/>
        <v>4.794520547945206</v>
      </c>
      <c r="L537" s="3">
        <f t="shared" si="63"/>
        <v>354.79452054794524</v>
      </c>
      <c r="M537" s="3">
        <f t="shared" si="64"/>
        <v>21.287671232876715</v>
      </c>
      <c r="N537" s="67">
        <f t="shared" si="65"/>
        <v>333.50684931506851</v>
      </c>
      <c r="O537" s="3"/>
      <c r="P537" s="70" t="s">
        <v>18620</v>
      </c>
      <c r="Q537" s="2" t="s">
        <v>180</v>
      </c>
      <c r="R537" s="2" t="s">
        <v>5279</v>
      </c>
      <c r="T537" t="s">
        <v>18666</v>
      </c>
      <c r="U537" t="s">
        <v>18652</v>
      </c>
      <c r="V537" s="104">
        <v>45857</v>
      </c>
      <c r="X537" s="97"/>
      <c r="Y537" s="75">
        <v>333.51</v>
      </c>
    </row>
    <row r="538" spans="1:25" x14ac:dyDescent="0.25">
      <c r="A538" s="76">
        <v>569</v>
      </c>
      <c r="B538" s="2" t="s">
        <v>12323</v>
      </c>
      <c r="C538" s="2" t="s">
        <v>12324</v>
      </c>
      <c r="D538" s="2" t="s">
        <v>12325</v>
      </c>
      <c r="E538" s="2" t="s">
        <v>11559</v>
      </c>
      <c r="F538" s="2" t="s">
        <v>12326</v>
      </c>
      <c r="G538" s="2" t="s">
        <v>328</v>
      </c>
      <c r="H538" s="17">
        <v>30</v>
      </c>
      <c r="I538" s="31">
        <f t="shared" si="60"/>
        <v>30000</v>
      </c>
      <c r="J538" s="31">
        <f t="shared" si="61"/>
        <v>2100</v>
      </c>
      <c r="K538" s="44">
        <f t="shared" si="62"/>
        <v>5.7534246575342465</v>
      </c>
      <c r="L538" s="3">
        <f t="shared" si="63"/>
        <v>425.75342465753425</v>
      </c>
      <c r="M538" s="3">
        <f t="shared" si="64"/>
        <v>25.545205479452054</v>
      </c>
      <c r="N538" s="67">
        <f t="shared" si="65"/>
        <v>400.20821917808217</v>
      </c>
      <c r="O538" s="3"/>
      <c r="P538" s="70" t="s">
        <v>18620</v>
      </c>
      <c r="Q538" s="2" t="s">
        <v>180</v>
      </c>
      <c r="R538" s="2" t="s">
        <v>12327</v>
      </c>
      <c r="T538" t="s">
        <v>18666</v>
      </c>
      <c r="U538" t="s">
        <v>18652</v>
      </c>
      <c r="V538" s="104">
        <v>45857</v>
      </c>
      <c r="X538" s="97"/>
      <c r="Y538" s="75">
        <v>400.21</v>
      </c>
    </row>
    <row r="539" spans="1:25" x14ac:dyDescent="0.25">
      <c r="A539" s="76">
        <v>570</v>
      </c>
      <c r="B539" s="2" t="s">
        <v>5515</v>
      </c>
      <c r="C539" s="2" t="s">
        <v>5516</v>
      </c>
      <c r="D539" s="2" t="s">
        <v>5517</v>
      </c>
      <c r="E539" s="2" t="s">
        <v>5518</v>
      </c>
      <c r="F539" s="2" t="s">
        <v>5519</v>
      </c>
      <c r="G539" s="2" t="s">
        <v>296</v>
      </c>
      <c r="H539" s="17">
        <v>25</v>
      </c>
      <c r="I539" s="31">
        <f t="shared" si="60"/>
        <v>25000</v>
      </c>
      <c r="J539" s="31">
        <f t="shared" si="61"/>
        <v>1750.0000000000002</v>
      </c>
      <c r="K539" s="44">
        <f t="shared" si="62"/>
        <v>4.794520547945206</v>
      </c>
      <c r="L539" s="3">
        <f t="shared" si="63"/>
        <v>354.79452054794524</v>
      </c>
      <c r="M539" s="3">
        <f t="shared" si="64"/>
        <v>21.287671232876715</v>
      </c>
      <c r="N539" s="67">
        <f t="shared" si="65"/>
        <v>333.50684931506851</v>
      </c>
      <c r="O539" s="3"/>
      <c r="P539" s="70" t="s">
        <v>18620</v>
      </c>
      <c r="Q539" s="2" t="s">
        <v>180</v>
      </c>
      <c r="R539" s="2" t="s">
        <v>5520</v>
      </c>
      <c r="T539" t="s">
        <v>18666</v>
      </c>
      <c r="U539" t="s">
        <v>18652</v>
      </c>
      <c r="V539" s="104">
        <v>45857</v>
      </c>
      <c r="X539" s="97"/>
      <c r="Y539" s="75">
        <v>333.51</v>
      </c>
    </row>
    <row r="540" spans="1:25" x14ac:dyDescent="0.25">
      <c r="A540" s="76">
        <v>571</v>
      </c>
      <c r="B540" s="2" t="s">
        <v>8302</v>
      </c>
      <c r="C540" s="2" t="s">
        <v>8303</v>
      </c>
      <c r="D540" s="2" t="s">
        <v>8304</v>
      </c>
      <c r="E540" s="2" t="s">
        <v>8305</v>
      </c>
      <c r="F540" s="2" t="s">
        <v>8306</v>
      </c>
      <c r="G540" s="2" t="s">
        <v>328</v>
      </c>
      <c r="H540" s="17">
        <v>25</v>
      </c>
      <c r="I540" s="31">
        <f t="shared" si="60"/>
        <v>25000</v>
      </c>
      <c r="J540" s="31">
        <f t="shared" si="61"/>
        <v>1750.0000000000002</v>
      </c>
      <c r="K540" s="44">
        <f t="shared" si="62"/>
        <v>4.794520547945206</v>
      </c>
      <c r="L540" s="3">
        <f t="shared" si="63"/>
        <v>354.79452054794524</v>
      </c>
      <c r="M540" s="3">
        <f t="shared" si="64"/>
        <v>21.287671232876715</v>
      </c>
      <c r="N540" s="67">
        <f t="shared" si="65"/>
        <v>333.50684931506851</v>
      </c>
      <c r="O540" s="3"/>
      <c r="P540" s="70" t="s">
        <v>18620</v>
      </c>
      <c r="Q540" s="2" t="s">
        <v>180</v>
      </c>
      <c r="R540" s="2" t="s">
        <v>8307</v>
      </c>
      <c r="T540" t="s">
        <v>18666</v>
      </c>
      <c r="U540" t="s">
        <v>18652</v>
      </c>
      <c r="V540" s="104">
        <v>45857</v>
      </c>
      <c r="X540" s="97"/>
      <c r="Y540" s="75">
        <v>333.51</v>
      </c>
    </row>
    <row r="541" spans="1:25" x14ac:dyDescent="0.25">
      <c r="A541" s="76">
        <v>572</v>
      </c>
      <c r="B541" s="2" t="s">
        <v>8555</v>
      </c>
      <c r="C541" s="2" t="s">
        <v>3680</v>
      </c>
      <c r="D541" s="2" t="s">
        <v>8556</v>
      </c>
      <c r="E541" s="2" t="s">
        <v>8557</v>
      </c>
      <c r="F541" s="2" t="s">
        <v>8558</v>
      </c>
      <c r="G541" s="2" t="s">
        <v>23</v>
      </c>
      <c r="H541" s="17">
        <v>25</v>
      </c>
      <c r="I541" s="31">
        <f t="shared" si="60"/>
        <v>25000</v>
      </c>
      <c r="J541" s="31">
        <f t="shared" si="61"/>
        <v>1750.0000000000002</v>
      </c>
      <c r="K541" s="44">
        <f t="shared" si="62"/>
        <v>4.794520547945206</v>
      </c>
      <c r="L541" s="3">
        <f t="shared" si="63"/>
        <v>354.79452054794524</v>
      </c>
      <c r="M541" s="3">
        <f t="shared" si="64"/>
        <v>21.287671232876715</v>
      </c>
      <c r="N541" s="67">
        <f t="shared" si="65"/>
        <v>333.50684931506851</v>
      </c>
      <c r="O541" s="3"/>
      <c r="P541" s="70" t="s">
        <v>18620</v>
      </c>
      <c r="Q541" s="2" t="s">
        <v>180</v>
      </c>
      <c r="R541" s="2" t="s">
        <v>8559</v>
      </c>
      <c r="T541" t="s">
        <v>18666</v>
      </c>
      <c r="U541" t="s">
        <v>18652</v>
      </c>
      <c r="V541" s="104">
        <v>45857</v>
      </c>
      <c r="X541" s="97"/>
      <c r="Y541" s="75">
        <v>333.51</v>
      </c>
    </row>
    <row r="542" spans="1:25" x14ac:dyDescent="0.25">
      <c r="A542" s="76">
        <v>573</v>
      </c>
      <c r="B542" s="2" t="s">
        <v>4028</v>
      </c>
      <c r="C542" s="2" t="s">
        <v>4029</v>
      </c>
      <c r="D542" s="2" t="s">
        <v>4030</v>
      </c>
      <c r="E542" s="2" t="s">
        <v>4031</v>
      </c>
      <c r="F542" s="2" t="s">
        <v>4032</v>
      </c>
      <c r="G542" s="2" t="s">
        <v>328</v>
      </c>
      <c r="H542" s="17">
        <v>25</v>
      </c>
      <c r="I542" s="31">
        <f t="shared" si="60"/>
        <v>25000</v>
      </c>
      <c r="J542" s="31">
        <f t="shared" si="61"/>
        <v>1750.0000000000002</v>
      </c>
      <c r="K542" s="44">
        <f t="shared" si="62"/>
        <v>4.794520547945206</v>
      </c>
      <c r="L542" s="3">
        <f t="shared" si="63"/>
        <v>354.79452054794524</v>
      </c>
      <c r="M542" s="3">
        <f t="shared" si="64"/>
        <v>21.287671232876715</v>
      </c>
      <c r="N542" s="67">
        <f t="shared" si="65"/>
        <v>333.50684931506851</v>
      </c>
      <c r="O542" s="3"/>
      <c r="P542" s="70" t="s">
        <v>18620</v>
      </c>
      <c r="Q542" s="2" t="s">
        <v>180</v>
      </c>
      <c r="R542" s="2" t="s">
        <v>4033</v>
      </c>
      <c r="T542" t="s">
        <v>18666</v>
      </c>
      <c r="U542" t="s">
        <v>18652</v>
      </c>
      <c r="V542" s="104">
        <v>45857</v>
      </c>
      <c r="X542" s="97"/>
      <c r="Y542" s="75">
        <v>333.51</v>
      </c>
    </row>
    <row r="543" spans="1:25" x14ac:dyDescent="0.25">
      <c r="A543" s="76">
        <v>574</v>
      </c>
      <c r="B543" s="2" t="s">
        <v>8314</v>
      </c>
      <c r="C543" s="2" t="s">
        <v>8315</v>
      </c>
      <c r="D543" s="2" t="s">
        <v>8316</v>
      </c>
      <c r="E543" s="2" t="s">
        <v>8317</v>
      </c>
      <c r="F543" s="2" t="s">
        <v>8318</v>
      </c>
      <c r="G543" s="2" t="s">
        <v>328</v>
      </c>
      <c r="H543" s="17">
        <v>25</v>
      </c>
      <c r="I543" s="31">
        <f t="shared" si="60"/>
        <v>25000</v>
      </c>
      <c r="J543" s="31">
        <f t="shared" si="61"/>
        <v>1750.0000000000002</v>
      </c>
      <c r="K543" s="44">
        <f t="shared" si="62"/>
        <v>4.794520547945206</v>
      </c>
      <c r="L543" s="3">
        <f t="shared" si="63"/>
        <v>354.79452054794524</v>
      </c>
      <c r="M543" s="3">
        <f t="shared" si="64"/>
        <v>21.287671232876715</v>
      </c>
      <c r="N543" s="67">
        <f t="shared" si="65"/>
        <v>333.50684931506851</v>
      </c>
      <c r="O543" s="3"/>
      <c r="P543" s="70" t="s">
        <v>18620</v>
      </c>
      <c r="Q543" s="2" t="s">
        <v>180</v>
      </c>
      <c r="R543" s="2" t="s">
        <v>8319</v>
      </c>
      <c r="T543" t="s">
        <v>18666</v>
      </c>
      <c r="U543" t="s">
        <v>18652</v>
      </c>
      <c r="V543" s="104">
        <v>45857</v>
      </c>
      <c r="X543" s="97"/>
      <c r="Y543" s="75">
        <v>333.51</v>
      </c>
    </row>
    <row r="544" spans="1:25" x14ac:dyDescent="0.25">
      <c r="A544" s="76">
        <v>575</v>
      </c>
      <c r="B544" s="2" t="s">
        <v>9804</v>
      </c>
      <c r="C544" s="2" t="s">
        <v>9805</v>
      </c>
      <c r="D544" s="2" t="s">
        <v>9806</v>
      </c>
      <c r="E544" s="2" t="s">
        <v>9807</v>
      </c>
      <c r="F544" s="2" t="s">
        <v>9808</v>
      </c>
      <c r="G544" s="2" t="s">
        <v>39</v>
      </c>
      <c r="H544" s="17">
        <v>25</v>
      </c>
      <c r="I544" s="31">
        <f t="shared" si="60"/>
        <v>25000</v>
      </c>
      <c r="J544" s="31">
        <f t="shared" si="61"/>
        <v>1750.0000000000002</v>
      </c>
      <c r="K544" s="44">
        <f t="shared" si="62"/>
        <v>4.794520547945206</v>
      </c>
      <c r="L544" s="3">
        <f t="shared" si="63"/>
        <v>354.79452054794524</v>
      </c>
      <c r="M544" s="3">
        <f t="shared" si="64"/>
        <v>21.287671232876715</v>
      </c>
      <c r="N544" s="67">
        <f t="shared" si="65"/>
        <v>333.50684931506851</v>
      </c>
      <c r="O544" s="3"/>
      <c r="P544" s="70" t="s">
        <v>18620</v>
      </c>
      <c r="Q544" s="2" t="s">
        <v>180</v>
      </c>
      <c r="R544" s="2" t="s">
        <v>9809</v>
      </c>
      <c r="T544" t="s">
        <v>18666</v>
      </c>
      <c r="U544" t="s">
        <v>18652</v>
      </c>
      <c r="V544" s="104">
        <v>45857</v>
      </c>
      <c r="X544" s="97"/>
      <c r="Y544" s="75">
        <v>333.51</v>
      </c>
    </row>
    <row r="545" spans="1:25" x14ac:dyDescent="0.25">
      <c r="A545" s="76">
        <v>576</v>
      </c>
      <c r="B545" s="2" t="s">
        <v>6265</v>
      </c>
      <c r="C545" s="2" t="s">
        <v>6266</v>
      </c>
      <c r="D545" s="2" t="s">
        <v>6267</v>
      </c>
      <c r="E545" s="2" t="s">
        <v>6268</v>
      </c>
      <c r="F545" s="2" t="s">
        <v>6269</v>
      </c>
      <c r="G545" s="2" t="s">
        <v>599</v>
      </c>
      <c r="H545" s="17">
        <v>25</v>
      </c>
      <c r="I545" s="31">
        <f t="shared" si="60"/>
        <v>25000</v>
      </c>
      <c r="J545" s="31">
        <f t="shared" si="61"/>
        <v>1750.0000000000002</v>
      </c>
      <c r="K545" s="44">
        <f t="shared" si="62"/>
        <v>4.794520547945206</v>
      </c>
      <c r="L545" s="3">
        <f t="shared" si="63"/>
        <v>354.79452054794524</v>
      </c>
      <c r="M545" s="3">
        <f t="shared" si="64"/>
        <v>21.287671232876715</v>
      </c>
      <c r="N545" s="67">
        <f t="shared" si="65"/>
        <v>333.50684931506851</v>
      </c>
      <c r="O545" s="3"/>
      <c r="P545" s="70" t="s">
        <v>18620</v>
      </c>
      <c r="Q545" s="2" t="s">
        <v>180</v>
      </c>
      <c r="R545" s="2" t="s">
        <v>6270</v>
      </c>
      <c r="T545" t="s">
        <v>18666</v>
      </c>
      <c r="U545" t="s">
        <v>18652</v>
      </c>
      <c r="V545" s="104">
        <v>45857</v>
      </c>
      <c r="X545" s="97"/>
      <c r="Y545" s="75">
        <v>333.51</v>
      </c>
    </row>
    <row r="546" spans="1:25" x14ac:dyDescent="0.25">
      <c r="A546" s="76">
        <v>577</v>
      </c>
      <c r="B546" s="2" t="s">
        <v>8974</v>
      </c>
      <c r="C546" s="2" t="s">
        <v>8975</v>
      </c>
      <c r="D546" s="2" t="s">
        <v>8976</v>
      </c>
      <c r="E546" s="2" t="s">
        <v>8977</v>
      </c>
      <c r="F546" s="2" t="s">
        <v>8978</v>
      </c>
      <c r="G546" s="2" t="s">
        <v>166</v>
      </c>
      <c r="H546" s="17">
        <v>25</v>
      </c>
      <c r="I546" s="31">
        <f t="shared" si="60"/>
        <v>25000</v>
      </c>
      <c r="J546" s="31">
        <f t="shared" si="61"/>
        <v>1750.0000000000002</v>
      </c>
      <c r="K546" s="44">
        <f t="shared" si="62"/>
        <v>4.794520547945206</v>
      </c>
      <c r="L546" s="3">
        <f t="shared" si="63"/>
        <v>354.79452054794524</v>
      </c>
      <c r="M546" s="3">
        <f t="shared" si="64"/>
        <v>21.287671232876715</v>
      </c>
      <c r="N546" s="67">
        <f t="shared" si="65"/>
        <v>333.50684931506851</v>
      </c>
      <c r="O546" s="3"/>
      <c r="P546" s="70" t="s">
        <v>18620</v>
      </c>
      <c r="Q546" s="2" t="s">
        <v>180</v>
      </c>
      <c r="R546" s="2" t="s">
        <v>8979</v>
      </c>
      <c r="T546" t="s">
        <v>18666</v>
      </c>
      <c r="U546" t="s">
        <v>18652</v>
      </c>
      <c r="V546" s="104">
        <v>45857</v>
      </c>
      <c r="X546" s="97"/>
      <c r="Y546" s="75">
        <v>333.51</v>
      </c>
    </row>
    <row r="547" spans="1:25" x14ac:dyDescent="0.25">
      <c r="A547" s="76">
        <v>578</v>
      </c>
      <c r="B547" s="2" t="s">
        <v>18389</v>
      </c>
      <c r="C547" s="2" t="s">
        <v>18390</v>
      </c>
      <c r="D547" s="2" t="s">
        <v>18391</v>
      </c>
      <c r="E547" s="2" t="s">
        <v>18392</v>
      </c>
      <c r="F547" s="2" t="s">
        <v>18393</v>
      </c>
      <c r="G547" s="2" t="s">
        <v>39</v>
      </c>
      <c r="H547" s="17">
        <v>25</v>
      </c>
      <c r="I547" s="31">
        <f t="shared" si="60"/>
        <v>25000</v>
      </c>
      <c r="J547" s="31">
        <f t="shared" si="61"/>
        <v>1750.0000000000002</v>
      </c>
      <c r="K547" s="44">
        <f t="shared" si="62"/>
        <v>4.794520547945206</v>
      </c>
      <c r="L547" s="3">
        <f t="shared" si="63"/>
        <v>354.79452054794524</v>
      </c>
      <c r="M547" s="3">
        <f t="shared" si="64"/>
        <v>21.287671232876715</v>
      </c>
      <c r="N547" s="67">
        <f t="shared" si="65"/>
        <v>333.50684931506851</v>
      </c>
      <c r="O547" s="3"/>
      <c r="P547" s="70" t="s">
        <v>18612</v>
      </c>
      <c r="Q547" s="2" t="s">
        <v>103</v>
      </c>
      <c r="R547" s="2" t="s">
        <v>18394</v>
      </c>
      <c r="T547" t="s">
        <v>18666</v>
      </c>
      <c r="U547" t="s">
        <v>18652</v>
      </c>
      <c r="V547" s="104">
        <v>45857</v>
      </c>
      <c r="X547" s="97"/>
      <c r="Y547" s="75">
        <v>333.51</v>
      </c>
    </row>
    <row r="548" spans="1:25" x14ac:dyDescent="0.25">
      <c r="A548" s="76">
        <v>579</v>
      </c>
      <c r="B548" s="2" t="s">
        <v>18334</v>
      </c>
      <c r="C548" s="2" t="s">
        <v>18335</v>
      </c>
      <c r="D548" s="2" t="s">
        <v>18336</v>
      </c>
      <c r="E548" s="2" t="s">
        <v>18337</v>
      </c>
      <c r="F548" s="2" t="s">
        <v>18338</v>
      </c>
      <c r="G548" s="2" t="s">
        <v>599</v>
      </c>
      <c r="H548" s="17">
        <v>25</v>
      </c>
      <c r="I548" s="31">
        <f t="shared" si="60"/>
        <v>25000</v>
      </c>
      <c r="J548" s="31">
        <f t="shared" si="61"/>
        <v>1750.0000000000002</v>
      </c>
      <c r="K548" s="44">
        <f t="shared" si="62"/>
        <v>4.794520547945206</v>
      </c>
      <c r="L548" s="3">
        <f t="shared" si="63"/>
        <v>354.79452054794524</v>
      </c>
      <c r="M548" s="3">
        <f t="shared" si="64"/>
        <v>21.287671232876715</v>
      </c>
      <c r="N548" s="67">
        <f t="shared" si="65"/>
        <v>333.50684931506851</v>
      </c>
      <c r="O548" s="3"/>
      <c r="P548" s="70" t="s">
        <v>18612</v>
      </c>
      <c r="Q548" s="2" t="s">
        <v>103</v>
      </c>
      <c r="R548" s="2" t="s">
        <v>18339</v>
      </c>
      <c r="T548" t="s">
        <v>18666</v>
      </c>
      <c r="U548" t="s">
        <v>18652</v>
      </c>
      <c r="V548" s="104">
        <v>45857</v>
      </c>
      <c r="X548" s="97"/>
      <c r="Y548" s="75">
        <v>333.51</v>
      </c>
    </row>
    <row r="549" spans="1:25" x14ac:dyDescent="0.25">
      <c r="A549" s="76">
        <v>580</v>
      </c>
      <c r="B549" s="2" t="s">
        <v>1196</v>
      </c>
      <c r="C549" s="2" t="s">
        <v>1197</v>
      </c>
      <c r="D549" s="2" t="s">
        <v>1198</v>
      </c>
      <c r="E549" s="2" t="s">
        <v>1199</v>
      </c>
      <c r="F549" s="2" t="s">
        <v>1200</v>
      </c>
      <c r="G549" s="2" t="s">
        <v>173</v>
      </c>
      <c r="H549" s="17">
        <v>25</v>
      </c>
      <c r="I549" s="31">
        <f t="shared" si="60"/>
        <v>25000</v>
      </c>
      <c r="J549" s="31">
        <f t="shared" si="61"/>
        <v>1750.0000000000002</v>
      </c>
      <c r="K549" s="44">
        <f t="shared" si="62"/>
        <v>4.794520547945206</v>
      </c>
      <c r="L549" s="3">
        <f t="shared" si="63"/>
        <v>354.79452054794524</v>
      </c>
      <c r="M549" s="3">
        <f t="shared" si="64"/>
        <v>21.287671232876715</v>
      </c>
      <c r="N549" s="67">
        <f t="shared" si="65"/>
        <v>333.50684931506851</v>
      </c>
      <c r="O549" s="3"/>
      <c r="P549" s="70" t="s">
        <v>18612</v>
      </c>
      <c r="Q549" s="2" t="s">
        <v>103</v>
      </c>
      <c r="R549" s="2" t="s">
        <v>1201</v>
      </c>
      <c r="T549" t="s">
        <v>18666</v>
      </c>
      <c r="U549" t="s">
        <v>18652</v>
      </c>
      <c r="V549" s="104">
        <v>45857</v>
      </c>
      <c r="X549" s="97"/>
      <c r="Y549" s="75">
        <v>333.51</v>
      </c>
    </row>
    <row r="550" spans="1:25" x14ac:dyDescent="0.25">
      <c r="A550" s="76">
        <v>581</v>
      </c>
      <c r="B550" s="2" t="s">
        <v>9085</v>
      </c>
      <c r="C550" s="2" t="s">
        <v>9086</v>
      </c>
      <c r="D550" s="2" t="s">
        <v>9087</v>
      </c>
      <c r="E550" s="2" t="s">
        <v>9088</v>
      </c>
      <c r="F550" s="2" t="s">
        <v>9089</v>
      </c>
      <c r="G550" s="2" t="s">
        <v>158</v>
      </c>
      <c r="H550" s="17">
        <v>30</v>
      </c>
      <c r="I550" s="31">
        <f t="shared" si="60"/>
        <v>30000</v>
      </c>
      <c r="J550" s="31">
        <f t="shared" si="61"/>
        <v>2100</v>
      </c>
      <c r="K550" s="44">
        <f t="shared" si="62"/>
        <v>5.7534246575342465</v>
      </c>
      <c r="L550" s="3">
        <f t="shared" si="63"/>
        <v>425.75342465753425</v>
      </c>
      <c r="M550" s="3">
        <f t="shared" si="64"/>
        <v>25.545205479452054</v>
      </c>
      <c r="N550" s="67">
        <f t="shared" si="65"/>
        <v>400.20821917808217</v>
      </c>
      <c r="O550" s="3"/>
      <c r="P550" s="70" t="s">
        <v>18612</v>
      </c>
      <c r="Q550" s="2" t="s">
        <v>103</v>
      </c>
      <c r="R550" s="2" t="s">
        <v>9090</v>
      </c>
      <c r="T550" t="s">
        <v>18666</v>
      </c>
      <c r="U550" t="s">
        <v>18652</v>
      </c>
      <c r="V550" s="104">
        <v>45857</v>
      </c>
      <c r="X550" s="97"/>
      <c r="Y550" s="75">
        <v>400.21</v>
      </c>
    </row>
    <row r="551" spans="1:25" x14ac:dyDescent="0.25">
      <c r="A551" s="76">
        <v>582</v>
      </c>
      <c r="B551" s="2" t="s">
        <v>16356</v>
      </c>
      <c r="C551" s="2" t="s">
        <v>16357</v>
      </c>
      <c r="D551" s="2" t="s">
        <v>16358</v>
      </c>
      <c r="E551" s="2" t="s">
        <v>16359</v>
      </c>
      <c r="F551" s="2" t="s">
        <v>16360</v>
      </c>
      <c r="G551" s="2" t="s">
        <v>543</v>
      </c>
      <c r="H551" s="17">
        <v>25</v>
      </c>
      <c r="I551" s="31">
        <f t="shared" si="60"/>
        <v>25000</v>
      </c>
      <c r="J551" s="31">
        <f t="shared" si="61"/>
        <v>1750.0000000000002</v>
      </c>
      <c r="K551" s="44">
        <f t="shared" si="62"/>
        <v>4.794520547945206</v>
      </c>
      <c r="L551" s="3">
        <f t="shared" si="63"/>
        <v>354.79452054794524</v>
      </c>
      <c r="M551" s="3">
        <f t="shared" si="64"/>
        <v>21.287671232876715</v>
      </c>
      <c r="N551" s="67">
        <f t="shared" si="65"/>
        <v>333.50684931506851</v>
      </c>
      <c r="O551" s="3"/>
      <c r="P551" s="70" t="s">
        <v>18612</v>
      </c>
      <c r="Q551" s="2" t="s">
        <v>103</v>
      </c>
      <c r="R551" s="2" t="s">
        <v>16361</v>
      </c>
      <c r="T551" t="s">
        <v>18666</v>
      </c>
      <c r="U551" t="s">
        <v>18652</v>
      </c>
      <c r="V551" s="104">
        <v>45857</v>
      </c>
      <c r="X551" s="97"/>
      <c r="Y551" s="75">
        <v>333.51</v>
      </c>
    </row>
    <row r="552" spans="1:25" x14ac:dyDescent="0.25">
      <c r="A552" s="76">
        <v>583</v>
      </c>
      <c r="B552" s="2" t="s">
        <v>5131</v>
      </c>
      <c r="C552" s="2" t="s">
        <v>5132</v>
      </c>
      <c r="D552" s="2" t="s">
        <v>5133</v>
      </c>
      <c r="E552" s="2" t="s">
        <v>5134</v>
      </c>
      <c r="F552" s="2" t="s">
        <v>5135</v>
      </c>
      <c r="G552" s="2" t="s">
        <v>296</v>
      </c>
      <c r="H552" s="17">
        <v>50</v>
      </c>
      <c r="I552" s="31">
        <f t="shared" si="60"/>
        <v>50000</v>
      </c>
      <c r="J552" s="31">
        <f t="shared" si="61"/>
        <v>3500.0000000000005</v>
      </c>
      <c r="K552" s="44">
        <f t="shared" si="62"/>
        <v>9.589041095890412</v>
      </c>
      <c r="L552" s="3">
        <f t="shared" si="63"/>
        <v>709.58904109589048</v>
      </c>
      <c r="M552" s="3">
        <f t="shared" si="64"/>
        <v>42.57534246575343</v>
      </c>
      <c r="N552" s="67">
        <f t="shared" si="65"/>
        <v>667.01369863013701</v>
      </c>
      <c r="O552" s="3"/>
      <c r="P552" s="70" t="s">
        <v>18612</v>
      </c>
      <c r="Q552" s="2" t="s">
        <v>103</v>
      </c>
      <c r="R552" s="2" t="s">
        <v>5136</v>
      </c>
      <c r="T552" t="s">
        <v>18666</v>
      </c>
      <c r="U552" t="s">
        <v>18652</v>
      </c>
      <c r="V552" s="104">
        <v>45857</v>
      </c>
      <c r="X552" s="97"/>
      <c r="Y552" s="75">
        <v>667.02</v>
      </c>
    </row>
    <row r="553" spans="1:25" x14ac:dyDescent="0.25">
      <c r="A553" s="76">
        <v>584</v>
      </c>
      <c r="B553" s="2" t="s">
        <v>13274</v>
      </c>
      <c r="C553" s="2" t="s">
        <v>13275</v>
      </c>
      <c r="D553" s="2" t="s">
        <v>13276</v>
      </c>
      <c r="E553" s="2" t="s">
        <v>13277</v>
      </c>
      <c r="F553" s="2" t="s">
        <v>13278</v>
      </c>
      <c r="G553" s="2" t="s">
        <v>412</v>
      </c>
      <c r="H553" s="17">
        <v>25</v>
      </c>
      <c r="I553" s="31">
        <f t="shared" si="60"/>
        <v>25000</v>
      </c>
      <c r="J553" s="31">
        <f t="shared" si="61"/>
        <v>1750.0000000000002</v>
      </c>
      <c r="K553" s="44">
        <f t="shared" si="62"/>
        <v>4.794520547945206</v>
      </c>
      <c r="L553" s="3">
        <f t="shared" si="63"/>
        <v>354.79452054794524</v>
      </c>
      <c r="M553" s="3">
        <f t="shared" si="64"/>
        <v>21.287671232876715</v>
      </c>
      <c r="N553" s="67">
        <f t="shared" si="65"/>
        <v>333.50684931506851</v>
      </c>
      <c r="O553" s="3"/>
      <c r="P553" s="70" t="s">
        <v>18612</v>
      </c>
      <c r="Q553" s="2" t="s">
        <v>103</v>
      </c>
      <c r="R553" s="2" t="s">
        <v>13279</v>
      </c>
      <c r="T553" t="s">
        <v>18666</v>
      </c>
      <c r="U553" t="s">
        <v>18652</v>
      </c>
      <c r="V553" s="104">
        <v>45857</v>
      </c>
      <c r="X553" s="97"/>
      <c r="Y553" s="75">
        <v>333.51</v>
      </c>
    </row>
    <row r="554" spans="1:25" x14ac:dyDescent="0.25">
      <c r="A554" s="76">
        <v>585</v>
      </c>
      <c r="B554" s="2" t="s">
        <v>2909</v>
      </c>
      <c r="C554" s="2" t="s">
        <v>2910</v>
      </c>
      <c r="D554" s="2" t="s">
        <v>2911</v>
      </c>
      <c r="E554" s="2" t="s">
        <v>2912</v>
      </c>
      <c r="F554" s="2" t="s">
        <v>2913</v>
      </c>
      <c r="G554" s="2" t="s">
        <v>412</v>
      </c>
      <c r="H554" s="17">
        <v>25</v>
      </c>
      <c r="I554" s="31">
        <f t="shared" si="60"/>
        <v>25000</v>
      </c>
      <c r="J554" s="31">
        <f t="shared" si="61"/>
        <v>1750.0000000000002</v>
      </c>
      <c r="K554" s="44">
        <f t="shared" si="62"/>
        <v>4.794520547945206</v>
      </c>
      <c r="L554" s="3">
        <f t="shared" si="63"/>
        <v>354.79452054794524</v>
      </c>
      <c r="M554" s="3">
        <f t="shared" si="64"/>
        <v>21.287671232876715</v>
      </c>
      <c r="N554" s="67">
        <f t="shared" si="65"/>
        <v>333.50684931506851</v>
      </c>
      <c r="O554" s="3"/>
      <c r="P554" s="70" t="s">
        <v>18612</v>
      </c>
      <c r="Q554" s="2" t="s">
        <v>103</v>
      </c>
      <c r="R554" s="2" t="s">
        <v>2914</v>
      </c>
      <c r="T554" t="s">
        <v>18666</v>
      </c>
      <c r="U554" t="s">
        <v>18652</v>
      </c>
      <c r="V554" s="104">
        <v>45857</v>
      </c>
      <c r="X554" s="97"/>
      <c r="Y554" s="75">
        <v>333.51</v>
      </c>
    </row>
    <row r="555" spans="1:25" x14ac:dyDescent="0.25">
      <c r="A555" s="76">
        <v>586</v>
      </c>
      <c r="B555" s="2" t="s">
        <v>17231</v>
      </c>
      <c r="C555" s="2" t="s">
        <v>17232</v>
      </c>
      <c r="D555" s="2" t="s">
        <v>17233</v>
      </c>
      <c r="E555" s="2" t="s">
        <v>17234</v>
      </c>
      <c r="F555" s="2" t="s">
        <v>17235</v>
      </c>
      <c r="G555" s="2" t="s">
        <v>254</v>
      </c>
      <c r="H555" s="17">
        <v>25</v>
      </c>
      <c r="I555" s="31">
        <f t="shared" si="60"/>
        <v>25000</v>
      </c>
      <c r="J555" s="31">
        <f t="shared" si="61"/>
        <v>1750.0000000000002</v>
      </c>
      <c r="K555" s="44">
        <f t="shared" si="62"/>
        <v>4.794520547945206</v>
      </c>
      <c r="L555" s="3">
        <f t="shared" si="63"/>
        <v>354.79452054794524</v>
      </c>
      <c r="M555" s="3">
        <f t="shared" si="64"/>
        <v>21.287671232876715</v>
      </c>
      <c r="N555" s="67">
        <f t="shared" si="65"/>
        <v>333.50684931506851</v>
      </c>
      <c r="O555" s="3"/>
      <c r="P555" s="70" t="s">
        <v>18612</v>
      </c>
      <c r="Q555" s="2" t="s">
        <v>103</v>
      </c>
      <c r="R555" s="2" t="s">
        <v>17236</v>
      </c>
      <c r="T555" t="s">
        <v>18666</v>
      </c>
      <c r="U555" t="s">
        <v>18652</v>
      </c>
      <c r="V555" s="104">
        <v>45857</v>
      </c>
      <c r="X555" s="97"/>
      <c r="Y555" s="75">
        <v>333.51</v>
      </c>
    </row>
    <row r="556" spans="1:25" x14ac:dyDescent="0.25">
      <c r="A556" s="76">
        <v>587</v>
      </c>
      <c r="B556" s="2" t="s">
        <v>9224</v>
      </c>
      <c r="C556" s="2" t="s">
        <v>9225</v>
      </c>
      <c r="D556" s="2" t="s">
        <v>9226</v>
      </c>
      <c r="E556" s="2" t="s">
        <v>9227</v>
      </c>
      <c r="F556" s="2" t="s">
        <v>9228</v>
      </c>
      <c r="G556" s="2" t="s">
        <v>158</v>
      </c>
      <c r="H556" s="17">
        <v>50</v>
      </c>
      <c r="I556" s="31">
        <f t="shared" si="60"/>
        <v>50000</v>
      </c>
      <c r="J556" s="31">
        <f t="shared" si="61"/>
        <v>3500.0000000000005</v>
      </c>
      <c r="K556" s="44">
        <f t="shared" si="62"/>
        <v>9.589041095890412</v>
      </c>
      <c r="L556" s="3">
        <f t="shared" si="63"/>
        <v>709.58904109589048</v>
      </c>
      <c r="M556" s="3">
        <f t="shared" si="64"/>
        <v>42.57534246575343</v>
      </c>
      <c r="N556" s="67">
        <f t="shared" si="65"/>
        <v>667.01369863013701</v>
      </c>
      <c r="O556" s="3"/>
      <c r="P556" s="70" t="s">
        <v>18612</v>
      </c>
      <c r="Q556" s="2" t="s">
        <v>103</v>
      </c>
      <c r="R556" s="2" t="s">
        <v>9229</v>
      </c>
      <c r="T556" t="s">
        <v>18666</v>
      </c>
      <c r="U556" t="s">
        <v>18652</v>
      </c>
      <c r="V556" s="104">
        <v>45857</v>
      </c>
      <c r="X556" s="97"/>
      <c r="Y556" s="75">
        <v>667.02</v>
      </c>
    </row>
    <row r="557" spans="1:25" x14ac:dyDescent="0.25">
      <c r="A557" s="76">
        <v>588</v>
      </c>
      <c r="B557" s="2" t="s">
        <v>6047</v>
      </c>
      <c r="C557" s="2" t="s">
        <v>6048</v>
      </c>
      <c r="D557" s="2" t="s">
        <v>6049</v>
      </c>
      <c r="E557" s="2" t="s">
        <v>6050</v>
      </c>
      <c r="F557" s="2" t="s">
        <v>6051</v>
      </c>
      <c r="G557" s="2" t="s">
        <v>1424</v>
      </c>
      <c r="H557" s="17">
        <v>30</v>
      </c>
      <c r="I557" s="31">
        <f t="shared" si="60"/>
        <v>30000</v>
      </c>
      <c r="J557" s="31">
        <f t="shared" si="61"/>
        <v>2100</v>
      </c>
      <c r="K557" s="44">
        <f t="shared" si="62"/>
        <v>5.7534246575342465</v>
      </c>
      <c r="L557" s="3">
        <f t="shared" si="63"/>
        <v>425.75342465753425</v>
      </c>
      <c r="M557" s="3">
        <f t="shared" si="64"/>
        <v>25.545205479452054</v>
      </c>
      <c r="N557" s="67">
        <f t="shared" si="65"/>
        <v>400.20821917808217</v>
      </c>
      <c r="O557" s="3"/>
      <c r="P557" s="70" t="s">
        <v>18612</v>
      </c>
      <c r="Q557" s="2" t="s">
        <v>103</v>
      </c>
      <c r="R557" s="2" t="s">
        <v>6052</v>
      </c>
      <c r="T557" t="s">
        <v>18666</v>
      </c>
      <c r="U557" t="s">
        <v>18652</v>
      </c>
      <c r="V557" s="104">
        <v>45857</v>
      </c>
      <c r="X557" s="97"/>
      <c r="Y557" s="75">
        <v>400.21</v>
      </c>
    </row>
    <row r="558" spans="1:25" x14ac:dyDescent="0.25">
      <c r="A558" s="76">
        <v>589</v>
      </c>
      <c r="B558" s="2" t="s">
        <v>14388</v>
      </c>
      <c r="C558" s="2" t="s">
        <v>14389</v>
      </c>
      <c r="D558" s="2" t="s">
        <v>14390</v>
      </c>
      <c r="E558" s="2" t="s">
        <v>14391</v>
      </c>
      <c r="F558" s="2" t="s">
        <v>14392</v>
      </c>
      <c r="G558" s="2" t="s">
        <v>643</v>
      </c>
      <c r="H558" s="17">
        <v>25</v>
      </c>
      <c r="I558" s="31">
        <f t="shared" si="60"/>
        <v>25000</v>
      </c>
      <c r="J558" s="31">
        <f t="shared" si="61"/>
        <v>1750.0000000000002</v>
      </c>
      <c r="K558" s="44">
        <f t="shared" si="62"/>
        <v>4.794520547945206</v>
      </c>
      <c r="L558" s="3">
        <f t="shared" si="63"/>
        <v>354.79452054794524</v>
      </c>
      <c r="M558" s="3">
        <f t="shared" si="64"/>
        <v>21.287671232876715</v>
      </c>
      <c r="N558" s="67">
        <f t="shared" si="65"/>
        <v>333.50684931506851</v>
      </c>
      <c r="O558" s="3"/>
      <c r="P558" s="70" t="s">
        <v>18612</v>
      </c>
      <c r="Q558" s="2" t="s">
        <v>103</v>
      </c>
      <c r="R558" s="2" t="s">
        <v>14393</v>
      </c>
      <c r="T558" t="s">
        <v>18666</v>
      </c>
      <c r="U558" t="s">
        <v>18652</v>
      </c>
      <c r="V558" s="104">
        <v>45857</v>
      </c>
      <c r="X558" s="97"/>
      <c r="Y558" s="75">
        <v>333.51</v>
      </c>
    </row>
    <row r="559" spans="1:25" x14ac:dyDescent="0.25">
      <c r="A559" s="76">
        <v>590</v>
      </c>
      <c r="B559" s="2" t="s">
        <v>9043</v>
      </c>
      <c r="C559" s="2" t="s">
        <v>9044</v>
      </c>
      <c r="D559" s="2" t="s">
        <v>9045</v>
      </c>
      <c r="E559" s="2" t="s">
        <v>9046</v>
      </c>
      <c r="F559" s="2" t="s">
        <v>9047</v>
      </c>
      <c r="G559" s="2" t="s">
        <v>247</v>
      </c>
      <c r="H559" s="17">
        <v>25</v>
      </c>
      <c r="I559" s="31">
        <f t="shared" si="60"/>
        <v>25000</v>
      </c>
      <c r="J559" s="31">
        <f t="shared" si="61"/>
        <v>1750.0000000000002</v>
      </c>
      <c r="K559" s="44">
        <f t="shared" si="62"/>
        <v>4.794520547945206</v>
      </c>
      <c r="L559" s="3">
        <f t="shared" si="63"/>
        <v>354.79452054794524</v>
      </c>
      <c r="M559" s="3">
        <f t="shared" si="64"/>
        <v>21.287671232876715</v>
      </c>
      <c r="N559" s="67">
        <f t="shared" si="65"/>
        <v>333.50684931506851</v>
      </c>
      <c r="O559" s="3"/>
      <c r="P559" s="70" t="s">
        <v>18612</v>
      </c>
      <c r="Q559" s="2" t="s">
        <v>103</v>
      </c>
      <c r="R559" s="2" t="s">
        <v>9048</v>
      </c>
      <c r="T559" t="s">
        <v>18666</v>
      </c>
      <c r="U559" t="s">
        <v>18652</v>
      </c>
      <c r="V559" s="104">
        <v>45857</v>
      </c>
      <c r="X559" s="97"/>
      <c r="Y559" s="75">
        <v>333.51</v>
      </c>
    </row>
    <row r="560" spans="1:25" x14ac:dyDescent="0.25">
      <c r="A560" s="76">
        <v>591</v>
      </c>
      <c r="B560" s="2" t="s">
        <v>4434</v>
      </c>
      <c r="C560" s="2" t="s">
        <v>4435</v>
      </c>
      <c r="D560" s="2" t="s">
        <v>4436</v>
      </c>
      <c r="E560" s="2" t="s">
        <v>4437</v>
      </c>
      <c r="F560" s="2" t="s">
        <v>4438</v>
      </c>
      <c r="G560" s="2" t="s">
        <v>2673</v>
      </c>
      <c r="H560" s="17">
        <v>25</v>
      </c>
      <c r="I560" s="31">
        <f t="shared" si="60"/>
        <v>25000</v>
      </c>
      <c r="J560" s="31">
        <f t="shared" si="61"/>
        <v>1750.0000000000002</v>
      </c>
      <c r="K560" s="44">
        <f t="shared" si="62"/>
        <v>4.794520547945206</v>
      </c>
      <c r="L560" s="3">
        <f t="shared" si="63"/>
        <v>354.79452054794524</v>
      </c>
      <c r="M560" s="3">
        <f t="shared" si="64"/>
        <v>21.287671232876715</v>
      </c>
      <c r="N560" s="67">
        <f t="shared" si="65"/>
        <v>333.50684931506851</v>
      </c>
      <c r="O560" s="3"/>
      <c r="P560" s="70" t="s">
        <v>18612</v>
      </c>
      <c r="Q560" s="2" t="s">
        <v>103</v>
      </c>
      <c r="R560" s="2" t="s">
        <v>4439</v>
      </c>
      <c r="T560" t="s">
        <v>18666</v>
      </c>
      <c r="U560" t="s">
        <v>18652</v>
      </c>
      <c r="V560" s="104">
        <v>45857</v>
      </c>
      <c r="X560" s="97"/>
      <c r="Y560" s="75">
        <v>333.51</v>
      </c>
    </row>
    <row r="561" spans="1:25" x14ac:dyDescent="0.25">
      <c r="A561" s="76">
        <v>592</v>
      </c>
      <c r="B561" s="2" t="s">
        <v>12057</v>
      </c>
      <c r="C561" s="2" t="s">
        <v>12058</v>
      </c>
      <c r="D561" s="2" t="s">
        <v>12059</v>
      </c>
      <c r="E561" s="2" t="s">
        <v>12060</v>
      </c>
      <c r="F561" s="2" t="s">
        <v>12061</v>
      </c>
      <c r="G561" s="2" t="s">
        <v>381</v>
      </c>
      <c r="H561" s="17">
        <v>25</v>
      </c>
      <c r="I561" s="31">
        <f t="shared" si="60"/>
        <v>25000</v>
      </c>
      <c r="J561" s="31">
        <f t="shared" si="61"/>
        <v>1750.0000000000002</v>
      </c>
      <c r="K561" s="44">
        <f t="shared" si="62"/>
        <v>4.794520547945206</v>
      </c>
      <c r="L561" s="3">
        <f t="shared" si="63"/>
        <v>354.79452054794524</v>
      </c>
      <c r="M561" s="3">
        <f t="shared" si="64"/>
        <v>21.287671232876715</v>
      </c>
      <c r="N561" s="67">
        <f t="shared" si="65"/>
        <v>333.50684931506851</v>
      </c>
      <c r="O561" s="3"/>
      <c r="P561" s="70" t="s">
        <v>18612</v>
      </c>
      <c r="Q561" s="2" t="s">
        <v>103</v>
      </c>
      <c r="R561" s="2" t="s">
        <v>12062</v>
      </c>
      <c r="T561" t="s">
        <v>18666</v>
      </c>
      <c r="U561" t="s">
        <v>18652</v>
      </c>
      <c r="V561" s="104">
        <v>45857</v>
      </c>
      <c r="X561" s="97"/>
      <c r="Y561" s="75">
        <v>333.51</v>
      </c>
    </row>
    <row r="562" spans="1:25" x14ac:dyDescent="0.25">
      <c r="A562" s="76">
        <v>593</v>
      </c>
      <c r="B562" s="2" t="s">
        <v>1377</v>
      </c>
      <c r="C562" s="2" t="s">
        <v>1378</v>
      </c>
      <c r="D562" s="2" t="s">
        <v>1379</v>
      </c>
      <c r="E562" s="2" t="s">
        <v>1380</v>
      </c>
      <c r="F562" s="2" t="s">
        <v>1381</v>
      </c>
      <c r="G562" s="2" t="s">
        <v>247</v>
      </c>
      <c r="H562" s="17">
        <v>50</v>
      </c>
      <c r="I562" s="31">
        <f t="shared" si="60"/>
        <v>50000</v>
      </c>
      <c r="J562" s="31">
        <f t="shared" si="61"/>
        <v>3500.0000000000005</v>
      </c>
      <c r="K562" s="44">
        <f t="shared" si="62"/>
        <v>9.589041095890412</v>
      </c>
      <c r="L562" s="3">
        <f t="shared" si="63"/>
        <v>709.58904109589048</v>
      </c>
      <c r="M562" s="3">
        <f t="shared" si="64"/>
        <v>42.57534246575343</v>
      </c>
      <c r="N562" s="67">
        <f t="shared" si="65"/>
        <v>667.01369863013701</v>
      </c>
      <c r="O562" s="3"/>
      <c r="P562" s="70" t="s">
        <v>18612</v>
      </c>
      <c r="Q562" s="2" t="s">
        <v>103</v>
      </c>
      <c r="R562" s="2" t="s">
        <v>1382</v>
      </c>
      <c r="T562" t="s">
        <v>18666</v>
      </c>
      <c r="U562" t="s">
        <v>18652</v>
      </c>
      <c r="V562" s="104">
        <v>45857</v>
      </c>
      <c r="X562" s="97"/>
      <c r="Y562" s="75">
        <v>667.02</v>
      </c>
    </row>
    <row r="563" spans="1:25" x14ac:dyDescent="0.25">
      <c r="A563" s="76">
        <v>594</v>
      </c>
      <c r="B563" s="2" t="s">
        <v>13396</v>
      </c>
      <c r="C563" s="2" t="s">
        <v>13397</v>
      </c>
      <c r="D563" s="2" t="s">
        <v>13398</v>
      </c>
      <c r="E563" s="2" t="s">
        <v>13399</v>
      </c>
      <c r="F563" s="2" t="s">
        <v>13400</v>
      </c>
      <c r="G563" s="2" t="s">
        <v>74</v>
      </c>
      <c r="H563" s="17">
        <v>25</v>
      </c>
      <c r="I563" s="31">
        <f t="shared" si="60"/>
        <v>25000</v>
      </c>
      <c r="J563" s="31">
        <f t="shared" si="61"/>
        <v>1750.0000000000002</v>
      </c>
      <c r="K563" s="44">
        <f t="shared" si="62"/>
        <v>4.794520547945206</v>
      </c>
      <c r="L563" s="3">
        <f t="shared" si="63"/>
        <v>354.79452054794524</v>
      </c>
      <c r="M563" s="3">
        <f t="shared" si="64"/>
        <v>21.287671232876715</v>
      </c>
      <c r="N563" s="67">
        <f t="shared" si="65"/>
        <v>333.50684931506851</v>
      </c>
      <c r="O563" s="3"/>
      <c r="P563" s="70" t="s">
        <v>18612</v>
      </c>
      <c r="Q563" s="2" t="s">
        <v>103</v>
      </c>
      <c r="R563" s="2" t="s">
        <v>13401</v>
      </c>
      <c r="T563" t="s">
        <v>18666</v>
      </c>
      <c r="U563" t="s">
        <v>18652</v>
      </c>
      <c r="V563" s="104">
        <v>45857</v>
      </c>
      <c r="X563" s="97"/>
      <c r="Y563" s="75">
        <v>333.51</v>
      </c>
    </row>
    <row r="564" spans="1:25" x14ac:dyDescent="0.25">
      <c r="A564" s="76">
        <v>595</v>
      </c>
      <c r="B564" s="2" t="s">
        <v>8224</v>
      </c>
      <c r="C564" s="2" t="s">
        <v>8225</v>
      </c>
      <c r="D564" s="2" t="s">
        <v>8226</v>
      </c>
      <c r="E564" s="2" t="s">
        <v>8227</v>
      </c>
      <c r="F564" s="2" t="s">
        <v>8228</v>
      </c>
      <c r="G564" s="2" t="s">
        <v>226</v>
      </c>
      <c r="H564" s="17">
        <v>100</v>
      </c>
      <c r="I564" s="31">
        <f t="shared" si="60"/>
        <v>100000</v>
      </c>
      <c r="J564" s="31">
        <f t="shared" si="61"/>
        <v>7000.0000000000009</v>
      </c>
      <c r="K564" s="44">
        <f t="shared" si="62"/>
        <v>19.178082191780824</v>
      </c>
      <c r="L564" s="3">
        <f t="shared" si="63"/>
        <v>1419.178082191781</v>
      </c>
      <c r="M564" s="3">
        <f t="shared" si="64"/>
        <v>85.150684931506859</v>
      </c>
      <c r="N564" s="67">
        <f t="shared" si="65"/>
        <v>1334.027397260274</v>
      </c>
      <c r="O564" s="3"/>
      <c r="P564" s="70" t="s">
        <v>18612</v>
      </c>
      <c r="Q564" s="2" t="s">
        <v>103</v>
      </c>
      <c r="R564" s="2" t="s">
        <v>8229</v>
      </c>
      <c r="T564" t="s">
        <v>18666</v>
      </c>
      <c r="U564" t="s">
        <v>18652</v>
      </c>
      <c r="V564" s="104">
        <v>45857</v>
      </c>
      <c r="X564" s="97"/>
      <c r="Y564" s="75">
        <v>1334.03</v>
      </c>
    </row>
    <row r="565" spans="1:25" x14ac:dyDescent="0.25">
      <c r="A565" s="76">
        <v>596</v>
      </c>
      <c r="B565" s="2" t="s">
        <v>9687</v>
      </c>
      <c r="C565" s="2" t="s">
        <v>9688</v>
      </c>
      <c r="D565" s="2" t="s">
        <v>9689</v>
      </c>
      <c r="E565" s="2" t="s">
        <v>9690</v>
      </c>
      <c r="F565" s="2" t="s">
        <v>9691</v>
      </c>
      <c r="G565" s="2" t="s">
        <v>835</v>
      </c>
      <c r="H565" s="17">
        <v>50</v>
      </c>
      <c r="I565" s="31">
        <f t="shared" si="60"/>
        <v>50000</v>
      </c>
      <c r="J565" s="31">
        <f t="shared" si="61"/>
        <v>3500.0000000000005</v>
      </c>
      <c r="K565" s="44">
        <f t="shared" si="62"/>
        <v>9.589041095890412</v>
      </c>
      <c r="L565" s="3">
        <f t="shared" si="63"/>
        <v>709.58904109589048</v>
      </c>
      <c r="M565" s="3">
        <f t="shared" si="64"/>
        <v>42.57534246575343</v>
      </c>
      <c r="N565" s="67">
        <f t="shared" si="65"/>
        <v>667.01369863013701</v>
      </c>
      <c r="O565" s="3"/>
      <c r="P565" s="70" t="s">
        <v>18612</v>
      </c>
      <c r="Q565" s="2" t="s">
        <v>103</v>
      </c>
      <c r="R565" s="2" t="s">
        <v>9692</v>
      </c>
      <c r="T565" t="s">
        <v>18666</v>
      </c>
      <c r="U565" t="s">
        <v>18652</v>
      </c>
      <c r="V565" s="104">
        <v>45857</v>
      </c>
      <c r="X565" s="97"/>
      <c r="Y565" s="75">
        <v>667.02</v>
      </c>
    </row>
    <row r="566" spans="1:25" x14ac:dyDescent="0.25">
      <c r="A566" s="76">
        <v>597</v>
      </c>
      <c r="B566" s="2" t="s">
        <v>17410</v>
      </c>
      <c r="C566" s="2" t="s">
        <v>17411</v>
      </c>
      <c r="D566" s="2" t="s">
        <v>17412</v>
      </c>
      <c r="E566" s="2" t="s">
        <v>17413</v>
      </c>
      <c r="F566" s="2" t="s">
        <v>17414</v>
      </c>
      <c r="G566" s="2" t="s">
        <v>233</v>
      </c>
      <c r="H566" s="17">
        <v>1000</v>
      </c>
      <c r="I566" s="31">
        <f t="shared" si="60"/>
        <v>1000000</v>
      </c>
      <c r="J566" s="31">
        <f t="shared" si="61"/>
        <v>70000</v>
      </c>
      <c r="K566" s="44">
        <f t="shared" si="62"/>
        <v>191.78082191780823</v>
      </c>
      <c r="L566" s="3">
        <f t="shared" si="63"/>
        <v>14191.780821917808</v>
      </c>
      <c r="M566" s="3">
        <f t="shared" si="64"/>
        <v>851.50684931506839</v>
      </c>
      <c r="N566" s="67">
        <f t="shared" si="65"/>
        <v>13340.273972602739</v>
      </c>
      <c r="O566" s="3"/>
      <c r="P566" s="70" t="s">
        <v>18612</v>
      </c>
      <c r="Q566" s="2" t="s">
        <v>103</v>
      </c>
      <c r="R566" s="2" t="s">
        <v>17415</v>
      </c>
      <c r="T566" t="s">
        <v>18666</v>
      </c>
      <c r="U566" t="s">
        <v>18652</v>
      </c>
      <c r="V566" s="104">
        <v>45857</v>
      </c>
      <c r="X566" s="97"/>
      <c r="Y566" s="75">
        <v>13340.28</v>
      </c>
    </row>
    <row r="567" spans="1:25" x14ac:dyDescent="0.25">
      <c r="A567" s="76">
        <v>598</v>
      </c>
      <c r="B567" s="2" t="s">
        <v>10834</v>
      </c>
      <c r="C567" s="2" t="s">
        <v>10835</v>
      </c>
      <c r="D567" s="2" t="s">
        <v>10836</v>
      </c>
      <c r="E567" s="2" t="s">
        <v>10837</v>
      </c>
      <c r="F567" s="2" t="s">
        <v>10838</v>
      </c>
      <c r="G567" s="2" t="s">
        <v>144</v>
      </c>
      <c r="H567" s="17">
        <v>25</v>
      </c>
      <c r="I567" s="31">
        <f t="shared" si="60"/>
        <v>25000</v>
      </c>
      <c r="J567" s="31">
        <f t="shared" si="61"/>
        <v>1750.0000000000002</v>
      </c>
      <c r="K567" s="44">
        <f t="shared" si="62"/>
        <v>4.794520547945206</v>
      </c>
      <c r="L567" s="3">
        <f t="shared" si="63"/>
        <v>354.79452054794524</v>
      </c>
      <c r="M567" s="3">
        <f t="shared" si="64"/>
        <v>21.287671232876715</v>
      </c>
      <c r="N567" s="67">
        <f t="shared" si="65"/>
        <v>333.50684931506851</v>
      </c>
      <c r="O567" s="3"/>
      <c r="P567" s="70" t="s">
        <v>18612</v>
      </c>
      <c r="Q567" s="2" t="s">
        <v>103</v>
      </c>
      <c r="R567" s="2" t="s">
        <v>10839</v>
      </c>
      <c r="T567" t="s">
        <v>18666</v>
      </c>
      <c r="U567" t="s">
        <v>18652</v>
      </c>
      <c r="V567" s="104">
        <v>45857</v>
      </c>
      <c r="X567" s="97"/>
      <c r="Y567" s="75">
        <v>333.51</v>
      </c>
    </row>
    <row r="568" spans="1:25" x14ac:dyDescent="0.25">
      <c r="A568" s="76">
        <v>599</v>
      </c>
      <c r="B568" s="2" t="s">
        <v>17908</v>
      </c>
      <c r="C568" s="2" t="s">
        <v>17909</v>
      </c>
      <c r="D568" s="2" t="s">
        <v>17910</v>
      </c>
      <c r="E568" s="2" t="s">
        <v>17911</v>
      </c>
      <c r="F568" s="2" t="s">
        <v>17912</v>
      </c>
      <c r="G568" s="2" t="s">
        <v>144</v>
      </c>
      <c r="H568" s="17">
        <v>25</v>
      </c>
      <c r="I568" s="31">
        <f t="shared" si="60"/>
        <v>25000</v>
      </c>
      <c r="J568" s="31">
        <f t="shared" si="61"/>
        <v>1750.0000000000002</v>
      </c>
      <c r="K568" s="44">
        <f t="shared" si="62"/>
        <v>4.794520547945206</v>
      </c>
      <c r="L568" s="3">
        <f t="shared" si="63"/>
        <v>354.79452054794524</v>
      </c>
      <c r="M568" s="3">
        <f t="shared" si="64"/>
        <v>21.287671232876715</v>
      </c>
      <c r="N568" s="67">
        <f t="shared" si="65"/>
        <v>333.50684931506851</v>
      </c>
      <c r="O568" s="3"/>
      <c r="P568" s="70" t="s">
        <v>18612</v>
      </c>
      <c r="Q568" s="2" t="s">
        <v>103</v>
      </c>
      <c r="R568" s="2" t="s">
        <v>17913</v>
      </c>
      <c r="T568" t="s">
        <v>18666</v>
      </c>
      <c r="U568" t="s">
        <v>18652</v>
      </c>
      <c r="V568" s="104">
        <v>45857</v>
      </c>
      <c r="X568" s="97"/>
      <c r="Y568" s="75">
        <v>333.51</v>
      </c>
    </row>
    <row r="569" spans="1:25" x14ac:dyDescent="0.25">
      <c r="A569" s="76">
        <v>600</v>
      </c>
      <c r="B569" s="2" t="s">
        <v>1365</v>
      </c>
      <c r="C569" s="2" t="s">
        <v>1366</v>
      </c>
      <c r="D569" s="2" t="s">
        <v>1367</v>
      </c>
      <c r="E569" s="2" t="s">
        <v>1368</v>
      </c>
      <c r="F569" s="2" t="s">
        <v>1369</v>
      </c>
      <c r="G569" s="2" t="s">
        <v>166</v>
      </c>
      <c r="H569" s="17">
        <v>30</v>
      </c>
      <c r="I569" s="31">
        <f t="shared" si="60"/>
        <v>30000</v>
      </c>
      <c r="J569" s="31">
        <f t="shared" si="61"/>
        <v>2100</v>
      </c>
      <c r="K569" s="44">
        <f t="shared" si="62"/>
        <v>5.7534246575342465</v>
      </c>
      <c r="L569" s="3">
        <f t="shared" si="63"/>
        <v>425.75342465753425</v>
      </c>
      <c r="M569" s="3">
        <f t="shared" si="64"/>
        <v>25.545205479452054</v>
      </c>
      <c r="N569" s="67">
        <f t="shared" si="65"/>
        <v>400.20821917808217</v>
      </c>
      <c r="O569" s="3"/>
      <c r="P569" s="70" t="s">
        <v>18612</v>
      </c>
      <c r="Q569" s="2" t="s">
        <v>103</v>
      </c>
      <c r="R569" s="2" t="s">
        <v>1370</v>
      </c>
      <c r="T569" t="s">
        <v>18666</v>
      </c>
      <c r="U569" t="s">
        <v>18652</v>
      </c>
      <c r="V569" s="104">
        <v>45857</v>
      </c>
      <c r="X569" s="97"/>
      <c r="Y569" s="75">
        <v>400.21</v>
      </c>
    </row>
    <row r="570" spans="1:25" x14ac:dyDescent="0.25">
      <c r="A570" s="76">
        <v>601</v>
      </c>
      <c r="B570" s="2" t="s">
        <v>1794</v>
      </c>
      <c r="C570" s="2" t="s">
        <v>1795</v>
      </c>
      <c r="D570" s="2" t="s">
        <v>1796</v>
      </c>
      <c r="E570" s="2" t="s">
        <v>1797</v>
      </c>
      <c r="F570" s="2" t="s">
        <v>1798</v>
      </c>
      <c r="G570" s="2" t="s">
        <v>31</v>
      </c>
      <c r="H570" s="17">
        <v>25</v>
      </c>
      <c r="I570" s="31">
        <f t="shared" si="60"/>
        <v>25000</v>
      </c>
      <c r="J570" s="31">
        <f t="shared" si="61"/>
        <v>1750.0000000000002</v>
      </c>
      <c r="K570" s="44">
        <f t="shared" si="62"/>
        <v>4.794520547945206</v>
      </c>
      <c r="L570" s="3">
        <f t="shared" si="63"/>
        <v>354.79452054794524</v>
      </c>
      <c r="M570" s="3">
        <f t="shared" si="64"/>
        <v>21.287671232876715</v>
      </c>
      <c r="N570" s="67">
        <f t="shared" si="65"/>
        <v>333.50684931506851</v>
      </c>
      <c r="O570" s="3"/>
      <c r="P570" s="70" t="s">
        <v>18612</v>
      </c>
      <c r="Q570" s="2" t="s">
        <v>103</v>
      </c>
      <c r="R570" s="2" t="s">
        <v>1799</v>
      </c>
      <c r="T570" t="s">
        <v>18666</v>
      </c>
      <c r="U570" t="s">
        <v>18652</v>
      </c>
      <c r="V570" s="104">
        <v>45857</v>
      </c>
      <c r="X570" s="97"/>
      <c r="Y570" s="75">
        <v>333.51</v>
      </c>
    </row>
    <row r="571" spans="1:25" x14ac:dyDescent="0.25">
      <c r="A571" s="76">
        <v>602</v>
      </c>
      <c r="B571" s="2" t="s">
        <v>8172</v>
      </c>
      <c r="C571" s="2" t="s">
        <v>8173</v>
      </c>
      <c r="D571" s="2" t="s">
        <v>8174</v>
      </c>
      <c r="E571" s="2" t="s">
        <v>8175</v>
      </c>
      <c r="F571" s="2" t="s">
        <v>8176</v>
      </c>
      <c r="G571" s="2" t="s">
        <v>158</v>
      </c>
      <c r="H571" s="17">
        <v>25</v>
      </c>
      <c r="I571" s="31">
        <f t="shared" si="60"/>
        <v>25000</v>
      </c>
      <c r="J571" s="31">
        <f t="shared" si="61"/>
        <v>1750.0000000000002</v>
      </c>
      <c r="K571" s="44">
        <f t="shared" si="62"/>
        <v>4.794520547945206</v>
      </c>
      <c r="L571" s="3">
        <f t="shared" si="63"/>
        <v>354.79452054794524</v>
      </c>
      <c r="M571" s="3">
        <f t="shared" si="64"/>
        <v>21.287671232876715</v>
      </c>
      <c r="N571" s="67">
        <f t="shared" si="65"/>
        <v>333.50684931506851</v>
      </c>
      <c r="O571" s="3"/>
      <c r="P571" s="70" t="s">
        <v>18612</v>
      </c>
      <c r="Q571" s="2" t="s">
        <v>103</v>
      </c>
      <c r="R571" s="2" t="s">
        <v>8177</v>
      </c>
      <c r="T571" t="s">
        <v>18666</v>
      </c>
      <c r="U571" t="s">
        <v>18652</v>
      </c>
      <c r="V571" s="104">
        <v>45857</v>
      </c>
      <c r="X571" s="97"/>
      <c r="Y571" s="75">
        <v>333.51</v>
      </c>
    </row>
    <row r="572" spans="1:25" x14ac:dyDescent="0.25">
      <c r="A572" s="76">
        <v>603</v>
      </c>
      <c r="B572" s="2" t="s">
        <v>15849</v>
      </c>
      <c r="C572" s="2" t="s">
        <v>15850</v>
      </c>
      <c r="D572" s="2" t="s">
        <v>15851</v>
      </c>
      <c r="E572" s="2" t="s">
        <v>15852</v>
      </c>
      <c r="F572" s="2" t="s">
        <v>15853</v>
      </c>
      <c r="G572" s="2" t="s">
        <v>268</v>
      </c>
      <c r="H572" s="17">
        <v>25</v>
      </c>
      <c r="I572" s="31">
        <f t="shared" si="60"/>
        <v>25000</v>
      </c>
      <c r="J572" s="31">
        <f t="shared" si="61"/>
        <v>1750.0000000000002</v>
      </c>
      <c r="K572" s="44">
        <f t="shared" si="62"/>
        <v>4.794520547945206</v>
      </c>
      <c r="L572" s="3">
        <f t="shared" si="63"/>
        <v>354.79452054794524</v>
      </c>
      <c r="M572" s="3">
        <f t="shared" si="64"/>
        <v>21.287671232876715</v>
      </c>
      <c r="N572" s="67">
        <f t="shared" si="65"/>
        <v>333.50684931506851</v>
      </c>
      <c r="O572" s="3"/>
      <c r="P572" s="70" t="s">
        <v>18612</v>
      </c>
      <c r="Q572" s="2" t="s">
        <v>103</v>
      </c>
      <c r="R572" s="2" t="s">
        <v>15854</v>
      </c>
      <c r="T572" t="s">
        <v>18666</v>
      </c>
      <c r="U572" t="s">
        <v>18652</v>
      </c>
      <c r="V572" s="104">
        <v>45857</v>
      </c>
      <c r="X572" s="97"/>
      <c r="Y572" s="75">
        <v>333.51</v>
      </c>
    </row>
    <row r="573" spans="1:25" x14ac:dyDescent="0.25">
      <c r="A573" s="76">
        <v>604</v>
      </c>
      <c r="B573" s="2" t="s">
        <v>7399</v>
      </c>
      <c r="C573" s="2" t="s">
        <v>7400</v>
      </c>
      <c r="D573" s="2" t="s">
        <v>7401</v>
      </c>
      <c r="E573" s="2" t="s">
        <v>7402</v>
      </c>
      <c r="F573" s="2" t="s">
        <v>7403</v>
      </c>
      <c r="G573" s="2" t="s">
        <v>599</v>
      </c>
      <c r="H573" s="17">
        <v>25</v>
      </c>
      <c r="I573" s="31">
        <f t="shared" si="60"/>
        <v>25000</v>
      </c>
      <c r="J573" s="31">
        <f t="shared" si="61"/>
        <v>1750.0000000000002</v>
      </c>
      <c r="K573" s="44">
        <f t="shared" si="62"/>
        <v>4.794520547945206</v>
      </c>
      <c r="L573" s="3">
        <f t="shared" si="63"/>
        <v>354.79452054794524</v>
      </c>
      <c r="M573" s="3">
        <f t="shared" si="64"/>
        <v>21.287671232876715</v>
      </c>
      <c r="N573" s="67">
        <f t="shared" si="65"/>
        <v>333.50684931506851</v>
      </c>
      <c r="O573" s="3"/>
      <c r="P573" s="70" t="s">
        <v>18612</v>
      </c>
      <c r="Q573" s="2" t="s">
        <v>103</v>
      </c>
      <c r="R573" s="2" t="s">
        <v>7404</v>
      </c>
      <c r="T573" t="s">
        <v>18666</v>
      </c>
      <c r="U573" t="s">
        <v>18652</v>
      </c>
      <c r="V573" s="104">
        <v>45857</v>
      </c>
      <c r="X573" s="97"/>
      <c r="Y573" s="75">
        <v>333.51</v>
      </c>
    </row>
    <row r="574" spans="1:25" x14ac:dyDescent="0.25">
      <c r="A574" s="76">
        <v>605</v>
      </c>
      <c r="B574" s="2" t="s">
        <v>3879</v>
      </c>
      <c r="C574" s="2" t="s">
        <v>3880</v>
      </c>
      <c r="D574" s="2" t="s">
        <v>3881</v>
      </c>
      <c r="E574" s="2" t="s">
        <v>3882</v>
      </c>
      <c r="F574" s="2" t="s">
        <v>3883</v>
      </c>
      <c r="G574" s="2" t="s">
        <v>158</v>
      </c>
      <c r="H574" s="17">
        <v>25</v>
      </c>
      <c r="I574" s="31">
        <f t="shared" si="60"/>
        <v>25000</v>
      </c>
      <c r="J574" s="31">
        <f t="shared" si="61"/>
        <v>1750.0000000000002</v>
      </c>
      <c r="K574" s="44">
        <f t="shared" si="62"/>
        <v>4.794520547945206</v>
      </c>
      <c r="L574" s="3">
        <f t="shared" si="63"/>
        <v>354.79452054794524</v>
      </c>
      <c r="M574" s="3">
        <f t="shared" si="64"/>
        <v>21.287671232876715</v>
      </c>
      <c r="N574" s="67">
        <f t="shared" si="65"/>
        <v>333.50684931506851</v>
      </c>
      <c r="O574" s="3"/>
      <c r="P574" s="70" t="s">
        <v>18612</v>
      </c>
      <c r="Q574" s="2" t="s">
        <v>103</v>
      </c>
      <c r="R574" s="2" t="s">
        <v>3884</v>
      </c>
      <c r="T574" t="s">
        <v>18666</v>
      </c>
      <c r="U574" t="s">
        <v>18652</v>
      </c>
      <c r="V574" s="104">
        <v>45857</v>
      </c>
      <c r="X574" s="97"/>
      <c r="Y574" s="75">
        <v>333.51</v>
      </c>
    </row>
    <row r="575" spans="1:25" x14ac:dyDescent="0.25">
      <c r="A575" s="76">
        <v>606</v>
      </c>
      <c r="B575" s="2" t="s">
        <v>7779</v>
      </c>
      <c r="C575" s="2" t="s">
        <v>7780</v>
      </c>
      <c r="D575" s="2" t="s">
        <v>7781</v>
      </c>
      <c r="E575" s="2" t="s">
        <v>7782</v>
      </c>
      <c r="F575" s="2" t="s">
        <v>7783</v>
      </c>
      <c r="G575" s="2" t="s">
        <v>275</v>
      </c>
      <c r="H575" s="17">
        <v>50</v>
      </c>
      <c r="I575" s="31">
        <f t="shared" si="60"/>
        <v>50000</v>
      </c>
      <c r="J575" s="31">
        <f t="shared" si="61"/>
        <v>3500.0000000000005</v>
      </c>
      <c r="K575" s="44">
        <f t="shared" si="62"/>
        <v>9.589041095890412</v>
      </c>
      <c r="L575" s="3">
        <f t="shared" si="63"/>
        <v>709.58904109589048</v>
      </c>
      <c r="M575" s="3">
        <f t="shared" si="64"/>
        <v>42.57534246575343</v>
      </c>
      <c r="N575" s="67">
        <f t="shared" si="65"/>
        <v>667.01369863013701</v>
      </c>
      <c r="O575" s="3"/>
      <c r="P575" s="70" t="s">
        <v>18612</v>
      </c>
      <c r="Q575" s="2" t="s">
        <v>103</v>
      </c>
      <c r="R575" s="2" t="s">
        <v>7784</v>
      </c>
      <c r="T575" t="s">
        <v>18666</v>
      </c>
      <c r="U575" t="s">
        <v>18652</v>
      </c>
      <c r="V575" s="104">
        <v>45857</v>
      </c>
      <c r="X575" s="97"/>
      <c r="Y575" s="75">
        <v>667.02</v>
      </c>
    </row>
    <row r="576" spans="1:25" x14ac:dyDescent="0.25">
      <c r="A576" s="76">
        <v>607</v>
      </c>
      <c r="B576" s="2" t="s">
        <v>15762</v>
      </c>
      <c r="C576" s="2" t="s">
        <v>15763</v>
      </c>
      <c r="D576" s="2" t="s">
        <v>15764</v>
      </c>
      <c r="E576" s="2" t="s">
        <v>15765</v>
      </c>
      <c r="F576" s="2" t="s">
        <v>15766</v>
      </c>
      <c r="G576" s="2" t="s">
        <v>166</v>
      </c>
      <c r="H576" s="17">
        <v>25</v>
      </c>
      <c r="I576" s="31">
        <f t="shared" si="60"/>
        <v>25000</v>
      </c>
      <c r="J576" s="31">
        <f t="shared" si="61"/>
        <v>1750.0000000000002</v>
      </c>
      <c r="K576" s="44">
        <f t="shared" si="62"/>
        <v>4.794520547945206</v>
      </c>
      <c r="L576" s="3">
        <f t="shared" si="63"/>
        <v>354.79452054794524</v>
      </c>
      <c r="M576" s="3">
        <f t="shared" si="64"/>
        <v>21.287671232876715</v>
      </c>
      <c r="N576" s="67">
        <f t="shared" si="65"/>
        <v>333.50684931506851</v>
      </c>
      <c r="O576" s="3"/>
      <c r="P576" s="70" t="s">
        <v>18612</v>
      </c>
      <c r="Q576" s="2" t="s">
        <v>103</v>
      </c>
      <c r="R576" s="2" t="s">
        <v>15767</v>
      </c>
      <c r="T576" t="s">
        <v>18666</v>
      </c>
      <c r="U576" t="s">
        <v>18652</v>
      </c>
      <c r="V576" s="104">
        <v>45857</v>
      </c>
      <c r="X576" s="97"/>
      <c r="Y576" s="75">
        <v>333.51</v>
      </c>
    </row>
    <row r="577" spans="1:25" x14ac:dyDescent="0.25">
      <c r="A577" s="76">
        <v>608</v>
      </c>
      <c r="B577" s="2" t="s">
        <v>18276</v>
      </c>
      <c r="C577" s="2" t="s">
        <v>18253</v>
      </c>
      <c r="D577" s="2" t="s">
        <v>10972</v>
      </c>
      <c r="E577" s="2" t="s">
        <v>18192</v>
      </c>
      <c r="F577" s="2" t="s">
        <v>18277</v>
      </c>
      <c r="G577" s="2" t="s">
        <v>524</v>
      </c>
      <c r="H577" s="17">
        <v>25</v>
      </c>
      <c r="I577" s="31">
        <f t="shared" si="60"/>
        <v>25000</v>
      </c>
      <c r="J577" s="31">
        <f t="shared" si="61"/>
        <v>1750.0000000000002</v>
      </c>
      <c r="K577" s="44">
        <f t="shared" si="62"/>
        <v>4.794520547945206</v>
      </c>
      <c r="L577" s="3">
        <f t="shared" si="63"/>
        <v>354.79452054794524</v>
      </c>
      <c r="M577" s="3">
        <f t="shared" si="64"/>
        <v>21.287671232876715</v>
      </c>
      <c r="N577" s="67">
        <f t="shared" si="65"/>
        <v>333.50684931506851</v>
      </c>
      <c r="O577" s="3"/>
      <c r="P577" s="70" t="s">
        <v>18612</v>
      </c>
      <c r="Q577" s="2" t="s">
        <v>103</v>
      </c>
      <c r="R577" s="2" t="s">
        <v>18278</v>
      </c>
      <c r="T577" t="s">
        <v>18666</v>
      </c>
      <c r="U577" t="s">
        <v>18652</v>
      </c>
      <c r="V577" s="104">
        <v>45857</v>
      </c>
      <c r="X577" s="97"/>
      <c r="Y577" s="75">
        <v>333.51</v>
      </c>
    </row>
    <row r="578" spans="1:25" x14ac:dyDescent="0.25">
      <c r="A578" s="76">
        <v>609</v>
      </c>
      <c r="B578" s="2" t="s">
        <v>11725</v>
      </c>
      <c r="C578" s="2" t="s">
        <v>11726</v>
      </c>
      <c r="D578" s="2" t="s">
        <v>11727</v>
      </c>
      <c r="E578" s="2" t="s">
        <v>11728</v>
      </c>
      <c r="F578" s="2" t="s">
        <v>11729</v>
      </c>
      <c r="G578" s="2" t="s">
        <v>799</v>
      </c>
      <c r="H578" s="17">
        <v>25</v>
      </c>
      <c r="I578" s="31">
        <f t="shared" si="60"/>
        <v>25000</v>
      </c>
      <c r="J578" s="31">
        <f t="shared" si="61"/>
        <v>1750.0000000000002</v>
      </c>
      <c r="K578" s="44">
        <f t="shared" si="62"/>
        <v>4.794520547945206</v>
      </c>
      <c r="L578" s="3">
        <f t="shared" si="63"/>
        <v>354.79452054794524</v>
      </c>
      <c r="M578" s="3">
        <f t="shared" si="64"/>
        <v>21.287671232876715</v>
      </c>
      <c r="N578" s="67">
        <f t="shared" si="65"/>
        <v>333.50684931506851</v>
      </c>
      <c r="O578" s="3"/>
      <c r="P578" s="70" t="s">
        <v>18612</v>
      </c>
      <c r="Q578" s="2" t="s">
        <v>103</v>
      </c>
      <c r="R578" s="2" t="s">
        <v>11730</v>
      </c>
      <c r="T578" t="s">
        <v>18666</v>
      </c>
      <c r="U578" t="s">
        <v>18652</v>
      </c>
      <c r="V578" s="104">
        <v>45857</v>
      </c>
      <c r="X578" s="97"/>
      <c r="Y578" s="75">
        <v>333.51</v>
      </c>
    </row>
    <row r="579" spans="1:25" x14ac:dyDescent="0.25">
      <c r="A579" s="76">
        <v>610</v>
      </c>
      <c r="B579" s="2" t="s">
        <v>6478</v>
      </c>
      <c r="C579" s="2" t="s">
        <v>6479</v>
      </c>
      <c r="D579" s="2" t="s">
        <v>6480</v>
      </c>
      <c r="E579" s="2" t="s">
        <v>6481</v>
      </c>
      <c r="F579" s="2" t="s">
        <v>6482</v>
      </c>
      <c r="G579" s="2" t="s">
        <v>1315</v>
      </c>
      <c r="H579" s="17">
        <v>25</v>
      </c>
      <c r="I579" s="31">
        <f t="shared" si="60"/>
        <v>25000</v>
      </c>
      <c r="J579" s="31">
        <f t="shared" si="61"/>
        <v>1750.0000000000002</v>
      </c>
      <c r="K579" s="44">
        <f t="shared" si="62"/>
        <v>4.794520547945206</v>
      </c>
      <c r="L579" s="3">
        <f t="shared" si="63"/>
        <v>354.79452054794524</v>
      </c>
      <c r="M579" s="3">
        <f t="shared" si="64"/>
        <v>21.287671232876715</v>
      </c>
      <c r="N579" s="67">
        <f t="shared" si="65"/>
        <v>333.50684931506851</v>
      </c>
      <c r="O579" s="3"/>
      <c r="P579" s="70" t="s">
        <v>18612</v>
      </c>
      <c r="Q579" s="2" t="s">
        <v>103</v>
      </c>
      <c r="R579" s="2" t="s">
        <v>6483</v>
      </c>
      <c r="T579" t="s">
        <v>18666</v>
      </c>
      <c r="U579" t="s">
        <v>18652</v>
      </c>
      <c r="V579" s="104">
        <v>45857</v>
      </c>
      <c r="X579" s="97"/>
      <c r="Y579" s="75">
        <v>333.51</v>
      </c>
    </row>
    <row r="580" spans="1:25" x14ac:dyDescent="0.25">
      <c r="A580" s="76">
        <v>611</v>
      </c>
      <c r="B580" s="2" t="s">
        <v>13059</v>
      </c>
      <c r="C580" s="2" t="s">
        <v>13060</v>
      </c>
      <c r="D580" s="2" t="s">
        <v>13061</v>
      </c>
      <c r="E580" s="2" t="s">
        <v>13062</v>
      </c>
      <c r="F580" s="2" t="s">
        <v>13063</v>
      </c>
      <c r="G580" s="2" t="s">
        <v>524</v>
      </c>
      <c r="H580" s="17">
        <v>25</v>
      </c>
      <c r="I580" s="31">
        <f t="shared" si="60"/>
        <v>25000</v>
      </c>
      <c r="J580" s="31">
        <f t="shared" si="61"/>
        <v>1750.0000000000002</v>
      </c>
      <c r="K580" s="44">
        <f t="shared" si="62"/>
        <v>4.794520547945206</v>
      </c>
      <c r="L580" s="3">
        <f t="shared" si="63"/>
        <v>354.79452054794524</v>
      </c>
      <c r="M580" s="3">
        <f t="shared" si="64"/>
        <v>21.287671232876715</v>
      </c>
      <c r="N580" s="67">
        <f t="shared" si="65"/>
        <v>333.50684931506851</v>
      </c>
      <c r="O580" s="3"/>
      <c r="P580" s="70" t="s">
        <v>18612</v>
      </c>
      <c r="Q580" s="2" t="s">
        <v>103</v>
      </c>
      <c r="R580" s="2" t="s">
        <v>13064</v>
      </c>
      <c r="T580" t="s">
        <v>18666</v>
      </c>
      <c r="U580" t="s">
        <v>18652</v>
      </c>
      <c r="V580" s="104">
        <v>45857</v>
      </c>
      <c r="X580" s="97"/>
      <c r="Y580" s="75">
        <v>333.51</v>
      </c>
    </row>
    <row r="581" spans="1:25" x14ac:dyDescent="0.25">
      <c r="A581" s="76">
        <v>612</v>
      </c>
      <c r="B581" s="2" t="s">
        <v>14205</v>
      </c>
      <c r="C581" s="2" t="s">
        <v>14206</v>
      </c>
      <c r="D581" s="2" t="s">
        <v>14207</v>
      </c>
      <c r="E581" s="2" t="s">
        <v>14208</v>
      </c>
      <c r="F581" s="2" t="s">
        <v>14209</v>
      </c>
      <c r="G581" s="2" t="s">
        <v>296</v>
      </c>
      <c r="H581" s="17">
        <v>25</v>
      </c>
      <c r="I581" s="31">
        <f t="shared" si="60"/>
        <v>25000</v>
      </c>
      <c r="J581" s="31">
        <f t="shared" si="61"/>
        <v>1750.0000000000002</v>
      </c>
      <c r="K581" s="44">
        <f t="shared" si="62"/>
        <v>4.794520547945206</v>
      </c>
      <c r="L581" s="3">
        <f t="shared" si="63"/>
        <v>354.79452054794524</v>
      </c>
      <c r="M581" s="3">
        <f t="shared" si="64"/>
        <v>21.287671232876715</v>
      </c>
      <c r="N581" s="67">
        <f t="shared" si="65"/>
        <v>333.50684931506851</v>
      </c>
      <c r="O581" s="3"/>
      <c r="P581" s="70" t="s">
        <v>18612</v>
      </c>
      <c r="Q581" s="2" t="s">
        <v>103</v>
      </c>
      <c r="R581" s="2" t="s">
        <v>14210</v>
      </c>
      <c r="T581" t="s">
        <v>18666</v>
      </c>
      <c r="U581" t="s">
        <v>18652</v>
      </c>
      <c r="V581" s="104">
        <v>45857</v>
      </c>
      <c r="X581" s="97"/>
      <c r="Y581" s="75">
        <v>333.51</v>
      </c>
    </row>
    <row r="582" spans="1:25" x14ac:dyDescent="0.25">
      <c r="A582" s="76">
        <v>613</v>
      </c>
      <c r="B582" s="2" t="s">
        <v>15843</v>
      </c>
      <c r="C582" s="2" t="s">
        <v>15844</v>
      </c>
      <c r="D582" s="2" t="s">
        <v>15845</v>
      </c>
      <c r="E582" s="2" t="s">
        <v>15846</v>
      </c>
      <c r="F582" s="2" t="s">
        <v>15847</v>
      </c>
      <c r="G582" s="2" t="s">
        <v>151</v>
      </c>
      <c r="H582" s="17">
        <v>25</v>
      </c>
      <c r="I582" s="31">
        <f t="shared" si="60"/>
        <v>25000</v>
      </c>
      <c r="J582" s="31">
        <f t="shared" si="61"/>
        <v>1750.0000000000002</v>
      </c>
      <c r="K582" s="44">
        <f t="shared" si="62"/>
        <v>4.794520547945206</v>
      </c>
      <c r="L582" s="3">
        <f t="shared" si="63"/>
        <v>354.79452054794524</v>
      </c>
      <c r="M582" s="3">
        <f t="shared" si="64"/>
        <v>21.287671232876715</v>
      </c>
      <c r="N582" s="67">
        <f t="shared" si="65"/>
        <v>333.50684931506851</v>
      </c>
      <c r="O582" s="3"/>
      <c r="P582" s="70" t="s">
        <v>18612</v>
      </c>
      <c r="Q582" s="2" t="s">
        <v>103</v>
      </c>
      <c r="R582" s="2" t="s">
        <v>15848</v>
      </c>
      <c r="T582" t="s">
        <v>18666</v>
      </c>
      <c r="U582" t="s">
        <v>18652</v>
      </c>
      <c r="V582" s="104">
        <v>45857</v>
      </c>
      <c r="X582" s="97"/>
      <c r="Y582" s="75">
        <v>333.51</v>
      </c>
    </row>
    <row r="583" spans="1:25" x14ac:dyDescent="0.25">
      <c r="A583" s="76">
        <v>614</v>
      </c>
      <c r="B583" s="2" t="s">
        <v>16605</v>
      </c>
      <c r="C583" s="2" t="s">
        <v>16606</v>
      </c>
      <c r="D583" s="2" t="s">
        <v>16607</v>
      </c>
      <c r="E583" s="2" t="s">
        <v>16608</v>
      </c>
      <c r="F583" s="2" t="s">
        <v>16609</v>
      </c>
      <c r="G583" s="2" t="s">
        <v>268</v>
      </c>
      <c r="H583" s="17">
        <v>25</v>
      </c>
      <c r="I583" s="31">
        <f t="shared" si="60"/>
        <v>25000</v>
      </c>
      <c r="J583" s="31">
        <f t="shared" si="61"/>
        <v>1750.0000000000002</v>
      </c>
      <c r="K583" s="44">
        <f t="shared" si="62"/>
        <v>4.794520547945206</v>
      </c>
      <c r="L583" s="3">
        <f t="shared" si="63"/>
        <v>354.79452054794524</v>
      </c>
      <c r="M583" s="3">
        <f t="shared" si="64"/>
        <v>21.287671232876715</v>
      </c>
      <c r="N583" s="67">
        <f t="shared" si="65"/>
        <v>333.50684931506851</v>
      </c>
      <c r="O583" s="3"/>
      <c r="P583" s="70" t="s">
        <v>18612</v>
      </c>
      <c r="Q583" s="2" t="s">
        <v>103</v>
      </c>
      <c r="R583" s="2" t="s">
        <v>16610</v>
      </c>
      <c r="T583" t="s">
        <v>18666</v>
      </c>
      <c r="U583" t="s">
        <v>18652</v>
      </c>
      <c r="V583" s="104">
        <v>45857</v>
      </c>
      <c r="X583" s="97"/>
      <c r="Y583" s="75">
        <v>333.51</v>
      </c>
    </row>
    <row r="584" spans="1:25" x14ac:dyDescent="0.25">
      <c r="A584" s="76">
        <v>615</v>
      </c>
      <c r="B584" s="2" t="s">
        <v>3461</v>
      </c>
      <c r="C584" s="2" t="s">
        <v>3445</v>
      </c>
      <c r="D584" s="2" t="s">
        <v>3446</v>
      </c>
      <c r="E584" s="2" t="s">
        <v>3462</v>
      </c>
      <c r="F584" s="2" t="s">
        <v>3463</v>
      </c>
      <c r="G584" s="2" t="s">
        <v>31</v>
      </c>
      <c r="H584" s="17">
        <v>25</v>
      </c>
      <c r="I584" s="31">
        <f t="shared" si="60"/>
        <v>25000</v>
      </c>
      <c r="J584" s="31">
        <f t="shared" si="61"/>
        <v>1750.0000000000002</v>
      </c>
      <c r="K584" s="44">
        <f t="shared" si="62"/>
        <v>4.794520547945206</v>
      </c>
      <c r="L584" s="3">
        <f t="shared" si="63"/>
        <v>354.79452054794524</v>
      </c>
      <c r="M584" s="3">
        <f t="shared" si="64"/>
        <v>21.287671232876715</v>
      </c>
      <c r="N584" s="67">
        <f t="shared" si="65"/>
        <v>333.50684931506851</v>
      </c>
      <c r="O584" s="3"/>
      <c r="P584" s="70" t="s">
        <v>18612</v>
      </c>
      <c r="Q584" s="2" t="s">
        <v>103</v>
      </c>
      <c r="R584" s="2" t="s">
        <v>3464</v>
      </c>
      <c r="T584" t="s">
        <v>18666</v>
      </c>
      <c r="U584" t="s">
        <v>18652</v>
      </c>
      <c r="V584" s="104">
        <v>45857</v>
      </c>
      <c r="X584" s="97"/>
      <c r="Y584" s="75">
        <v>333.51</v>
      </c>
    </row>
    <row r="585" spans="1:25" x14ac:dyDescent="0.25">
      <c r="A585" s="76">
        <v>616</v>
      </c>
      <c r="B585" s="2" t="s">
        <v>11436</v>
      </c>
      <c r="C585" s="2" t="s">
        <v>11437</v>
      </c>
      <c r="D585" s="2" t="s">
        <v>11438</v>
      </c>
      <c r="E585" s="2" t="s">
        <v>11439</v>
      </c>
      <c r="F585" s="2" t="s">
        <v>11440</v>
      </c>
      <c r="G585" s="2" t="s">
        <v>510</v>
      </c>
      <c r="H585" s="17">
        <v>25</v>
      </c>
      <c r="I585" s="31">
        <f t="shared" si="60"/>
        <v>25000</v>
      </c>
      <c r="J585" s="31">
        <f t="shared" si="61"/>
        <v>1750.0000000000002</v>
      </c>
      <c r="K585" s="44">
        <f t="shared" si="62"/>
        <v>4.794520547945206</v>
      </c>
      <c r="L585" s="3">
        <f t="shared" si="63"/>
        <v>354.79452054794524</v>
      </c>
      <c r="M585" s="3">
        <f t="shared" si="64"/>
        <v>21.287671232876715</v>
      </c>
      <c r="N585" s="67">
        <f t="shared" si="65"/>
        <v>333.50684931506851</v>
      </c>
      <c r="O585" s="3"/>
      <c r="P585" s="70" t="s">
        <v>18612</v>
      </c>
      <c r="Q585" s="2" t="s">
        <v>103</v>
      </c>
      <c r="R585" s="2" t="s">
        <v>11441</v>
      </c>
      <c r="T585" t="s">
        <v>18666</v>
      </c>
      <c r="U585" t="s">
        <v>18652</v>
      </c>
      <c r="V585" s="104">
        <v>45857</v>
      </c>
      <c r="X585" s="97"/>
      <c r="Y585" s="75">
        <v>333.51</v>
      </c>
    </row>
    <row r="586" spans="1:25" x14ac:dyDescent="0.25">
      <c r="A586" s="76">
        <v>617</v>
      </c>
      <c r="B586" s="2" t="s">
        <v>6660</v>
      </c>
      <c r="C586" s="2" t="s">
        <v>6661</v>
      </c>
      <c r="D586" s="2" t="s">
        <v>6662</v>
      </c>
      <c r="E586" s="2" t="s">
        <v>6663</v>
      </c>
      <c r="F586" s="2" t="s">
        <v>6664</v>
      </c>
      <c r="G586" s="2" t="s">
        <v>5013</v>
      </c>
      <c r="H586" s="17">
        <v>50</v>
      </c>
      <c r="I586" s="31">
        <f t="shared" si="60"/>
        <v>50000</v>
      </c>
      <c r="J586" s="31">
        <f t="shared" si="61"/>
        <v>3500.0000000000005</v>
      </c>
      <c r="K586" s="44">
        <f t="shared" si="62"/>
        <v>9.589041095890412</v>
      </c>
      <c r="L586" s="3">
        <f t="shared" si="63"/>
        <v>709.58904109589048</v>
      </c>
      <c r="M586" s="3">
        <f t="shared" si="64"/>
        <v>42.57534246575343</v>
      </c>
      <c r="N586" s="67">
        <f t="shared" si="65"/>
        <v>667.01369863013701</v>
      </c>
      <c r="O586" s="3"/>
      <c r="P586" s="70" t="s">
        <v>18612</v>
      </c>
      <c r="Q586" s="2" t="s">
        <v>103</v>
      </c>
      <c r="R586" s="2" t="s">
        <v>6665</v>
      </c>
      <c r="T586" t="s">
        <v>18666</v>
      </c>
      <c r="U586" t="s">
        <v>18652</v>
      </c>
      <c r="V586" s="104">
        <v>45857</v>
      </c>
      <c r="X586" s="97"/>
      <c r="Y586" s="75">
        <v>667.02</v>
      </c>
    </row>
    <row r="587" spans="1:25" x14ac:dyDescent="0.25">
      <c r="A587" s="76">
        <v>618</v>
      </c>
      <c r="B587" s="2" t="s">
        <v>13340</v>
      </c>
      <c r="C587" s="2" t="s">
        <v>13341</v>
      </c>
      <c r="D587" s="2" t="s">
        <v>13342</v>
      </c>
      <c r="E587" s="2" t="s">
        <v>13343</v>
      </c>
      <c r="F587" s="2" t="s">
        <v>13344</v>
      </c>
      <c r="G587" s="2" t="s">
        <v>876</v>
      </c>
      <c r="H587" s="17">
        <v>25</v>
      </c>
      <c r="I587" s="31">
        <f t="shared" si="60"/>
        <v>25000</v>
      </c>
      <c r="J587" s="31">
        <f t="shared" si="61"/>
        <v>1750.0000000000002</v>
      </c>
      <c r="K587" s="44">
        <f t="shared" si="62"/>
        <v>4.794520547945206</v>
      </c>
      <c r="L587" s="3">
        <f t="shared" si="63"/>
        <v>354.79452054794524</v>
      </c>
      <c r="M587" s="3">
        <f t="shared" si="64"/>
        <v>21.287671232876715</v>
      </c>
      <c r="N587" s="67">
        <f t="shared" si="65"/>
        <v>333.50684931506851</v>
      </c>
      <c r="O587" s="3"/>
      <c r="P587" s="70" t="s">
        <v>18612</v>
      </c>
      <c r="Q587" s="2" t="s">
        <v>103</v>
      </c>
      <c r="R587" s="2" t="s">
        <v>13345</v>
      </c>
      <c r="T587" t="s">
        <v>18666</v>
      </c>
      <c r="U587" t="s">
        <v>18652</v>
      </c>
      <c r="V587" s="104">
        <v>45857</v>
      </c>
      <c r="X587" s="97"/>
      <c r="Y587" s="75">
        <v>333.51</v>
      </c>
    </row>
    <row r="588" spans="1:25" x14ac:dyDescent="0.25">
      <c r="A588" s="76">
        <v>619</v>
      </c>
      <c r="B588" s="2" t="s">
        <v>1220</v>
      </c>
      <c r="C588" s="2" t="s">
        <v>1221</v>
      </c>
      <c r="D588" s="2" t="s">
        <v>1222</v>
      </c>
      <c r="E588" s="2" t="s">
        <v>1223</v>
      </c>
      <c r="F588" s="2" t="s">
        <v>1224</v>
      </c>
      <c r="G588" s="2" t="s">
        <v>31</v>
      </c>
      <c r="H588" s="17">
        <v>50</v>
      </c>
      <c r="I588" s="31">
        <f t="shared" si="60"/>
        <v>50000</v>
      </c>
      <c r="J588" s="31">
        <f t="shared" si="61"/>
        <v>3500.0000000000005</v>
      </c>
      <c r="K588" s="44">
        <f t="shared" si="62"/>
        <v>9.589041095890412</v>
      </c>
      <c r="L588" s="3">
        <f t="shared" si="63"/>
        <v>709.58904109589048</v>
      </c>
      <c r="M588" s="3">
        <f t="shared" si="64"/>
        <v>42.57534246575343</v>
      </c>
      <c r="N588" s="67">
        <f t="shared" si="65"/>
        <v>667.01369863013701</v>
      </c>
      <c r="O588" s="3"/>
      <c r="P588" s="70" t="s">
        <v>18612</v>
      </c>
      <c r="Q588" s="2" t="s">
        <v>103</v>
      </c>
      <c r="R588" s="2" t="s">
        <v>1225</v>
      </c>
      <c r="T588" t="s">
        <v>18666</v>
      </c>
      <c r="U588" t="s">
        <v>18652</v>
      </c>
      <c r="V588" s="104">
        <v>45857</v>
      </c>
      <c r="X588" s="97"/>
      <c r="Y588" s="75">
        <v>667.02</v>
      </c>
    </row>
    <row r="589" spans="1:25" x14ac:dyDescent="0.25">
      <c r="A589" s="76">
        <v>620</v>
      </c>
      <c r="B589" s="2" t="s">
        <v>3818</v>
      </c>
      <c r="C589" s="2" t="s">
        <v>3819</v>
      </c>
      <c r="D589" s="2" t="s">
        <v>3779</v>
      </c>
      <c r="E589" s="2" t="s">
        <v>3820</v>
      </c>
      <c r="F589" s="2" t="s">
        <v>3821</v>
      </c>
      <c r="G589" s="2" t="s">
        <v>412</v>
      </c>
      <c r="H589" s="17">
        <v>25</v>
      </c>
      <c r="I589" s="31">
        <f t="shared" si="60"/>
        <v>25000</v>
      </c>
      <c r="J589" s="31">
        <f t="shared" si="61"/>
        <v>1750.0000000000002</v>
      </c>
      <c r="K589" s="44">
        <f t="shared" si="62"/>
        <v>4.794520547945206</v>
      </c>
      <c r="L589" s="3">
        <f t="shared" si="63"/>
        <v>354.79452054794524</v>
      </c>
      <c r="M589" s="3">
        <f t="shared" si="64"/>
        <v>21.287671232876715</v>
      </c>
      <c r="N589" s="67">
        <f t="shared" si="65"/>
        <v>333.50684931506851</v>
      </c>
      <c r="O589" s="3"/>
      <c r="P589" s="70" t="s">
        <v>18612</v>
      </c>
      <c r="Q589" s="2" t="s">
        <v>103</v>
      </c>
      <c r="R589" s="2" t="s">
        <v>3822</v>
      </c>
      <c r="T589" t="s">
        <v>18666</v>
      </c>
      <c r="U589" t="s">
        <v>18652</v>
      </c>
      <c r="V589" s="104">
        <v>45857</v>
      </c>
      <c r="X589" s="97"/>
      <c r="Y589" s="75">
        <v>333.51</v>
      </c>
    </row>
    <row r="590" spans="1:25" x14ac:dyDescent="0.25">
      <c r="A590" s="76">
        <v>621</v>
      </c>
      <c r="B590" s="2" t="s">
        <v>16904</v>
      </c>
      <c r="C590" s="2" t="s">
        <v>16905</v>
      </c>
      <c r="D590" s="2" t="s">
        <v>16906</v>
      </c>
      <c r="E590" s="2" t="s">
        <v>16907</v>
      </c>
      <c r="F590" s="2" t="s">
        <v>16908</v>
      </c>
      <c r="G590" s="2" t="s">
        <v>144</v>
      </c>
      <c r="H590" s="17">
        <v>25</v>
      </c>
      <c r="I590" s="31">
        <f t="shared" si="60"/>
        <v>25000</v>
      </c>
      <c r="J590" s="31">
        <f t="shared" si="61"/>
        <v>1750.0000000000002</v>
      </c>
      <c r="K590" s="44">
        <f t="shared" si="62"/>
        <v>4.794520547945206</v>
      </c>
      <c r="L590" s="3">
        <f t="shared" si="63"/>
        <v>354.79452054794524</v>
      </c>
      <c r="M590" s="3">
        <f t="shared" si="64"/>
        <v>21.287671232876715</v>
      </c>
      <c r="N590" s="67">
        <f t="shared" si="65"/>
        <v>333.50684931506851</v>
      </c>
      <c r="O590" s="3"/>
      <c r="P590" s="70" t="s">
        <v>18612</v>
      </c>
      <c r="Q590" s="2" t="s">
        <v>103</v>
      </c>
      <c r="R590" s="2" t="s">
        <v>16909</v>
      </c>
      <c r="T590" t="s">
        <v>18666</v>
      </c>
      <c r="U590" t="s">
        <v>18652</v>
      </c>
      <c r="V590" s="104">
        <v>45857</v>
      </c>
      <c r="X590" s="97"/>
      <c r="Y590" s="75">
        <v>333.51</v>
      </c>
    </row>
    <row r="591" spans="1:25" x14ac:dyDescent="0.25">
      <c r="A591" s="76">
        <v>622</v>
      </c>
      <c r="B591" s="2" t="s">
        <v>14268</v>
      </c>
      <c r="C591" s="2" t="s">
        <v>14269</v>
      </c>
      <c r="D591" s="2" t="s">
        <v>14270</v>
      </c>
      <c r="E591" s="2" t="s">
        <v>14271</v>
      </c>
      <c r="F591" s="2" t="s">
        <v>14272</v>
      </c>
      <c r="G591" s="2" t="s">
        <v>835</v>
      </c>
      <c r="H591" s="17">
        <v>25</v>
      </c>
      <c r="I591" s="31">
        <f t="shared" si="60"/>
        <v>25000</v>
      </c>
      <c r="J591" s="31">
        <f t="shared" si="61"/>
        <v>1750.0000000000002</v>
      </c>
      <c r="K591" s="44">
        <f t="shared" si="62"/>
        <v>4.794520547945206</v>
      </c>
      <c r="L591" s="3">
        <f t="shared" si="63"/>
        <v>354.79452054794524</v>
      </c>
      <c r="M591" s="3">
        <f t="shared" si="64"/>
        <v>21.287671232876715</v>
      </c>
      <c r="N591" s="67">
        <f t="shared" si="65"/>
        <v>333.50684931506851</v>
      </c>
      <c r="O591" s="3"/>
      <c r="P591" s="70" t="s">
        <v>18612</v>
      </c>
      <c r="Q591" s="2" t="s">
        <v>103</v>
      </c>
      <c r="R591" s="2" t="s">
        <v>14273</v>
      </c>
      <c r="T591" t="s">
        <v>18666</v>
      </c>
      <c r="U591" t="s">
        <v>18652</v>
      </c>
      <c r="V591" s="104">
        <v>45857</v>
      </c>
      <c r="X591" s="97"/>
      <c r="Y591" s="75">
        <v>333.51</v>
      </c>
    </row>
    <row r="592" spans="1:25" x14ac:dyDescent="0.25">
      <c r="A592" s="76">
        <v>623</v>
      </c>
      <c r="B592" s="2" t="s">
        <v>6531</v>
      </c>
      <c r="C592" s="2" t="s">
        <v>6532</v>
      </c>
      <c r="D592" s="2" t="s">
        <v>6533</v>
      </c>
      <c r="E592" s="2" t="s">
        <v>6534</v>
      </c>
      <c r="F592" s="2" t="s">
        <v>6535</v>
      </c>
      <c r="G592" s="2" t="s">
        <v>1570</v>
      </c>
      <c r="H592" s="17">
        <v>25</v>
      </c>
      <c r="I592" s="31">
        <f t="shared" si="60"/>
        <v>25000</v>
      </c>
      <c r="J592" s="31">
        <f t="shared" si="61"/>
        <v>1750.0000000000002</v>
      </c>
      <c r="K592" s="44">
        <f t="shared" si="62"/>
        <v>4.794520547945206</v>
      </c>
      <c r="L592" s="3">
        <f t="shared" si="63"/>
        <v>354.79452054794524</v>
      </c>
      <c r="M592" s="3">
        <f t="shared" si="64"/>
        <v>21.287671232876715</v>
      </c>
      <c r="N592" s="67">
        <f t="shared" si="65"/>
        <v>333.50684931506851</v>
      </c>
      <c r="O592" s="3"/>
      <c r="P592" s="70" t="s">
        <v>18612</v>
      </c>
      <c r="Q592" s="2" t="s">
        <v>103</v>
      </c>
      <c r="R592" s="2" t="s">
        <v>6536</v>
      </c>
      <c r="T592" t="s">
        <v>18666</v>
      </c>
      <c r="U592" t="s">
        <v>18652</v>
      </c>
      <c r="V592" s="104">
        <v>45857</v>
      </c>
      <c r="X592" s="97"/>
      <c r="Y592" s="75">
        <v>333.51</v>
      </c>
    </row>
    <row r="593" spans="1:25" x14ac:dyDescent="0.25">
      <c r="A593" s="76">
        <v>624</v>
      </c>
      <c r="B593" s="2" t="s">
        <v>16985</v>
      </c>
      <c r="C593" s="2" t="s">
        <v>16986</v>
      </c>
      <c r="D593" s="2" t="s">
        <v>16987</v>
      </c>
      <c r="E593" s="2" t="s">
        <v>16988</v>
      </c>
      <c r="F593" s="2" t="s">
        <v>16989</v>
      </c>
      <c r="G593" s="2" t="s">
        <v>835</v>
      </c>
      <c r="H593" s="17">
        <v>50</v>
      </c>
      <c r="I593" s="31">
        <f t="shared" si="60"/>
        <v>50000</v>
      </c>
      <c r="J593" s="31">
        <f t="shared" si="61"/>
        <v>3500.0000000000005</v>
      </c>
      <c r="K593" s="44">
        <f t="shared" si="62"/>
        <v>9.589041095890412</v>
      </c>
      <c r="L593" s="3">
        <f t="shared" si="63"/>
        <v>709.58904109589048</v>
      </c>
      <c r="M593" s="3">
        <f t="shared" si="64"/>
        <v>42.57534246575343</v>
      </c>
      <c r="N593" s="67">
        <f t="shared" si="65"/>
        <v>667.01369863013701</v>
      </c>
      <c r="O593" s="3"/>
      <c r="P593" s="70" t="s">
        <v>18612</v>
      </c>
      <c r="Q593" s="2" t="s">
        <v>103</v>
      </c>
      <c r="R593" s="2" t="s">
        <v>16990</v>
      </c>
      <c r="T593" t="s">
        <v>18666</v>
      </c>
      <c r="U593" t="s">
        <v>18652</v>
      </c>
      <c r="V593" s="104">
        <v>45857</v>
      </c>
      <c r="X593" s="97"/>
      <c r="Y593" s="75">
        <v>667.02</v>
      </c>
    </row>
    <row r="594" spans="1:25" x14ac:dyDescent="0.25">
      <c r="A594" s="76">
        <v>625</v>
      </c>
      <c r="B594" s="2" t="s">
        <v>13851</v>
      </c>
      <c r="C594" s="2" t="s">
        <v>13852</v>
      </c>
      <c r="D594" s="2" t="s">
        <v>13853</v>
      </c>
      <c r="E594" s="2" t="s">
        <v>13854</v>
      </c>
      <c r="F594" s="2" t="s">
        <v>13855</v>
      </c>
      <c r="G594" s="2" t="s">
        <v>599</v>
      </c>
      <c r="H594" s="17">
        <v>25</v>
      </c>
      <c r="I594" s="31">
        <f t="shared" ref="I594:I657" si="66">H594*1000</f>
        <v>25000</v>
      </c>
      <c r="J594" s="31">
        <f t="shared" ref="J594:J657" si="67">I594*7%</f>
        <v>1750.0000000000002</v>
      </c>
      <c r="K594" s="44">
        <f t="shared" ref="K594:K657" si="68">J594/365</f>
        <v>4.794520547945206</v>
      </c>
      <c r="L594" s="3">
        <f t="shared" ref="L594:L657" si="69">K594*74</f>
        <v>354.79452054794524</v>
      </c>
      <c r="M594" s="3">
        <f t="shared" ref="M594:M657" si="70">L594*6%</f>
        <v>21.287671232876715</v>
      </c>
      <c r="N594" s="67">
        <f t="shared" ref="N594:N657" si="71">L594-M594</f>
        <v>333.50684931506851</v>
      </c>
      <c r="O594" s="3"/>
      <c r="P594" s="70" t="s">
        <v>18612</v>
      </c>
      <c r="Q594" s="2" t="s">
        <v>103</v>
      </c>
      <c r="R594" s="2" t="s">
        <v>13856</v>
      </c>
      <c r="T594" t="s">
        <v>18666</v>
      </c>
      <c r="U594" t="s">
        <v>18652</v>
      </c>
      <c r="V594" s="104">
        <v>45857</v>
      </c>
      <c r="X594" s="97"/>
      <c r="Y594" s="75">
        <v>333.51</v>
      </c>
    </row>
    <row r="595" spans="1:25" x14ac:dyDescent="0.25">
      <c r="A595" s="76">
        <v>626</v>
      </c>
      <c r="B595" s="2" t="s">
        <v>5480</v>
      </c>
      <c r="C595" s="2" t="s">
        <v>5481</v>
      </c>
      <c r="D595" s="2" t="s">
        <v>5482</v>
      </c>
      <c r="E595" s="2" t="s">
        <v>5483</v>
      </c>
      <c r="F595" s="2" t="s">
        <v>5484</v>
      </c>
      <c r="G595" s="2" t="s">
        <v>412</v>
      </c>
      <c r="H595" s="17">
        <v>25</v>
      </c>
      <c r="I595" s="31">
        <f t="shared" si="66"/>
        <v>25000</v>
      </c>
      <c r="J595" s="31">
        <f t="shared" si="67"/>
        <v>1750.0000000000002</v>
      </c>
      <c r="K595" s="44">
        <f t="shared" si="68"/>
        <v>4.794520547945206</v>
      </c>
      <c r="L595" s="3">
        <f t="shared" si="69"/>
        <v>354.79452054794524</v>
      </c>
      <c r="M595" s="3">
        <f t="shared" si="70"/>
        <v>21.287671232876715</v>
      </c>
      <c r="N595" s="67">
        <f t="shared" si="71"/>
        <v>333.50684931506851</v>
      </c>
      <c r="O595" s="3"/>
      <c r="P595" s="70" t="s">
        <v>18612</v>
      </c>
      <c r="Q595" s="2" t="s">
        <v>103</v>
      </c>
      <c r="R595" s="2" t="s">
        <v>5485</v>
      </c>
      <c r="T595" t="s">
        <v>18666</v>
      </c>
      <c r="U595" t="s">
        <v>18652</v>
      </c>
      <c r="V595" s="104">
        <v>45857</v>
      </c>
      <c r="X595" s="97"/>
      <c r="Y595" s="75">
        <v>333.51</v>
      </c>
    </row>
    <row r="596" spans="1:25" x14ac:dyDescent="0.25">
      <c r="A596" s="76">
        <v>627</v>
      </c>
      <c r="B596" s="2" t="s">
        <v>8038</v>
      </c>
      <c r="C596" s="2" t="s">
        <v>8039</v>
      </c>
      <c r="D596" s="2" t="s">
        <v>8040</v>
      </c>
      <c r="E596" s="2" t="s">
        <v>8041</v>
      </c>
      <c r="F596" s="2" t="s">
        <v>8042</v>
      </c>
      <c r="G596" s="2" t="s">
        <v>5013</v>
      </c>
      <c r="H596" s="17">
        <v>25</v>
      </c>
      <c r="I596" s="31">
        <f t="shared" si="66"/>
        <v>25000</v>
      </c>
      <c r="J596" s="31">
        <f t="shared" si="67"/>
        <v>1750.0000000000002</v>
      </c>
      <c r="K596" s="44">
        <f t="shared" si="68"/>
        <v>4.794520547945206</v>
      </c>
      <c r="L596" s="3">
        <f t="shared" si="69"/>
        <v>354.79452054794524</v>
      </c>
      <c r="M596" s="3">
        <f t="shared" si="70"/>
        <v>21.287671232876715</v>
      </c>
      <c r="N596" s="67">
        <f t="shared" si="71"/>
        <v>333.50684931506851</v>
      </c>
      <c r="O596" s="3"/>
      <c r="P596" s="70" t="s">
        <v>18612</v>
      </c>
      <c r="Q596" s="2" t="s">
        <v>103</v>
      </c>
      <c r="R596" s="2" t="s">
        <v>8043</v>
      </c>
      <c r="T596" t="s">
        <v>18666</v>
      </c>
      <c r="U596" t="s">
        <v>18652</v>
      </c>
      <c r="V596" s="104">
        <v>45857</v>
      </c>
      <c r="X596" s="97"/>
      <c r="Y596" s="75">
        <v>333.51</v>
      </c>
    </row>
    <row r="597" spans="1:25" x14ac:dyDescent="0.25">
      <c r="A597" s="76">
        <v>628</v>
      </c>
      <c r="B597" s="2" t="s">
        <v>10952</v>
      </c>
      <c r="C597" s="2" t="s">
        <v>10953</v>
      </c>
      <c r="D597" s="2" t="s">
        <v>10954</v>
      </c>
      <c r="E597" s="2" t="s">
        <v>10955</v>
      </c>
      <c r="F597" s="2" t="s">
        <v>10956</v>
      </c>
      <c r="G597" s="2" t="s">
        <v>31</v>
      </c>
      <c r="H597" s="17">
        <v>400</v>
      </c>
      <c r="I597" s="31">
        <f t="shared" si="66"/>
        <v>400000</v>
      </c>
      <c r="J597" s="31">
        <f t="shared" si="67"/>
        <v>28000.000000000004</v>
      </c>
      <c r="K597" s="44">
        <f t="shared" si="68"/>
        <v>76.712328767123296</v>
      </c>
      <c r="L597" s="3">
        <f t="shared" si="69"/>
        <v>5676.7123287671238</v>
      </c>
      <c r="M597" s="3">
        <f t="shared" si="70"/>
        <v>340.60273972602744</v>
      </c>
      <c r="N597" s="67">
        <f t="shared" si="71"/>
        <v>5336.1095890410961</v>
      </c>
      <c r="O597" s="3"/>
      <c r="P597" s="70" t="s">
        <v>18612</v>
      </c>
      <c r="Q597" s="2" t="s">
        <v>103</v>
      </c>
      <c r="R597" s="2" t="s">
        <v>10957</v>
      </c>
      <c r="T597" t="s">
        <v>18666</v>
      </c>
      <c r="U597" t="s">
        <v>18652</v>
      </c>
      <c r="V597" s="104">
        <v>45857</v>
      </c>
      <c r="X597" s="97"/>
      <c r="Y597" s="75">
        <v>5336.1100000000006</v>
      </c>
    </row>
    <row r="598" spans="1:25" x14ac:dyDescent="0.25">
      <c r="A598" s="76">
        <v>629</v>
      </c>
      <c r="B598" s="2" t="s">
        <v>14478</v>
      </c>
      <c r="C598" s="2" t="s">
        <v>14479</v>
      </c>
      <c r="D598" s="2" t="s">
        <v>14480</v>
      </c>
      <c r="E598" s="2" t="s">
        <v>14481</v>
      </c>
      <c r="F598" s="2" t="s">
        <v>14482</v>
      </c>
      <c r="G598" s="2" t="s">
        <v>362</v>
      </c>
      <c r="H598" s="17">
        <v>25</v>
      </c>
      <c r="I598" s="31">
        <f t="shared" si="66"/>
        <v>25000</v>
      </c>
      <c r="J598" s="31">
        <f t="shared" si="67"/>
        <v>1750.0000000000002</v>
      </c>
      <c r="K598" s="44">
        <f t="shared" si="68"/>
        <v>4.794520547945206</v>
      </c>
      <c r="L598" s="3">
        <f t="shared" si="69"/>
        <v>354.79452054794524</v>
      </c>
      <c r="M598" s="3">
        <f t="shared" si="70"/>
        <v>21.287671232876715</v>
      </c>
      <c r="N598" s="67">
        <f t="shared" si="71"/>
        <v>333.50684931506851</v>
      </c>
      <c r="O598" s="3"/>
      <c r="P598" s="70" t="s">
        <v>18612</v>
      </c>
      <c r="Q598" s="2" t="s">
        <v>103</v>
      </c>
      <c r="R598" s="2" t="s">
        <v>14483</v>
      </c>
      <c r="T598" t="s">
        <v>18666</v>
      </c>
      <c r="U598" t="s">
        <v>18652</v>
      </c>
      <c r="V598" s="104">
        <v>45857</v>
      </c>
      <c r="X598" s="97"/>
      <c r="Y598" s="75">
        <v>333.51</v>
      </c>
    </row>
    <row r="599" spans="1:25" x14ac:dyDescent="0.25">
      <c r="A599" s="76">
        <v>630</v>
      </c>
      <c r="B599" s="2" t="s">
        <v>7209</v>
      </c>
      <c r="C599" s="2" t="s">
        <v>7210</v>
      </c>
      <c r="D599" s="2" t="s">
        <v>7211</v>
      </c>
      <c r="E599" s="2" t="s">
        <v>7212</v>
      </c>
      <c r="F599" s="2" t="s">
        <v>7213</v>
      </c>
      <c r="G599" s="2" t="s">
        <v>54</v>
      </c>
      <c r="H599" s="17">
        <v>25</v>
      </c>
      <c r="I599" s="31">
        <f t="shared" si="66"/>
        <v>25000</v>
      </c>
      <c r="J599" s="31">
        <f t="shared" si="67"/>
        <v>1750.0000000000002</v>
      </c>
      <c r="K599" s="44">
        <f t="shared" si="68"/>
        <v>4.794520547945206</v>
      </c>
      <c r="L599" s="3">
        <f t="shared" si="69"/>
        <v>354.79452054794524</v>
      </c>
      <c r="M599" s="3">
        <f t="shared" si="70"/>
        <v>21.287671232876715</v>
      </c>
      <c r="N599" s="67">
        <f t="shared" si="71"/>
        <v>333.50684931506851</v>
      </c>
      <c r="O599" s="3"/>
      <c r="P599" s="70" t="s">
        <v>18612</v>
      </c>
      <c r="Q599" s="2" t="s">
        <v>103</v>
      </c>
      <c r="R599" s="2" t="s">
        <v>7214</v>
      </c>
      <c r="T599" t="s">
        <v>18666</v>
      </c>
      <c r="U599" t="s">
        <v>18652</v>
      </c>
      <c r="V599" s="104">
        <v>45857</v>
      </c>
      <c r="X599" s="97"/>
      <c r="Y599" s="75">
        <v>333.51</v>
      </c>
    </row>
    <row r="600" spans="1:25" x14ac:dyDescent="0.25">
      <c r="A600" s="76">
        <v>631</v>
      </c>
      <c r="B600" s="2" t="s">
        <v>12231</v>
      </c>
      <c r="C600" s="2" t="s">
        <v>12232</v>
      </c>
      <c r="D600" s="2" t="s">
        <v>12233</v>
      </c>
      <c r="E600" s="2" t="s">
        <v>12234</v>
      </c>
      <c r="F600" s="2" t="s">
        <v>12235</v>
      </c>
      <c r="G600" s="2" t="s">
        <v>5013</v>
      </c>
      <c r="H600" s="17">
        <v>25</v>
      </c>
      <c r="I600" s="31">
        <f t="shared" si="66"/>
        <v>25000</v>
      </c>
      <c r="J600" s="31">
        <f t="shared" si="67"/>
        <v>1750.0000000000002</v>
      </c>
      <c r="K600" s="44">
        <f t="shared" si="68"/>
        <v>4.794520547945206</v>
      </c>
      <c r="L600" s="3">
        <f t="shared" si="69"/>
        <v>354.79452054794524</v>
      </c>
      <c r="M600" s="3">
        <f t="shared" si="70"/>
        <v>21.287671232876715</v>
      </c>
      <c r="N600" s="67">
        <f t="shared" si="71"/>
        <v>333.50684931506851</v>
      </c>
      <c r="O600" s="3"/>
      <c r="P600" s="70" t="s">
        <v>18612</v>
      </c>
      <c r="Q600" s="2" t="s">
        <v>103</v>
      </c>
      <c r="R600" s="2" t="s">
        <v>12236</v>
      </c>
      <c r="T600" t="s">
        <v>18666</v>
      </c>
      <c r="U600" t="s">
        <v>18652</v>
      </c>
      <c r="V600" s="104">
        <v>45857</v>
      </c>
      <c r="X600" s="97"/>
      <c r="Y600" s="75">
        <v>333.51</v>
      </c>
    </row>
    <row r="601" spans="1:25" x14ac:dyDescent="0.25">
      <c r="A601" s="76">
        <v>632</v>
      </c>
      <c r="B601" s="2" t="s">
        <v>613</v>
      </c>
      <c r="C601" s="2" t="s">
        <v>614</v>
      </c>
      <c r="D601" s="2" t="s">
        <v>615</v>
      </c>
      <c r="E601" s="2" t="s">
        <v>616</v>
      </c>
      <c r="F601" s="2" t="s">
        <v>617</v>
      </c>
      <c r="G601" s="2" t="s">
        <v>618</v>
      </c>
      <c r="H601" s="17">
        <v>25</v>
      </c>
      <c r="I601" s="31">
        <f t="shared" si="66"/>
        <v>25000</v>
      </c>
      <c r="J601" s="31">
        <f t="shared" si="67"/>
        <v>1750.0000000000002</v>
      </c>
      <c r="K601" s="44">
        <f t="shared" si="68"/>
        <v>4.794520547945206</v>
      </c>
      <c r="L601" s="3">
        <f t="shared" si="69"/>
        <v>354.79452054794524</v>
      </c>
      <c r="M601" s="3">
        <f t="shared" si="70"/>
        <v>21.287671232876715</v>
      </c>
      <c r="N601" s="67">
        <f t="shared" si="71"/>
        <v>333.50684931506851</v>
      </c>
      <c r="O601" s="3"/>
      <c r="P601" s="70" t="s">
        <v>18612</v>
      </c>
      <c r="Q601" s="2" t="s">
        <v>103</v>
      </c>
      <c r="R601" s="2" t="s">
        <v>619</v>
      </c>
      <c r="T601" t="s">
        <v>18666</v>
      </c>
      <c r="U601" t="s">
        <v>18652</v>
      </c>
      <c r="V601" s="104">
        <v>45857</v>
      </c>
      <c r="X601" s="97"/>
      <c r="Y601" s="75">
        <v>333.51</v>
      </c>
    </row>
    <row r="602" spans="1:25" x14ac:dyDescent="0.25">
      <c r="A602" s="76">
        <v>633</v>
      </c>
      <c r="B602" s="2" t="s">
        <v>14655</v>
      </c>
      <c r="C602" s="2" t="s">
        <v>14656</v>
      </c>
      <c r="D602" s="2" t="s">
        <v>14657</v>
      </c>
      <c r="E602" s="2" t="s">
        <v>14658</v>
      </c>
      <c r="F602" s="2" t="s">
        <v>14659</v>
      </c>
      <c r="G602" s="2" t="s">
        <v>23</v>
      </c>
      <c r="H602" s="17">
        <v>25</v>
      </c>
      <c r="I602" s="31">
        <f t="shared" si="66"/>
        <v>25000</v>
      </c>
      <c r="J602" s="31">
        <f t="shared" si="67"/>
        <v>1750.0000000000002</v>
      </c>
      <c r="K602" s="44">
        <f t="shared" si="68"/>
        <v>4.794520547945206</v>
      </c>
      <c r="L602" s="3">
        <f t="shared" si="69"/>
        <v>354.79452054794524</v>
      </c>
      <c r="M602" s="3">
        <f t="shared" si="70"/>
        <v>21.287671232876715</v>
      </c>
      <c r="N602" s="67">
        <f t="shared" si="71"/>
        <v>333.50684931506851</v>
      </c>
      <c r="O602" s="3"/>
      <c r="P602" s="70" t="s">
        <v>18612</v>
      </c>
      <c r="Q602" s="2" t="s">
        <v>103</v>
      </c>
      <c r="R602" s="2" t="s">
        <v>14660</v>
      </c>
      <c r="T602" t="s">
        <v>18666</v>
      </c>
      <c r="U602" t="s">
        <v>18652</v>
      </c>
      <c r="V602" s="104">
        <v>45857</v>
      </c>
      <c r="X602" s="97"/>
      <c r="Y602" s="75">
        <v>333.51</v>
      </c>
    </row>
    <row r="603" spans="1:25" x14ac:dyDescent="0.25">
      <c r="A603" s="76">
        <v>634</v>
      </c>
      <c r="B603" s="2" t="s">
        <v>14665</v>
      </c>
      <c r="C603" s="2" t="s">
        <v>14666</v>
      </c>
      <c r="D603" s="2" t="s">
        <v>14667</v>
      </c>
      <c r="E603" s="2" t="s">
        <v>14668</v>
      </c>
      <c r="F603" s="2" t="s">
        <v>14669</v>
      </c>
      <c r="G603" s="2" t="s">
        <v>23</v>
      </c>
      <c r="H603" s="17">
        <v>25</v>
      </c>
      <c r="I603" s="31">
        <f t="shared" si="66"/>
        <v>25000</v>
      </c>
      <c r="J603" s="31">
        <f t="shared" si="67"/>
        <v>1750.0000000000002</v>
      </c>
      <c r="K603" s="44">
        <f t="shared" si="68"/>
        <v>4.794520547945206</v>
      </c>
      <c r="L603" s="3">
        <f t="shared" si="69"/>
        <v>354.79452054794524</v>
      </c>
      <c r="M603" s="3">
        <f t="shared" si="70"/>
        <v>21.287671232876715</v>
      </c>
      <c r="N603" s="67">
        <f t="shared" si="71"/>
        <v>333.50684931506851</v>
      </c>
      <c r="O603" s="3"/>
      <c r="P603" s="70" t="s">
        <v>18612</v>
      </c>
      <c r="Q603" s="2" t="s">
        <v>103</v>
      </c>
      <c r="R603" s="2" t="s">
        <v>14670</v>
      </c>
      <c r="T603" t="s">
        <v>18666</v>
      </c>
      <c r="U603" t="s">
        <v>18652</v>
      </c>
      <c r="V603" s="104">
        <v>45857</v>
      </c>
      <c r="X603" s="97"/>
      <c r="Y603" s="75">
        <v>333.51</v>
      </c>
    </row>
    <row r="604" spans="1:25" x14ac:dyDescent="0.25">
      <c r="A604" s="76">
        <v>635</v>
      </c>
      <c r="B604" s="2" t="s">
        <v>9693</v>
      </c>
      <c r="C604" s="2" t="s">
        <v>9694</v>
      </c>
      <c r="D604" s="2" t="s">
        <v>9695</v>
      </c>
      <c r="E604" s="2" t="s">
        <v>9696</v>
      </c>
      <c r="F604" s="2" t="s">
        <v>9697</v>
      </c>
      <c r="G604" s="2" t="s">
        <v>510</v>
      </c>
      <c r="H604" s="17">
        <v>25</v>
      </c>
      <c r="I604" s="31">
        <f t="shared" si="66"/>
        <v>25000</v>
      </c>
      <c r="J604" s="31">
        <f t="shared" si="67"/>
        <v>1750.0000000000002</v>
      </c>
      <c r="K604" s="44">
        <f t="shared" si="68"/>
        <v>4.794520547945206</v>
      </c>
      <c r="L604" s="3">
        <f t="shared" si="69"/>
        <v>354.79452054794524</v>
      </c>
      <c r="M604" s="3">
        <f t="shared" si="70"/>
        <v>21.287671232876715</v>
      </c>
      <c r="N604" s="67">
        <f t="shared" si="71"/>
        <v>333.50684931506851</v>
      </c>
      <c r="O604" s="3"/>
      <c r="P604" s="70" t="s">
        <v>18612</v>
      </c>
      <c r="Q604" s="2" t="s">
        <v>103</v>
      </c>
      <c r="R604" s="2" t="s">
        <v>9698</v>
      </c>
      <c r="T604" t="s">
        <v>18666</v>
      </c>
      <c r="U604" t="s">
        <v>18652</v>
      </c>
      <c r="V604" s="104">
        <v>45857</v>
      </c>
      <c r="X604" s="97"/>
      <c r="Y604" s="75">
        <v>333.51</v>
      </c>
    </row>
    <row r="605" spans="1:25" x14ac:dyDescent="0.25">
      <c r="A605" s="76">
        <v>636</v>
      </c>
      <c r="B605" s="2" t="s">
        <v>16704</v>
      </c>
      <c r="C605" s="2" t="s">
        <v>16705</v>
      </c>
      <c r="D605" s="2" t="s">
        <v>16706</v>
      </c>
      <c r="E605" s="2" t="s">
        <v>16707</v>
      </c>
      <c r="F605" s="2" t="s">
        <v>16708</v>
      </c>
      <c r="G605" s="2" t="s">
        <v>144</v>
      </c>
      <c r="H605" s="17">
        <v>25</v>
      </c>
      <c r="I605" s="31">
        <f t="shared" si="66"/>
        <v>25000</v>
      </c>
      <c r="J605" s="31">
        <f t="shared" si="67"/>
        <v>1750.0000000000002</v>
      </c>
      <c r="K605" s="44">
        <f t="shared" si="68"/>
        <v>4.794520547945206</v>
      </c>
      <c r="L605" s="3">
        <f t="shared" si="69"/>
        <v>354.79452054794524</v>
      </c>
      <c r="M605" s="3">
        <f t="shared" si="70"/>
        <v>21.287671232876715</v>
      </c>
      <c r="N605" s="67">
        <f t="shared" si="71"/>
        <v>333.50684931506851</v>
      </c>
      <c r="O605" s="3"/>
      <c r="P605" s="70" t="s">
        <v>18612</v>
      </c>
      <c r="Q605" s="2" t="s">
        <v>103</v>
      </c>
      <c r="R605" s="2" t="s">
        <v>16709</v>
      </c>
      <c r="T605" t="s">
        <v>18666</v>
      </c>
      <c r="U605" t="s">
        <v>18652</v>
      </c>
      <c r="V605" s="104">
        <v>45857</v>
      </c>
      <c r="X605" s="97"/>
      <c r="Y605" s="75">
        <v>333.51</v>
      </c>
    </row>
    <row r="606" spans="1:25" x14ac:dyDescent="0.25">
      <c r="A606" s="76">
        <v>637</v>
      </c>
      <c r="B606" s="2" t="s">
        <v>12983</v>
      </c>
      <c r="C606" s="2" t="s">
        <v>12984</v>
      </c>
      <c r="D606" s="2" t="s">
        <v>12985</v>
      </c>
      <c r="E606" s="2" t="s">
        <v>12986</v>
      </c>
      <c r="F606" s="2" t="s">
        <v>12987</v>
      </c>
      <c r="G606" s="2" t="s">
        <v>31</v>
      </c>
      <c r="H606" s="17">
        <v>25</v>
      </c>
      <c r="I606" s="31">
        <f t="shared" si="66"/>
        <v>25000</v>
      </c>
      <c r="J606" s="31">
        <f t="shared" si="67"/>
        <v>1750.0000000000002</v>
      </c>
      <c r="K606" s="44">
        <f t="shared" si="68"/>
        <v>4.794520547945206</v>
      </c>
      <c r="L606" s="3">
        <f t="shared" si="69"/>
        <v>354.79452054794524</v>
      </c>
      <c r="M606" s="3">
        <f t="shared" si="70"/>
        <v>21.287671232876715</v>
      </c>
      <c r="N606" s="67">
        <f t="shared" si="71"/>
        <v>333.50684931506851</v>
      </c>
      <c r="O606" s="3"/>
      <c r="P606" s="70" t="s">
        <v>18612</v>
      </c>
      <c r="Q606" s="2" t="s">
        <v>103</v>
      </c>
      <c r="R606" s="2" t="s">
        <v>12988</v>
      </c>
      <c r="T606" t="s">
        <v>18666</v>
      </c>
      <c r="U606" t="s">
        <v>18652</v>
      </c>
      <c r="V606" s="104">
        <v>45857</v>
      </c>
      <c r="X606" s="97"/>
      <c r="Y606" s="75">
        <v>333.51</v>
      </c>
    </row>
    <row r="607" spans="1:25" x14ac:dyDescent="0.25">
      <c r="A607" s="76">
        <v>638</v>
      </c>
      <c r="B607" s="2" t="s">
        <v>2613</v>
      </c>
      <c r="C607" s="2" t="s">
        <v>2614</v>
      </c>
      <c r="D607" s="2" t="s">
        <v>2615</v>
      </c>
      <c r="E607" s="2" t="s">
        <v>2616</v>
      </c>
      <c r="F607" s="2" t="s">
        <v>2617</v>
      </c>
      <c r="G607" s="2" t="s">
        <v>151</v>
      </c>
      <c r="H607" s="17">
        <v>25</v>
      </c>
      <c r="I607" s="31">
        <f t="shared" si="66"/>
        <v>25000</v>
      </c>
      <c r="J607" s="31">
        <f t="shared" si="67"/>
        <v>1750.0000000000002</v>
      </c>
      <c r="K607" s="44">
        <f t="shared" si="68"/>
        <v>4.794520547945206</v>
      </c>
      <c r="L607" s="3">
        <f t="shared" si="69"/>
        <v>354.79452054794524</v>
      </c>
      <c r="M607" s="3">
        <f t="shared" si="70"/>
        <v>21.287671232876715</v>
      </c>
      <c r="N607" s="67">
        <f t="shared" si="71"/>
        <v>333.50684931506851</v>
      </c>
      <c r="O607" s="3"/>
      <c r="P607" s="70" t="s">
        <v>18612</v>
      </c>
      <c r="Q607" s="2" t="s">
        <v>103</v>
      </c>
      <c r="R607" s="2" t="s">
        <v>2618</v>
      </c>
      <c r="T607" t="s">
        <v>18666</v>
      </c>
      <c r="U607" t="s">
        <v>18652</v>
      </c>
      <c r="V607" s="104">
        <v>45857</v>
      </c>
      <c r="X607" s="97"/>
      <c r="Y607" s="75">
        <v>333.51</v>
      </c>
    </row>
    <row r="608" spans="1:25" x14ac:dyDescent="0.25">
      <c r="A608" s="76">
        <v>639</v>
      </c>
      <c r="B608" s="2" t="s">
        <v>2700</v>
      </c>
      <c r="C608" s="2" t="s">
        <v>2701</v>
      </c>
      <c r="D608" s="2" t="s">
        <v>2702</v>
      </c>
      <c r="E608" s="2" t="s">
        <v>2616</v>
      </c>
      <c r="F608" s="2" t="s">
        <v>2703</v>
      </c>
      <c r="G608" s="2" t="s">
        <v>151</v>
      </c>
      <c r="H608" s="17">
        <v>25</v>
      </c>
      <c r="I608" s="31">
        <f t="shared" si="66"/>
        <v>25000</v>
      </c>
      <c r="J608" s="31">
        <f t="shared" si="67"/>
        <v>1750.0000000000002</v>
      </c>
      <c r="K608" s="44">
        <f t="shared" si="68"/>
        <v>4.794520547945206</v>
      </c>
      <c r="L608" s="3">
        <f t="shared" si="69"/>
        <v>354.79452054794524</v>
      </c>
      <c r="M608" s="3">
        <f t="shared" si="70"/>
        <v>21.287671232876715</v>
      </c>
      <c r="N608" s="67">
        <f t="shared" si="71"/>
        <v>333.50684931506851</v>
      </c>
      <c r="O608" s="3"/>
      <c r="P608" s="70" t="s">
        <v>18612</v>
      </c>
      <c r="Q608" s="2" t="s">
        <v>103</v>
      </c>
      <c r="R608" s="2" t="s">
        <v>2704</v>
      </c>
      <c r="T608" t="s">
        <v>18666</v>
      </c>
      <c r="U608" t="s">
        <v>18652</v>
      </c>
      <c r="V608" s="104">
        <v>45857</v>
      </c>
      <c r="X608" s="97"/>
      <c r="Y608" s="75">
        <v>333.51</v>
      </c>
    </row>
    <row r="609" spans="1:25" x14ac:dyDescent="0.25">
      <c r="A609" s="76">
        <v>640</v>
      </c>
      <c r="B609" s="2" t="s">
        <v>16049</v>
      </c>
      <c r="C609" s="2" t="s">
        <v>16050</v>
      </c>
      <c r="D609" s="2" t="s">
        <v>16051</v>
      </c>
      <c r="E609" s="2" t="s">
        <v>16052</v>
      </c>
      <c r="F609" s="2" t="s">
        <v>16053</v>
      </c>
      <c r="G609" s="2" t="s">
        <v>296</v>
      </c>
      <c r="H609" s="17">
        <v>25</v>
      </c>
      <c r="I609" s="31">
        <f t="shared" si="66"/>
        <v>25000</v>
      </c>
      <c r="J609" s="31">
        <f t="shared" si="67"/>
        <v>1750.0000000000002</v>
      </c>
      <c r="K609" s="44">
        <f t="shared" si="68"/>
        <v>4.794520547945206</v>
      </c>
      <c r="L609" s="3">
        <f t="shared" si="69"/>
        <v>354.79452054794524</v>
      </c>
      <c r="M609" s="3">
        <f t="shared" si="70"/>
        <v>21.287671232876715</v>
      </c>
      <c r="N609" s="67">
        <f t="shared" si="71"/>
        <v>333.50684931506851</v>
      </c>
      <c r="O609" s="3"/>
      <c r="P609" s="70" t="s">
        <v>18612</v>
      </c>
      <c r="Q609" s="2" t="s">
        <v>103</v>
      </c>
      <c r="R609" s="2" t="s">
        <v>16054</v>
      </c>
      <c r="T609" t="s">
        <v>18666</v>
      </c>
      <c r="U609" t="s">
        <v>18652</v>
      </c>
      <c r="V609" s="104">
        <v>45857</v>
      </c>
      <c r="X609" s="97"/>
      <c r="Y609" s="75">
        <v>333.51</v>
      </c>
    </row>
    <row r="610" spans="1:25" x14ac:dyDescent="0.25">
      <c r="A610" s="76">
        <v>641</v>
      </c>
      <c r="B610" s="2" t="s">
        <v>8420</v>
      </c>
      <c r="C610" s="2" t="s">
        <v>8421</v>
      </c>
      <c r="D610" s="2" t="s">
        <v>8422</v>
      </c>
      <c r="E610" s="2" t="s">
        <v>8423</v>
      </c>
      <c r="F610" s="2" t="s">
        <v>8424</v>
      </c>
      <c r="G610" s="2" t="s">
        <v>31</v>
      </c>
      <c r="H610" s="17">
        <v>1000</v>
      </c>
      <c r="I610" s="31">
        <f t="shared" si="66"/>
        <v>1000000</v>
      </c>
      <c r="J610" s="31">
        <f t="shared" si="67"/>
        <v>70000</v>
      </c>
      <c r="K610" s="44">
        <f t="shared" si="68"/>
        <v>191.78082191780823</v>
      </c>
      <c r="L610" s="3">
        <f t="shared" si="69"/>
        <v>14191.780821917808</v>
      </c>
      <c r="M610" s="3">
        <f t="shared" si="70"/>
        <v>851.50684931506839</v>
      </c>
      <c r="N610" s="67">
        <f t="shared" si="71"/>
        <v>13340.273972602739</v>
      </c>
      <c r="O610" s="3"/>
      <c r="P610" s="70" t="s">
        <v>18612</v>
      </c>
      <c r="Q610" s="2" t="s">
        <v>103</v>
      </c>
      <c r="R610" s="2" t="s">
        <v>8425</v>
      </c>
      <c r="T610" t="s">
        <v>18666</v>
      </c>
      <c r="U610" t="s">
        <v>18652</v>
      </c>
      <c r="V610" s="104">
        <v>45857</v>
      </c>
      <c r="X610" s="97"/>
      <c r="Y610" s="75">
        <v>13340.28</v>
      </c>
    </row>
    <row r="611" spans="1:25" x14ac:dyDescent="0.25">
      <c r="A611" s="76">
        <v>642</v>
      </c>
      <c r="B611" s="2" t="s">
        <v>6654</v>
      </c>
      <c r="C611" s="2" t="s">
        <v>6655</v>
      </c>
      <c r="D611" s="2" t="s">
        <v>6656</v>
      </c>
      <c r="E611" s="2" t="s">
        <v>6657</v>
      </c>
      <c r="F611" s="2" t="s">
        <v>6658</v>
      </c>
      <c r="G611" s="2" t="s">
        <v>1545</v>
      </c>
      <c r="H611" s="17">
        <v>25</v>
      </c>
      <c r="I611" s="31">
        <f t="shared" si="66"/>
        <v>25000</v>
      </c>
      <c r="J611" s="31">
        <f t="shared" si="67"/>
        <v>1750.0000000000002</v>
      </c>
      <c r="K611" s="44">
        <f t="shared" si="68"/>
        <v>4.794520547945206</v>
      </c>
      <c r="L611" s="3">
        <f t="shared" si="69"/>
        <v>354.79452054794524</v>
      </c>
      <c r="M611" s="3">
        <f t="shared" si="70"/>
        <v>21.287671232876715</v>
      </c>
      <c r="N611" s="67">
        <f t="shared" si="71"/>
        <v>333.50684931506851</v>
      </c>
      <c r="O611" s="3"/>
      <c r="P611" s="70" t="s">
        <v>18612</v>
      </c>
      <c r="Q611" s="2" t="s">
        <v>103</v>
      </c>
      <c r="R611" s="2" t="s">
        <v>6659</v>
      </c>
      <c r="T611" t="s">
        <v>18666</v>
      </c>
      <c r="U611" t="s">
        <v>18652</v>
      </c>
      <c r="V611" s="104">
        <v>45857</v>
      </c>
      <c r="X611" s="97"/>
      <c r="Y611" s="75">
        <v>333.51</v>
      </c>
    </row>
    <row r="612" spans="1:25" x14ac:dyDescent="0.25">
      <c r="A612" s="76">
        <v>643</v>
      </c>
      <c r="B612" s="2" t="s">
        <v>1705</v>
      </c>
      <c r="C612" s="2" t="s">
        <v>1706</v>
      </c>
      <c r="D612" s="2" t="s">
        <v>1707</v>
      </c>
      <c r="E612" s="2" t="s">
        <v>1708</v>
      </c>
      <c r="F612" s="2" t="s">
        <v>1709</v>
      </c>
      <c r="G612" s="2" t="s">
        <v>510</v>
      </c>
      <c r="H612" s="17">
        <v>25</v>
      </c>
      <c r="I612" s="31">
        <f t="shared" si="66"/>
        <v>25000</v>
      </c>
      <c r="J612" s="31">
        <f t="shared" si="67"/>
        <v>1750.0000000000002</v>
      </c>
      <c r="K612" s="44">
        <f t="shared" si="68"/>
        <v>4.794520547945206</v>
      </c>
      <c r="L612" s="3">
        <f t="shared" si="69"/>
        <v>354.79452054794524</v>
      </c>
      <c r="M612" s="3">
        <f t="shared" si="70"/>
        <v>21.287671232876715</v>
      </c>
      <c r="N612" s="67">
        <f t="shared" si="71"/>
        <v>333.50684931506851</v>
      </c>
      <c r="O612" s="3"/>
      <c r="P612" s="70" t="s">
        <v>18612</v>
      </c>
      <c r="Q612" s="2" t="s">
        <v>103</v>
      </c>
      <c r="R612" s="2" t="s">
        <v>1710</v>
      </c>
      <c r="T612" t="s">
        <v>18666</v>
      </c>
      <c r="U612" t="s">
        <v>18652</v>
      </c>
      <c r="V612" s="104">
        <v>45857</v>
      </c>
      <c r="X612" s="97"/>
      <c r="Y612" s="75">
        <v>333.51</v>
      </c>
    </row>
    <row r="613" spans="1:25" x14ac:dyDescent="0.25">
      <c r="A613" s="76">
        <v>644</v>
      </c>
      <c r="B613" s="2" t="s">
        <v>3443</v>
      </c>
      <c r="C613" s="2" t="s">
        <v>3444</v>
      </c>
      <c r="D613" s="2" t="s">
        <v>3445</v>
      </c>
      <c r="E613" s="2" t="s">
        <v>3446</v>
      </c>
      <c r="F613" s="2" t="s">
        <v>3447</v>
      </c>
      <c r="G613" s="2" t="s">
        <v>31</v>
      </c>
      <c r="H613" s="17">
        <v>25</v>
      </c>
      <c r="I613" s="31">
        <f t="shared" si="66"/>
        <v>25000</v>
      </c>
      <c r="J613" s="31">
        <f t="shared" si="67"/>
        <v>1750.0000000000002</v>
      </c>
      <c r="K613" s="44">
        <f t="shared" si="68"/>
        <v>4.794520547945206</v>
      </c>
      <c r="L613" s="3">
        <f t="shared" si="69"/>
        <v>354.79452054794524</v>
      </c>
      <c r="M613" s="3">
        <f t="shared" si="70"/>
        <v>21.287671232876715</v>
      </c>
      <c r="N613" s="67">
        <f t="shared" si="71"/>
        <v>333.50684931506851</v>
      </c>
      <c r="O613" s="3"/>
      <c r="P613" s="70" t="s">
        <v>18612</v>
      </c>
      <c r="Q613" s="2" t="s">
        <v>103</v>
      </c>
      <c r="R613" s="2" t="s">
        <v>3448</v>
      </c>
      <c r="T613" t="s">
        <v>18666</v>
      </c>
      <c r="U613" t="s">
        <v>18652</v>
      </c>
      <c r="V613" s="104">
        <v>45857</v>
      </c>
      <c r="X613" s="97"/>
      <c r="Y613" s="75">
        <v>333.51</v>
      </c>
    </row>
    <row r="614" spans="1:25" x14ac:dyDescent="0.25">
      <c r="A614" s="76">
        <v>645</v>
      </c>
      <c r="B614" s="2" t="s">
        <v>8550</v>
      </c>
      <c r="C614" s="2" t="s">
        <v>8551</v>
      </c>
      <c r="D614" s="2" t="s">
        <v>3921</v>
      </c>
      <c r="E614" s="2" t="s">
        <v>8552</v>
      </c>
      <c r="F614" s="2" t="s">
        <v>8553</v>
      </c>
      <c r="G614" s="2" t="s">
        <v>5013</v>
      </c>
      <c r="H614" s="17">
        <v>25</v>
      </c>
      <c r="I614" s="31">
        <f t="shared" si="66"/>
        <v>25000</v>
      </c>
      <c r="J614" s="31">
        <f t="shared" si="67"/>
        <v>1750.0000000000002</v>
      </c>
      <c r="K614" s="44">
        <f t="shared" si="68"/>
        <v>4.794520547945206</v>
      </c>
      <c r="L614" s="3">
        <f t="shared" si="69"/>
        <v>354.79452054794524</v>
      </c>
      <c r="M614" s="3">
        <f t="shared" si="70"/>
        <v>21.287671232876715</v>
      </c>
      <c r="N614" s="67">
        <f t="shared" si="71"/>
        <v>333.50684931506851</v>
      </c>
      <c r="O614" s="3"/>
      <c r="P614" s="70" t="s">
        <v>18612</v>
      </c>
      <c r="Q614" s="2" t="s">
        <v>103</v>
      </c>
      <c r="R614" s="2" t="s">
        <v>8554</v>
      </c>
      <c r="T614" t="s">
        <v>18666</v>
      </c>
      <c r="U614" t="s">
        <v>18652</v>
      </c>
      <c r="V614" s="104">
        <v>45857</v>
      </c>
      <c r="X614" s="97"/>
      <c r="Y614" s="75">
        <v>333.51</v>
      </c>
    </row>
    <row r="615" spans="1:25" x14ac:dyDescent="0.25">
      <c r="A615" s="76">
        <v>646</v>
      </c>
      <c r="B615" s="2" t="s">
        <v>16107</v>
      </c>
      <c r="C615" s="2" t="s">
        <v>16108</v>
      </c>
      <c r="D615" s="2" t="s">
        <v>16109</v>
      </c>
      <c r="E615" s="2" t="s">
        <v>16110</v>
      </c>
      <c r="F615" s="2" t="s">
        <v>16111</v>
      </c>
      <c r="G615" s="2" t="s">
        <v>680</v>
      </c>
      <c r="H615" s="17">
        <v>25</v>
      </c>
      <c r="I615" s="31">
        <f t="shared" si="66"/>
        <v>25000</v>
      </c>
      <c r="J615" s="31">
        <f t="shared" si="67"/>
        <v>1750.0000000000002</v>
      </c>
      <c r="K615" s="44">
        <f t="shared" si="68"/>
        <v>4.794520547945206</v>
      </c>
      <c r="L615" s="3">
        <f t="shared" si="69"/>
        <v>354.79452054794524</v>
      </c>
      <c r="M615" s="3">
        <f t="shared" si="70"/>
        <v>21.287671232876715</v>
      </c>
      <c r="N615" s="67">
        <f t="shared" si="71"/>
        <v>333.50684931506851</v>
      </c>
      <c r="O615" s="3"/>
      <c r="P615" s="70" t="s">
        <v>18612</v>
      </c>
      <c r="Q615" s="2" t="s">
        <v>103</v>
      </c>
      <c r="R615" s="2" t="s">
        <v>16112</v>
      </c>
      <c r="T615" t="s">
        <v>18666</v>
      </c>
      <c r="U615" t="s">
        <v>18652</v>
      </c>
      <c r="V615" s="104">
        <v>45857</v>
      </c>
      <c r="X615" s="97"/>
      <c r="Y615" s="75">
        <v>333.51</v>
      </c>
    </row>
    <row r="616" spans="1:25" x14ac:dyDescent="0.25">
      <c r="A616" s="76">
        <v>647</v>
      </c>
      <c r="B616" s="2" t="s">
        <v>3477</v>
      </c>
      <c r="C616" s="2" t="s">
        <v>3478</v>
      </c>
      <c r="D616" s="2" t="s">
        <v>3479</v>
      </c>
      <c r="E616" s="2" t="s">
        <v>3480</v>
      </c>
      <c r="F616" s="2" t="s">
        <v>3481</v>
      </c>
      <c r="G616" s="2" t="s">
        <v>31</v>
      </c>
      <c r="H616" s="17">
        <v>100</v>
      </c>
      <c r="I616" s="31">
        <f t="shared" si="66"/>
        <v>100000</v>
      </c>
      <c r="J616" s="31">
        <f t="shared" si="67"/>
        <v>7000.0000000000009</v>
      </c>
      <c r="K616" s="44">
        <f t="shared" si="68"/>
        <v>19.178082191780824</v>
      </c>
      <c r="L616" s="3">
        <f t="shared" si="69"/>
        <v>1419.178082191781</v>
      </c>
      <c r="M616" s="3">
        <f t="shared" si="70"/>
        <v>85.150684931506859</v>
      </c>
      <c r="N616" s="67">
        <f t="shared" si="71"/>
        <v>1334.027397260274</v>
      </c>
      <c r="O616" s="3"/>
      <c r="P616" s="70" t="s">
        <v>18612</v>
      </c>
      <c r="Q616" s="2" t="s">
        <v>103</v>
      </c>
      <c r="R616" s="2" t="s">
        <v>3482</v>
      </c>
      <c r="T616" t="s">
        <v>18666</v>
      </c>
      <c r="U616" t="s">
        <v>18652</v>
      </c>
      <c r="V616" s="104">
        <v>45857</v>
      </c>
      <c r="X616" s="97"/>
      <c r="Y616" s="75">
        <v>1334.03</v>
      </c>
    </row>
    <row r="617" spans="1:25" x14ac:dyDescent="0.25">
      <c r="A617" s="76">
        <v>648</v>
      </c>
      <c r="B617" s="2" t="s">
        <v>8338</v>
      </c>
      <c r="C617" s="2" t="s">
        <v>8339</v>
      </c>
      <c r="D617" s="2" t="s">
        <v>8340</v>
      </c>
      <c r="E617" s="2" t="s">
        <v>8341</v>
      </c>
      <c r="F617" s="2" t="s">
        <v>8342</v>
      </c>
      <c r="G617" s="2" t="s">
        <v>524</v>
      </c>
      <c r="H617" s="17">
        <v>25</v>
      </c>
      <c r="I617" s="31">
        <f t="shared" si="66"/>
        <v>25000</v>
      </c>
      <c r="J617" s="31">
        <f t="shared" si="67"/>
        <v>1750.0000000000002</v>
      </c>
      <c r="K617" s="44">
        <f t="shared" si="68"/>
        <v>4.794520547945206</v>
      </c>
      <c r="L617" s="3">
        <f t="shared" si="69"/>
        <v>354.79452054794524</v>
      </c>
      <c r="M617" s="3">
        <f t="shared" si="70"/>
        <v>21.287671232876715</v>
      </c>
      <c r="N617" s="67">
        <f t="shared" si="71"/>
        <v>333.50684931506851</v>
      </c>
      <c r="O617" s="3"/>
      <c r="P617" s="70" t="s">
        <v>18612</v>
      </c>
      <c r="Q617" s="2" t="s">
        <v>103</v>
      </c>
      <c r="R617" s="2" t="s">
        <v>8343</v>
      </c>
      <c r="T617" t="s">
        <v>18666</v>
      </c>
      <c r="U617" t="s">
        <v>18652</v>
      </c>
      <c r="V617" s="104">
        <v>45857</v>
      </c>
      <c r="X617" s="97"/>
      <c r="Y617" s="75">
        <v>333.51</v>
      </c>
    </row>
    <row r="618" spans="1:25" x14ac:dyDescent="0.25">
      <c r="A618" s="76">
        <v>649</v>
      </c>
      <c r="B618" s="2" t="s">
        <v>3772</v>
      </c>
      <c r="C618" s="2" t="s">
        <v>3773</v>
      </c>
      <c r="D618" s="2" t="s">
        <v>3774</v>
      </c>
      <c r="E618" s="2" t="s">
        <v>3775</v>
      </c>
      <c r="F618" s="2" t="s">
        <v>3776</v>
      </c>
      <c r="G618" s="2" t="s">
        <v>939</v>
      </c>
      <c r="H618" s="17">
        <v>25</v>
      </c>
      <c r="I618" s="31">
        <f t="shared" si="66"/>
        <v>25000</v>
      </c>
      <c r="J618" s="31">
        <f t="shared" si="67"/>
        <v>1750.0000000000002</v>
      </c>
      <c r="K618" s="44">
        <f t="shared" si="68"/>
        <v>4.794520547945206</v>
      </c>
      <c r="L618" s="3">
        <f t="shared" si="69"/>
        <v>354.79452054794524</v>
      </c>
      <c r="M618" s="3">
        <f t="shared" si="70"/>
        <v>21.287671232876715</v>
      </c>
      <c r="N618" s="67">
        <f t="shared" si="71"/>
        <v>333.50684931506851</v>
      </c>
      <c r="O618" s="3"/>
      <c r="P618" s="70" t="s">
        <v>18612</v>
      </c>
      <c r="Q618" s="2" t="s">
        <v>103</v>
      </c>
      <c r="R618" s="2" t="s">
        <v>3777</v>
      </c>
      <c r="T618" t="s">
        <v>18666</v>
      </c>
      <c r="U618" t="s">
        <v>18652</v>
      </c>
      <c r="V618" s="104">
        <v>45857</v>
      </c>
      <c r="X618" s="97"/>
      <c r="Y618" s="75">
        <v>333.51</v>
      </c>
    </row>
    <row r="619" spans="1:25" x14ac:dyDescent="0.25">
      <c r="A619" s="76">
        <v>650</v>
      </c>
      <c r="B619" s="2" t="s">
        <v>452</v>
      </c>
      <c r="C619" s="2" t="s">
        <v>453</v>
      </c>
      <c r="D619" s="2" t="s">
        <v>454</v>
      </c>
      <c r="E619" s="2" t="s">
        <v>455</v>
      </c>
      <c r="F619" s="2" t="s">
        <v>456</v>
      </c>
      <c r="G619" s="2" t="s">
        <v>23</v>
      </c>
      <c r="H619" s="17">
        <v>25</v>
      </c>
      <c r="I619" s="31">
        <f t="shared" si="66"/>
        <v>25000</v>
      </c>
      <c r="J619" s="31">
        <f t="shared" si="67"/>
        <v>1750.0000000000002</v>
      </c>
      <c r="K619" s="44">
        <f t="shared" si="68"/>
        <v>4.794520547945206</v>
      </c>
      <c r="L619" s="3">
        <f t="shared" si="69"/>
        <v>354.79452054794524</v>
      </c>
      <c r="M619" s="3">
        <f t="shared" si="70"/>
        <v>21.287671232876715</v>
      </c>
      <c r="N619" s="67">
        <f t="shared" si="71"/>
        <v>333.50684931506851</v>
      </c>
      <c r="O619" s="3"/>
      <c r="P619" s="70" t="s">
        <v>18612</v>
      </c>
      <c r="Q619" s="2" t="s">
        <v>103</v>
      </c>
      <c r="R619" s="2" t="s">
        <v>457</v>
      </c>
      <c r="T619" t="s">
        <v>18666</v>
      </c>
      <c r="U619" t="s">
        <v>18652</v>
      </c>
      <c r="V619" s="104">
        <v>45857</v>
      </c>
      <c r="X619" s="97"/>
      <c r="Y619" s="75">
        <v>333.51</v>
      </c>
    </row>
    <row r="620" spans="1:25" x14ac:dyDescent="0.25">
      <c r="A620" s="76">
        <v>651</v>
      </c>
      <c r="B620" s="2" t="s">
        <v>3171</v>
      </c>
      <c r="C620" s="2" t="s">
        <v>3172</v>
      </c>
      <c r="D620" s="2" t="s">
        <v>3173</v>
      </c>
      <c r="E620" s="2" t="s">
        <v>3174</v>
      </c>
      <c r="F620" s="2" t="s">
        <v>3175</v>
      </c>
      <c r="G620" s="2" t="s">
        <v>599</v>
      </c>
      <c r="H620" s="17">
        <v>25</v>
      </c>
      <c r="I620" s="31">
        <f t="shared" si="66"/>
        <v>25000</v>
      </c>
      <c r="J620" s="31">
        <f t="shared" si="67"/>
        <v>1750.0000000000002</v>
      </c>
      <c r="K620" s="44">
        <f t="shared" si="68"/>
        <v>4.794520547945206</v>
      </c>
      <c r="L620" s="3">
        <f t="shared" si="69"/>
        <v>354.79452054794524</v>
      </c>
      <c r="M620" s="3">
        <f t="shared" si="70"/>
        <v>21.287671232876715</v>
      </c>
      <c r="N620" s="67">
        <f t="shared" si="71"/>
        <v>333.50684931506851</v>
      </c>
      <c r="O620" s="3"/>
      <c r="P620" s="70" t="s">
        <v>18612</v>
      </c>
      <c r="Q620" s="2" t="s">
        <v>103</v>
      </c>
      <c r="R620" s="2" t="s">
        <v>3176</v>
      </c>
      <c r="T620" t="s">
        <v>18666</v>
      </c>
      <c r="U620" t="s">
        <v>18652</v>
      </c>
      <c r="V620" s="104">
        <v>45857</v>
      </c>
      <c r="X620" s="97"/>
      <c r="Y620" s="75">
        <v>333.51</v>
      </c>
    </row>
    <row r="621" spans="1:25" x14ac:dyDescent="0.25">
      <c r="A621" s="76">
        <v>652</v>
      </c>
      <c r="B621" s="2" t="s">
        <v>5899</v>
      </c>
      <c r="C621" s="2" t="s">
        <v>5900</v>
      </c>
      <c r="D621" s="2" t="s">
        <v>5901</v>
      </c>
      <c r="E621" s="2" t="s">
        <v>5902</v>
      </c>
      <c r="F621" s="2" t="s">
        <v>5903</v>
      </c>
      <c r="G621" s="2" t="s">
        <v>247</v>
      </c>
      <c r="H621" s="17">
        <v>25</v>
      </c>
      <c r="I621" s="31">
        <f t="shared" si="66"/>
        <v>25000</v>
      </c>
      <c r="J621" s="31">
        <f t="shared" si="67"/>
        <v>1750.0000000000002</v>
      </c>
      <c r="K621" s="44">
        <f t="shared" si="68"/>
        <v>4.794520547945206</v>
      </c>
      <c r="L621" s="3">
        <f t="shared" si="69"/>
        <v>354.79452054794524</v>
      </c>
      <c r="M621" s="3">
        <f t="shared" si="70"/>
        <v>21.287671232876715</v>
      </c>
      <c r="N621" s="67">
        <f t="shared" si="71"/>
        <v>333.50684931506851</v>
      </c>
      <c r="O621" s="3"/>
      <c r="P621" s="70" t="s">
        <v>18612</v>
      </c>
      <c r="Q621" s="2" t="s">
        <v>103</v>
      </c>
      <c r="R621" s="2" t="s">
        <v>5904</v>
      </c>
      <c r="T621" t="s">
        <v>18666</v>
      </c>
      <c r="U621" t="s">
        <v>18652</v>
      </c>
      <c r="V621" s="104">
        <v>45857</v>
      </c>
      <c r="X621" s="97"/>
      <c r="Y621" s="75">
        <v>333.51</v>
      </c>
    </row>
    <row r="622" spans="1:25" x14ac:dyDescent="0.25">
      <c r="A622" s="76">
        <v>653</v>
      </c>
      <c r="B622" s="2" t="s">
        <v>1310</v>
      </c>
      <c r="C622" s="2" t="s">
        <v>1311</v>
      </c>
      <c r="D622" s="2" t="s">
        <v>1312</v>
      </c>
      <c r="E622" s="2" t="s">
        <v>1313</v>
      </c>
      <c r="F622" s="2" t="s">
        <v>1314</v>
      </c>
      <c r="G622" s="2" t="s">
        <v>1315</v>
      </c>
      <c r="H622" s="17">
        <v>25</v>
      </c>
      <c r="I622" s="31">
        <f t="shared" si="66"/>
        <v>25000</v>
      </c>
      <c r="J622" s="31">
        <f t="shared" si="67"/>
        <v>1750.0000000000002</v>
      </c>
      <c r="K622" s="44">
        <f t="shared" si="68"/>
        <v>4.794520547945206</v>
      </c>
      <c r="L622" s="3">
        <f t="shared" si="69"/>
        <v>354.79452054794524</v>
      </c>
      <c r="M622" s="3">
        <f t="shared" si="70"/>
        <v>21.287671232876715</v>
      </c>
      <c r="N622" s="67">
        <f t="shared" si="71"/>
        <v>333.50684931506851</v>
      </c>
      <c r="O622" s="3"/>
      <c r="P622" s="70" t="s">
        <v>18612</v>
      </c>
      <c r="Q622" s="2" t="s">
        <v>103</v>
      </c>
      <c r="R622" s="2" t="s">
        <v>1316</v>
      </c>
      <c r="T622" t="s">
        <v>18666</v>
      </c>
      <c r="U622" t="s">
        <v>18652</v>
      </c>
      <c r="V622" s="104">
        <v>45857</v>
      </c>
      <c r="X622" s="97"/>
      <c r="Y622" s="75">
        <v>333.51</v>
      </c>
    </row>
    <row r="623" spans="1:25" x14ac:dyDescent="0.25">
      <c r="A623" s="76">
        <v>654</v>
      </c>
      <c r="B623" s="2" t="s">
        <v>18297</v>
      </c>
      <c r="C623" s="2" t="s">
        <v>18298</v>
      </c>
      <c r="D623" s="2" t="s">
        <v>18299</v>
      </c>
      <c r="E623" s="2" t="s">
        <v>18300</v>
      </c>
      <c r="F623" s="2" t="s">
        <v>18301</v>
      </c>
      <c r="G623" s="2" t="s">
        <v>233</v>
      </c>
      <c r="H623" s="17">
        <v>400</v>
      </c>
      <c r="I623" s="31">
        <f t="shared" si="66"/>
        <v>400000</v>
      </c>
      <c r="J623" s="31">
        <f t="shared" si="67"/>
        <v>28000.000000000004</v>
      </c>
      <c r="K623" s="44">
        <f t="shared" si="68"/>
        <v>76.712328767123296</v>
      </c>
      <c r="L623" s="3">
        <f t="shared" si="69"/>
        <v>5676.7123287671238</v>
      </c>
      <c r="M623" s="3">
        <f t="shared" si="70"/>
        <v>340.60273972602744</v>
      </c>
      <c r="N623" s="67">
        <f t="shared" si="71"/>
        <v>5336.1095890410961</v>
      </c>
      <c r="O623" s="3"/>
      <c r="P623" s="70" t="s">
        <v>18612</v>
      </c>
      <c r="Q623" s="2" t="s">
        <v>103</v>
      </c>
      <c r="R623" s="2" t="s">
        <v>18302</v>
      </c>
      <c r="T623" t="s">
        <v>18666</v>
      </c>
      <c r="U623" t="s">
        <v>18652</v>
      </c>
      <c r="V623" s="104">
        <v>45857</v>
      </c>
      <c r="X623" s="97"/>
      <c r="Y623" s="75">
        <v>5336.1100000000006</v>
      </c>
    </row>
    <row r="624" spans="1:25" x14ac:dyDescent="0.25">
      <c r="A624" s="76">
        <v>655</v>
      </c>
      <c r="B624" s="2" t="s">
        <v>11252</v>
      </c>
      <c r="C624" s="2" t="s">
        <v>11253</v>
      </c>
      <c r="D624" s="2" t="s">
        <v>11254</v>
      </c>
      <c r="E624" s="2" t="s">
        <v>11255</v>
      </c>
      <c r="F624" s="2" t="s">
        <v>11256</v>
      </c>
      <c r="G624" s="2" t="s">
        <v>362</v>
      </c>
      <c r="H624" s="17">
        <v>25</v>
      </c>
      <c r="I624" s="31">
        <f t="shared" si="66"/>
        <v>25000</v>
      </c>
      <c r="J624" s="31">
        <f t="shared" si="67"/>
        <v>1750.0000000000002</v>
      </c>
      <c r="K624" s="44">
        <f t="shared" si="68"/>
        <v>4.794520547945206</v>
      </c>
      <c r="L624" s="3">
        <f t="shared" si="69"/>
        <v>354.79452054794524</v>
      </c>
      <c r="M624" s="3">
        <f t="shared" si="70"/>
        <v>21.287671232876715</v>
      </c>
      <c r="N624" s="67">
        <f t="shared" si="71"/>
        <v>333.50684931506851</v>
      </c>
      <c r="O624" s="3"/>
      <c r="P624" s="70" t="s">
        <v>18612</v>
      </c>
      <c r="Q624" s="2" t="s">
        <v>103</v>
      </c>
      <c r="R624" s="2" t="s">
        <v>11257</v>
      </c>
      <c r="T624" t="s">
        <v>18666</v>
      </c>
      <c r="U624" t="s">
        <v>18652</v>
      </c>
      <c r="V624" s="104">
        <v>45857</v>
      </c>
      <c r="X624" s="97"/>
      <c r="Y624" s="75">
        <v>333.51</v>
      </c>
    </row>
    <row r="625" spans="1:25" x14ac:dyDescent="0.25">
      <c r="A625" s="76">
        <v>656</v>
      </c>
      <c r="B625" s="2" t="s">
        <v>17359</v>
      </c>
      <c r="C625" s="2" t="s">
        <v>17360</v>
      </c>
      <c r="D625" s="2" t="s">
        <v>6468</v>
      </c>
      <c r="E625" s="2" t="s">
        <v>17361</v>
      </c>
      <c r="F625" s="2" t="s">
        <v>17362</v>
      </c>
      <c r="G625" s="2" t="s">
        <v>2380</v>
      </c>
      <c r="H625" s="17">
        <v>25</v>
      </c>
      <c r="I625" s="31">
        <f t="shared" si="66"/>
        <v>25000</v>
      </c>
      <c r="J625" s="31">
        <f t="shared" si="67"/>
        <v>1750.0000000000002</v>
      </c>
      <c r="K625" s="44">
        <f t="shared" si="68"/>
        <v>4.794520547945206</v>
      </c>
      <c r="L625" s="3">
        <f t="shared" si="69"/>
        <v>354.79452054794524</v>
      </c>
      <c r="M625" s="3">
        <f t="shared" si="70"/>
        <v>21.287671232876715</v>
      </c>
      <c r="N625" s="67">
        <f t="shared" si="71"/>
        <v>333.50684931506851</v>
      </c>
      <c r="O625" s="3"/>
      <c r="P625" s="70" t="s">
        <v>18612</v>
      </c>
      <c r="Q625" s="2" t="s">
        <v>103</v>
      </c>
      <c r="R625" s="2" t="s">
        <v>17363</v>
      </c>
      <c r="T625" t="s">
        <v>18666</v>
      </c>
      <c r="U625" t="s">
        <v>18652</v>
      </c>
      <c r="V625" s="104">
        <v>45857</v>
      </c>
      <c r="X625" s="97"/>
      <c r="Y625" s="75">
        <v>333.51</v>
      </c>
    </row>
    <row r="626" spans="1:25" x14ac:dyDescent="0.25">
      <c r="A626" s="76">
        <v>657</v>
      </c>
      <c r="B626" s="2" t="s">
        <v>6466</v>
      </c>
      <c r="C626" s="2" t="s">
        <v>6467</v>
      </c>
      <c r="D626" s="2" t="s">
        <v>6468</v>
      </c>
      <c r="E626" s="2" t="s">
        <v>6469</v>
      </c>
      <c r="F626" s="2" t="s">
        <v>6470</v>
      </c>
      <c r="G626" s="2" t="s">
        <v>23</v>
      </c>
      <c r="H626" s="17">
        <v>25</v>
      </c>
      <c r="I626" s="31">
        <f t="shared" si="66"/>
        <v>25000</v>
      </c>
      <c r="J626" s="31">
        <f t="shared" si="67"/>
        <v>1750.0000000000002</v>
      </c>
      <c r="K626" s="44">
        <f t="shared" si="68"/>
        <v>4.794520547945206</v>
      </c>
      <c r="L626" s="3">
        <f t="shared" si="69"/>
        <v>354.79452054794524</v>
      </c>
      <c r="M626" s="3">
        <f t="shared" si="70"/>
        <v>21.287671232876715</v>
      </c>
      <c r="N626" s="67">
        <f t="shared" si="71"/>
        <v>333.50684931506851</v>
      </c>
      <c r="O626" s="3"/>
      <c r="P626" s="70" t="s">
        <v>18612</v>
      </c>
      <c r="Q626" s="2" t="s">
        <v>103</v>
      </c>
      <c r="R626" s="2" t="s">
        <v>6471</v>
      </c>
      <c r="T626" t="s">
        <v>18666</v>
      </c>
      <c r="U626" t="s">
        <v>18652</v>
      </c>
      <c r="V626" s="104">
        <v>45857</v>
      </c>
      <c r="X626" s="97"/>
      <c r="Y626" s="75">
        <v>333.51</v>
      </c>
    </row>
    <row r="627" spans="1:25" x14ac:dyDescent="0.25">
      <c r="A627" s="76">
        <v>658</v>
      </c>
      <c r="B627" s="2" t="s">
        <v>5820</v>
      </c>
      <c r="C627" s="2" t="s">
        <v>5821</v>
      </c>
      <c r="D627" s="2" t="s">
        <v>5822</v>
      </c>
      <c r="E627" s="2" t="s">
        <v>5823</v>
      </c>
      <c r="F627" s="2" t="s">
        <v>5824</v>
      </c>
      <c r="G627" s="2" t="s">
        <v>23</v>
      </c>
      <c r="H627" s="17">
        <v>100</v>
      </c>
      <c r="I627" s="31">
        <f t="shared" si="66"/>
        <v>100000</v>
      </c>
      <c r="J627" s="31">
        <f t="shared" si="67"/>
        <v>7000.0000000000009</v>
      </c>
      <c r="K627" s="44">
        <f t="shared" si="68"/>
        <v>19.178082191780824</v>
      </c>
      <c r="L627" s="3">
        <f t="shared" si="69"/>
        <v>1419.178082191781</v>
      </c>
      <c r="M627" s="3">
        <f t="shared" si="70"/>
        <v>85.150684931506859</v>
      </c>
      <c r="N627" s="67">
        <f t="shared" si="71"/>
        <v>1334.027397260274</v>
      </c>
      <c r="O627" s="3"/>
      <c r="P627" s="70" t="s">
        <v>18612</v>
      </c>
      <c r="Q627" s="2" t="s">
        <v>103</v>
      </c>
      <c r="R627" s="2" t="s">
        <v>5825</v>
      </c>
      <c r="T627" t="s">
        <v>18666</v>
      </c>
      <c r="U627" t="s">
        <v>18652</v>
      </c>
      <c r="V627" s="104">
        <v>45857</v>
      </c>
      <c r="X627" s="97"/>
      <c r="Y627" s="75">
        <v>1334.03</v>
      </c>
    </row>
    <row r="628" spans="1:25" x14ac:dyDescent="0.25">
      <c r="A628" s="76">
        <v>659</v>
      </c>
      <c r="B628" s="2" t="s">
        <v>15457</v>
      </c>
      <c r="C628" s="2" t="s">
        <v>15458</v>
      </c>
      <c r="D628" s="2" t="s">
        <v>15459</v>
      </c>
      <c r="E628" s="2" t="s">
        <v>15460</v>
      </c>
      <c r="F628" s="2" t="s">
        <v>15461</v>
      </c>
      <c r="G628" s="2" t="s">
        <v>599</v>
      </c>
      <c r="H628" s="17">
        <v>30</v>
      </c>
      <c r="I628" s="31">
        <f t="shared" si="66"/>
        <v>30000</v>
      </c>
      <c r="J628" s="31">
        <f t="shared" si="67"/>
        <v>2100</v>
      </c>
      <c r="K628" s="44">
        <f t="shared" si="68"/>
        <v>5.7534246575342465</v>
      </c>
      <c r="L628" s="3">
        <f t="shared" si="69"/>
        <v>425.75342465753425</v>
      </c>
      <c r="M628" s="3">
        <f t="shared" si="70"/>
        <v>25.545205479452054</v>
      </c>
      <c r="N628" s="67">
        <f t="shared" si="71"/>
        <v>400.20821917808217</v>
      </c>
      <c r="O628" s="3"/>
      <c r="P628" s="70" t="s">
        <v>18612</v>
      </c>
      <c r="Q628" s="2" t="s">
        <v>103</v>
      </c>
      <c r="R628" s="2" t="s">
        <v>15462</v>
      </c>
      <c r="T628" t="s">
        <v>18666</v>
      </c>
      <c r="U628" t="s">
        <v>18652</v>
      </c>
      <c r="V628" s="104">
        <v>45857</v>
      </c>
      <c r="X628" s="97"/>
      <c r="Y628" s="75">
        <v>400.21</v>
      </c>
    </row>
    <row r="629" spans="1:25" x14ac:dyDescent="0.25">
      <c r="A629" s="76">
        <v>660</v>
      </c>
      <c r="B629" s="2" t="s">
        <v>14163</v>
      </c>
      <c r="C629" s="2" t="s">
        <v>14164</v>
      </c>
      <c r="D629" s="2" t="s">
        <v>14165</v>
      </c>
      <c r="E629" s="2" t="s">
        <v>14166</v>
      </c>
      <c r="F629" s="2" t="s">
        <v>14167</v>
      </c>
      <c r="G629" s="2" t="s">
        <v>275</v>
      </c>
      <c r="H629" s="17">
        <v>25</v>
      </c>
      <c r="I629" s="31">
        <f t="shared" si="66"/>
        <v>25000</v>
      </c>
      <c r="J629" s="31">
        <f t="shared" si="67"/>
        <v>1750.0000000000002</v>
      </c>
      <c r="K629" s="44">
        <f t="shared" si="68"/>
        <v>4.794520547945206</v>
      </c>
      <c r="L629" s="3">
        <f t="shared" si="69"/>
        <v>354.79452054794524</v>
      </c>
      <c r="M629" s="3">
        <f t="shared" si="70"/>
        <v>21.287671232876715</v>
      </c>
      <c r="N629" s="67">
        <f t="shared" si="71"/>
        <v>333.50684931506851</v>
      </c>
      <c r="O629" s="3"/>
      <c r="P629" s="70" t="s">
        <v>18612</v>
      </c>
      <c r="Q629" s="2" t="s">
        <v>103</v>
      </c>
      <c r="R629" s="2" t="s">
        <v>14168</v>
      </c>
      <c r="T629" t="s">
        <v>18666</v>
      </c>
      <c r="U629" t="s">
        <v>18652</v>
      </c>
      <c r="V629" s="104">
        <v>45857</v>
      </c>
      <c r="X629" s="97"/>
      <c r="Y629" s="75">
        <v>333.51</v>
      </c>
    </row>
    <row r="630" spans="1:25" x14ac:dyDescent="0.25">
      <c r="A630" s="76">
        <v>661</v>
      </c>
      <c r="B630" s="2" t="s">
        <v>16264</v>
      </c>
      <c r="C630" s="2" t="s">
        <v>16265</v>
      </c>
      <c r="D630" s="2" t="s">
        <v>16266</v>
      </c>
      <c r="E630" s="2" t="s">
        <v>16267</v>
      </c>
      <c r="F630" s="2" t="s">
        <v>16268</v>
      </c>
      <c r="G630" s="2" t="s">
        <v>166</v>
      </c>
      <c r="H630" s="17">
        <v>500</v>
      </c>
      <c r="I630" s="31">
        <f t="shared" si="66"/>
        <v>500000</v>
      </c>
      <c r="J630" s="31">
        <f t="shared" si="67"/>
        <v>35000</v>
      </c>
      <c r="K630" s="44">
        <f t="shared" si="68"/>
        <v>95.890410958904113</v>
      </c>
      <c r="L630" s="3">
        <f t="shared" si="69"/>
        <v>7095.8904109589039</v>
      </c>
      <c r="M630" s="3">
        <f t="shared" si="70"/>
        <v>425.7534246575342</v>
      </c>
      <c r="N630" s="67">
        <f t="shared" si="71"/>
        <v>6670.1369863013697</v>
      </c>
      <c r="O630" s="3"/>
      <c r="P630" s="70" t="s">
        <v>18612</v>
      </c>
      <c r="Q630" s="2" t="s">
        <v>103</v>
      </c>
      <c r="R630" s="2" t="s">
        <v>16269</v>
      </c>
      <c r="T630" t="s">
        <v>18666</v>
      </c>
      <c r="U630" t="s">
        <v>18652</v>
      </c>
      <c r="V630" s="104">
        <v>45857</v>
      </c>
      <c r="X630" s="97"/>
      <c r="Y630" s="75">
        <v>6670.14</v>
      </c>
    </row>
    <row r="631" spans="1:25" x14ac:dyDescent="0.25">
      <c r="A631" s="76">
        <v>662</v>
      </c>
      <c r="B631" s="2" t="s">
        <v>8619</v>
      </c>
      <c r="C631" s="2" t="s">
        <v>8620</v>
      </c>
      <c r="D631" s="2" t="s">
        <v>8621</v>
      </c>
      <c r="E631" s="2" t="s">
        <v>8622</v>
      </c>
      <c r="F631" s="2" t="s">
        <v>8623</v>
      </c>
      <c r="G631" s="2" t="s">
        <v>226</v>
      </c>
      <c r="H631" s="17">
        <v>25</v>
      </c>
      <c r="I631" s="31">
        <f t="shared" si="66"/>
        <v>25000</v>
      </c>
      <c r="J631" s="31">
        <f t="shared" si="67"/>
        <v>1750.0000000000002</v>
      </c>
      <c r="K631" s="44">
        <f t="shared" si="68"/>
        <v>4.794520547945206</v>
      </c>
      <c r="L631" s="3">
        <f t="shared" si="69"/>
        <v>354.79452054794524</v>
      </c>
      <c r="M631" s="3">
        <f t="shared" si="70"/>
        <v>21.287671232876715</v>
      </c>
      <c r="N631" s="67">
        <f t="shared" si="71"/>
        <v>333.50684931506851</v>
      </c>
      <c r="O631" s="3"/>
      <c r="P631" s="70" t="s">
        <v>18612</v>
      </c>
      <c r="Q631" s="2" t="s">
        <v>103</v>
      </c>
      <c r="R631" s="2" t="s">
        <v>8624</v>
      </c>
      <c r="T631" t="s">
        <v>18666</v>
      </c>
      <c r="U631" t="s">
        <v>18652</v>
      </c>
      <c r="V631" s="104">
        <v>45857</v>
      </c>
      <c r="X631" s="97"/>
      <c r="Y631" s="75">
        <v>333.51</v>
      </c>
    </row>
    <row r="632" spans="1:25" x14ac:dyDescent="0.25">
      <c r="A632" s="76">
        <v>663</v>
      </c>
      <c r="B632" s="2" t="s">
        <v>4983</v>
      </c>
      <c r="C632" s="2" t="s">
        <v>4984</v>
      </c>
      <c r="D632" s="2" t="s">
        <v>4985</v>
      </c>
      <c r="E632" s="2" t="s">
        <v>4986</v>
      </c>
      <c r="F632" s="2" t="s">
        <v>4987</v>
      </c>
      <c r="G632" s="2" t="s">
        <v>718</v>
      </c>
      <c r="H632" s="17">
        <v>500</v>
      </c>
      <c r="I632" s="31">
        <f t="shared" si="66"/>
        <v>500000</v>
      </c>
      <c r="J632" s="31">
        <f t="shared" si="67"/>
        <v>35000</v>
      </c>
      <c r="K632" s="44">
        <f t="shared" si="68"/>
        <v>95.890410958904113</v>
      </c>
      <c r="L632" s="3">
        <f t="shared" si="69"/>
        <v>7095.8904109589039</v>
      </c>
      <c r="M632" s="3">
        <f t="shared" si="70"/>
        <v>425.7534246575342</v>
      </c>
      <c r="N632" s="67">
        <f t="shared" si="71"/>
        <v>6670.1369863013697</v>
      </c>
      <c r="O632" s="3"/>
      <c r="P632" s="70" t="s">
        <v>18612</v>
      </c>
      <c r="Q632" s="2" t="s">
        <v>103</v>
      </c>
      <c r="R632" s="2" t="s">
        <v>4988</v>
      </c>
      <c r="T632" t="s">
        <v>18666</v>
      </c>
      <c r="U632" t="s">
        <v>18652</v>
      </c>
      <c r="V632" s="104">
        <v>45857</v>
      </c>
      <c r="X632" s="97"/>
      <c r="Y632" s="75">
        <v>6670.14</v>
      </c>
    </row>
    <row r="633" spans="1:25" x14ac:dyDescent="0.25">
      <c r="A633" s="76">
        <v>664</v>
      </c>
      <c r="B633" s="2" t="s">
        <v>17789</v>
      </c>
      <c r="C633" s="2" t="s">
        <v>17790</v>
      </c>
      <c r="D633" s="2" t="s">
        <v>17791</v>
      </c>
      <c r="E633" s="2" t="s">
        <v>17792</v>
      </c>
      <c r="F633" s="2" t="s">
        <v>17793</v>
      </c>
      <c r="G633" s="2" t="s">
        <v>193</v>
      </c>
      <c r="H633" s="17">
        <v>25</v>
      </c>
      <c r="I633" s="31">
        <f t="shared" si="66"/>
        <v>25000</v>
      </c>
      <c r="J633" s="31">
        <f t="shared" si="67"/>
        <v>1750.0000000000002</v>
      </c>
      <c r="K633" s="44">
        <f t="shared" si="68"/>
        <v>4.794520547945206</v>
      </c>
      <c r="L633" s="3">
        <f t="shared" si="69"/>
        <v>354.79452054794524</v>
      </c>
      <c r="M633" s="3">
        <f t="shared" si="70"/>
        <v>21.287671232876715</v>
      </c>
      <c r="N633" s="67">
        <f t="shared" si="71"/>
        <v>333.50684931506851</v>
      </c>
      <c r="O633" s="3"/>
      <c r="P633" s="70" t="s">
        <v>18612</v>
      </c>
      <c r="Q633" s="2" t="s">
        <v>103</v>
      </c>
      <c r="R633" s="2" t="s">
        <v>17794</v>
      </c>
      <c r="T633" t="s">
        <v>18666</v>
      </c>
      <c r="U633" t="s">
        <v>18652</v>
      </c>
      <c r="V633" s="104">
        <v>45857</v>
      </c>
      <c r="X633" s="97"/>
      <c r="Y633" s="75">
        <v>333.51</v>
      </c>
    </row>
    <row r="634" spans="1:25" x14ac:dyDescent="0.25">
      <c r="A634" s="76">
        <v>665</v>
      </c>
      <c r="B634" s="2" t="s">
        <v>12270</v>
      </c>
      <c r="C634" s="2" t="s">
        <v>12271</v>
      </c>
      <c r="D634" s="2" t="s">
        <v>12272</v>
      </c>
      <c r="E634" s="2" t="s">
        <v>12273</v>
      </c>
      <c r="F634" s="2" t="s">
        <v>12274</v>
      </c>
      <c r="G634" s="2" t="s">
        <v>31</v>
      </c>
      <c r="H634" s="17">
        <v>100</v>
      </c>
      <c r="I634" s="31">
        <f t="shared" si="66"/>
        <v>100000</v>
      </c>
      <c r="J634" s="31">
        <f t="shared" si="67"/>
        <v>7000.0000000000009</v>
      </c>
      <c r="K634" s="44">
        <f t="shared" si="68"/>
        <v>19.178082191780824</v>
      </c>
      <c r="L634" s="3">
        <f t="shared" si="69"/>
        <v>1419.178082191781</v>
      </c>
      <c r="M634" s="3">
        <f t="shared" si="70"/>
        <v>85.150684931506859</v>
      </c>
      <c r="N634" s="67">
        <f t="shared" si="71"/>
        <v>1334.027397260274</v>
      </c>
      <c r="O634" s="3"/>
      <c r="P634" s="70" t="s">
        <v>18612</v>
      </c>
      <c r="Q634" s="2" t="s">
        <v>103</v>
      </c>
      <c r="R634" s="2" t="s">
        <v>12275</v>
      </c>
      <c r="T634" t="s">
        <v>18666</v>
      </c>
      <c r="U634" t="s">
        <v>18652</v>
      </c>
      <c r="V634" s="104">
        <v>45857</v>
      </c>
      <c r="X634" s="97"/>
      <c r="Y634" s="75">
        <v>1334.03</v>
      </c>
    </row>
    <row r="635" spans="1:25" x14ac:dyDescent="0.25">
      <c r="A635" s="76">
        <v>666</v>
      </c>
      <c r="B635" s="2" t="s">
        <v>3183</v>
      </c>
      <c r="C635" s="2" t="s">
        <v>3184</v>
      </c>
      <c r="D635" s="2" t="s">
        <v>3185</v>
      </c>
      <c r="E635" s="2" t="s">
        <v>3186</v>
      </c>
      <c r="F635" s="2" t="s">
        <v>3187</v>
      </c>
      <c r="G635" s="2" t="s">
        <v>23</v>
      </c>
      <c r="H635" s="17">
        <v>25</v>
      </c>
      <c r="I635" s="31">
        <f t="shared" si="66"/>
        <v>25000</v>
      </c>
      <c r="J635" s="31">
        <f t="shared" si="67"/>
        <v>1750.0000000000002</v>
      </c>
      <c r="K635" s="44">
        <f t="shared" si="68"/>
        <v>4.794520547945206</v>
      </c>
      <c r="L635" s="3">
        <f t="shared" si="69"/>
        <v>354.79452054794524</v>
      </c>
      <c r="M635" s="3">
        <f t="shared" si="70"/>
        <v>21.287671232876715</v>
      </c>
      <c r="N635" s="67">
        <f t="shared" si="71"/>
        <v>333.50684931506851</v>
      </c>
      <c r="O635" s="3"/>
      <c r="P635" s="70" t="s">
        <v>18612</v>
      </c>
      <c r="Q635" s="2" t="s">
        <v>103</v>
      </c>
      <c r="R635" s="2" t="s">
        <v>3188</v>
      </c>
      <c r="T635" t="s">
        <v>18666</v>
      </c>
      <c r="U635" t="s">
        <v>18652</v>
      </c>
      <c r="V635" s="104">
        <v>45857</v>
      </c>
      <c r="X635" s="97"/>
      <c r="Y635" s="75">
        <v>333.51</v>
      </c>
    </row>
    <row r="636" spans="1:25" x14ac:dyDescent="0.25">
      <c r="A636" s="76">
        <v>667</v>
      </c>
      <c r="B636" s="2" t="s">
        <v>9953</v>
      </c>
      <c r="C636" s="2" t="s">
        <v>9954</v>
      </c>
      <c r="D636" s="2" t="s">
        <v>9955</v>
      </c>
      <c r="E636" s="2" t="s">
        <v>9956</v>
      </c>
      <c r="F636" s="2" t="s">
        <v>9957</v>
      </c>
      <c r="G636" s="2" t="s">
        <v>23</v>
      </c>
      <c r="H636" s="17">
        <v>25</v>
      </c>
      <c r="I636" s="31">
        <f t="shared" si="66"/>
        <v>25000</v>
      </c>
      <c r="J636" s="31">
        <f t="shared" si="67"/>
        <v>1750.0000000000002</v>
      </c>
      <c r="K636" s="44">
        <f t="shared" si="68"/>
        <v>4.794520547945206</v>
      </c>
      <c r="L636" s="3">
        <f t="shared" si="69"/>
        <v>354.79452054794524</v>
      </c>
      <c r="M636" s="3">
        <f t="shared" si="70"/>
        <v>21.287671232876715</v>
      </c>
      <c r="N636" s="67">
        <f t="shared" si="71"/>
        <v>333.50684931506851</v>
      </c>
      <c r="O636" s="3"/>
      <c r="P636" s="70" t="s">
        <v>18612</v>
      </c>
      <c r="Q636" s="2" t="s">
        <v>103</v>
      </c>
      <c r="R636" s="2" t="s">
        <v>9958</v>
      </c>
      <c r="T636" t="s">
        <v>18666</v>
      </c>
      <c r="U636" t="s">
        <v>18652</v>
      </c>
      <c r="V636" s="104">
        <v>45857</v>
      </c>
      <c r="X636" s="97"/>
      <c r="Y636" s="75">
        <v>333.51</v>
      </c>
    </row>
    <row r="637" spans="1:25" x14ac:dyDescent="0.25">
      <c r="A637" s="76">
        <v>668</v>
      </c>
      <c r="B637" s="2" t="s">
        <v>11701</v>
      </c>
      <c r="C637" s="2" t="s">
        <v>11702</v>
      </c>
      <c r="D637" s="2" t="s">
        <v>11703</v>
      </c>
      <c r="E637" s="2" t="s">
        <v>11704</v>
      </c>
      <c r="F637" s="2" t="s">
        <v>11705</v>
      </c>
      <c r="G637" s="2" t="s">
        <v>23</v>
      </c>
      <c r="H637" s="17">
        <v>25</v>
      </c>
      <c r="I637" s="31">
        <f t="shared" si="66"/>
        <v>25000</v>
      </c>
      <c r="J637" s="31">
        <f t="shared" si="67"/>
        <v>1750.0000000000002</v>
      </c>
      <c r="K637" s="44">
        <f t="shared" si="68"/>
        <v>4.794520547945206</v>
      </c>
      <c r="L637" s="3">
        <f t="shared" si="69"/>
        <v>354.79452054794524</v>
      </c>
      <c r="M637" s="3">
        <f t="shared" si="70"/>
        <v>21.287671232876715</v>
      </c>
      <c r="N637" s="67">
        <f t="shared" si="71"/>
        <v>333.50684931506851</v>
      </c>
      <c r="O637" s="3"/>
      <c r="P637" s="70" t="s">
        <v>18612</v>
      </c>
      <c r="Q637" s="2" t="s">
        <v>103</v>
      </c>
      <c r="R637" s="2" t="s">
        <v>11706</v>
      </c>
      <c r="T637" t="s">
        <v>18666</v>
      </c>
      <c r="U637" t="s">
        <v>18652</v>
      </c>
      <c r="V637" s="104">
        <v>45857</v>
      </c>
      <c r="X637" s="97"/>
      <c r="Y637" s="75">
        <v>333.51</v>
      </c>
    </row>
    <row r="638" spans="1:25" x14ac:dyDescent="0.25">
      <c r="A638" s="76">
        <v>669</v>
      </c>
      <c r="B638" s="2" t="s">
        <v>3021</v>
      </c>
      <c r="C638" s="2" t="s">
        <v>3022</v>
      </c>
      <c r="D638" s="2" t="s">
        <v>3023</v>
      </c>
      <c r="E638" s="2" t="s">
        <v>3024</v>
      </c>
      <c r="F638" s="2" t="s">
        <v>3025</v>
      </c>
      <c r="G638" s="2" t="s">
        <v>158</v>
      </c>
      <c r="H638" s="17">
        <v>25</v>
      </c>
      <c r="I638" s="31">
        <f t="shared" si="66"/>
        <v>25000</v>
      </c>
      <c r="J638" s="31">
        <f t="shared" si="67"/>
        <v>1750.0000000000002</v>
      </c>
      <c r="K638" s="44">
        <f t="shared" si="68"/>
        <v>4.794520547945206</v>
      </c>
      <c r="L638" s="3">
        <f t="shared" si="69"/>
        <v>354.79452054794524</v>
      </c>
      <c r="M638" s="3">
        <f t="shared" si="70"/>
        <v>21.287671232876715</v>
      </c>
      <c r="N638" s="67">
        <f t="shared" si="71"/>
        <v>333.50684931506851</v>
      </c>
      <c r="O638" s="3"/>
      <c r="P638" s="70" t="s">
        <v>18612</v>
      </c>
      <c r="Q638" s="2" t="s">
        <v>103</v>
      </c>
      <c r="R638" s="2" t="s">
        <v>3026</v>
      </c>
      <c r="T638" t="s">
        <v>18666</v>
      </c>
      <c r="U638" t="s">
        <v>18652</v>
      </c>
      <c r="V638" s="104">
        <v>45857</v>
      </c>
      <c r="X638" s="97"/>
      <c r="Y638" s="75">
        <v>333.51</v>
      </c>
    </row>
    <row r="639" spans="1:25" x14ac:dyDescent="0.25">
      <c r="A639" s="76">
        <v>670</v>
      </c>
      <c r="B639" s="2" t="s">
        <v>5298</v>
      </c>
      <c r="C639" s="2" t="s">
        <v>5299</v>
      </c>
      <c r="D639" s="2" t="s">
        <v>5300</v>
      </c>
      <c r="E639" s="2" t="s">
        <v>5301</v>
      </c>
      <c r="F639" s="2" t="s">
        <v>5302</v>
      </c>
      <c r="G639" s="2" t="s">
        <v>412</v>
      </c>
      <c r="H639" s="17">
        <v>25</v>
      </c>
      <c r="I639" s="31">
        <f t="shared" si="66"/>
        <v>25000</v>
      </c>
      <c r="J639" s="31">
        <f t="shared" si="67"/>
        <v>1750.0000000000002</v>
      </c>
      <c r="K639" s="44">
        <f t="shared" si="68"/>
        <v>4.794520547945206</v>
      </c>
      <c r="L639" s="3">
        <f t="shared" si="69"/>
        <v>354.79452054794524</v>
      </c>
      <c r="M639" s="3">
        <f t="shared" si="70"/>
        <v>21.287671232876715</v>
      </c>
      <c r="N639" s="67">
        <f t="shared" si="71"/>
        <v>333.50684931506851</v>
      </c>
      <c r="O639" s="3"/>
      <c r="P639" s="70" t="s">
        <v>18612</v>
      </c>
      <c r="Q639" s="2" t="s">
        <v>103</v>
      </c>
      <c r="R639" s="2" t="s">
        <v>5303</v>
      </c>
      <c r="T639" t="s">
        <v>18666</v>
      </c>
      <c r="U639" t="s">
        <v>18652</v>
      </c>
      <c r="V639" s="104">
        <v>45857</v>
      </c>
      <c r="X639" s="97"/>
      <c r="Y639" s="75">
        <v>333.51</v>
      </c>
    </row>
    <row r="640" spans="1:25" x14ac:dyDescent="0.25">
      <c r="A640" s="76">
        <v>671</v>
      </c>
      <c r="B640" s="2" t="s">
        <v>13426</v>
      </c>
      <c r="C640" s="2" t="s">
        <v>13427</v>
      </c>
      <c r="D640" s="2" t="s">
        <v>13428</v>
      </c>
      <c r="E640" s="2" t="s">
        <v>13429</v>
      </c>
      <c r="F640" s="2" t="s">
        <v>13430</v>
      </c>
      <c r="G640" s="2" t="s">
        <v>1055</v>
      </c>
      <c r="H640" s="17">
        <v>300</v>
      </c>
      <c r="I640" s="31">
        <f t="shared" si="66"/>
        <v>300000</v>
      </c>
      <c r="J640" s="31">
        <f t="shared" si="67"/>
        <v>21000.000000000004</v>
      </c>
      <c r="K640" s="44">
        <f t="shared" si="68"/>
        <v>57.534246575342479</v>
      </c>
      <c r="L640" s="3">
        <f t="shared" si="69"/>
        <v>4257.5342465753438</v>
      </c>
      <c r="M640" s="3">
        <f t="shared" si="70"/>
        <v>255.45205479452062</v>
      </c>
      <c r="N640" s="67">
        <f t="shared" si="71"/>
        <v>4002.082191780823</v>
      </c>
      <c r="O640" s="3"/>
      <c r="P640" s="70" t="s">
        <v>18612</v>
      </c>
      <c r="Q640" s="2" t="s">
        <v>103</v>
      </c>
      <c r="R640" s="2" t="s">
        <v>13431</v>
      </c>
      <c r="T640" t="s">
        <v>18666</v>
      </c>
      <c r="U640" t="s">
        <v>18652</v>
      </c>
      <c r="V640" s="104">
        <v>45857</v>
      </c>
      <c r="X640" s="97"/>
      <c r="Y640" s="75">
        <v>4002.09</v>
      </c>
    </row>
    <row r="641" spans="1:25" x14ac:dyDescent="0.25">
      <c r="A641" s="76">
        <v>672</v>
      </c>
      <c r="B641" s="2" t="s">
        <v>15180</v>
      </c>
      <c r="C641" s="2" t="s">
        <v>15181</v>
      </c>
      <c r="D641" s="2" t="s">
        <v>15182</v>
      </c>
      <c r="E641" s="2" t="s">
        <v>15183</v>
      </c>
      <c r="F641" s="2" t="s">
        <v>15184</v>
      </c>
      <c r="G641" s="2" t="s">
        <v>74</v>
      </c>
      <c r="H641" s="17">
        <v>25</v>
      </c>
      <c r="I641" s="31">
        <f t="shared" si="66"/>
        <v>25000</v>
      </c>
      <c r="J641" s="31">
        <f t="shared" si="67"/>
        <v>1750.0000000000002</v>
      </c>
      <c r="K641" s="44">
        <f t="shared" si="68"/>
        <v>4.794520547945206</v>
      </c>
      <c r="L641" s="3">
        <f t="shared" si="69"/>
        <v>354.79452054794524</v>
      </c>
      <c r="M641" s="3">
        <f t="shared" si="70"/>
        <v>21.287671232876715</v>
      </c>
      <c r="N641" s="67">
        <f t="shared" si="71"/>
        <v>333.50684931506851</v>
      </c>
      <c r="O641" s="3"/>
      <c r="P641" s="70" t="s">
        <v>18612</v>
      </c>
      <c r="Q641" s="2" t="s">
        <v>103</v>
      </c>
      <c r="R641" s="2" t="s">
        <v>15185</v>
      </c>
      <c r="T641" t="s">
        <v>18666</v>
      </c>
      <c r="U641" t="s">
        <v>18652</v>
      </c>
      <c r="V641" s="104">
        <v>45857</v>
      </c>
      <c r="X641" s="97"/>
      <c r="Y641" s="75">
        <v>333.51</v>
      </c>
    </row>
    <row r="642" spans="1:25" x14ac:dyDescent="0.25">
      <c r="A642" s="76">
        <v>673</v>
      </c>
      <c r="B642" s="2" t="s">
        <v>8020</v>
      </c>
      <c r="C642" s="2" t="s">
        <v>8021</v>
      </c>
      <c r="D642" s="2" t="s">
        <v>8022</v>
      </c>
      <c r="E642" s="2" t="s">
        <v>8023</v>
      </c>
      <c r="F642" s="2" t="s">
        <v>8024</v>
      </c>
      <c r="G642" s="2" t="s">
        <v>31</v>
      </c>
      <c r="H642" s="17">
        <v>25</v>
      </c>
      <c r="I642" s="31">
        <f t="shared" si="66"/>
        <v>25000</v>
      </c>
      <c r="J642" s="31">
        <f t="shared" si="67"/>
        <v>1750.0000000000002</v>
      </c>
      <c r="K642" s="44">
        <f t="shared" si="68"/>
        <v>4.794520547945206</v>
      </c>
      <c r="L642" s="3">
        <f t="shared" si="69"/>
        <v>354.79452054794524</v>
      </c>
      <c r="M642" s="3">
        <f t="shared" si="70"/>
        <v>21.287671232876715</v>
      </c>
      <c r="N642" s="67">
        <f t="shared" si="71"/>
        <v>333.50684931506851</v>
      </c>
      <c r="O642" s="3"/>
      <c r="P642" s="70" t="s">
        <v>18612</v>
      </c>
      <c r="Q642" s="2" t="s">
        <v>103</v>
      </c>
      <c r="R642" s="2" t="s">
        <v>8025</v>
      </c>
      <c r="T642" t="s">
        <v>18666</v>
      </c>
      <c r="U642" t="s">
        <v>18652</v>
      </c>
      <c r="V642" s="104">
        <v>45857</v>
      </c>
      <c r="X642" s="97"/>
      <c r="Y642" s="75">
        <v>333.51</v>
      </c>
    </row>
    <row r="643" spans="1:25" x14ac:dyDescent="0.25">
      <c r="A643" s="76">
        <v>674</v>
      </c>
      <c r="B643" s="2" t="s">
        <v>7448</v>
      </c>
      <c r="C643" s="2" t="s">
        <v>7449</v>
      </c>
      <c r="D643" s="2" t="s">
        <v>7450</v>
      </c>
      <c r="E643" s="2" t="s">
        <v>7451</v>
      </c>
      <c r="F643" s="2" t="s">
        <v>7452</v>
      </c>
      <c r="G643" s="2" t="s">
        <v>31</v>
      </c>
      <c r="H643" s="17">
        <v>100</v>
      </c>
      <c r="I643" s="31">
        <f t="shared" si="66"/>
        <v>100000</v>
      </c>
      <c r="J643" s="31">
        <f t="shared" si="67"/>
        <v>7000.0000000000009</v>
      </c>
      <c r="K643" s="44">
        <f t="shared" si="68"/>
        <v>19.178082191780824</v>
      </c>
      <c r="L643" s="3">
        <f t="shared" si="69"/>
        <v>1419.178082191781</v>
      </c>
      <c r="M643" s="3">
        <f t="shared" si="70"/>
        <v>85.150684931506859</v>
      </c>
      <c r="N643" s="67">
        <f t="shared" si="71"/>
        <v>1334.027397260274</v>
      </c>
      <c r="O643" s="3"/>
      <c r="P643" s="70" t="s">
        <v>18612</v>
      </c>
      <c r="Q643" s="2" t="s">
        <v>103</v>
      </c>
      <c r="R643" s="2" t="s">
        <v>7453</v>
      </c>
      <c r="T643" t="s">
        <v>18666</v>
      </c>
      <c r="U643" t="s">
        <v>18652</v>
      </c>
      <c r="V643" s="104">
        <v>45857</v>
      </c>
      <c r="X643" s="97"/>
      <c r="Y643" s="75">
        <v>1334.03</v>
      </c>
    </row>
    <row r="644" spans="1:25" x14ac:dyDescent="0.25">
      <c r="A644" s="76">
        <v>675</v>
      </c>
      <c r="B644" s="2" t="s">
        <v>9862</v>
      </c>
      <c r="C644" s="2" t="s">
        <v>9863</v>
      </c>
      <c r="D644" s="2" t="s">
        <v>3018</v>
      </c>
      <c r="E644" s="2" t="s">
        <v>9864</v>
      </c>
      <c r="F644" s="2" t="s">
        <v>9865</v>
      </c>
      <c r="G644" s="2" t="s">
        <v>23</v>
      </c>
      <c r="H644" s="17">
        <v>100</v>
      </c>
      <c r="I644" s="31">
        <f t="shared" si="66"/>
        <v>100000</v>
      </c>
      <c r="J644" s="31">
        <f t="shared" si="67"/>
        <v>7000.0000000000009</v>
      </c>
      <c r="K644" s="44">
        <f t="shared" si="68"/>
        <v>19.178082191780824</v>
      </c>
      <c r="L644" s="3">
        <f t="shared" si="69"/>
        <v>1419.178082191781</v>
      </c>
      <c r="M644" s="3">
        <f t="shared" si="70"/>
        <v>85.150684931506859</v>
      </c>
      <c r="N644" s="67">
        <f t="shared" si="71"/>
        <v>1334.027397260274</v>
      </c>
      <c r="O644" s="3"/>
      <c r="P644" s="70" t="s">
        <v>18612</v>
      </c>
      <c r="Q644" s="2" t="s">
        <v>103</v>
      </c>
      <c r="R644" s="2" t="s">
        <v>9866</v>
      </c>
      <c r="T644" t="s">
        <v>18666</v>
      </c>
      <c r="U644" t="s">
        <v>18652</v>
      </c>
      <c r="V644" s="104">
        <v>45857</v>
      </c>
      <c r="X644" s="97"/>
      <c r="Y644" s="75">
        <v>1334.03</v>
      </c>
    </row>
    <row r="645" spans="1:25" x14ac:dyDescent="0.25">
      <c r="A645" s="76">
        <v>676</v>
      </c>
      <c r="B645" s="2" t="s">
        <v>10792</v>
      </c>
      <c r="C645" s="2" t="s">
        <v>10793</v>
      </c>
      <c r="D645" s="2" t="s">
        <v>307</v>
      </c>
      <c r="E645" s="2" t="s">
        <v>10099</v>
      </c>
      <c r="F645" s="2" t="s">
        <v>10794</v>
      </c>
      <c r="G645" s="2" t="s">
        <v>186</v>
      </c>
      <c r="H645" s="17">
        <v>25</v>
      </c>
      <c r="I645" s="31">
        <f t="shared" si="66"/>
        <v>25000</v>
      </c>
      <c r="J645" s="31">
        <f t="shared" si="67"/>
        <v>1750.0000000000002</v>
      </c>
      <c r="K645" s="44">
        <f t="shared" si="68"/>
        <v>4.794520547945206</v>
      </c>
      <c r="L645" s="3">
        <f t="shared" si="69"/>
        <v>354.79452054794524</v>
      </c>
      <c r="M645" s="3">
        <f t="shared" si="70"/>
        <v>21.287671232876715</v>
      </c>
      <c r="N645" s="67">
        <f t="shared" si="71"/>
        <v>333.50684931506851</v>
      </c>
      <c r="O645" s="3"/>
      <c r="P645" s="70" t="s">
        <v>18612</v>
      </c>
      <c r="Q645" s="2" t="s">
        <v>103</v>
      </c>
      <c r="R645" s="2" t="s">
        <v>10795</v>
      </c>
      <c r="T645" t="s">
        <v>18666</v>
      </c>
      <c r="U645" t="s">
        <v>18652</v>
      </c>
      <c r="V645" s="104">
        <v>45857</v>
      </c>
      <c r="X645" s="97"/>
      <c r="Y645" s="75">
        <v>333.51</v>
      </c>
    </row>
    <row r="646" spans="1:25" x14ac:dyDescent="0.25">
      <c r="A646" s="76">
        <v>677</v>
      </c>
      <c r="B646" s="2" t="s">
        <v>620</v>
      </c>
      <c r="C646" s="2" t="s">
        <v>621</v>
      </c>
      <c r="D646" s="2" t="s">
        <v>622</v>
      </c>
      <c r="E646" s="2" t="s">
        <v>623</v>
      </c>
      <c r="F646" s="2" t="s">
        <v>624</v>
      </c>
      <c r="G646" s="2" t="s">
        <v>31</v>
      </c>
      <c r="H646" s="17">
        <v>1000</v>
      </c>
      <c r="I646" s="31">
        <f t="shared" si="66"/>
        <v>1000000</v>
      </c>
      <c r="J646" s="31">
        <f t="shared" si="67"/>
        <v>70000</v>
      </c>
      <c r="K646" s="44">
        <f t="shared" si="68"/>
        <v>191.78082191780823</v>
      </c>
      <c r="L646" s="3">
        <f t="shared" si="69"/>
        <v>14191.780821917808</v>
      </c>
      <c r="M646" s="3">
        <f t="shared" si="70"/>
        <v>851.50684931506839</v>
      </c>
      <c r="N646" s="67">
        <f t="shared" si="71"/>
        <v>13340.273972602739</v>
      </c>
      <c r="O646" s="3"/>
      <c r="P646" s="70" t="s">
        <v>18612</v>
      </c>
      <c r="Q646" s="2" t="s">
        <v>103</v>
      </c>
      <c r="R646" s="2" t="s">
        <v>625</v>
      </c>
      <c r="T646" t="s">
        <v>18666</v>
      </c>
      <c r="U646" t="s">
        <v>18652</v>
      </c>
      <c r="V646" s="104">
        <v>45857</v>
      </c>
      <c r="X646" s="97"/>
      <c r="Y646" s="75">
        <v>13340.28</v>
      </c>
    </row>
    <row r="647" spans="1:25" x14ac:dyDescent="0.25">
      <c r="A647" s="76">
        <v>678</v>
      </c>
      <c r="B647" s="2" t="s">
        <v>5196</v>
      </c>
      <c r="C647" s="2" t="s">
        <v>5197</v>
      </c>
      <c r="D647" s="2" t="s">
        <v>5198</v>
      </c>
      <c r="E647" s="2" t="s">
        <v>5199</v>
      </c>
      <c r="F647" s="2" t="s">
        <v>5200</v>
      </c>
      <c r="G647" s="2" t="s">
        <v>193</v>
      </c>
      <c r="H647" s="17">
        <v>100</v>
      </c>
      <c r="I647" s="31">
        <f t="shared" si="66"/>
        <v>100000</v>
      </c>
      <c r="J647" s="31">
        <f t="shared" si="67"/>
        <v>7000.0000000000009</v>
      </c>
      <c r="K647" s="44">
        <f t="shared" si="68"/>
        <v>19.178082191780824</v>
      </c>
      <c r="L647" s="3">
        <f t="shared" si="69"/>
        <v>1419.178082191781</v>
      </c>
      <c r="M647" s="3">
        <f t="shared" si="70"/>
        <v>85.150684931506859</v>
      </c>
      <c r="N647" s="67">
        <f t="shared" si="71"/>
        <v>1334.027397260274</v>
      </c>
      <c r="O647" s="3"/>
      <c r="P647" s="70" t="s">
        <v>18612</v>
      </c>
      <c r="Q647" s="2" t="s">
        <v>103</v>
      </c>
      <c r="R647" s="2" t="s">
        <v>5201</v>
      </c>
      <c r="T647" t="s">
        <v>18666</v>
      </c>
      <c r="U647" t="s">
        <v>18652</v>
      </c>
      <c r="V647" s="104">
        <v>45857</v>
      </c>
      <c r="X647" s="97"/>
      <c r="Y647" s="75">
        <v>1334.03</v>
      </c>
    </row>
    <row r="648" spans="1:25" x14ac:dyDescent="0.25">
      <c r="A648" s="76">
        <v>679</v>
      </c>
      <c r="B648" s="2" t="s">
        <v>16477</v>
      </c>
      <c r="C648" s="2" t="s">
        <v>16478</v>
      </c>
      <c r="D648" s="2" t="s">
        <v>16479</v>
      </c>
      <c r="E648" s="2" t="s">
        <v>16480</v>
      </c>
      <c r="F648" s="2" t="s">
        <v>16481</v>
      </c>
      <c r="G648" s="2" t="s">
        <v>233</v>
      </c>
      <c r="H648" s="17">
        <v>25</v>
      </c>
      <c r="I648" s="31">
        <f t="shared" si="66"/>
        <v>25000</v>
      </c>
      <c r="J648" s="31">
        <f t="shared" si="67"/>
        <v>1750.0000000000002</v>
      </c>
      <c r="K648" s="44">
        <f t="shared" si="68"/>
        <v>4.794520547945206</v>
      </c>
      <c r="L648" s="3">
        <f t="shared" si="69"/>
        <v>354.79452054794524</v>
      </c>
      <c r="M648" s="3">
        <f t="shared" si="70"/>
        <v>21.287671232876715</v>
      </c>
      <c r="N648" s="67">
        <f t="shared" si="71"/>
        <v>333.50684931506851</v>
      </c>
      <c r="O648" s="3"/>
      <c r="P648" s="70" t="s">
        <v>18612</v>
      </c>
      <c r="Q648" s="2" t="s">
        <v>103</v>
      </c>
      <c r="R648" s="2" t="s">
        <v>16482</v>
      </c>
      <c r="T648" t="s">
        <v>18666</v>
      </c>
      <c r="U648" t="s">
        <v>18652</v>
      </c>
      <c r="V648" s="104">
        <v>45857</v>
      </c>
      <c r="X648" s="97"/>
      <c r="Y648" s="75">
        <v>333.51</v>
      </c>
    </row>
    <row r="649" spans="1:25" x14ac:dyDescent="0.25">
      <c r="A649" s="76">
        <v>680</v>
      </c>
      <c r="B649" s="2" t="s">
        <v>15100</v>
      </c>
      <c r="C649" s="2" t="s">
        <v>15101</v>
      </c>
      <c r="D649" s="2" t="s">
        <v>15102</v>
      </c>
      <c r="E649" s="2" t="s">
        <v>4259</v>
      </c>
      <c r="F649" s="2" t="s">
        <v>15103</v>
      </c>
      <c r="G649" s="2" t="s">
        <v>750</v>
      </c>
      <c r="H649" s="17">
        <v>25</v>
      </c>
      <c r="I649" s="31">
        <f t="shared" si="66"/>
        <v>25000</v>
      </c>
      <c r="J649" s="31">
        <f t="shared" si="67"/>
        <v>1750.0000000000002</v>
      </c>
      <c r="K649" s="44">
        <f t="shared" si="68"/>
        <v>4.794520547945206</v>
      </c>
      <c r="L649" s="3">
        <f t="shared" si="69"/>
        <v>354.79452054794524</v>
      </c>
      <c r="M649" s="3">
        <f t="shared" si="70"/>
        <v>21.287671232876715</v>
      </c>
      <c r="N649" s="67">
        <f t="shared" si="71"/>
        <v>333.50684931506851</v>
      </c>
      <c r="O649" s="3"/>
      <c r="P649" s="70" t="s">
        <v>18612</v>
      </c>
      <c r="Q649" s="2" t="s">
        <v>103</v>
      </c>
      <c r="R649" s="2" t="s">
        <v>15104</v>
      </c>
      <c r="T649" t="s">
        <v>18666</v>
      </c>
      <c r="U649" t="s">
        <v>18652</v>
      </c>
      <c r="V649" s="104">
        <v>45857</v>
      </c>
      <c r="X649" s="97"/>
      <c r="Y649" s="75">
        <v>333.51</v>
      </c>
    </row>
    <row r="650" spans="1:25" x14ac:dyDescent="0.25">
      <c r="A650" s="76">
        <v>681</v>
      </c>
      <c r="B650" s="2" t="s">
        <v>12033</v>
      </c>
      <c r="C650" s="2" t="s">
        <v>12034</v>
      </c>
      <c r="D650" s="2" t="s">
        <v>12035</v>
      </c>
      <c r="E650" s="2" t="s">
        <v>12036</v>
      </c>
      <c r="F650" s="2" t="s">
        <v>12037</v>
      </c>
      <c r="G650" s="2" t="s">
        <v>1017</v>
      </c>
      <c r="H650" s="17">
        <v>30</v>
      </c>
      <c r="I650" s="31">
        <f t="shared" si="66"/>
        <v>30000</v>
      </c>
      <c r="J650" s="31">
        <f t="shared" si="67"/>
        <v>2100</v>
      </c>
      <c r="K650" s="44">
        <f t="shared" si="68"/>
        <v>5.7534246575342465</v>
      </c>
      <c r="L650" s="3">
        <f t="shared" si="69"/>
        <v>425.75342465753425</v>
      </c>
      <c r="M650" s="3">
        <f t="shared" si="70"/>
        <v>25.545205479452054</v>
      </c>
      <c r="N650" s="67">
        <f t="shared" si="71"/>
        <v>400.20821917808217</v>
      </c>
      <c r="O650" s="3"/>
      <c r="P650" s="70" t="s">
        <v>18612</v>
      </c>
      <c r="Q650" s="2" t="s">
        <v>103</v>
      </c>
      <c r="R650" s="2" t="s">
        <v>12038</v>
      </c>
      <c r="T650" t="s">
        <v>18666</v>
      </c>
      <c r="U650" t="s">
        <v>18652</v>
      </c>
      <c r="V650" s="104">
        <v>45857</v>
      </c>
      <c r="X650" s="97"/>
      <c r="Y650" s="75">
        <v>400.21</v>
      </c>
    </row>
    <row r="651" spans="1:25" x14ac:dyDescent="0.25">
      <c r="A651" s="76">
        <v>682</v>
      </c>
      <c r="B651" s="2" t="s">
        <v>10237</v>
      </c>
      <c r="C651" s="2" t="s">
        <v>10238</v>
      </c>
      <c r="D651" s="2" t="s">
        <v>10239</v>
      </c>
      <c r="E651" s="2" t="s">
        <v>10240</v>
      </c>
      <c r="F651" s="2" t="s">
        <v>10241</v>
      </c>
      <c r="G651" s="2" t="s">
        <v>74</v>
      </c>
      <c r="H651" s="17">
        <v>25</v>
      </c>
      <c r="I651" s="31">
        <f t="shared" si="66"/>
        <v>25000</v>
      </c>
      <c r="J651" s="31">
        <f t="shared" si="67"/>
        <v>1750.0000000000002</v>
      </c>
      <c r="K651" s="44">
        <f t="shared" si="68"/>
        <v>4.794520547945206</v>
      </c>
      <c r="L651" s="3">
        <f t="shared" si="69"/>
        <v>354.79452054794524</v>
      </c>
      <c r="M651" s="3">
        <f t="shared" si="70"/>
        <v>21.287671232876715</v>
      </c>
      <c r="N651" s="67">
        <f t="shared" si="71"/>
        <v>333.50684931506851</v>
      </c>
      <c r="O651" s="3"/>
      <c r="P651" s="70" t="s">
        <v>18612</v>
      </c>
      <c r="Q651" s="2" t="s">
        <v>103</v>
      </c>
      <c r="R651" s="2" t="s">
        <v>10242</v>
      </c>
      <c r="T651" t="s">
        <v>18666</v>
      </c>
      <c r="U651" t="s">
        <v>18652</v>
      </c>
      <c r="V651" s="104">
        <v>45857</v>
      </c>
      <c r="X651" s="97"/>
      <c r="Y651" s="75">
        <v>333.51</v>
      </c>
    </row>
    <row r="652" spans="1:25" x14ac:dyDescent="0.25">
      <c r="A652" s="76">
        <v>683</v>
      </c>
      <c r="B652" s="2" t="s">
        <v>7239</v>
      </c>
      <c r="C652" s="2" t="s">
        <v>7240</v>
      </c>
      <c r="D652" s="2" t="s">
        <v>7241</v>
      </c>
      <c r="E652" s="2" t="s">
        <v>7242</v>
      </c>
      <c r="F652" s="2" t="s">
        <v>7243</v>
      </c>
      <c r="G652" s="2" t="s">
        <v>643</v>
      </c>
      <c r="H652" s="17">
        <v>100</v>
      </c>
      <c r="I652" s="31">
        <f t="shared" si="66"/>
        <v>100000</v>
      </c>
      <c r="J652" s="31">
        <f t="shared" si="67"/>
        <v>7000.0000000000009</v>
      </c>
      <c r="K652" s="44">
        <f t="shared" si="68"/>
        <v>19.178082191780824</v>
      </c>
      <c r="L652" s="3">
        <f t="shared" si="69"/>
        <v>1419.178082191781</v>
      </c>
      <c r="M652" s="3">
        <f t="shared" si="70"/>
        <v>85.150684931506859</v>
      </c>
      <c r="N652" s="67">
        <f t="shared" si="71"/>
        <v>1334.027397260274</v>
      </c>
      <c r="O652" s="3"/>
      <c r="P652" s="70" t="s">
        <v>18612</v>
      </c>
      <c r="Q652" s="2" t="s">
        <v>103</v>
      </c>
      <c r="R652" s="2" t="s">
        <v>7244</v>
      </c>
      <c r="T652" t="s">
        <v>18666</v>
      </c>
      <c r="U652" t="s">
        <v>18652</v>
      </c>
      <c r="V652" s="104">
        <v>45857</v>
      </c>
      <c r="X652" s="97"/>
      <c r="Y652" s="75">
        <v>1334.03</v>
      </c>
    </row>
    <row r="653" spans="1:25" x14ac:dyDescent="0.25">
      <c r="A653" s="76">
        <v>684</v>
      </c>
      <c r="B653" s="2" t="s">
        <v>14250</v>
      </c>
      <c r="C653" s="2" t="s">
        <v>14251</v>
      </c>
      <c r="D653" s="2" t="s">
        <v>14252</v>
      </c>
      <c r="E653" s="2" t="s">
        <v>14253</v>
      </c>
      <c r="F653" s="2" t="s">
        <v>14254</v>
      </c>
      <c r="G653" s="2" t="s">
        <v>835</v>
      </c>
      <c r="H653" s="17">
        <v>25</v>
      </c>
      <c r="I653" s="31">
        <f t="shared" si="66"/>
        <v>25000</v>
      </c>
      <c r="J653" s="31">
        <f t="shared" si="67"/>
        <v>1750.0000000000002</v>
      </c>
      <c r="K653" s="44">
        <f t="shared" si="68"/>
        <v>4.794520547945206</v>
      </c>
      <c r="L653" s="3">
        <f t="shared" si="69"/>
        <v>354.79452054794524</v>
      </c>
      <c r="M653" s="3">
        <f t="shared" si="70"/>
        <v>21.287671232876715</v>
      </c>
      <c r="N653" s="67">
        <f t="shared" si="71"/>
        <v>333.50684931506851</v>
      </c>
      <c r="O653" s="3"/>
      <c r="P653" s="70" t="s">
        <v>18612</v>
      </c>
      <c r="Q653" s="2" t="s">
        <v>103</v>
      </c>
      <c r="R653" s="2" t="s">
        <v>14255</v>
      </c>
      <c r="T653" t="s">
        <v>18666</v>
      </c>
      <c r="U653" t="s">
        <v>18652</v>
      </c>
      <c r="V653" s="104">
        <v>45857</v>
      </c>
      <c r="X653" s="97"/>
      <c r="Y653" s="75">
        <v>333.51</v>
      </c>
    </row>
    <row r="654" spans="1:25" x14ac:dyDescent="0.25">
      <c r="A654" s="76">
        <v>685</v>
      </c>
      <c r="B654" s="2" t="s">
        <v>11523</v>
      </c>
      <c r="C654" s="2" t="s">
        <v>11524</v>
      </c>
      <c r="D654" s="2" t="s">
        <v>11525</v>
      </c>
      <c r="E654" s="2" t="s">
        <v>11526</v>
      </c>
      <c r="F654" s="2" t="s">
        <v>11527</v>
      </c>
      <c r="G654" s="2" t="s">
        <v>1570</v>
      </c>
      <c r="H654" s="17">
        <v>25</v>
      </c>
      <c r="I654" s="31">
        <f t="shared" si="66"/>
        <v>25000</v>
      </c>
      <c r="J654" s="31">
        <f t="shared" si="67"/>
        <v>1750.0000000000002</v>
      </c>
      <c r="K654" s="44">
        <f t="shared" si="68"/>
        <v>4.794520547945206</v>
      </c>
      <c r="L654" s="3">
        <f t="shared" si="69"/>
        <v>354.79452054794524</v>
      </c>
      <c r="M654" s="3">
        <f t="shared" si="70"/>
        <v>21.287671232876715</v>
      </c>
      <c r="N654" s="67">
        <f t="shared" si="71"/>
        <v>333.50684931506851</v>
      </c>
      <c r="O654" s="3"/>
      <c r="P654" s="70" t="s">
        <v>18612</v>
      </c>
      <c r="Q654" s="2" t="s">
        <v>103</v>
      </c>
      <c r="R654" s="2" t="s">
        <v>11528</v>
      </c>
      <c r="T654" t="s">
        <v>18666</v>
      </c>
      <c r="U654" t="s">
        <v>18652</v>
      </c>
      <c r="V654" s="104">
        <v>45857</v>
      </c>
      <c r="X654" s="97"/>
      <c r="Y654" s="75">
        <v>333.51</v>
      </c>
    </row>
    <row r="655" spans="1:25" x14ac:dyDescent="0.25">
      <c r="A655" s="76">
        <v>686</v>
      </c>
      <c r="B655" s="2" t="s">
        <v>5581</v>
      </c>
      <c r="C655" s="2" t="s">
        <v>5582</v>
      </c>
      <c r="D655" s="2" t="s">
        <v>5583</v>
      </c>
      <c r="E655" s="2" t="s">
        <v>5584</v>
      </c>
      <c r="F655" s="2" t="s">
        <v>5585</v>
      </c>
      <c r="G655" s="2" t="s">
        <v>166</v>
      </c>
      <c r="H655" s="17">
        <v>50</v>
      </c>
      <c r="I655" s="31">
        <f t="shared" si="66"/>
        <v>50000</v>
      </c>
      <c r="J655" s="31">
        <f t="shared" si="67"/>
        <v>3500.0000000000005</v>
      </c>
      <c r="K655" s="44">
        <f t="shared" si="68"/>
        <v>9.589041095890412</v>
      </c>
      <c r="L655" s="3">
        <f t="shared" si="69"/>
        <v>709.58904109589048</v>
      </c>
      <c r="M655" s="3">
        <f t="shared" si="70"/>
        <v>42.57534246575343</v>
      </c>
      <c r="N655" s="67">
        <f t="shared" si="71"/>
        <v>667.01369863013701</v>
      </c>
      <c r="O655" s="3"/>
      <c r="P655" s="70" t="s">
        <v>18612</v>
      </c>
      <c r="Q655" s="2" t="s">
        <v>103</v>
      </c>
      <c r="R655" s="2" t="s">
        <v>5586</v>
      </c>
      <c r="T655" t="s">
        <v>18666</v>
      </c>
      <c r="U655" t="s">
        <v>18652</v>
      </c>
      <c r="V655" s="104">
        <v>45857</v>
      </c>
      <c r="X655" s="97"/>
      <c r="Y655" s="75">
        <v>667.02</v>
      </c>
    </row>
    <row r="656" spans="1:25" x14ac:dyDescent="0.25">
      <c r="A656" s="76">
        <v>687</v>
      </c>
      <c r="B656" s="2" t="s">
        <v>16212</v>
      </c>
      <c r="C656" s="2" t="s">
        <v>16213</v>
      </c>
      <c r="D656" s="2" t="s">
        <v>3691</v>
      </c>
      <c r="E656" s="2" t="s">
        <v>12360</v>
      </c>
      <c r="F656" s="2" t="s">
        <v>16214</v>
      </c>
      <c r="G656" s="2" t="s">
        <v>876</v>
      </c>
      <c r="H656" s="17">
        <v>25</v>
      </c>
      <c r="I656" s="31">
        <f t="shared" si="66"/>
        <v>25000</v>
      </c>
      <c r="J656" s="31">
        <f t="shared" si="67"/>
        <v>1750.0000000000002</v>
      </c>
      <c r="K656" s="44">
        <f t="shared" si="68"/>
        <v>4.794520547945206</v>
      </c>
      <c r="L656" s="3">
        <f t="shared" si="69"/>
        <v>354.79452054794524</v>
      </c>
      <c r="M656" s="3">
        <f t="shared" si="70"/>
        <v>21.287671232876715</v>
      </c>
      <c r="N656" s="67">
        <f t="shared" si="71"/>
        <v>333.50684931506851</v>
      </c>
      <c r="O656" s="3"/>
      <c r="P656" s="70" t="s">
        <v>18612</v>
      </c>
      <c r="Q656" s="2" t="s">
        <v>103</v>
      </c>
      <c r="R656" s="2" t="s">
        <v>16215</v>
      </c>
      <c r="T656" t="s">
        <v>18666</v>
      </c>
      <c r="U656" t="s">
        <v>18652</v>
      </c>
      <c r="V656" s="104">
        <v>45857</v>
      </c>
      <c r="X656" s="97"/>
      <c r="Y656" s="75">
        <v>333.51</v>
      </c>
    </row>
    <row r="657" spans="1:25" x14ac:dyDescent="0.25">
      <c r="A657" s="76">
        <v>688</v>
      </c>
      <c r="B657" s="2" t="s">
        <v>11264</v>
      </c>
      <c r="C657" s="2" t="s">
        <v>11265</v>
      </c>
      <c r="D657" s="2" t="s">
        <v>11266</v>
      </c>
      <c r="E657" s="2" t="s">
        <v>11267</v>
      </c>
      <c r="F657" s="2" t="s">
        <v>11268</v>
      </c>
      <c r="G657" s="2" t="s">
        <v>1055</v>
      </c>
      <c r="H657" s="17">
        <v>25</v>
      </c>
      <c r="I657" s="31">
        <f t="shared" si="66"/>
        <v>25000</v>
      </c>
      <c r="J657" s="31">
        <f t="shared" si="67"/>
        <v>1750.0000000000002</v>
      </c>
      <c r="K657" s="44">
        <f t="shared" si="68"/>
        <v>4.794520547945206</v>
      </c>
      <c r="L657" s="3">
        <f t="shared" si="69"/>
        <v>354.79452054794524</v>
      </c>
      <c r="M657" s="3">
        <f t="shared" si="70"/>
        <v>21.287671232876715</v>
      </c>
      <c r="N657" s="67">
        <f t="shared" si="71"/>
        <v>333.50684931506851</v>
      </c>
      <c r="O657" s="3"/>
      <c r="P657" s="70" t="s">
        <v>18612</v>
      </c>
      <c r="Q657" s="2" t="s">
        <v>103</v>
      </c>
      <c r="R657" s="2" t="s">
        <v>11269</v>
      </c>
      <c r="T657" t="s">
        <v>18666</v>
      </c>
      <c r="U657" t="s">
        <v>18652</v>
      </c>
      <c r="V657" s="104">
        <v>45857</v>
      </c>
      <c r="X657" s="97"/>
      <c r="Y657" s="75">
        <v>333.51</v>
      </c>
    </row>
    <row r="658" spans="1:25" x14ac:dyDescent="0.25">
      <c r="A658" s="76">
        <v>689</v>
      </c>
      <c r="B658" s="2" t="s">
        <v>8386</v>
      </c>
      <c r="C658" s="2" t="s">
        <v>8387</v>
      </c>
      <c r="D658" s="2" t="s">
        <v>8388</v>
      </c>
      <c r="E658" s="2" t="s">
        <v>8389</v>
      </c>
      <c r="F658" s="2" t="s">
        <v>8390</v>
      </c>
      <c r="G658" s="2" t="s">
        <v>381</v>
      </c>
      <c r="H658" s="17">
        <v>25</v>
      </c>
      <c r="I658" s="31">
        <f t="shared" ref="I658:I721" si="72">H658*1000</f>
        <v>25000</v>
      </c>
      <c r="J658" s="31">
        <f t="shared" ref="J658:J721" si="73">I658*7%</f>
        <v>1750.0000000000002</v>
      </c>
      <c r="K658" s="44">
        <f t="shared" ref="K658:K721" si="74">J658/365</f>
        <v>4.794520547945206</v>
      </c>
      <c r="L658" s="3">
        <f t="shared" ref="L658:L721" si="75">K658*74</f>
        <v>354.79452054794524</v>
      </c>
      <c r="M658" s="3">
        <f t="shared" ref="M658:M721" si="76">L658*6%</f>
        <v>21.287671232876715</v>
      </c>
      <c r="N658" s="67">
        <f t="shared" ref="N658:N721" si="77">L658-M658</f>
        <v>333.50684931506851</v>
      </c>
      <c r="O658" s="3"/>
      <c r="P658" s="70" t="s">
        <v>18612</v>
      </c>
      <c r="Q658" s="2" t="s">
        <v>103</v>
      </c>
      <c r="R658" s="2" t="s">
        <v>8391</v>
      </c>
      <c r="T658" t="s">
        <v>18666</v>
      </c>
      <c r="U658" t="s">
        <v>18652</v>
      </c>
      <c r="V658" s="104">
        <v>45857</v>
      </c>
      <c r="X658" s="97"/>
      <c r="Y658" s="75">
        <v>333.51</v>
      </c>
    </row>
    <row r="659" spans="1:25" x14ac:dyDescent="0.25">
      <c r="A659" s="76">
        <v>690</v>
      </c>
      <c r="B659" s="2" t="s">
        <v>17575</v>
      </c>
      <c r="C659" s="2" t="s">
        <v>17576</v>
      </c>
      <c r="D659" s="2" t="s">
        <v>17577</v>
      </c>
      <c r="E659" s="2" t="s">
        <v>17578</v>
      </c>
      <c r="F659" s="2" t="s">
        <v>17579</v>
      </c>
      <c r="G659" s="2" t="s">
        <v>412</v>
      </c>
      <c r="H659" s="17">
        <v>1000</v>
      </c>
      <c r="I659" s="31">
        <f t="shared" si="72"/>
        <v>1000000</v>
      </c>
      <c r="J659" s="31">
        <f t="shared" si="73"/>
        <v>70000</v>
      </c>
      <c r="K659" s="44">
        <f t="shared" si="74"/>
        <v>191.78082191780823</v>
      </c>
      <c r="L659" s="3">
        <f t="shared" si="75"/>
        <v>14191.780821917808</v>
      </c>
      <c r="M659" s="3">
        <f t="shared" si="76"/>
        <v>851.50684931506839</v>
      </c>
      <c r="N659" s="67">
        <f t="shared" si="77"/>
        <v>13340.273972602739</v>
      </c>
      <c r="O659" s="3"/>
      <c r="P659" s="70" t="s">
        <v>18612</v>
      </c>
      <c r="Q659" s="2" t="s">
        <v>103</v>
      </c>
      <c r="R659" s="2" t="s">
        <v>17580</v>
      </c>
      <c r="T659" t="s">
        <v>18666</v>
      </c>
      <c r="U659" t="s">
        <v>18652</v>
      </c>
      <c r="V659" s="104">
        <v>45857</v>
      </c>
      <c r="X659" s="97"/>
      <c r="Y659" s="75">
        <v>13340.28</v>
      </c>
    </row>
    <row r="660" spans="1:25" x14ac:dyDescent="0.25">
      <c r="A660" s="76">
        <v>691</v>
      </c>
      <c r="B660" s="2" t="s">
        <v>2822</v>
      </c>
      <c r="C660" s="2" t="s">
        <v>2823</v>
      </c>
      <c r="D660" s="2" t="s">
        <v>2777</v>
      </c>
      <c r="E660" s="2" t="s">
        <v>2824</v>
      </c>
      <c r="F660" s="2" t="s">
        <v>2825</v>
      </c>
      <c r="G660" s="2" t="s">
        <v>743</v>
      </c>
      <c r="H660" s="17">
        <v>200</v>
      </c>
      <c r="I660" s="31">
        <f t="shared" si="72"/>
        <v>200000</v>
      </c>
      <c r="J660" s="31">
        <f t="shared" si="73"/>
        <v>14000.000000000002</v>
      </c>
      <c r="K660" s="44">
        <f t="shared" si="74"/>
        <v>38.356164383561648</v>
      </c>
      <c r="L660" s="3">
        <f t="shared" si="75"/>
        <v>2838.3561643835619</v>
      </c>
      <c r="M660" s="3">
        <f t="shared" si="76"/>
        <v>170.30136986301372</v>
      </c>
      <c r="N660" s="67">
        <f t="shared" si="77"/>
        <v>2668.0547945205481</v>
      </c>
      <c r="O660" s="3"/>
      <c r="P660" s="70" t="s">
        <v>18612</v>
      </c>
      <c r="Q660" s="2" t="s">
        <v>103</v>
      </c>
      <c r="R660" s="2" t="s">
        <v>2826</v>
      </c>
      <c r="T660" t="s">
        <v>18666</v>
      </c>
      <c r="U660" t="s">
        <v>18652</v>
      </c>
      <c r="V660" s="104">
        <v>45857</v>
      </c>
      <c r="X660" s="97"/>
      <c r="Y660" s="75">
        <v>2668.0600000000004</v>
      </c>
    </row>
    <row r="661" spans="1:25" x14ac:dyDescent="0.25">
      <c r="A661" s="76">
        <v>692</v>
      </c>
      <c r="B661" s="2" t="s">
        <v>8513</v>
      </c>
      <c r="C661" s="2" t="s">
        <v>8514</v>
      </c>
      <c r="D661" s="2" t="s">
        <v>8508</v>
      </c>
      <c r="E661" s="2" t="s">
        <v>8509</v>
      </c>
      <c r="F661" s="2" t="s">
        <v>8515</v>
      </c>
      <c r="G661" s="2" t="s">
        <v>282</v>
      </c>
      <c r="H661" s="17">
        <v>30</v>
      </c>
      <c r="I661" s="31">
        <f t="shared" si="72"/>
        <v>30000</v>
      </c>
      <c r="J661" s="31">
        <f t="shared" si="73"/>
        <v>2100</v>
      </c>
      <c r="K661" s="44">
        <f t="shared" si="74"/>
        <v>5.7534246575342465</v>
      </c>
      <c r="L661" s="3">
        <f t="shared" si="75"/>
        <v>425.75342465753425</v>
      </c>
      <c r="M661" s="3">
        <f t="shared" si="76"/>
        <v>25.545205479452054</v>
      </c>
      <c r="N661" s="67">
        <f t="shared" si="77"/>
        <v>400.20821917808217</v>
      </c>
      <c r="O661" s="3"/>
      <c r="P661" s="70" t="s">
        <v>18612</v>
      </c>
      <c r="Q661" s="2" t="s">
        <v>103</v>
      </c>
      <c r="R661" s="2" t="s">
        <v>8516</v>
      </c>
      <c r="T661" t="s">
        <v>18666</v>
      </c>
      <c r="U661" t="s">
        <v>18652</v>
      </c>
      <c r="V661" s="104">
        <v>45857</v>
      </c>
      <c r="X661" s="97"/>
      <c r="Y661" s="75">
        <v>400.21</v>
      </c>
    </row>
    <row r="662" spans="1:25" x14ac:dyDescent="0.25">
      <c r="A662" s="76">
        <v>693</v>
      </c>
      <c r="B662" s="2" t="s">
        <v>10819</v>
      </c>
      <c r="C662" s="2" t="s">
        <v>10820</v>
      </c>
      <c r="D662" s="2" t="s">
        <v>10821</v>
      </c>
      <c r="E662" s="2" t="s">
        <v>10822</v>
      </c>
      <c r="F662" s="2" t="s">
        <v>10823</v>
      </c>
      <c r="G662" s="2" t="s">
        <v>328</v>
      </c>
      <c r="H662" s="17">
        <v>1000</v>
      </c>
      <c r="I662" s="31">
        <f t="shared" si="72"/>
        <v>1000000</v>
      </c>
      <c r="J662" s="31">
        <f t="shared" si="73"/>
        <v>70000</v>
      </c>
      <c r="K662" s="44">
        <f t="shared" si="74"/>
        <v>191.78082191780823</v>
      </c>
      <c r="L662" s="3">
        <f t="shared" si="75"/>
        <v>14191.780821917808</v>
      </c>
      <c r="M662" s="3">
        <f t="shared" si="76"/>
        <v>851.50684931506839</v>
      </c>
      <c r="N662" s="67">
        <f t="shared" si="77"/>
        <v>13340.273972602739</v>
      </c>
      <c r="O662" s="3"/>
      <c r="P662" s="70" t="s">
        <v>18612</v>
      </c>
      <c r="Q662" s="2" t="s">
        <v>103</v>
      </c>
      <c r="R662" s="2" t="s">
        <v>10824</v>
      </c>
      <c r="T662" t="s">
        <v>18666</v>
      </c>
      <c r="U662" t="s">
        <v>18652</v>
      </c>
      <c r="V662" s="104">
        <v>45857</v>
      </c>
      <c r="X662" s="97"/>
      <c r="Y662" s="75">
        <v>13340.28</v>
      </c>
    </row>
    <row r="663" spans="1:25" x14ac:dyDescent="0.25">
      <c r="A663" s="76">
        <v>694</v>
      </c>
      <c r="B663" s="2" t="s">
        <v>10807</v>
      </c>
      <c r="C663" s="2" t="s">
        <v>10808</v>
      </c>
      <c r="D663" s="2" t="s">
        <v>10809</v>
      </c>
      <c r="E663" s="2" t="s">
        <v>10810</v>
      </c>
      <c r="F663" s="2" t="s">
        <v>10811</v>
      </c>
      <c r="G663" s="2" t="s">
        <v>296</v>
      </c>
      <c r="H663" s="17">
        <v>50</v>
      </c>
      <c r="I663" s="31">
        <f t="shared" si="72"/>
        <v>50000</v>
      </c>
      <c r="J663" s="31">
        <f t="shared" si="73"/>
        <v>3500.0000000000005</v>
      </c>
      <c r="K663" s="44">
        <f t="shared" si="74"/>
        <v>9.589041095890412</v>
      </c>
      <c r="L663" s="3">
        <f t="shared" si="75"/>
        <v>709.58904109589048</v>
      </c>
      <c r="M663" s="3">
        <f t="shared" si="76"/>
        <v>42.57534246575343</v>
      </c>
      <c r="N663" s="67">
        <f t="shared" si="77"/>
        <v>667.01369863013701</v>
      </c>
      <c r="O663" s="3"/>
      <c r="P663" s="70" t="s">
        <v>18612</v>
      </c>
      <c r="Q663" s="2" t="s">
        <v>103</v>
      </c>
      <c r="R663" s="2" t="s">
        <v>10812</v>
      </c>
      <c r="T663" t="s">
        <v>18666</v>
      </c>
      <c r="U663" t="s">
        <v>18652</v>
      </c>
      <c r="V663" s="104">
        <v>45857</v>
      </c>
      <c r="X663" s="97"/>
      <c r="Y663" s="75">
        <v>667.02</v>
      </c>
    </row>
    <row r="664" spans="1:25" x14ac:dyDescent="0.25">
      <c r="A664" s="76">
        <v>695</v>
      </c>
      <c r="B664" s="2" t="s">
        <v>9959</v>
      </c>
      <c r="C664" s="2" t="s">
        <v>9960</v>
      </c>
      <c r="D664" s="2" t="s">
        <v>9961</v>
      </c>
      <c r="E664" s="2" t="s">
        <v>9962</v>
      </c>
      <c r="F664" s="2" t="s">
        <v>9963</v>
      </c>
      <c r="G664" s="2" t="s">
        <v>151</v>
      </c>
      <c r="H664" s="17">
        <v>25</v>
      </c>
      <c r="I664" s="31">
        <f t="shared" si="72"/>
        <v>25000</v>
      </c>
      <c r="J664" s="31">
        <f t="shared" si="73"/>
        <v>1750.0000000000002</v>
      </c>
      <c r="K664" s="44">
        <f t="shared" si="74"/>
        <v>4.794520547945206</v>
      </c>
      <c r="L664" s="3">
        <f t="shared" si="75"/>
        <v>354.79452054794524</v>
      </c>
      <c r="M664" s="3">
        <f t="shared" si="76"/>
        <v>21.287671232876715</v>
      </c>
      <c r="N664" s="67">
        <f t="shared" si="77"/>
        <v>333.50684931506851</v>
      </c>
      <c r="O664" s="3"/>
      <c r="P664" s="70" t="s">
        <v>18612</v>
      </c>
      <c r="Q664" s="2" t="s">
        <v>103</v>
      </c>
      <c r="R664" s="2" t="s">
        <v>9964</v>
      </c>
      <c r="T664" t="s">
        <v>18666</v>
      </c>
      <c r="U664" t="s">
        <v>18652</v>
      </c>
      <c r="V664" s="104">
        <v>45857</v>
      </c>
      <c r="X664" s="97"/>
      <c r="Y664" s="75">
        <v>333.51</v>
      </c>
    </row>
    <row r="665" spans="1:25" x14ac:dyDescent="0.25">
      <c r="A665" s="76">
        <v>696</v>
      </c>
      <c r="B665" s="2" t="s">
        <v>9989</v>
      </c>
      <c r="C665" s="2" t="s">
        <v>9990</v>
      </c>
      <c r="D665" s="2" t="s">
        <v>9991</v>
      </c>
      <c r="E665" s="2" t="s">
        <v>9992</v>
      </c>
      <c r="F665" s="2" t="s">
        <v>9993</v>
      </c>
      <c r="G665" s="2" t="s">
        <v>123</v>
      </c>
      <c r="H665" s="17">
        <v>25</v>
      </c>
      <c r="I665" s="31">
        <f t="shared" si="72"/>
        <v>25000</v>
      </c>
      <c r="J665" s="31">
        <f t="shared" si="73"/>
        <v>1750.0000000000002</v>
      </c>
      <c r="K665" s="44">
        <f t="shared" si="74"/>
        <v>4.794520547945206</v>
      </c>
      <c r="L665" s="3">
        <f t="shared" si="75"/>
        <v>354.79452054794524</v>
      </c>
      <c r="M665" s="3">
        <f t="shared" si="76"/>
        <v>21.287671232876715</v>
      </c>
      <c r="N665" s="67">
        <f t="shared" si="77"/>
        <v>333.50684931506851</v>
      </c>
      <c r="O665" s="3"/>
      <c r="P665" s="70" t="s">
        <v>18612</v>
      </c>
      <c r="Q665" s="2" t="s">
        <v>103</v>
      </c>
      <c r="R665" s="2" t="s">
        <v>9994</v>
      </c>
      <c r="T665" t="s">
        <v>18666</v>
      </c>
      <c r="U665" t="s">
        <v>18652</v>
      </c>
      <c r="V665" s="104">
        <v>45857</v>
      </c>
      <c r="X665" s="97"/>
      <c r="Y665" s="75">
        <v>333.51</v>
      </c>
    </row>
    <row r="666" spans="1:25" x14ac:dyDescent="0.25">
      <c r="A666" s="76">
        <v>697</v>
      </c>
      <c r="B666" s="2" t="s">
        <v>14541</v>
      </c>
      <c r="C666" s="2" t="s">
        <v>14542</v>
      </c>
      <c r="D666" s="2" t="s">
        <v>14543</v>
      </c>
      <c r="E666" s="2" t="s">
        <v>14544</v>
      </c>
      <c r="F666" s="2" t="s">
        <v>14545</v>
      </c>
      <c r="G666" s="2" t="s">
        <v>247</v>
      </c>
      <c r="H666" s="17">
        <v>25</v>
      </c>
      <c r="I666" s="31">
        <f t="shared" si="72"/>
        <v>25000</v>
      </c>
      <c r="J666" s="31">
        <f t="shared" si="73"/>
        <v>1750.0000000000002</v>
      </c>
      <c r="K666" s="44">
        <f t="shared" si="74"/>
        <v>4.794520547945206</v>
      </c>
      <c r="L666" s="3">
        <f t="shared" si="75"/>
        <v>354.79452054794524</v>
      </c>
      <c r="M666" s="3">
        <f t="shared" si="76"/>
        <v>21.287671232876715</v>
      </c>
      <c r="N666" s="67">
        <f t="shared" si="77"/>
        <v>333.50684931506851</v>
      </c>
      <c r="O666" s="3"/>
      <c r="P666" s="70" t="s">
        <v>18612</v>
      </c>
      <c r="Q666" s="2" t="s">
        <v>103</v>
      </c>
      <c r="R666" s="2" t="s">
        <v>14546</v>
      </c>
      <c r="T666" t="s">
        <v>18666</v>
      </c>
      <c r="U666" t="s">
        <v>18652</v>
      </c>
      <c r="V666" s="104">
        <v>45857</v>
      </c>
      <c r="X666" s="97"/>
      <c r="Y666" s="75">
        <v>333.51</v>
      </c>
    </row>
    <row r="667" spans="1:25" x14ac:dyDescent="0.25">
      <c r="A667" s="76">
        <v>698</v>
      </c>
      <c r="B667" s="2" t="s">
        <v>2011</v>
      </c>
      <c r="C667" s="2" t="s">
        <v>2012</v>
      </c>
      <c r="D667" s="2" t="s">
        <v>2013</v>
      </c>
      <c r="E667" s="2" t="s">
        <v>2014</v>
      </c>
      <c r="F667" s="2" t="s">
        <v>2015</v>
      </c>
      <c r="G667" s="2" t="s">
        <v>643</v>
      </c>
      <c r="H667" s="17">
        <v>25</v>
      </c>
      <c r="I667" s="31">
        <f t="shared" si="72"/>
        <v>25000</v>
      </c>
      <c r="J667" s="31">
        <f t="shared" si="73"/>
        <v>1750.0000000000002</v>
      </c>
      <c r="K667" s="44">
        <f t="shared" si="74"/>
        <v>4.794520547945206</v>
      </c>
      <c r="L667" s="3">
        <f t="shared" si="75"/>
        <v>354.79452054794524</v>
      </c>
      <c r="M667" s="3">
        <f t="shared" si="76"/>
        <v>21.287671232876715</v>
      </c>
      <c r="N667" s="67">
        <f t="shared" si="77"/>
        <v>333.50684931506851</v>
      </c>
      <c r="O667" s="3"/>
      <c r="P667" s="70" t="s">
        <v>18612</v>
      </c>
      <c r="Q667" s="2" t="s">
        <v>103</v>
      </c>
      <c r="R667" s="2" t="s">
        <v>2016</v>
      </c>
      <c r="T667" t="s">
        <v>18666</v>
      </c>
      <c r="U667" t="s">
        <v>18652</v>
      </c>
      <c r="V667" s="104">
        <v>45857</v>
      </c>
      <c r="X667" s="97"/>
      <c r="Y667" s="75">
        <v>333.51</v>
      </c>
    </row>
    <row r="668" spans="1:25" x14ac:dyDescent="0.25">
      <c r="A668" s="76">
        <v>699</v>
      </c>
      <c r="B668" s="2" t="s">
        <v>8823</v>
      </c>
      <c r="C668" s="2" t="s">
        <v>8824</v>
      </c>
      <c r="D668" s="2" t="s">
        <v>8825</v>
      </c>
      <c r="E668" s="2" t="s">
        <v>8826</v>
      </c>
      <c r="F668" s="2" t="s">
        <v>8827</v>
      </c>
      <c r="G668" s="2" t="s">
        <v>750</v>
      </c>
      <c r="H668" s="17">
        <v>25</v>
      </c>
      <c r="I668" s="31">
        <f t="shared" si="72"/>
        <v>25000</v>
      </c>
      <c r="J668" s="31">
        <f t="shared" si="73"/>
        <v>1750.0000000000002</v>
      </c>
      <c r="K668" s="44">
        <f t="shared" si="74"/>
        <v>4.794520547945206</v>
      </c>
      <c r="L668" s="3">
        <f t="shared" si="75"/>
        <v>354.79452054794524</v>
      </c>
      <c r="M668" s="3">
        <f t="shared" si="76"/>
        <v>21.287671232876715</v>
      </c>
      <c r="N668" s="67">
        <f t="shared" si="77"/>
        <v>333.50684931506851</v>
      </c>
      <c r="O668" s="3"/>
      <c r="P668" s="70" t="s">
        <v>18612</v>
      </c>
      <c r="Q668" s="2" t="s">
        <v>103</v>
      </c>
      <c r="R668" s="2" t="s">
        <v>8828</v>
      </c>
      <c r="T668" t="s">
        <v>18666</v>
      </c>
      <c r="U668" t="s">
        <v>18652</v>
      </c>
      <c r="V668" s="104">
        <v>45857</v>
      </c>
      <c r="X668" s="97"/>
      <c r="Y668" s="75">
        <v>333.51</v>
      </c>
    </row>
    <row r="669" spans="1:25" x14ac:dyDescent="0.25">
      <c r="A669" s="76">
        <v>700</v>
      </c>
      <c r="B669" s="2" t="s">
        <v>5860</v>
      </c>
      <c r="C669" s="2" t="s">
        <v>5861</v>
      </c>
      <c r="D669" s="2" t="s">
        <v>5862</v>
      </c>
      <c r="E669" s="2" t="s">
        <v>5863</v>
      </c>
      <c r="F669" s="2" t="s">
        <v>5864</v>
      </c>
      <c r="G669" s="2" t="s">
        <v>39</v>
      </c>
      <c r="H669" s="17">
        <v>25</v>
      </c>
      <c r="I669" s="31">
        <f t="shared" si="72"/>
        <v>25000</v>
      </c>
      <c r="J669" s="31">
        <f t="shared" si="73"/>
        <v>1750.0000000000002</v>
      </c>
      <c r="K669" s="44">
        <f t="shared" si="74"/>
        <v>4.794520547945206</v>
      </c>
      <c r="L669" s="3">
        <f t="shared" si="75"/>
        <v>354.79452054794524</v>
      </c>
      <c r="M669" s="3">
        <f t="shared" si="76"/>
        <v>21.287671232876715</v>
      </c>
      <c r="N669" s="67">
        <f t="shared" si="77"/>
        <v>333.50684931506851</v>
      </c>
      <c r="O669" s="3"/>
      <c r="P669" s="70" t="s">
        <v>18612</v>
      </c>
      <c r="Q669" s="2" t="s">
        <v>103</v>
      </c>
      <c r="R669" s="2" t="s">
        <v>5865</v>
      </c>
      <c r="T669" t="s">
        <v>18666</v>
      </c>
      <c r="U669" t="s">
        <v>18652</v>
      </c>
      <c r="V669" s="104">
        <v>45857</v>
      </c>
      <c r="X669" s="97"/>
      <c r="Y669" s="75">
        <v>333.51</v>
      </c>
    </row>
    <row r="670" spans="1:25" x14ac:dyDescent="0.25">
      <c r="A670" s="76">
        <v>701</v>
      </c>
      <c r="B670" s="2" t="s">
        <v>6253</v>
      </c>
      <c r="C670" s="2" t="s">
        <v>6254</v>
      </c>
      <c r="D670" s="2" t="s">
        <v>6255</v>
      </c>
      <c r="E670" s="2" t="s">
        <v>6256</v>
      </c>
      <c r="F670" s="2" t="s">
        <v>6257</v>
      </c>
      <c r="G670" s="2" t="s">
        <v>151</v>
      </c>
      <c r="H670" s="17">
        <v>25</v>
      </c>
      <c r="I670" s="31">
        <f t="shared" si="72"/>
        <v>25000</v>
      </c>
      <c r="J670" s="31">
        <f t="shared" si="73"/>
        <v>1750.0000000000002</v>
      </c>
      <c r="K670" s="44">
        <f t="shared" si="74"/>
        <v>4.794520547945206</v>
      </c>
      <c r="L670" s="3">
        <f t="shared" si="75"/>
        <v>354.79452054794524</v>
      </c>
      <c r="M670" s="3">
        <f t="shared" si="76"/>
        <v>21.287671232876715</v>
      </c>
      <c r="N670" s="67">
        <f t="shared" si="77"/>
        <v>333.50684931506851</v>
      </c>
      <c r="O670" s="3"/>
      <c r="P670" s="70" t="s">
        <v>18612</v>
      </c>
      <c r="Q670" s="2" t="s">
        <v>103</v>
      </c>
      <c r="R670" s="2" t="s">
        <v>6258</v>
      </c>
      <c r="T670" t="s">
        <v>18666</v>
      </c>
      <c r="U670" t="s">
        <v>18652</v>
      </c>
      <c r="V670" s="104">
        <v>45857</v>
      </c>
      <c r="X670" s="97"/>
      <c r="Y670" s="75">
        <v>333.51</v>
      </c>
    </row>
    <row r="671" spans="1:25" x14ac:dyDescent="0.25">
      <c r="A671" s="76">
        <v>702</v>
      </c>
      <c r="B671" s="2" t="s">
        <v>5740</v>
      </c>
      <c r="C671" s="2" t="s">
        <v>5741</v>
      </c>
      <c r="D671" s="2" t="s">
        <v>5742</v>
      </c>
      <c r="E671" s="2" t="s">
        <v>5743</v>
      </c>
      <c r="F671" s="2" t="s">
        <v>5744</v>
      </c>
      <c r="G671" s="2" t="s">
        <v>31</v>
      </c>
      <c r="H671" s="17">
        <v>25</v>
      </c>
      <c r="I671" s="31">
        <f t="shared" si="72"/>
        <v>25000</v>
      </c>
      <c r="J671" s="31">
        <f t="shared" si="73"/>
        <v>1750.0000000000002</v>
      </c>
      <c r="K671" s="44">
        <f t="shared" si="74"/>
        <v>4.794520547945206</v>
      </c>
      <c r="L671" s="3">
        <f t="shared" si="75"/>
        <v>354.79452054794524</v>
      </c>
      <c r="M671" s="3">
        <f t="shared" si="76"/>
        <v>21.287671232876715</v>
      </c>
      <c r="N671" s="67">
        <f t="shared" si="77"/>
        <v>333.50684931506851</v>
      </c>
      <c r="O671" s="3"/>
      <c r="P671" s="70" t="s">
        <v>18612</v>
      </c>
      <c r="Q671" s="2" t="s">
        <v>103</v>
      </c>
      <c r="R671" s="2" t="s">
        <v>5745</v>
      </c>
      <c r="T671" t="s">
        <v>18666</v>
      </c>
      <c r="U671" t="s">
        <v>18652</v>
      </c>
      <c r="V671" s="104">
        <v>45857</v>
      </c>
      <c r="X671" s="97"/>
      <c r="Y671" s="75">
        <v>333.51</v>
      </c>
    </row>
    <row r="672" spans="1:25" x14ac:dyDescent="0.25">
      <c r="A672" s="76">
        <v>703</v>
      </c>
      <c r="B672" s="2" t="s">
        <v>13024</v>
      </c>
      <c r="C672" s="2" t="s">
        <v>13025</v>
      </c>
      <c r="D672" s="2" t="s">
        <v>13026</v>
      </c>
      <c r="E672" s="2" t="s">
        <v>13027</v>
      </c>
      <c r="F672" s="2" t="s">
        <v>13028</v>
      </c>
      <c r="G672" s="2" t="s">
        <v>166</v>
      </c>
      <c r="H672" s="17">
        <v>25</v>
      </c>
      <c r="I672" s="31">
        <f t="shared" si="72"/>
        <v>25000</v>
      </c>
      <c r="J672" s="31">
        <f t="shared" si="73"/>
        <v>1750.0000000000002</v>
      </c>
      <c r="K672" s="44">
        <f t="shared" si="74"/>
        <v>4.794520547945206</v>
      </c>
      <c r="L672" s="3">
        <f t="shared" si="75"/>
        <v>354.79452054794524</v>
      </c>
      <c r="M672" s="3">
        <f t="shared" si="76"/>
        <v>21.287671232876715</v>
      </c>
      <c r="N672" s="67">
        <f t="shared" si="77"/>
        <v>333.50684931506851</v>
      </c>
      <c r="O672" s="3"/>
      <c r="P672" s="70" t="s">
        <v>18612</v>
      </c>
      <c r="Q672" s="2" t="s">
        <v>103</v>
      </c>
      <c r="R672" s="2" t="s">
        <v>13029</v>
      </c>
      <c r="T672" t="s">
        <v>18666</v>
      </c>
      <c r="U672" t="s">
        <v>18652</v>
      </c>
      <c r="V672" s="104">
        <v>45857</v>
      </c>
      <c r="X672" s="97"/>
      <c r="Y672" s="75">
        <v>333.51</v>
      </c>
    </row>
    <row r="673" spans="1:25" x14ac:dyDescent="0.25">
      <c r="A673" s="76">
        <v>704</v>
      </c>
      <c r="B673" s="2" t="s">
        <v>4778</v>
      </c>
      <c r="C673" s="2" t="s">
        <v>4676</v>
      </c>
      <c r="D673" s="2" t="s">
        <v>4779</v>
      </c>
      <c r="E673" s="2" t="s">
        <v>4780</v>
      </c>
      <c r="F673" s="2" t="s">
        <v>4781</v>
      </c>
      <c r="G673" s="2" t="s">
        <v>618</v>
      </c>
      <c r="H673" s="17">
        <v>25</v>
      </c>
      <c r="I673" s="31">
        <f t="shared" si="72"/>
        <v>25000</v>
      </c>
      <c r="J673" s="31">
        <f t="shared" si="73"/>
        <v>1750.0000000000002</v>
      </c>
      <c r="K673" s="44">
        <f t="shared" si="74"/>
        <v>4.794520547945206</v>
      </c>
      <c r="L673" s="3">
        <f t="shared" si="75"/>
        <v>354.79452054794524</v>
      </c>
      <c r="M673" s="3">
        <f t="shared" si="76"/>
        <v>21.287671232876715</v>
      </c>
      <c r="N673" s="67">
        <f t="shared" si="77"/>
        <v>333.50684931506851</v>
      </c>
      <c r="O673" s="3"/>
      <c r="P673" s="70" t="s">
        <v>18612</v>
      </c>
      <c r="Q673" s="2" t="s">
        <v>103</v>
      </c>
      <c r="R673" s="2" t="s">
        <v>4782</v>
      </c>
      <c r="T673" t="s">
        <v>18666</v>
      </c>
      <c r="U673" t="s">
        <v>18652</v>
      </c>
      <c r="V673" s="104">
        <v>45857</v>
      </c>
      <c r="X673" s="97"/>
      <c r="Y673" s="75">
        <v>333.51</v>
      </c>
    </row>
    <row r="674" spans="1:25" x14ac:dyDescent="0.25">
      <c r="A674" s="76">
        <v>705</v>
      </c>
      <c r="B674" s="2" t="s">
        <v>7867</v>
      </c>
      <c r="C674" s="2" t="s">
        <v>7868</v>
      </c>
      <c r="D674" s="2" t="s">
        <v>7869</v>
      </c>
      <c r="E674" s="2" t="s">
        <v>7870</v>
      </c>
      <c r="F674" s="2" t="s">
        <v>7871</v>
      </c>
      <c r="G674" s="2" t="s">
        <v>1136</v>
      </c>
      <c r="H674" s="17">
        <v>25</v>
      </c>
      <c r="I674" s="31">
        <f t="shared" si="72"/>
        <v>25000</v>
      </c>
      <c r="J674" s="31">
        <f t="shared" si="73"/>
        <v>1750.0000000000002</v>
      </c>
      <c r="K674" s="44">
        <f t="shared" si="74"/>
        <v>4.794520547945206</v>
      </c>
      <c r="L674" s="3">
        <f t="shared" si="75"/>
        <v>354.79452054794524</v>
      </c>
      <c r="M674" s="3">
        <f t="shared" si="76"/>
        <v>21.287671232876715</v>
      </c>
      <c r="N674" s="67">
        <f t="shared" si="77"/>
        <v>333.50684931506851</v>
      </c>
      <c r="O674" s="3"/>
      <c r="P674" s="70" t="s">
        <v>18612</v>
      </c>
      <c r="Q674" s="2" t="s">
        <v>103</v>
      </c>
      <c r="R674" s="2" t="s">
        <v>7872</v>
      </c>
      <c r="T674" t="s">
        <v>18666</v>
      </c>
      <c r="U674" t="s">
        <v>18652</v>
      </c>
      <c r="V674" s="104">
        <v>45857</v>
      </c>
      <c r="X674" s="97"/>
      <c r="Y674" s="75">
        <v>333.51</v>
      </c>
    </row>
    <row r="675" spans="1:25" x14ac:dyDescent="0.25">
      <c r="A675" s="76">
        <v>706</v>
      </c>
      <c r="B675" s="2" t="s">
        <v>6716</v>
      </c>
      <c r="C675" s="2" t="s">
        <v>6717</v>
      </c>
      <c r="D675" s="2" t="s">
        <v>6718</v>
      </c>
      <c r="E675" s="2" t="s">
        <v>6719</v>
      </c>
      <c r="F675" s="2" t="s">
        <v>6720</v>
      </c>
      <c r="G675" s="2" t="s">
        <v>74</v>
      </c>
      <c r="H675" s="17">
        <v>100</v>
      </c>
      <c r="I675" s="31">
        <f t="shared" si="72"/>
        <v>100000</v>
      </c>
      <c r="J675" s="31">
        <f t="shared" si="73"/>
        <v>7000.0000000000009</v>
      </c>
      <c r="K675" s="44">
        <f t="shared" si="74"/>
        <v>19.178082191780824</v>
      </c>
      <c r="L675" s="3">
        <f t="shared" si="75"/>
        <v>1419.178082191781</v>
      </c>
      <c r="M675" s="3">
        <f t="shared" si="76"/>
        <v>85.150684931506859</v>
      </c>
      <c r="N675" s="67">
        <f t="shared" si="77"/>
        <v>1334.027397260274</v>
      </c>
      <c r="O675" s="3"/>
      <c r="P675" s="70" t="s">
        <v>18612</v>
      </c>
      <c r="Q675" s="2" t="s">
        <v>103</v>
      </c>
      <c r="R675" s="2" t="s">
        <v>6721</v>
      </c>
      <c r="T675" t="s">
        <v>18666</v>
      </c>
      <c r="U675" t="s">
        <v>18652</v>
      </c>
      <c r="V675" s="104">
        <v>45857</v>
      </c>
      <c r="X675" s="97"/>
      <c r="Y675" s="75">
        <v>1334.03</v>
      </c>
    </row>
    <row r="676" spans="1:25" x14ac:dyDescent="0.25">
      <c r="A676" s="76">
        <v>707</v>
      </c>
      <c r="B676" s="2" t="s">
        <v>7073</v>
      </c>
      <c r="C676" s="2" t="s">
        <v>7074</v>
      </c>
      <c r="D676" s="2" t="s">
        <v>7075</v>
      </c>
      <c r="E676" s="2" t="s">
        <v>7076</v>
      </c>
      <c r="F676" s="2" t="s">
        <v>7077</v>
      </c>
      <c r="G676" s="2" t="s">
        <v>31</v>
      </c>
      <c r="H676" s="17">
        <v>25</v>
      </c>
      <c r="I676" s="31">
        <f t="shared" si="72"/>
        <v>25000</v>
      </c>
      <c r="J676" s="31">
        <f t="shared" si="73"/>
        <v>1750.0000000000002</v>
      </c>
      <c r="K676" s="44">
        <f t="shared" si="74"/>
        <v>4.794520547945206</v>
      </c>
      <c r="L676" s="3">
        <f t="shared" si="75"/>
        <v>354.79452054794524</v>
      </c>
      <c r="M676" s="3">
        <f t="shared" si="76"/>
        <v>21.287671232876715</v>
      </c>
      <c r="N676" s="67">
        <f t="shared" si="77"/>
        <v>333.50684931506851</v>
      </c>
      <c r="O676" s="3"/>
      <c r="P676" s="70" t="s">
        <v>18612</v>
      </c>
      <c r="Q676" s="2" t="s">
        <v>103</v>
      </c>
      <c r="R676" s="2" t="s">
        <v>7078</v>
      </c>
      <c r="T676" t="s">
        <v>18666</v>
      </c>
      <c r="U676" t="s">
        <v>18652</v>
      </c>
      <c r="V676" s="104">
        <v>45857</v>
      </c>
      <c r="X676" s="97"/>
      <c r="Y676" s="75">
        <v>333.51</v>
      </c>
    </row>
    <row r="677" spans="1:25" x14ac:dyDescent="0.25">
      <c r="A677" s="76">
        <v>708</v>
      </c>
      <c r="B677" s="2" t="s">
        <v>9534</v>
      </c>
      <c r="C677" s="2" t="s">
        <v>9535</v>
      </c>
      <c r="D677" s="2" t="s">
        <v>9536</v>
      </c>
      <c r="E677" s="2" t="s">
        <v>9537</v>
      </c>
      <c r="F677" s="2" t="s">
        <v>9538</v>
      </c>
      <c r="G677" s="2" t="s">
        <v>144</v>
      </c>
      <c r="H677" s="17">
        <v>29</v>
      </c>
      <c r="I677" s="31">
        <f t="shared" si="72"/>
        <v>29000</v>
      </c>
      <c r="J677" s="31">
        <f t="shared" si="73"/>
        <v>2030.0000000000002</v>
      </c>
      <c r="K677" s="44">
        <f t="shared" si="74"/>
        <v>5.5616438356164393</v>
      </c>
      <c r="L677" s="3">
        <f t="shared" si="75"/>
        <v>411.56164383561651</v>
      </c>
      <c r="M677" s="3">
        <f t="shared" si="76"/>
        <v>24.693698630136989</v>
      </c>
      <c r="N677" s="67">
        <f t="shared" si="77"/>
        <v>386.86794520547954</v>
      </c>
      <c r="O677" s="3"/>
      <c r="P677" s="70" t="s">
        <v>18612</v>
      </c>
      <c r="Q677" s="2" t="s">
        <v>103</v>
      </c>
      <c r="R677" s="2" t="s">
        <v>9539</v>
      </c>
      <c r="T677" t="s">
        <v>18666</v>
      </c>
      <c r="U677" t="s">
        <v>18652</v>
      </c>
      <c r="V677" s="104">
        <v>45857</v>
      </c>
      <c r="X677" s="97"/>
      <c r="Y677" s="75">
        <v>386.87</v>
      </c>
    </row>
    <row r="678" spans="1:25" x14ac:dyDescent="0.25">
      <c r="A678" s="76">
        <v>709</v>
      </c>
      <c r="B678" s="2" t="s">
        <v>4499</v>
      </c>
      <c r="C678" s="2" t="s">
        <v>4500</v>
      </c>
      <c r="D678" s="2" t="s">
        <v>4501</v>
      </c>
      <c r="E678" s="2" t="s">
        <v>4502</v>
      </c>
      <c r="F678" s="2" t="s">
        <v>4503</v>
      </c>
      <c r="G678" s="2" t="s">
        <v>226</v>
      </c>
      <c r="H678" s="17">
        <v>100</v>
      </c>
      <c r="I678" s="31">
        <f t="shared" si="72"/>
        <v>100000</v>
      </c>
      <c r="J678" s="31">
        <f t="shared" si="73"/>
        <v>7000.0000000000009</v>
      </c>
      <c r="K678" s="44">
        <f t="shared" si="74"/>
        <v>19.178082191780824</v>
      </c>
      <c r="L678" s="3">
        <f t="shared" si="75"/>
        <v>1419.178082191781</v>
      </c>
      <c r="M678" s="3">
        <f t="shared" si="76"/>
        <v>85.150684931506859</v>
      </c>
      <c r="N678" s="67">
        <f t="shared" si="77"/>
        <v>1334.027397260274</v>
      </c>
      <c r="O678" s="3"/>
      <c r="P678" s="70" t="s">
        <v>18612</v>
      </c>
      <c r="Q678" s="2" t="s">
        <v>103</v>
      </c>
      <c r="R678" s="2" t="s">
        <v>4504</v>
      </c>
      <c r="T678" t="s">
        <v>18666</v>
      </c>
      <c r="U678" t="s">
        <v>18652</v>
      </c>
      <c r="V678" s="104">
        <v>45857</v>
      </c>
      <c r="X678" s="97"/>
      <c r="Y678" s="75">
        <v>1334.03</v>
      </c>
    </row>
    <row r="679" spans="1:25" x14ac:dyDescent="0.25">
      <c r="A679" s="76">
        <v>710</v>
      </c>
      <c r="B679" s="2" t="s">
        <v>13135</v>
      </c>
      <c r="C679" s="2" t="s">
        <v>13136</v>
      </c>
      <c r="D679" s="2" t="s">
        <v>13137</v>
      </c>
      <c r="E679" s="2" t="s">
        <v>13138</v>
      </c>
      <c r="F679" s="2" t="s">
        <v>13139</v>
      </c>
      <c r="G679" s="2" t="s">
        <v>282</v>
      </c>
      <c r="H679" s="17">
        <v>26</v>
      </c>
      <c r="I679" s="31">
        <f t="shared" si="72"/>
        <v>26000</v>
      </c>
      <c r="J679" s="31">
        <f t="shared" si="73"/>
        <v>1820.0000000000002</v>
      </c>
      <c r="K679" s="44">
        <f t="shared" si="74"/>
        <v>4.9863013698630141</v>
      </c>
      <c r="L679" s="3">
        <f t="shared" si="75"/>
        <v>368.98630136986304</v>
      </c>
      <c r="M679" s="3">
        <f t="shared" si="76"/>
        <v>22.139178082191783</v>
      </c>
      <c r="N679" s="67">
        <f t="shared" si="77"/>
        <v>346.84712328767125</v>
      </c>
      <c r="O679" s="3"/>
      <c r="P679" s="70" t="s">
        <v>18612</v>
      </c>
      <c r="Q679" s="2" t="s">
        <v>103</v>
      </c>
      <c r="R679" s="2" t="s">
        <v>13140</v>
      </c>
      <c r="T679" t="s">
        <v>18666</v>
      </c>
      <c r="U679" t="s">
        <v>18652</v>
      </c>
      <c r="V679" s="104">
        <v>45857</v>
      </c>
      <c r="X679" s="97"/>
      <c r="Y679" s="75">
        <v>346.84999999999997</v>
      </c>
    </row>
    <row r="680" spans="1:25" x14ac:dyDescent="0.25">
      <c r="A680" s="76">
        <v>711</v>
      </c>
      <c r="B680" s="2" t="s">
        <v>10036</v>
      </c>
      <c r="C680" s="2" t="s">
        <v>10037</v>
      </c>
      <c r="D680" s="2" t="s">
        <v>10038</v>
      </c>
      <c r="E680" s="2" t="s">
        <v>10039</v>
      </c>
      <c r="F680" s="2" t="s">
        <v>10040</v>
      </c>
      <c r="G680" s="2" t="s">
        <v>233</v>
      </c>
      <c r="H680" s="17">
        <v>50</v>
      </c>
      <c r="I680" s="31">
        <f t="shared" si="72"/>
        <v>50000</v>
      </c>
      <c r="J680" s="31">
        <f t="shared" si="73"/>
        <v>3500.0000000000005</v>
      </c>
      <c r="K680" s="44">
        <f t="shared" si="74"/>
        <v>9.589041095890412</v>
      </c>
      <c r="L680" s="3">
        <f t="shared" si="75"/>
        <v>709.58904109589048</v>
      </c>
      <c r="M680" s="3">
        <f t="shared" si="76"/>
        <v>42.57534246575343</v>
      </c>
      <c r="N680" s="67">
        <f t="shared" si="77"/>
        <v>667.01369863013701</v>
      </c>
      <c r="O680" s="3"/>
      <c r="P680" s="70" t="s">
        <v>18612</v>
      </c>
      <c r="Q680" s="2" t="s">
        <v>103</v>
      </c>
      <c r="R680" s="2" t="s">
        <v>10041</v>
      </c>
      <c r="T680" t="s">
        <v>18666</v>
      </c>
      <c r="U680" t="s">
        <v>18652</v>
      </c>
      <c r="V680" s="104">
        <v>45857</v>
      </c>
      <c r="X680" s="97"/>
      <c r="Y680" s="75">
        <v>667.02</v>
      </c>
    </row>
    <row r="681" spans="1:25" x14ac:dyDescent="0.25">
      <c r="A681" s="76">
        <v>712</v>
      </c>
      <c r="B681" s="2" t="s">
        <v>2066</v>
      </c>
      <c r="C681" s="2" t="s">
        <v>2067</v>
      </c>
      <c r="D681" s="2" t="s">
        <v>2068</v>
      </c>
      <c r="E681" s="2" t="s">
        <v>2069</v>
      </c>
      <c r="F681" s="2" t="s">
        <v>2070</v>
      </c>
      <c r="G681" s="2" t="s">
        <v>31</v>
      </c>
      <c r="H681" s="17">
        <v>25</v>
      </c>
      <c r="I681" s="31">
        <f t="shared" si="72"/>
        <v>25000</v>
      </c>
      <c r="J681" s="31">
        <f t="shared" si="73"/>
        <v>1750.0000000000002</v>
      </c>
      <c r="K681" s="44">
        <f t="shared" si="74"/>
        <v>4.794520547945206</v>
      </c>
      <c r="L681" s="3">
        <f t="shared" si="75"/>
        <v>354.79452054794524</v>
      </c>
      <c r="M681" s="3">
        <f t="shared" si="76"/>
        <v>21.287671232876715</v>
      </c>
      <c r="N681" s="67">
        <f t="shared" si="77"/>
        <v>333.50684931506851</v>
      </c>
      <c r="O681" s="3"/>
      <c r="P681" s="70" t="s">
        <v>18612</v>
      </c>
      <c r="Q681" s="2" t="s">
        <v>103</v>
      </c>
      <c r="R681" s="2" t="s">
        <v>2071</v>
      </c>
      <c r="T681" t="s">
        <v>18666</v>
      </c>
      <c r="U681" t="s">
        <v>18652</v>
      </c>
      <c r="V681" s="104">
        <v>45857</v>
      </c>
      <c r="X681" s="97"/>
      <c r="Y681" s="75">
        <v>333.51</v>
      </c>
    </row>
    <row r="682" spans="1:25" x14ac:dyDescent="0.25">
      <c r="A682" s="76">
        <v>713</v>
      </c>
      <c r="B682" s="2" t="s">
        <v>14529</v>
      </c>
      <c r="C682" s="2" t="s">
        <v>14530</v>
      </c>
      <c r="D682" s="2" t="s">
        <v>14531</v>
      </c>
      <c r="E682" s="2" t="s">
        <v>14532</v>
      </c>
      <c r="F682" s="2" t="s">
        <v>14533</v>
      </c>
      <c r="G682" s="2" t="s">
        <v>31</v>
      </c>
      <c r="H682" s="17">
        <v>25</v>
      </c>
      <c r="I682" s="31">
        <f t="shared" si="72"/>
        <v>25000</v>
      </c>
      <c r="J682" s="31">
        <f t="shared" si="73"/>
        <v>1750.0000000000002</v>
      </c>
      <c r="K682" s="44">
        <f t="shared" si="74"/>
        <v>4.794520547945206</v>
      </c>
      <c r="L682" s="3">
        <f t="shared" si="75"/>
        <v>354.79452054794524</v>
      </c>
      <c r="M682" s="3">
        <f t="shared" si="76"/>
        <v>21.287671232876715</v>
      </c>
      <c r="N682" s="67">
        <f t="shared" si="77"/>
        <v>333.50684931506851</v>
      </c>
      <c r="O682" s="3"/>
      <c r="P682" s="70" t="s">
        <v>18612</v>
      </c>
      <c r="Q682" s="2" t="s">
        <v>103</v>
      </c>
      <c r="R682" s="2" t="s">
        <v>14534</v>
      </c>
      <c r="T682" t="s">
        <v>18666</v>
      </c>
      <c r="U682" t="s">
        <v>18652</v>
      </c>
      <c r="V682" s="104">
        <v>45857</v>
      </c>
      <c r="X682" s="97"/>
      <c r="Y682" s="75">
        <v>333.51</v>
      </c>
    </row>
    <row r="683" spans="1:25" x14ac:dyDescent="0.25">
      <c r="A683" s="76">
        <v>714</v>
      </c>
      <c r="B683" s="2" t="s">
        <v>338</v>
      </c>
      <c r="C683" s="2" t="s">
        <v>339</v>
      </c>
      <c r="D683" s="2" t="s">
        <v>340</v>
      </c>
      <c r="E683" s="2" t="s">
        <v>341</v>
      </c>
      <c r="F683" s="2" t="s">
        <v>342</v>
      </c>
      <c r="G683" s="2" t="s">
        <v>268</v>
      </c>
      <c r="H683" s="17">
        <v>25</v>
      </c>
      <c r="I683" s="31">
        <f t="shared" si="72"/>
        <v>25000</v>
      </c>
      <c r="J683" s="31">
        <f t="shared" si="73"/>
        <v>1750.0000000000002</v>
      </c>
      <c r="K683" s="44">
        <f t="shared" si="74"/>
        <v>4.794520547945206</v>
      </c>
      <c r="L683" s="3">
        <f t="shared" si="75"/>
        <v>354.79452054794524</v>
      </c>
      <c r="M683" s="3">
        <f t="shared" si="76"/>
        <v>21.287671232876715</v>
      </c>
      <c r="N683" s="67">
        <f t="shared" si="77"/>
        <v>333.50684931506851</v>
      </c>
      <c r="O683" s="3"/>
      <c r="P683" s="70" t="s">
        <v>18612</v>
      </c>
      <c r="Q683" s="2" t="s">
        <v>103</v>
      </c>
      <c r="R683" s="2" t="s">
        <v>343</v>
      </c>
      <c r="T683" t="s">
        <v>18666</v>
      </c>
      <c r="U683" t="s">
        <v>18652</v>
      </c>
      <c r="V683" s="104">
        <v>45857</v>
      </c>
      <c r="X683" s="97"/>
      <c r="Y683" s="75">
        <v>333.51</v>
      </c>
    </row>
    <row r="684" spans="1:25" x14ac:dyDescent="0.25">
      <c r="A684" s="76">
        <v>715</v>
      </c>
      <c r="B684" s="2" t="s">
        <v>8577</v>
      </c>
      <c r="C684" s="2" t="s">
        <v>8578</v>
      </c>
      <c r="D684" s="2" t="s">
        <v>8579</v>
      </c>
      <c r="E684" s="2" t="s">
        <v>8580</v>
      </c>
      <c r="F684" s="2" t="s">
        <v>8581</v>
      </c>
      <c r="G684" s="2" t="s">
        <v>247</v>
      </c>
      <c r="H684" s="17">
        <v>25</v>
      </c>
      <c r="I684" s="31">
        <f t="shared" si="72"/>
        <v>25000</v>
      </c>
      <c r="J684" s="31">
        <f t="shared" si="73"/>
        <v>1750.0000000000002</v>
      </c>
      <c r="K684" s="44">
        <f t="shared" si="74"/>
        <v>4.794520547945206</v>
      </c>
      <c r="L684" s="3">
        <f t="shared" si="75"/>
        <v>354.79452054794524</v>
      </c>
      <c r="M684" s="3">
        <f t="shared" si="76"/>
        <v>21.287671232876715</v>
      </c>
      <c r="N684" s="67">
        <f t="shared" si="77"/>
        <v>333.50684931506851</v>
      </c>
      <c r="O684" s="3"/>
      <c r="P684" s="70" t="s">
        <v>18612</v>
      </c>
      <c r="Q684" s="2" t="s">
        <v>103</v>
      </c>
      <c r="R684" s="2" t="s">
        <v>8582</v>
      </c>
      <c r="T684" t="s">
        <v>18666</v>
      </c>
      <c r="U684" t="s">
        <v>18652</v>
      </c>
      <c r="V684" s="104">
        <v>45857</v>
      </c>
      <c r="X684" s="97"/>
      <c r="Y684" s="75">
        <v>333.51</v>
      </c>
    </row>
    <row r="685" spans="1:25" x14ac:dyDescent="0.25">
      <c r="A685" s="76">
        <v>716</v>
      </c>
      <c r="B685" s="2" t="s">
        <v>3578</v>
      </c>
      <c r="C685" s="2" t="s">
        <v>3579</v>
      </c>
      <c r="D685" s="2" t="s">
        <v>3580</v>
      </c>
      <c r="E685" s="2" t="s">
        <v>3581</v>
      </c>
      <c r="F685" s="2" t="s">
        <v>3582</v>
      </c>
      <c r="G685" s="2" t="s">
        <v>680</v>
      </c>
      <c r="H685" s="17">
        <v>25</v>
      </c>
      <c r="I685" s="31">
        <f t="shared" si="72"/>
        <v>25000</v>
      </c>
      <c r="J685" s="31">
        <f t="shared" si="73"/>
        <v>1750.0000000000002</v>
      </c>
      <c r="K685" s="44">
        <f t="shared" si="74"/>
        <v>4.794520547945206</v>
      </c>
      <c r="L685" s="3">
        <f t="shared" si="75"/>
        <v>354.79452054794524</v>
      </c>
      <c r="M685" s="3">
        <f t="shared" si="76"/>
        <v>21.287671232876715</v>
      </c>
      <c r="N685" s="67">
        <f t="shared" si="77"/>
        <v>333.50684931506851</v>
      </c>
      <c r="O685" s="3"/>
      <c r="P685" s="70" t="s">
        <v>18612</v>
      </c>
      <c r="Q685" s="2" t="s">
        <v>103</v>
      </c>
      <c r="R685" s="2" t="s">
        <v>3583</v>
      </c>
      <c r="T685" t="s">
        <v>18666</v>
      </c>
      <c r="U685" t="s">
        <v>18652</v>
      </c>
      <c r="V685" s="104">
        <v>45857</v>
      </c>
      <c r="X685" s="97"/>
      <c r="Y685" s="75">
        <v>333.51</v>
      </c>
    </row>
    <row r="686" spans="1:25" x14ac:dyDescent="0.25">
      <c r="A686" s="76">
        <v>717</v>
      </c>
      <c r="B686" s="2" t="s">
        <v>139</v>
      </c>
      <c r="C686" s="2" t="s">
        <v>140</v>
      </c>
      <c r="D686" s="2" t="s">
        <v>141</v>
      </c>
      <c r="E686" s="2" t="s">
        <v>142</v>
      </c>
      <c r="F686" s="2" t="s">
        <v>143</v>
      </c>
      <c r="G686" s="2" t="s">
        <v>144</v>
      </c>
      <c r="H686" s="17">
        <v>100</v>
      </c>
      <c r="I686" s="31">
        <f t="shared" si="72"/>
        <v>100000</v>
      </c>
      <c r="J686" s="31">
        <f t="shared" si="73"/>
        <v>7000.0000000000009</v>
      </c>
      <c r="K686" s="44">
        <f t="shared" si="74"/>
        <v>19.178082191780824</v>
      </c>
      <c r="L686" s="3">
        <f t="shared" si="75"/>
        <v>1419.178082191781</v>
      </c>
      <c r="M686" s="3">
        <f t="shared" si="76"/>
        <v>85.150684931506859</v>
      </c>
      <c r="N686" s="67">
        <f t="shared" si="77"/>
        <v>1334.027397260274</v>
      </c>
      <c r="O686" s="3"/>
      <c r="P686" s="70" t="s">
        <v>18612</v>
      </c>
      <c r="Q686" s="2" t="s">
        <v>103</v>
      </c>
      <c r="R686" s="2" t="s">
        <v>145</v>
      </c>
      <c r="T686" t="s">
        <v>18666</v>
      </c>
      <c r="U686" t="s">
        <v>18652</v>
      </c>
      <c r="V686" s="104">
        <v>45857</v>
      </c>
      <c r="X686" s="97"/>
      <c r="Y686" s="75">
        <v>1334.03</v>
      </c>
    </row>
    <row r="687" spans="1:25" x14ac:dyDescent="0.25">
      <c r="A687" s="76">
        <v>718</v>
      </c>
      <c r="B687" s="2" t="s">
        <v>7203</v>
      </c>
      <c r="C687" s="2" t="s">
        <v>7204</v>
      </c>
      <c r="D687" s="2" t="s">
        <v>7205</v>
      </c>
      <c r="E687" s="2" t="s">
        <v>7206</v>
      </c>
      <c r="F687" s="2" t="s">
        <v>7207</v>
      </c>
      <c r="G687" s="2" t="s">
        <v>643</v>
      </c>
      <c r="H687" s="17">
        <v>25</v>
      </c>
      <c r="I687" s="31">
        <f t="shared" si="72"/>
        <v>25000</v>
      </c>
      <c r="J687" s="31">
        <f t="shared" si="73"/>
        <v>1750.0000000000002</v>
      </c>
      <c r="K687" s="44">
        <f t="shared" si="74"/>
        <v>4.794520547945206</v>
      </c>
      <c r="L687" s="3">
        <f t="shared" si="75"/>
        <v>354.79452054794524</v>
      </c>
      <c r="M687" s="3">
        <f t="shared" si="76"/>
        <v>21.287671232876715</v>
      </c>
      <c r="N687" s="67">
        <f t="shared" si="77"/>
        <v>333.50684931506851</v>
      </c>
      <c r="O687" s="3"/>
      <c r="P687" s="70" t="s">
        <v>18612</v>
      </c>
      <c r="Q687" s="2" t="s">
        <v>103</v>
      </c>
      <c r="R687" s="2" t="s">
        <v>7208</v>
      </c>
      <c r="T687" t="s">
        <v>18666</v>
      </c>
      <c r="U687" t="s">
        <v>18652</v>
      </c>
      <c r="V687" s="104">
        <v>45857</v>
      </c>
      <c r="X687" s="97"/>
      <c r="Y687" s="75">
        <v>333.51</v>
      </c>
    </row>
    <row r="688" spans="1:25" x14ac:dyDescent="0.25">
      <c r="A688" s="76">
        <v>719</v>
      </c>
      <c r="B688" s="2" t="s">
        <v>7879</v>
      </c>
      <c r="C688" s="2" t="s">
        <v>7880</v>
      </c>
      <c r="D688" s="2" t="s">
        <v>7881</v>
      </c>
      <c r="E688" s="2" t="s">
        <v>7833</v>
      </c>
      <c r="F688" s="2" t="s">
        <v>7882</v>
      </c>
      <c r="G688" s="2" t="s">
        <v>31</v>
      </c>
      <c r="H688" s="17">
        <v>300</v>
      </c>
      <c r="I688" s="31">
        <f t="shared" si="72"/>
        <v>300000</v>
      </c>
      <c r="J688" s="31">
        <f t="shared" si="73"/>
        <v>21000.000000000004</v>
      </c>
      <c r="K688" s="44">
        <f t="shared" si="74"/>
        <v>57.534246575342479</v>
      </c>
      <c r="L688" s="3">
        <f t="shared" si="75"/>
        <v>4257.5342465753438</v>
      </c>
      <c r="M688" s="3">
        <f t="shared" si="76"/>
        <v>255.45205479452062</v>
      </c>
      <c r="N688" s="67">
        <f t="shared" si="77"/>
        <v>4002.082191780823</v>
      </c>
      <c r="O688" s="3"/>
      <c r="P688" s="70" t="s">
        <v>18612</v>
      </c>
      <c r="Q688" s="2" t="s">
        <v>103</v>
      </c>
      <c r="R688" s="2" t="s">
        <v>7883</v>
      </c>
      <c r="T688" t="s">
        <v>18666</v>
      </c>
      <c r="U688" t="s">
        <v>18652</v>
      </c>
      <c r="V688" s="104">
        <v>45857</v>
      </c>
      <c r="X688" s="97"/>
      <c r="Y688" s="75">
        <v>4002.09</v>
      </c>
    </row>
    <row r="689" spans="1:25" x14ac:dyDescent="0.25">
      <c r="A689" s="76">
        <v>720</v>
      </c>
      <c r="B689" s="2" t="s">
        <v>7653</v>
      </c>
      <c r="C689" s="2" t="s">
        <v>7654</v>
      </c>
      <c r="D689" s="2" t="s">
        <v>7655</v>
      </c>
      <c r="E689" s="2" t="s">
        <v>7656</v>
      </c>
      <c r="F689" s="2" t="s">
        <v>7657</v>
      </c>
      <c r="G689" s="2" t="s">
        <v>254</v>
      </c>
      <c r="H689" s="17">
        <v>25</v>
      </c>
      <c r="I689" s="31">
        <f t="shared" si="72"/>
        <v>25000</v>
      </c>
      <c r="J689" s="31">
        <f t="shared" si="73"/>
        <v>1750.0000000000002</v>
      </c>
      <c r="K689" s="44">
        <f t="shared" si="74"/>
        <v>4.794520547945206</v>
      </c>
      <c r="L689" s="3">
        <f t="shared" si="75"/>
        <v>354.79452054794524</v>
      </c>
      <c r="M689" s="3">
        <f t="shared" si="76"/>
        <v>21.287671232876715</v>
      </c>
      <c r="N689" s="67">
        <f t="shared" si="77"/>
        <v>333.50684931506851</v>
      </c>
      <c r="O689" s="3"/>
      <c r="P689" s="70" t="s">
        <v>18612</v>
      </c>
      <c r="Q689" s="2" t="s">
        <v>103</v>
      </c>
      <c r="R689" s="2" t="s">
        <v>7658</v>
      </c>
      <c r="T689" t="s">
        <v>18666</v>
      </c>
      <c r="U689" t="s">
        <v>18652</v>
      </c>
      <c r="V689" s="104">
        <v>45857</v>
      </c>
      <c r="X689" s="97"/>
      <c r="Y689" s="75">
        <v>333.51</v>
      </c>
    </row>
    <row r="690" spans="1:25" x14ac:dyDescent="0.25">
      <c r="A690" s="76">
        <v>721</v>
      </c>
      <c r="B690" s="2" t="s">
        <v>1063</v>
      </c>
      <c r="C690" s="2" t="s">
        <v>1064</v>
      </c>
      <c r="D690" s="2" t="s">
        <v>1065</v>
      </c>
      <c r="E690" s="2" t="s">
        <v>1066</v>
      </c>
      <c r="F690" s="2" t="s">
        <v>1067</v>
      </c>
      <c r="G690" s="2" t="s">
        <v>144</v>
      </c>
      <c r="H690" s="17">
        <v>25</v>
      </c>
      <c r="I690" s="31">
        <f t="shared" si="72"/>
        <v>25000</v>
      </c>
      <c r="J690" s="31">
        <f t="shared" si="73"/>
        <v>1750.0000000000002</v>
      </c>
      <c r="K690" s="44">
        <f t="shared" si="74"/>
        <v>4.794520547945206</v>
      </c>
      <c r="L690" s="3">
        <f t="shared" si="75"/>
        <v>354.79452054794524</v>
      </c>
      <c r="M690" s="3">
        <f t="shared" si="76"/>
        <v>21.287671232876715</v>
      </c>
      <c r="N690" s="67">
        <f t="shared" si="77"/>
        <v>333.50684931506851</v>
      </c>
      <c r="O690" s="3"/>
      <c r="P690" s="70" t="s">
        <v>18612</v>
      </c>
      <c r="Q690" s="2" t="s">
        <v>103</v>
      </c>
      <c r="R690" s="2" t="s">
        <v>1068</v>
      </c>
      <c r="T690" t="s">
        <v>18666</v>
      </c>
      <c r="U690" t="s">
        <v>18652</v>
      </c>
      <c r="V690" s="104">
        <v>45857</v>
      </c>
      <c r="X690" s="97"/>
      <c r="Y690" s="75">
        <v>333.51</v>
      </c>
    </row>
    <row r="691" spans="1:25" x14ac:dyDescent="0.25">
      <c r="A691" s="76">
        <v>722</v>
      </c>
      <c r="B691" s="2" t="s">
        <v>9552</v>
      </c>
      <c r="C691" s="2" t="s">
        <v>9553</v>
      </c>
      <c r="D691" s="2" t="s">
        <v>9554</v>
      </c>
      <c r="E691" s="2" t="s">
        <v>9555</v>
      </c>
      <c r="F691" s="2" t="s">
        <v>9556</v>
      </c>
      <c r="G691" s="2" t="s">
        <v>618</v>
      </c>
      <c r="H691" s="17">
        <v>25</v>
      </c>
      <c r="I691" s="31">
        <f t="shared" si="72"/>
        <v>25000</v>
      </c>
      <c r="J691" s="31">
        <f t="shared" si="73"/>
        <v>1750.0000000000002</v>
      </c>
      <c r="K691" s="44">
        <f t="shared" si="74"/>
        <v>4.794520547945206</v>
      </c>
      <c r="L691" s="3">
        <f t="shared" si="75"/>
        <v>354.79452054794524</v>
      </c>
      <c r="M691" s="3">
        <f t="shared" si="76"/>
        <v>21.287671232876715</v>
      </c>
      <c r="N691" s="67">
        <f t="shared" si="77"/>
        <v>333.50684931506851</v>
      </c>
      <c r="O691" s="3"/>
      <c r="P691" s="70" t="s">
        <v>18612</v>
      </c>
      <c r="Q691" s="2" t="s">
        <v>103</v>
      </c>
      <c r="R691" s="2" t="s">
        <v>9557</v>
      </c>
      <c r="T691" t="s">
        <v>18666</v>
      </c>
      <c r="U691" t="s">
        <v>18652</v>
      </c>
      <c r="V691" s="104">
        <v>45857</v>
      </c>
      <c r="X691" s="97"/>
      <c r="Y691" s="75">
        <v>333.51</v>
      </c>
    </row>
    <row r="692" spans="1:25" x14ac:dyDescent="0.25">
      <c r="A692" s="76">
        <v>723</v>
      </c>
      <c r="B692" s="2" t="s">
        <v>8595</v>
      </c>
      <c r="C692" s="2" t="s">
        <v>8596</v>
      </c>
      <c r="D692" s="2" t="s">
        <v>8597</v>
      </c>
      <c r="E692" s="2" t="s">
        <v>8598</v>
      </c>
      <c r="F692" s="2" t="s">
        <v>8599</v>
      </c>
      <c r="G692" s="2" t="s">
        <v>39</v>
      </c>
      <c r="H692" s="17">
        <v>25</v>
      </c>
      <c r="I692" s="31">
        <f t="shared" si="72"/>
        <v>25000</v>
      </c>
      <c r="J692" s="31">
        <f t="shared" si="73"/>
        <v>1750.0000000000002</v>
      </c>
      <c r="K692" s="44">
        <f t="shared" si="74"/>
        <v>4.794520547945206</v>
      </c>
      <c r="L692" s="3">
        <f t="shared" si="75"/>
        <v>354.79452054794524</v>
      </c>
      <c r="M692" s="3">
        <f t="shared" si="76"/>
        <v>21.287671232876715</v>
      </c>
      <c r="N692" s="67">
        <f t="shared" si="77"/>
        <v>333.50684931506851</v>
      </c>
      <c r="O692" s="3"/>
      <c r="P692" s="70" t="s">
        <v>18612</v>
      </c>
      <c r="Q692" s="2" t="s">
        <v>103</v>
      </c>
      <c r="R692" s="2" t="s">
        <v>8600</v>
      </c>
      <c r="T692" t="s">
        <v>18666</v>
      </c>
      <c r="U692" t="s">
        <v>18652</v>
      </c>
      <c r="V692" s="104">
        <v>45857</v>
      </c>
      <c r="X692" s="97"/>
      <c r="Y692" s="75">
        <v>333.51</v>
      </c>
    </row>
    <row r="693" spans="1:25" x14ac:dyDescent="0.25">
      <c r="A693" s="76">
        <v>724</v>
      </c>
      <c r="B693" s="2" t="s">
        <v>13369</v>
      </c>
      <c r="C693" s="2" t="s">
        <v>13370</v>
      </c>
      <c r="D693" s="2" t="s">
        <v>13371</v>
      </c>
      <c r="E693" s="2" t="s">
        <v>13372</v>
      </c>
      <c r="F693" s="2" t="s">
        <v>13373</v>
      </c>
      <c r="G693" s="2" t="s">
        <v>876</v>
      </c>
      <c r="H693" s="17">
        <v>25</v>
      </c>
      <c r="I693" s="31">
        <f t="shared" si="72"/>
        <v>25000</v>
      </c>
      <c r="J693" s="31">
        <f t="shared" si="73"/>
        <v>1750.0000000000002</v>
      </c>
      <c r="K693" s="44">
        <f t="shared" si="74"/>
        <v>4.794520547945206</v>
      </c>
      <c r="L693" s="3">
        <f t="shared" si="75"/>
        <v>354.79452054794524</v>
      </c>
      <c r="M693" s="3">
        <f t="shared" si="76"/>
        <v>21.287671232876715</v>
      </c>
      <c r="N693" s="67">
        <f t="shared" si="77"/>
        <v>333.50684931506851</v>
      </c>
      <c r="O693" s="3"/>
      <c r="P693" s="70" t="s">
        <v>18612</v>
      </c>
      <c r="Q693" s="2" t="s">
        <v>103</v>
      </c>
      <c r="R693" s="2" t="s">
        <v>13374</v>
      </c>
      <c r="T693" t="s">
        <v>18666</v>
      </c>
      <c r="U693" t="s">
        <v>18652</v>
      </c>
      <c r="V693" s="104">
        <v>45857</v>
      </c>
      <c r="X693" s="97"/>
      <c r="Y693" s="75">
        <v>333.51</v>
      </c>
    </row>
    <row r="694" spans="1:25" x14ac:dyDescent="0.25">
      <c r="A694" s="76">
        <v>725</v>
      </c>
      <c r="B694" s="2" t="s">
        <v>6752</v>
      </c>
      <c r="C694" s="2" t="s">
        <v>6753</v>
      </c>
      <c r="D694" s="2" t="s">
        <v>6754</v>
      </c>
      <c r="E694" s="2" t="s">
        <v>6755</v>
      </c>
      <c r="F694" s="2" t="s">
        <v>6756</v>
      </c>
      <c r="G694" s="2" t="s">
        <v>31</v>
      </c>
      <c r="H694" s="17">
        <v>25</v>
      </c>
      <c r="I694" s="31">
        <f t="shared" si="72"/>
        <v>25000</v>
      </c>
      <c r="J694" s="31">
        <f t="shared" si="73"/>
        <v>1750.0000000000002</v>
      </c>
      <c r="K694" s="44">
        <f t="shared" si="74"/>
        <v>4.794520547945206</v>
      </c>
      <c r="L694" s="3">
        <f t="shared" si="75"/>
        <v>354.79452054794524</v>
      </c>
      <c r="M694" s="3">
        <f t="shared" si="76"/>
        <v>21.287671232876715</v>
      </c>
      <c r="N694" s="67">
        <f t="shared" si="77"/>
        <v>333.50684931506851</v>
      </c>
      <c r="O694" s="3"/>
      <c r="P694" s="70" t="s">
        <v>18612</v>
      </c>
      <c r="Q694" s="2" t="s">
        <v>103</v>
      </c>
      <c r="R694" s="2" t="s">
        <v>6757</v>
      </c>
      <c r="T694" t="s">
        <v>18666</v>
      </c>
      <c r="U694" t="s">
        <v>18652</v>
      </c>
      <c r="V694" s="104">
        <v>45857</v>
      </c>
      <c r="X694" s="97"/>
      <c r="Y694" s="75">
        <v>333.51</v>
      </c>
    </row>
    <row r="695" spans="1:25" x14ac:dyDescent="0.25">
      <c r="A695" s="76">
        <v>726</v>
      </c>
      <c r="B695" s="2" t="s">
        <v>9606</v>
      </c>
      <c r="C695" s="2" t="s">
        <v>9607</v>
      </c>
      <c r="D695" s="2" t="s">
        <v>9602</v>
      </c>
      <c r="E695" s="2" t="s">
        <v>9608</v>
      </c>
      <c r="F695" s="2" t="s">
        <v>9609</v>
      </c>
      <c r="G695" s="2" t="s">
        <v>718</v>
      </c>
      <c r="H695" s="17">
        <v>150</v>
      </c>
      <c r="I695" s="31">
        <f t="shared" si="72"/>
        <v>150000</v>
      </c>
      <c r="J695" s="31">
        <f t="shared" si="73"/>
        <v>10500.000000000002</v>
      </c>
      <c r="K695" s="44">
        <f t="shared" si="74"/>
        <v>28.767123287671239</v>
      </c>
      <c r="L695" s="3">
        <f t="shared" si="75"/>
        <v>2128.7671232876719</v>
      </c>
      <c r="M695" s="3">
        <f t="shared" si="76"/>
        <v>127.72602739726031</v>
      </c>
      <c r="N695" s="67">
        <f t="shared" si="77"/>
        <v>2001.0410958904115</v>
      </c>
      <c r="O695" s="3"/>
      <c r="P695" s="70" t="s">
        <v>18612</v>
      </c>
      <c r="Q695" s="2" t="s">
        <v>103</v>
      </c>
      <c r="R695" s="2" t="s">
        <v>9610</v>
      </c>
      <c r="T695" t="s">
        <v>18666</v>
      </c>
      <c r="U695" t="s">
        <v>18652</v>
      </c>
      <c r="V695" s="104">
        <v>45857</v>
      </c>
      <c r="X695" s="97"/>
      <c r="Y695" s="75">
        <v>2001.05</v>
      </c>
    </row>
    <row r="696" spans="1:25" x14ac:dyDescent="0.25">
      <c r="A696" s="76">
        <v>727</v>
      </c>
      <c r="B696" s="2" t="s">
        <v>9600</v>
      </c>
      <c r="C696" s="2" t="s">
        <v>9601</v>
      </c>
      <c r="D696" s="2" t="s">
        <v>9602</v>
      </c>
      <c r="E696" s="2" t="s">
        <v>9603</v>
      </c>
      <c r="F696" s="2" t="s">
        <v>9604</v>
      </c>
      <c r="G696" s="2" t="s">
        <v>718</v>
      </c>
      <c r="H696" s="17">
        <v>150</v>
      </c>
      <c r="I696" s="31">
        <f t="shared" si="72"/>
        <v>150000</v>
      </c>
      <c r="J696" s="31">
        <f t="shared" si="73"/>
        <v>10500.000000000002</v>
      </c>
      <c r="K696" s="44">
        <f t="shared" si="74"/>
        <v>28.767123287671239</v>
      </c>
      <c r="L696" s="3">
        <f t="shared" si="75"/>
        <v>2128.7671232876719</v>
      </c>
      <c r="M696" s="3">
        <f t="shared" si="76"/>
        <v>127.72602739726031</v>
      </c>
      <c r="N696" s="67">
        <f t="shared" si="77"/>
        <v>2001.0410958904115</v>
      </c>
      <c r="O696" s="3"/>
      <c r="P696" s="70" t="s">
        <v>18612</v>
      </c>
      <c r="Q696" s="2" t="s">
        <v>103</v>
      </c>
      <c r="R696" s="2" t="s">
        <v>9605</v>
      </c>
      <c r="T696" t="s">
        <v>18666</v>
      </c>
      <c r="U696" t="s">
        <v>18652</v>
      </c>
      <c r="V696" s="104">
        <v>45857</v>
      </c>
      <c r="X696" s="97"/>
      <c r="Y696" s="75">
        <v>2001.05</v>
      </c>
    </row>
    <row r="697" spans="1:25" x14ac:dyDescent="0.25">
      <c r="A697" s="76">
        <v>728</v>
      </c>
      <c r="B697" s="2" t="s">
        <v>13462</v>
      </c>
      <c r="C697" s="2" t="s">
        <v>13463</v>
      </c>
      <c r="D697" s="2" t="s">
        <v>13464</v>
      </c>
      <c r="E697" s="2" t="s">
        <v>13465</v>
      </c>
      <c r="F697" s="2" t="s">
        <v>13466</v>
      </c>
      <c r="G697" s="2" t="s">
        <v>158</v>
      </c>
      <c r="H697" s="17">
        <v>25</v>
      </c>
      <c r="I697" s="31">
        <f t="shared" si="72"/>
        <v>25000</v>
      </c>
      <c r="J697" s="31">
        <f t="shared" si="73"/>
        <v>1750.0000000000002</v>
      </c>
      <c r="K697" s="44">
        <f t="shared" si="74"/>
        <v>4.794520547945206</v>
      </c>
      <c r="L697" s="3">
        <f t="shared" si="75"/>
        <v>354.79452054794524</v>
      </c>
      <c r="M697" s="3">
        <f t="shared" si="76"/>
        <v>21.287671232876715</v>
      </c>
      <c r="N697" s="67">
        <f t="shared" si="77"/>
        <v>333.50684931506851</v>
      </c>
      <c r="O697" s="3"/>
      <c r="P697" s="70" t="s">
        <v>18612</v>
      </c>
      <c r="Q697" s="2" t="s">
        <v>103</v>
      </c>
      <c r="R697" s="2" t="s">
        <v>13467</v>
      </c>
      <c r="T697" t="s">
        <v>18666</v>
      </c>
      <c r="U697" t="s">
        <v>18652</v>
      </c>
      <c r="V697" s="104">
        <v>45857</v>
      </c>
      <c r="X697" s="97"/>
      <c r="Y697" s="75">
        <v>333.51</v>
      </c>
    </row>
    <row r="698" spans="1:25" x14ac:dyDescent="0.25">
      <c r="A698" s="76">
        <v>729</v>
      </c>
      <c r="B698" s="2" t="s">
        <v>6936</v>
      </c>
      <c r="C698" s="2" t="s">
        <v>6937</v>
      </c>
      <c r="D698" s="2" t="s">
        <v>6938</v>
      </c>
      <c r="E698" s="2" t="s">
        <v>6939</v>
      </c>
      <c r="F698" s="2" t="s">
        <v>6940</v>
      </c>
      <c r="G698" s="2" t="s">
        <v>123</v>
      </c>
      <c r="H698" s="17">
        <v>25</v>
      </c>
      <c r="I698" s="31">
        <f t="shared" si="72"/>
        <v>25000</v>
      </c>
      <c r="J698" s="31">
        <f t="shared" si="73"/>
        <v>1750.0000000000002</v>
      </c>
      <c r="K698" s="44">
        <f t="shared" si="74"/>
        <v>4.794520547945206</v>
      </c>
      <c r="L698" s="3">
        <f t="shared" si="75"/>
        <v>354.79452054794524</v>
      </c>
      <c r="M698" s="3">
        <f t="shared" si="76"/>
        <v>21.287671232876715</v>
      </c>
      <c r="N698" s="67">
        <f t="shared" si="77"/>
        <v>333.50684931506851</v>
      </c>
      <c r="O698" s="3"/>
      <c r="P698" s="70" t="s">
        <v>18612</v>
      </c>
      <c r="Q698" s="2" t="s">
        <v>103</v>
      </c>
      <c r="R698" s="2" t="s">
        <v>6941</v>
      </c>
      <c r="T698" t="s">
        <v>18666</v>
      </c>
      <c r="U698" t="s">
        <v>18652</v>
      </c>
      <c r="V698" s="104">
        <v>45857</v>
      </c>
      <c r="X698" s="97"/>
      <c r="Y698" s="75">
        <v>333.51</v>
      </c>
    </row>
    <row r="699" spans="1:25" x14ac:dyDescent="0.25">
      <c r="A699" s="76">
        <v>730</v>
      </c>
      <c r="B699" s="2" t="s">
        <v>389</v>
      </c>
      <c r="C699" s="2" t="s">
        <v>390</v>
      </c>
      <c r="D699" s="2" t="s">
        <v>391</v>
      </c>
      <c r="E699" s="2" t="s">
        <v>392</v>
      </c>
      <c r="F699" s="2" t="s">
        <v>393</v>
      </c>
      <c r="G699" s="2" t="s">
        <v>158</v>
      </c>
      <c r="H699" s="17">
        <v>25</v>
      </c>
      <c r="I699" s="31">
        <f t="shared" si="72"/>
        <v>25000</v>
      </c>
      <c r="J699" s="31">
        <f t="shared" si="73"/>
        <v>1750.0000000000002</v>
      </c>
      <c r="K699" s="44">
        <f t="shared" si="74"/>
        <v>4.794520547945206</v>
      </c>
      <c r="L699" s="3">
        <f t="shared" si="75"/>
        <v>354.79452054794524</v>
      </c>
      <c r="M699" s="3">
        <f t="shared" si="76"/>
        <v>21.287671232876715</v>
      </c>
      <c r="N699" s="67">
        <f t="shared" si="77"/>
        <v>333.50684931506851</v>
      </c>
      <c r="O699" s="3"/>
      <c r="P699" s="70" t="s">
        <v>18612</v>
      </c>
      <c r="Q699" s="2" t="s">
        <v>103</v>
      </c>
      <c r="R699" s="2" t="s">
        <v>394</v>
      </c>
      <c r="T699" t="s">
        <v>18666</v>
      </c>
      <c r="U699" t="s">
        <v>18652</v>
      </c>
      <c r="V699" s="104">
        <v>45857</v>
      </c>
      <c r="X699" s="97"/>
      <c r="Y699" s="75">
        <v>333.51</v>
      </c>
    </row>
    <row r="700" spans="1:25" x14ac:dyDescent="0.25">
      <c r="A700" s="76">
        <v>731</v>
      </c>
      <c r="B700" s="2" t="s">
        <v>17543</v>
      </c>
      <c r="C700" s="2" t="s">
        <v>11721</v>
      </c>
      <c r="D700" s="2" t="s">
        <v>17544</v>
      </c>
      <c r="E700" s="2" t="s">
        <v>17545</v>
      </c>
      <c r="F700" s="2" t="s">
        <v>17546</v>
      </c>
      <c r="G700" s="2" t="s">
        <v>144</v>
      </c>
      <c r="H700" s="17">
        <v>50</v>
      </c>
      <c r="I700" s="31">
        <f t="shared" si="72"/>
        <v>50000</v>
      </c>
      <c r="J700" s="31">
        <f t="shared" si="73"/>
        <v>3500.0000000000005</v>
      </c>
      <c r="K700" s="44">
        <f t="shared" si="74"/>
        <v>9.589041095890412</v>
      </c>
      <c r="L700" s="3">
        <f t="shared" si="75"/>
        <v>709.58904109589048</v>
      </c>
      <c r="M700" s="3">
        <f t="shared" si="76"/>
        <v>42.57534246575343</v>
      </c>
      <c r="N700" s="67">
        <f t="shared" si="77"/>
        <v>667.01369863013701</v>
      </c>
      <c r="O700" s="3"/>
      <c r="P700" s="70" t="s">
        <v>18612</v>
      </c>
      <c r="Q700" s="2" t="s">
        <v>103</v>
      </c>
      <c r="R700" s="2" t="s">
        <v>17547</v>
      </c>
      <c r="T700" t="s">
        <v>18666</v>
      </c>
      <c r="U700" t="s">
        <v>18652</v>
      </c>
      <c r="V700" s="104">
        <v>45857</v>
      </c>
      <c r="X700" s="97"/>
      <c r="Y700" s="75">
        <v>667.02</v>
      </c>
    </row>
    <row r="701" spans="1:25" x14ac:dyDescent="0.25">
      <c r="A701" s="76">
        <v>732</v>
      </c>
      <c r="B701" s="2" t="s">
        <v>6930</v>
      </c>
      <c r="C701" s="2" t="s">
        <v>6931</v>
      </c>
      <c r="D701" s="2" t="s">
        <v>6932</v>
      </c>
      <c r="E701" s="2" t="s">
        <v>6933</v>
      </c>
      <c r="F701" s="2" t="s">
        <v>6934</v>
      </c>
      <c r="G701" s="2" t="s">
        <v>381</v>
      </c>
      <c r="H701" s="17">
        <v>500</v>
      </c>
      <c r="I701" s="31">
        <f t="shared" si="72"/>
        <v>500000</v>
      </c>
      <c r="J701" s="31">
        <f t="shared" si="73"/>
        <v>35000</v>
      </c>
      <c r="K701" s="44">
        <f t="shared" si="74"/>
        <v>95.890410958904113</v>
      </c>
      <c r="L701" s="3">
        <f t="shared" si="75"/>
        <v>7095.8904109589039</v>
      </c>
      <c r="M701" s="3">
        <f t="shared" si="76"/>
        <v>425.7534246575342</v>
      </c>
      <c r="N701" s="67">
        <f t="shared" si="77"/>
        <v>6670.1369863013697</v>
      </c>
      <c r="O701" s="3"/>
      <c r="P701" s="70" t="s">
        <v>18612</v>
      </c>
      <c r="Q701" s="2" t="s">
        <v>103</v>
      </c>
      <c r="R701" s="2" t="s">
        <v>6935</v>
      </c>
      <c r="T701" t="s">
        <v>18666</v>
      </c>
      <c r="U701" t="s">
        <v>18652</v>
      </c>
      <c r="V701" s="104">
        <v>45857</v>
      </c>
      <c r="X701" s="97"/>
      <c r="Y701" s="75">
        <v>6670.14</v>
      </c>
    </row>
    <row r="702" spans="1:25" x14ac:dyDescent="0.25">
      <c r="A702" s="76">
        <v>733</v>
      </c>
      <c r="B702" s="2" t="s">
        <v>10610</v>
      </c>
      <c r="C702" s="2" t="s">
        <v>10611</v>
      </c>
      <c r="D702" s="2" t="s">
        <v>10612</v>
      </c>
      <c r="E702" s="2" t="s">
        <v>10613</v>
      </c>
      <c r="F702" s="2" t="s">
        <v>10614</v>
      </c>
      <c r="G702" s="2" t="s">
        <v>233</v>
      </c>
      <c r="H702" s="17">
        <v>100</v>
      </c>
      <c r="I702" s="31">
        <f t="shared" si="72"/>
        <v>100000</v>
      </c>
      <c r="J702" s="31">
        <f t="shared" si="73"/>
        <v>7000.0000000000009</v>
      </c>
      <c r="K702" s="44">
        <f t="shared" si="74"/>
        <v>19.178082191780824</v>
      </c>
      <c r="L702" s="3">
        <f t="shared" si="75"/>
        <v>1419.178082191781</v>
      </c>
      <c r="M702" s="3">
        <f t="shared" si="76"/>
        <v>85.150684931506859</v>
      </c>
      <c r="N702" s="67">
        <f t="shared" si="77"/>
        <v>1334.027397260274</v>
      </c>
      <c r="O702" s="3"/>
      <c r="P702" s="70" t="s">
        <v>18612</v>
      </c>
      <c r="Q702" s="2" t="s">
        <v>103</v>
      </c>
      <c r="R702" s="2" t="s">
        <v>10615</v>
      </c>
      <c r="T702" t="s">
        <v>18666</v>
      </c>
      <c r="U702" t="s">
        <v>18652</v>
      </c>
      <c r="V702" s="104">
        <v>45857</v>
      </c>
      <c r="X702" s="97"/>
      <c r="Y702" s="75">
        <v>1334.03</v>
      </c>
    </row>
    <row r="703" spans="1:25" x14ac:dyDescent="0.25">
      <c r="A703" s="76">
        <v>734</v>
      </c>
      <c r="B703" s="2" t="s">
        <v>13668</v>
      </c>
      <c r="C703" s="2" t="s">
        <v>13669</v>
      </c>
      <c r="D703" s="2" t="s">
        <v>13670</v>
      </c>
      <c r="E703" s="2" t="s">
        <v>13671</v>
      </c>
      <c r="F703" s="2" t="s">
        <v>13672</v>
      </c>
      <c r="G703" s="2" t="s">
        <v>876</v>
      </c>
      <c r="H703" s="17">
        <v>100</v>
      </c>
      <c r="I703" s="31">
        <f t="shared" si="72"/>
        <v>100000</v>
      </c>
      <c r="J703" s="31">
        <f t="shared" si="73"/>
        <v>7000.0000000000009</v>
      </c>
      <c r="K703" s="44">
        <f t="shared" si="74"/>
        <v>19.178082191780824</v>
      </c>
      <c r="L703" s="3">
        <f t="shared" si="75"/>
        <v>1419.178082191781</v>
      </c>
      <c r="M703" s="3">
        <f t="shared" si="76"/>
        <v>85.150684931506859</v>
      </c>
      <c r="N703" s="67">
        <f t="shared" si="77"/>
        <v>1334.027397260274</v>
      </c>
      <c r="O703" s="3"/>
      <c r="P703" s="70" t="s">
        <v>18612</v>
      </c>
      <c r="Q703" s="2" t="s">
        <v>103</v>
      </c>
      <c r="R703" s="2" t="s">
        <v>13673</v>
      </c>
      <c r="T703" t="s">
        <v>18666</v>
      </c>
      <c r="U703" t="s">
        <v>18652</v>
      </c>
      <c r="V703" s="104">
        <v>45857</v>
      </c>
      <c r="X703" s="97"/>
      <c r="Y703" s="75">
        <v>1334.03</v>
      </c>
    </row>
    <row r="704" spans="1:25" x14ac:dyDescent="0.25">
      <c r="A704" s="76">
        <v>735</v>
      </c>
      <c r="B704" s="2" t="s">
        <v>13530</v>
      </c>
      <c r="C704" s="2" t="s">
        <v>13531</v>
      </c>
      <c r="D704" s="2" t="s">
        <v>13532</v>
      </c>
      <c r="E704" s="2" t="s">
        <v>13533</v>
      </c>
      <c r="F704" s="2" t="s">
        <v>13534</v>
      </c>
      <c r="G704" s="2" t="s">
        <v>543</v>
      </c>
      <c r="H704" s="17">
        <v>25</v>
      </c>
      <c r="I704" s="31">
        <f t="shared" si="72"/>
        <v>25000</v>
      </c>
      <c r="J704" s="31">
        <f t="shared" si="73"/>
        <v>1750.0000000000002</v>
      </c>
      <c r="K704" s="44">
        <f t="shared" si="74"/>
        <v>4.794520547945206</v>
      </c>
      <c r="L704" s="3">
        <f t="shared" si="75"/>
        <v>354.79452054794524</v>
      </c>
      <c r="M704" s="3">
        <f t="shared" si="76"/>
        <v>21.287671232876715</v>
      </c>
      <c r="N704" s="67">
        <f t="shared" si="77"/>
        <v>333.50684931506851</v>
      </c>
      <c r="O704" s="3"/>
      <c r="P704" s="70" t="s">
        <v>18612</v>
      </c>
      <c r="Q704" s="2" t="s">
        <v>103</v>
      </c>
      <c r="R704" s="2" t="s">
        <v>13535</v>
      </c>
      <c r="T704" t="s">
        <v>18666</v>
      </c>
      <c r="U704" t="s">
        <v>18652</v>
      </c>
      <c r="V704" s="104">
        <v>45857</v>
      </c>
      <c r="X704" s="97"/>
      <c r="Y704" s="75">
        <v>333.51</v>
      </c>
    </row>
    <row r="705" spans="1:25" x14ac:dyDescent="0.25">
      <c r="A705" s="76">
        <v>736</v>
      </c>
      <c r="B705" s="2" t="s">
        <v>11191</v>
      </c>
      <c r="C705" s="2" t="s">
        <v>11192</v>
      </c>
      <c r="D705" s="2" t="s">
        <v>11193</v>
      </c>
      <c r="E705" s="2" t="s">
        <v>11194</v>
      </c>
      <c r="F705" s="2" t="s">
        <v>11195</v>
      </c>
      <c r="G705" s="2" t="s">
        <v>799</v>
      </c>
      <c r="H705" s="17">
        <v>25</v>
      </c>
      <c r="I705" s="31">
        <f t="shared" si="72"/>
        <v>25000</v>
      </c>
      <c r="J705" s="31">
        <f t="shared" si="73"/>
        <v>1750.0000000000002</v>
      </c>
      <c r="K705" s="44">
        <f t="shared" si="74"/>
        <v>4.794520547945206</v>
      </c>
      <c r="L705" s="3">
        <f t="shared" si="75"/>
        <v>354.79452054794524</v>
      </c>
      <c r="M705" s="3">
        <f t="shared" si="76"/>
        <v>21.287671232876715</v>
      </c>
      <c r="N705" s="67">
        <f t="shared" si="77"/>
        <v>333.50684931506851</v>
      </c>
      <c r="O705" s="3"/>
      <c r="P705" s="70" t="s">
        <v>18612</v>
      </c>
      <c r="Q705" s="2" t="s">
        <v>103</v>
      </c>
      <c r="R705" s="2" t="s">
        <v>11196</v>
      </c>
      <c r="T705" t="s">
        <v>18666</v>
      </c>
      <c r="U705" t="s">
        <v>18652</v>
      </c>
      <c r="V705" s="104">
        <v>45857</v>
      </c>
      <c r="X705" s="97"/>
      <c r="Y705" s="75">
        <v>333.51</v>
      </c>
    </row>
    <row r="706" spans="1:25" x14ac:dyDescent="0.25">
      <c r="A706" s="76">
        <v>737</v>
      </c>
      <c r="B706" s="2" t="s">
        <v>1432</v>
      </c>
      <c r="C706" s="2" t="s">
        <v>1433</v>
      </c>
      <c r="D706" s="2" t="s">
        <v>1434</v>
      </c>
      <c r="E706" s="2" t="s">
        <v>1435</v>
      </c>
      <c r="F706" s="2" t="s">
        <v>1436</v>
      </c>
      <c r="G706" s="2" t="s">
        <v>1424</v>
      </c>
      <c r="H706" s="17">
        <v>200</v>
      </c>
      <c r="I706" s="31">
        <f t="shared" si="72"/>
        <v>200000</v>
      </c>
      <c r="J706" s="31">
        <f t="shared" si="73"/>
        <v>14000.000000000002</v>
      </c>
      <c r="K706" s="44">
        <f t="shared" si="74"/>
        <v>38.356164383561648</v>
      </c>
      <c r="L706" s="3">
        <f t="shared" si="75"/>
        <v>2838.3561643835619</v>
      </c>
      <c r="M706" s="3">
        <f t="shared" si="76"/>
        <v>170.30136986301372</v>
      </c>
      <c r="N706" s="67">
        <f t="shared" si="77"/>
        <v>2668.0547945205481</v>
      </c>
      <c r="O706" s="3"/>
      <c r="P706" s="70" t="s">
        <v>18612</v>
      </c>
      <c r="Q706" s="2" t="s">
        <v>103</v>
      </c>
      <c r="R706" s="2" t="s">
        <v>1437</v>
      </c>
      <c r="T706" t="s">
        <v>18666</v>
      </c>
      <c r="U706" t="s">
        <v>18652</v>
      </c>
      <c r="V706" s="104">
        <v>45857</v>
      </c>
      <c r="X706" s="97"/>
      <c r="Y706" s="75">
        <v>2668.0600000000004</v>
      </c>
    </row>
    <row r="707" spans="1:25" x14ac:dyDescent="0.25">
      <c r="A707" s="76">
        <v>738</v>
      </c>
      <c r="B707" s="2" t="s">
        <v>3359</v>
      </c>
      <c r="C707" s="2" t="s">
        <v>3360</v>
      </c>
      <c r="D707" s="2" t="s">
        <v>3361</v>
      </c>
      <c r="E707" s="2" t="s">
        <v>3362</v>
      </c>
      <c r="F707" s="2" t="s">
        <v>3363</v>
      </c>
      <c r="G707" s="2" t="s">
        <v>158</v>
      </c>
      <c r="H707" s="17">
        <v>25</v>
      </c>
      <c r="I707" s="31">
        <f t="shared" si="72"/>
        <v>25000</v>
      </c>
      <c r="J707" s="31">
        <f t="shared" si="73"/>
        <v>1750.0000000000002</v>
      </c>
      <c r="K707" s="44">
        <f t="shared" si="74"/>
        <v>4.794520547945206</v>
      </c>
      <c r="L707" s="3">
        <f t="shared" si="75"/>
        <v>354.79452054794524</v>
      </c>
      <c r="M707" s="3">
        <f t="shared" si="76"/>
        <v>21.287671232876715</v>
      </c>
      <c r="N707" s="67">
        <f t="shared" si="77"/>
        <v>333.50684931506851</v>
      </c>
      <c r="O707" s="3"/>
      <c r="P707" s="70" t="s">
        <v>18612</v>
      </c>
      <c r="Q707" s="2" t="s">
        <v>103</v>
      </c>
      <c r="R707" s="2" t="s">
        <v>3364</v>
      </c>
      <c r="T707" t="s">
        <v>18666</v>
      </c>
      <c r="U707" t="s">
        <v>18652</v>
      </c>
      <c r="V707" s="104">
        <v>45857</v>
      </c>
      <c r="X707" s="97"/>
      <c r="Y707" s="75">
        <v>333.51</v>
      </c>
    </row>
    <row r="708" spans="1:25" x14ac:dyDescent="0.25">
      <c r="A708" s="76">
        <v>739</v>
      </c>
      <c r="B708" s="2" t="s">
        <v>15913</v>
      </c>
      <c r="C708" s="2" t="s">
        <v>15914</v>
      </c>
      <c r="D708" s="2" t="s">
        <v>15915</v>
      </c>
      <c r="E708" s="2" t="s">
        <v>15916</v>
      </c>
      <c r="F708" s="2" t="s">
        <v>15917</v>
      </c>
      <c r="G708" s="2" t="s">
        <v>381</v>
      </c>
      <c r="H708" s="17">
        <v>25</v>
      </c>
      <c r="I708" s="31">
        <f t="shared" si="72"/>
        <v>25000</v>
      </c>
      <c r="J708" s="31">
        <f t="shared" si="73"/>
        <v>1750.0000000000002</v>
      </c>
      <c r="K708" s="44">
        <f t="shared" si="74"/>
        <v>4.794520547945206</v>
      </c>
      <c r="L708" s="3">
        <f t="shared" si="75"/>
        <v>354.79452054794524</v>
      </c>
      <c r="M708" s="3">
        <f t="shared" si="76"/>
        <v>21.287671232876715</v>
      </c>
      <c r="N708" s="67">
        <f t="shared" si="77"/>
        <v>333.50684931506851</v>
      </c>
      <c r="O708" s="3"/>
      <c r="P708" s="70" t="s">
        <v>18612</v>
      </c>
      <c r="Q708" s="2" t="s">
        <v>103</v>
      </c>
      <c r="R708" s="2" t="s">
        <v>15918</v>
      </c>
      <c r="T708" t="s">
        <v>18666</v>
      </c>
      <c r="U708" t="s">
        <v>18652</v>
      </c>
      <c r="V708" s="104">
        <v>45857</v>
      </c>
      <c r="X708" s="97"/>
      <c r="Y708" s="75">
        <v>333.51</v>
      </c>
    </row>
    <row r="709" spans="1:25" x14ac:dyDescent="0.25">
      <c r="A709" s="76">
        <v>740</v>
      </c>
      <c r="B709" s="2" t="s">
        <v>8044</v>
      </c>
      <c r="C709" s="2" t="s">
        <v>8045</v>
      </c>
      <c r="D709" s="2" t="s">
        <v>8046</v>
      </c>
      <c r="E709" s="2" t="s">
        <v>1785</v>
      </c>
      <c r="F709" s="2" t="s">
        <v>8047</v>
      </c>
      <c r="G709" s="2" t="s">
        <v>218</v>
      </c>
      <c r="H709" s="17">
        <v>25</v>
      </c>
      <c r="I709" s="31">
        <f t="shared" si="72"/>
        <v>25000</v>
      </c>
      <c r="J709" s="31">
        <f t="shared" si="73"/>
        <v>1750.0000000000002</v>
      </c>
      <c r="K709" s="44">
        <f t="shared" si="74"/>
        <v>4.794520547945206</v>
      </c>
      <c r="L709" s="3">
        <f t="shared" si="75"/>
        <v>354.79452054794524</v>
      </c>
      <c r="M709" s="3">
        <f t="shared" si="76"/>
        <v>21.287671232876715</v>
      </c>
      <c r="N709" s="67">
        <f t="shared" si="77"/>
        <v>333.50684931506851</v>
      </c>
      <c r="O709" s="3"/>
      <c r="P709" s="70" t="s">
        <v>18612</v>
      </c>
      <c r="Q709" s="2" t="s">
        <v>103</v>
      </c>
      <c r="R709" s="2" t="s">
        <v>8048</v>
      </c>
      <c r="T709" t="s">
        <v>18666</v>
      </c>
      <c r="U709" t="s">
        <v>18652</v>
      </c>
      <c r="V709" s="104">
        <v>45857</v>
      </c>
      <c r="X709" s="97"/>
      <c r="Y709" s="75">
        <v>333.51</v>
      </c>
    </row>
    <row r="710" spans="1:25" x14ac:dyDescent="0.25">
      <c r="A710" s="76">
        <v>741</v>
      </c>
      <c r="B710" s="2" t="s">
        <v>13652</v>
      </c>
      <c r="C710" s="2" t="s">
        <v>13653</v>
      </c>
      <c r="D710" s="2" t="s">
        <v>13654</v>
      </c>
      <c r="E710" s="2" t="s">
        <v>13655</v>
      </c>
      <c r="F710" s="2" t="s">
        <v>13656</v>
      </c>
      <c r="G710" s="2" t="s">
        <v>876</v>
      </c>
      <c r="H710" s="17">
        <v>25</v>
      </c>
      <c r="I710" s="31">
        <f t="shared" si="72"/>
        <v>25000</v>
      </c>
      <c r="J710" s="31">
        <f t="shared" si="73"/>
        <v>1750.0000000000002</v>
      </c>
      <c r="K710" s="44">
        <f t="shared" si="74"/>
        <v>4.794520547945206</v>
      </c>
      <c r="L710" s="3">
        <f t="shared" si="75"/>
        <v>354.79452054794524</v>
      </c>
      <c r="M710" s="3">
        <f t="shared" si="76"/>
        <v>21.287671232876715</v>
      </c>
      <c r="N710" s="67">
        <f t="shared" si="77"/>
        <v>333.50684931506851</v>
      </c>
      <c r="O710" s="3"/>
      <c r="P710" s="70" t="s">
        <v>18612</v>
      </c>
      <c r="Q710" s="2" t="s">
        <v>103</v>
      </c>
      <c r="R710" s="2" t="s">
        <v>13657</v>
      </c>
      <c r="T710" t="s">
        <v>18666</v>
      </c>
      <c r="U710" t="s">
        <v>18652</v>
      </c>
      <c r="V710" s="104">
        <v>45857</v>
      </c>
      <c r="X710" s="97"/>
      <c r="Y710" s="75">
        <v>333.51</v>
      </c>
    </row>
    <row r="711" spans="1:25" x14ac:dyDescent="0.25">
      <c r="A711" s="76">
        <v>742</v>
      </c>
      <c r="B711" s="2" t="s">
        <v>12117</v>
      </c>
      <c r="C711" s="2" t="s">
        <v>12118</v>
      </c>
      <c r="D711" s="2" t="s">
        <v>12119</v>
      </c>
      <c r="E711" s="2" t="s">
        <v>12120</v>
      </c>
      <c r="F711" s="2" t="s">
        <v>12121</v>
      </c>
      <c r="G711" s="2" t="s">
        <v>275</v>
      </c>
      <c r="H711" s="17">
        <v>300</v>
      </c>
      <c r="I711" s="31">
        <f t="shared" si="72"/>
        <v>300000</v>
      </c>
      <c r="J711" s="31">
        <f t="shared" si="73"/>
        <v>21000.000000000004</v>
      </c>
      <c r="K711" s="44">
        <f t="shared" si="74"/>
        <v>57.534246575342479</v>
      </c>
      <c r="L711" s="3">
        <f t="shared" si="75"/>
        <v>4257.5342465753438</v>
      </c>
      <c r="M711" s="3">
        <f t="shared" si="76"/>
        <v>255.45205479452062</v>
      </c>
      <c r="N711" s="67">
        <f t="shared" si="77"/>
        <v>4002.082191780823</v>
      </c>
      <c r="O711" s="3"/>
      <c r="P711" s="70" t="s">
        <v>18612</v>
      </c>
      <c r="Q711" s="2" t="s">
        <v>103</v>
      </c>
      <c r="R711" s="2" t="s">
        <v>12122</v>
      </c>
      <c r="T711" t="s">
        <v>18666</v>
      </c>
      <c r="U711" t="s">
        <v>18652</v>
      </c>
      <c r="V711" s="104">
        <v>45857</v>
      </c>
      <c r="X711" s="97"/>
      <c r="Y711" s="75">
        <v>4002.09</v>
      </c>
    </row>
    <row r="712" spans="1:25" x14ac:dyDescent="0.25">
      <c r="A712" s="76">
        <v>743</v>
      </c>
      <c r="B712" s="2" t="s">
        <v>2400</v>
      </c>
      <c r="C712" s="2" t="s">
        <v>2401</v>
      </c>
      <c r="D712" s="2" t="s">
        <v>2402</v>
      </c>
      <c r="E712" s="2" t="s">
        <v>2403</v>
      </c>
      <c r="F712" s="2" t="s">
        <v>2404</v>
      </c>
      <c r="G712" s="2" t="s">
        <v>599</v>
      </c>
      <c r="H712" s="17">
        <v>25</v>
      </c>
      <c r="I712" s="31">
        <f t="shared" si="72"/>
        <v>25000</v>
      </c>
      <c r="J712" s="31">
        <f t="shared" si="73"/>
        <v>1750.0000000000002</v>
      </c>
      <c r="K712" s="44">
        <f t="shared" si="74"/>
        <v>4.794520547945206</v>
      </c>
      <c r="L712" s="3">
        <f t="shared" si="75"/>
        <v>354.79452054794524</v>
      </c>
      <c r="M712" s="3">
        <f t="shared" si="76"/>
        <v>21.287671232876715</v>
      </c>
      <c r="N712" s="67">
        <f t="shared" si="77"/>
        <v>333.50684931506851</v>
      </c>
      <c r="O712" s="3"/>
      <c r="P712" s="70" t="s">
        <v>18612</v>
      </c>
      <c r="Q712" s="2" t="s">
        <v>103</v>
      </c>
      <c r="R712" s="2" t="s">
        <v>2405</v>
      </c>
      <c r="T712" t="s">
        <v>18666</v>
      </c>
      <c r="U712" t="s">
        <v>18652</v>
      </c>
      <c r="V712" s="104">
        <v>45857</v>
      </c>
      <c r="X712" s="97"/>
      <c r="Y712" s="75">
        <v>333.51</v>
      </c>
    </row>
    <row r="713" spans="1:25" x14ac:dyDescent="0.25">
      <c r="A713" s="76">
        <v>744</v>
      </c>
      <c r="B713" s="2" t="s">
        <v>4935</v>
      </c>
      <c r="C713" s="2" t="s">
        <v>4936</v>
      </c>
      <c r="D713" s="2" t="s">
        <v>4937</v>
      </c>
      <c r="E713" s="2" t="s">
        <v>4938</v>
      </c>
      <c r="F713" s="2" t="s">
        <v>4939</v>
      </c>
      <c r="G713" s="2" t="s">
        <v>166</v>
      </c>
      <c r="H713" s="17">
        <v>25</v>
      </c>
      <c r="I713" s="31">
        <f t="shared" si="72"/>
        <v>25000</v>
      </c>
      <c r="J713" s="31">
        <f t="shared" si="73"/>
        <v>1750.0000000000002</v>
      </c>
      <c r="K713" s="44">
        <f t="shared" si="74"/>
        <v>4.794520547945206</v>
      </c>
      <c r="L713" s="3">
        <f t="shared" si="75"/>
        <v>354.79452054794524</v>
      </c>
      <c r="M713" s="3">
        <f t="shared" si="76"/>
        <v>21.287671232876715</v>
      </c>
      <c r="N713" s="67">
        <f t="shared" si="77"/>
        <v>333.50684931506851</v>
      </c>
      <c r="O713" s="3"/>
      <c r="P713" s="70" t="s">
        <v>18612</v>
      </c>
      <c r="Q713" s="2" t="s">
        <v>103</v>
      </c>
      <c r="R713" s="2" t="s">
        <v>4940</v>
      </c>
      <c r="T713" t="s">
        <v>18666</v>
      </c>
      <c r="U713" t="s">
        <v>18652</v>
      </c>
      <c r="V713" s="104">
        <v>45857</v>
      </c>
      <c r="X713" s="97"/>
      <c r="Y713" s="75">
        <v>333.51</v>
      </c>
    </row>
    <row r="714" spans="1:25" x14ac:dyDescent="0.25">
      <c r="A714" s="76">
        <v>745</v>
      </c>
      <c r="B714" s="2" t="s">
        <v>13312</v>
      </c>
      <c r="C714" s="2" t="s">
        <v>13313</v>
      </c>
      <c r="D714" s="2" t="s">
        <v>13314</v>
      </c>
      <c r="E714" s="2" t="s">
        <v>13315</v>
      </c>
      <c r="F714" s="2" t="s">
        <v>13316</v>
      </c>
      <c r="G714" s="2" t="s">
        <v>328</v>
      </c>
      <c r="H714" s="17">
        <v>25</v>
      </c>
      <c r="I714" s="31">
        <f t="shared" si="72"/>
        <v>25000</v>
      </c>
      <c r="J714" s="31">
        <f t="shared" si="73"/>
        <v>1750.0000000000002</v>
      </c>
      <c r="K714" s="44">
        <f t="shared" si="74"/>
        <v>4.794520547945206</v>
      </c>
      <c r="L714" s="3">
        <f t="shared" si="75"/>
        <v>354.79452054794524</v>
      </c>
      <c r="M714" s="3">
        <f t="shared" si="76"/>
        <v>21.287671232876715</v>
      </c>
      <c r="N714" s="67">
        <f t="shared" si="77"/>
        <v>333.50684931506851</v>
      </c>
      <c r="O714" s="3"/>
      <c r="P714" s="70" t="s">
        <v>18612</v>
      </c>
      <c r="Q714" s="2" t="s">
        <v>103</v>
      </c>
      <c r="R714" s="2" t="s">
        <v>13317</v>
      </c>
      <c r="T714" t="s">
        <v>18666</v>
      </c>
      <c r="U714" t="s">
        <v>18652</v>
      </c>
      <c r="V714" s="104">
        <v>45857</v>
      </c>
      <c r="X714" s="97"/>
      <c r="Y714" s="75">
        <v>333.51</v>
      </c>
    </row>
    <row r="715" spans="1:25" x14ac:dyDescent="0.25">
      <c r="A715" s="76">
        <v>746</v>
      </c>
      <c r="B715" s="2" t="s">
        <v>18206</v>
      </c>
      <c r="C715" s="2" t="s">
        <v>18207</v>
      </c>
      <c r="D715" s="2" t="s">
        <v>18208</v>
      </c>
      <c r="E715" s="2" t="s">
        <v>18209</v>
      </c>
      <c r="F715" s="2" t="s">
        <v>18210</v>
      </c>
      <c r="G715" s="2" t="s">
        <v>412</v>
      </c>
      <c r="H715" s="17">
        <v>25</v>
      </c>
      <c r="I715" s="31">
        <f t="shared" si="72"/>
        <v>25000</v>
      </c>
      <c r="J715" s="31">
        <f t="shared" si="73"/>
        <v>1750.0000000000002</v>
      </c>
      <c r="K715" s="44">
        <f t="shared" si="74"/>
        <v>4.794520547945206</v>
      </c>
      <c r="L715" s="3">
        <f t="shared" si="75"/>
        <v>354.79452054794524</v>
      </c>
      <c r="M715" s="3">
        <f t="shared" si="76"/>
        <v>21.287671232876715</v>
      </c>
      <c r="N715" s="67">
        <f t="shared" si="77"/>
        <v>333.50684931506851</v>
      </c>
      <c r="O715" s="3"/>
      <c r="P715" s="70" t="s">
        <v>18612</v>
      </c>
      <c r="Q715" s="2" t="s">
        <v>103</v>
      </c>
      <c r="R715" s="2" t="s">
        <v>18211</v>
      </c>
      <c r="T715" t="s">
        <v>18666</v>
      </c>
      <c r="U715" t="s">
        <v>18652</v>
      </c>
      <c r="V715" s="104">
        <v>45857</v>
      </c>
      <c r="X715" s="97"/>
      <c r="Y715" s="75">
        <v>333.51</v>
      </c>
    </row>
    <row r="716" spans="1:25" x14ac:dyDescent="0.25">
      <c r="A716" s="76">
        <v>747</v>
      </c>
      <c r="B716" s="2" t="s">
        <v>17335</v>
      </c>
      <c r="C716" s="2" t="s">
        <v>17336</v>
      </c>
      <c r="D716" s="2" t="s">
        <v>17337</v>
      </c>
      <c r="E716" s="2" t="s">
        <v>17338</v>
      </c>
      <c r="F716" s="2" t="s">
        <v>17339</v>
      </c>
      <c r="G716" s="2" t="s">
        <v>1315</v>
      </c>
      <c r="H716" s="17">
        <v>100</v>
      </c>
      <c r="I716" s="31">
        <f t="shared" si="72"/>
        <v>100000</v>
      </c>
      <c r="J716" s="31">
        <f t="shared" si="73"/>
        <v>7000.0000000000009</v>
      </c>
      <c r="K716" s="44">
        <f t="shared" si="74"/>
        <v>19.178082191780824</v>
      </c>
      <c r="L716" s="3">
        <f t="shared" si="75"/>
        <v>1419.178082191781</v>
      </c>
      <c r="M716" s="3">
        <f t="shared" si="76"/>
        <v>85.150684931506859</v>
      </c>
      <c r="N716" s="67">
        <f t="shared" si="77"/>
        <v>1334.027397260274</v>
      </c>
      <c r="O716" s="3"/>
      <c r="P716" s="70" t="s">
        <v>18612</v>
      </c>
      <c r="Q716" s="2" t="s">
        <v>103</v>
      </c>
      <c r="R716" s="2" t="s">
        <v>17340</v>
      </c>
      <c r="T716" t="s">
        <v>18666</v>
      </c>
      <c r="U716" t="s">
        <v>18652</v>
      </c>
      <c r="V716" s="104">
        <v>45857</v>
      </c>
      <c r="X716" s="97"/>
      <c r="Y716" s="75">
        <v>1334.03</v>
      </c>
    </row>
    <row r="717" spans="1:25" x14ac:dyDescent="0.25">
      <c r="A717" s="76">
        <v>748</v>
      </c>
      <c r="B717" s="2" t="s">
        <v>6017</v>
      </c>
      <c r="C717" s="2" t="s">
        <v>6018</v>
      </c>
      <c r="D717" s="2" t="s">
        <v>6019</v>
      </c>
      <c r="E717" s="2" t="s">
        <v>6020</v>
      </c>
      <c r="F717" s="2" t="s">
        <v>6021</v>
      </c>
      <c r="G717" s="2" t="s">
        <v>123</v>
      </c>
      <c r="H717" s="17">
        <v>25</v>
      </c>
      <c r="I717" s="31">
        <f t="shared" si="72"/>
        <v>25000</v>
      </c>
      <c r="J717" s="31">
        <f t="shared" si="73"/>
        <v>1750.0000000000002</v>
      </c>
      <c r="K717" s="44">
        <f t="shared" si="74"/>
        <v>4.794520547945206</v>
      </c>
      <c r="L717" s="3">
        <f t="shared" si="75"/>
        <v>354.79452054794524</v>
      </c>
      <c r="M717" s="3">
        <f t="shared" si="76"/>
        <v>21.287671232876715</v>
      </c>
      <c r="N717" s="67">
        <f t="shared" si="77"/>
        <v>333.50684931506851</v>
      </c>
      <c r="O717" s="3"/>
      <c r="P717" s="70" t="s">
        <v>18612</v>
      </c>
      <c r="Q717" s="2" t="s">
        <v>103</v>
      </c>
      <c r="R717" s="2" t="s">
        <v>6022</v>
      </c>
      <c r="T717" t="s">
        <v>18666</v>
      </c>
      <c r="U717" t="s">
        <v>18652</v>
      </c>
      <c r="V717" s="104">
        <v>45857</v>
      </c>
      <c r="X717" s="97"/>
      <c r="Y717" s="75">
        <v>333.51</v>
      </c>
    </row>
    <row r="718" spans="1:25" x14ac:dyDescent="0.25">
      <c r="A718" s="76">
        <v>749</v>
      </c>
      <c r="B718" s="2" t="s">
        <v>6247</v>
      </c>
      <c r="C718" s="2" t="s">
        <v>6248</v>
      </c>
      <c r="D718" s="2" t="s">
        <v>6249</v>
      </c>
      <c r="E718" s="2" t="s">
        <v>6250</v>
      </c>
      <c r="F718" s="2" t="s">
        <v>6251</v>
      </c>
      <c r="G718" s="2" t="s">
        <v>599</v>
      </c>
      <c r="H718" s="17">
        <v>25</v>
      </c>
      <c r="I718" s="31">
        <f t="shared" si="72"/>
        <v>25000</v>
      </c>
      <c r="J718" s="31">
        <f t="shared" si="73"/>
        <v>1750.0000000000002</v>
      </c>
      <c r="K718" s="44">
        <f t="shared" si="74"/>
        <v>4.794520547945206</v>
      </c>
      <c r="L718" s="3">
        <f t="shared" si="75"/>
        <v>354.79452054794524</v>
      </c>
      <c r="M718" s="3">
        <f t="shared" si="76"/>
        <v>21.287671232876715</v>
      </c>
      <c r="N718" s="67">
        <f t="shared" si="77"/>
        <v>333.50684931506851</v>
      </c>
      <c r="O718" s="3"/>
      <c r="P718" s="70" t="s">
        <v>18612</v>
      </c>
      <c r="Q718" s="2" t="s">
        <v>103</v>
      </c>
      <c r="R718" s="2" t="s">
        <v>6252</v>
      </c>
      <c r="T718" t="s">
        <v>18666</v>
      </c>
      <c r="U718" t="s">
        <v>18652</v>
      </c>
      <c r="V718" s="104">
        <v>45857</v>
      </c>
      <c r="X718" s="97"/>
      <c r="Y718" s="75">
        <v>333.51</v>
      </c>
    </row>
    <row r="719" spans="1:25" x14ac:dyDescent="0.25">
      <c r="A719" s="76">
        <v>750</v>
      </c>
      <c r="B719" s="2" t="s">
        <v>7590</v>
      </c>
      <c r="C719" s="2" t="s">
        <v>7591</v>
      </c>
      <c r="D719" s="2" t="s">
        <v>7592</v>
      </c>
      <c r="E719" s="2" t="s">
        <v>7593</v>
      </c>
      <c r="F719" s="2" t="s">
        <v>7594</v>
      </c>
      <c r="G719" s="2" t="s">
        <v>31</v>
      </c>
      <c r="H719" s="17">
        <v>25</v>
      </c>
      <c r="I719" s="31">
        <f t="shared" si="72"/>
        <v>25000</v>
      </c>
      <c r="J719" s="31">
        <f t="shared" si="73"/>
        <v>1750.0000000000002</v>
      </c>
      <c r="K719" s="44">
        <f t="shared" si="74"/>
        <v>4.794520547945206</v>
      </c>
      <c r="L719" s="3">
        <f t="shared" si="75"/>
        <v>354.79452054794524</v>
      </c>
      <c r="M719" s="3">
        <f t="shared" si="76"/>
        <v>21.287671232876715</v>
      </c>
      <c r="N719" s="67">
        <f t="shared" si="77"/>
        <v>333.50684931506851</v>
      </c>
      <c r="O719" s="3"/>
      <c r="P719" s="70" t="s">
        <v>18612</v>
      </c>
      <c r="Q719" s="2" t="s">
        <v>103</v>
      </c>
      <c r="R719" s="2" t="s">
        <v>7595</v>
      </c>
      <c r="T719" t="s">
        <v>18666</v>
      </c>
      <c r="U719" t="s">
        <v>18652</v>
      </c>
      <c r="V719" s="104">
        <v>45857</v>
      </c>
      <c r="X719" s="97"/>
      <c r="Y719" s="75">
        <v>333.51</v>
      </c>
    </row>
    <row r="720" spans="1:25" x14ac:dyDescent="0.25">
      <c r="A720" s="76">
        <v>751</v>
      </c>
      <c r="B720" s="2" t="s">
        <v>13083</v>
      </c>
      <c r="C720" s="2" t="s">
        <v>13084</v>
      </c>
      <c r="D720" s="2" t="s">
        <v>13085</v>
      </c>
      <c r="E720" s="2" t="s">
        <v>13086</v>
      </c>
      <c r="F720" s="2" t="s">
        <v>13087</v>
      </c>
      <c r="G720" s="2" t="s">
        <v>218</v>
      </c>
      <c r="H720" s="17">
        <v>25</v>
      </c>
      <c r="I720" s="31">
        <f t="shared" si="72"/>
        <v>25000</v>
      </c>
      <c r="J720" s="31">
        <f t="shared" si="73"/>
        <v>1750.0000000000002</v>
      </c>
      <c r="K720" s="44">
        <f t="shared" si="74"/>
        <v>4.794520547945206</v>
      </c>
      <c r="L720" s="3">
        <f t="shared" si="75"/>
        <v>354.79452054794524</v>
      </c>
      <c r="M720" s="3">
        <f t="shared" si="76"/>
        <v>21.287671232876715</v>
      </c>
      <c r="N720" s="67">
        <f t="shared" si="77"/>
        <v>333.50684931506851</v>
      </c>
      <c r="O720" s="3"/>
      <c r="P720" s="70" t="s">
        <v>18612</v>
      </c>
      <c r="Q720" s="2" t="s">
        <v>103</v>
      </c>
      <c r="R720" s="2" t="s">
        <v>13088</v>
      </c>
      <c r="T720" t="s">
        <v>18666</v>
      </c>
      <c r="U720" t="s">
        <v>18652</v>
      </c>
      <c r="V720" s="104">
        <v>45857</v>
      </c>
      <c r="X720" s="97"/>
      <c r="Y720" s="75">
        <v>333.51</v>
      </c>
    </row>
    <row r="721" spans="1:25" x14ac:dyDescent="0.25">
      <c r="A721" s="76">
        <v>752</v>
      </c>
      <c r="B721" s="2" t="s">
        <v>4458</v>
      </c>
      <c r="C721" s="2" t="s">
        <v>4459</v>
      </c>
      <c r="D721" s="2" t="s">
        <v>4460</v>
      </c>
      <c r="E721" s="2" t="s">
        <v>4461</v>
      </c>
      <c r="F721" s="2" t="s">
        <v>4462</v>
      </c>
      <c r="G721" s="2" t="s">
        <v>166</v>
      </c>
      <c r="H721" s="17">
        <v>25</v>
      </c>
      <c r="I721" s="31">
        <f t="shared" si="72"/>
        <v>25000</v>
      </c>
      <c r="J721" s="31">
        <f t="shared" si="73"/>
        <v>1750.0000000000002</v>
      </c>
      <c r="K721" s="44">
        <f t="shared" si="74"/>
        <v>4.794520547945206</v>
      </c>
      <c r="L721" s="3">
        <f t="shared" si="75"/>
        <v>354.79452054794524</v>
      </c>
      <c r="M721" s="3">
        <f t="shared" si="76"/>
        <v>21.287671232876715</v>
      </c>
      <c r="N721" s="67">
        <f t="shared" si="77"/>
        <v>333.50684931506851</v>
      </c>
      <c r="O721" s="3"/>
      <c r="P721" s="70" t="s">
        <v>18612</v>
      </c>
      <c r="Q721" s="2" t="s">
        <v>103</v>
      </c>
      <c r="R721" s="2" t="s">
        <v>4463</v>
      </c>
      <c r="T721" t="s">
        <v>18666</v>
      </c>
      <c r="U721" t="s">
        <v>18652</v>
      </c>
      <c r="V721" s="104">
        <v>45857</v>
      </c>
      <c r="X721" s="97"/>
      <c r="Y721" s="75">
        <v>333.51</v>
      </c>
    </row>
    <row r="722" spans="1:25" x14ac:dyDescent="0.25">
      <c r="A722" s="76">
        <v>753</v>
      </c>
      <c r="B722" s="2" t="s">
        <v>16845</v>
      </c>
      <c r="C722" s="2" t="s">
        <v>1121</v>
      </c>
      <c r="D722" s="2" t="s">
        <v>16846</v>
      </c>
      <c r="E722" s="2" t="s">
        <v>16847</v>
      </c>
      <c r="F722" s="2" t="s">
        <v>16848</v>
      </c>
      <c r="G722" s="2" t="s">
        <v>173</v>
      </c>
      <c r="H722" s="17">
        <v>25</v>
      </c>
      <c r="I722" s="31">
        <f t="shared" ref="I722:I785" si="78">H722*1000</f>
        <v>25000</v>
      </c>
      <c r="J722" s="31">
        <f t="shared" ref="J722:J785" si="79">I722*7%</f>
        <v>1750.0000000000002</v>
      </c>
      <c r="K722" s="44">
        <f t="shared" ref="K722:K785" si="80">J722/365</f>
        <v>4.794520547945206</v>
      </c>
      <c r="L722" s="3">
        <f t="shared" ref="L722:L785" si="81">K722*74</f>
        <v>354.79452054794524</v>
      </c>
      <c r="M722" s="3">
        <f t="shared" ref="M722:M785" si="82">L722*6%</f>
        <v>21.287671232876715</v>
      </c>
      <c r="N722" s="67">
        <f t="shared" ref="N722:N785" si="83">L722-M722</f>
        <v>333.50684931506851</v>
      </c>
      <c r="O722" s="3"/>
      <c r="P722" s="70" t="s">
        <v>18612</v>
      </c>
      <c r="Q722" s="2" t="s">
        <v>103</v>
      </c>
      <c r="R722" s="2" t="s">
        <v>16849</v>
      </c>
      <c r="T722" t="s">
        <v>18666</v>
      </c>
      <c r="U722" t="s">
        <v>18652</v>
      </c>
      <c r="V722" s="104">
        <v>45857</v>
      </c>
      <c r="X722" s="97"/>
      <c r="Y722" s="75">
        <v>333.51</v>
      </c>
    </row>
    <row r="723" spans="1:25" x14ac:dyDescent="0.25">
      <c r="A723" s="76">
        <v>754</v>
      </c>
      <c r="B723" s="2" t="s">
        <v>7472</v>
      </c>
      <c r="C723" s="2" t="s">
        <v>7473</v>
      </c>
      <c r="D723" s="2" t="s">
        <v>7474</v>
      </c>
      <c r="E723" s="2" t="s">
        <v>7475</v>
      </c>
      <c r="F723" s="2" t="s">
        <v>7476</v>
      </c>
      <c r="G723" s="2" t="s">
        <v>750</v>
      </c>
      <c r="H723" s="17">
        <v>25</v>
      </c>
      <c r="I723" s="31">
        <f t="shared" si="78"/>
        <v>25000</v>
      </c>
      <c r="J723" s="31">
        <f t="shared" si="79"/>
        <v>1750.0000000000002</v>
      </c>
      <c r="K723" s="44">
        <f t="shared" si="80"/>
        <v>4.794520547945206</v>
      </c>
      <c r="L723" s="3">
        <f t="shared" si="81"/>
        <v>354.79452054794524</v>
      </c>
      <c r="M723" s="3">
        <f t="shared" si="82"/>
        <v>21.287671232876715</v>
      </c>
      <c r="N723" s="67">
        <f t="shared" si="83"/>
        <v>333.50684931506851</v>
      </c>
      <c r="O723" s="3"/>
      <c r="P723" s="70" t="s">
        <v>18612</v>
      </c>
      <c r="Q723" s="2" t="s">
        <v>103</v>
      </c>
      <c r="R723" s="2" t="s">
        <v>7477</v>
      </c>
      <c r="T723" t="s">
        <v>18666</v>
      </c>
      <c r="U723" t="s">
        <v>18652</v>
      </c>
      <c r="V723" s="104">
        <v>45857</v>
      </c>
      <c r="X723" s="97"/>
      <c r="Y723" s="75">
        <v>333.51</v>
      </c>
    </row>
    <row r="724" spans="1:25" x14ac:dyDescent="0.25">
      <c r="A724" s="76">
        <v>755</v>
      </c>
      <c r="B724" s="2" t="s">
        <v>1450</v>
      </c>
      <c r="C724" s="2" t="s">
        <v>1451</v>
      </c>
      <c r="D724" s="2" t="s">
        <v>1452</v>
      </c>
      <c r="E724" s="2" t="s">
        <v>1453</v>
      </c>
      <c r="F724" s="2" t="s">
        <v>1454</v>
      </c>
      <c r="G724" s="2" t="s">
        <v>31</v>
      </c>
      <c r="H724" s="17">
        <v>25</v>
      </c>
      <c r="I724" s="31">
        <f t="shared" si="78"/>
        <v>25000</v>
      </c>
      <c r="J724" s="31">
        <f t="shared" si="79"/>
        <v>1750.0000000000002</v>
      </c>
      <c r="K724" s="44">
        <f t="shared" si="80"/>
        <v>4.794520547945206</v>
      </c>
      <c r="L724" s="3">
        <f t="shared" si="81"/>
        <v>354.79452054794524</v>
      </c>
      <c r="M724" s="3">
        <f t="shared" si="82"/>
        <v>21.287671232876715</v>
      </c>
      <c r="N724" s="67">
        <f t="shared" si="83"/>
        <v>333.50684931506851</v>
      </c>
      <c r="O724" s="3"/>
      <c r="P724" s="70" t="s">
        <v>18612</v>
      </c>
      <c r="Q724" s="2" t="s">
        <v>103</v>
      </c>
      <c r="R724" s="2" t="s">
        <v>1455</v>
      </c>
      <c r="T724" t="s">
        <v>18666</v>
      </c>
      <c r="U724" t="s">
        <v>18652</v>
      </c>
      <c r="V724" s="104">
        <v>45857</v>
      </c>
      <c r="X724" s="97"/>
      <c r="Y724" s="75">
        <v>333.51</v>
      </c>
    </row>
    <row r="725" spans="1:25" x14ac:dyDescent="0.25">
      <c r="A725" s="76">
        <v>756</v>
      </c>
      <c r="B725" s="2" t="s">
        <v>9282</v>
      </c>
      <c r="C725" s="2" t="s">
        <v>9283</v>
      </c>
      <c r="D725" s="2" t="s">
        <v>9284</v>
      </c>
      <c r="E725" s="2" t="s">
        <v>9285</v>
      </c>
      <c r="F725" s="2" t="s">
        <v>9286</v>
      </c>
      <c r="G725" s="2" t="s">
        <v>939</v>
      </c>
      <c r="H725" s="17">
        <v>25</v>
      </c>
      <c r="I725" s="31">
        <f t="shared" si="78"/>
        <v>25000</v>
      </c>
      <c r="J725" s="31">
        <f t="shared" si="79"/>
        <v>1750.0000000000002</v>
      </c>
      <c r="K725" s="44">
        <f t="shared" si="80"/>
        <v>4.794520547945206</v>
      </c>
      <c r="L725" s="3">
        <f t="shared" si="81"/>
        <v>354.79452054794524</v>
      </c>
      <c r="M725" s="3">
        <f t="shared" si="82"/>
        <v>21.287671232876715</v>
      </c>
      <c r="N725" s="67">
        <f t="shared" si="83"/>
        <v>333.50684931506851</v>
      </c>
      <c r="O725" s="3"/>
      <c r="P725" s="70" t="s">
        <v>18612</v>
      </c>
      <c r="Q725" s="2" t="s">
        <v>103</v>
      </c>
      <c r="R725" s="2" t="s">
        <v>9287</v>
      </c>
      <c r="T725" t="s">
        <v>18666</v>
      </c>
      <c r="U725" t="s">
        <v>18652</v>
      </c>
      <c r="V725" s="104">
        <v>45857</v>
      </c>
      <c r="X725" s="97"/>
      <c r="Y725" s="75">
        <v>333.51</v>
      </c>
    </row>
    <row r="726" spans="1:25" x14ac:dyDescent="0.25">
      <c r="A726" s="76">
        <v>757</v>
      </c>
      <c r="B726" s="2" t="s">
        <v>1522</v>
      </c>
      <c r="C726" s="2" t="s">
        <v>1523</v>
      </c>
      <c r="D726" s="2" t="s">
        <v>1524</v>
      </c>
      <c r="E726" s="2" t="s">
        <v>1525</v>
      </c>
      <c r="F726" s="2" t="s">
        <v>1526</v>
      </c>
      <c r="G726" s="2" t="s">
        <v>309</v>
      </c>
      <c r="H726" s="17">
        <v>25</v>
      </c>
      <c r="I726" s="31">
        <f t="shared" si="78"/>
        <v>25000</v>
      </c>
      <c r="J726" s="31">
        <f t="shared" si="79"/>
        <v>1750.0000000000002</v>
      </c>
      <c r="K726" s="44">
        <f t="shared" si="80"/>
        <v>4.794520547945206</v>
      </c>
      <c r="L726" s="3">
        <f t="shared" si="81"/>
        <v>354.79452054794524</v>
      </c>
      <c r="M726" s="3">
        <f t="shared" si="82"/>
        <v>21.287671232876715</v>
      </c>
      <c r="N726" s="67">
        <f t="shared" si="83"/>
        <v>333.50684931506851</v>
      </c>
      <c r="O726" s="3"/>
      <c r="P726" s="70" t="s">
        <v>18612</v>
      </c>
      <c r="Q726" s="2" t="s">
        <v>103</v>
      </c>
      <c r="R726" s="2" t="s">
        <v>1527</v>
      </c>
      <c r="T726" t="s">
        <v>18666</v>
      </c>
      <c r="U726" t="s">
        <v>18652</v>
      </c>
      <c r="V726" s="104">
        <v>45857</v>
      </c>
      <c r="X726" s="97"/>
      <c r="Y726" s="75">
        <v>333.51</v>
      </c>
    </row>
    <row r="727" spans="1:25" x14ac:dyDescent="0.25">
      <c r="A727" s="76">
        <v>758</v>
      </c>
      <c r="B727" s="2" t="s">
        <v>3656</v>
      </c>
      <c r="C727" s="2" t="s">
        <v>3657</v>
      </c>
      <c r="D727" s="2" t="s">
        <v>3645</v>
      </c>
      <c r="E727" s="2" t="s">
        <v>3646</v>
      </c>
      <c r="F727" s="2" t="s">
        <v>3658</v>
      </c>
      <c r="G727" s="2" t="s">
        <v>144</v>
      </c>
      <c r="H727" s="17">
        <v>25</v>
      </c>
      <c r="I727" s="31">
        <f t="shared" si="78"/>
        <v>25000</v>
      </c>
      <c r="J727" s="31">
        <f t="shared" si="79"/>
        <v>1750.0000000000002</v>
      </c>
      <c r="K727" s="44">
        <f t="shared" si="80"/>
        <v>4.794520547945206</v>
      </c>
      <c r="L727" s="3">
        <f t="shared" si="81"/>
        <v>354.79452054794524</v>
      </c>
      <c r="M727" s="3">
        <f t="shared" si="82"/>
        <v>21.287671232876715</v>
      </c>
      <c r="N727" s="67">
        <f t="shared" si="83"/>
        <v>333.50684931506851</v>
      </c>
      <c r="O727" s="3"/>
      <c r="P727" s="70" t="s">
        <v>18612</v>
      </c>
      <c r="Q727" s="2" t="s">
        <v>103</v>
      </c>
      <c r="R727" s="2" t="s">
        <v>3659</v>
      </c>
      <c r="T727" t="s">
        <v>18666</v>
      </c>
      <c r="U727" t="s">
        <v>18652</v>
      </c>
      <c r="V727" s="104">
        <v>45857</v>
      </c>
      <c r="X727" s="97"/>
      <c r="Y727" s="75">
        <v>333.51</v>
      </c>
    </row>
    <row r="728" spans="1:25" x14ac:dyDescent="0.25">
      <c r="A728" s="76">
        <v>759</v>
      </c>
      <c r="B728" s="2" t="s">
        <v>1742</v>
      </c>
      <c r="C728" s="2" t="s">
        <v>1743</v>
      </c>
      <c r="D728" s="2" t="s">
        <v>1744</v>
      </c>
      <c r="E728" s="2" t="s">
        <v>1745</v>
      </c>
      <c r="F728" s="2" t="s">
        <v>1746</v>
      </c>
      <c r="G728" s="2" t="s">
        <v>61</v>
      </c>
      <c r="H728" s="17">
        <v>25</v>
      </c>
      <c r="I728" s="31">
        <f t="shared" si="78"/>
        <v>25000</v>
      </c>
      <c r="J728" s="31">
        <f t="shared" si="79"/>
        <v>1750.0000000000002</v>
      </c>
      <c r="K728" s="44">
        <f t="shared" si="80"/>
        <v>4.794520547945206</v>
      </c>
      <c r="L728" s="3">
        <f t="shared" si="81"/>
        <v>354.79452054794524</v>
      </c>
      <c r="M728" s="3">
        <f t="shared" si="82"/>
        <v>21.287671232876715</v>
      </c>
      <c r="N728" s="67">
        <f t="shared" si="83"/>
        <v>333.50684931506851</v>
      </c>
      <c r="O728" s="3"/>
      <c r="P728" s="70" t="s">
        <v>18612</v>
      </c>
      <c r="Q728" s="2" t="s">
        <v>103</v>
      </c>
      <c r="R728" s="2" t="s">
        <v>1747</v>
      </c>
      <c r="T728" t="s">
        <v>18666</v>
      </c>
      <c r="U728" t="s">
        <v>18652</v>
      </c>
      <c r="V728" s="104">
        <v>45857</v>
      </c>
      <c r="X728" s="97"/>
      <c r="Y728" s="75">
        <v>333.51</v>
      </c>
    </row>
    <row r="729" spans="1:25" x14ac:dyDescent="0.25">
      <c r="A729" s="76">
        <v>760</v>
      </c>
      <c r="B729" s="2" t="s">
        <v>15726</v>
      </c>
      <c r="C729" s="2" t="s">
        <v>15727</v>
      </c>
      <c r="D729" s="2" t="s">
        <v>15728</v>
      </c>
      <c r="E729" s="2" t="s">
        <v>15729</v>
      </c>
      <c r="F729" s="2" t="s">
        <v>15730</v>
      </c>
      <c r="G729" s="2" t="s">
        <v>31</v>
      </c>
      <c r="H729" s="17">
        <v>50</v>
      </c>
      <c r="I729" s="31">
        <f t="shared" si="78"/>
        <v>50000</v>
      </c>
      <c r="J729" s="31">
        <f t="shared" si="79"/>
        <v>3500.0000000000005</v>
      </c>
      <c r="K729" s="44">
        <f t="shared" si="80"/>
        <v>9.589041095890412</v>
      </c>
      <c r="L729" s="3">
        <f t="shared" si="81"/>
        <v>709.58904109589048</v>
      </c>
      <c r="M729" s="3">
        <f t="shared" si="82"/>
        <v>42.57534246575343</v>
      </c>
      <c r="N729" s="67">
        <f t="shared" si="83"/>
        <v>667.01369863013701</v>
      </c>
      <c r="O729" s="3"/>
      <c r="P729" s="70" t="s">
        <v>18612</v>
      </c>
      <c r="Q729" s="2" t="s">
        <v>103</v>
      </c>
      <c r="R729" s="2" t="s">
        <v>15731</v>
      </c>
      <c r="T729" t="s">
        <v>18666</v>
      </c>
      <c r="U729" t="s">
        <v>18652</v>
      </c>
      <c r="V729" s="104">
        <v>45857</v>
      </c>
      <c r="X729" s="97"/>
      <c r="Y729" s="75">
        <v>667.02</v>
      </c>
    </row>
    <row r="730" spans="1:25" x14ac:dyDescent="0.25">
      <c r="A730" s="76">
        <v>761</v>
      </c>
      <c r="B730" s="2" t="s">
        <v>1843</v>
      </c>
      <c r="C730" s="2" t="s">
        <v>1844</v>
      </c>
      <c r="D730" s="2" t="s">
        <v>1845</v>
      </c>
      <c r="E730" s="2" t="s">
        <v>1846</v>
      </c>
      <c r="F730" s="2" t="s">
        <v>1847</v>
      </c>
      <c r="G730" s="2" t="s">
        <v>31</v>
      </c>
      <c r="H730" s="17">
        <v>30</v>
      </c>
      <c r="I730" s="31">
        <f t="shared" si="78"/>
        <v>30000</v>
      </c>
      <c r="J730" s="31">
        <f t="shared" si="79"/>
        <v>2100</v>
      </c>
      <c r="K730" s="44">
        <f t="shared" si="80"/>
        <v>5.7534246575342465</v>
      </c>
      <c r="L730" s="3">
        <f t="shared" si="81"/>
        <v>425.75342465753425</v>
      </c>
      <c r="M730" s="3">
        <f t="shared" si="82"/>
        <v>25.545205479452054</v>
      </c>
      <c r="N730" s="67">
        <f t="shared" si="83"/>
        <v>400.20821917808217</v>
      </c>
      <c r="O730" s="3"/>
      <c r="P730" s="70" t="s">
        <v>18612</v>
      </c>
      <c r="Q730" s="2" t="s">
        <v>103</v>
      </c>
      <c r="R730" s="2" t="s">
        <v>1848</v>
      </c>
      <c r="T730" t="s">
        <v>18666</v>
      </c>
      <c r="U730" t="s">
        <v>18652</v>
      </c>
      <c r="V730" s="104">
        <v>45857</v>
      </c>
      <c r="X730" s="97"/>
      <c r="Y730" s="75">
        <v>400.21</v>
      </c>
    </row>
    <row r="731" spans="1:25" x14ac:dyDescent="0.25">
      <c r="A731" s="76">
        <v>762</v>
      </c>
      <c r="B731" s="2" t="s">
        <v>13514</v>
      </c>
      <c r="C731" s="2" t="s">
        <v>13515</v>
      </c>
      <c r="D731" s="2" t="s">
        <v>13516</v>
      </c>
      <c r="E731" s="2" t="s">
        <v>13517</v>
      </c>
      <c r="F731" s="2" t="s">
        <v>13518</v>
      </c>
      <c r="G731" s="2" t="s">
        <v>282</v>
      </c>
      <c r="H731" s="17">
        <v>25</v>
      </c>
      <c r="I731" s="31">
        <f t="shared" si="78"/>
        <v>25000</v>
      </c>
      <c r="J731" s="31">
        <f t="shared" si="79"/>
        <v>1750.0000000000002</v>
      </c>
      <c r="K731" s="44">
        <f t="shared" si="80"/>
        <v>4.794520547945206</v>
      </c>
      <c r="L731" s="3">
        <f t="shared" si="81"/>
        <v>354.79452054794524</v>
      </c>
      <c r="M731" s="3">
        <f t="shared" si="82"/>
        <v>21.287671232876715</v>
      </c>
      <c r="N731" s="67">
        <f t="shared" si="83"/>
        <v>333.50684931506851</v>
      </c>
      <c r="O731" s="3"/>
      <c r="P731" s="70" t="s">
        <v>18612</v>
      </c>
      <c r="Q731" s="2" t="s">
        <v>103</v>
      </c>
      <c r="R731" s="2" t="s">
        <v>13519</v>
      </c>
      <c r="T731" t="s">
        <v>18666</v>
      </c>
      <c r="U731" t="s">
        <v>18652</v>
      </c>
      <c r="V731" s="104">
        <v>45857</v>
      </c>
      <c r="X731" s="97"/>
      <c r="Y731" s="75">
        <v>333.51</v>
      </c>
    </row>
    <row r="732" spans="1:25" x14ac:dyDescent="0.25">
      <c r="A732" s="76">
        <v>763</v>
      </c>
      <c r="B732" s="2" t="s">
        <v>8212</v>
      </c>
      <c r="C732" s="2" t="s">
        <v>8213</v>
      </c>
      <c r="D732" s="2" t="s">
        <v>8214</v>
      </c>
      <c r="E732" s="2" t="s">
        <v>8215</v>
      </c>
      <c r="F732" s="2" t="s">
        <v>8216</v>
      </c>
      <c r="G732" s="2" t="s">
        <v>166</v>
      </c>
      <c r="H732" s="17">
        <v>200</v>
      </c>
      <c r="I732" s="31">
        <f t="shared" si="78"/>
        <v>200000</v>
      </c>
      <c r="J732" s="31">
        <f t="shared" si="79"/>
        <v>14000.000000000002</v>
      </c>
      <c r="K732" s="44">
        <f t="shared" si="80"/>
        <v>38.356164383561648</v>
      </c>
      <c r="L732" s="3">
        <f t="shared" si="81"/>
        <v>2838.3561643835619</v>
      </c>
      <c r="M732" s="3">
        <f t="shared" si="82"/>
        <v>170.30136986301372</v>
      </c>
      <c r="N732" s="67">
        <f t="shared" si="83"/>
        <v>2668.0547945205481</v>
      </c>
      <c r="O732" s="3"/>
      <c r="P732" s="70" t="s">
        <v>18612</v>
      </c>
      <c r="Q732" s="2" t="s">
        <v>103</v>
      </c>
      <c r="R732" s="2" t="s">
        <v>8217</v>
      </c>
      <c r="T732" t="s">
        <v>18666</v>
      </c>
      <c r="U732" t="s">
        <v>18652</v>
      </c>
      <c r="V732" s="104">
        <v>45857</v>
      </c>
      <c r="X732" s="97"/>
      <c r="Y732" s="75">
        <v>2668.0600000000004</v>
      </c>
    </row>
    <row r="733" spans="1:25" x14ac:dyDescent="0.25">
      <c r="A733" s="76">
        <v>764</v>
      </c>
      <c r="B733" s="2" t="s">
        <v>6626</v>
      </c>
      <c r="C733" s="2" t="s">
        <v>6627</v>
      </c>
      <c r="D733" s="2" t="s">
        <v>6628</v>
      </c>
      <c r="E733" s="2" t="s">
        <v>6629</v>
      </c>
      <c r="F733" s="2" t="s">
        <v>6630</v>
      </c>
      <c r="G733" s="2" t="s">
        <v>750</v>
      </c>
      <c r="H733" s="17">
        <v>100</v>
      </c>
      <c r="I733" s="31">
        <f t="shared" si="78"/>
        <v>100000</v>
      </c>
      <c r="J733" s="31">
        <f t="shared" si="79"/>
        <v>7000.0000000000009</v>
      </c>
      <c r="K733" s="44">
        <f t="shared" si="80"/>
        <v>19.178082191780824</v>
      </c>
      <c r="L733" s="3">
        <f t="shared" si="81"/>
        <v>1419.178082191781</v>
      </c>
      <c r="M733" s="3">
        <f t="shared" si="82"/>
        <v>85.150684931506859</v>
      </c>
      <c r="N733" s="67">
        <f t="shared" si="83"/>
        <v>1334.027397260274</v>
      </c>
      <c r="O733" s="3"/>
      <c r="P733" s="70" t="s">
        <v>18612</v>
      </c>
      <c r="Q733" s="2" t="s">
        <v>103</v>
      </c>
      <c r="R733" s="2" t="s">
        <v>6631</v>
      </c>
      <c r="T733" t="s">
        <v>18666</v>
      </c>
      <c r="U733" t="s">
        <v>18652</v>
      </c>
      <c r="V733" s="104">
        <v>45857</v>
      </c>
      <c r="X733" s="97"/>
      <c r="Y733" s="75">
        <v>1334.03</v>
      </c>
    </row>
    <row r="734" spans="1:25" x14ac:dyDescent="0.25">
      <c r="A734" s="76">
        <v>765</v>
      </c>
      <c r="B734" s="2" t="s">
        <v>12735</v>
      </c>
      <c r="C734" s="2" t="s">
        <v>6168</v>
      </c>
      <c r="D734" s="2" t="s">
        <v>12736</v>
      </c>
      <c r="E734" s="2" t="s">
        <v>6480</v>
      </c>
      <c r="F734" s="2" t="s">
        <v>12737</v>
      </c>
      <c r="G734" s="2" t="s">
        <v>151</v>
      </c>
      <c r="H734" s="17">
        <v>100</v>
      </c>
      <c r="I734" s="31">
        <f t="shared" si="78"/>
        <v>100000</v>
      </c>
      <c r="J734" s="31">
        <f t="shared" si="79"/>
        <v>7000.0000000000009</v>
      </c>
      <c r="K734" s="44">
        <f t="shared" si="80"/>
        <v>19.178082191780824</v>
      </c>
      <c r="L734" s="3">
        <f t="shared" si="81"/>
        <v>1419.178082191781</v>
      </c>
      <c r="M734" s="3">
        <f t="shared" si="82"/>
        <v>85.150684931506859</v>
      </c>
      <c r="N734" s="67">
        <f t="shared" si="83"/>
        <v>1334.027397260274</v>
      </c>
      <c r="O734" s="3"/>
      <c r="P734" s="70" t="s">
        <v>18612</v>
      </c>
      <c r="Q734" s="2" t="s">
        <v>103</v>
      </c>
      <c r="R734" s="2" t="s">
        <v>12738</v>
      </c>
      <c r="T734" t="s">
        <v>18666</v>
      </c>
      <c r="U734" t="s">
        <v>18652</v>
      </c>
      <c r="V734" s="104">
        <v>45857</v>
      </c>
      <c r="X734" s="97"/>
      <c r="Y734" s="75">
        <v>1334.03</v>
      </c>
    </row>
    <row r="735" spans="1:25" x14ac:dyDescent="0.25">
      <c r="A735" s="76">
        <v>766</v>
      </c>
      <c r="B735" s="2" t="s">
        <v>2228</v>
      </c>
      <c r="C735" s="2" t="s">
        <v>2229</v>
      </c>
      <c r="D735" s="2" t="s">
        <v>2230</v>
      </c>
      <c r="E735" s="2" t="s">
        <v>2231</v>
      </c>
      <c r="F735" s="2" t="s">
        <v>2232</v>
      </c>
      <c r="G735" s="2" t="s">
        <v>144</v>
      </c>
      <c r="H735" s="17">
        <v>25</v>
      </c>
      <c r="I735" s="31">
        <f t="shared" si="78"/>
        <v>25000</v>
      </c>
      <c r="J735" s="31">
        <f t="shared" si="79"/>
        <v>1750.0000000000002</v>
      </c>
      <c r="K735" s="44">
        <f t="shared" si="80"/>
        <v>4.794520547945206</v>
      </c>
      <c r="L735" s="3">
        <f t="shared" si="81"/>
        <v>354.79452054794524</v>
      </c>
      <c r="M735" s="3">
        <f t="shared" si="82"/>
        <v>21.287671232876715</v>
      </c>
      <c r="N735" s="67">
        <f t="shared" si="83"/>
        <v>333.50684931506851</v>
      </c>
      <c r="O735" s="3"/>
      <c r="P735" s="70" t="s">
        <v>18612</v>
      </c>
      <c r="Q735" s="2" t="s">
        <v>103</v>
      </c>
      <c r="R735" s="2" t="s">
        <v>2233</v>
      </c>
      <c r="T735" t="s">
        <v>18666</v>
      </c>
      <c r="U735" t="s">
        <v>18652</v>
      </c>
      <c r="V735" s="104">
        <v>45857</v>
      </c>
      <c r="X735" s="97"/>
      <c r="Y735" s="75">
        <v>333.51</v>
      </c>
    </row>
    <row r="736" spans="1:25" x14ac:dyDescent="0.25">
      <c r="A736" s="76">
        <v>767</v>
      </c>
      <c r="B736" s="2" t="s">
        <v>12786</v>
      </c>
      <c r="C736" s="2" t="s">
        <v>12787</v>
      </c>
      <c r="D736" s="2" t="s">
        <v>12788</v>
      </c>
      <c r="E736" s="2" t="s">
        <v>12789</v>
      </c>
      <c r="F736" s="2" t="s">
        <v>12790</v>
      </c>
      <c r="G736" s="2" t="s">
        <v>1545</v>
      </c>
      <c r="H736" s="17">
        <v>25</v>
      </c>
      <c r="I736" s="31">
        <f t="shared" si="78"/>
        <v>25000</v>
      </c>
      <c r="J736" s="31">
        <f t="shared" si="79"/>
        <v>1750.0000000000002</v>
      </c>
      <c r="K736" s="44">
        <f t="shared" si="80"/>
        <v>4.794520547945206</v>
      </c>
      <c r="L736" s="3">
        <f t="shared" si="81"/>
        <v>354.79452054794524</v>
      </c>
      <c r="M736" s="3">
        <f t="shared" si="82"/>
        <v>21.287671232876715</v>
      </c>
      <c r="N736" s="67">
        <f t="shared" si="83"/>
        <v>333.50684931506851</v>
      </c>
      <c r="O736" s="3"/>
      <c r="P736" s="70" t="s">
        <v>18612</v>
      </c>
      <c r="Q736" s="2" t="s">
        <v>103</v>
      </c>
      <c r="R736" s="2" t="s">
        <v>12791</v>
      </c>
      <c r="T736" t="s">
        <v>18666</v>
      </c>
      <c r="U736" t="s">
        <v>18652</v>
      </c>
      <c r="V736" s="104">
        <v>45857</v>
      </c>
      <c r="X736" s="97"/>
      <c r="Y736" s="75">
        <v>333.51</v>
      </c>
    </row>
    <row r="737" spans="1:25" x14ac:dyDescent="0.25">
      <c r="A737" s="76">
        <v>768</v>
      </c>
      <c r="B737" s="2" t="s">
        <v>18065</v>
      </c>
      <c r="C737" s="2" t="s">
        <v>18066</v>
      </c>
      <c r="D737" s="2" t="s">
        <v>18067</v>
      </c>
      <c r="E737" s="2" t="s">
        <v>18068</v>
      </c>
      <c r="F737" s="2" t="s">
        <v>18069</v>
      </c>
      <c r="G737" s="2" t="s">
        <v>876</v>
      </c>
      <c r="H737" s="17">
        <v>25</v>
      </c>
      <c r="I737" s="31">
        <f t="shared" si="78"/>
        <v>25000</v>
      </c>
      <c r="J737" s="31">
        <f t="shared" si="79"/>
        <v>1750.0000000000002</v>
      </c>
      <c r="K737" s="44">
        <f t="shared" si="80"/>
        <v>4.794520547945206</v>
      </c>
      <c r="L737" s="3">
        <f t="shared" si="81"/>
        <v>354.79452054794524</v>
      </c>
      <c r="M737" s="3">
        <f t="shared" si="82"/>
        <v>21.287671232876715</v>
      </c>
      <c r="N737" s="67">
        <f t="shared" si="83"/>
        <v>333.50684931506851</v>
      </c>
      <c r="O737" s="3"/>
      <c r="P737" s="70" t="s">
        <v>18612</v>
      </c>
      <c r="Q737" s="2" t="s">
        <v>103</v>
      </c>
      <c r="R737" s="2" t="s">
        <v>18070</v>
      </c>
      <c r="T737" t="s">
        <v>18666</v>
      </c>
      <c r="U737" t="s">
        <v>18652</v>
      </c>
      <c r="V737" s="104">
        <v>45857</v>
      </c>
      <c r="X737" s="97"/>
      <c r="Y737" s="75">
        <v>333.51</v>
      </c>
    </row>
    <row r="738" spans="1:25" x14ac:dyDescent="0.25">
      <c r="A738" s="76">
        <v>769</v>
      </c>
      <c r="B738" s="2" t="s">
        <v>15084</v>
      </c>
      <c r="C738" s="2" t="s">
        <v>15085</v>
      </c>
      <c r="D738" s="2" t="s">
        <v>15086</v>
      </c>
      <c r="E738" s="2" t="s">
        <v>15087</v>
      </c>
      <c r="F738" s="2" t="s">
        <v>15088</v>
      </c>
      <c r="G738" s="2" t="s">
        <v>268</v>
      </c>
      <c r="H738" s="17">
        <v>25</v>
      </c>
      <c r="I738" s="31">
        <f t="shared" si="78"/>
        <v>25000</v>
      </c>
      <c r="J738" s="31">
        <f t="shared" si="79"/>
        <v>1750.0000000000002</v>
      </c>
      <c r="K738" s="44">
        <f t="shared" si="80"/>
        <v>4.794520547945206</v>
      </c>
      <c r="L738" s="3">
        <f t="shared" si="81"/>
        <v>354.79452054794524</v>
      </c>
      <c r="M738" s="3">
        <f t="shared" si="82"/>
        <v>21.287671232876715</v>
      </c>
      <c r="N738" s="67">
        <f t="shared" si="83"/>
        <v>333.50684931506851</v>
      </c>
      <c r="O738" s="3"/>
      <c r="P738" s="70" t="s">
        <v>18612</v>
      </c>
      <c r="Q738" s="2" t="s">
        <v>103</v>
      </c>
      <c r="R738" s="2" t="s">
        <v>15089</v>
      </c>
      <c r="T738" t="s">
        <v>18666</v>
      </c>
      <c r="U738" t="s">
        <v>18652</v>
      </c>
      <c r="V738" s="104">
        <v>45857</v>
      </c>
      <c r="X738" s="97"/>
      <c r="Y738" s="75">
        <v>333.51</v>
      </c>
    </row>
    <row r="739" spans="1:25" x14ac:dyDescent="0.25">
      <c r="A739" s="76">
        <v>770</v>
      </c>
      <c r="B739" s="2" t="s">
        <v>12075</v>
      </c>
      <c r="C739" s="2" t="s">
        <v>12076</v>
      </c>
      <c r="D739" s="2" t="s">
        <v>12077</v>
      </c>
      <c r="E739" s="2" t="s">
        <v>12078</v>
      </c>
      <c r="F739" s="2" t="s">
        <v>12079</v>
      </c>
      <c r="G739" s="2" t="s">
        <v>158</v>
      </c>
      <c r="H739" s="17">
        <v>50</v>
      </c>
      <c r="I739" s="31">
        <f t="shared" si="78"/>
        <v>50000</v>
      </c>
      <c r="J739" s="31">
        <f t="shared" si="79"/>
        <v>3500.0000000000005</v>
      </c>
      <c r="K739" s="44">
        <f t="shared" si="80"/>
        <v>9.589041095890412</v>
      </c>
      <c r="L739" s="3">
        <f t="shared" si="81"/>
        <v>709.58904109589048</v>
      </c>
      <c r="M739" s="3">
        <f t="shared" si="82"/>
        <v>42.57534246575343</v>
      </c>
      <c r="N739" s="67">
        <f t="shared" si="83"/>
        <v>667.01369863013701</v>
      </c>
      <c r="O739" s="3"/>
      <c r="P739" s="70" t="s">
        <v>18612</v>
      </c>
      <c r="Q739" s="2" t="s">
        <v>103</v>
      </c>
      <c r="R739" s="2" t="s">
        <v>12080</v>
      </c>
      <c r="T739" t="s">
        <v>18666</v>
      </c>
      <c r="U739" t="s">
        <v>18652</v>
      </c>
      <c r="V739" s="104">
        <v>45857</v>
      </c>
      <c r="X739" s="97"/>
      <c r="Y739" s="75">
        <v>667.02</v>
      </c>
    </row>
    <row r="740" spans="1:25" x14ac:dyDescent="0.25">
      <c r="A740" s="76">
        <v>771</v>
      </c>
      <c r="B740" s="2" t="s">
        <v>15155</v>
      </c>
      <c r="C740" s="2" t="s">
        <v>15156</v>
      </c>
      <c r="D740" s="2" t="s">
        <v>15157</v>
      </c>
      <c r="E740" s="2" t="s">
        <v>15158</v>
      </c>
      <c r="F740" s="2" t="s">
        <v>15159</v>
      </c>
      <c r="G740" s="2" t="s">
        <v>39</v>
      </c>
      <c r="H740" s="17">
        <v>25</v>
      </c>
      <c r="I740" s="31">
        <f t="shared" si="78"/>
        <v>25000</v>
      </c>
      <c r="J740" s="31">
        <f t="shared" si="79"/>
        <v>1750.0000000000002</v>
      </c>
      <c r="K740" s="44">
        <f t="shared" si="80"/>
        <v>4.794520547945206</v>
      </c>
      <c r="L740" s="3">
        <f t="shared" si="81"/>
        <v>354.79452054794524</v>
      </c>
      <c r="M740" s="3">
        <f t="shared" si="82"/>
        <v>21.287671232876715</v>
      </c>
      <c r="N740" s="67">
        <f t="shared" si="83"/>
        <v>333.50684931506851</v>
      </c>
      <c r="O740" s="3"/>
      <c r="P740" s="70" t="s">
        <v>18612</v>
      </c>
      <c r="Q740" s="2" t="s">
        <v>103</v>
      </c>
      <c r="R740" s="2" t="s">
        <v>15160</v>
      </c>
      <c r="T740" t="s">
        <v>18666</v>
      </c>
      <c r="U740" t="s">
        <v>18652</v>
      </c>
      <c r="V740" s="104">
        <v>45857</v>
      </c>
      <c r="X740" s="97"/>
      <c r="Y740" s="75">
        <v>333.51</v>
      </c>
    </row>
    <row r="741" spans="1:25" x14ac:dyDescent="0.25">
      <c r="A741" s="76">
        <v>772</v>
      </c>
      <c r="B741" s="2" t="s">
        <v>7233</v>
      </c>
      <c r="C741" s="2" t="s">
        <v>7234</v>
      </c>
      <c r="D741" s="2" t="s">
        <v>7235</v>
      </c>
      <c r="E741" s="2" t="s">
        <v>7236</v>
      </c>
      <c r="F741" s="2" t="s">
        <v>7237</v>
      </c>
      <c r="G741" s="2" t="s">
        <v>543</v>
      </c>
      <c r="H741" s="17">
        <v>25</v>
      </c>
      <c r="I741" s="31">
        <f t="shared" si="78"/>
        <v>25000</v>
      </c>
      <c r="J741" s="31">
        <f t="shared" si="79"/>
        <v>1750.0000000000002</v>
      </c>
      <c r="K741" s="44">
        <f t="shared" si="80"/>
        <v>4.794520547945206</v>
      </c>
      <c r="L741" s="3">
        <f t="shared" si="81"/>
        <v>354.79452054794524</v>
      </c>
      <c r="M741" s="3">
        <f t="shared" si="82"/>
        <v>21.287671232876715</v>
      </c>
      <c r="N741" s="67">
        <f t="shared" si="83"/>
        <v>333.50684931506851</v>
      </c>
      <c r="O741" s="3"/>
      <c r="P741" s="70" t="s">
        <v>18612</v>
      </c>
      <c r="Q741" s="2" t="s">
        <v>103</v>
      </c>
      <c r="R741" s="2" t="s">
        <v>7238</v>
      </c>
      <c r="T741" t="s">
        <v>18666</v>
      </c>
      <c r="U741" t="s">
        <v>18652</v>
      </c>
      <c r="V741" s="104">
        <v>45857</v>
      </c>
      <c r="X741" s="97"/>
      <c r="Y741" s="75">
        <v>333.51</v>
      </c>
    </row>
    <row r="742" spans="1:25" x14ac:dyDescent="0.25">
      <c r="A742" s="76">
        <v>773</v>
      </c>
      <c r="B742" s="2" t="s">
        <v>3201</v>
      </c>
      <c r="C742" s="2" t="s">
        <v>3202</v>
      </c>
      <c r="D742" s="2" t="s">
        <v>3203</v>
      </c>
      <c r="E742" s="2" t="s">
        <v>3204</v>
      </c>
      <c r="F742" s="2" t="s">
        <v>3205</v>
      </c>
      <c r="G742" s="2" t="s">
        <v>31</v>
      </c>
      <c r="H742" s="17">
        <v>25</v>
      </c>
      <c r="I742" s="31">
        <f t="shared" si="78"/>
        <v>25000</v>
      </c>
      <c r="J742" s="31">
        <f t="shared" si="79"/>
        <v>1750.0000000000002</v>
      </c>
      <c r="K742" s="44">
        <f t="shared" si="80"/>
        <v>4.794520547945206</v>
      </c>
      <c r="L742" s="3">
        <f t="shared" si="81"/>
        <v>354.79452054794524</v>
      </c>
      <c r="M742" s="3">
        <f t="shared" si="82"/>
        <v>21.287671232876715</v>
      </c>
      <c r="N742" s="67">
        <f t="shared" si="83"/>
        <v>333.50684931506851</v>
      </c>
      <c r="O742" s="3"/>
      <c r="P742" s="70" t="s">
        <v>18612</v>
      </c>
      <c r="Q742" s="2" t="s">
        <v>103</v>
      </c>
      <c r="R742" s="2" t="s">
        <v>3206</v>
      </c>
      <c r="T742" t="s">
        <v>18666</v>
      </c>
      <c r="U742" t="s">
        <v>18652</v>
      </c>
      <c r="V742" s="104">
        <v>45857</v>
      </c>
      <c r="X742" s="97"/>
      <c r="Y742" s="75">
        <v>333.51</v>
      </c>
    </row>
    <row r="743" spans="1:25" x14ac:dyDescent="0.25">
      <c r="A743" s="76">
        <v>774</v>
      </c>
      <c r="B743" s="2" t="s">
        <v>3489</v>
      </c>
      <c r="C743" s="2" t="s">
        <v>3490</v>
      </c>
      <c r="D743" s="2" t="s">
        <v>3491</v>
      </c>
      <c r="E743" s="2" t="s">
        <v>3492</v>
      </c>
      <c r="F743" s="2" t="s">
        <v>1816</v>
      </c>
      <c r="G743" s="2" t="s">
        <v>750</v>
      </c>
      <c r="H743" s="17">
        <v>25</v>
      </c>
      <c r="I743" s="31">
        <f t="shared" si="78"/>
        <v>25000</v>
      </c>
      <c r="J743" s="31">
        <f t="shared" si="79"/>
        <v>1750.0000000000002</v>
      </c>
      <c r="K743" s="44">
        <f t="shared" si="80"/>
        <v>4.794520547945206</v>
      </c>
      <c r="L743" s="3">
        <f t="shared" si="81"/>
        <v>354.79452054794524</v>
      </c>
      <c r="M743" s="3">
        <f t="shared" si="82"/>
        <v>21.287671232876715</v>
      </c>
      <c r="N743" s="67">
        <f t="shared" si="83"/>
        <v>333.50684931506851</v>
      </c>
      <c r="O743" s="3"/>
      <c r="P743" s="70" t="s">
        <v>18612</v>
      </c>
      <c r="Q743" s="2" t="s">
        <v>103</v>
      </c>
      <c r="R743" s="2" t="s">
        <v>3493</v>
      </c>
      <c r="T743" t="s">
        <v>18666</v>
      </c>
      <c r="U743" t="s">
        <v>18652</v>
      </c>
      <c r="V743" s="104">
        <v>45857</v>
      </c>
      <c r="X743" s="97"/>
      <c r="Y743" s="75">
        <v>333.51</v>
      </c>
    </row>
    <row r="744" spans="1:25" x14ac:dyDescent="0.25">
      <c r="A744" s="76">
        <v>775</v>
      </c>
      <c r="B744" s="2" t="s">
        <v>9487</v>
      </c>
      <c r="C744" s="2" t="s">
        <v>9488</v>
      </c>
      <c r="D744" s="2" t="s">
        <v>9489</v>
      </c>
      <c r="E744" s="2" t="s">
        <v>9490</v>
      </c>
      <c r="F744" s="2" t="s">
        <v>9491</v>
      </c>
      <c r="G744" s="2" t="s">
        <v>296</v>
      </c>
      <c r="H744" s="17">
        <v>25</v>
      </c>
      <c r="I744" s="31">
        <f t="shared" si="78"/>
        <v>25000</v>
      </c>
      <c r="J744" s="31">
        <f t="shared" si="79"/>
        <v>1750.0000000000002</v>
      </c>
      <c r="K744" s="44">
        <f t="shared" si="80"/>
        <v>4.794520547945206</v>
      </c>
      <c r="L744" s="3">
        <f t="shared" si="81"/>
        <v>354.79452054794524</v>
      </c>
      <c r="M744" s="3">
        <f t="shared" si="82"/>
        <v>21.287671232876715</v>
      </c>
      <c r="N744" s="67">
        <f t="shared" si="83"/>
        <v>333.50684931506851</v>
      </c>
      <c r="O744" s="3"/>
      <c r="P744" s="70" t="s">
        <v>18612</v>
      </c>
      <c r="Q744" s="2" t="s">
        <v>103</v>
      </c>
      <c r="R744" s="2" t="s">
        <v>9492</v>
      </c>
      <c r="T744" t="s">
        <v>18666</v>
      </c>
      <c r="U744" t="s">
        <v>18652</v>
      </c>
      <c r="V744" s="104">
        <v>45857</v>
      </c>
      <c r="X744" s="97"/>
      <c r="Y744" s="75">
        <v>333.51</v>
      </c>
    </row>
    <row r="745" spans="1:25" x14ac:dyDescent="0.25">
      <c r="A745" s="76">
        <v>776</v>
      </c>
      <c r="B745" s="2" t="s">
        <v>7623</v>
      </c>
      <c r="C745" s="2" t="s">
        <v>7624</v>
      </c>
      <c r="D745" s="2" t="s">
        <v>7625</v>
      </c>
      <c r="E745" s="2" t="s">
        <v>7626</v>
      </c>
      <c r="F745" s="2" t="s">
        <v>7627</v>
      </c>
      <c r="G745" s="2" t="s">
        <v>1315</v>
      </c>
      <c r="H745" s="17">
        <v>25</v>
      </c>
      <c r="I745" s="31">
        <f t="shared" si="78"/>
        <v>25000</v>
      </c>
      <c r="J745" s="31">
        <f t="shared" si="79"/>
        <v>1750.0000000000002</v>
      </c>
      <c r="K745" s="44">
        <f t="shared" si="80"/>
        <v>4.794520547945206</v>
      </c>
      <c r="L745" s="3">
        <f t="shared" si="81"/>
        <v>354.79452054794524</v>
      </c>
      <c r="M745" s="3">
        <f t="shared" si="82"/>
        <v>21.287671232876715</v>
      </c>
      <c r="N745" s="67">
        <f t="shared" si="83"/>
        <v>333.50684931506851</v>
      </c>
      <c r="O745" s="3"/>
      <c r="P745" s="70" t="s">
        <v>18612</v>
      </c>
      <c r="Q745" s="2" t="s">
        <v>103</v>
      </c>
      <c r="R745" s="2" t="s">
        <v>7628</v>
      </c>
      <c r="T745" t="s">
        <v>18666</v>
      </c>
      <c r="U745" t="s">
        <v>18652</v>
      </c>
      <c r="V745" s="104">
        <v>45857</v>
      </c>
      <c r="X745" s="97"/>
      <c r="Y745" s="75">
        <v>333.51</v>
      </c>
    </row>
    <row r="746" spans="1:25" x14ac:dyDescent="0.25">
      <c r="A746" s="76">
        <v>777</v>
      </c>
      <c r="B746" s="2" t="s">
        <v>14358</v>
      </c>
      <c r="C746" s="2" t="s">
        <v>14359</v>
      </c>
      <c r="D746" s="2" t="s">
        <v>14360</v>
      </c>
      <c r="E746" s="2" t="s">
        <v>14361</v>
      </c>
      <c r="F746" s="2" t="s">
        <v>14362</v>
      </c>
      <c r="G746" s="2" t="s">
        <v>101</v>
      </c>
      <c r="H746" s="17">
        <v>25</v>
      </c>
      <c r="I746" s="31">
        <f t="shared" si="78"/>
        <v>25000</v>
      </c>
      <c r="J746" s="31">
        <f t="shared" si="79"/>
        <v>1750.0000000000002</v>
      </c>
      <c r="K746" s="44">
        <f t="shared" si="80"/>
        <v>4.794520547945206</v>
      </c>
      <c r="L746" s="3">
        <f t="shared" si="81"/>
        <v>354.79452054794524</v>
      </c>
      <c r="M746" s="3">
        <f t="shared" si="82"/>
        <v>21.287671232876715</v>
      </c>
      <c r="N746" s="67">
        <f t="shared" si="83"/>
        <v>333.50684931506851</v>
      </c>
      <c r="O746" s="3"/>
      <c r="P746" s="70" t="s">
        <v>18612</v>
      </c>
      <c r="Q746" s="2" t="s">
        <v>103</v>
      </c>
      <c r="R746" s="2" t="s">
        <v>14363</v>
      </c>
      <c r="T746" t="s">
        <v>18666</v>
      </c>
      <c r="U746" t="s">
        <v>18652</v>
      </c>
      <c r="V746" s="104">
        <v>45857</v>
      </c>
      <c r="X746" s="97"/>
      <c r="Y746" s="75">
        <v>333.51</v>
      </c>
    </row>
    <row r="747" spans="1:25" x14ac:dyDescent="0.25">
      <c r="A747" s="76">
        <v>778</v>
      </c>
      <c r="B747" s="2" t="s">
        <v>7629</v>
      </c>
      <c r="C747" s="2" t="s">
        <v>7630</v>
      </c>
      <c r="D747" s="2" t="s">
        <v>7631</v>
      </c>
      <c r="E747" s="2" t="s">
        <v>7632</v>
      </c>
      <c r="F747" s="2" t="s">
        <v>7633</v>
      </c>
      <c r="G747" s="2" t="s">
        <v>247</v>
      </c>
      <c r="H747" s="17">
        <v>25</v>
      </c>
      <c r="I747" s="31">
        <f t="shared" si="78"/>
        <v>25000</v>
      </c>
      <c r="J747" s="31">
        <f t="shared" si="79"/>
        <v>1750.0000000000002</v>
      </c>
      <c r="K747" s="44">
        <f t="shared" si="80"/>
        <v>4.794520547945206</v>
      </c>
      <c r="L747" s="3">
        <f t="shared" si="81"/>
        <v>354.79452054794524</v>
      </c>
      <c r="M747" s="3">
        <f t="shared" si="82"/>
        <v>21.287671232876715</v>
      </c>
      <c r="N747" s="67">
        <f t="shared" si="83"/>
        <v>333.50684931506851</v>
      </c>
      <c r="O747" s="3"/>
      <c r="P747" s="70" t="s">
        <v>18612</v>
      </c>
      <c r="Q747" s="2" t="s">
        <v>103</v>
      </c>
      <c r="R747" s="2" t="s">
        <v>7634</v>
      </c>
      <c r="T747" t="s">
        <v>18666</v>
      </c>
      <c r="U747" t="s">
        <v>18652</v>
      </c>
      <c r="V747" s="104">
        <v>45857</v>
      </c>
      <c r="X747" s="97"/>
      <c r="Y747" s="75">
        <v>333.51</v>
      </c>
    </row>
    <row r="748" spans="1:25" x14ac:dyDescent="0.25">
      <c r="A748" s="76">
        <v>779</v>
      </c>
      <c r="B748" s="2" t="s">
        <v>1426</v>
      </c>
      <c r="C748" s="2" t="s">
        <v>1427</v>
      </c>
      <c r="D748" s="2" t="s">
        <v>1428</v>
      </c>
      <c r="E748" s="2" t="s">
        <v>1429</v>
      </c>
      <c r="F748" s="2" t="s">
        <v>1430</v>
      </c>
      <c r="G748" s="2" t="s">
        <v>151</v>
      </c>
      <c r="H748" s="17">
        <v>25</v>
      </c>
      <c r="I748" s="31">
        <f t="shared" si="78"/>
        <v>25000</v>
      </c>
      <c r="J748" s="31">
        <f t="shared" si="79"/>
        <v>1750.0000000000002</v>
      </c>
      <c r="K748" s="44">
        <f t="shared" si="80"/>
        <v>4.794520547945206</v>
      </c>
      <c r="L748" s="3">
        <f t="shared" si="81"/>
        <v>354.79452054794524</v>
      </c>
      <c r="M748" s="3">
        <f t="shared" si="82"/>
        <v>21.287671232876715</v>
      </c>
      <c r="N748" s="67">
        <f t="shared" si="83"/>
        <v>333.50684931506851</v>
      </c>
      <c r="O748" s="3"/>
      <c r="P748" s="70" t="s">
        <v>18612</v>
      </c>
      <c r="Q748" s="2" t="s">
        <v>103</v>
      </c>
      <c r="R748" s="2" t="s">
        <v>1431</v>
      </c>
      <c r="T748" t="s">
        <v>18666</v>
      </c>
      <c r="U748" t="s">
        <v>18652</v>
      </c>
      <c r="V748" s="104">
        <v>45857</v>
      </c>
      <c r="X748" s="97"/>
      <c r="Y748" s="75">
        <v>333.51</v>
      </c>
    </row>
    <row r="749" spans="1:25" x14ac:dyDescent="0.25">
      <c r="A749" s="76">
        <v>780</v>
      </c>
      <c r="B749" s="2" t="s">
        <v>6277</v>
      </c>
      <c r="C749" s="2" t="s">
        <v>6278</v>
      </c>
      <c r="D749" s="2" t="s">
        <v>6279</v>
      </c>
      <c r="E749" s="2" t="s">
        <v>6280</v>
      </c>
      <c r="F749" s="2" t="s">
        <v>6281</v>
      </c>
      <c r="G749" s="2" t="s">
        <v>275</v>
      </c>
      <c r="H749" s="17">
        <v>25</v>
      </c>
      <c r="I749" s="31">
        <f t="shared" si="78"/>
        <v>25000</v>
      </c>
      <c r="J749" s="31">
        <f t="shared" si="79"/>
        <v>1750.0000000000002</v>
      </c>
      <c r="K749" s="44">
        <f t="shared" si="80"/>
        <v>4.794520547945206</v>
      </c>
      <c r="L749" s="3">
        <f t="shared" si="81"/>
        <v>354.79452054794524</v>
      </c>
      <c r="M749" s="3">
        <f t="shared" si="82"/>
        <v>21.287671232876715</v>
      </c>
      <c r="N749" s="67">
        <f t="shared" si="83"/>
        <v>333.50684931506851</v>
      </c>
      <c r="O749" s="3"/>
      <c r="P749" s="70" t="s">
        <v>18612</v>
      </c>
      <c r="Q749" s="2" t="s">
        <v>103</v>
      </c>
      <c r="R749" s="2" t="s">
        <v>6282</v>
      </c>
      <c r="T749" t="s">
        <v>18666</v>
      </c>
      <c r="U749" t="s">
        <v>18652</v>
      </c>
      <c r="V749" s="104">
        <v>45857</v>
      </c>
      <c r="X749" s="97"/>
      <c r="Y749" s="75">
        <v>333.51</v>
      </c>
    </row>
    <row r="750" spans="1:25" x14ac:dyDescent="0.25">
      <c r="A750" s="76">
        <v>781</v>
      </c>
      <c r="B750" s="2" t="s">
        <v>13503</v>
      </c>
      <c r="C750" s="2" t="s">
        <v>13504</v>
      </c>
      <c r="D750" s="2" t="s">
        <v>13505</v>
      </c>
      <c r="E750" s="2" t="s">
        <v>13506</v>
      </c>
      <c r="F750" s="2" t="s">
        <v>13507</v>
      </c>
      <c r="G750" s="2" t="s">
        <v>268</v>
      </c>
      <c r="H750" s="17">
        <v>25</v>
      </c>
      <c r="I750" s="31">
        <f t="shared" si="78"/>
        <v>25000</v>
      </c>
      <c r="J750" s="31">
        <f t="shared" si="79"/>
        <v>1750.0000000000002</v>
      </c>
      <c r="K750" s="44">
        <f t="shared" si="80"/>
        <v>4.794520547945206</v>
      </c>
      <c r="L750" s="3">
        <f t="shared" si="81"/>
        <v>354.79452054794524</v>
      </c>
      <c r="M750" s="3">
        <f t="shared" si="82"/>
        <v>21.287671232876715</v>
      </c>
      <c r="N750" s="67">
        <f t="shared" si="83"/>
        <v>333.50684931506851</v>
      </c>
      <c r="O750" s="3"/>
      <c r="P750" s="70" t="s">
        <v>18612</v>
      </c>
      <c r="Q750" s="2" t="s">
        <v>103</v>
      </c>
      <c r="R750" s="2" t="s">
        <v>13508</v>
      </c>
      <c r="T750" t="s">
        <v>18666</v>
      </c>
      <c r="U750" t="s">
        <v>18652</v>
      </c>
      <c r="V750" s="104">
        <v>45857</v>
      </c>
      <c r="X750" s="97"/>
      <c r="Y750" s="75">
        <v>333.51</v>
      </c>
    </row>
    <row r="751" spans="1:25" x14ac:dyDescent="0.25">
      <c r="A751" s="76">
        <v>782</v>
      </c>
      <c r="B751" s="2" t="s">
        <v>10025</v>
      </c>
      <c r="C751" s="2" t="s">
        <v>10026</v>
      </c>
      <c r="D751" s="2" t="s">
        <v>10027</v>
      </c>
      <c r="E751" s="2" t="s">
        <v>10028</v>
      </c>
      <c r="F751" s="2" t="s">
        <v>10029</v>
      </c>
      <c r="G751" s="2" t="s">
        <v>31</v>
      </c>
      <c r="H751" s="17">
        <v>25</v>
      </c>
      <c r="I751" s="31">
        <f t="shared" si="78"/>
        <v>25000</v>
      </c>
      <c r="J751" s="31">
        <f t="shared" si="79"/>
        <v>1750.0000000000002</v>
      </c>
      <c r="K751" s="44">
        <f t="shared" si="80"/>
        <v>4.794520547945206</v>
      </c>
      <c r="L751" s="3">
        <f t="shared" si="81"/>
        <v>354.79452054794524</v>
      </c>
      <c r="M751" s="3">
        <f t="shared" si="82"/>
        <v>21.287671232876715</v>
      </c>
      <c r="N751" s="67">
        <f t="shared" si="83"/>
        <v>333.50684931506851</v>
      </c>
      <c r="O751" s="3"/>
      <c r="P751" s="70" t="s">
        <v>18612</v>
      </c>
      <c r="Q751" s="2" t="s">
        <v>103</v>
      </c>
      <c r="R751" s="2" t="s">
        <v>10030</v>
      </c>
      <c r="T751" t="s">
        <v>18666</v>
      </c>
      <c r="U751" t="s">
        <v>18652</v>
      </c>
      <c r="V751" s="104">
        <v>45857</v>
      </c>
      <c r="X751" s="97"/>
      <c r="Y751" s="75">
        <v>333.51</v>
      </c>
    </row>
    <row r="752" spans="1:25" x14ac:dyDescent="0.25">
      <c r="A752" s="76">
        <v>783</v>
      </c>
      <c r="B752" s="2" t="s">
        <v>13291</v>
      </c>
      <c r="C752" s="2" t="s">
        <v>13283</v>
      </c>
      <c r="D752" s="2" t="s">
        <v>13292</v>
      </c>
      <c r="E752" s="2" t="s">
        <v>13281</v>
      </c>
      <c r="F752" s="2" t="s">
        <v>13293</v>
      </c>
      <c r="G752" s="2" t="s">
        <v>31</v>
      </c>
      <c r="H752" s="17">
        <v>25</v>
      </c>
      <c r="I752" s="31">
        <f t="shared" si="78"/>
        <v>25000</v>
      </c>
      <c r="J752" s="31">
        <f t="shared" si="79"/>
        <v>1750.0000000000002</v>
      </c>
      <c r="K752" s="44">
        <f t="shared" si="80"/>
        <v>4.794520547945206</v>
      </c>
      <c r="L752" s="3">
        <f t="shared" si="81"/>
        <v>354.79452054794524</v>
      </c>
      <c r="M752" s="3">
        <f t="shared" si="82"/>
        <v>21.287671232876715</v>
      </c>
      <c r="N752" s="67">
        <f t="shared" si="83"/>
        <v>333.50684931506851</v>
      </c>
      <c r="O752" s="3"/>
      <c r="P752" s="70" t="s">
        <v>18612</v>
      </c>
      <c r="Q752" s="2" t="s">
        <v>103</v>
      </c>
      <c r="R752" s="2" t="s">
        <v>13294</v>
      </c>
      <c r="T752" t="s">
        <v>18666</v>
      </c>
      <c r="U752" t="s">
        <v>18652</v>
      </c>
      <c r="V752" s="104">
        <v>45857</v>
      </c>
      <c r="X752" s="97"/>
      <c r="Y752" s="75">
        <v>333.51</v>
      </c>
    </row>
    <row r="753" spans="1:25" x14ac:dyDescent="0.25">
      <c r="A753" s="76">
        <v>784</v>
      </c>
      <c r="B753" s="2" t="s">
        <v>13357</v>
      </c>
      <c r="C753" s="2" t="s">
        <v>13358</v>
      </c>
      <c r="D753" s="2" t="s">
        <v>13359</v>
      </c>
      <c r="E753" s="2" t="s">
        <v>13360</v>
      </c>
      <c r="F753" s="2" t="s">
        <v>13361</v>
      </c>
      <c r="G753" s="2" t="s">
        <v>876</v>
      </c>
      <c r="H753" s="17">
        <v>25</v>
      </c>
      <c r="I753" s="31">
        <f t="shared" si="78"/>
        <v>25000</v>
      </c>
      <c r="J753" s="31">
        <f t="shared" si="79"/>
        <v>1750.0000000000002</v>
      </c>
      <c r="K753" s="44">
        <f t="shared" si="80"/>
        <v>4.794520547945206</v>
      </c>
      <c r="L753" s="3">
        <f t="shared" si="81"/>
        <v>354.79452054794524</v>
      </c>
      <c r="M753" s="3">
        <f t="shared" si="82"/>
        <v>21.287671232876715</v>
      </c>
      <c r="N753" s="67">
        <f t="shared" si="83"/>
        <v>333.50684931506851</v>
      </c>
      <c r="O753" s="3"/>
      <c r="P753" s="70" t="s">
        <v>18612</v>
      </c>
      <c r="Q753" s="2" t="s">
        <v>103</v>
      </c>
      <c r="R753" s="2" t="s">
        <v>13362</v>
      </c>
      <c r="T753" t="s">
        <v>18666</v>
      </c>
      <c r="U753" t="s">
        <v>18652</v>
      </c>
      <c r="V753" s="104">
        <v>45857</v>
      </c>
      <c r="X753" s="97"/>
      <c r="Y753" s="75">
        <v>333.51</v>
      </c>
    </row>
    <row r="754" spans="1:25" x14ac:dyDescent="0.25">
      <c r="A754" s="76">
        <v>785</v>
      </c>
      <c r="B754" s="2" t="s">
        <v>4523</v>
      </c>
      <c r="C754" s="2" t="s">
        <v>4524</v>
      </c>
      <c r="D754" s="2" t="s">
        <v>4525</v>
      </c>
      <c r="E754" s="2" t="s">
        <v>4526</v>
      </c>
      <c r="F754" s="2" t="s">
        <v>4527</v>
      </c>
      <c r="G754" s="2" t="s">
        <v>296</v>
      </c>
      <c r="H754" s="17">
        <v>25</v>
      </c>
      <c r="I754" s="31">
        <f t="shared" si="78"/>
        <v>25000</v>
      </c>
      <c r="J754" s="31">
        <f t="shared" si="79"/>
        <v>1750.0000000000002</v>
      </c>
      <c r="K754" s="44">
        <f t="shared" si="80"/>
        <v>4.794520547945206</v>
      </c>
      <c r="L754" s="3">
        <f t="shared" si="81"/>
        <v>354.79452054794524</v>
      </c>
      <c r="M754" s="3">
        <f t="shared" si="82"/>
        <v>21.287671232876715</v>
      </c>
      <c r="N754" s="67">
        <f t="shared" si="83"/>
        <v>333.50684931506851</v>
      </c>
      <c r="O754" s="3"/>
      <c r="P754" s="70" t="s">
        <v>18612</v>
      </c>
      <c r="Q754" s="2" t="s">
        <v>103</v>
      </c>
      <c r="R754" s="2" t="s">
        <v>4528</v>
      </c>
      <c r="T754" t="s">
        <v>18666</v>
      </c>
      <c r="U754" t="s">
        <v>18652</v>
      </c>
      <c r="V754" s="104">
        <v>45857</v>
      </c>
      <c r="X754" s="97"/>
      <c r="Y754" s="75">
        <v>333.51</v>
      </c>
    </row>
    <row r="755" spans="1:25" x14ac:dyDescent="0.25">
      <c r="A755" s="76">
        <v>786</v>
      </c>
      <c r="B755" s="2" t="s">
        <v>18189</v>
      </c>
      <c r="C755" s="2" t="s">
        <v>18190</v>
      </c>
      <c r="D755" s="2" t="s">
        <v>18191</v>
      </c>
      <c r="E755" s="2" t="s">
        <v>18192</v>
      </c>
      <c r="F755" s="2" t="s">
        <v>18193</v>
      </c>
      <c r="G755" s="2" t="s">
        <v>524</v>
      </c>
      <c r="H755" s="17">
        <v>26</v>
      </c>
      <c r="I755" s="31">
        <f t="shared" si="78"/>
        <v>26000</v>
      </c>
      <c r="J755" s="31">
        <f t="shared" si="79"/>
        <v>1820.0000000000002</v>
      </c>
      <c r="K755" s="44">
        <f t="shared" si="80"/>
        <v>4.9863013698630141</v>
      </c>
      <c r="L755" s="3">
        <f t="shared" si="81"/>
        <v>368.98630136986304</v>
      </c>
      <c r="M755" s="3">
        <f t="shared" si="82"/>
        <v>22.139178082191783</v>
      </c>
      <c r="N755" s="67">
        <f t="shared" si="83"/>
        <v>346.84712328767125</v>
      </c>
      <c r="O755" s="3"/>
      <c r="P755" s="70" t="s">
        <v>18612</v>
      </c>
      <c r="Q755" s="2" t="s">
        <v>103</v>
      </c>
      <c r="R755" s="2" t="s">
        <v>18194</v>
      </c>
      <c r="T755" t="s">
        <v>18666</v>
      </c>
      <c r="U755" t="s">
        <v>18652</v>
      </c>
      <c r="V755" s="104">
        <v>45857</v>
      </c>
      <c r="X755" s="97"/>
      <c r="Y755" s="75">
        <v>346.84999999999997</v>
      </c>
    </row>
    <row r="756" spans="1:25" x14ac:dyDescent="0.25">
      <c r="A756" s="76">
        <v>787</v>
      </c>
      <c r="B756" s="2" t="s">
        <v>9293</v>
      </c>
      <c r="C756" s="2" t="s">
        <v>9294</v>
      </c>
      <c r="D756" s="2" t="s">
        <v>9295</v>
      </c>
      <c r="E756" s="2" t="s">
        <v>9296</v>
      </c>
      <c r="F756" s="2" t="s">
        <v>9297</v>
      </c>
      <c r="G756" s="2" t="s">
        <v>173</v>
      </c>
      <c r="H756" s="17">
        <v>100</v>
      </c>
      <c r="I756" s="31">
        <f t="shared" si="78"/>
        <v>100000</v>
      </c>
      <c r="J756" s="31">
        <f t="shared" si="79"/>
        <v>7000.0000000000009</v>
      </c>
      <c r="K756" s="44">
        <f t="shared" si="80"/>
        <v>19.178082191780824</v>
      </c>
      <c r="L756" s="3">
        <f t="shared" si="81"/>
        <v>1419.178082191781</v>
      </c>
      <c r="M756" s="3">
        <f t="shared" si="82"/>
        <v>85.150684931506859</v>
      </c>
      <c r="N756" s="67">
        <f t="shared" si="83"/>
        <v>1334.027397260274</v>
      </c>
      <c r="O756" s="3"/>
      <c r="P756" s="70" t="s">
        <v>18612</v>
      </c>
      <c r="Q756" s="2" t="s">
        <v>103</v>
      </c>
      <c r="R756" s="2" t="s">
        <v>9298</v>
      </c>
      <c r="T756" t="s">
        <v>18666</v>
      </c>
      <c r="U756" t="s">
        <v>18652</v>
      </c>
      <c r="V756" s="104">
        <v>45857</v>
      </c>
      <c r="X756" s="97"/>
      <c r="Y756" s="75">
        <v>1334.03</v>
      </c>
    </row>
    <row r="757" spans="1:25" x14ac:dyDescent="0.25">
      <c r="A757" s="76">
        <v>788</v>
      </c>
      <c r="B757" s="2" t="s">
        <v>17329</v>
      </c>
      <c r="C757" s="2" t="s">
        <v>17330</v>
      </c>
      <c r="D757" s="2" t="s">
        <v>17331</v>
      </c>
      <c r="E757" s="2" t="s">
        <v>17332</v>
      </c>
      <c r="F757" s="2" t="s">
        <v>17333</v>
      </c>
      <c r="G757" s="2" t="s">
        <v>1017</v>
      </c>
      <c r="H757" s="17">
        <v>50</v>
      </c>
      <c r="I757" s="31">
        <f t="shared" si="78"/>
        <v>50000</v>
      </c>
      <c r="J757" s="31">
        <f t="shared" si="79"/>
        <v>3500.0000000000005</v>
      </c>
      <c r="K757" s="44">
        <f t="shared" si="80"/>
        <v>9.589041095890412</v>
      </c>
      <c r="L757" s="3">
        <f t="shared" si="81"/>
        <v>709.58904109589048</v>
      </c>
      <c r="M757" s="3">
        <f t="shared" si="82"/>
        <v>42.57534246575343</v>
      </c>
      <c r="N757" s="67">
        <f t="shared" si="83"/>
        <v>667.01369863013701</v>
      </c>
      <c r="O757" s="3"/>
      <c r="P757" s="70" t="s">
        <v>18612</v>
      </c>
      <c r="Q757" s="2" t="s">
        <v>103</v>
      </c>
      <c r="R757" s="2" t="s">
        <v>17334</v>
      </c>
      <c r="T757" t="s">
        <v>18666</v>
      </c>
      <c r="U757" t="s">
        <v>18652</v>
      </c>
      <c r="V757" s="104">
        <v>45857</v>
      </c>
      <c r="X757" s="97"/>
      <c r="Y757" s="75">
        <v>667.02</v>
      </c>
    </row>
    <row r="758" spans="1:25" x14ac:dyDescent="0.25">
      <c r="A758" s="76">
        <v>789</v>
      </c>
      <c r="B758" s="2" t="s">
        <v>12334</v>
      </c>
      <c r="C758" s="2" t="s">
        <v>12335</v>
      </c>
      <c r="D758" s="2" t="s">
        <v>12336</v>
      </c>
      <c r="E758" s="2" t="s">
        <v>12337</v>
      </c>
      <c r="F758" s="2" t="s">
        <v>12338</v>
      </c>
      <c r="G758" s="2" t="s">
        <v>618</v>
      </c>
      <c r="H758" s="17">
        <v>100</v>
      </c>
      <c r="I758" s="31">
        <f t="shared" si="78"/>
        <v>100000</v>
      </c>
      <c r="J758" s="31">
        <f t="shared" si="79"/>
        <v>7000.0000000000009</v>
      </c>
      <c r="K758" s="44">
        <f t="shared" si="80"/>
        <v>19.178082191780824</v>
      </c>
      <c r="L758" s="3">
        <f t="shared" si="81"/>
        <v>1419.178082191781</v>
      </c>
      <c r="M758" s="3">
        <f t="shared" si="82"/>
        <v>85.150684931506859</v>
      </c>
      <c r="N758" s="67">
        <f t="shared" si="83"/>
        <v>1334.027397260274</v>
      </c>
      <c r="O758" s="3"/>
      <c r="P758" s="70" t="s">
        <v>18612</v>
      </c>
      <c r="Q758" s="2" t="s">
        <v>103</v>
      </c>
      <c r="R758" s="2" t="s">
        <v>12339</v>
      </c>
      <c r="T758" t="s">
        <v>18666</v>
      </c>
      <c r="U758" t="s">
        <v>18652</v>
      </c>
      <c r="V758" s="104">
        <v>45857</v>
      </c>
      <c r="X758" s="97"/>
      <c r="Y758" s="75">
        <v>1334.03</v>
      </c>
    </row>
    <row r="759" spans="1:25" x14ac:dyDescent="0.25">
      <c r="A759" s="76">
        <v>790</v>
      </c>
      <c r="B759" s="2" t="s">
        <v>13674</v>
      </c>
      <c r="C759" s="2" t="s">
        <v>13675</v>
      </c>
      <c r="D759" s="2" t="s">
        <v>13676</v>
      </c>
      <c r="E759" s="2" t="s">
        <v>13677</v>
      </c>
      <c r="F759" s="2" t="s">
        <v>13678</v>
      </c>
      <c r="G759" s="2" t="s">
        <v>618</v>
      </c>
      <c r="H759" s="17">
        <v>25</v>
      </c>
      <c r="I759" s="31">
        <f t="shared" si="78"/>
        <v>25000</v>
      </c>
      <c r="J759" s="31">
        <f t="shared" si="79"/>
        <v>1750.0000000000002</v>
      </c>
      <c r="K759" s="44">
        <f t="shared" si="80"/>
        <v>4.794520547945206</v>
      </c>
      <c r="L759" s="3">
        <f t="shared" si="81"/>
        <v>354.79452054794524</v>
      </c>
      <c r="M759" s="3">
        <f t="shared" si="82"/>
        <v>21.287671232876715</v>
      </c>
      <c r="N759" s="67">
        <f t="shared" si="83"/>
        <v>333.50684931506851</v>
      </c>
      <c r="O759" s="3"/>
      <c r="P759" s="70" t="s">
        <v>18612</v>
      </c>
      <c r="Q759" s="2" t="s">
        <v>103</v>
      </c>
      <c r="R759" s="2" t="s">
        <v>13679</v>
      </c>
      <c r="T759" t="s">
        <v>18666</v>
      </c>
      <c r="U759" t="s">
        <v>18652</v>
      </c>
      <c r="V759" s="104">
        <v>45857</v>
      </c>
      <c r="X759" s="97"/>
      <c r="Y759" s="75">
        <v>333.51</v>
      </c>
    </row>
    <row r="760" spans="1:25" x14ac:dyDescent="0.25">
      <c r="A760" s="76">
        <v>791</v>
      </c>
      <c r="B760" s="2" t="s">
        <v>16090</v>
      </c>
      <c r="C760" s="2" t="s">
        <v>16091</v>
      </c>
      <c r="D760" s="2" t="s">
        <v>16092</v>
      </c>
      <c r="E760" s="2" t="s">
        <v>16093</v>
      </c>
      <c r="F760" s="2" t="s">
        <v>16094</v>
      </c>
      <c r="G760" s="2" t="s">
        <v>240</v>
      </c>
      <c r="H760" s="17">
        <v>100</v>
      </c>
      <c r="I760" s="31">
        <f t="shared" si="78"/>
        <v>100000</v>
      </c>
      <c r="J760" s="31">
        <f t="shared" si="79"/>
        <v>7000.0000000000009</v>
      </c>
      <c r="K760" s="44">
        <f t="shared" si="80"/>
        <v>19.178082191780824</v>
      </c>
      <c r="L760" s="3">
        <f t="shared" si="81"/>
        <v>1419.178082191781</v>
      </c>
      <c r="M760" s="3">
        <f t="shared" si="82"/>
        <v>85.150684931506859</v>
      </c>
      <c r="N760" s="67">
        <f t="shared" si="83"/>
        <v>1334.027397260274</v>
      </c>
      <c r="O760" s="3"/>
      <c r="P760" s="70" t="s">
        <v>18612</v>
      </c>
      <c r="Q760" s="2" t="s">
        <v>103</v>
      </c>
      <c r="R760" s="2" t="s">
        <v>16095</v>
      </c>
      <c r="T760" t="s">
        <v>18666</v>
      </c>
      <c r="U760" t="s">
        <v>18652</v>
      </c>
      <c r="V760" s="104">
        <v>45857</v>
      </c>
      <c r="X760" s="97"/>
      <c r="Y760" s="75">
        <v>1334.03</v>
      </c>
    </row>
    <row r="761" spans="1:25" x14ac:dyDescent="0.25">
      <c r="A761" s="76">
        <v>792</v>
      </c>
      <c r="B761" s="2" t="s">
        <v>5428</v>
      </c>
      <c r="C761" s="2" t="s">
        <v>5429</v>
      </c>
      <c r="D761" s="2" t="s">
        <v>5430</v>
      </c>
      <c r="E761" s="2" t="s">
        <v>5431</v>
      </c>
      <c r="F761" s="2" t="s">
        <v>5432</v>
      </c>
      <c r="G761" s="2" t="s">
        <v>158</v>
      </c>
      <c r="H761" s="17">
        <v>25</v>
      </c>
      <c r="I761" s="31">
        <f t="shared" si="78"/>
        <v>25000</v>
      </c>
      <c r="J761" s="31">
        <f t="shared" si="79"/>
        <v>1750.0000000000002</v>
      </c>
      <c r="K761" s="44">
        <f t="shared" si="80"/>
        <v>4.794520547945206</v>
      </c>
      <c r="L761" s="3">
        <f t="shared" si="81"/>
        <v>354.79452054794524</v>
      </c>
      <c r="M761" s="3">
        <f t="shared" si="82"/>
        <v>21.287671232876715</v>
      </c>
      <c r="N761" s="67">
        <f t="shared" si="83"/>
        <v>333.50684931506851</v>
      </c>
      <c r="O761" s="3"/>
      <c r="P761" s="70" t="s">
        <v>18612</v>
      </c>
      <c r="Q761" s="2" t="s">
        <v>103</v>
      </c>
      <c r="R761" s="2" t="s">
        <v>5433</v>
      </c>
      <c r="T761" t="s">
        <v>18666</v>
      </c>
      <c r="U761" t="s">
        <v>18652</v>
      </c>
      <c r="V761" s="104">
        <v>45857</v>
      </c>
      <c r="X761" s="97"/>
      <c r="Y761" s="75">
        <v>333.51</v>
      </c>
    </row>
    <row r="762" spans="1:25" x14ac:dyDescent="0.25">
      <c r="A762" s="76">
        <v>793</v>
      </c>
      <c r="B762" s="2" t="s">
        <v>10667</v>
      </c>
      <c r="C762" s="2" t="s">
        <v>10668</v>
      </c>
      <c r="D762" s="2" t="s">
        <v>10669</v>
      </c>
      <c r="E762" s="2" t="s">
        <v>10670</v>
      </c>
      <c r="F762" s="2" t="s">
        <v>10671</v>
      </c>
      <c r="G762" s="2" t="s">
        <v>39</v>
      </c>
      <c r="H762" s="17">
        <v>25</v>
      </c>
      <c r="I762" s="31">
        <f t="shared" si="78"/>
        <v>25000</v>
      </c>
      <c r="J762" s="31">
        <f t="shared" si="79"/>
        <v>1750.0000000000002</v>
      </c>
      <c r="K762" s="44">
        <f t="shared" si="80"/>
        <v>4.794520547945206</v>
      </c>
      <c r="L762" s="3">
        <f t="shared" si="81"/>
        <v>354.79452054794524</v>
      </c>
      <c r="M762" s="3">
        <f t="shared" si="82"/>
        <v>21.287671232876715</v>
      </c>
      <c r="N762" s="67">
        <f t="shared" si="83"/>
        <v>333.50684931506851</v>
      </c>
      <c r="O762" s="3"/>
      <c r="P762" s="70" t="s">
        <v>18612</v>
      </c>
      <c r="Q762" s="2" t="s">
        <v>103</v>
      </c>
      <c r="R762" s="2" t="s">
        <v>10672</v>
      </c>
      <c r="T762" t="s">
        <v>18666</v>
      </c>
      <c r="U762" t="s">
        <v>18652</v>
      </c>
      <c r="V762" s="104">
        <v>45857</v>
      </c>
      <c r="X762" s="97"/>
      <c r="Y762" s="75">
        <v>333.51</v>
      </c>
    </row>
    <row r="763" spans="1:25" x14ac:dyDescent="0.25">
      <c r="A763" s="76">
        <v>794</v>
      </c>
      <c r="B763" s="2" t="s">
        <v>15137</v>
      </c>
      <c r="C763" s="2" t="s">
        <v>15138</v>
      </c>
      <c r="D763" s="2" t="s">
        <v>15139</v>
      </c>
      <c r="E763" s="2" t="s">
        <v>15140</v>
      </c>
      <c r="F763" s="2" t="s">
        <v>15141</v>
      </c>
      <c r="G763" s="2" t="s">
        <v>144</v>
      </c>
      <c r="H763" s="17">
        <v>25</v>
      </c>
      <c r="I763" s="31">
        <f t="shared" si="78"/>
        <v>25000</v>
      </c>
      <c r="J763" s="31">
        <f t="shared" si="79"/>
        <v>1750.0000000000002</v>
      </c>
      <c r="K763" s="44">
        <f t="shared" si="80"/>
        <v>4.794520547945206</v>
      </c>
      <c r="L763" s="3">
        <f t="shared" si="81"/>
        <v>354.79452054794524</v>
      </c>
      <c r="M763" s="3">
        <f t="shared" si="82"/>
        <v>21.287671232876715</v>
      </c>
      <c r="N763" s="67">
        <f t="shared" si="83"/>
        <v>333.50684931506851</v>
      </c>
      <c r="O763" s="3"/>
      <c r="P763" s="70" t="s">
        <v>18612</v>
      </c>
      <c r="Q763" s="2" t="s">
        <v>103</v>
      </c>
      <c r="R763" s="2" t="s">
        <v>15142</v>
      </c>
      <c r="T763" t="s">
        <v>18666</v>
      </c>
      <c r="U763" t="s">
        <v>18652</v>
      </c>
      <c r="V763" s="104">
        <v>45857</v>
      </c>
      <c r="X763" s="97"/>
      <c r="Y763" s="75">
        <v>333.51</v>
      </c>
    </row>
    <row r="764" spans="1:25" x14ac:dyDescent="0.25">
      <c r="A764" s="76">
        <v>795</v>
      </c>
      <c r="B764" s="2" t="s">
        <v>12995</v>
      </c>
      <c r="C764" s="2" t="s">
        <v>12996</v>
      </c>
      <c r="D764" s="2" t="s">
        <v>12997</v>
      </c>
      <c r="E764" s="2" t="s">
        <v>12998</v>
      </c>
      <c r="F764" s="2" t="s">
        <v>12999</v>
      </c>
      <c r="G764" s="2" t="s">
        <v>282</v>
      </c>
      <c r="H764" s="17">
        <v>25</v>
      </c>
      <c r="I764" s="31">
        <f t="shared" si="78"/>
        <v>25000</v>
      </c>
      <c r="J764" s="31">
        <f t="shared" si="79"/>
        <v>1750.0000000000002</v>
      </c>
      <c r="K764" s="44">
        <f t="shared" si="80"/>
        <v>4.794520547945206</v>
      </c>
      <c r="L764" s="3">
        <f t="shared" si="81"/>
        <v>354.79452054794524</v>
      </c>
      <c r="M764" s="3">
        <f t="shared" si="82"/>
        <v>21.287671232876715</v>
      </c>
      <c r="N764" s="67">
        <f t="shared" si="83"/>
        <v>333.50684931506851</v>
      </c>
      <c r="O764" s="3"/>
      <c r="P764" s="70" t="s">
        <v>18612</v>
      </c>
      <c r="Q764" s="2" t="s">
        <v>103</v>
      </c>
      <c r="R764" s="2" t="s">
        <v>13000</v>
      </c>
      <c r="T764" t="s">
        <v>18666</v>
      </c>
      <c r="U764" t="s">
        <v>18652</v>
      </c>
      <c r="V764" s="104">
        <v>45857</v>
      </c>
      <c r="X764" s="97"/>
      <c r="Y764" s="75">
        <v>333.51</v>
      </c>
    </row>
    <row r="765" spans="1:25" x14ac:dyDescent="0.25">
      <c r="A765" s="76">
        <v>796</v>
      </c>
      <c r="B765" s="2" t="s">
        <v>9971</v>
      </c>
      <c r="C765" s="2" t="s">
        <v>9972</v>
      </c>
      <c r="D765" s="2" t="s">
        <v>9973</v>
      </c>
      <c r="E765" s="2" t="s">
        <v>9974</v>
      </c>
      <c r="F765" s="2" t="s">
        <v>9975</v>
      </c>
      <c r="G765" s="2" t="s">
        <v>510</v>
      </c>
      <c r="H765" s="17">
        <v>200</v>
      </c>
      <c r="I765" s="31">
        <f t="shared" si="78"/>
        <v>200000</v>
      </c>
      <c r="J765" s="31">
        <f t="shared" si="79"/>
        <v>14000.000000000002</v>
      </c>
      <c r="K765" s="44">
        <f t="shared" si="80"/>
        <v>38.356164383561648</v>
      </c>
      <c r="L765" s="3">
        <f t="shared" si="81"/>
        <v>2838.3561643835619</v>
      </c>
      <c r="M765" s="3">
        <f t="shared" si="82"/>
        <v>170.30136986301372</v>
      </c>
      <c r="N765" s="67">
        <f t="shared" si="83"/>
        <v>2668.0547945205481</v>
      </c>
      <c r="O765" s="3"/>
      <c r="P765" s="70" t="s">
        <v>18612</v>
      </c>
      <c r="Q765" s="2" t="s">
        <v>103</v>
      </c>
      <c r="R765" s="2" t="s">
        <v>9976</v>
      </c>
      <c r="T765" t="s">
        <v>18666</v>
      </c>
      <c r="U765" t="s">
        <v>18652</v>
      </c>
      <c r="V765" s="104">
        <v>45857</v>
      </c>
      <c r="X765" s="97"/>
      <c r="Y765" s="75">
        <v>2668.0600000000004</v>
      </c>
    </row>
    <row r="766" spans="1:25" x14ac:dyDescent="0.25">
      <c r="A766" s="76">
        <v>797</v>
      </c>
      <c r="B766" s="2" t="s">
        <v>8196</v>
      </c>
      <c r="C766" s="2" t="s">
        <v>8197</v>
      </c>
      <c r="D766" s="2" t="s">
        <v>8198</v>
      </c>
      <c r="E766" s="2" t="s">
        <v>8199</v>
      </c>
      <c r="F766" s="2" t="s">
        <v>8200</v>
      </c>
      <c r="G766" s="2" t="s">
        <v>275</v>
      </c>
      <c r="H766" s="17">
        <v>50</v>
      </c>
      <c r="I766" s="31">
        <f t="shared" si="78"/>
        <v>50000</v>
      </c>
      <c r="J766" s="31">
        <f t="shared" si="79"/>
        <v>3500.0000000000005</v>
      </c>
      <c r="K766" s="44">
        <f t="shared" si="80"/>
        <v>9.589041095890412</v>
      </c>
      <c r="L766" s="3">
        <f t="shared" si="81"/>
        <v>709.58904109589048</v>
      </c>
      <c r="M766" s="3">
        <f t="shared" si="82"/>
        <v>42.57534246575343</v>
      </c>
      <c r="N766" s="67">
        <f t="shared" si="83"/>
        <v>667.01369863013701</v>
      </c>
      <c r="O766" s="3"/>
      <c r="P766" s="70" t="s">
        <v>18612</v>
      </c>
      <c r="Q766" s="2" t="s">
        <v>103</v>
      </c>
      <c r="R766" s="2" t="s">
        <v>8201</v>
      </c>
      <c r="T766" t="s">
        <v>18666</v>
      </c>
      <c r="U766" t="s">
        <v>18652</v>
      </c>
      <c r="V766" s="104">
        <v>45857</v>
      </c>
      <c r="X766" s="97"/>
      <c r="Y766" s="75">
        <v>667.02</v>
      </c>
    </row>
    <row r="767" spans="1:25" x14ac:dyDescent="0.25">
      <c r="A767" s="76">
        <v>798</v>
      </c>
      <c r="B767" s="2" t="s">
        <v>7960</v>
      </c>
      <c r="C767" s="2" t="s">
        <v>7961</v>
      </c>
      <c r="D767" s="2" t="s">
        <v>7962</v>
      </c>
      <c r="E767" s="2" t="s">
        <v>7963</v>
      </c>
      <c r="F767" s="2" t="s">
        <v>7964</v>
      </c>
      <c r="G767" s="2" t="s">
        <v>1315</v>
      </c>
      <c r="H767" s="17">
        <v>25</v>
      </c>
      <c r="I767" s="31">
        <f t="shared" si="78"/>
        <v>25000</v>
      </c>
      <c r="J767" s="31">
        <f t="shared" si="79"/>
        <v>1750.0000000000002</v>
      </c>
      <c r="K767" s="44">
        <f t="shared" si="80"/>
        <v>4.794520547945206</v>
      </c>
      <c r="L767" s="3">
        <f t="shared" si="81"/>
        <v>354.79452054794524</v>
      </c>
      <c r="M767" s="3">
        <f t="shared" si="82"/>
        <v>21.287671232876715</v>
      </c>
      <c r="N767" s="67">
        <f t="shared" si="83"/>
        <v>333.50684931506851</v>
      </c>
      <c r="O767" s="3"/>
      <c r="P767" s="70" t="s">
        <v>18612</v>
      </c>
      <c r="Q767" s="2" t="s">
        <v>103</v>
      </c>
      <c r="R767" s="2" t="s">
        <v>7965</v>
      </c>
      <c r="T767" t="s">
        <v>18666</v>
      </c>
      <c r="U767" t="s">
        <v>18652</v>
      </c>
      <c r="V767" s="104">
        <v>45857</v>
      </c>
      <c r="X767" s="97"/>
      <c r="Y767" s="75">
        <v>333.51</v>
      </c>
    </row>
    <row r="768" spans="1:25" x14ac:dyDescent="0.25">
      <c r="A768" s="76">
        <v>799</v>
      </c>
      <c r="B768" s="2" t="s">
        <v>3644</v>
      </c>
      <c r="C768" s="2" t="s">
        <v>3645</v>
      </c>
      <c r="D768" s="2" t="s">
        <v>3646</v>
      </c>
      <c r="E768" s="2" t="s">
        <v>3647</v>
      </c>
      <c r="F768" s="2" t="s">
        <v>3648</v>
      </c>
      <c r="G768" s="2" t="s">
        <v>144</v>
      </c>
      <c r="H768" s="17">
        <v>25</v>
      </c>
      <c r="I768" s="31">
        <f t="shared" si="78"/>
        <v>25000</v>
      </c>
      <c r="J768" s="31">
        <f t="shared" si="79"/>
        <v>1750.0000000000002</v>
      </c>
      <c r="K768" s="44">
        <f t="shared" si="80"/>
        <v>4.794520547945206</v>
      </c>
      <c r="L768" s="3">
        <f t="shared" si="81"/>
        <v>354.79452054794524</v>
      </c>
      <c r="M768" s="3">
        <f t="shared" si="82"/>
        <v>21.287671232876715</v>
      </c>
      <c r="N768" s="67">
        <f t="shared" si="83"/>
        <v>333.50684931506851</v>
      </c>
      <c r="O768" s="3"/>
      <c r="P768" s="70" t="s">
        <v>18612</v>
      </c>
      <c r="Q768" s="2" t="s">
        <v>103</v>
      </c>
      <c r="R768" s="2" t="s">
        <v>3649</v>
      </c>
      <c r="T768" t="s">
        <v>18666</v>
      </c>
      <c r="U768" t="s">
        <v>18652</v>
      </c>
      <c r="V768" s="104">
        <v>45857</v>
      </c>
      <c r="X768" s="97"/>
      <c r="Y768" s="75">
        <v>333.51</v>
      </c>
    </row>
    <row r="769" spans="1:25" x14ac:dyDescent="0.25">
      <c r="A769" s="76">
        <v>800</v>
      </c>
      <c r="B769" s="2" t="s">
        <v>6160</v>
      </c>
      <c r="C769" s="2" t="s">
        <v>6161</v>
      </c>
      <c r="D769" s="2" t="s">
        <v>6162</v>
      </c>
      <c r="E769" s="2" t="s">
        <v>6163</v>
      </c>
      <c r="F769" s="2" t="s">
        <v>6164</v>
      </c>
      <c r="G769" s="2" t="s">
        <v>718</v>
      </c>
      <c r="H769" s="17">
        <v>25</v>
      </c>
      <c r="I769" s="31">
        <f t="shared" si="78"/>
        <v>25000</v>
      </c>
      <c r="J769" s="31">
        <f t="shared" si="79"/>
        <v>1750.0000000000002</v>
      </c>
      <c r="K769" s="44">
        <f t="shared" si="80"/>
        <v>4.794520547945206</v>
      </c>
      <c r="L769" s="3">
        <f t="shared" si="81"/>
        <v>354.79452054794524</v>
      </c>
      <c r="M769" s="3">
        <f t="shared" si="82"/>
        <v>21.287671232876715</v>
      </c>
      <c r="N769" s="67">
        <f t="shared" si="83"/>
        <v>333.50684931506851</v>
      </c>
      <c r="O769" s="3"/>
      <c r="P769" s="70" t="s">
        <v>18612</v>
      </c>
      <c r="Q769" s="2" t="s">
        <v>103</v>
      </c>
      <c r="R769" s="2" t="s">
        <v>6165</v>
      </c>
      <c r="T769" t="s">
        <v>18666</v>
      </c>
      <c r="U769" t="s">
        <v>18652</v>
      </c>
      <c r="V769" s="104">
        <v>45857</v>
      </c>
      <c r="X769" s="97"/>
      <c r="Y769" s="75">
        <v>333.51</v>
      </c>
    </row>
    <row r="770" spans="1:25" x14ac:dyDescent="0.25">
      <c r="A770" s="76">
        <v>801</v>
      </c>
      <c r="B770" s="2" t="s">
        <v>16816</v>
      </c>
      <c r="C770" s="2" t="s">
        <v>16817</v>
      </c>
      <c r="D770" s="2" t="s">
        <v>16818</v>
      </c>
      <c r="E770" s="2" t="s">
        <v>5010</v>
      </c>
      <c r="F770" s="2" t="s">
        <v>16819</v>
      </c>
      <c r="G770" s="2" t="s">
        <v>23</v>
      </c>
      <c r="H770" s="17">
        <v>25</v>
      </c>
      <c r="I770" s="31">
        <f t="shared" si="78"/>
        <v>25000</v>
      </c>
      <c r="J770" s="31">
        <f t="shared" si="79"/>
        <v>1750.0000000000002</v>
      </c>
      <c r="K770" s="44">
        <f t="shared" si="80"/>
        <v>4.794520547945206</v>
      </c>
      <c r="L770" s="3">
        <f t="shared" si="81"/>
        <v>354.79452054794524</v>
      </c>
      <c r="M770" s="3">
        <f t="shared" si="82"/>
        <v>21.287671232876715</v>
      </c>
      <c r="N770" s="67">
        <f t="shared" si="83"/>
        <v>333.50684931506851</v>
      </c>
      <c r="O770" s="3"/>
      <c r="P770" s="70" t="s">
        <v>18612</v>
      </c>
      <c r="Q770" s="2" t="s">
        <v>103</v>
      </c>
      <c r="R770" s="2" t="s">
        <v>16820</v>
      </c>
      <c r="T770" t="s">
        <v>18666</v>
      </c>
      <c r="U770" t="s">
        <v>18652</v>
      </c>
      <c r="V770" s="104">
        <v>45857</v>
      </c>
      <c r="X770" s="97"/>
      <c r="Y770" s="75">
        <v>333.51</v>
      </c>
    </row>
    <row r="771" spans="1:25" x14ac:dyDescent="0.25">
      <c r="A771" s="76">
        <v>802</v>
      </c>
      <c r="B771" s="2" t="s">
        <v>15198</v>
      </c>
      <c r="C771" s="2" t="s">
        <v>15199</v>
      </c>
      <c r="D771" s="2" t="s">
        <v>15200</v>
      </c>
      <c r="E771" s="2" t="s">
        <v>15201</v>
      </c>
      <c r="F771" s="2" t="s">
        <v>11555</v>
      </c>
      <c r="G771" s="2" t="s">
        <v>144</v>
      </c>
      <c r="H771" s="17">
        <v>25</v>
      </c>
      <c r="I771" s="31">
        <f t="shared" si="78"/>
        <v>25000</v>
      </c>
      <c r="J771" s="31">
        <f t="shared" si="79"/>
        <v>1750.0000000000002</v>
      </c>
      <c r="K771" s="44">
        <f t="shared" si="80"/>
        <v>4.794520547945206</v>
      </c>
      <c r="L771" s="3">
        <f t="shared" si="81"/>
        <v>354.79452054794524</v>
      </c>
      <c r="M771" s="3">
        <f t="shared" si="82"/>
        <v>21.287671232876715</v>
      </c>
      <c r="N771" s="67">
        <f t="shared" si="83"/>
        <v>333.50684931506851</v>
      </c>
      <c r="O771" s="3"/>
      <c r="P771" s="70" t="s">
        <v>18612</v>
      </c>
      <c r="Q771" s="2" t="s">
        <v>103</v>
      </c>
      <c r="R771" s="2" t="s">
        <v>15202</v>
      </c>
      <c r="T771" t="s">
        <v>18666</v>
      </c>
      <c r="U771" t="s">
        <v>18652</v>
      </c>
      <c r="V771" s="104">
        <v>45857</v>
      </c>
      <c r="X771" s="97"/>
      <c r="Y771" s="75">
        <v>333.51</v>
      </c>
    </row>
    <row r="772" spans="1:25" x14ac:dyDescent="0.25">
      <c r="A772" s="76">
        <v>803</v>
      </c>
      <c r="B772" s="2" t="s">
        <v>11231</v>
      </c>
      <c r="C772" s="2" t="s">
        <v>11232</v>
      </c>
      <c r="D772" s="2" t="s">
        <v>11233</v>
      </c>
      <c r="E772" s="2" t="s">
        <v>11234</v>
      </c>
      <c r="F772" s="2" t="s">
        <v>11235</v>
      </c>
      <c r="G772" s="2" t="s">
        <v>328</v>
      </c>
      <c r="H772" s="17">
        <v>37</v>
      </c>
      <c r="I772" s="31">
        <f t="shared" si="78"/>
        <v>37000</v>
      </c>
      <c r="J772" s="31">
        <f t="shared" si="79"/>
        <v>2590.0000000000005</v>
      </c>
      <c r="K772" s="44">
        <f t="shared" si="80"/>
        <v>7.0958904109589049</v>
      </c>
      <c r="L772" s="3">
        <f t="shared" si="81"/>
        <v>525.09589041095899</v>
      </c>
      <c r="M772" s="3">
        <f t="shared" si="82"/>
        <v>31.505753424657538</v>
      </c>
      <c r="N772" s="67">
        <f t="shared" si="83"/>
        <v>493.59013698630145</v>
      </c>
      <c r="O772" s="3"/>
      <c r="P772" s="70" t="s">
        <v>18612</v>
      </c>
      <c r="Q772" s="2" t="s">
        <v>103</v>
      </c>
      <c r="R772" s="2" t="s">
        <v>11236</v>
      </c>
      <c r="T772" t="s">
        <v>18666</v>
      </c>
      <c r="U772" t="s">
        <v>18652</v>
      </c>
      <c r="V772" s="104">
        <v>45857</v>
      </c>
      <c r="X772" s="97"/>
      <c r="Y772" s="75">
        <v>493.59999999999997</v>
      </c>
    </row>
    <row r="773" spans="1:25" x14ac:dyDescent="0.25">
      <c r="A773" s="76">
        <v>804</v>
      </c>
      <c r="B773" s="2" t="s">
        <v>3289</v>
      </c>
      <c r="C773" s="2" t="s">
        <v>3290</v>
      </c>
      <c r="D773" s="2" t="s">
        <v>3291</v>
      </c>
      <c r="E773" s="2" t="s">
        <v>3292</v>
      </c>
      <c r="F773" s="2" t="s">
        <v>3293</v>
      </c>
      <c r="G773" s="2" t="s">
        <v>282</v>
      </c>
      <c r="H773" s="17">
        <v>25</v>
      </c>
      <c r="I773" s="31">
        <f t="shared" si="78"/>
        <v>25000</v>
      </c>
      <c r="J773" s="31">
        <f t="shared" si="79"/>
        <v>1750.0000000000002</v>
      </c>
      <c r="K773" s="44">
        <f t="shared" si="80"/>
        <v>4.794520547945206</v>
      </c>
      <c r="L773" s="3">
        <f t="shared" si="81"/>
        <v>354.79452054794524</v>
      </c>
      <c r="M773" s="3">
        <f t="shared" si="82"/>
        <v>21.287671232876715</v>
      </c>
      <c r="N773" s="67">
        <f t="shared" si="83"/>
        <v>333.50684931506851</v>
      </c>
      <c r="O773" s="3"/>
      <c r="P773" s="70" t="s">
        <v>18612</v>
      </c>
      <c r="Q773" s="2" t="s">
        <v>103</v>
      </c>
      <c r="R773" s="2" t="s">
        <v>3294</v>
      </c>
      <c r="T773" t="s">
        <v>18666</v>
      </c>
      <c r="U773" t="s">
        <v>18652</v>
      </c>
      <c r="V773" s="104">
        <v>45857</v>
      </c>
      <c r="X773" s="97"/>
      <c r="Y773" s="75">
        <v>333.51</v>
      </c>
    </row>
    <row r="774" spans="1:25" x14ac:dyDescent="0.25">
      <c r="A774" s="76">
        <v>805</v>
      </c>
      <c r="B774" s="2" t="s">
        <v>1565</v>
      </c>
      <c r="C774" s="2" t="s">
        <v>1566</v>
      </c>
      <c r="D774" s="2" t="s">
        <v>1567</v>
      </c>
      <c r="E774" s="2" t="s">
        <v>1568</v>
      </c>
      <c r="F774" s="2" t="s">
        <v>1569</v>
      </c>
      <c r="G774" s="2" t="s">
        <v>1570</v>
      </c>
      <c r="H774" s="17">
        <v>25</v>
      </c>
      <c r="I774" s="31">
        <f t="shared" si="78"/>
        <v>25000</v>
      </c>
      <c r="J774" s="31">
        <f t="shared" si="79"/>
        <v>1750.0000000000002</v>
      </c>
      <c r="K774" s="44">
        <f t="shared" si="80"/>
        <v>4.794520547945206</v>
      </c>
      <c r="L774" s="3">
        <f t="shared" si="81"/>
        <v>354.79452054794524</v>
      </c>
      <c r="M774" s="3">
        <f t="shared" si="82"/>
        <v>21.287671232876715</v>
      </c>
      <c r="N774" s="67">
        <f t="shared" si="83"/>
        <v>333.50684931506851</v>
      </c>
      <c r="O774" s="3"/>
      <c r="P774" s="70" t="s">
        <v>18612</v>
      </c>
      <c r="Q774" s="2" t="s">
        <v>103</v>
      </c>
      <c r="R774" s="2" t="s">
        <v>1571</v>
      </c>
      <c r="T774" t="s">
        <v>18666</v>
      </c>
      <c r="U774" t="s">
        <v>18652</v>
      </c>
      <c r="V774" s="104">
        <v>45857</v>
      </c>
      <c r="X774" s="97"/>
      <c r="Y774" s="75">
        <v>333.51</v>
      </c>
    </row>
    <row r="775" spans="1:25" x14ac:dyDescent="0.25">
      <c r="A775" s="76">
        <v>806</v>
      </c>
      <c r="B775" s="2" t="s">
        <v>16827</v>
      </c>
      <c r="C775" s="2" t="s">
        <v>16828</v>
      </c>
      <c r="D775" s="2" t="s">
        <v>16829</v>
      </c>
      <c r="E775" s="2" t="s">
        <v>16830</v>
      </c>
      <c r="F775" s="2" t="s">
        <v>16831</v>
      </c>
      <c r="G775" s="2" t="s">
        <v>23</v>
      </c>
      <c r="H775" s="17">
        <v>25</v>
      </c>
      <c r="I775" s="31">
        <f t="shared" si="78"/>
        <v>25000</v>
      </c>
      <c r="J775" s="31">
        <f t="shared" si="79"/>
        <v>1750.0000000000002</v>
      </c>
      <c r="K775" s="44">
        <f t="shared" si="80"/>
        <v>4.794520547945206</v>
      </c>
      <c r="L775" s="3">
        <f t="shared" si="81"/>
        <v>354.79452054794524</v>
      </c>
      <c r="M775" s="3">
        <f t="shared" si="82"/>
        <v>21.287671232876715</v>
      </c>
      <c r="N775" s="67">
        <f t="shared" si="83"/>
        <v>333.50684931506851</v>
      </c>
      <c r="O775" s="3"/>
      <c r="P775" s="70" t="s">
        <v>18612</v>
      </c>
      <c r="Q775" s="2" t="s">
        <v>103</v>
      </c>
      <c r="R775" s="2" t="s">
        <v>16832</v>
      </c>
      <c r="T775" t="s">
        <v>18666</v>
      </c>
      <c r="U775" t="s">
        <v>18652</v>
      </c>
      <c r="V775" s="104">
        <v>45857</v>
      </c>
      <c r="X775" s="97"/>
      <c r="Y775" s="75">
        <v>333.51</v>
      </c>
    </row>
    <row r="776" spans="1:25" x14ac:dyDescent="0.25">
      <c r="A776" s="76">
        <v>807</v>
      </c>
      <c r="B776" s="2" t="s">
        <v>1438</v>
      </c>
      <c r="C776" s="2" t="s">
        <v>1439</v>
      </c>
      <c r="D776" s="2" t="s">
        <v>1440</v>
      </c>
      <c r="E776" s="2" t="s">
        <v>1441</v>
      </c>
      <c r="F776" s="2" t="s">
        <v>1442</v>
      </c>
      <c r="G776" s="2" t="s">
        <v>381</v>
      </c>
      <c r="H776" s="17">
        <v>50</v>
      </c>
      <c r="I776" s="31">
        <f t="shared" si="78"/>
        <v>50000</v>
      </c>
      <c r="J776" s="31">
        <f t="shared" si="79"/>
        <v>3500.0000000000005</v>
      </c>
      <c r="K776" s="44">
        <f t="shared" si="80"/>
        <v>9.589041095890412</v>
      </c>
      <c r="L776" s="3">
        <f t="shared" si="81"/>
        <v>709.58904109589048</v>
      </c>
      <c r="M776" s="3">
        <f t="shared" si="82"/>
        <v>42.57534246575343</v>
      </c>
      <c r="N776" s="67">
        <f t="shared" si="83"/>
        <v>667.01369863013701</v>
      </c>
      <c r="O776" s="3"/>
      <c r="P776" s="70" t="s">
        <v>18612</v>
      </c>
      <c r="Q776" s="2" t="s">
        <v>103</v>
      </c>
      <c r="R776" s="2" t="s">
        <v>1443</v>
      </c>
      <c r="T776" t="s">
        <v>18666</v>
      </c>
      <c r="U776" t="s">
        <v>18652</v>
      </c>
      <c r="V776" s="104">
        <v>45857</v>
      </c>
      <c r="X776" s="97"/>
      <c r="Y776" s="75">
        <v>667.02</v>
      </c>
    </row>
    <row r="777" spans="1:25" x14ac:dyDescent="0.25">
      <c r="A777" s="76">
        <v>808</v>
      </c>
      <c r="B777" s="2" t="s">
        <v>1419</v>
      </c>
      <c r="C777" s="2" t="s">
        <v>1420</v>
      </c>
      <c r="D777" s="2" t="s">
        <v>1421</v>
      </c>
      <c r="E777" s="2" t="s">
        <v>1422</v>
      </c>
      <c r="F777" s="2" t="s">
        <v>1423</v>
      </c>
      <c r="G777" s="2" t="s">
        <v>1424</v>
      </c>
      <c r="H777" s="17">
        <v>25</v>
      </c>
      <c r="I777" s="31">
        <f t="shared" si="78"/>
        <v>25000</v>
      </c>
      <c r="J777" s="31">
        <f t="shared" si="79"/>
        <v>1750.0000000000002</v>
      </c>
      <c r="K777" s="44">
        <f t="shared" si="80"/>
        <v>4.794520547945206</v>
      </c>
      <c r="L777" s="3">
        <f t="shared" si="81"/>
        <v>354.79452054794524</v>
      </c>
      <c r="M777" s="3">
        <f t="shared" si="82"/>
        <v>21.287671232876715</v>
      </c>
      <c r="N777" s="67">
        <f t="shared" si="83"/>
        <v>333.50684931506851</v>
      </c>
      <c r="O777" s="3"/>
      <c r="P777" s="70" t="s">
        <v>18612</v>
      </c>
      <c r="Q777" s="2" t="s">
        <v>103</v>
      </c>
      <c r="R777" s="2" t="s">
        <v>1425</v>
      </c>
      <c r="T777" t="s">
        <v>18666</v>
      </c>
      <c r="U777" t="s">
        <v>18652</v>
      </c>
      <c r="V777" s="104">
        <v>45857</v>
      </c>
      <c r="X777" s="97"/>
      <c r="Y777" s="75">
        <v>333.51</v>
      </c>
    </row>
    <row r="778" spans="1:25" x14ac:dyDescent="0.25">
      <c r="A778" s="76">
        <v>809</v>
      </c>
      <c r="B778" s="2" t="s">
        <v>13541</v>
      </c>
      <c r="C778" s="2" t="s">
        <v>13542</v>
      </c>
      <c r="D778" s="2" t="s">
        <v>13543</v>
      </c>
      <c r="E778" s="2" t="s">
        <v>13544</v>
      </c>
      <c r="F778" s="2" t="s">
        <v>13545</v>
      </c>
      <c r="G778" s="2" t="s">
        <v>275</v>
      </c>
      <c r="H778" s="17">
        <v>25</v>
      </c>
      <c r="I778" s="31">
        <f t="shared" si="78"/>
        <v>25000</v>
      </c>
      <c r="J778" s="31">
        <f t="shared" si="79"/>
        <v>1750.0000000000002</v>
      </c>
      <c r="K778" s="44">
        <f t="shared" si="80"/>
        <v>4.794520547945206</v>
      </c>
      <c r="L778" s="3">
        <f t="shared" si="81"/>
        <v>354.79452054794524</v>
      </c>
      <c r="M778" s="3">
        <f t="shared" si="82"/>
        <v>21.287671232876715</v>
      </c>
      <c r="N778" s="67">
        <f t="shared" si="83"/>
        <v>333.50684931506851</v>
      </c>
      <c r="O778" s="3"/>
      <c r="P778" s="70" t="s">
        <v>18612</v>
      </c>
      <c r="Q778" s="2" t="s">
        <v>103</v>
      </c>
      <c r="R778" s="2" t="s">
        <v>13546</v>
      </c>
      <c r="T778" t="s">
        <v>18666</v>
      </c>
      <c r="U778" t="s">
        <v>18652</v>
      </c>
      <c r="V778" s="104">
        <v>45857</v>
      </c>
      <c r="X778" s="97"/>
      <c r="Y778" s="75">
        <v>333.51</v>
      </c>
    </row>
    <row r="779" spans="1:25" x14ac:dyDescent="0.25">
      <c r="A779" s="76">
        <v>810</v>
      </c>
      <c r="B779" s="2" t="s">
        <v>3512</v>
      </c>
      <c r="C779" s="2" t="s">
        <v>3513</v>
      </c>
      <c r="D779" s="2" t="s">
        <v>3514</v>
      </c>
      <c r="E779" s="2" t="s">
        <v>3515</v>
      </c>
      <c r="F779" s="2" t="s">
        <v>3516</v>
      </c>
      <c r="G779" s="2" t="s">
        <v>144</v>
      </c>
      <c r="H779" s="17">
        <v>25</v>
      </c>
      <c r="I779" s="31">
        <f t="shared" si="78"/>
        <v>25000</v>
      </c>
      <c r="J779" s="31">
        <f t="shared" si="79"/>
        <v>1750.0000000000002</v>
      </c>
      <c r="K779" s="44">
        <f t="shared" si="80"/>
        <v>4.794520547945206</v>
      </c>
      <c r="L779" s="3">
        <f t="shared" si="81"/>
        <v>354.79452054794524</v>
      </c>
      <c r="M779" s="3">
        <f t="shared" si="82"/>
        <v>21.287671232876715</v>
      </c>
      <c r="N779" s="67">
        <f t="shared" si="83"/>
        <v>333.50684931506851</v>
      </c>
      <c r="O779" s="3"/>
      <c r="P779" s="70" t="s">
        <v>18612</v>
      </c>
      <c r="Q779" s="2" t="s">
        <v>103</v>
      </c>
      <c r="R779" s="2" t="s">
        <v>3517</v>
      </c>
      <c r="T779" t="s">
        <v>18666</v>
      </c>
      <c r="U779" t="s">
        <v>18652</v>
      </c>
      <c r="V779" s="104">
        <v>45857</v>
      </c>
      <c r="X779" s="97"/>
      <c r="Y779" s="75">
        <v>333.51</v>
      </c>
    </row>
    <row r="780" spans="1:25" x14ac:dyDescent="0.25">
      <c r="A780" s="76">
        <v>811</v>
      </c>
      <c r="B780" s="2" t="s">
        <v>7725</v>
      </c>
      <c r="C780" s="2" t="s">
        <v>7726</v>
      </c>
      <c r="D780" s="2" t="s">
        <v>7727</v>
      </c>
      <c r="E780" s="2" t="s">
        <v>7728</v>
      </c>
      <c r="F780" s="2" t="s">
        <v>7729</v>
      </c>
      <c r="G780" s="2" t="s">
        <v>151</v>
      </c>
      <c r="H780" s="17">
        <v>25</v>
      </c>
      <c r="I780" s="31">
        <f t="shared" si="78"/>
        <v>25000</v>
      </c>
      <c r="J780" s="31">
        <f t="shared" si="79"/>
        <v>1750.0000000000002</v>
      </c>
      <c r="K780" s="44">
        <f t="shared" si="80"/>
        <v>4.794520547945206</v>
      </c>
      <c r="L780" s="3">
        <f t="shared" si="81"/>
        <v>354.79452054794524</v>
      </c>
      <c r="M780" s="3">
        <f t="shared" si="82"/>
        <v>21.287671232876715</v>
      </c>
      <c r="N780" s="67">
        <f t="shared" si="83"/>
        <v>333.50684931506851</v>
      </c>
      <c r="O780" s="3"/>
      <c r="P780" s="70" t="s">
        <v>18612</v>
      </c>
      <c r="Q780" s="2" t="s">
        <v>103</v>
      </c>
      <c r="R780" s="2" t="s">
        <v>7730</v>
      </c>
      <c r="T780" t="s">
        <v>18666</v>
      </c>
      <c r="U780" t="s">
        <v>18652</v>
      </c>
      <c r="V780" s="104">
        <v>45857</v>
      </c>
      <c r="X780" s="97"/>
      <c r="Y780" s="75">
        <v>333.51</v>
      </c>
    </row>
    <row r="781" spans="1:25" x14ac:dyDescent="0.25">
      <c r="A781" s="76">
        <v>812</v>
      </c>
      <c r="B781" s="2" t="s">
        <v>9623</v>
      </c>
      <c r="C781" s="2" t="s">
        <v>9624</v>
      </c>
      <c r="D781" s="2" t="s">
        <v>9625</v>
      </c>
      <c r="E781" s="2" t="s">
        <v>9626</v>
      </c>
      <c r="F781" s="2" t="s">
        <v>9627</v>
      </c>
      <c r="G781" s="2" t="s">
        <v>240</v>
      </c>
      <c r="H781" s="17">
        <v>25</v>
      </c>
      <c r="I781" s="31">
        <f t="shared" si="78"/>
        <v>25000</v>
      </c>
      <c r="J781" s="31">
        <f t="shared" si="79"/>
        <v>1750.0000000000002</v>
      </c>
      <c r="K781" s="44">
        <f t="shared" si="80"/>
        <v>4.794520547945206</v>
      </c>
      <c r="L781" s="3">
        <f t="shared" si="81"/>
        <v>354.79452054794524</v>
      </c>
      <c r="M781" s="3">
        <f t="shared" si="82"/>
        <v>21.287671232876715</v>
      </c>
      <c r="N781" s="67">
        <f t="shared" si="83"/>
        <v>333.50684931506851</v>
      </c>
      <c r="O781" s="3"/>
      <c r="P781" s="70" t="s">
        <v>18612</v>
      </c>
      <c r="Q781" s="2" t="s">
        <v>103</v>
      </c>
      <c r="R781" s="2" t="s">
        <v>9628</v>
      </c>
      <c r="T781" t="s">
        <v>18666</v>
      </c>
      <c r="U781" t="s">
        <v>18652</v>
      </c>
      <c r="V781" s="104">
        <v>45857</v>
      </c>
      <c r="X781" s="97"/>
      <c r="Y781" s="75">
        <v>333.51</v>
      </c>
    </row>
    <row r="782" spans="1:25" x14ac:dyDescent="0.25">
      <c r="A782" s="76">
        <v>813</v>
      </c>
      <c r="B782" s="2" t="s">
        <v>14823</v>
      </c>
      <c r="C782" s="2" t="s">
        <v>14824</v>
      </c>
      <c r="D782" s="2" t="s">
        <v>14825</v>
      </c>
      <c r="E782" s="2" t="s">
        <v>14826</v>
      </c>
      <c r="F782" s="2" t="s">
        <v>14827</v>
      </c>
      <c r="G782" s="2" t="s">
        <v>1136</v>
      </c>
      <c r="H782" s="17">
        <v>25</v>
      </c>
      <c r="I782" s="31">
        <f t="shared" si="78"/>
        <v>25000</v>
      </c>
      <c r="J782" s="31">
        <f t="shared" si="79"/>
        <v>1750.0000000000002</v>
      </c>
      <c r="K782" s="44">
        <f t="shared" si="80"/>
        <v>4.794520547945206</v>
      </c>
      <c r="L782" s="3">
        <f t="shared" si="81"/>
        <v>354.79452054794524</v>
      </c>
      <c r="M782" s="3">
        <f t="shared" si="82"/>
        <v>21.287671232876715</v>
      </c>
      <c r="N782" s="67">
        <f t="shared" si="83"/>
        <v>333.50684931506851</v>
      </c>
      <c r="O782" s="3"/>
      <c r="P782" s="70" t="s">
        <v>18612</v>
      </c>
      <c r="Q782" s="2" t="s">
        <v>103</v>
      </c>
      <c r="R782" s="2" t="s">
        <v>14828</v>
      </c>
      <c r="T782" t="s">
        <v>18666</v>
      </c>
      <c r="U782" t="s">
        <v>18652</v>
      </c>
      <c r="V782" s="104">
        <v>45857</v>
      </c>
      <c r="X782" s="97"/>
      <c r="Y782" s="75">
        <v>333.51</v>
      </c>
    </row>
    <row r="783" spans="1:25" x14ac:dyDescent="0.25">
      <c r="A783" s="76">
        <v>814</v>
      </c>
      <c r="B783" s="2" t="s">
        <v>15624</v>
      </c>
      <c r="C783" s="2" t="s">
        <v>15625</v>
      </c>
      <c r="D783" s="2" t="s">
        <v>15626</v>
      </c>
      <c r="E783" s="2" t="s">
        <v>15627</v>
      </c>
      <c r="F783" s="2" t="s">
        <v>15628</v>
      </c>
      <c r="G783" s="2" t="s">
        <v>2680</v>
      </c>
      <c r="H783" s="17">
        <v>25</v>
      </c>
      <c r="I783" s="31">
        <f t="shared" si="78"/>
        <v>25000</v>
      </c>
      <c r="J783" s="31">
        <f t="shared" si="79"/>
        <v>1750.0000000000002</v>
      </c>
      <c r="K783" s="44">
        <f t="shared" si="80"/>
        <v>4.794520547945206</v>
      </c>
      <c r="L783" s="3">
        <f t="shared" si="81"/>
        <v>354.79452054794524</v>
      </c>
      <c r="M783" s="3">
        <f t="shared" si="82"/>
        <v>21.287671232876715</v>
      </c>
      <c r="N783" s="67">
        <f t="shared" si="83"/>
        <v>333.50684931506851</v>
      </c>
      <c r="O783" s="3"/>
      <c r="P783" s="70" t="s">
        <v>18612</v>
      </c>
      <c r="Q783" s="2" t="s">
        <v>103</v>
      </c>
      <c r="R783" s="2" t="s">
        <v>15629</v>
      </c>
      <c r="T783" t="s">
        <v>18666</v>
      </c>
      <c r="U783" t="s">
        <v>18652</v>
      </c>
      <c r="V783" s="104">
        <v>45857</v>
      </c>
      <c r="X783" s="97"/>
      <c r="Y783" s="75">
        <v>333.51</v>
      </c>
    </row>
    <row r="784" spans="1:25" x14ac:dyDescent="0.25">
      <c r="A784" s="76">
        <v>815</v>
      </c>
      <c r="B784" s="2" t="s">
        <v>15302</v>
      </c>
      <c r="C784" s="2" t="s">
        <v>15303</v>
      </c>
      <c r="D784" s="2" t="s">
        <v>15304</v>
      </c>
      <c r="E784" s="2" t="s">
        <v>15305</v>
      </c>
      <c r="F784" s="2" t="s">
        <v>15306</v>
      </c>
      <c r="G784" s="2" t="s">
        <v>39</v>
      </c>
      <c r="H784" s="17">
        <v>25</v>
      </c>
      <c r="I784" s="31">
        <f t="shared" si="78"/>
        <v>25000</v>
      </c>
      <c r="J784" s="31">
        <f t="shared" si="79"/>
        <v>1750.0000000000002</v>
      </c>
      <c r="K784" s="44">
        <f t="shared" si="80"/>
        <v>4.794520547945206</v>
      </c>
      <c r="L784" s="3">
        <f t="shared" si="81"/>
        <v>354.79452054794524</v>
      </c>
      <c r="M784" s="3">
        <f t="shared" si="82"/>
        <v>21.287671232876715</v>
      </c>
      <c r="N784" s="67">
        <f t="shared" si="83"/>
        <v>333.50684931506851</v>
      </c>
      <c r="O784" s="3"/>
      <c r="P784" s="70" t="s">
        <v>18612</v>
      </c>
      <c r="Q784" s="2" t="s">
        <v>103</v>
      </c>
      <c r="R784" s="2" t="s">
        <v>15307</v>
      </c>
      <c r="T784" t="s">
        <v>18666</v>
      </c>
      <c r="U784" t="s">
        <v>18652</v>
      </c>
      <c r="V784" s="104">
        <v>45857</v>
      </c>
      <c r="X784" s="97"/>
      <c r="Y784" s="75">
        <v>333.51</v>
      </c>
    </row>
    <row r="785" spans="1:25" x14ac:dyDescent="0.25">
      <c r="A785" s="76">
        <v>816</v>
      </c>
      <c r="B785" s="2" t="s">
        <v>3063</v>
      </c>
      <c r="C785" s="2" t="s">
        <v>3064</v>
      </c>
      <c r="D785" s="2" t="s">
        <v>3065</v>
      </c>
      <c r="E785" s="2" t="s">
        <v>3066</v>
      </c>
      <c r="F785" s="2" t="s">
        <v>3067</v>
      </c>
      <c r="G785" s="2" t="s">
        <v>599</v>
      </c>
      <c r="H785" s="17">
        <v>25</v>
      </c>
      <c r="I785" s="31">
        <f t="shared" si="78"/>
        <v>25000</v>
      </c>
      <c r="J785" s="31">
        <f t="shared" si="79"/>
        <v>1750.0000000000002</v>
      </c>
      <c r="K785" s="44">
        <f t="shared" si="80"/>
        <v>4.794520547945206</v>
      </c>
      <c r="L785" s="3">
        <f t="shared" si="81"/>
        <v>354.79452054794524</v>
      </c>
      <c r="M785" s="3">
        <f t="shared" si="82"/>
        <v>21.287671232876715</v>
      </c>
      <c r="N785" s="67">
        <f t="shared" si="83"/>
        <v>333.50684931506851</v>
      </c>
      <c r="O785" s="3"/>
      <c r="P785" s="70" t="s">
        <v>18612</v>
      </c>
      <c r="Q785" s="2" t="s">
        <v>103</v>
      </c>
      <c r="R785" s="2" t="s">
        <v>3068</v>
      </c>
      <c r="T785" t="s">
        <v>18666</v>
      </c>
      <c r="U785" t="s">
        <v>18652</v>
      </c>
      <c r="V785" s="104">
        <v>45857</v>
      </c>
      <c r="X785" s="97"/>
      <c r="Y785" s="75">
        <v>333.51</v>
      </c>
    </row>
    <row r="786" spans="1:25" x14ac:dyDescent="0.25">
      <c r="A786" s="76">
        <v>817</v>
      </c>
      <c r="B786" s="2" t="s">
        <v>14577</v>
      </c>
      <c r="C786" s="2" t="s">
        <v>14578</v>
      </c>
      <c r="D786" s="2" t="s">
        <v>14579</v>
      </c>
      <c r="E786" s="2" t="s">
        <v>14580</v>
      </c>
      <c r="F786" s="2" t="s">
        <v>14581</v>
      </c>
      <c r="G786" s="2" t="s">
        <v>247</v>
      </c>
      <c r="H786" s="17">
        <v>30</v>
      </c>
      <c r="I786" s="31">
        <f t="shared" ref="I786:I849" si="84">H786*1000</f>
        <v>30000</v>
      </c>
      <c r="J786" s="31">
        <f t="shared" ref="J786:J849" si="85">I786*7%</f>
        <v>2100</v>
      </c>
      <c r="K786" s="44">
        <f t="shared" ref="K786:K849" si="86">J786/365</f>
        <v>5.7534246575342465</v>
      </c>
      <c r="L786" s="3">
        <f t="shared" ref="L786:L849" si="87">K786*74</f>
        <v>425.75342465753425</v>
      </c>
      <c r="M786" s="3">
        <f t="shared" ref="M786:M849" si="88">L786*6%</f>
        <v>25.545205479452054</v>
      </c>
      <c r="N786" s="67">
        <f t="shared" ref="N786:N849" si="89">L786-M786</f>
        <v>400.20821917808217</v>
      </c>
      <c r="O786" s="3"/>
      <c r="P786" s="70" t="s">
        <v>18612</v>
      </c>
      <c r="Q786" s="2" t="s">
        <v>103</v>
      </c>
      <c r="R786" s="2" t="s">
        <v>14582</v>
      </c>
      <c r="T786" t="s">
        <v>18666</v>
      </c>
      <c r="U786" t="s">
        <v>18652</v>
      </c>
      <c r="V786" s="104">
        <v>45857</v>
      </c>
      <c r="X786" s="97"/>
      <c r="Y786" s="75">
        <v>400.21</v>
      </c>
    </row>
    <row r="787" spans="1:25" x14ac:dyDescent="0.25">
      <c r="A787" s="76">
        <v>818</v>
      </c>
      <c r="B787" s="2" t="s">
        <v>12158</v>
      </c>
      <c r="C787" s="2" t="s">
        <v>12159</v>
      </c>
      <c r="D787" s="2" t="s">
        <v>12160</v>
      </c>
      <c r="E787" s="2" t="s">
        <v>12161</v>
      </c>
      <c r="F787" s="2" t="s">
        <v>12162</v>
      </c>
      <c r="G787" s="2" t="s">
        <v>186</v>
      </c>
      <c r="H787" s="17">
        <v>25</v>
      </c>
      <c r="I787" s="31">
        <f t="shared" si="84"/>
        <v>25000</v>
      </c>
      <c r="J787" s="31">
        <f t="shared" si="85"/>
        <v>1750.0000000000002</v>
      </c>
      <c r="K787" s="44">
        <f t="shared" si="86"/>
        <v>4.794520547945206</v>
      </c>
      <c r="L787" s="3">
        <f t="shared" si="87"/>
        <v>354.79452054794524</v>
      </c>
      <c r="M787" s="3">
        <f t="shared" si="88"/>
        <v>21.287671232876715</v>
      </c>
      <c r="N787" s="67">
        <f t="shared" si="89"/>
        <v>333.50684931506851</v>
      </c>
      <c r="O787" s="3"/>
      <c r="P787" s="70" t="s">
        <v>18612</v>
      </c>
      <c r="Q787" s="2" t="s">
        <v>103</v>
      </c>
      <c r="R787" s="2" t="s">
        <v>12163</v>
      </c>
      <c r="T787" t="s">
        <v>18666</v>
      </c>
      <c r="U787" t="s">
        <v>18652</v>
      </c>
      <c r="V787" s="104">
        <v>45857</v>
      </c>
      <c r="X787" s="97"/>
      <c r="Y787" s="75">
        <v>333.51</v>
      </c>
    </row>
    <row r="788" spans="1:25" x14ac:dyDescent="0.25">
      <c r="A788" s="76">
        <v>819</v>
      </c>
      <c r="B788" s="2" t="s">
        <v>3033</v>
      </c>
      <c r="C788" s="2" t="s">
        <v>3034</v>
      </c>
      <c r="D788" s="2" t="s">
        <v>3035</v>
      </c>
      <c r="E788" s="2" t="s">
        <v>3036</v>
      </c>
      <c r="F788" s="2" t="s">
        <v>3037</v>
      </c>
      <c r="G788" s="2" t="s">
        <v>580</v>
      </c>
      <c r="H788" s="17">
        <v>25</v>
      </c>
      <c r="I788" s="31">
        <f t="shared" si="84"/>
        <v>25000</v>
      </c>
      <c r="J788" s="31">
        <f t="shared" si="85"/>
        <v>1750.0000000000002</v>
      </c>
      <c r="K788" s="44">
        <f t="shared" si="86"/>
        <v>4.794520547945206</v>
      </c>
      <c r="L788" s="3">
        <f t="shared" si="87"/>
        <v>354.79452054794524</v>
      </c>
      <c r="M788" s="3">
        <f t="shared" si="88"/>
        <v>21.287671232876715</v>
      </c>
      <c r="N788" s="67">
        <f t="shared" si="89"/>
        <v>333.50684931506851</v>
      </c>
      <c r="O788" s="3"/>
      <c r="P788" s="70" t="s">
        <v>18612</v>
      </c>
      <c r="Q788" s="2" t="s">
        <v>103</v>
      </c>
      <c r="R788" s="2" t="s">
        <v>3038</v>
      </c>
      <c r="T788" t="s">
        <v>18666</v>
      </c>
      <c r="U788" t="s">
        <v>18652</v>
      </c>
      <c r="V788" s="104">
        <v>45857</v>
      </c>
      <c r="X788" s="97"/>
      <c r="Y788" s="75">
        <v>333.51</v>
      </c>
    </row>
    <row r="789" spans="1:25" x14ac:dyDescent="0.25">
      <c r="A789" s="76">
        <v>820</v>
      </c>
      <c r="B789" s="2" t="s">
        <v>4286</v>
      </c>
      <c r="C789" s="2" t="s">
        <v>4287</v>
      </c>
      <c r="D789" s="2" t="s">
        <v>4288</v>
      </c>
      <c r="E789" s="2" t="s">
        <v>4289</v>
      </c>
      <c r="F789" s="2" t="s">
        <v>4290</v>
      </c>
      <c r="G789" s="2" t="s">
        <v>233</v>
      </c>
      <c r="H789" s="17">
        <v>25</v>
      </c>
      <c r="I789" s="31">
        <f t="shared" si="84"/>
        <v>25000</v>
      </c>
      <c r="J789" s="31">
        <f t="shared" si="85"/>
        <v>1750.0000000000002</v>
      </c>
      <c r="K789" s="44">
        <f t="shared" si="86"/>
        <v>4.794520547945206</v>
      </c>
      <c r="L789" s="3">
        <f t="shared" si="87"/>
        <v>354.79452054794524</v>
      </c>
      <c r="M789" s="3">
        <f t="shared" si="88"/>
        <v>21.287671232876715</v>
      </c>
      <c r="N789" s="67">
        <f t="shared" si="89"/>
        <v>333.50684931506851</v>
      </c>
      <c r="O789" s="3"/>
      <c r="P789" s="70" t="s">
        <v>18612</v>
      </c>
      <c r="Q789" s="2" t="s">
        <v>103</v>
      </c>
      <c r="R789" s="2" t="s">
        <v>4291</v>
      </c>
      <c r="T789" t="s">
        <v>18666</v>
      </c>
      <c r="U789" t="s">
        <v>18652</v>
      </c>
      <c r="V789" s="104">
        <v>45857</v>
      </c>
      <c r="X789" s="97"/>
      <c r="Y789" s="75">
        <v>333.51</v>
      </c>
    </row>
    <row r="790" spans="1:25" x14ac:dyDescent="0.25">
      <c r="A790" s="76">
        <v>821</v>
      </c>
      <c r="B790" s="2" t="s">
        <v>14059</v>
      </c>
      <c r="C790" s="2" t="s">
        <v>14060</v>
      </c>
      <c r="D790" s="2" t="s">
        <v>14061</v>
      </c>
      <c r="E790" s="2" t="s">
        <v>14062</v>
      </c>
      <c r="F790" s="2" t="s">
        <v>14063</v>
      </c>
      <c r="G790" s="2" t="s">
        <v>247</v>
      </c>
      <c r="H790" s="17">
        <v>100</v>
      </c>
      <c r="I790" s="31">
        <f t="shared" si="84"/>
        <v>100000</v>
      </c>
      <c r="J790" s="31">
        <f t="shared" si="85"/>
        <v>7000.0000000000009</v>
      </c>
      <c r="K790" s="44">
        <f t="shared" si="86"/>
        <v>19.178082191780824</v>
      </c>
      <c r="L790" s="3">
        <f t="shared" si="87"/>
        <v>1419.178082191781</v>
      </c>
      <c r="M790" s="3">
        <f t="shared" si="88"/>
        <v>85.150684931506859</v>
      </c>
      <c r="N790" s="67">
        <f t="shared" si="89"/>
        <v>1334.027397260274</v>
      </c>
      <c r="O790" s="3"/>
      <c r="P790" s="70" t="s">
        <v>18612</v>
      </c>
      <c r="Q790" s="2" t="s">
        <v>103</v>
      </c>
      <c r="R790" s="2" t="s">
        <v>14064</v>
      </c>
      <c r="T790" t="s">
        <v>18666</v>
      </c>
      <c r="U790" t="s">
        <v>18652</v>
      </c>
      <c r="V790" s="104">
        <v>45857</v>
      </c>
      <c r="X790" s="97"/>
      <c r="Y790" s="75">
        <v>1334.03</v>
      </c>
    </row>
    <row r="791" spans="1:25" x14ac:dyDescent="0.25">
      <c r="A791" s="76">
        <v>822</v>
      </c>
      <c r="B791" s="2" t="s">
        <v>12387</v>
      </c>
      <c r="C791" s="2" t="s">
        <v>12388</v>
      </c>
      <c r="D791" s="2" t="s">
        <v>12389</v>
      </c>
      <c r="E791" s="2" t="s">
        <v>12390</v>
      </c>
      <c r="F791" s="2" t="s">
        <v>12391</v>
      </c>
      <c r="G791" s="2" t="s">
        <v>226</v>
      </c>
      <c r="H791" s="17">
        <v>25</v>
      </c>
      <c r="I791" s="31">
        <f t="shared" si="84"/>
        <v>25000</v>
      </c>
      <c r="J791" s="31">
        <f t="shared" si="85"/>
        <v>1750.0000000000002</v>
      </c>
      <c r="K791" s="44">
        <f t="shared" si="86"/>
        <v>4.794520547945206</v>
      </c>
      <c r="L791" s="3">
        <f t="shared" si="87"/>
        <v>354.79452054794524</v>
      </c>
      <c r="M791" s="3">
        <f t="shared" si="88"/>
        <v>21.287671232876715</v>
      </c>
      <c r="N791" s="67">
        <f t="shared" si="89"/>
        <v>333.50684931506851</v>
      </c>
      <c r="O791" s="3"/>
      <c r="P791" s="70" t="s">
        <v>18612</v>
      </c>
      <c r="Q791" s="2" t="s">
        <v>103</v>
      </c>
      <c r="R791" s="2" t="s">
        <v>12392</v>
      </c>
      <c r="T791" t="s">
        <v>18666</v>
      </c>
      <c r="U791" t="s">
        <v>18652</v>
      </c>
      <c r="V791" s="104">
        <v>45857</v>
      </c>
      <c r="X791" s="97"/>
      <c r="Y791" s="75">
        <v>333.51</v>
      </c>
    </row>
    <row r="792" spans="1:25" x14ac:dyDescent="0.25">
      <c r="A792" s="76">
        <v>823</v>
      </c>
      <c r="B792" s="2" t="s">
        <v>17442</v>
      </c>
      <c r="C792" s="2" t="s">
        <v>17443</v>
      </c>
      <c r="D792" s="2" t="s">
        <v>17444</v>
      </c>
      <c r="E792" s="2" t="s">
        <v>17445</v>
      </c>
      <c r="F792" s="2" t="s">
        <v>17446</v>
      </c>
      <c r="G792" s="2" t="s">
        <v>151</v>
      </c>
      <c r="H792" s="17">
        <v>25</v>
      </c>
      <c r="I792" s="31">
        <f t="shared" si="84"/>
        <v>25000</v>
      </c>
      <c r="J792" s="31">
        <f t="shared" si="85"/>
        <v>1750.0000000000002</v>
      </c>
      <c r="K792" s="44">
        <f t="shared" si="86"/>
        <v>4.794520547945206</v>
      </c>
      <c r="L792" s="3">
        <f t="shared" si="87"/>
        <v>354.79452054794524</v>
      </c>
      <c r="M792" s="3">
        <f t="shared" si="88"/>
        <v>21.287671232876715</v>
      </c>
      <c r="N792" s="67">
        <f t="shared" si="89"/>
        <v>333.50684931506851</v>
      </c>
      <c r="O792" s="3"/>
      <c r="P792" s="70" t="s">
        <v>18612</v>
      </c>
      <c r="Q792" s="2" t="s">
        <v>103</v>
      </c>
      <c r="R792" s="2" t="s">
        <v>17447</v>
      </c>
      <c r="T792" t="s">
        <v>18666</v>
      </c>
      <c r="U792" t="s">
        <v>18652</v>
      </c>
      <c r="V792" s="104">
        <v>45857</v>
      </c>
      <c r="X792" s="97"/>
      <c r="Y792" s="75">
        <v>333.51</v>
      </c>
    </row>
    <row r="793" spans="1:25" x14ac:dyDescent="0.25">
      <c r="A793" s="76">
        <v>824</v>
      </c>
      <c r="B793" s="2" t="s">
        <v>15386</v>
      </c>
      <c r="C793" s="2" t="s">
        <v>15387</v>
      </c>
      <c r="D793" s="2" t="s">
        <v>15388</v>
      </c>
      <c r="E793" s="2" t="s">
        <v>15389</v>
      </c>
      <c r="F793" s="2" t="s">
        <v>15390</v>
      </c>
      <c r="G793" s="2" t="s">
        <v>31</v>
      </c>
      <c r="H793" s="17">
        <v>25</v>
      </c>
      <c r="I793" s="31">
        <f t="shared" si="84"/>
        <v>25000</v>
      </c>
      <c r="J793" s="31">
        <f t="shared" si="85"/>
        <v>1750.0000000000002</v>
      </c>
      <c r="K793" s="44">
        <f t="shared" si="86"/>
        <v>4.794520547945206</v>
      </c>
      <c r="L793" s="3">
        <f t="shared" si="87"/>
        <v>354.79452054794524</v>
      </c>
      <c r="M793" s="3">
        <f t="shared" si="88"/>
        <v>21.287671232876715</v>
      </c>
      <c r="N793" s="67">
        <f t="shared" si="89"/>
        <v>333.50684931506851</v>
      </c>
      <c r="O793" s="3"/>
      <c r="P793" s="70" t="s">
        <v>18612</v>
      </c>
      <c r="Q793" s="2" t="s">
        <v>103</v>
      </c>
      <c r="R793" s="2" t="s">
        <v>15391</v>
      </c>
      <c r="T793" t="s">
        <v>18666</v>
      </c>
      <c r="U793" t="s">
        <v>18652</v>
      </c>
      <c r="V793" s="104">
        <v>45857</v>
      </c>
      <c r="X793" s="97"/>
      <c r="Y793" s="75">
        <v>333.51</v>
      </c>
    </row>
    <row r="794" spans="1:25" x14ac:dyDescent="0.25">
      <c r="A794" s="76">
        <v>825</v>
      </c>
      <c r="B794" s="2" t="s">
        <v>15682</v>
      </c>
      <c r="C794" s="2" t="s">
        <v>15683</v>
      </c>
      <c r="D794" s="2" t="s">
        <v>15684</v>
      </c>
      <c r="E794" s="2" t="s">
        <v>15685</v>
      </c>
      <c r="F794" s="2" t="s">
        <v>15686</v>
      </c>
      <c r="G794" s="2" t="s">
        <v>31</v>
      </c>
      <c r="H794" s="17">
        <v>360</v>
      </c>
      <c r="I794" s="31">
        <f t="shared" si="84"/>
        <v>360000</v>
      </c>
      <c r="J794" s="31">
        <f t="shared" si="85"/>
        <v>25200.000000000004</v>
      </c>
      <c r="K794" s="44">
        <f t="shared" si="86"/>
        <v>69.041095890410972</v>
      </c>
      <c r="L794" s="3">
        <f t="shared" si="87"/>
        <v>5109.0410958904122</v>
      </c>
      <c r="M794" s="3">
        <f t="shared" si="88"/>
        <v>306.54246575342472</v>
      </c>
      <c r="N794" s="67">
        <f t="shared" si="89"/>
        <v>4802.4986301369872</v>
      </c>
      <c r="O794" s="3"/>
      <c r="P794" s="70" t="s">
        <v>18612</v>
      </c>
      <c r="Q794" s="2" t="s">
        <v>103</v>
      </c>
      <c r="R794" s="2" t="s">
        <v>15687</v>
      </c>
      <c r="T794" t="s">
        <v>18666</v>
      </c>
      <c r="U794" t="s">
        <v>18652</v>
      </c>
      <c r="V794" s="104">
        <v>45857</v>
      </c>
      <c r="X794" s="97"/>
      <c r="Y794" s="75">
        <v>4802.5</v>
      </c>
    </row>
    <row r="795" spans="1:25" x14ac:dyDescent="0.25">
      <c r="A795" s="76">
        <v>826</v>
      </c>
      <c r="B795" s="2" t="s">
        <v>15016</v>
      </c>
      <c r="C795" s="2" t="s">
        <v>15017</v>
      </c>
      <c r="D795" s="2" t="s">
        <v>15018</v>
      </c>
      <c r="E795" s="2" t="s">
        <v>15019</v>
      </c>
      <c r="F795" s="2" t="s">
        <v>15020</v>
      </c>
      <c r="G795" s="2" t="s">
        <v>687</v>
      </c>
      <c r="H795" s="17">
        <v>25</v>
      </c>
      <c r="I795" s="31">
        <f t="shared" si="84"/>
        <v>25000</v>
      </c>
      <c r="J795" s="31">
        <f t="shared" si="85"/>
        <v>1750.0000000000002</v>
      </c>
      <c r="K795" s="44">
        <f t="shared" si="86"/>
        <v>4.794520547945206</v>
      </c>
      <c r="L795" s="3">
        <f t="shared" si="87"/>
        <v>354.79452054794524</v>
      </c>
      <c r="M795" s="3">
        <f t="shared" si="88"/>
        <v>21.287671232876715</v>
      </c>
      <c r="N795" s="67">
        <f t="shared" si="89"/>
        <v>333.50684931506851</v>
      </c>
      <c r="O795" s="3"/>
      <c r="P795" s="70" t="s">
        <v>18612</v>
      </c>
      <c r="Q795" s="2" t="s">
        <v>103</v>
      </c>
      <c r="R795" s="2" t="s">
        <v>15021</v>
      </c>
      <c r="T795" t="s">
        <v>18666</v>
      </c>
      <c r="U795" t="s">
        <v>18652</v>
      </c>
      <c r="V795" s="104">
        <v>45857</v>
      </c>
      <c r="X795" s="97"/>
      <c r="Y795" s="75">
        <v>333.51</v>
      </c>
    </row>
    <row r="796" spans="1:25" x14ac:dyDescent="0.25">
      <c r="A796" s="76">
        <v>827</v>
      </c>
      <c r="B796" s="2" t="s">
        <v>18251</v>
      </c>
      <c r="C796" s="2" t="s">
        <v>18252</v>
      </c>
      <c r="D796" s="2" t="s">
        <v>18253</v>
      </c>
      <c r="E796" s="2" t="s">
        <v>10972</v>
      </c>
      <c r="F796" s="2" t="s">
        <v>18254</v>
      </c>
      <c r="G796" s="2" t="s">
        <v>524</v>
      </c>
      <c r="H796" s="17">
        <v>25</v>
      </c>
      <c r="I796" s="31">
        <f t="shared" si="84"/>
        <v>25000</v>
      </c>
      <c r="J796" s="31">
        <f t="shared" si="85"/>
        <v>1750.0000000000002</v>
      </c>
      <c r="K796" s="44">
        <f t="shared" si="86"/>
        <v>4.794520547945206</v>
      </c>
      <c r="L796" s="3">
        <f t="shared" si="87"/>
        <v>354.79452054794524</v>
      </c>
      <c r="M796" s="3">
        <f t="shared" si="88"/>
        <v>21.287671232876715</v>
      </c>
      <c r="N796" s="67">
        <f t="shared" si="89"/>
        <v>333.50684931506851</v>
      </c>
      <c r="O796" s="3"/>
      <c r="P796" s="70" t="s">
        <v>18612</v>
      </c>
      <c r="Q796" s="2" t="s">
        <v>103</v>
      </c>
      <c r="R796" s="2" t="s">
        <v>18255</v>
      </c>
      <c r="T796" t="s">
        <v>18666</v>
      </c>
      <c r="U796" t="s">
        <v>18652</v>
      </c>
      <c r="V796" s="104">
        <v>45857</v>
      </c>
      <c r="X796" s="97"/>
      <c r="Y796" s="75">
        <v>333.51</v>
      </c>
    </row>
    <row r="797" spans="1:25" x14ac:dyDescent="0.25">
      <c r="A797" s="76">
        <v>828</v>
      </c>
      <c r="B797" s="2" t="s">
        <v>18262</v>
      </c>
      <c r="C797" s="2" t="s">
        <v>18263</v>
      </c>
      <c r="D797" s="2" t="s">
        <v>18253</v>
      </c>
      <c r="E797" s="2" t="s">
        <v>10972</v>
      </c>
      <c r="F797" s="2" t="s">
        <v>18264</v>
      </c>
      <c r="G797" s="2" t="s">
        <v>524</v>
      </c>
      <c r="H797" s="17">
        <v>25</v>
      </c>
      <c r="I797" s="31">
        <f t="shared" si="84"/>
        <v>25000</v>
      </c>
      <c r="J797" s="31">
        <f t="shared" si="85"/>
        <v>1750.0000000000002</v>
      </c>
      <c r="K797" s="44">
        <f t="shared" si="86"/>
        <v>4.794520547945206</v>
      </c>
      <c r="L797" s="3">
        <f t="shared" si="87"/>
        <v>354.79452054794524</v>
      </c>
      <c r="M797" s="3">
        <f t="shared" si="88"/>
        <v>21.287671232876715</v>
      </c>
      <c r="N797" s="67">
        <f t="shared" si="89"/>
        <v>333.50684931506851</v>
      </c>
      <c r="O797" s="3"/>
      <c r="P797" s="70" t="s">
        <v>18612</v>
      </c>
      <c r="Q797" s="2" t="s">
        <v>103</v>
      </c>
      <c r="R797" s="2" t="s">
        <v>18265</v>
      </c>
      <c r="T797" t="s">
        <v>18666</v>
      </c>
      <c r="U797" t="s">
        <v>18652</v>
      </c>
      <c r="V797" s="104">
        <v>45857</v>
      </c>
      <c r="X797" s="97"/>
      <c r="Y797" s="75">
        <v>333.51</v>
      </c>
    </row>
    <row r="798" spans="1:25" x14ac:dyDescent="0.25">
      <c r="A798" s="76">
        <v>829</v>
      </c>
      <c r="B798" s="2" t="s">
        <v>18272</v>
      </c>
      <c r="C798" s="2" t="s">
        <v>18273</v>
      </c>
      <c r="D798" s="2" t="s">
        <v>18253</v>
      </c>
      <c r="E798" s="2" t="s">
        <v>10972</v>
      </c>
      <c r="F798" s="2" t="s">
        <v>18274</v>
      </c>
      <c r="G798" s="2" t="s">
        <v>524</v>
      </c>
      <c r="H798" s="17">
        <v>25</v>
      </c>
      <c r="I798" s="31">
        <f t="shared" si="84"/>
        <v>25000</v>
      </c>
      <c r="J798" s="31">
        <f t="shared" si="85"/>
        <v>1750.0000000000002</v>
      </c>
      <c r="K798" s="44">
        <f t="shared" si="86"/>
        <v>4.794520547945206</v>
      </c>
      <c r="L798" s="3">
        <f t="shared" si="87"/>
        <v>354.79452054794524</v>
      </c>
      <c r="M798" s="3">
        <f t="shared" si="88"/>
        <v>21.287671232876715</v>
      </c>
      <c r="N798" s="67">
        <f t="shared" si="89"/>
        <v>333.50684931506851</v>
      </c>
      <c r="O798" s="3"/>
      <c r="P798" s="70" t="s">
        <v>18612</v>
      </c>
      <c r="Q798" s="2" t="s">
        <v>103</v>
      </c>
      <c r="R798" s="2" t="s">
        <v>18275</v>
      </c>
      <c r="T798" t="s">
        <v>18666</v>
      </c>
      <c r="U798" t="s">
        <v>18652</v>
      </c>
      <c r="V798" s="104">
        <v>45857</v>
      </c>
      <c r="X798" s="97"/>
      <c r="Y798" s="75">
        <v>333.51</v>
      </c>
    </row>
    <row r="799" spans="1:25" x14ac:dyDescent="0.25">
      <c r="A799" s="76">
        <v>830</v>
      </c>
      <c r="B799" s="2" t="s">
        <v>3111</v>
      </c>
      <c r="C799" s="2" t="s">
        <v>3112</v>
      </c>
      <c r="D799" s="2" t="s">
        <v>3113</v>
      </c>
      <c r="E799" s="2" t="s">
        <v>3114</v>
      </c>
      <c r="F799" s="2" t="s">
        <v>3115</v>
      </c>
      <c r="G799" s="2" t="s">
        <v>599</v>
      </c>
      <c r="H799" s="17">
        <v>25</v>
      </c>
      <c r="I799" s="31">
        <f t="shared" si="84"/>
        <v>25000</v>
      </c>
      <c r="J799" s="31">
        <f t="shared" si="85"/>
        <v>1750.0000000000002</v>
      </c>
      <c r="K799" s="44">
        <f t="shared" si="86"/>
        <v>4.794520547945206</v>
      </c>
      <c r="L799" s="3">
        <f t="shared" si="87"/>
        <v>354.79452054794524</v>
      </c>
      <c r="M799" s="3">
        <f t="shared" si="88"/>
        <v>21.287671232876715</v>
      </c>
      <c r="N799" s="67">
        <f t="shared" si="89"/>
        <v>333.50684931506851</v>
      </c>
      <c r="O799" s="3"/>
      <c r="P799" s="70" t="s">
        <v>18612</v>
      </c>
      <c r="Q799" s="2" t="s">
        <v>103</v>
      </c>
      <c r="R799" s="2" t="s">
        <v>3116</v>
      </c>
      <c r="T799" t="s">
        <v>18666</v>
      </c>
      <c r="U799" t="s">
        <v>18652</v>
      </c>
      <c r="V799" s="104">
        <v>45857</v>
      </c>
      <c r="X799" s="97"/>
      <c r="Y799" s="75">
        <v>333.51</v>
      </c>
    </row>
    <row r="800" spans="1:25" x14ac:dyDescent="0.25">
      <c r="A800" s="76">
        <v>831</v>
      </c>
      <c r="B800" s="2" t="s">
        <v>3926</v>
      </c>
      <c r="C800" s="2" t="s">
        <v>3927</v>
      </c>
      <c r="D800" s="2" t="s">
        <v>3928</v>
      </c>
      <c r="E800" s="2" t="s">
        <v>3929</v>
      </c>
      <c r="F800" s="2" t="s">
        <v>3930</v>
      </c>
      <c r="G800" s="2" t="s">
        <v>412</v>
      </c>
      <c r="H800" s="17">
        <v>25</v>
      </c>
      <c r="I800" s="31">
        <f t="shared" si="84"/>
        <v>25000</v>
      </c>
      <c r="J800" s="31">
        <f t="shared" si="85"/>
        <v>1750.0000000000002</v>
      </c>
      <c r="K800" s="44">
        <f t="shared" si="86"/>
        <v>4.794520547945206</v>
      </c>
      <c r="L800" s="3">
        <f t="shared" si="87"/>
        <v>354.79452054794524</v>
      </c>
      <c r="M800" s="3">
        <f t="shared" si="88"/>
        <v>21.287671232876715</v>
      </c>
      <c r="N800" s="67">
        <f t="shared" si="89"/>
        <v>333.50684931506851</v>
      </c>
      <c r="O800" s="3"/>
      <c r="P800" s="70" t="s">
        <v>18612</v>
      </c>
      <c r="Q800" s="2" t="s">
        <v>103</v>
      </c>
      <c r="R800" s="2" t="s">
        <v>3931</v>
      </c>
      <c r="T800" t="s">
        <v>18666</v>
      </c>
      <c r="U800" t="s">
        <v>18652</v>
      </c>
      <c r="V800" s="104">
        <v>45857</v>
      </c>
      <c r="X800" s="97"/>
      <c r="Y800" s="75">
        <v>333.51</v>
      </c>
    </row>
    <row r="801" spans="1:25" x14ac:dyDescent="0.25">
      <c r="A801" s="76">
        <v>832</v>
      </c>
      <c r="B801" s="2" t="s">
        <v>12809</v>
      </c>
      <c r="C801" s="2" t="s">
        <v>12810</v>
      </c>
      <c r="D801" s="2" t="s">
        <v>12811</v>
      </c>
      <c r="E801" s="2" t="s">
        <v>12812</v>
      </c>
      <c r="F801" s="2" t="s">
        <v>12813</v>
      </c>
      <c r="G801" s="2" t="s">
        <v>687</v>
      </c>
      <c r="H801" s="17">
        <v>100</v>
      </c>
      <c r="I801" s="31">
        <f t="shared" si="84"/>
        <v>100000</v>
      </c>
      <c r="J801" s="31">
        <f t="shared" si="85"/>
        <v>7000.0000000000009</v>
      </c>
      <c r="K801" s="44">
        <f t="shared" si="86"/>
        <v>19.178082191780824</v>
      </c>
      <c r="L801" s="3">
        <f t="shared" si="87"/>
        <v>1419.178082191781</v>
      </c>
      <c r="M801" s="3">
        <f t="shared" si="88"/>
        <v>85.150684931506859</v>
      </c>
      <c r="N801" s="67">
        <f t="shared" si="89"/>
        <v>1334.027397260274</v>
      </c>
      <c r="O801" s="3"/>
      <c r="P801" s="70" t="s">
        <v>18612</v>
      </c>
      <c r="Q801" s="2" t="s">
        <v>103</v>
      </c>
      <c r="R801" s="2" t="s">
        <v>12814</v>
      </c>
      <c r="T801" t="s">
        <v>18666</v>
      </c>
      <c r="U801" t="s">
        <v>18652</v>
      </c>
      <c r="V801" s="104">
        <v>45857</v>
      </c>
      <c r="X801" s="97"/>
      <c r="Y801" s="75">
        <v>1334.03</v>
      </c>
    </row>
    <row r="802" spans="1:25" x14ac:dyDescent="0.25">
      <c r="A802" s="76">
        <v>833</v>
      </c>
      <c r="B802" s="2" t="s">
        <v>8544</v>
      </c>
      <c r="C802" s="2" t="s">
        <v>8545</v>
      </c>
      <c r="D802" s="2" t="s">
        <v>8546</v>
      </c>
      <c r="E802" s="2" t="s">
        <v>8547</v>
      </c>
      <c r="F802" s="2" t="s">
        <v>8548</v>
      </c>
      <c r="G802" s="2" t="s">
        <v>1017</v>
      </c>
      <c r="H802" s="17">
        <v>25</v>
      </c>
      <c r="I802" s="31">
        <f t="shared" si="84"/>
        <v>25000</v>
      </c>
      <c r="J802" s="31">
        <f t="shared" si="85"/>
        <v>1750.0000000000002</v>
      </c>
      <c r="K802" s="44">
        <f t="shared" si="86"/>
        <v>4.794520547945206</v>
      </c>
      <c r="L802" s="3">
        <f t="shared" si="87"/>
        <v>354.79452054794524</v>
      </c>
      <c r="M802" s="3">
        <f t="shared" si="88"/>
        <v>21.287671232876715</v>
      </c>
      <c r="N802" s="67">
        <f t="shared" si="89"/>
        <v>333.50684931506851</v>
      </c>
      <c r="O802" s="3"/>
      <c r="P802" s="70" t="s">
        <v>18612</v>
      </c>
      <c r="Q802" s="2" t="s">
        <v>103</v>
      </c>
      <c r="R802" s="2" t="s">
        <v>8549</v>
      </c>
      <c r="T802" t="s">
        <v>18666</v>
      </c>
      <c r="U802" t="s">
        <v>18652</v>
      </c>
      <c r="V802" s="104">
        <v>45857</v>
      </c>
      <c r="X802" s="97"/>
      <c r="Y802" s="75">
        <v>333.51</v>
      </c>
    </row>
    <row r="803" spans="1:25" x14ac:dyDescent="0.25">
      <c r="A803" s="76">
        <v>834</v>
      </c>
      <c r="B803" s="2" t="s">
        <v>15326</v>
      </c>
      <c r="C803" s="2" t="s">
        <v>15327</v>
      </c>
      <c r="D803" s="2" t="s">
        <v>15328</v>
      </c>
      <c r="E803" s="2" t="s">
        <v>15329</v>
      </c>
      <c r="F803" s="2" t="s">
        <v>15330</v>
      </c>
      <c r="G803" s="2" t="s">
        <v>517</v>
      </c>
      <c r="H803" s="17">
        <v>25</v>
      </c>
      <c r="I803" s="31">
        <f t="shared" si="84"/>
        <v>25000</v>
      </c>
      <c r="J803" s="31">
        <f t="shared" si="85"/>
        <v>1750.0000000000002</v>
      </c>
      <c r="K803" s="44">
        <f t="shared" si="86"/>
        <v>4.794520547945206</v>
      </c>
      <c r="L803" s="3">
        <f t="shared" si="87"/>
        <v>354.79452054794524</v>
      </c>
      <c r="M803" s="3">
        <f t="shared" si="88"/>
        <v>21.287671232876715</v>
      </c>
      <c r="N803" s="67">
        <f t="shared" si="89"/>
        <v>333.50684931506851</v>
      </c>
      <c r="O803" s="3"/>
      <c r="P803" s="70" t="s">
        <v>18612</v>
      </c>
      <c r="Q803" s="2" t="s">
        <v>103</v>
      </c>
      <c r="R803" s="2" t="s">
        <v>15331</v>
      </c>
      <c r="T803" t="s">
        <v>18666</v>
      </c>
      <c r="U803" t="s">
        <v>18652</v>
      </c>
      <c r="V803" s="104">
        <v>45857</v>
      </c>
      <c r="X803" s="97"/>
      <c r="Y803" s="75">
        <v>333.51</v>
      </c>
    </row>
    <row r="804" spans="1:25" x14ac:dyDescent="0.25">
      <c r="A804" s="76">
        <v>835</v>
      </c>
      <c r="B804" s="2" t="s">
        <v>16821</v>
      </c>
      <c r="C804" s="2" t="s">
        <v>16822</v>
      </c>
      <c r="D804" s="2" t="s">
        <v>16823</v>
      </c>
      <c r="E804" s="2" t="s">
        <v>16824</v>
      </c>
      <c r="F804" s="2" t="s">
        <v>16825</v>
      </c>
      <c r="G804" s="2" t="s">
        <v>599</v>
      </c>
      <c r="H804" s="17">
        <v>25</v>
      </c>
      <c r="I804" s="31">
        <f t="shared" si="84"/>
        <v>25000</v>
      </c>
      <c r="J804" s="31">
        <f t="shared" si="85"/>
        <v>1750.0000000000002</v>
      </c>
      <c r="K804" s="44">
        <f t="shared" si="86"/>
        <v>4.794520547945206</v>
      </c>
      <c r="L804" s="3">
        <f t="shared" si="87"/>
        <v>354.79452054794524</v>
      </c>
      <c r="M804" s="3">
        <f t="shared" si="88"/>
        <v>21.287671232876715</v>
      </c>
      <c r="N804" s="67">
        <f t="shared" si="89"/>
        <v>333.50684931506851</v>
      </c>
      <c r="O804" s="3"/>
      <c r="P804" s="70" t="s">
        <v>18612</v>
      </c>
      <c r="Q804" s="2" t="s">
        <v>103</v>
      </c>
      <c r="R804" s="2" t="s">
        <v>16826</v>
      </c>
      <c r="T804" t="s">
        <v>18666</v>
      </c>
      <c r="U804" t="s">
        <v>18652</v>
      </c>
      <c r="V804" s="104">
        <v>45857</v>
      </c>
      <c r="X804" s="97"/>
      <c r="Y804" s="75">
        <v>333.51</v>
      </c>
    </row>
    <row r="805" spans="1:25" x14ac:dyDescent="0.25">
      <c r="A805" s="76">
        <v>836</v>
      </c>
      <c r="B805" s="2" t="s">
        <v>1897</v>
      </c>
      <c r="C805" s="2" t="s">
        <v>1898</v>
      </c>
      <c r="D805" s="2" t="s">
        <v>1899</v>
      </c>
      <c r="E805" s="2" t="s">
        <v>1900</v>
      </c>
      <c r="F805" s="2" t="s">
        <v>1901</v>
      </c>
      <c r="G805" s="2" t="s">
        <v>23</v>
      </c>
      <c r="H805" s="17">
        <v>25</v>
      </c>
      <c r="I805" s="31">
        <f t="shared" si="84"/>
        <v>25000</v>
      </c>
      <c r="J805" s="31">
        <f t="shared" si="85"/>
        <v>1750.0000000000002</v>
      </c>
      <c r="K805" s="44">
        <f t="shared" si="86"/>
        <v>4.794520547945206</v>
      </c>
      <c r="L805" s="3">
        <f t="shared" si="87"/>
        <v>354.79452054794524</v>
      </c>
      <c r="M805" s="3">
        <f t="shared" si="88"/>
        <v>21.287671232876715</v>
      </c>
      <c r="N805" s="67">
        <f t="shared" si="89"/>
        <v>333.50684931506851</v>
      </c>
      <c r="O805" s="3"/>
      <c r="P805" s="70" t="s">
        <v>18612</v>
      </c>
      <c r="Q805" s="2" t="s">
        <v>103</v>
      </c>
      <c r="R805" s="2" t="s">
        <v>1902</v>
      </c>
      <c r="T805" t="s">
        <v>18666</v>
      </c>
      <c r="U805" t="s">
        <v>18652</v>
      </c>
      <c r="V805" s="104">
        <v>45857</v>
      </c>
      <c r="X805" s="97"/>
      <c r="Y805" s="75">
        <v>333.51</v>
      </c>
    </row>
    <row r="806" spans="1:25" x14ac:dyDescent="0.25">
      <c r="A806" s="76">
        <v>837</v>
      </c>
      <c r="B806" s="2" t="s">
        <v>10775</v>
      </c>
      <c r="C806" s="2" t="s">
        <v>10776</v>
      </c>
      <c r="D806" s="2" t="s">
        <v>10777</v>
      </c>
      <c r="E806" s="2" t="s">
        <v>10778</v>
      </c>
      <c r="F806" s="2" t="s">
        <v>10779</v>
      </c>
      <c r="G806" s="2" t="s">
        <v>158</v>
      </c>
      <c r="H806" s="17">
        <v>30</v>
      </c>
      <c r="I806" s="31">
        <f t="shared" si="84"/>
        <v>30000</v>
      </c>
      <c r="J806" s="31">
        <f t="shared" si="85"/>
        <v>2100</v>
      </c>
      <c r="K806" s="44">
        <f t="shared" si="86"/>
        <v>5.7534246575342465</v>
      </c>
      <c r="L806" s="3">
        <f t="shared" si="87"/>
        <v>425.75342465753425</v>
      </c>
      <c r="M806" s="3">
        <f t="shared" si="88"/>
        <v>25.545205479452054</v>
      </c>
      <c r="N806" s="67">
        <f t="shared" si="89"/>
        <v>400.20821917808217</v>
      </c>
      <c r="O806" s="3"/>
      <c r="P806" s="70" t="s">
        <v>18612</v>
      </c>
      <c r="Q806" s="2" t="s">
        <v>103</v>
      </c>
      <c r="R806" s="2" t="s">
        <v>10780</v>
      </c>
      <c r="T806" t="s">
        <v>18666</v>
      </c>
      <c r="U806" t="s">
        <v>18652</v>
      </c>
      <c r="V806" s="104">
        <v>45857</v>
      </c>
      <c r="X806" s="97"/>
      <c r="Y806" s="75">
        <v>400.21</v>
      </c>
    </row>
    <row r="807" spans="1:25" x14ac:dyDescent="0.25">
      <c r="A807" s="76">
        <v>838</v>
      </c>
      <c r="B807" s="2" t="s">
        <v>3147</v>
      </c>
      <c r="C807" s="2" t="s">
        <v>3148</v>
      </c>
      <c r="D807" s="2" t="s">
        <v>3149</v>
      </c>
      <c r="E807" s="2" t="s">
        <v>3150</v>
      </c>
      <c r="F807" s="2" t="s">
        <v>3151</v>
      </c>
      <c r="G807" s="2" t="s">
        <v>510</v>
      </c>
      <c r="H807" s="17">
        <v>25</v>
      </c>
      <c r="I807" s="31">
        <f t="shared" si="84"/>
        <v>25000</v>
      </c>
      <c r="J807" s="31">
        <f t="shared" si="85"/>
        <v>1750.0000000000002</v>
      </c>
      <c r="K807" s="44">
        <f t="shared" si="86"/>
        <v>4.794520547945206</v>
      </c>
      <c r="L807" s="3">
        <f t="shared" si="87"/>
        <v>354.79452054794524</v>
      </c>
      <c r="M807" s="3">
        <f t="shared" si="88"/>
        <v>21.287671232876715</v>
      </c>
      <c r="N807" s="67">
        <f t="shared" si="89"/>
        <v>333.50684931506851</v>
      </c>
      <c r="O807" s="3"/>
      <c r="P807" s="70" t="s">
        <v>18612</v>
      </c>
      <c r="Q807" s="2" t="s">
        <v>103</v>
      </c>
      <c r="R807" s="2" t="s">
        <v>3152</v>
      </c>
      <c r="T807" t="s">
        <v>18666</v>
      </c>
      <c r="U807" t="s">
        <v>18652</v>
      </c>
      <c r="V807" s="104">
        <v>45857</v>
      </c>
      <c r="X807" s="97"/>
      <c r="Y807" s="75">
        <v>333.51</v>
      </c>
    </row>
    <row r="808" spans="1:25" x14ac:dyDescent="0.25">
      <c r="A808" s="76">
        <v>839</v>
      </c>
      <c r="B808" s="2" t="s">
        <v>311</v>
      </c>
      <c r="C808" s="2" t="s">
        <v>312</v>
      </c>
      <c r="D808" s="2" t="s">
        <v>313</v>
      </c>
      <c r="E808" s="2" t="s">
        <v>314</v>
      </c>
      <c r="F808" s="2" t="s">
        <v>315</v>
      </c>
      <c r="G808" s="2" t="s">
        <v>275</v>
      </c>
      <c r="H808" s="17">
        <v>50</v>
      </c>
      <c r="I808" s="31">
        <f t="shared" si="84"/>
        <v>50000</v>
      </c>
      <c r="J808" s="31">
        <f t="shared" si="85"/>
        <v>3500.0000000000005</v>
      </c>
      <c r="K808" s="44">
        <f t="shared" si="86"/>
        <v>9.589041095890412</v>
      </c>
      <c r="L808" s="3">
        <f t="shared" si="87"/>
        <v>709.58904109589048</v>
      </c>
      <c r="M808" s="3">
        <f t="shared" si="88"/>
        <v>42.57534246575343</v>
      </c>
      <c r="N808" s="67">
        <f t="shared" si="89"/>
        <v>667.01369863013701</v>
      </c>
      <c r="O808" s="3"/>
      <c r="P808" s="70" t="s">
        <v>18612</v>
      </c>
      <c r="Q808" s="2" t="s">
        <v>103</v>
      </c>
      <c r="R808" s="2" t="s">
        <v>316</v>
      </c>
      <c r="T808" t="s">
        <v>18666</v>
      </c>
      <c r="U808" t="s">
        <v>18652</v>
      </c>
      <c r="V808" s="104">
        <v>45857</v>
      </c>
      <c r="X808" s="97"/>
      <c r="Y808" s="75">
        <v>667.02</v>
      </c>
    </row>
    <row r="809" spans="1:25" x14ac:dyDescent="0.25">
      <c r="A809" s="76">
        <v>840</v>
      </c>
      <c r="B809" s="2" t="s">
        <v>10499</v>
      </c>
      <c r="C809" s="2" t="s">
        <v>10500</v>
      </c>
      <c r="D809" s="2" t="s">
        <v>10501</v>
      </c>
      <c r="E809" s="2" t="s">
        <v>10502</v>
      </c>
      <c r="F809" s="2" t="s">
        <v>10503</v>
      </c>
      <c r="G809" s="2" t="s">
        <v>268</v>
      </c>
      <c r="H809" s="17">
        <v>50</v>
      </c>
      <c r="I809" s="31">
        <f t="shared" si="84"/>
        <v>50000</v>
      </c>
      <c r="J809" s="31">
        <f t="shared" si="85"/>
        <v>3500.0000000000005</v>
      </c>
      <c r="K809" s="44">
        <f t="shared" si="86"/>
        <v>9.589041095890412</v>
      </c>
      <c r="L809" s="3">
        <f t="shared" si="87"/>
        <v>709.58904109589048</v>
      </c>
      <c r="M809" s="3">
        <f t="shared" si="88"/>
        <v>42.57534246575343</v>
      </c>
      <c r="N809" s="67">
        <f t="shared" si="89"/>
        <v>667.01369863013701</v>
      </c>
      <c r="O809" s="3"/>
      <c r="P809" s="70" t="s">
        <v>18612</v>
      </c>
      <c r="Q809" s="2" t="s">
        <v>103</v>
      </c>
      <c r="R809" s="2" t="s">
        <v>10504</v>
      </c>
      <c r="T809" t="s">
        <v>18666</v>
      </c>
      <c r="U809" t="s">
        <v>18652</v>
      </c>
      <c r="V809" s="104">
        <v>45857</v>
      </c>
      <c r="X809" s="97"/>
      <c r="Y809" s="75">
        <v>667.02</v>
      </c>
    </row>
    <row r="810" spans="1:25" x14ac:dyDescent="0.25">
      <c r="A810" s="76">
        <v>841</v>
      </c>
      <c r="B810" s="2" t="s">
        <v>5760</v>
      </c>
      <c r="C810" s="2" t="s">
        <v>5761</v>
      </c>
      <c r="D810" s="2" t="s">
        <v>5762</v>
      </c>
      <c r="E810" s="2" t="s">
        <v>5763</v>
      </c>
      <c r="F810" s="2" t="s">
        <v>5764</v>
      </c>
      <c r="G810" s="2" t="s">
        <v>268</v>
      </c>
      <c r="H810" s="17">
        <v>35</v>
      </c>
      <c r="I810" s="31">
        <f t="shared" si="84"/>
        <v>35000</v>
      </c>
      <c r="J810" s="31">
        <f t="shared" si="85"/>
        <v>2450.0000000000005</v>
      </c>
      <c r="K810" s="44">
        <f t="shared" si="86"/>
        <v>6.7123287671232887</v>
      </c>
      <c r="L810" s="3">
        <f t="shared" si="87"/>
        <v>496.71232876712338</v>
      </c>
      <c r="M810" s="3">
        <f t="shared" si="88"/>
        <v>29.802739726027401</v>
      </c>
      <c r="N810" s="67">
        <f t="shared" si="89"/>
        <v>466.90958904109596</v>
      </c>
      <c r="O810" s="3"/>
      <c r="P810" s="70" t="s">
        <v>18612</v>
      </c>
      <c r="Q810" s="2" t="s">
        <v>103</v>
      </c>
      <c r="R810" s="2" t="s">
        <v>5765</v>
      </c>
      <c r="T810" t="s">
        <v>18666</v>
      </c>
      <c r="U810" t="s">
        <v>18652</v>
      </c>
      <c r="V810" s="104">
        <v>45857</v>
      </c>
      <c r="X810" s="97"/>
      <c r="Y810" s="75">
        <v>466.90999999999997</v>
      </c>
    </row>
    <row r="811" spans="1:25" x14ac:dyDescent="0.25">
      <c r="A811" s="76">
        <v>842</v>
      </c>
      <c r="B811" s="2" t="s">
        <v>8426</v>
      </c>
      <c r="C811" s="2" t="s">
        <v>8427</v>
      </c>
      <c r="D811" s="2" t="s">
        <v>8428</v>
      </c>
      <c r="E811" s="2" t="s">
        <v>8429</v>
      </c>
      <c r="F811" s="2" t="s">
        <v>8430</v>
      </c>
      <c r="G811" s="2" t="s">
        <v>750</v>
      </c>
      <c r="H811" s="17">
        <v>30</v>
      </c>
      <c r="I811" s="31">
        <f t="shared" si="84"/>
        <v>30000</v>
      </c>
      <c r="J811" s="31">
        <f t="shared" si="85"/>
        <v>2100</v>
      </c>
      <c r="K811" s="44">
        <f t="shared" si="86"/>
        <v>5.7534246575342465</v>
      </c>
      <c r="L811" s="3">
        <f t="shared" si="87"/>
        <v>425.75342465753425</v>
      </c>
      <c r="M811" s="3">
        <f t="shared" si="88"/>
        <v>25.545205479452054</v>
      </c>
      <c r="N811" s="67">
        <f t="shared" si="89"/>
        <v>400.20821917808217</v>
      </c>
      <c r="O811" s="3"/>
      <c r="P811" s="70" t="s">
        <v>18612</v>
      </c>
      <c r="Q811" s="2" t="s">
        <v>103</v>
      </c>
      <c r="R811" s="2" t="s">
        <v>8431</v>
      </c>
      <c r="T811" t="s">
        <v>18666</v>
      </c>
      <c r="U811" t="s">
        <v>18652</v>
      </c>
      <c r="V811" s="104">
        <v>45857</v>
      </c>
      <c r="X811" s="97"/>
      <c r="Y811" s="75">
        <v>400.21</v>
      </c>
    </row>
    <row r="812" spans="1:25" x14ac:dyDescent="0.25">
      <c r="A812" s="76">
        <v>843</v>
      </c>
      <c r="B812" s="2" t="s">
        <v>10341</v>
      </c>
      <c r="C812" s="2" t="s">
        <v>10342</v>
      </c>
      <c r="D812" s="2" t="s">
        <v>10343</v>
      </c>
      <c r="E812" s="2" t="s">
        <v>10344</v>
      </c>
      <c r="F812" s="2" t="s">
        <v>10345</v>
      </c>
      <c r="G812" s="2" t="s">
        <v>31</v>
      </c>
      <c r="H812" s="17">
        <v>25</v>
      </c>
      <c r="I812" s="31">
        <f t="shared" si="84"/>
        <v>25000</v>
      </c>
      <c r="J812" s="31">
        <f t="shared" si="85"/>
        <v>1750.0000000000002</v>
      </c>
      <c r="K812" s="44">
        <f t="shared" si="86"/>
        <v>4.794520547945206</v>
      </c>
      <c r="L812" s="3">
        <f t="shared" si="87"/>
        <v>354.79452054794524</v>
      </c>
      <c r="M812" s="3">
        <f t="shared" si="88"/>
        <v>21.287671232876715</v>
      </c>
      <c r="N812" s="67">
        <f t="shared" si="89"/>
        <v>333.50684931506851</v>
      </c>
      <c r="O812" s="3"/>
      <c r="P812" s="70" t="s">
        <v>18612</v>
      </c>
      <c r="Q812" s="2" t="s">
        <v>103</v>
      </c>
      <c r="R812" s="2" t="s">
        <v>10346</v>
      </c>
      <c r="T812" t="s">
        <v>18666</v>
      </c>
      <c r="U812" t="s">
        <v>18652</v>
      </c>
      <c r="V812" s="104">
        <v>45857</v>
      </c>
      <c r="X812" s="97"/>
      <c r="Y812" s="75">
        <v>333.51</v>
      </c>
    </row>
    <row r="813" spans="1:25" x14ac:dyDescent="0.25">
      <c r="A813" s="76">
        <v>844</v>
      </c>
      <c r="B813" s="2" t="s">
        <v>8362</v>
      </c>
      <c r="C813" s="2" t="s">
        <v>8363</v>
      </c>
      <c r="D813" s="2" t="s">
        <v>8364</v>
      </c>
      <c r="E813" s="2" t="s">
        <v>8365</v>
      </c>
      <c r="F813" s="2" t="s">
        <v>8366</v>
      </c>
      <c r="G813" s="2" t="s">
        <v>158</v>
      </c>
      <c r="H813" s="17">
        <v>25</v>
      </c>
      <c r="I813" s="31">
        <f t="shared" si="84"/>
        <v>25000</v>
      </c>
      <c r="J813" s="31">
        <f t="shared" si="85"/>
        <v>1750.0000000000002</v>
      </c>
      <c r="K813" s="44">
        <f t="shared" si="86"/>
        <v>4.794520547945206</v>
      </c>
      <c r="L813" s="3">
        <f t="shared" si="87"/>
        <v>354.79452054794524</v>
      </c>
      <c r="M813" s="3">
        <f t="shared" si="88"/>
        <v>21.287671232876715</v>
      </c>
      <c r="N813" s="67">
        <f t="shared" si="89"/>
        <v>333.50684931506851</v>
      </c>
      <c r="O813" s="3"/>
      <c r="P813" s="70" t="s">
        <v>18612</v>
      </c>
      <c r="Q813" s="2" t="s">
        <v>103</v>
      </c>
      <c r="R813" s="2" t="s">
        <v>8367</v>
      </c>
      <c r="T813" t="s">
        <v>18666</v>
      </c>
      <c r="U813" t="s">
        <v>18652</v>
      </c>
      <c r="V813" s="104">
        <v>45857</v>
      </c>
      <c r="X813" s="97"/>
      <c r="Y813" s="75">
        <v>333.51</v>
      </c>
    </row>
    <row r="814" spans="1:25" x14ac:dyDescent="0.25">
      <c r="A814" s="76">
        <v>845</v>
      </c>
      <c r="B814" s="2" t="s">
        <v>13301</v>
      </c>
      <c r="C814" s="2" t="s">
        <v>13302</v>
      </c>
      <c r="D814" s="2" t="s">
        <v>13303</v>
      </c>
      <c r="E814" s="2" t="s">
        <v>183</v>
      </c>
      <c r="F814" s="2" t="s">
        <v>13304</v>
      </c>
      <c r="G814" s="2" t="s">
        <v>186</v>
      </c>
      <c r="H814" s="17">
        <v>25</v>
      </c>
      <c r="I814" s="31">
        <f t="shared" si="84"/>
        <v>25000</v>
      </c>
      <c r="J814" s="31">
        <f t="shared" si="85"/>
        <v>1750.0000000000002</v>
      </c>
      <c r="K814" s="44">
        <f t="shared" si="86"/>
        <v>4.794520547945206</v>
      </c>
      <c r="L814" s="3">
        <f t="shared" si="87"/>
        <v>354.79452054794524</v>
      </c>
      <c r="M814" s="3">
        <f t="shared" si="88"/>
        <v>21.287671232876715</v>
      </c>
      <c r="N814" s="67">
        <f t="shared" si="89"/>
        <v>333.50684931506851</v>
      </c>
      <c r="O814" s="3"/>
      <c r="P814" s="70" t="s">
        <v>18612</v>
      </c>
      <c r="Q814" s="2" t="s">
        <v>103</v>
      </c>
      <c r="R814" s="2" t="s">
        <v>13305</v>
      </c>
      <c r="T814" t="s">
        <v>18666</v>
      </c>
      <c r="U814" t="s">
        <v>18652</v>
      </c>
      <c r="V814" s="104">
        <v>45857</v>
      </c>
      <c r="X814" s="97"/>
      <c r="Y814" s="75">
        <v>333.51</v>
      </c>
    </row>
    <row r="815" spans="1:25" x14ac:dyDescent="0.25">
      <c r="A815" s="76">
        <v>846</v>
      </c>
      <c r="B815" s="2" t="s">
        <v>16617</v>
      </c>
      <c r="C815" s="2" t="s">
        <v>16618</v>
      </c>
      <c r="D815" s="2" t="s">
        <v>16619</v>
      </c>
      <c r="E815" s="2" t="s">
        <v>16620</v>
      </c>
      <c r="F815" s="2" t="s">
        <v>16621</v>
      </c>
      <c r="G815" s="2" t="s">
        <v>240</v>
      </c>
      <c r="H815" s="17">
        <v>25</v>
      </c>
      <c r="I815" s="31">
        <f t="shared" si="84"/>
        <v>25000</v>
      </c>
      <c r="J815" s="31">
        <f t="shared" si="85"/>
        <v>1750.0000000000002</v>
      </c>
      <c r="K815" s="44">
        <f t="shared" si="86"/>
        <v>4.794520547945206</v>
      </c>
      <c r="L815" s="3">
        <f t="shared" si="87"/>
        <v>354.79452054794524</v>
      </c>
      <c r="M815" s="3">
        <f t="shared" si="88"/>
        <v>21.287671232876715</v>
      </c>
      <c r="N815" s="67">
        <f t="shared" si="89"/>
        <v>333.50684931506851</v>
      </c>
      <c r="O815" s="3"/>
      <c r="P815" s="70" t="s">
        <v>18612</v>
      </c>
      <c r="Q815" s="2" t="s">
        <v>103</v>
      </c>
      <c r="R815" s="2" t="s">
        <v>16622</v>
      </c>
      <c r="T815" t="s">
        <v>18666</v>
      </c>
      <c r="U815" t="s">
        <v>18652</v>
      </c>
      <c r="V815" s="104">
        <v>45857</v>
      </c>
      <c r="X815" s="97"/>
      <c r="Y815" s="75">
        <v>333.51</v>
      </c>
    </row>
    <row r="816" spans="1:25" x14ac:dyDescent="0.25">
      <c r="A816" s="76">
        <v>847</v>
      </c>
      <c r="B816" s="2" t="s">
        <v>18234</v>
      </c>
      <c r="C816" s="2" t="s">
        <v>18235</v>
      </c>
      <c r="D816" s="2" t="s">
        <v>18236</v>
      </c>
      <c r="E816" s="2" t="s">
        <v>18237</v>
      </c>
      <c r="F816" s="2" t="s">
        <v>18238</v>
      </c>
      <c r="G816" s="2" t="s">
        <v>268</v>
      </c>
      <c r="H816" s="17">
        <v>25</v>
      </c>
      <c r="I816" s="31">
        <f t="shared" si="84"/>
        <v>25000</v>
      </c>
      <c r="J816" s="31">
        <f t="shared" si="85"/>
        <v>1750.0000000000002</v>
      </c>
      <c r="K816" s="44">
        <f t="shared" si="86"/>
        <v>4.794520547945206</v>
      </c>
      <c r="L816" s="3">
        <f t="shared" si="87"/>
        <v>354.79452054794524</v>
      </c>
      <c r="M816" s="3">
        <f t="shared" si="88"/>
        <v>21.287671232876715</v>
      </c>
      <c r="N816" s="67">
        <f t="shared" si="89"/>
        <v>333.50684931506851</v>
      </c>
      <c r="O816" s="3"/>
      <c r="P816" s="70" t="s">
        <v>18612</v>
      </c>
      <c r="Q816" s="2" t="s">
        <v>103</v>
      </c>
      <c r="R816" s="2" t="s">
        <v>18239</v>
      </c>
      <c r="T816" t="s">
        <v>18666</v>
      </c>
      <c r="U816" t="s">
        <v>18652</v>
      </c>
      <c r="V816" s="104">
        <v>45857</v>
      </c>
      <c r="X816" s="97"/>
      <c r="Y816" s="75">
        <v>333.51</v>
      </c>
    </row>
    <row r="817" spans="1:25" x14ac:dyDescent="0.25">
      <c r="A817" s="76">
        <v>848</v>
      </c>
      <c r="B817" s="2" t="s">
        <v>16576</v>
      </c>
      <c r="C817" s="2" t="s">
        <v>16577</v>
      </c>
      <c r="D817" s="2" t="s">
        <v>16578</v>
      </c>
      <c r="E817" s="2" t="s">
        <v>16579</v>
      </c>
      <c r="F817" s="2" t="s">
        <v>16580</v>
      </c>
      <c r="G817" s="2" t="s">
        <v>362</v>
      </c>
      <c r="H817" s="17">
        <v>25</v>
      </c>
      <c r="I817" s="31">
        <f t="shared" si="84"/>
        <v>25000</v>
      </c>
      <c r="J817" s="31">
        <f t="shared" si="85"/>
        <v>1750.0000000000002</v>
      </c>
      <c r="K817" s="44">
        <f t="shared" si="86"/>
        <v>4.794520547945206</v>
      </c>
      <c r="L817" s="3">
        <f t="shared" si="87"/>
        <v>354.79452054794524</v>
      </c>
      <c r="M817" s="3">
        <f t="shared" si="88"/>
        <v>21.287671232876715</v>
      </c>
      <c r="N817" s="67">
        <f t="shared" si="89"/>
        <v>333.50684931506851</v>
      </c>
      <c r="O817" s="3"/>
      <c r="P817" s="70" t="s">
        <v>18612</v>
      </c>
      <c r="Q817" s="2" t="s">
        <v>103</v>
      </c>
      <c r="R817" s="2" t="s">
        <v>16581</v>
      </c>
      <c r="T817" t="s">
        <v>18666</v>
      </c>
      <c r="U817" t="s">
        <v>18652</v>
      </c>
      <c r="V817" s="104">
        <v>45857</v>
      </c>
      <c r="X817" s="97"/>
      <c r="Y817" s="75">
        <v>333.51</v>
      </c>
    </row>
    <row r="818" spans="1:25" x14ac:dyDescent="0.25">
      <c r="A818" s="76">
        <v>849</v>
      </c>
      <c r="B818" s="2" t="s">
        <v>13938</v>
      </c>
      <c r="C818" s="2" t="s">
        <v>13939</v>
      </c>
      <c r="D818" s="2" t="s">
        <v>13940</v>
      </c>
      <c r="E818" s="2" t="s">
        <v>13941</v>
      </c>
      <c r="F818" s="2" t="s">
        <v>13942</v>
      </c>
      <c r="G818" s="2" t="s">
        <v>1424</v>
      </c>
      <c r="H818" s="17">
        <v>25</v>
      </c>
      <c r="I818" s="31">
        <f t="shared" si="84"/>
        <v>25000</v>
      </c>
      <c r="J818" s="31">
        <f t="shared" si="85"/>
        <v>1750.0000000000002</v>
      </c>
      <c r="K818" s="44">
        <f t="shared" si="86"/>
        <v>4.794520547945206</v>
      </c>
      <c r="L818" s="3">
        <f t="shared" si="87"/>
        <v>354.79452054794524</v>
      </c>
      <c r="M818" s="3">
        <f t="shared" si="88"/>
        <v>21.287671232876715</v>
      </c>
      <c r="N818" s="67">
        <f t="shared" si="89"/>
        <v>333.50684931506851</v>
      </c>
      <c r="O818" s="3"/>
      <c r="P818" s="70" t="s">
        <v>18612</v>
      </c>
      <c r="Q818" s="2" t="s">
        <v>103</v>
      </c>
      <c r="R818" s="2" t="s">
        <v>13943</v>
      </c>
      <c r="T818" t="s">
        <v>18666</v>
      </c>
      <c r="U818" t="s">
        <v>18652</v>
      </c>
      <c r="V818" s="104">
        <v>45857</v>
      </c>
      <c r="X818" s="97"/>
      <c r="Y818" s="75">
        <v>333.51</v>
      </c>
    </row>
    <row r="819" spans="1:25" x14ac:dyDescent="0.25">
      <c r="A819" s="76">
        <v>850</v>
      </c>
      <c r="B819" s="2" t="s">
        <v>15256</v>
      </c>
      <c r="C819" s="2" t="s">
        <v>15257</v>
      </c>
      <c r="D819" s="2" t="s">
        <v>11386</v>
      </c>
      <c r="E819" s="2" t="s">
        <v>15258</v>
      </c>
      <c r="F819" s="2" t="s">
        <v>15259</v>
      </c>
      <c r="G819" s="2" t="s">
        <v>39</v>
      </c>
      <c r="H819" s="17">
        <v>26</v>
      </c>
      <c r="I819" s="31">
        <f t="shared" si="84"/>
        <v>26000</v>
      </c>
      <c r="J819" s="31">
        <f t="shared" si="85"/>
        <v>1820.0000000000002</v>
      </c>
      <c r="K819" s="44">
        <f t="shared" si="86"/>
        <v>4.9863013698630141</v>
      </c>
      <c r="L819" s="3">
        <f t="shared" si="87"/>
        <v>368.98630136986304</v>
      </c>
      <c r="M819" s="3">
        <f t="shared" si="88"/>
        <v>22.139178082191783</v>
      </c>
      <c r="N819" s="67">
        <f t="shared" si="89"/>
        <v>346.84712328767125</v>
      </c>
      <c r="O819" s="3"/>
      <c r="P819" s="70" t="s">
        <v>18612</v>
      </c>
      <c r="Q819" s="2" t="s">
        <v>103</v>
      </c>
      <c r="R819" s="2" t="s">
        <v>15260</v>
      </c>
      <c r="T819" t="s">
        <v>18666</v>
      </c>
      <c r="U819" t="s">
        <v>18652</v>
      </c>
      <c r="V819" s="104">
        <v>45857</v>
      </c>
      <c r="X819" s="97"/>
      <c r="Y819" s="75">
        <v>346.84999999999997</v>
      </c>
    </row>
    <row r="820" spans="1:25" x14ac:dyDescent="0.25">
      <c r="A820" s="76">
        <v>851</v>
      </c>
      <c r="B820" s="2" t="s">
        <v>11749</v>
      </c>
      <c r="C820" s="2" t="s">
        <v>11750</v>
      </c>
      <c r="D820" s="2" t="s">
        <v>11751</v>
      </c>
      <c r="E820" s="2" t="s">
        <v>11752</v>
      </c>
      <c r="F820" s="2" t="s">
        <v>11753</v>
      </c>
      <c r="G820" s="2" t="s">
        <v>247</v>
      </c>
      <c r="H820" s="17">
        <v>25</v>
      </c>
      <c r="I820" s="31">
        <f t="shared" si="84"/>
        <v>25000</v>
      </c>
      <c r="J820" s="31">
        <f t="shared" si="85"/>
        <v>1750.0000000000002</v>
      </c>
      <c r="K820" s="44">
        <f t="shared" si="86"/>
        <v>4.794520547945206</v>
      </c>
      <c r="L820" s="3">
        <f t="shared" si="87"/>
        <v>354.79452054794524</v>
      </c>
      <c r="M820" s="3">
        <f t="shared" si="88"/>
        <v>21.287671232876715</v>
      </c>
      <c r="N820" s="67">
        <f t="shared" si="89"/>
        <v>333.50684931506851</v>
      </c>
      <c r="O820" s="3"/>
      <c r="P820" s="70" t="s">
        <v>18612</v>
      </c>
      <c r="Q820" s="2" t="s">
        <v>103</v>
      </c>
      <c r="R820" s="2" t="s">
        <v>11754</v>
      </c>
      <c r="T820" t="s">
        <v>18666</v>
      </c>
      <c r="U820" t="s">
        <v>18652</v>
      </c>
      <c r="V820" s="104">
        <v>45857</v>
      </c>
      <c r="X820" s="97"/>
      <c r="Y820" s="75">
        <v>333.51</v>
      </c>
    </row>
    <row r="821" spans="1:25" x14ac:dyDescent="0.25">
      <c r="A821" s="76">
        <v>852</v>
      </c>
      <c r="B821" s="2" t="s">
        <v>14637</v>
      </c>
      <c r="C821" s="2" t="s">
        <v>14638</v>
      </c>
      <c r="D821" s="2" t="s">
        <v>14639</v>
      </c>
      <c r="E821" s="2" t="s">
        <v>14640</v>
      </c>
      <c r="F821" s="2" t="s">
        <v>14641</v>
      </c>
      <c r="G821" s="2" t="s">
        <v>23</v>
      </c>
      <c r="H821" s="17">
        <v>25</v>
      </c>
      <c r="I821" s="31">
        <f t="shared" si="84"/>
        <v>25000</v>
      </c>
      <c r="J821" s="31">
        <f t="shared" si="85"/>
        <v>1750.0000000000002</v>
      </c>
      <c r="K821" s="44">
        <f t="shared" si="86"/>
        <v>4.794520547945206</v>
      </c>
      <c r="L821" s="3">
        <f t="shared" si="87"/>
        <v>354.79452054794524</v>
      </c>
      <c r="M821" s="3">
        <f t="shared" si="88"/>
        <v>21.287671232876715</v>
      </c>
      <c r="N821" s="67">
        <f t="shared" si="89"/>
        <v>333.50684931506851</v>
      </c>
      <c r="O821" s="3"/>
      <c r="P821" s="70" t="s">
        <v>18612</v>
      </c>
      <c r="Q821" s="2" t="s">
        <v>103</v>
      </c>
      <c r="R821" s="2" t="s">
        <v>14642</v>
      </c>
      <c r="T821" t="s">
        <v>18666</v>
      </c>
      <c r="U821" t="s">
        <v>18652</v>
      </c>
      <c r="V821" s="104">
        <v>45857</v>
      </c>
      <c r="X821" s="97"/>
      <c r="Y821" s="75">
        <v>333.51</v>
      </c>
    </row>
    <row r="822" spans="1:25" x14ac:dyDescent="0.25">
      <c r="A822" s="76">
        <v>853</v>
      </c>
      <c r="B822" s="2" t="s">
        <v>11247</v>
      </c>
      <c r="C822" s="2" t="s">
        <v>9701</v>
      </c>
      <c r="D822" s="2" t="s">
        <v>11248</v>
      </c>
      <c r="E822" s="2" t="s">
        <v>11249</v>
      </c>
      <c r="F822" s="2" t="s">
        <v>11250</v>
      </c>
      <c r="G822" s="2" t="s">
        <v>1048</v>
      </c>
      <c r="H822" s="17">
        <v>100</v>
      </c>
      <c r="I822" s="31">
        <f t="shared" si="84"/>
        <v>100000</v>
      </c>
      <c r="J822" s="31">
        <f t="shared" si="85"/>
        <v>7000.0000000000009</v>
      </c>
      <c r="K822" s="44">
        <f t="shared" si="86"/>
        <v>19.178082191780824</v>
      </c>
      <c r="L822" s="3">
        <f t="shared" si="87"/>
        <v>1419.178082191781</v>
      </c>
      <c r="M822" s="3">
        <f t="shared" si="88"/>
        <v>85.150684931506859</v>
      </c>
      <c r="N822" s="67">
        <f t="shared" si="89"/>
        <v>1334.027397260274</v>
      </c>
      <c r="O822" s="3"/>
      <c r="P822" s="70" t="s">
        <v>18612</v>
      </c>
      <c r="Q822" s="2" t="s">
        <v>103</v>
      </c>
      <c r="R822" s="2" t="s">
        <v>11251</v>
      </c>
      <c r="T822" t="s">
        <v>18666</v>
      </c>
      <c r="U822" t="s">
        <v>18652</v>
      </c>
      <c r="V822" s="104">
        <v>45857</v>
      </c>
      <c r="X822" s="97"/>
      <c r="Y822" s="75">
        <v>1334.03</v>
      </c>
    </row>
    <row r="823" spans="1:25" x14ac:dyDescent="0.25">
      <c r="A823" s="76">
        <v>854</v>
      </c>
      <c r="B823" s="2" t="s">
        <v>16874</v>
      </c>
      <c r="C823" s="2" t="s">
        <v>16875</v>
      </c>
      <c r="D823" s="2" t="s">
        <v>16876</v>
      </c>
      <c r="E823" s="2" t="s">
        <v>16877</v>
      </c>
      <c r="F823" s="2" t="s">
        <v>16878</v>
      </c>
      <c r="G823" s="2" t="s">
        <v>5013</v>
      </c>
      <c r="H823" s="17">
        <v>25</v>
      </c>
      <c r="I823" s="31">
        <f t="shared" si="84"/>
        <v>25000</v>
      </c>
      <c r="J823" s="31">
        <f t="shared" si="85"/>
        <v>1750.0000000000002</v>
      </c>
      <c r="K823" s="44">
        <f t="shared" si="86"/>
        <v>4.794520547945206</v>
      </c>
      <c r="L823" s="3">
        <f t="shared" si="87"/>
        <v>354.79452054794524</v>
      </c>
      <c r="M823" s="3">
        <f t="shared" si="88"/>
        <v>21.287671232876715</v>
      </c>
      <c r="N823" s="67">
        <f t="shared" si="89"/>
        <v>333.50684931506851</v>
      </c>
      <c r="O823" s="3"/>
      <c r="P823" s="70" t="s">
        <v>18612</v>
      </c>
      <c r="Q823" s="2" t="s">
        <v>103</v>
      </c>
      <c r="R823" s="2" t="s">
        <v>16879</v>
      </c>
      <c r="T823" t="s">
        <v>18666</v>
      </c>
      <c r="U823" t="s">
        <v>18652</v>
      </c>
      <c r="V823" s="104">
        <v>45857</v>
      </c>
      <c r="X823" s="97"/>
      <c r="Y823" s="75">
        <v>333.51</v>
      </c>
    </row>
    <row r="824" spans="1:25" x14ac:dyDescent="0.25">
      <c r="A824" s="76">
        <v>855</v>
      </c>
      <c r="B824" s="2" t="s">
        <v>13468</v>
      </c>
      <c r="C824" s="2" t="s">
        <v>13469</v>
      </c>
      <c r="D824" s="2" t="s">
        <v>13470</v>
      </c>
      <c r="E824" s="2" t="s">
        <v>13471</v>
      </c>
      <c r="F824" s="2" t="s">
        <v>13472</v>
      </c>
      <c r="G824" s="2" t="s">
        <v>412</v>
      </c>
      <c r="H824" s="17">
        <v>25</v>
      </c>
      <c r="I824" s="31">
        <f t="shared" si="84"/>
        <v>25000</v>
      </c>
      <c r="J824" s="31">
        <f t="shared" si="85"/>
        <v>1750.0000000000002</v>
      </c>
      <c r="K824" s="44">
        <f t="shared" si="86"/>
        <v>4.794520547945206</v>
      </c>
      <c r="L824" s="3">
        <f t="shared" si="87"/>
        <v>354.79452054794524</v>
      </c>
      <c r="M824" s="3">
        <f t="shared" si="88"/>
        <v>21.287671232876715</v>
      </c>
      <c r="N824" s="67">
        <f t="shared" si="89"/>
        <v>333.50684931506851</v>
      </c>
      <c r="O824" s="3"/>
      <c r="P824" s="70" t="s">
        <v>18612</v>
      </c>
      <c r="Q824" s="2" t="s">
        <v>103</v>
      </c>
      <c r="R824" s="2" t="s">
        <v>13473</v>
      </c>
      <c r="T824" t="s">
        <v>18666</v>
      </c>
      <c r="U824" t="s">
        <v>18652</v>
      </c>
      <c r="V824" s="104">
        <v>45857</v>
      </c>
      <c r="X824" s="97"/>
      <c r="Y824" s="75">
        <v>333.51</v>
      </c>
    </row>
    <row r="825" spans="1:25" x14ac:dyDescent="0.25">
      <c r="A825" s="76">
        <v>856</v>
      </c>
      <c r="B825" s="2" t="s">
        <v>17501</v>
      </c>
      <c r="C825" s="2" t="s">
        <v>17502</v>
      </c>
      <c r="D825" s="2" t="s">
        <v>17503</v>
      </c>
      <c r="E825" s="2" t="s">
        <v>17504</v>
      </c>
      <c r="F825" s="2" t="s">
        <v>17505</v>
      </c>
      <c r="G825" s="2" t="s">
        <v>524</v>
      </c>
      <c r="H825" s="17">
        <v>100</v>
      </c>
      <c r="I825" s="31">
        <f t="shared" si="84"/>
        <v>100000</v>
      </c>
      <c r="J825" s="31">
        <f t="shared" si="85"/>
        <v>7000.0000000000009</v>
      </c>
      <c r="K825" s="44">
        <f t="shared" si="86"/>
        <v>19.178082191780824</v>
      </c>
      <c r="L825" s="3">
        <f t="shared" si="87"/>
        <v>1419.178082191781</v>
      </c>
      <c r="M825" s="3">
        <f t="shared" si="88"/>
        <v>85.150684931506859</v>
      </c>
      <c r="N825" s="67">
        <f t="shared" si="89"/>
        <v>1334.027397260274</v>
      </c>
      <c r="O825" s="3"/>
      <c r="P825" s="70" t="s">
        <v>18612</v>
      </c>
      <c r="Q825" s="2" t="s">
        <v>103</v>
      </c>
      <c r="R825" s="2" t="s">
        <v>17506</v>
      </c>
      <c r="T825" t="s">
        <v>18666</v>
      </c>
      <c r="U825" t="s">
        <v>18652</v>
      </c>
      <c r="V825" s="104">
        <v>45857</v>
      </c>
      <c r="X825" s="97"/>
      <c r="Y825" s="75">
        <v>1334.03</v>
      </c>
    </row>
    <row r="826" spans="1:25" x14ac:dyDescent="0.25">
      <c r="A826" s="76">
        <v>857</v>
      </c>
      <c r="B826" s="2" t="s">
        <v>8344</v>
      </c>
      <c r="C826" s="2" t="s">
        <v>8345</v>
      </c>
      <c r="D826" s="2" t="s">
        <v>8346</v>
      </c>
      <c r="E826" s="2" t="s">
        <v>8347</v>
      </c>
      <c r="F826" s="2" t="s">
        <v>8348</v>
      </c>
      <c r="G826" s="2" t="s">
        <v>39</v>
      </c>
      <c r="H826" s="17">
        <v>25</v>
      </c>
      <c r="I826" s="31">
        <f t="shared" si="84"/>
        <v>25000</v>
      </c>
      <c r="J826" s="31">
        <f t="shared" si="85"/>
        <v>1750.0000000000002</v>
      </c>
      <c r="K826" s="44">
        <f t="shared" si="86"/>
        <v>4.794520547945206</v>
      </c>
      <c r="L826" s="3">
        <f t="shared" si="87"/>
        <v>354.79452054794524</v>
      </c>
      <c r="M826" s="3">
        <f t="shared" si="88"/>
        <v>21.287671232876715</v>
      </c>
      <c r="N826" s="67">
        <f t="shared" si="89"/>
        <v>333.50684931506851</v>
      </c>
      <c r="O826" s="3"/>
      <c r="P826" s="70" t="s">
        <v>18612</v>
      </c>
      <c r="Q826" s="2" t="s">
        <v>103</v>
      </c>
      <c r="R826" s="2" t="s">
        <v>8349</v>
      </c>
      <c r="T826" t="s">
        <v>18666</v>
      </c>
      <c r="U826" t="s">
        <v>18652</v>
      </c>
      <c r="V826" s="104">
        <v>45857</v>
      </c>
      <c r="X826" s="97"/>
      <c r="Y826" s="75">
        <v>333.51</v>
      </c>
    </row>
    <row r="827" spans="1:25" x14ac:dyDescent="0.25">
      <c r="A827" s="76">
        <v>858</v>
      </c>
      <c r="B827" s="2" t="s">
        <v>188</v>
      </c>
      <c r="C827" s="2" t="s">
        <v>189</v>
      </c>
      <c r="D827" s="2" t="s">
        <v>190</v>
      </c>
      <c r="E827" s="2" t="s">
        <v>191</v>
      </c>
      <c r="F827" s="2" t="s">
        <v>192</v>
      </c>
      <c r="G827" s="2" t="s">
        <v>193</v>
      </c>
      <c r="H827" s="17">
        <v>25</v>
      </c>
      <c r="I827" s="31">
        <f t="shared" si="84"/>
        <v>25000</v>
      </c>
      <c r="J827" s="31">
        <f t="shared" si="85"/>
        <v>1750.0000000000002</v>
      </c>
      <c r="K827" s="44">
        <f t="shared" si="86"/>
        <v>4.794520547945206</v>
      </c>
      <c r="L827" s="3">
        <f t="shared" si="87"/>
        <v>354.79452054794524</v>
      </c>
      <c r="M827" s="3">
        <f t="shared" si="88"/>
        <v>21.287671232876715</v>
      </c>
      <c r="N827" s="67">
        <f t="shared" si="89"/>
        <v>333.50684931506851</v>
      </c>
      <c r="O827" s="3"/>
      <c r="P827" s="70" t="s">
        <v>18612</v>
      </c>
      <c r="Q827" s="2" t="s">
        <v>103</v>
      </c>
      <c r="R827" s="2" t="s">
        <v>194</v>
      </c>
      <c r="T827" t="s">
        <v>18666</v>
      </c>
      <c r="U827" t="s">
        <v>18652</v>
      </c>
      <c r="V827" s="104">
        <v>45857</v>
      </c>
      <c r="X827" s="97"/>
      <c r="Y827" s="75">
        <v>333.51</v>
      </c>
    </row>
    <row r="828" spans="1:25" x14ac:dyDescent="0.25">
      <c r="A828" s="76">
        <v>859</v>
      </c>
      <c r="B828" s="2" t="s">
        <v>7537</v>
      </c>
      <c r="C828" s="2" t="s">
        <v>7538</v>
      </c>
      <c r="D828" s="2" t="s">
        <v>7539</v>
      </c>
      <c r="E828" s="2" t="s">
        <v>7540</v>
      </c>
      <c r="F828" s="2" t="s">
        <v>7541</v>
      </c>
      <c r="G828" s="2" t="s">
        <v>268</v>
      </c>
      <c r="H828" s="17">
        <v>25</v>
      </c>
      <c r="I828" s="31">
        <f t="shared" si="84"/>
        <v>25000</v>
      </c>
      <c r="J828" s="31">
        <f t="shared" si="85"/>
        <v>1750.0000000000002</v>
      </c>
      <c r="K828" s="44">
        <f t="shared" si="86"/>
        <v>4.794520547945206</v>
      </c>
      <c r="L828" s="3">
        <f t="shared" si="87"/>
        <v>354.79452054794524</v>
      </c>
      <c r="M828" s="3">
        <f t="shared" si="88"/>
        <v>21.287671232876715</v>
      </c>
      <c r="N828" s="67">
        <f t="shared" si="89"/>
        <v>333.50684931506851</v>
      </c>
      <c r="O828" s="3"/>
      <c r="P828" s="70" t="s">
        <v>18612</v>
      </c>
      <c r="Q828" s="2" t="s">
        <v>103</v>
      </c>
      <c r="R828" s="2" t="s">
        <v>7542</v>
      </c>
      <c r="T828" t="s">
        <v>18666</v>
      </c>
      <c r="U828" t="s">
        <v>18652</v>
      </c>
      <c r="V828" s="104">
        <v>45857</v>
      </c>
      <c r="X828" s="97"/>
      <c r="Y828" s="75">
        <v>333.51</v>
      </c>
    </row>
    <row r="829" spans="1:25" x14ac:dyDescent="0.25">
      <c r="A829" s="76">
        <v>860</v>
      </c>
      <c r="B829" s="2" t="s">
        <v>4121</v>
      </c>
      <c r="C829" s="2" t="s">
        <v>4122</v>
      </c>
      <c r="D829" s="2" t="s">
        <v>4123</v>
      </c>
      <c r="E829" s="2" t="s">
        <v>4124</v>
      </c>
      <c r="F829" s="2" t="s">
        <v>4125</v>
      </c>
      <c r="G829" s="2" t="s">
        <v>158</v>
      </c>
      <c r="H829" s="17">
        <v>25</v>
      </c>
      <c r="I829" s="31">
        <f t="shared" si="84"/>
        <v>25000</v>
      </c>
      <c r="J829" s="31">
        <f t="shared" si="85"/>
        <v>1750.0000000000002</v>
      </c>
      <c r="K829" s="44">
        <f t="shared" si="86"/>
        <v>4.794520547945206</v>
      </c>
      <c r="L829" s="3">
        <f t="shared" si="87"/>
        <v>354.79452054794524</v>
      </c>
      <c r="M829" s="3">
        <f t="shared" si="88"/>
        <v>21.287671232876715</v>
      </c>
      <c r="N829" s="67">
        <f t="shared" si="89"/>
        <v>333.50684931506851</v>
      </c>
      <c r="O829" s="3"/>
      <c r="P829" s="70" t="s">
        <v>18612</v>
      </c>
      <c r="Q829" s="2" t="s">
        <v>103</v>
      </c>
      <c r="R829" s="2" t="s">
        <v>4126</v>
      </c>
      <c r="T829" t="s">
        <v>18666</v>
      </c>
      <c r="U829" t="s">
        <v>18652</v>
      </c>
      <c r="V829" s="104">
        <v>45857</v>
      </c>
      <c r="X829" s="97"/>
      <c r="Y829" s="75">
        <v>333.51</v>
      </c>
    </row>
    <row r="830" spans="1:25" x14ac:dyDescent="0.25">
      <c r="A830" s="76">
        <v>861</v>
      </c>
      <c r="B830" s="2" t="s">
        <v>15468</v>
      </c>
      <c r="C830" s="2" t="s">
        <v>8057</v>
      </c>
      <c r="D830" s="2" t="s">
        <v>15469</v>
      </c>
      <c r="E830" s="2" t="s">
        <v>15470</v>
      </c>
      <c r="F830" s="2" t="s">
        <v>15471</v>
      </c>
      <c r="G830" s="2" t="s">
        <v>510</v>
      </c>
      <c r="H830" s="17">
        <v>25</v>
      </c>
      <c r="I830" s="31">
        <f t="shared" si="84"/>
        <v>25000</v>
      </c>
      <c r="J830" s="31">
        <f t="shared" si="85"/>
        <v>1750.0000000000002</v>
      </c>
      <c r="K830" s="44">
        <f t="shared" si="86"/>
        <v>4.794520547945206</v>
      </c>
      <c r="L830" s="3">
        <f t="shared" si="87"/>
        <v>354.79452054794524</v>
      </c>
      <c r="M830" s="3">
        <f t="shared" si="88"/>
        <v>21.287671232876715</v>
      </c>
      <c r="N830" s="67">
        <f t="shared" si="89"/>
        <v>333.50684931506851</v>
      </c>
      <c r="O830" s="3"/>
      <c r="P830" s="70" t="s">
        <v>18612</v>
      </c>
      <c r="Q830" s="2" t="s">
        <v>103</v>
      </c>
      <c r="R830" s="2" t="s">
        <v>15472</v>
      </c>
      <c r="T830" t="s">
        <v>18666</v>
      </c>
      <c r="U830" t="s">
        <v>18652</v>
      </c>
      <c r="V830" s="104">
        <v>45857</v>
      </c>
      <c r="X830" s="97"/>
      <c r="Y830" s="75">
        <v>333.51</v>
      </c>
    </row>
    <row r="831" spans="1:25" x14ac:dyDescent="0.25">
      <c r="A831" s="76">
        <v>862</v>
      </c>
      <c r="B831" s="2" t="s">
        <v>493</v>
      </c>
      <c r="C831" s="2" t="s">
        <v>494</v>
      </c>
      <c r="D831" s="2" t="s">
        <v>495</v>
      </c>
      <c r="E831" s="2" t="s">
        <v>496</v>
      </c>
      <c r="F831" s="2" t="s">
        <v>497</v>
      </c>
      <c r="G831" s="2" t="s">
        <v>31</v>
      </c>
      <c r="H831" s="17">
        <v>25</v>
      </c>
      <c r="I831" s="31">
        <f t="shared" si="84"/>
        <v>25000</v>
      </c>
      <c r="J831" s="31">
        <f t="shared" si="85"/>
        <v>1750.0000000000002</v>
      </c>
      <c r="K831" s="44">
        <f t="shared" si="86"/>
        <v>4.794520547945206</v>
      </c>
      <c r="L831" s="3">
        <f t="shared" si="87"/>
        <v>354.79452054794524</v>
      </c>
      <c r="M831" s="3">
        <f t="shared" si="88"/>
        <v>21.287671232876715</v>
      </c>
      <c r="N831" s="67">
        <f t="shared" si="89"/>
        <v>333.50684931506851</v>
      </c>
      <c r="O831" s="3"/>
      <c r="P831" s="70" t="s">
        <v>18612</v>
      </c>
      <c r="Q831" s="2" t="s">
        <v>103</v>
      </c>
      <c r="R831" s="2" t="s">
        <v>498</v>
      </c>
      <c r="T831" t="s">
        <v>18666</v>
      </c>
      <c r="U831" t="s">
        <v>18652</v>
      </c>
      <c r="V831" s="104">
        <v>45857</v>
      </c>
      <c r="X831" s="97"/>
      <c r="Y831" s="75">
        <v>333.51</v>
      </c>
    </row>
    <row r="832" spans="1:25" x14ac:dyDescent="0.25">
      <c r="A832" s="76">
        <v>863</v>
      </c>
      <c r="B832" s="2" t="s">
        <v>13402</v>
      </c>
      <c r="C832" s="2" t="s">
        <v>13403</v>
      </c>
      <c r="D832" s="2" t="s">
        <v>13404</v>
      </c>
      <c r="E832" s="2" t="s">
        <v>13405</v>
      </c>
      <c r="F832" s="2" t="s">
        <v>13406</v>
      </c>
      <c r="G832" s="2" t="s">
        <v>799</v>
      </c>
      <c r="H832" s="17">
        <v>25</v>
      </c>
      <c r="I832" s="31">
        <f t="shared" si="84"/>
        <v>25000</v>
      </c>
      <c r="J832" s="31">
        <f t="shared" si="85"/>
        <v>1750.0000000000002</v>
      </c>
      <c r="K832" s="44">
        <f t="shared" si="86"/>
        <v>4.794520547945206</v>
      </c>
      <c r="L832" s="3">
        <f t="shared" si="87"/>
        <v>354.79452054794524</v>
      </c>
      <c r="M832" s="3">
        <f t="shared" si="88"/>
        <v>21.287671232876715</v>
      </c>
      <c r="N832" s="67">
        <f t="shared" si="89"/>
        <v>333.50684931506851</v>
      </c>
      <c r="O832" s="3"/>
      <c r="P832" s="70" t="s">
        <v>18612</v>
      </c>
      <c r="Q832" s="2" t="s">
        <v>103</v>
      </c>
      <c r="R832" s="2" t="s">
        <v>13407</v>
      </c>
      <c r="T832" t="s">
        <v>18666</v>
      </c>
      <c r="U832" t="s">
        <v>18652</v>
      </c>
      <c r="V832" s="104">
        <v>45857</v>
      </c>
      <c r="X832" s="97"/>
      <c r="Y832" s="75">
        <v>333.51</v>
      </c>
    </row>
    <row r="833" spans="1:25" x14ac:dyDescent="0.25">
      <c r="A833" s="76">
        <v>864</v>
      </c>
      <c r="B833" s="2" t="s">
        <v>13107</v>
      </c>
      <c r="C833" s="2" t="s">
        <v>13108</v>
      </c>
      <c r="D833" s="2" t="s">
        <v>13109</v>
      </c>
      <c r="E833" s="2" t="s">
        <v>13110</v>
      </c>
      <c r="F833" s="2" t="s">
        <v>13111</v>
      </c>
      <c r="G833" s="2" t="s">
        <v>268</v>
      </c>
      <c r="H833" s="17">
        <v>25</v>
      </c>
      <c r="I833" s="31">
        <f t="shared" si="84"/>
        <v>25000</v>
      </c>
      <c r="J833" s="31">
        <f t="shared" si="85"/>
        <v>1750.0000000000002</v>
      </c>
      <c r="K833" s="44">
        <f t="shared" si="86"/>
        <v>4.794520547945206</v>
      </c>
      <c r="L833" s="3">
        <f t="shared" si="87"/>
        <v>354.79452054794524</v>
      </c>
      <c r="M833" s="3">
        <f t="shared" si="88"/>
        <v>21.287671232876715</v>
      </c>
      <c r="N833" s="67">
        <f t="shared" si="89"/>
        <v>333.50684931506851</v>
      </c>
      <c r="O833" s="3"/>
      <c r="P833" s="70" t="s">
        <v>18612</v>
      </c>
      <c r="Q833" s="2" t="s">
        <v>103</v>
      </c>
      <c r="R833" s="2" t="s">
        <v>13112</v>
      </c>
      <c r="T833" t="s">
        <v>18666</v>
      </c>
      <c r="U833" t="s">
        <v>18652</v>
      </c>
      <c r="V833" s="104">
        <v>45857</v>
      </c>
      <c r="X833" s="97"/>
      <c r="Y833" s="75">
        <v>333.51</v>
      </c>
    </row>
    <row r="834" spans="1:25" x14ac:dyDescent="0.25">
      <c r="A834" s="76">
        <v>865</v>
      </c>
      <c r="B834" s="2" t="s">
        <v>4658</v>
      </c>
      <c r="C834" s="2" t="s">
        <v>4659</v>
      </c>
      <c r="D834" s="2" t="s">
        <v>4660</v>
      </c>
      <c r="E834" s="2" t="s">
        <v>4661</v>
      </c>
      <c r="F834" s="2" t="s">
        <v>4662</v>
      </c>
      <c r="G834" s="2" t="s">
        <v>158</v>
      </c>
      <c r="H834" s="17">
        <v>25</v>
      </c>
      <c r="I834" s="31">
        <f t="shared" si="84"/>
        <v>25000</v>
      </c>
      <c r="J834" s="31">
        <f t="shared" si="85"/>
        <v>1750.0000000000002</v>
      </c>
      <c r="K834" s="44">
        <f t="shared" si="86"/>
        <v>4.794520547945206</v>
      </c>
      <c r="L834" s="3">
        <f t="shared" si="87"/>
        <v>354.79452054794524</v>
      </c>
      <c r="M834" s="3">
        <f t="shared" si="88"/>
        <v>21.287671232876715</v>
      </c>
      <c r="N834" s="67">
        <f t="shared" si="89"/>
        <v>333.50684931506851</v>
      </c>
      <c r="O834" s="3"/>
      <c r="P834" s="70" t="s">
        <v>18612</v>
      </c>
      <c r="Q834" s="2" t="s">
        <v>103</v>
      </c>
      <c r="R834" s="2" t="s">
        <v>4663</v>
      </c>
      <c r="T834" t="s">
        <v>18666</v>
      </c>
      <c r="U834" t="s">
        <v>18652</v>
      </c>
      <c r="V834" s="104">
        <v>45857</v>
      </c>
      <c r="X834" s="97"/>
      <c r="Y834" s="75">
        <v>333.51</v>
      </c>
    </row>
    <row r="835" spans="1:25" x14ac:dyDescent="0.25">
      <c r="A835" s="76">
        <v>866</v>
      </c>
      <c r="B835" s="2" t="s">
        <v>1760</v>
      </c>
      <c r="C835" s="2" t="s">
        <v>1761</v>
      </c>
      <c r="D835" s="2" t="s">
        <v>1762</v>
      </c>
      <c r="E835" s="2" t="s">
        <v>1763</v>
      </c>
      <c r="F835" s="2" t="s">
        <v>1764</v>
      </c>
      <c r="G835" s="2" t="s">
        <v>151</v>
      </c>
      <c r="H835" s="17">
        <v>25</v>
      </c>
      <c r="I835" s="31">
        <f t="shared" si="84"/>
        <v>25000</v>
      </c>
      <c r="J835" s="31">
        <f t="shared" si="85"/>
        <v>1750.0000000000002</v>
      </c>
      <c r="K835" s="44">
        <f t="shared" si="86"/>
        <v>4.794520547945206</v>
      </c>
      <c r="L835" s="3">
        <f t="shared" si="87"/>
        <v>354.79452054794524</v>
      </c>
      <c r="M835" s="3">
        <f t="shared" si="88"/>
        <v>21.287671232876715</v>
      </c>
      <c r="N835" s="67">
        <f t="shared" si="89"/>
        <v>333.50684931506851</v>
      </c>
      <c r="O835" s="3"/>
      <c r="P835" s="70" t="s">
        <v>18612</v>
      </c>
      <c r="Q835" s="2" t="s">
        <v>103</v>
      </c>
      <c r="R835" s="2" t="s">
        <v>1765</v>
      </c>
      <c r="T835" t="s">
        <v>18666</v>
      </c>
      <c r="U835" t="s">
        <v>18652</v>
      </c>
      <c r="V835" s="104">
        <v>45857</v>
      </c>
      <c r="X835" s="97"/>
      <c r="Y835" s="75">
        <v>333.51</v>
      </c>
    </row>
    <row r="836" spans="1:25" x14ac:dyDescent="0.25">
      <c r="A836" s="76">
        <v>867</v>
      </c>
      <c r="B836" s="2" t="s">
        <v>2897</v>
      </c>
      <c r="C836" s="2" t="s">
        <v>2898</v>
      </c>
      <c r="D836" s="2" t="s">
        <v>2899</v>
      </c>
      <c r="E836" s="2" t="s">
        <v>2900</v>
      </c>
      <c r="F836" s="2" t="s">
        <v>2901</v>
      </c>
      <c r="G836" s="2" t="s">
        <v>31</v>
      </c>
      <c r="H836" s="17">
        <v>25</v>
      </c>
      <c r="I836" s="31">
        <f t="shared" si="84"/>
        <v>25000</v>
      </c>
      <c r="J836" s="31">
        <f t="shared" si="85"/>
        <v>1750.0000000000002</v>
      </c>
      <c r="K836" s="44">
        <f t="shared" si="86"/>
        <v>4.794520547945206</v>
      </c>
      <c r="L836" s="3">
        <f t="shared" si="87"/>
        <v>354.79452054794524</v>
      </c>
      <c r="M836" s="3">
        <f t="shared" si="88"/>
        <v>21.287671232876715</v>
      </c>
      <c r="N836" s="67">
        <f t="shared" si="89"/>
        <v>333.50684931506851</v>
      </c>
      <c r="O836" s="3"/>
      <c r="P836" s="70" t="s">
        <v>18612</v>
      </c>
      <c r="Q836" s="2" t="s">
        <v>103</v>
      </c>
      <c r="R836" s="2" t="s">
        <v>2902</v>
      </c>
      <c r="T836" t="s">
        <v>18666</v>
      </c>
      <c r="U836" t="s">
        <v>18652</v>
      </c>
      <c r="V836" s="104">
        <v>45857</v>
      </c>
      <c r="X836" s="97"/>
      <c r="Y836" s="75">
        <v>333.51</v>
      </c>
    </row>
    <row r="837" spans="1:25" x14ac:dyDescent="0.25">
      <c r="A837" s="76">
        <v>868</v>
      </c>
      <c r="B837" s="2" t="s">
        <v>2234</v>
      </c>
      <c r="C837" s="2" t="s">
        <v>2235</v>
      </c>
      <c r="D837" s="2" t="s">
        <v>2236</v>
      </c>
      <c r="E837" s="2" t="s">
        <v>2237</v>
      </c>
      <c r="F837" s="2" t="s">
        <v>2238</v>
      </c>
      <c r="G837" s="2" t="s">
        <v>31</v>
      </c>
      <c r="H837" s="17">
        <v>50</v>
      </c>
      <c r="I837" s="31">
        <f t="shared" si="84"/>
        <v>50000</v>
      </c>
      <c r="J837" s="31">
        <f t="shared" si="85"/>
        <v>3500.0000000000005</v>
      </c>
      <c r="K837" s="44">
        <f t="shared" si="86"/>
        <v>9.589041095890412</v>
      </c>
      <c r="L837" s="3">
        <f t="shared" si="87"/>
        <v>709.58904109589048</v>
      </c>
      <c r="M837" s="3">
        <f t="shared" si="88"/>
        <v>42.57534246575343</v>
      </c>
      <c r="N837" s="67">
        <f t="shared" si="89"/>
        <v>667.01369863013701</v>
      </c>
      <c r="O837" s="3"/>
      <c r="P837" s="70" t="s">
        <v>18612</v>
      </c>
      <c r="Q837" s="2" t="s">
        <v>103</v>
      </c>
      <c r="R837" s="2" t="s">
        <v>2239</v>
      </c>
      <c r="T837" t="s">
        <v>18666</v>
      </c>
      <c r="U837" t="s">
        <v>18652</v>
      </c>
      <c r="V837" s="104">
        <v>45857</v>
      </c>
      <c r="X837" s="97"/>
      <c r="Y837" s="75">
        <v>667.02</v>
      </c>
    </row>
    <row r="838" spans="1:25" x14ac:dyDescent="0.25">
      <c r="A838" s="76">
        <v>869</v>
      </c>
      <c r="B838" s="2" t="s">
        <v>13125</v>
      </c>
      <c r="C838" s="2" t="s">
        <v>13126</v>
      </c>
      <c r="D838" s="2" t="s">
        <v>12442</v>
      </c>
      <c r="E838" s="2" t="s">
        <v>9666</v>
      </c>
      <c r="F838" s="2" t="s">
        <v>13127</v>
      </c>
      <c r="G838" s="2" t="s">
        <v>31</v>
      </c>
      <c r="H838" s="17">
        <v>50</v>
      </c>
      <c r="I838" s="31">
        <f t="shared" si="84"/>
        <v>50000</v>
      </c>
      <c r="J838" s="31">
        <f t="shared" si="85"/>
        <v>3500.0000000000005</v>
      </c>
      <c r="K838" s="44">
        <f t="shared" si="86"/>
        <v>9.589041095890412</v>
      </c>
      <c r="L838" s="3">
        <f t="shared" si="87"/>
        <v>709.58904109589048</v>
      </c>
      <c r="M838" s="3">
        <f t="shared" si="88"/>
        <v>42.57534246575343</v>
      </c>
      <c r="N838" s="67">
        <f t="shared" si="89"/>
        <v>667.01369863013701</v>
      </c>
      <c r="O838" s="3"/>
      <c r="P838" s="70" t="s">
        <v>18612</v>
      </c>
      <c r="Q838" s="2" t="s">
        <v>103</v>
      </c>
      <c r="R838" s="2" t="s">
        <v>13128</v>
      </c>
      <c r="T838" t="s">
        <v>18666</v>
      </c>
      <c r="U838" t="s">
        <v>18652</v>
      </c>
      <c r="V838" s="104">
        <v>45857</v>
      </c>
      <c r="X838" s="97"/>
      <c r="Y838" s="75">
        <v>667.02</v>
      </c>
    </row>
    <row r="839" spans="1:25" x14ac:dyDescent="0.25">
      <c r="A839" s="76">
        <v>870</v>
      </c>
      <c r="B839" s="2" t="s">
        <v>5936</v>
      </c>
      <c r="C839" s="2" t="s">
        <v>5937</v>
      </c>
      <c r="D839" s="2" t="s">
        <v>5938</v>
      </c>
      <c r="E839" s="2" t="s">
        <v>5939</v>
      </c>
      <c r="F839" s="2" t="s">
        <v>5940</v>
      </c>
      <c r="G839" s="2" t="s">
        <v>31</v>
      </c>
      <c r="H839" s="17">
        <v>25</v>
      </c>
      <c r="I839" s="31">
        <f t="shared" si="84"/>
        <v>25000</v>
      </c>
      <c r="J839" s="31">
        <f t="shared" si="85"/>
        <v>1750.0000000000002</v>
      </c>
      <c r="K839" s="44">
        <f t="shared" si="86"/>
        <v>4.794520547945206</v>
      </c>
      <c r="L839" s="3">
        <f t="shared" si="87"/>
        <v>354.79452054794524</v>
      </c>
      <c r="M839" s="3">
        <f t="shared" si="88"/>
        <v>21.287671232876715</v>
      </c>
      <c r="N839" s="67">
        <f t="shared" si="89"/>
        <v>333.50684931506851</v>
      </c>
      <c r="O839" s="3"/>
      <c r="P839" s="70" t="s">
        <v>18612</v>
      </c>
      <c r="Q839" s="2" t="s">
        <v>103</v>
      </c>
      <c r="R839" s="2" t="s">
        <v>5941</v>
      </c>
      <c r="T839" t="s">
        <v>18666</v>
      </c>
      <c r="U839" t="s">
        <v>18652</v>
      </c>
      <c r="V839" s="104">
        <v>45857</v>
      </c>
      <c r="X839" s="97"/>
      <c r="Y839" s="75">
        <v>333.51</v>
      </c>
    </row>
    <row r="840" spans="1:25" x14ac:dyDescent="0.25">
      <c r="A840" s="76">
        <v>871</v>
      </c>
      <c r="B840" s="2" t="s">
        <v>16535</v>
      </c>
      <c r="C840" s="2" t="s">
        <v>16536</v>
      </c>
      <c r="D840" s="2" t="s">
        <v>16537</v>
      </c>
      <c r="E840" s="2" t="s">
        <v>16538</v>
      </c>
      <c r="F840" s="2" t="s">
        <v>16539</v>
      </c>
      <c r="G840" s="2" t="s">
        <v>876</v>
      </c>
      <c r="H840" s="17">
        <v>30</v>
      </c>
      <c r="I840" s="31">
        <f t="shared" si="84"/>
        <v>30000</v>
      </c>
      <c r="J840" s="31">
        <f t="shared" si="85"/>
        <v>2100</v>
      </c>
      <c r="K840" s="44">
        <f t="shared" si="86"/>
        <v>5.7534246575342465</v>
      </c>
      <c r="L840" s="3">
        <f t="shared" si="87"/>
        <v>425.75342465753425</v>
      </c>
      <c r="M840" s="3">
        <f t="shared" si="88"/>
        <v>25.545205479452054</v>
      </c>
      <c r="N840" s="67">
        <f t="shared" si="89"/>
        <v>400.20821917808217</v>
      </c>
      <c r="O840" s="3"/>
      <c r="P840" s="70" t="s">
        <v>18612</v>
      </c>
      <c r="Q840" s="2" t="s">
        <v>103</v>
      </c>
      <c r="R840" s="2" t="s">
        <v>16540</v>
      </c>
      <c r="T840" t="s">
        <v>18666</v>
      </c>
      <c r="U840" t="s">
        <v>18652</v>
      </c>
      <c r="V840" s="104">
        <v>45857</v>
      </c>
      <c r="X840" s="97"/>
      <c r="Y840" s="75">
        <v>400.21</v>
      </c>
    </row>
    <row r="841" spans="1:25" x14ac:dyDescent="0.25">
      <c r="A841" s="76">
        <v>872</v>
      </c>
      <c r="B841" s="2" t="s">
        <v>15105</v>
      </c>
      <c r="C841" s="2" t="s">
        <v>15106</v>
      </c>
      <c r="D841" s="2" t="s">
        <v>15107</v>
      </c>
      <c r="E841" s="2" t="s">
        <v>15108</v>
      </c>
      <c r="F841" s="2" t="s">
        <v>15109</v>
      </c>
      <c r="G841" s="2" t="s">
        <v>750</v>
      </c>
      <c r="H841" s="17">
        <v>25</v>
      </c>
      <c r="I841" s="31">
        <f t="shared" si="84"/>
        <v>25000</v>
      </c>
      <c r="J841" s="31">
        <f t="shared" si="85"/>
        <v>1750.0000000000002</v>
      </c>
      <c r="K841" s="44">
        <f t="shared" si="86"/>
        <v>4.794520547945206</v>
      </c>
      <c r="L841" s="3">
        <f t="shared" si="87"/>
        <v>354.79452054794524</v>
      </c>
      <c r="M841" s="3">
        <f t="shared" si="88"/>
        <v>21.287671232876715</v>
      </c>
      <c r="N841" s="67">
        <f t="shared" si="89"/>
        <v>333.50684931506851</v>
      </c>
      <c r="O841" s="3"/>
      <c r="P841" s="70" t="s">
        <v>18612</v>
      </c>
      <c r="Q841" s="2" t="s">
        <v>103</v>
      </c>
      <c r="R841" s="2" t="s">
        <v>15110</v>
      </c>
      <c r="T841" t="s">
        <v>18666</v>
      </c>
      <c r="U841" t="s">
        <v>18652</v>
      </c>
      <c r="V841" s="104">
        <v>45857</v>
      </c>
      <c r="X841" s="97"/>
      <c r="Y841" s="75">
        <v>333.51</v>
      </c>
    </row>
    <row r="842" spans="1:25" x14ac:dyDescent="0.25">
      <c r="A842" s="76">
        <v>873</v>
      </c>
      <c r="B842" s="2" t="s">
        <v>4410</v>
      </c>
      <c r="C842" s="2" t="s">
        <v>4411</v>
      </c>
      <c r="D842" s="2" t="s">
        <v>4412</v>
      </c>
      <c r="E842" s="2" t="s">
        <v>4413</v>
      </c>
      <c r="F842" s="2" t="s">
        <v>4414</v>
      </c>
      <c r="G842" s="2" t="s">
        <v>876</v>
      </c>
      <c r="H842" s="17">
        <v>25</v>
      </c>
      <c r="I842" s="31">
        <f t="shared" si="84"/>
        <v>25000</v>
      </c>
      <c r="J842" s="31">
        <f t="shared" si="85"/>
        <v>1750.0000000000002</v>
      </c>
      <c r="K842" s="44">
        <f t="shared" si="86"/>
        <v>4.794520547945206</v>
      </c>
      <c r="L842" s="3">
        <f t="shared" si="87"/>
        <v>354.79452054794524</v>
      </c>
      <c r="M842" s="3">
        <f t="shared" si="88"/>
        <v>21.287671232876715</v>
      </c>
      <c r="N842" s="67">
        <f t="shared" si="89"/>
        <v>333.50684931506851</v>
      </c>
      <c r="O842" s="3"/>
      <c r="P842" s="70" t="s">
        <v>18612</v>
      </c>
      <c r="Q842" s="2" t="s">
        <v>103</v>
      </c>
      <c r="R842" s="2" t="s">
        <v>4415</v>
      </c>
      <c r="T842" t="s">
        <v>18666</v>
      </c>
      <c r="U842" t="s">
        <v>18652</v>
      </c>
      <c r="V842" s="104">
        <v>45857</v>
      </c>
      <c r="X842" s="97"/>
      <c r="Y842" s="75">
        <v>333.51</v>
      </c>
    </row>
    <row r="843" spans="1:25" x14ac:dyDescent="0.25">
      <c r="A843" s="76">
        <v>874</v>
      </c>
      <c r="B843" s="2" t="s">
        <v>5398</v>
      </c>
      <c r="C843" s="2" t="s">
        <v>5399</v>
      </c>
      <c r="D843" s="2" t="s">
        <v>5400</v>
      </c>
      <c r="E843" s="2" t="s">
        <v>5401</v>
      </c>
      <c r="F843" s="2" t="s">
        <v>5402</v>
      </c>
      <c r="G843" s="2" t="s">
        <v>799</v>
      </c>
      <c r="H843" s="17">
        <v>100</v>
      </c>
      <c r="I843" s="31">
        <f t="shared" si="84"/>
        <v>100000</v>
      </c>
      <c r="J843" s="31">
        <f t="shared" si="85"/>
        <v>7000.0000000000009</v>
      </c>
      <c r="K843" s="44">
        <f t="shared" si="86"/>
        <v>19.178082191780824</v>
      </c>
      <c r="L843" s="3">
        <f t="shared" si="87"/>
        <v>1419.178082191781</v>
      </c>
      <c r="M843" s="3">
        <f t="shared" si="88"/>
        <v>85.150684931506859</v>
      </c>
      <c r="N843" s="67">
        <f t="shared" si="89"/>
        <v>1334.027397260274</v>
      </c>
      <c r="O843" s="3"/>
      <c r="P843" s="70" t="s">
        <v>18612</v>
      </c>
      <c r="Q843" s="2" t="s">
        <v>103</v>
      </c>
      <c r="R843" s="2" t="s">
        <v>5403</v>
      </c>
      <c r="T843" t="s">
        <v>18666</v>
      </c>
      <c r="U843" t="s">
        <v>18652</v>
      </c>
      <c r="V843" s="104">
        <v>45857</v>
      </c>
      <c r="X843" s="97"/>
      <c r="Y843" s="75">
        <v>1334.03</v>
      </c>
    </row>
    <row r="844" spans="1:25" x14ac:dyDescent="0.25">
      <c r="A844" s="76">
        <v>875</v>
      </c>
      <c r="B844" s="2" t="s">
        <v>4965</v>
      </c>
      <c r="C844" s="2" t="s">
        <v>4966</v>
      </c>
      <c r="D844" s="2" t="s">
        <v>4967</v>
      </c>
      <c r="E844" s="2" t="s">
        <v>4968</v>
      </c>
      <c r="F844" s="2" t="s">
        <v>4969</v>
      </c>
      <c r="G844" s="2" t="s">
        <v>193</v>
      </c>
      <c r="H844" s="17">
        <v>25</v>
      </c>
      <c r="I844" s="31">
        <f t="shared" si="84"/>
        <v>25000</v>
      </c>
      <c r="J844" s="31">
        <f t="shared" si="85"/>
        <v>1750.0000000000002</v>
      </c>
      <c r="K844" s="44">
        <f t="shared" si="86"/>
        <v>4.794520547945206</v>
      </c>
      <c r="L844" s="3">
        <f t="shared" si="87"/>
        <v>354.79452054794524</v>
      </c>
      <c r="M844" s="3">
        <f t="shared" si="88"/>
        <v>21.287671232876715</v>
      </c>
      <c r="N844" s="67">
        <f t="shared" si="89"/>
        <v>333.50684931506851</v>
      </c>
      <c r="O844" s="3"/>
      <c r="P844" s="70" t="s">
        <v>18612</v>
      </c>
      <c r="Q844" s="2" t="s">
        <v>103</v>
      </c>
      <c r="R844" s="2" t="s">
        <v>4970</v>
      </c>
      <c r="T844" t="s">
        <v>18666</v>
      </c>
      <c r="U844" t="s">
        <v>18652</v>
      </c>
      <c r="V844" s="104">
        <v>45857</v>
      </c>
      <c r="X844" s="97"/>
      <c r="Y844" s="75">
        <v>333.51</v>
      </c>
    </row>
    <row r="845" spans="1:25" x14ac:dyDescent="0.25">
      <c r="A845" s="76">
        <v>876</v>
      </c>
      <c r="B845" s="2" t="s">
        <v>15942</v>
      </c>
      <c r="C845" s="2" t="s">
        <v>15943</v>
      </c>
      <c r="D845" s="2" t="s">
        <v>15944</v>
      </c>
      <c r="E845" s="2" t="s">
        <v>15945</v>
      </c>
      <c r="F845" s="2" t="s">
        <v>15946</v>
      </c>
      <c r="G845" s="2" t="s">
        <v>587</v>
      </c>
      <c r="H845" s="17">
        <v>25</v>
      </c>
      <c r="I845" s="31">
        <f t="shared" si="84"/>
        <v>25000</v>
      </c>
      <c r="J845" s="31">
        <f t="shared" si="85"/>
        <v>1750.0000000000002</v>
      </c>
      <c r="K845" s="44">
        <f t="shared" si="86"/>
        <v>4.794520547945206</v>
      </c>
      <c r="L845" s="3">
        <f t="shared" si="87"/>
        <v>354.79452054794524</v>
      </c>
      <c r="M845" s="3">
        <f t="shared" si="88"/>
        <v>21.287671232876715</v>
      </c>
      <c r="N845" s="67">
        <f t="shared" si="89"/>
        <v>333.50684931506851</v>
      </c>
      <c r="O845" s="3"/>
      <c r="P845" s="70" t="s">
        <v>18612</v>
      </c>
      <c r="Q845" s="2" t="s">
        <v>103</v>
      </c>
      <c r="R845" s="2" t="s">
        <v>15947</v>
      </c>
      <c r="T845" t="s">
        <v>18666</v>
      </c>
      <c r="U845" t="s">
        <v>18652</v>
      </c>
      <c r="V845" s="104">
        <v>45857</v>
      </c>
      <c r="X845" s="97"/>
      <c r="Y845" s="75">
        <v>333.51</v>
      </c>
    </row>
    <row r="846" spans="1:25" x14ac:dyDescent="0.25">
      <c r="A846" s="76">
        <v>877</v>
      </c>
      <c r="B846" s="2" t="s">
        <v>11802</v>
      </c>
      <c r="C846" s="2" t="s">
        <v>11803</v>
      </c>
      <c r="D846" s="2" t="s">
        <v>11804</v>
      </c>
      <c r="E846" s="2" t="s">
        <v>11805</v>
      </c>
      <c r="F846" s="2" t="s">
        <v>11806</v>
      </c>
      <c r="G846" s="2" t="s">
        <v>5013</v>
      </c>
      <c r="H846" s="17">
        <v>100</v>
      </c>
      <c r="I846" s="31">
        <f t="shared" si="84"/>
        <v>100000</v>
      </c>
      <c r="J846" s="31">
        <f t="shared" si="85"/>
        <v>7000.0000000000009</v>
      </c>
      <c r="K846" s="44">
        <f t="shared" si="86"/>
        <v>19.178082191780824</v>
      </c>
      <c r="L846" s="3">
        <f t="shared" si="87"/>
        <v>1419.178082191781</v>
      </c>
      <c r="M846" s="3">
        <f t="shared" si="88"/>
        <v>85.150684931506859</v>
      </c>
      <c r="N846" s="67">
        <f t="shared" si="89"/>
        <v>1334.027397260274</v>
      </c>
      <c r="O846" s="3"/>
      <c r="P846" s="70" t="s">
        <v>18612</v>
      </c>
      <c r="Q846" s="2" t="s">
        <v>103</v>
      </c>
      <c r="R846" s="2" t="s">
        <v>11807</v>
      </c>
      <c r="T846" t="s">
        <v>18666</v>
      </c>
      <c r="U846" t="s">
        <v>18652</v>
      </c>
      <c r="V846" s="104">
        <v>45857</v>
      </c>
      <c r="X846" s="97"/>
      <c r="Y846" s="75">
        <v>1334.03</v>
      </c>
    </row>
    <row r="847" spans="1:25" x14ac:dyDescent="0.25">
      <c r="A847" s="76">
        <v>878</v>
      </c>
      <c r="B847" s="2" t="s">
        <v>14675</v>
      </c>
      <c r="C847" s="2" t="s">
        <v>14676</v>
      </c>
      <c r="D847" s="2" t="s">
        <v>14677</v>
      </c>
      <c r="E847" s="2" t="s">
        <v>14678</v>
      </c>
      <c r="F847" s="2" t="s">
        <v>14679</v>
      </c>
      <c r="G847" s="2" t="s">
        <v>31</v>
      </c>
      <c r="H847" s="17">
        <v>300</v>
      </c>
      <c r="I847" s="31">
        <f t="shared" si="84"/>
        <v>300000</v>
      </c>
      <c r="J847" s="31">
        <f t="shared" si="85"/>
        <v>21000.000000000004</v>
      </c>
      <c r="K847" s="44">
        <f t="shared" si="86"/>
        <v>57.534246575342479</v>
      </c>
      <c r="L847" s="3">
        <f t="shared" si="87"/>
        <v>4257.5342465753438</v>
      </c>
      <c r="M847" s="3">
        <f t="shared" si="88"/>
        <v>255.45205479452062</v>
      </c>
      <c r="N847" s="67">
        <f t="shared" si="89"/>
        <v>4002.082191780823</v>
      </c>
      <c r="O847" s="3"/>
      <c r="P847" s="70" t="s">
        <v>18612</v>
      </c>
      <c r="Q847" s="2" t="s">
        <v>103</v>
      </c>
      <c r="R847" s="2" t="s">
        <v>14680</v>
      </c>
      <c r="T847" t="s">
        <v>18666</v>
      </c>
      <c r="U847" t="s">
        <v>18652</v>
      </c>
      <c r="V847" s="104">
        <v>45857</v>
      </c>
      <c r="X847" s="97"/>
      <c r="Y847" s="75">
        <v>4002.09</v>
      </c>
    </row>
    <row r="848" spans="1:25" x14ac:dyDescent="0.25">
      <c r="A848" s="76">
        <v>879</v>
      </c>
      <c r="B848" s="2" t="s">
        <v>10307</v>
      </c>
      <c r="C848" s="2" t="s">
        <v>10308</v>
      </c>
      <c r="D848" s="2" t="s">
        <v>10309</v>
      </c>
      <c r="E848" s="2" t="s">
        <v>2045</v>
      </c>
      <c r="F848" s="2" t="s">
        <v>10310</v>
      </c>
      <c r="G848" s="2" t="s">
        <v>876</v>
      </c>
      <c r="H848" s="17">
        <v>30</v>
      </c>
      <c r="I848" s="31">
        <f t="shared" si="84"/>
        <v>30000</v>
      </c>
      <c r="J848" s="31">
        <f t="shared" si="85"/>
        <v>2100</v>
      </c>
      <c r="K848" s="44">
        <f t="shared" si="86"/>
        <v>5.7534246575342465</v>
      </c>
      <c r="L848" s="3">
        <f t="shared" si="87"/>
        <v>425.75342465753425</v>
      </c>
      <c r="M848" s="3">
        <f t="shared" si="88"/>
        <v>25.545205479452054</v>
      </c>
      <c r="N848" s="67">
        <f t="shared" si="89"/>
        <v>400.20821917808217</v>
      </c>
      <c r="O848" s="3"/>
      <c r="P848" s="70" t="s">
        <v>18612</v>
      </c>
      <c r="Q848" s="2" t="s">
        <v>103</v>
      </c>
      <c r="R848" s="2" t="s">
        <v>10311</v>
      </c>
      <c r="T848" t="s">
        <v>18666</v>
      </c>
      <c r="U848" t="s">
        <v>18652</v>
      </c>
      <c r="V848" s="104">
        <v>45857</v>
      </c>
      <c r="X848" s="97"/>
      <c r="Y848" s="75">
        <v>400.21</v>
      </c>
    </row>
    <row r="849" spans="1:25" x14ac:dyDescent="0.25">
      <c r="A849" s="76">
        <v>880</v>
      </c>
      <c r="B849" s="2" t="s">
        <v>5062</v>
      </c>
      <c r="C849" s="2" t="s">
        <v>5063</v>
      </c>
      <c r="D849" s="2" t="s">
        <v>5064</v>
      </c>
      <c r="E849" s="2" t="s">
        <v>5065</v>
      </c>
      <c r="F849" s="2" t="s">
        <v>5066</v>
      </c>
      <c r="G849" s="2" t="s">
        <v>510</v>
      </c>
      <c r="H849" s="17">
        <v>25</v>
      </c>
      <c r="I849" s="31">
        <f t="shared" si="84"/>
        <v>25000</v>
      </c>
      <c r="J849" s="31">
        <f t="shared" si="85"/>
        <v>1750.0000000000002</v>
      </c>
      <c r="K849" s="44">
        <f t="shared" si="86"/>
        <v>4.794520547945206</v>
      </c>
      <c r="L849" s="3">
        <f t="shared" si="87"/>
        <v>354.79452054794524</v>
      </c>
      <c r="M849" s="3">
        <f t="shared" si="88"/>
        <v>21.287671232876715</v>
      </c>
      <c r="N849" s="67">
        <f t="shared" si="89"/>
        <v>333.50684931506851</v>
      </c>
      <c r="O849" s="3"/>
      <c r="P849" s="70" t="s">
        <v>18612</v>
      </c>
      <c r="Q849" s="2" t="s">
        <v>103</v>
      </c>
      <c r="R849" s="2" t="s">
        <v>5067</v>
      </c>
      <c r="T849" t="s">
        <v>18666</v>
      </c>
      <c r="U849" t="s">
        <v>18652</v>
      </c>
      <c r="V849" s="104">
        <v>45857</v>
      </c>
      <c r="X849" s="97"/>
      <c r="Y849" s="75">
        <v>333.51</v>
      </c>
    </row>
    <row r="850" spans="1:25" x14ac:dyDescent="0.25">
      <c r="A850" s="76">
        <v>881</v>
      </c>
      <c r="B850" s="2" t="s">
        <v>5080</v>
      </c>
      <c r="C850" s="2" t="s">
        <v>5022</v>
      </c>
      <c r="D850" s="2" t="s">
        <v>5053</v>
      </c>
      <c r="E850" s="2" t="s">
        <v>5081</v>
      </c>
      <c r="F850" s="2" t="s">
        <v>5082</v>
      </c>
      <c r="G850" s="2" t="s">
        <v>31</v>
      </c>
      <c r="H850" s="17">
        <v>25</v>
      </c>
      <c r="I850" s="31">
        <f t="shared" ref="I850:I913" si="90">H850*1000</f>
        <v>25000</v>
      </c>
      <c r="J850" s="31">
        <f t="shared" ref="J850:J913" si="91">I850*7%</f>
        <v>1750.0000000000002</v>
      </c>
      <c r="K850" s="44">
        <f t="shared" ref="K850:K913" si="92">J850/365</f>
        <v>4.794520547945206</v>
      </c>
      <c r="L850" s="3">
        <f t="shared" ref="L850:L913" si="93">K850*74</f>
        <v>354.79452054794524</v>
      </c>
      <c r="M850" s="3">
        <f t="shared" ref="M850:M913" si="94">L850*6%</f>
        <v>21.287671232876715</v>
      </c>
      <c r="N850" s="67">
        <f t="shared" ref="N850:N913" si="95">L850-M850</f>
        <v>333.50684931506851</v>
      </c>
      <c r="O850" s="3"/>
      <c r="P850" s="70" t="s">
        <v>18612</v>
      </c>
      <c r="Q850" s="2" t="s">
        <v>103</v>
      </c>
      <c r="R850" s="2" t="s">
        <v>5083</v>
      </c>
      <c r="T850" t="s">
        <v>18666</v>
      </c>
      <c r="U850" t="s">
        <v>18652</v>
      </c>
      <c r="V850" s="104">
        <v>45857</v>
      </c>
      <c r="X850" s="97"/>
      <c r="Y850" s="75">
        <v>333.51</v>
      </c>
    </row>
    <row r="851" spans="1:25" x14ac:dyDescent="0.25">
      <c r="A851" s="76">
        <v>882</v>
      </c>
      <c r="B851" s="2" t="s">
        <v>5021</v>
      </c>
      <c r="C851" s="2" t="s">
        <v>5022</v>
      </c>
      <c r="D851" s="2" t="s">
        <v>5023</v>
      </c>
      <c r="E851" s="2" t="s">
        <v>5024</v>
      </c>
      <c r="F851" s="2" t="s">
        <v>5025</v>
      </c>
      <c r="G851" s="2" t="s">
        <v>31</v>
      </c>
      <c r="H851" s="17">
        <v>25</v>
      </c>
      <c r="I851" s="31">
        <f t="shared" si="90"/>
        <v>25000</v>
      </c>
      <c r="J851" s="31">
        <f t="shared" si="91"/>
        <v>1750.0000000000002</v>
      </c>
      <c r="K851" s="44">
        <f t="shared" si="92"/>
        <v>4.794520547945206</v>
      </c>
      <c r="L851" s="3">
        <f t="shared" si="93"/>
        <v>354.79452054794524</v>
      </c>
      <c r="M851" s="3">
        <f t="shared" si="94"/>
        <v>21.287671232876715</v>
      </c>
      <c r="N851" s="67">
        <f t="shared" si="95"/>
        <v>333.50684931506851</v>
      </c>
      <c r="O851" s="3"/>
      <c r="P851" s="70" t="s">
        <v>18612</v>
      </c>
      <c r="Q851" s="2" t="s">
        <v>103</v>
      </c>
      <c r="R851" s="2" t="s">
        <v>5026</v>
      </c>
      <c r="T851" t="s">
        <v>18666</v>
      </c>
      <c r="U851" t="s">
        <v>18652</v>
      </c>
      <c r="V851" s="104">
        <v>45857</v>
      </c>
      <c r="X851" s="97"/>
      <c r="Y851" s="75">
        <v>333.51</v>
      </c>
    </row>
    <row r="852" spans="1:25" x14ac:dyDescent="0.25">
      <c r="A852" s="76">
        <v>883</v>
      </c>
      <c r="B852" s="2" t="s">
        <v>2638</v>
      </c>
      <c r="C852" s="2" t="s">
        <v>2639</v>
      </c>
      <c r="D852" s="2" t="s">
        <v>2640</v>
      </c>
      <c r="E852" s="2" t="s">
        <v>2641</v>
      </c>
      <c r="F852" s="2" t="s">
        <v>2642</v>
      </c>
      <c r="G852" s="2" t="s">
        <v>1823</v>
      </c>
      <c r="H852" s="17">
        <v>25</v>
      </c>
      <c r="I852" s="31">
        <f t="shared" si="90"/>
        <v>25000</v>
      </c>
      <c r="J852" s="31">
        <f t="shared" si="91"/>
        <v>1750.0000000000002</v>
      </c>
      <c r="K852" s="44">
        <f t="shared" si="92"/>
        <v>4.794520547945206</v>
      </c>
      <c r="L852" s="3">
        <f t="shared" si="93"/>
        <v>354.79452054794524</v>
      </c>
      <c r="M852" s="3">
        <f t="shared" si="94"/>
        <v>21.287671232876715</v>
      </c>
      <c r="N852" s="67">
        <f t="shared" si="95"/>
        <v>333.50684931506851</v>
      </c>
      <c r="O852" s="3"/>
      <c r="P852" s="70" t="s">
        <v>18612</v>
      </c>
      <c r="Q852" s="2" t="s">
        <v>103</v>
      </c>
      <c r="R852" s="2" t="s">
        <v>2643</v>
      </c>
      <c r="T852" t="s">
        <v>18666</v>
      </c>
      <c r="U852" t="s">
        <v>18652</v>
      </c>
      <c r="V852" s="104">
        <v>45857</v>
      </c>
      <c r="X852" s="97"/>
      <c r="Y852" s="75">
        <v>333.51</v>
      </c>
    </row>
    <row r="853" spans="1:25" x14ac:dyDescent="0.25">
      <c r="A853" s="76">
        <v>884</v>
      </c>
      <c r="B853" s="2" t="s">
        <v>15409</v>
      </c>
      <c r="C853" s="2" t="s">
        <v>15410</v>
      </c>
      <c r="D853" s="2" t="s">
        <v>15411</v>
      </c>
      <c r="E853" s="2" t="s">
        <v>15412</v>
      </c>
      <c r="F853" s="2" t="s">
        <v>15413</v>
      </c>
      <c r="G853" s="2" t="s">
        <v>750</v>
      </c>
      <c r="H853" s="17">
        <v>250</v>
      </c>
      <c r="I853" s="31">
        <f t="shared" si="90"/>
        <v>250000</v>
      </c>
      <c r="J853" s="31">
        <f t="shared" si="91"/>
        <v>17500</v>
      </c>
      <c r="K853" s="44">
        <f t="shared" si="92"/>
        <v>47.945205479452056</v>
      </c>
      <c r="L853" s="3">
        <f t="shared" si="93"/>
        <v>3547.9452054794519</v>
      </c>
      <c r="M853" s="3">
        <f t="shared" si="94"/>
        <v>212.8767123287671</v>
      </c>
      <c r="N853" s="67">
        <f t="shared" si="95"/>
        <v>3335.0684931506848</v>
      </c>
      <c r="O853" s="3"/>
      <c r="P853" s="70" t="s">
        <v>18612</v>
      </c>
      <c r="Q853" s="2" t="s">
        <v>103</v>
      </c>
      <c r="R853" s="2" t="s">
        <v>15414</v>
      </c>
      <c r="T853" t="s">
        <v>18666</v>
      </c>
      <c r="U853" t="s">
        <v>18652</v>
      </c>
      <c r="V853" s="104">
        <v>45857</v>
      </c>
      <c r="X853" s="97"/>
      <c r="Y853" s="75">
        <v>3335.07</v>
      </c>
    </row>
    <row r="854" spans="1:25" x14ac:dyDescent="0.25">
      <c r="A854" s="76">
        <v>885</v>
      </c>
      <c r="B854" s="2" t="s">
        <v>14228</v>
      </c>
      <c r="C854" s="2" t="s">
        <v>14229</v>
      </c>
      <c r="D854" s="2" t="s">
        <v>14230</v>
      </c>
      <c r="E854" s="2" t="s">
        <v>3491</v>
      </c>
      <c r="F854" s="2" t="s">
        <v>14231</v>
      </c>
      <c r="G854" s="2" t="s">
        <v>282</v>
      </c>
      <c r="H854" s="17">
        <v>25</v>
      </c>
      <c r="I854" s="31">
        <f t="shared" si="90"/>
        <v>25000</v>
      </c>
      <c r="J854" s="31">
        <f t="shared" si="91"/>
        <v>1750.0000000000002</v>
      </c>
      <c r="K854" s="44">
        <f t="shared" si="92"/>
        <v>4.794520547945206</v>
      </c>
      <c r="L854" s="3">
        <f t="shared" si="93"/>
        <v>354.79452054794524</v>
      </c>
      <c r="M854" s="3">
        <f t="shared" si="94"/>
        <v>21.287671232876715</v>
      </c>
      <c r="N854" s="67">
        <f t="shared" si="95"/>
        <v>333.50684931506851</v>
      </c>
      <c r="O854" s="3"/>
      <c r="P854" s="70" t="s">
        <v>18612</v>
      </c>
      <c r="Q854" s="2" t="s">
        <v>103</v>
      </c>
      <c r="R854" s="2" t="s">
        <v>14232</v>
      </c>
      <c r="T854" t="s">
        <v>18666</v>
      </c>
      <c r="U854" t="s">
        <v>18652</v>
      </c>
      <c r="V854" s="104">
        <v>45857</v>
      </c>
      <c r="X854" s="97"/>
      <c r="Y854" s="75">
        <v>333.51</v>
      </c>
    </row>
    <row r="855" spans="1:25" x14ac:dyDescent="0.25">
      <c r="A855" s="76">
        <v>886</v>
      </c>
      <c r="B855" s="2" t="s">
        <v>161</v>
      </c>
      <c r="C855" s="2" t="s">
        <v>162</v>
      </c>
      <c r="D855" s="2" t="s">
        <v>163</v>
      </c>
      <c r="E855" s="2" t="s">
        <v>164</v>
      </c>
      <c r="F855" s="2" t="s">
        <v>165</v>
      </c>
      <c r="G855" s="2" t="s">
        <v>166</v>
      </c>
      <c r="H855" s="17">
        <v>25</v>
      </c>
      <c r="I855" s="31">
        <f t="shared" si="90"/>
        <v>25000</v>
      </c>
      <c r="J855" s="31">
        <f t="shared" si="91"/>
        <v>1750.0000000000002</v>
      </c>
      <c r="K855" s="44">
        <f t="shared" si="92"/>
        <v>4.794520547945206</v>
      </c>
      <c r="L855" s="3">
        <f t="shared" si="93"/>
        <v>354.79452054794524</v>
      </c>
      <c r="M855" s="3">
        <f t="shared" si="94"/>
        <v>21.287671232876715</v>
      </c>
      <c r="N855" s="67">
        <f t="shared" si="95"/>
        <v>333.50684931506851</v>
      </c>
      <c r="O855" s="3"/>
      <c r="P855" s="70" t="s">
        <v>18612</v>
      </c>
      <c r="Q855" s="2" t="s">
        <v>103</v>
      </c>
      <c r="R855" s="2" t="s">
        <v>167</v>
      </c>
      <c r="T855" t="s">
        <v>18666</v>
      </c>
      <c r="U855" t="s">
        <v>18652</v>
      </c>
      <c r="V855" s="104">
        <v>45857</v>
      </c>
      <c r="X855" s="97"/>
      <c r="Y855" s="75">
        <v>333.51</v>
      </c>
    </row>
    <row r="856" spans="1:25" x14ac:dyDescent="0.25">
      <c r="A856" s="76">
        <v>887</v>
      </c>
      <c r="B856" s="2" t="s">
        <v>12069</v>
      </c>
      <c r="C856" s="2" t="s">
        <v>12070</v>
      </c>
      <c r="D856" s="2" t="s">
        <v>12071</v>
      </c>
      <c r="E856" s="2" t="s">
        <v>12072</v>
      </c>
      <c r="F856" s="2" t="s">
        <v>12073</v>
      </c>
      <c r="G856" s="2" t="s">
        <v>158</v>
      </c>
      <c r="H856" s="17">
        <v>25</v>
      </c>
      <c r="I856" s="31">
        <f t="shared" si="90"/>
        <v>25000</v>
      </c>
      <c r="J856" s="31">
        <f t="shared" si="91"/>
        <v>1750.0000000000002</v>
      </c>
      <c r="K856" s="44">
        <f t="shared" si="92"/>
        <v>4.794520547945206</v>
      </c>
      <c r="L856" s="3">
        <f t="shared" si="93"/>
        <v>354.79452054794524</v>
      </c>
      <c r="M856" s="3">
        <f t="shared" si="94"/>
        <v>21.287671232876715</v>
      </c>
      <c r="N856" s="67">
        <f t="shared" si="95"/>
        <v>333.50684931506851</v>
      </c>
      <c r="O856" s="3"/>
      <c r="P856" s="70" t="s">
        <v>18612</v>
      </c>
      <c r="Q856" s="2" t="s">
        <v>103</v>
      </c>
      <c r="R856" s="2" t="s">
        <v>12074</v>
      </c>
      <c r="T856" t="s">
        <v>18666</v>
      </c>
      <c r="U856" t="s">
        <v>18652</v>
      </c>
      <c r="V856" s="104">
        <v>45857</v>
      </c>
      <c r="X856" s="97"/>
      <c r="Y856" s="75">
        <v>333.51</v>
      </c>
    </row>
    <row r="857" spans="1:25" x14ac:dyDescent="0.25">
      <c r="A857" s="76">
        <v>888</v>
      </c>
      <c r="B857" s="2" t="s">
        <v>16173</v>
      </c>
      <c r="C857" s="2" t="s">
        <v>16174</v>
      </c>
      <c r="D857" s="2" t="s">
        <v>16175</v>
      </c>
      <c r="E857" s="2" t="s">
        <v>16176</v>
      </c>
      <c r="F857" s="2" t="s">
        <v>16177</v>
      </c>
      <c r="G857" s="2" t="s">
        <v>31</v>
      </c>
      <c r="H857" s="17">
        <v>25</v>
      </c>
      <c r="I857" s="31">
        <f t="shared" si="90"/>
        <v>25000</v>
      </c>
      <c r="J857" s="31">
        <f t="shared" si="91"/>
        <v>1750.0000000000002</v>
      </c>
      <c r="K857" s="44">
        <f t="shared" si="92"/>
        <v>4.794520547945206</v>
      </c>
      <c r="L857" s="3">
        <f t="shared" si="93"/>
        <v>354.79452054794524</v>
      </c>
      <c r="M857" s="3">
        <f t="shared" si="94"/>
        <v>21.287671232876715</v>
      </c>
      <c r="N857" s="67">
        <f t="shared" si="95"/>
        <v>333.50684931506851</v>
      </c>
      <c r="O857" s="3"/>
      <c r="P857" s="70" t="s">
        <v>18612</v>
      </c>
      <c r="Q857" s="2" t="s">
        <v>103</v>
      </c>
      <c r="R857" s="2" t="s">
        <v>16178</v>
      </c>
      <c r="T857" t="s">
        <v>18666</v>
      </c>
      <c r="U857" t="s">
        <v>18652</v>
      </c>
      <c r="V857" s="104">
        <v>45857</v>
      </c>
      <c r="X857" s="97"/>
      <c r="Y857" s="75">
        <v>333.51</v>
      </c>
    </row>
    <row r="858" spans="1:25" x14ac:dyDescent="0.25">
      <c r="A858" s="76">
        <v>889</v>
      </c>
      <c r="B858" s="2" t="s">
        <v>13955</v>
      </c>
      <c r="C858" s="2" t="s">
        <v>13956</v>
      </c>
      <c r="D858" s="2" t="s">
        <v>13957</v>
      </c>
      <c r="E858" s="2" t="s">
        <v>13958</v>
      </c>
      <c r="F858" s="2" t="s">
        <v>13959</v>
      </c>
      <c r="G858" s="2" t="s">
        <v>1315</v>
      </c>
      <c r="H858" s="17">
        <v>25</v>
      </c>
      <c r="I858" s="31">
        <f t="shared" si="90"/>
        <v>25000</v>
      </c>
      <c r="J858" s="31">
        <f t="shared" si="91"/>
        <v>1750.0000000000002</v>
      </c>
      <c r="K858" s="44">
        <f t="shared" si="92"/>
        <v>4.794520547945206</v>
      </c>
      <c r="L858" s="3">
        <f t="shared" si="93"/>
        <v>354.79452054794524</v>
      </c>
      <c r="M858" s="3">
        <f t="shared" si="94"/>
        <v>21.287671232876715</v>
      </c>
      <c r="N858" s="67">
        <f t="shared" si="95"/>
        <v>333.50684931506851</v>
      </c>
      <c r="O858" s="3"/>
      <c r="P858" s="70" t="s">
        <v>18612</v>
      </c>
      <c r="Q858" s="2" t="s">
        <v>103</v>
      </c>
      <c r="R858" s="2" t="s">
        <v>13960</v>
      </c>
      <c r="T858" t="s">
        <v>18666</v>
      </c>
      <c r="U858" t="s">
        <v>18652</v>
      </c>
      <c r="V858" s="104">
        <v>45857</v>
      </c>
      <c r="X858" s="97"/>
      <c r="Y858" s="75">
        <v>333.51</v>
      </c>
    </row>
    <row r="859" spans="1:25" x14ac:dyDescent="0.25">
      <c r="A859" s="76">
        <v>890</v>
      </c>
      <c r="B859" s="2" t="s">
        <v>14262</v>
      </c>
      <c r="C859" s="2" t="s">
        <v>14263</v>
      </c>
      <c r="D859" s="2" t="s">
        <v>14264</v>
      </c>
      <c r="E859" s="2" t="s">
        <v>14265</v>
      </c>
      <c r="F859" s="2" t="s">
        <v>14266</v>
      </c>
      <c r="G859" s="2" t="s">
        <v>193</v>
      </c>
      <c r="H859" s="17">
        <v>25</v>
      </c>
      <c r="I859" s="31">
        <f t="shared" si="90"/>
        <v>25000</v>
      </c>
      <c r="J859" s="31">
        <f t="shared" si="91"/>
        <v>1750.0000000000002</v>
      </c>
      <c r="K859" s="44">
        <f t="shared" si="92"/>
        <v>4.794520547945206</v>
      </c>
      <c r="L859" s="3">
        <f t="shared" si="93"/>
        <v>354.79452054794524</v>
      </c>
      <c r="M859" s="3">
        <f t="shared" si="94"/>
        <v>21.287671232876715</v>
      </c>
      <c r="N859" s="67">
        <f t="shared" si="95"/>
        <v>333.50684931506851</v>
      </c>
      <c r="O859" s="3"/>
      <c r="P859" s="70" t="s">
        <v>18612</v>
      </c>
      <c r="Q859" s="2" t="s">
        <v>103</v>
      </c>
      <c r="R859" s="2" t="s">
        <v>14267</v>
      </c>
      <c r="T859" t="s">
        <v>18666</v>
      </c>
      <c r="U859" t="s">
        <v>18652</v>
      </c>
      <c r="V859" s="104">
        <v>45857</v>
      </c>
      <c r="X859" s="97"/>
      <c r="Y859" s="75">
        <v>333.51</v>
      </c>
    </row>
    <row r="860" spans="1:25" x14ac:dyDescent="0.25">
      <c r="A860" s="76">
        <v>891</v>
      </c>
      <c r="B860" s="2" t="s">
        <v>6088</v>
      </c>
      <c r="C860" s="2" t="s">
        <v>6089</v>
      </c>
      <c r="D860" s="2" t="s">
        <v>6090</v>
      </c>
      <c r="E860" s="2" t="s">
        <v>6091</v>
      </c>
      <c r="F860" s="2" t="s">
        <v>6092</v>
      </c>
      <c r="G860" s="2" t="s">
        <v>123</v>
      </c>
      <c r="H860" s="17">
        <v>50</v>
      </c>
      <c r="I860" s="31">
        <f t="shared" si="90"/>
        <v>50000</v>
      </c>
      <c r="J860" s="31">
        <f t="shared" si="91"/>
        <v>3500.0000000000005</v>
      </c>
      <c r="K860" s="44">
        <f t="shared" si="92"/>
        <v>9.589041095890412</v>
      </c>
      <c r="L860" s="3">
        <f t="shared" si="93"/>
        <v>709.58904109589048</v>
      </c>
      <c r="M860" s="3">
        <f t="shared" si="94"/>
        <v>42.57534246575343</v>
      </c>
      <c r="N860" s="67">
        <f t="shared" si="95"/>
        <v>667.01369863013701</v>
      </c>
      <c r="O860" s="3"/>
      <c r="P860" s="70" t="s">
        <v>18612</v>
      </c>
      <c r="Q860" s="2" t="s">
        <v>103</v>
      </c>
      <c r="R860" s="2" t="s">
        <v>6093</v>
      </c>
      <c r="T860" t="s">
        <v>18666</v>
      </c>
      <c r="U860" t="s">
        <v>18652</v>
      </c>
      <c r="V860" s="104">
        <v>45857</v>
      </c>
      <c r="X860" s="97"/>
      <c r="Y860" s="75">
        <v>667.02</v>
      </c>
    </row>
    <row r="861" spans="1:25" x14ac:dyDescent="0.25">
      <c r="A861" s="76">
        <v>892</v>
      </c>
      <c r="B861" s="2" t="s">
        <v>16061</v>
      </c>
      <c r="C861" s="2" t="s">
        <v>2639</v>
      </c>
      <c r="D861" s="2" t="s">
        <v>16062</v>
      </c>
      <c r="E861" s="2" t="s">
        <v>16063</v>
      </c>
      <c r="F861" s="2" t="s">
        <v>16064</v>
      </c>
      <c r="G861" s="2" t="s">
        <v>1823</v>
      </c>
      <c r="H861" s="17">
        <v>25</v>
      </c>
      <c r="I861" s="31">
        <f t="shared" si="90"/>
        <v>25000</v>
      </c>
      <c r="J861" s="31">
        <f t="shared" si="91"/>
        <v>1750.0000000000002</v>
      </c>
      <c r="K861" s="44">
        <f t="shared" si="92"/>
        <v>4.794520547945206</v>
      </c>
      <c r="L861" s="3">
        <f t="shared" si="93"/>
        <v>354.79452054794524</v>
      </c>
      <c r="M861" s="3">
        <f t="shared" si="94"/>
        <v>21.287671232876715</v>
      </c>
      <c r="N861" s="67">
        <f t="shared" si="95"/>
        <v>333.50684931506851</v>
      </c>
      <c r="O861" s="3"/>
      <c r="P861" s="70" t="s">
        <v>18612</v>
      </c>
      <c r="Q861" s="2" t="s">
        <v>103</v>
      </c>
      <c r="R861" s="2" t="s">
        <v>16065</v>
      </c>
      <c r="T861" t="s">
        <v>18666</v>
      </c>
      <c r="U861" t="s">
        <v>18652</v>
      </c>
      <c r="V861" s="104">
        <v>45857</v>
      </c>
      <c r="X861" s="97"/>
      <c r="Y861" s="75">
        <v>333.51</v>
      </c>
    </row>
    <row r="862" spans="1:25" x14ac:dyDescent="0.25">
      <c r="A862" s="76">
        <v>893</v>
      </c>
      <c r="B862" s="2" t="s">
        <v>12346</v>
      </c>
      <c r="C862" s="2" t="s">
        <v>12347</v>
      </c>
      <c r="D862" s="2" t="s">
        <v>5874</v>
      </c>
      <c r="E862" s="2" t="s">
        <v>12348</v>
      </c>
      <c r="F862" s="2" t="s">
        <v>12349</v>
      </c>
      <c r="G862" s="2" t="s">
        <v>23</v>
      </c>
      <c r="H862" s="17">
        <v>25</v>
      </c>
      <c r="I862" s="31">
        <f t="shared" si="90"/>
        <v>25000</v>
      </c>
      <c r="J862" s="31">
        <f t="shared" si="91"/>
        <v>1750.0000000000002</v>
      </c>
      <c r="K862" s="44">
        <f t="shared" si="92"/>
        <v>4.794520547945206</v>
      </c>
      <c r="L862" s="3">
        <f t="shared" si="93"/>
        <v>354.79452054794524</v>
      </c>
      <c r="M862" s="3">
        <f t="shared" si="94"/>
        <v>21.287671232876715</v>
      </c>
      <c r="N862" s="67">
        <f t="shared" si="95"/>
        <v>333.50684931506851</v>
      </c>
      <c r="O862" s="3"/>
      <c r="P862" s="70" t="s">
        <v>18612</v>
      </c>
      <c r="Q862" s="2" t="s">
        <v>103</v>
      </c>
      <c r="R862" s="2" t="s">
        <v>12350</v>
      </c>
      <c r="T862" t="s">
        <v>18666</v>
      </c>
      <c r="U862" t="s">
        <v>18652</v>
      </c>
      <c r="V862" s="104">
        <v>45857</v>
      </c>
      <c r="X862" s="97"/>
      <c r="Y862" s="75">
        <v>333.51</v>
      </c>
    </row>
    <row r="863" spans="1:25" x14ac:dyDescent="0.25">
      <c r="A863" s="76">
        <v>894</v>
      </c>
      <c r="B863" s="2" t="s">
        <v>8701</v>
      </c>
      <c r="C863" s="2" t="s">
        <v>8702</v>
      </c>
      <c r="D863" s="2" t="s">
        <v>8703</v>
      </c>
      <c r="E863" s="2" t="s">
        <v>8704</v>
      </c>
      <c r="F863" s="2" t="s">
        <v>8705</v>
      </c>
      <c r="G863" s="2" t="s">
        <v>275</v>
      </c>
      <c r="H863" s="17">
        <v>50</v>
      </c>
      <c r="I863" s="31">
        <f t="shared" si="90"/>
        <v>50000</v>
      </c>
      <c r="J863" s="31">
        <f t="shared" si="91"/>
        <v>3500.0000000000005</v>
      </c>
      <c r="K863" s="44">
        <f t="shared" si="92"/>
        <v>9.589041095890412</v>
      </c>
      <c r="L863" s="3">
        <f t="shared" si="93"/>
        <v>709.58904109589048</v>
      </c>
      <c r="M863" s="3">
        <f t="shared" si="94"/>
        <v>42.57534246575343</v>
      </c>
      <c r="N863" s="67">
        <f t="shared" si="95"/>
        <v>667.01369863013701</v>
      </c>
      <c r="O863" s="3"/>
      <c r="P863" s="70" t="s">
        <v>18612</v>
      </c>
      <c r="Q863" s="2" t="s">
        <v>103</v>
      </c>
      <c r="R863" s="2" t="s">
        <v>8706</v>
      </c>
      <c r="T863" t="s">
        <v>18666</v>
      </c>
      <c r="U863" t="s">
        <v>18652</v>
      </c>
      <c r="V863" s="104">
        <v>45857</v>
      </c>
      <c r="X863" s="97"/>
      <c r="Y863" s="75">
        <v>667.02</v>
      </c>
    </row>
    <row r="864" spans="1:25" x14ac:dyDescent="0.25">
      <c r="A864" s="76">
        <v>895</v>
      </c>
      <c r="B864" s="2" t="s">
        <v>13036</v>
      </c>
      <c r="C864" s="2" t="s">
        <v>13037</v>
      </c>
      <c r="D864" s="2" t="s">
        <v>13038</v>
      </c>
      <c r="E864" s="2" t="s">
        <v>13039</v>
      </c>
      <c r="F864" s="2" t="s">
        <v>13040</v>
      </c>
      <c r="G864" s="2" t="s">
        <v>173</v>
      </c>
      <c r="H864" s="17">
        <v>25</v>
      </c>
      <c r="I864" s="31">
        <f t="shared" si="90"/>
        <v>25000</v>
      </c>
      <c r="J864" s="31">
        <f t="shared" si="91"/>
        <v>1750.0000000000002</v>
      </c>
      <c r="K864" s="44">
        <f t="shared" si="92"/>
        <v>4.794520547945206</v>
      </c>
      <c r="L864" s="3">
        <f t="shared" si="93"/>
        <v>354.79452054794524</v>
      </c>
      <c r="M864" s="3">
        <f t="shared" si="94"/>
        <v>21.287671232876715</v>
      </c>
      <c r="N864" s="67">
        <f t="shared" si="95"/>
        <v>333.50684931506851</v>
      </c>
      <c r="O864" s="3"/>
      <c r="P864" s="70" t="s">
        <v>18612</v>
      </c>
      <c r="Q864" s="2" t="s">
        <v>103</v>
      </c>
      <c r="R864" s="2" t="s">
        <v>13041</v>
      </c>
      <c r="T864" t="s">
        <v>18666</v>
      </c>
      <c r="U864" t="s">
        <v>18652</v>
      </c>
      <c r="V864" s="104">
        <v>45857</v>
      </c>
      <c r="X864" s="97"/>
      <c r="Y864" s="75">
        <v>333.51</v>
      </c>
    </row>
    <row r="865" spans="1:25" x14ac:dyDescent="0.25">
      <c r="A865" s="76">
        <v>896</v>
      </c>
      <c r="B865" s="2" t="s">
        <v>7791</v>
      </c>
      <c r="C865" s="2" t="s">
        <v>7792</v>
      </c>
      <c r="D865" s="2" t="s">
        <v>7793</v>
      </c>
      <c r="E865" s="2" t="s">
        <v>7794</v>
      </c>
      <c r="F865" s="2" t="s">
        <v>7795</v>
      </c>
      <c r="G865" s="2" t="s">
        <v>517</v>
      </c>
      <c r="H865" s="17">
        <v>25</v>
      </c>
      <c r="I865" s="31">
        <f t="shared" si="90"/>
        <v>25000</v>
      </c>
      <c r="J865" s="31">
        <f t="shared" si="91"/>
        <v>1750.0000000000002</v>
      </c>
      <c r="K865" s="44">
        <f t="shared" si="92"/>
        <v>4.794520547945206</v>
      </c>
      <c r="L865" s="3">
        <f t="shared" si="93"/>
        <v>354.79452054794524</v>
      </c>
      <c r="M865" s="3">
        <f t="shared" si="94"/>
        <v>21.287671232876715</v>
      </c>
      <c r="N865" s="67">
        <f t="shared" si="95"/>
        <v>333.50684931506851</v>
      </c>
      <c r="O865" s="3"/>
      <c r="P865" s="70" t="s">
        <v>18612</v>
      </c>
      <c r="Q865" s="2" t="s">
        <v>103</v>
      </c>
      <c r="R865" s="2" t="s">
        <v>7796</v>
      </c>
      <c r="T865" t="s">
        <v>18666</v>
      </c>
      <c r="U865" t="s">
        <v>18652</v>
      </c>
      <c r="V865" s="104">
        <v>45857</v>
      </c>
      <c r="X865" s="97"/>
      <c r="Y865" s="75">
        <v>333.51</v>
      </c>
    </row>
    <row r="866" spans="1:25" x14ac:dyDescent="0.25">
      <c r="A866" s="76">
        <v>897</v>
      </c>
      <c r="B866" s="2" t="s">
        <v>16623</v>
      </c>
      <c r="C866" s="2" t="s">
        <v>16624</v>
      </c>
      <c r="D866" s="2" t="s">
        <v>16625</v>
      </c>
      <c r="E866" s="2" t="s">
        <v>16626</v>
      </c>
      <c r="F866" s="2" t="s">
        <v>16627</v>
      </c>
      <c r="G866" s="2" t="s">
        <v>517</v>
      </c>
      <c r="H866" s="17">
        <v>100</v>
      </c>
      <c r="I866" s="31">
        <f t="shared" si="90"/>
        <v>100000</v>
      </c>
      <c r="J866" s="31">
        <f t="shared" si="91"/>
        <v>7000.0000000000009</v>
      </c>
      <c r="K866" s="44">
        <f t="shared" si="92"/>
        <v>19.178082191780824</v>
      </c>
      <c r="L866" s="3">
        <f t="shared" si="93"/>
        <v>1419.178082191781</v>
      </c>
      <c r="M866" s="3">
        <f t="shared" si="94"/>
        <v>85.150684931506859</v>
      </c>
      <c r="N866" s="67">
        <f t="shared" si="95"/>
        <v>1334.027397260274</v>
      </c>
      <c r="O866" s="3"/>
      <c r="P866" s="70" t="s">
        <v>18612</v>
      </c>
      <c r="Q866" s="2" t="s">
        <v>103</v>
      </c>
      <c r="R866" s="2" t="s">
        <v>16628</v>
      </c>
      <c r="T866" t="s">
        <v>18666</v>
      </c>
      <c r="U866" t="s">
        <v>18652</v>
      </c>
      <c r="V866" s="104">
        <v>45857</v>
      </c>
      <c r="X866" s="97"/>
      <c r="Y866" s="75">
        <v>1334.03</v>
      </c>
    </row>
    <row r="867" spans="1:25" x14ac:dyDescent="0.25">
      <c r="A867" s="76">
        <v>898</v>
      </c>
      <c r="B867" s="2" t="s">
        <v>13420</v>
      </c>
      <c r="C867" s="2" t="s">
        <v>13421</v>
      </c>
      <c r="D867" s="2" t="s">
        <v>13422</v>
      </c>
      <c r="E867" s="2" t="s">
        <v>13423</v>
      </c>
      <c r="F867" s="2" t="s">
        <v>13424</v>
      </c>
      <c r="G867" s="2" t="s">
        <v>31</v>
      </c>
      <c r="H867" s="17">
        <v>200</v>
      </c>
      <c r="I867" s="31">
        <f t="shared" si="90"/>
        <v>200000</v>
      </c>
      <c r="J867" s="31">
        <f t="shared" si="91"/>
        <v>14000.000000000002</v>
      </c>
      <c r="K867" s="44">
        <f t="shared" si="92"/>
        <v>38.356164383561648</v>
      </c>
      <c r="L867" s="3">
        <f t="shared" si="93"/>
        <v>2838.3561643835619</v>
      </c>
      <c r="M867" s="3">
        <f t="shared" si="94"/>
        <v>170.30136986301372</v>
      </c>
      <c r="N867" s="67">
        <f t="shared" si="95"/>
        <v>2668.0547945205481</v>
      </c>
      <c r="O867" s="3"/>
      <c r="P867" s="70" t="s">
        <v>18612</v>
      </c>
      <c r="Q867" s="2" t="s">
        <v>103</v>
      </c>
      <c r="R867" s="2" t="s">
        <v>13425</v>
      </c>
      <c r="T867" t="s">
        <v>18666</v>
      </c>
      <c r="U867" t="s">
        <v>18652</v>
      </c>
      <c r="V867" s="104">
        <v>45857</v>
      </c>
      <c r="X867" s="97"/>
      <c r="Y867" s="75">
        <v>2668.0600000000004</v>
      </c>
    </row>
    <row r="868" spans="1:25" x14ac:dyDescent="0.25">
      <c r="A868" s="76">
        <v>899</v>
      </c>
      <c r="B868" s="2" t="s">
        <v>13306</v>
      </c>
      <c r="C868" s="2" t="s">
        <v>13307</v>
      </c>
      <c r="D868" s="2" t="s">
        <v>13308</v>
      </c>
      <c r="E868" s="2" t="s">
        <v>13309</v>
      </c>
      <c r="F868" s="2" t="s">
        <v>13310</v>
      </c>
      <c r="G868" s="2" t="s">
        <v>158</v>
      </c>
      <c r="H868" s="17">
        <v>25</v>
      </c>
      <c r="I868" s="31">
        <f t="shared" si="90"/>
        <v>25000</v>
      </c>
      <c r="J868" s="31">
        <f t="shared" si="91"/>
        <v>1750.0000000000002</v>
      </c>
      <c r="K868" s="44">
        <f t="shared" si="92"/>
        <v>4.794520547945206</v>
      </c>
      <c r="L868" s="3">
        <f t="shared" si="93"/>
        <v>354.79452054794524</v>
      </c>
      <c r="M868" s="3">
        <f t="shared" si="94"/>
        <v>21.287671232876715</v>
      </c>
      <c r="N868" s="67">
        <f t="shared" si="95"/>
        <v>333.50684931506851</v>
      </c>
      <c r="O868" s="3"/>
      <c r="P868" s="70" t="s">
        <v>18612</v>
      </c>
      <c r="Q868" s="2" t="s">
        <v>103</v>
      </c>
      <c r="R868" s="2" t="s">
        <v>13311</v>
      </c>
      <c r="T868" t="s">
        <v>18666</v>
      </c>
      <c r="U868" t="s">
        <v>18652</v>
      </c>
      <c r="V868" s="104">
        <v>45857</v>
      </c>
      <c r="X868" s="97"/>
      <c r="Y868" s="75">
        <v>333.51</v>
      </c>
    </row>
    <row r="869" spans="1:25" x14ac:dyDescent="0.25">
      <c r="A869" s="76">
        <v>900</v>
      </c>
      <c r="B869" s="2" t="s">
        <v>794</v>
      </c>
      <c r="C869" s="2" t="s">
        <v>795</v>
      </c>
      <c r="D869" s="2" t="s">
        <v>796</v>
      </c>
      <c r="E869" s="2" t="s">
        <v>797</v>
      </c>
      <c r="F869" s="2" t="s">
        <v>798</v>
      </c>
      <c r="G869" s="2" t="s">
        <v>799</v>
      </c>
      <c r="H869" s="17">
        <v>100</v>
      </c>
      <c r="I869" s="31">
        <f t="shared" si="90"/>
        <v>100000</v>
      </c>
      <c r="J869" s="31">
        <f t="shared" si="91"/>
        <v>7000.0000000000009</v>
      </c>
      <c r="K869" s="44">
        <f t="shared" si="92"/>
        <v>19.178082191780824</v>
      </c>
      <c r="L869" s="3">
        <f t="shared" si="93"/>
        <v>1419.178082191781</v>
      </c>
      <c r="M869" s="3">
        <f t="shared" si="94"/>
        <v>85.150684931506859</v>
      </c>
      <c r="N869" s="67">
        <f t="shared" si="95"/>
        <v>1334.027397260274</v>
      </c>
      <c r="O869" s="3"/>
      <c r="P869" s="70" t="s">
        <v>18612</v>
      </c>
      <c r="Q869" s="2" t="s">
        <v>103</v>
      </c>
      <c r="R869" s="2" t="s">
        <v>800</v>
      </c>
      <c r="T869" t="s">
        <v>18666</v>
      </c>
      <c r="U869" t="s">
        <v>18652</v>
      </c>
      <c r="V869" s="104">
        <v>45857</v>
      </c>
      <c r="X869" s="97"/>
      <c r="Y869" s="75">
        <v>1334.03</v>
      </c>
    </row>
    <row r="870" spans="1:25" x14ac:dyDescent="0.25">
      <c r="A870" s="76">
        <v>901</v>
      </c>
      <c r="B870" s="2" t="s">
        <v>5457</v>
      </c>
      <c r="C870" s="2" t="s">
        <v>5458</v>
      </c>
      <c r="D870" s="2" t="s">
        <v>5459</v>
      </c>
      <c r="E870" s="2" t="s">
        <v>5460</v>
      </c>
      <c r="F870" s="2" t="s">
        <v>5461</v>
      </c>
      <c r="G870" s="2" t="s">
        <v>151</v>
      </c>
      <c r="H870" s="17">
        <v>25</v>
      </c>
      <c r="I870" s="31">
        <f t="shared" si="90"/>
        <v>25000</v>
      </c>
      <c r="J870" s="31">
        <f t="shared" si="91"/>
        <v>1750.0000000000002</v>
      </c>
      <c r="K870" s="44">
        <f t="shared" si="92"/>
        <v>4.794520547945206</v>
      </c>
      <c r="L870" s="3">
        <f t="shared" si="93"/>
        <v>354.79452054794524</v>
      </c>
      <c r="M870" s="3">
        <f t="shared" si="94"/>
        <v>21.287671232876715</v>
      </c>
      <c r="N870" s="67">
        <f t="shared" si="95"/>
        <v>333.50684931506851</v>
      </c>
      <c r="O870" s="3"/>
      <c r="P870" s="70" t="s">
        <v>18612</v>
      </c>
      <c r="Q870" s="2" t="s">
        <v>103</v>
      </c>
      <c r="R870" s="2" t="s">
        <v>5462</v>
      </c>
      <c r="T870" t="s">
        <v>18666</v>
      </c>
      <c r="U870" t="s">
        <v>18652</v>
      </c>
      <c r="V870" s="104">
        <v>45857</v>
      </c>
      <c r="X870" s="97"/>
      <c r="Y870" s="75">
        <v>333.51</v>
      </c>
    </row>
    <row r="871" spans="1:25" x14ac:dyDescent="0.25">
      <c r="A871" s="76">
        <v>902</v>
      </c>
      <c r="B871" s="2" t="s">
        <v>3695</v>
      </c>
      <c r="C871" s="2" t="s">
        <v>3696</v>
      </c>
      <c r="D871" s="2" t="s">
        <v>3697</v>
      </c>
      <c r="E871" s="2" t="s">
        <v>3698</v>
      </c>
      <c r="F871" s="2" t="s">
        <v>3699</v>
      </c>
      <c r="G871" s="2" t="s">
        <v>101</v>
      </c>
      <c r="H871" s="17">
        <v>25</v>
      </c>
      <c r="I871" s="31">
        <f t="shared" si="90"/>
        <v>25000</v>
      </c>
      <c r="J871" s="31">
        <f t="shared" si="91"/>
        <v>1750.0000000000002</v>
      </c>
      <c r="K871" s="44">
        <f t="shared" si="92"/>
        <v>4.794520547945206</v>
      </c>
      <c r="L871" s="3">
        <f t="shared" si="93"/>
        <v>354.79452054794524</v>
      </c>
      <c r="M871" s="3">
        <f t="shared" si="94"/>
        <v>21.287671232876715</v>
      </c>
      <c r="N871" s="67">
        <f t="shared" si="95"/>
        <v>333.50684931506851</v>
      </c>
      <c r="O871" s="3"/>
      <c r="P871" s="70" t="s">
        <v>18612</v>
      </c>
      <c r="Q871" s="2" t="s">
        <v>103</v>
      </c>
      <c r="R871" s="2" t="s">
        <v>3700</v>
      </c>
      <c r="T871" t="s">
        <v>18666</v>
      </c>
      <c r="U871" t="s">
        <v>18652</v>
      </c>
      <c r="V871" s="104">
        <v>45857</v>
      </c>
      <c r="X871" s="97"/>
      <c r="Y871" s="75">
        <v>333.51</v>
      </c>
    </row>
    <row r="872" spans="1:25" x14ac:dyDescent="0.25">
      <c r="A872" s="76">
        <v>903</v>
      </c>
      <c r="B872" s="2" t="s">
        <v>8858</v>
      </c>
      <c r="C872" s="2" t="s">
        <v>8859</v>
      </c>
      <c r="D872" s="2" t="s">
        <v>8860</v>
      </c>
      <c r="E872" s="2" t="s">
        <v>8861</v>
      </c>
      <c r="F872" s="2" t="s">
        <v>8862</v>
      </c>
      <c r="G872" s="2" t="s">
        <v>328</v>
      </c>
      <c r="H872" s="17">
        <v>25</v>
      </c>
      <c r="I872" s="31">
        <f t="shared" si="90"/>
        <v>25000</v>
      </c>
      <c r="J872" s="31">
        <f t="shared" si="91"/>
        <v>1750.0000000000002</v>
      </c>
      <c r="K872" s="44">
        <f t="shared" si="92"/>
        <v>4.794520547945206</v>
      </c>
      <c r="L872" s="3">
        <f t="shared" si="93"/>
        <v>354.79452054794524</v>
      </c>
      <c r="M872" s="3">
        <f t="shared" si="94"/>
        <v>21.287671232876715</v>
      </c>
      <c r="N872" s="67">
        <f t="shared" si="95"/>
        <v>333.50684931506851</v>
      </c>
      <c r="O872" s="3"/>
      <c r="P872" s="70" t="s">
        <v>18612</v>
      </c>
      <c r="Q872" s="2" t="s">
        <v>103</v>
      </c>
      <c r="R872" s="2" t="s">
        <v>8863</v>
      </c>
      <c r="T872" t="s">
        <v>18666</v>
      </c>
      <c r="U872" t="s">
        <v>18652</v>
      </c>
      <c r="V872" s="104">
        <v>45857</v>
      </c>
      <c r="X872" s="97"/>
      <c r="Y872" s="75">
        <v>333.51</v>
      </c>
    </row>
    <row r="873" spans="1:25" x14ac:dyDescent="0.25">
      <c r="A873" s="76">
        <v>904</v>
      </c>
      <c r="B873" s="2" t="s">
        <v>12768</v>
      </c>
      <c r="C873" s="2" t="s">
        <v>12769</v>
      </c>
      <c r="D873" s="2" t="s">
        <v>12770</v>
      </c>
      <c r="E873" s="2" t="s">
        <v>12771</v>
      </c>
      <c r="F873" s="2" t="s">
        <v>12772</v>
      </c>
      <c r="G873" s="2" t="s">
        <v>2380</v>
      </c>
      <c r="H873" s="17">
        <v>100</v>
      </c>
      <c r="I873" s="31">
        <f t="shared" si="90"/>
        <v>100000</v>
      </c>
      <c r="J873" s="31">
        <f t="shared" si="91"/>
        <v>7000.0000000000009</v>
      </c>
      <c r="K873" s="44">
        <f t="shared" si="92"/>
        <v>19.178082191780824</v>
      </c>
      <c r="L873" s="3">
        <f t="shared" si="93"/>
        <v>1419.178082191781</v>
      </c>
      <c r="M873" s="3">
        <f t="shared" si="94"/>
        <v>85.150684931506859</v>
      </c>
      <c r="N873" s="67">
        <f t="shared" si="95"/>
        <v>1334.027397260274</v>
      </c>
      <c r="O873" s="3"/>
      <c r="P873" s="70" t="s">
        <v>18612</v>
      </c>
      <c r="Q873" s="2" t="s">
        <v>103</v>
      </c>
      <c r="R873" s="2" t="s">
        <v>12773</v>
      </c>
      <c r="T873" t="s">
        <v>18666</v>
      </c>
      <c r="U873" t="s">
        <v>18652</v>
      </c>
      <c r="V873" s="104">
        <v>45857</v>
      </c>
      <c r="X873" s="97"/>
      <c r="Y873" s="75">
        <v>1334.03</v>
      </c>
    </row>
    <row r="874" spans="1:25" x14ac:dyDescent="0.25">
      <c r="A874" s="76">
        <v>905</v>
      </c>
      <c r="B874" s="2" t="s">
        <v>1131</v>
      </c>
      <c r="C874" s="2" t="s">
        <v>1132</v>
      </c>
      <c r="D874" s="2" t="s">
        <v>1133</v>
      </c>
      <c r="E874" s="2" t="s">
        <v>1134</v>
      </c>
      <c r="F874" s="2" t="s">
        <v>1135</v>
      </c>
      <c r="G874" s="2" t="s">
        <v>1136</v>
      </c>
      <c r="H874" s="17">
        <v>100</v>
      </c>
      <c r="I874" s="31">
        <f t="shared" si="90"/>
        <v>100000</v>
      </c>
      <c r="J874" s="31">
        <f t="shared" si="91"/>
        <v>7000.0000000000009</v>
      </c>
      <c r="K874" s="44">
        <f t="shared" si="92"/>
        <v>19.178082191780824</v>
      </c>
      <c r="L874" s="3">
        <f t="shared" si="93"/>
        <v>1419.178082191781</v>
      </c>
      <c r="M874" s="3">
        <f t="shared" si="94"/>
        <v>85.150684931506859</v>
      </c>
      <c r="N874" s="67">
        <f t="shared" si="95"/>
        <v>1334.027397260274</v>
      </c>
      <c r="O874" s="3"/>
      <c r="P874" s="70" t="s">
        <v>18612</v>
      </c>
      <c r="Q874" s="2" t="s">
        <v>103</v>
      </c>
      <c r="R874" s="2" t="s">
        <v>1137</v>
      </c>
      <c r="T874" t="s">
        <v>18666</v>
      </c>
      <c r="U874" t="s">
        <v>18652</v>
      </c>
      <c r="V874" s="104">
        <v>45857</v>
      </c>
      <c r="X874" s="97"/>
      <c r="Y874" s="75">
        <v>1334.03</v>
      </c>
    </row>
    <row r="875" spans="1:25" x14ac:dyDescent="0.25">
      <c r="A875" s="76">
        <v>906</v>
      </c>
      <c r="B875" s="2" t="s">
        <v>8684</v>
      </c>
      <c r="C875" s="2" t="s">
        <v>8685</v>
      </c>
      <c r="D875" s="2" t="s">
        <v>8686</v>
      </c>
      <c r="E875" s="2" t="s">
        <v>8687</v>
      </c>
      <c r="F875" s="2" t="s">
        <v>8688</v>
      </c>
      <c r="G875" s="2" t="s">
        <v>3399</v>
      </c>
      <c r="H875" s="17">
        <v>25</v>
      </c>
      <c r="I875" s="31">
        <f t="shared" si="90"/>
        <v>25000</v>
      </c>
      <c r="J875" s="31">
        <f t="shared" si="91"/>
        <v>1750.0000000000002</v>
      </c>
      <c r="K875" s="44">
        <f t="shared" si="92"/>
        <v>4.794520547945206</v>
      </c>
      <c r="L875" s="3">
        <f t="shared" si="93"/>
        <v>354.79452054794524</v>
      </c>
      <c r="M875" s="3">
        <f t="shared" si="94"/>
        <v>21.287671232876715</v>
      </c>
      <c r="N875" s="67">
        <f t="shared" si="95"/>
        <v>333.50684931506851</v>
      </c>
      <c r="O875" s="3"/>
      <c r="P875" s="70" t="s">
        <v>18612</v>
      </c>
      <c r="Q875" s="2" t="s">
        <v>103</v>
      </c>
      <c r="R875" s="2" t="s">
        <v>8689</v>
      </c>
      <c r="T875" t="s">
        <v>18666</v>
      </c>
      <c r="U875" t="s">
        <v>18652</v>
      </c>
      <c r="V875" s="104">
        <v>45857</v>
      </c>
      <c r="X875" s="97"/>
      <c r="Y875" s="75">
        <v>333.51</v>
      </c>
    </row>
    <row r="876" spans="1:25" x14ac:dyDescent="0.25">
      <c r="A876" s="76">
        <v>907</v>
      </c>
      <c r="B876" s="2" t="s">
        <v>5137</v>
      </c>
      <c r="C876" s="2" t="s">
        <v>5138</v>
      </c>
      <c r="D876" s="2" t="s">
        <v>5139</v>
      </c>
      <c r="E876" s="2" t="s">
        <v>5140</v>
      </c>
      <c r="F876" s="2" t="s">
        <v>5141</v>
      </c>
      <c r="G876" s="2" t="s">
        <v>328</v>
      </c>
      <c r="H876" s="17">
        <v>25</v>
      </c>
      <c r="I876" s="31">
        <f t="shared" si="90"/>
        <v>25000</v>
      </c>
      <c r="J876" s="31">
        <f t="shared" si="91"/>
        <v>1750.0000000000002</v>
      </c>
      <c r="K876" s="44">
        <f t="shared" si="92"/>
        <v>4.794520547945206</v>
      </c>
      <c r="L876" s="3">
        <f t="shared" si="93"/>
        <v>354.79452054794524</v>
      </c>
      <c r="M876" s="3">
        <f t="shared" si="94"/>
        <v>21.287671232876715</v>
      </c>
      <c r="N876" s="67">
        <f t="shared" si="95"/>
        <v>333.50684931506851</v>
      </c>
      <c r="O876" s="3"/>
      <c r="P876" s="70" t="s">
        <v>18612</v>
      </c>
      <c r="Q876" s="2" t="s">
        <v>103</v>
      </c>
      <c r="R876" s="2" t="s">
        <v>5142</v>
      </c>
      <c r="T876" t="s">
        <v>18666</v>
      </c>
      <c r="U876" t="s">
        <v>18652</v>
      </c>
      <c r="V876" s="104">
        <v>45857</v>
      </c>
      <c r="X876" s="97"/>
      <c r="Y876" s="75">
        <v>333.51</v>
      </c>
    </row>
    <row r="877" spans="1:25" x14ac:dyDescent="0.25">
      <c r="A877" s="76">
        <v>908</v>
      </c>
      <c r="B877" s="2" t="s">
        <v>10988</v>
      </c>
      <c r="C877" s="2" t="s">
        <v>10989</v>
      </c>
      <c r="D877" s="2" t="s">
        <v>10990</v>
      </c>
      <c r="E877" s="2" t="s">
        <v>10991</v>
      </c>
      <c r="F877" s="2" t="s">
        <v>10992</v>
      </c>
      <c r="G877" s="2" t="s">
        <v>158</v>
      </c>
      <c r="H877" s="17">
        <v>25</v>
      </c>
      <c r="I877" s="31">
        <f t="shared" si="90"/>
        <v>25000</v>
      </c>
      <c r="J877" s="31">
        <f t="shared" si="91"/>
        <v>1750.0000000000002</v>
      </c>
      <c r="K877" s="44">
        <f t="shared" si="92"/>
        <v>4.794520547945206</v>
      </c>
      <c r="L877" s="3">
        <f t="shared" si="93"/>
        <v>354.79452054794524</v>
      </c>
      <c r="M877" s="3">
        <f t="shared" si="94"/>
        <v>21.287671232876715</v>
      </c>
      <c r="N877" s="67">
        <f t="shared" si="95"/>
        <v>333.50684931506851</v>
      </c>
      <c r="O877" s="3"/>
      <c r="P877" s="70" t="s">
        <v>18612</v>
      </c>
      <c r="Q877" s="2" t="s">
        <v>103</v>
      </c>
      <c r="R877" s="2" t="s">
        <v>10993</v>
      </c>
      <c r="T877" t="s">
        <v>18666</v>
      </c>
      <c r="U877" t="s">
        <v>18652</v>
      </c>
      <c r="V877" s="104">
        <v>45857</v>
      </c>
      <c r="X877" s="97"/>
      <c r="Y877" s="75">
        <v>333.51</v>
      </c>
    </row>
    <row r="878" spans="1:25" x14ac:dyDescent="0.25">
      <c r="A878" s="76">
        <v>909</v>
      </c>
      <c r="B878" s="2" t="s">
        <v>17288</v>
      </c>
      <c r="C878" s="2" t="s">
        <v>17289</v>
      </c>
      <c r="D878" s="2" t="s">
        <v>17290</v>
      </c>
      <c r="E878" s="2" t="s">
        <v>17291</v>
      </c>
      <c r="F878" s="2" t="s">
        <v>17292</v>
      </c>
      <c r="G878" s="2" t="s">
        <v>10199</v>
      </c>
      <c r="H878" s="17">
        <v>30</v>
      </c>
      <c r="I878" s="31">
        <f t="shared" si="90"/>
        <v>30000</v>
      </c>
      <c r="J878" s="31">
        <f t="shared" si="91"/>
        <v>2100</v>
      </c>
      <c r="K878" s="44">
        <f t="shared" si="92"/>
        <v>5.7534246575342465</v>
      </c>
      <c r="L878" s="3">
        <f t="shared" si="93"/>
        <v>425.75342465753425</v>
      </c>
      <c r="M878" s="3">
        <f t="shared" si="94"/>
        <v>25.545205479452054</v>
      </c>
      <c r="N878" s="67">
        <f t="shared" si="95"/>
        <v>400.20821917808217</v>
      </c>
      <c r="O878" s="3"/>
      <c r="P878" s="70" t="s">
        <v>18612</v>
      </c>
      <c r="Q878" s="2" t="s">
        <v>103</v>
      </c>
      <c r="R878" s="2" t="s">
        <v>17293</v>
      </c>
      <c r="T878" t="s">
        <v>18666</v>
      </c>
      <c r="U878" t="s">
        <v>18652</v>
      </c>
      <c r="V878" s="104">
        <v>45857</v>
      </c>
      <c r="X878" s="97"/>
      <c r="Y878" s="75">
        <v>400.21</v>
      </c>
    </row>
    <row r="879" spans="1:25" x14ac:dyDescent="0.25">
      <c r="A879" s="76">
        <v>910</v>
      </c>
      <c r="B879" s="2" t="s">
        <v>16032</v>
      </c>
      <c r="C879" s="2" t="s">
        <v>16033</v>
      </c>
      <c r="D879" s="2" t="s">
        <v>16034</v>
      </c>
      <c r="E879" s="2" t="s">
        <v>16035</v>
      </c>
      <c r="F879" s="2" t="s">
        <v>16036</v>
      </c>
      <c r="G879" s="2" t="s">
        <v>680</v>
      </c>
      <c r="H879" s="17">
        <v>25</v>
      </c>
      <c r="I879" s="31">
        <f t="shared" si="90"/>
        <v>25000</v>
      </c>
      <c r="J879" s="31">
        <f t="shared" si="91"/>
        <v>1750.0000000000002</v>
      </c>
      <c r="K879" s="44">
        <f t="shared" si="92"/>
        <v>4.794520547945206</v>
      </c>
      <c r="L879" s="3">
        <f t="shared" si="93"/>
        <v>354.79452054794524</v>
      </c>
      <c r="M879" s="3">
        <f t="shared" si="94"/>
        <v>21.287671232876715</v>
      </c>
      <c r="N879" s="67">
        <f t="shared" si="95"/>
        <v>333.50684931506851</v>
      </c>
      <c r="O879" s="3"/>
      <c r="P879" s="70" t="s">
        <v>18612</v>
      </c>
      <c r="Q879" s="2" t="s">
        <v>103</v>
      </c>
      <c r="R879" s="2" t="s">
        <v>16037</v>
      </c>
      <c r="T879" t="s">
        <v>18666</v>
      </c>
      <c r="U879" t="s">
        <v>18652</v>
      </c>
      <c r="V879" s="104">
        <v>45857</v>
      </c>
      <c r="X879" s="97"/>
      <c r="Y879" s="75">
        <v>333.51</v>
      </c>
    </row>
    <row r="880" spans="1:25" x14ac:dyDescent="0.25">
      <c r="A880" s="76">
        <v>911</v>
      </c>
      <c r="B880" s="2" t="s">
        <v>6711</v>
      </c>
      <c r="C880" s="2" t="s">
        <v>6712</v>
      </c>
      <c r="D880" s="2" t="s">
        <v>6713</v>
      </c>
      <c r="E880" s="2" t="s">
        <v>392</v>
      </c>
      <c r="F880" s="2" t="s">
        <v>6714</v>
      </c>
      <c r="G880" s="2" t="s">
        <v>31</v>
      </c>
      <c r="H880" s="17">
        <v>25</v>
      </c>
      <c r="I880" s="31">
        <f t="shared" si="90"/>
        <v>25000</v>
      </c>
      <c r="J880" s="31">
        <f t="shared" si="91"/>
        <v>1750.0000000000002</v>
      </c>
      <c r="K880" s="44">
        <f t="shared" si="92"/>
        <v>4.794520547945206</v>
      </c>
      <c r="L880" s="3">
        <f t="shared" si="93"/>
        <v>354.79452054794524</v>
      </c>
      <c r="M880" s="3">
        <f t="shared" si="94"/>
        <v>21.287671232876715</v>
      </c>
      <c r="N880" s="67">
        <f t="shared" si="95"/>
        <v>333.50684931506851</v>
      </c>
      <c r="O880" s="3"/>
      <c r="P880" s="70" t="s">
        <v>18612</v>
      </c>
      <c r="Q880" s="2" t="s">
        <v>103</v>
      </c>
      <c r="R880" s="2" t="s">
        <v>6715</v>
      </c>
      <c r="T880" t="s">
        <v>18666</v>
      </c>
      <c r="U880" t="s">
        <v>18652</v>
      </c>
      <c r="V880" s="104">
        <v>45857</v>
      </c>
      <c r="X880" s="97"/>
      <c r="Y880" s="75">
        <v>333.51</v>
      </c>
    </row>
    <row r="881" spans="1:25" x14ac:dyDescent="0.25">
      <c r="A881" s="76">
        <v>912</v>
      </c>
      <c r="B881" s="2" t="s">
        <v>16745</v>
      </c>
      <c r="C881" s="2" t="s">
        <v>16746</v>
      </c>
      <c r="D881" s="2" t="s">
        <v>16747</v>
      </c>
      <c r="E881" s="2" t="s">
        <v>16748</v>
      </c>
      <c r="F881" s="2" t="s">
        <v>16749</v>
      </c>
      <c r="G881" s="2" t="s">
        <v>599</v>
      </c>
      <c r="H881" s="17">
        <v>25</v>
      </c>
      <c r="I881" s="31">
        <f t="shared" si="90"/>
        <v>25000</v>
      </c>
      <c r="J881" s="31">
        <f t="shared" si="91"/>
        <v>1750.0000000000002</v>
      </c>
      <c r="K881" s="44">
        <f t="shared" si="92"/>
        <v>4.794520547945206</v>
      </c>
      <c r="L881" s="3">
        <f t="shared" si="93"/>
        <v>354.79452054794524</v>
      </c>
      <c r="M881" s="3">
        <f t="shared" si="94"/>
        <v>21.287671232876715</v>
      </c>
      <c r="N881" s="67">
        <f t="shared" si="95"/>
        <v>333.50684931506851</v>
      </c>
      <c r="O881" s="3"/>
      <c r="P881" s="70" t="s">
        <v>18612</v>
      </c>
      <c r="Q881" s="2" t="s">
        <v>103</v>
      </c>
      <c r="R881" s="2" t="s">
        <v>16750</v>
      </c>
      <c r="T881" t="s">
        <v>18666</v>
      </c>
      <c r="U881" t="s">
        <v>18652</v>
      </c>
      <c r="V881" s="104">
        <v>45857</v>
      </c>
      <c r="X881" s="97"/>
      <c r="Y881" s="75">
        <v>333.51</v>
      </c>
    </row>
    <row r="882" spans="1:25" x14ac:dyDescent="0.25">
      <c r="A882" s="76">
        <v>913</v>
      </c>
      <c r="B882" s="2" t="s">
        <v>2770</v>
      </c>
      <c r="C882" s="2" t="s">
        <v>2771</v>
      </c>
      <c r="D882" s="2" t="s">
        <v>2772</v>
      </c>
      <c r="E882" s="2" t="s">
        <v>2773</v>
      </c>
      <c r="F882" s="2" t="s">
        <v>2774</v>
      </c>
      <c r="G882" s="2" t="s">
        <v>233</v>
      </c>
      <c r="H882" s="17">
        <v>25</v>
      </c>
      <c r="I882" s="31">
        <f t="shared" si="90"/>
        <v>25000</v>
      </c>
      <c r="J882" s="31">
        <f t="shared" si="91"/>
        <v>1750.0000000000002</v>
      </c>
      <c r="K882" s="44">
        <f t="shared" si="92"/>
        <v>4.794520547945206</v>
      </c>
      <c r="L882" s="3">
        <f t="shared" si="93"/>
        <v>354.79452054794524</v>
      </c>
      <c r="M882" s="3">
        <f t="shared" si="94"/>
        <v>21.287671232876715</v>
      </c>
      <c r="N882" s="67">
        <f t="shared" si="95"/>
        <v>333.50684931506851</v>
      </c>
      <c r="O882" s="3"/>
      <c r="P882" s="70" t="s">
        <v>18612</v>
      </c>
      <c r="Q882" s="2" t="s">
        <v>103</v>
      </c>
      <c r="R882" s="2" t="s">
        <v>2775</v>
      </c>
      <c r="T882" t="s">
        <v>18666</v>
      </c>
      <c r="U882" t="s">
        <v>18652</v>
      </c>
      <c r="V882" s="104">
        <v>45857</v>
      </c>
      <c r="X882" s="97"/>
      <c r="Y882" s="75">
        <v>333.51</v>
      </c>
    </row>
    <row r="883" spans="1:25" x14ac:dyDescent="0.25">
      <c r="A883" s="76">
        <v>914</v>
      </c>
      <c r="B883" s="2" t="s">
        <v>9003</v>
      </c>
      <c r="C883" s="2" t="s">
        <v>9004</v>
      </c>
      <c r="D883" s="2" t="s">
        <v>9005</v>
      </c>
      <c r="E883" s="2" t="s">
        <v>9006</v>
      </c>
      <c r="F883" s="2" t="s">
        <v>9007</v>
      </c>
      <c r="G883" s="2" t="s">
        <v>151</v>
      </c>
      <c r="H883" s="17">
        <v>25</v>
      </c>
      <c r="I883" s="31">
        <f t="shared" si="90"/>
        <v>25000</v>
      </c>
      <c r="J883" s="31">
        <f t="shared" si="91"/>
        <v>1750.0000000000002</v>
      </c>
      <c r="K883" s="44">
        <f t="shared" si="92"/>
        <v>4.794520547945206</v>
      </c>
      <c r="L883" s="3">
        <f t="shared" si="93"/>
        <v>354.79452054794524</v>
      </c>
      <c r="M883" s="3">
        <f t="shared" si="94"/>
        <v>21.287671232876715</v>
      </c>
      <c r="N883" s="67">
        <f t="shared" si="95"/>
        <v>333.50684931506851</v>
      </c>
      <c r="O883" s="3"/>
      <c r="P883" s="70" t="s">
        <v>18612</v>
      </c>
      <c r="Q883" s="2" t="s">
        <v>103</v>
      </c>
      <c r="R883" s="2" t="s">
        <v>9008</v>
      </c>
      <c r="T883" t="s">
        <v>18666</v>
      </c>
      <c r="U883" t="s">
        <v>18652</v>
      </c>
      <c r="V883" s="104">
        <v>45857</v>
      </c>
      <c r="X883" s="97"/>
      <c r="Y883" s="75">
        <v>333.51</v>
      </c>
    </row>
    <row r="884" spans="1:25" x14ac:dyDescent="0.25">
      <c r="A884" s="76">
        <v>915</v>
      </c>
      <c r="B884" s="2" t="s">
        <v>5958</v>
      </c>
      <c r="C884" s="2" t="s">
        <v>5959</v>
      </c>
      <c r="D884" s="2" t="s">
        <v>5960</v>
      </c>
      <c r="E884" s="2" t="s">
        <v>5961</v>
      </c>
      <c r="F884" s="2" t="s">
        <v>5962</v>
      </c>
      <c r="G884" s="2" t="s">
        <v>1823</v>
      </c>
      <c r="H884" s="17">
        <v>25</v>
      </c>
      <c r="I884" s="31">
        <f t="shared" si="90"/>
        <v>25000</v>
      </c>
      <c r="J884" s="31">
        <f t="shared" si="91"/>
        <v>1750.0000000000002</v>
      </c>
      <c r="K884" s="44">
        <f t="shared" si="92"/>
        <v>4.794520547945206</v>
      </c>
      <c r="L884" s="3">
        <f t="shared" si="93"/>
        <v>354.79452054794524</v>
      </c>
      <c r="M884" s="3">
        <f t="shared" si="94"/>
        <v>21.287671232876715</v>
      </c>
      <c r="N884" s="67">
        <f t="shared" si="95"/>
        <v>333.50684931506851</v>
      </c>
      <c r="O884" s="3"/>
      <c r="P884" s="70" t="s">
        <v>18612</v>
      </c>
      <c r="Q884" s="2" t="s">
        <v>103</v>
      </c>
      <c r="R884" s="2" t="s">
        <v>5963</v>
      </c>
      <c r="T884" t="s">
        <v>18666</v>
      </c>
      <c r="U884" t="s">
        <v>18652</v>
      </c>
      <c r="V884" s="104">
        <v>45857</v>
      </c>
      <c r="X884" s="97"/>
      <c r="Y884" s="75">
        <v>333.51</v>
      </c>
    </row>
    <row r="885" spans="1:25" x14ac:dyDescent="0.25">
      <c r="A885" s="76">
        <v>916</v>
      </c>
      <c r="B885" s="2" t="s">
        <v>6841</v>
      </c>
      <c r="C885" s="2" t="s">
        <v>6842</v>
      </c>
      <c r="D885" s="2" t="s">
        <v>6843</v>
      </c>
      <c r="E885" s="2" t="s">
        <v>6844</v>
      </c>
      <c r="F885" s="2" t="s">
        <v>6845</v>
      </c>
      <c r="G885" s="2" t="s">
        <v>618</v>
      </c>
      <c r="H885" s="17">
        <v>25</v>
      </c>
      <c r="I885" s="31">
        <f t="shared" si="90"/>
        <v>25000</v>
      </c>
      <c r="J885" s="31">
        <f t="shared" si="91"/>
        <v>1750.0000000000002</v>
      </c>
      <c r="K885" s="44">
        <f t="shared" si="92"/>
        <v>4.794520547945206</v>
      </c>
      <c r="L885" s="3">
        <f t="shared" si="93"/>
        <v>354.79452054794524</v>
      </c>
      <c r="M885" s="3">
        <f t="shared" si="94"/>
        <v>21.287671232876715</v>
      </c>
      <c r="N885" s="67">
        <f t="shared" si="95"/>
        <v>333.50684931506851</v>
      </c>
      <c r="O885" s="3"/>
      <c r="P885" s="70" t="s">
        <v>18612</v>
      </c>
      <c r="Q885" s="2" t="s">
        <v>103</v>
      </c>
      <c r="R885" s="2" t="s">
        <v>6846</v>
      </c>
      <c r="T885" t="s">
        <v>18666</v>
      </c>
      <c r="U885" t="s">
        <v>18652</v>
      </c>
      <c r="V885" s="104">
        <v>45857</v>
      </c>
      <c r="X885" s="97"/>
      <c r="Y885" s="75">
        <v>333.51</v>
      </c>
    </row>
    <row r="886" spans="1:25" x14ac:dyDescent="0.25">
      <c r="A886" s="76">
        <v>917</v>
      </c>
      <c r="B886" s="2" t="s">
        <v>7303</v>
      </c>
      <c r="C886" s="2" t="s">
        <v>7304</v>
      </c>
      <c r="D886" s="2" t="s">
        <v>7305</v>
      </c>
      <c r="E886" s="2" t="s">
        <v>7306</v>
      </c>
      <c r="F886" s="2" t="s">
        <v>7307</v>
      </c>
      <c r="G886" s="2" t="s">
        <v>362</v>
      </c>
      <c r="H886" s="17">
        <v>25</v>
      </c>
      <c r="I886" s="31">
        <f t="shared" si="90"/>
        <v>25000</v>
      </c>
      <c r="J886" s="31">
        <f t="shared" si="91"/>
        <v>1750.0000000000002</v>
      </c>
      <c r="K886" s="44">
        <f t="shared" si="92"/>
        <v>4.794520547945206</v>
      </c>
      <c r="L886" s="3">
        <f t="shared" si="93"/>
        <v>354.79452054794524</v>
      </c>
      <c r="M886" s="3">
        <f t="shared" si="94"/>
        <v>21.287671232876715</v>
      </c>
      <c r="N886" s="67">
        <f t="shared" si="95"/>
        <v>333.50684931506851</v>
      </c>
      <c r="O886" s="3"/>
      <c r="P886" s="70" t="s">
        <v>18612</v>
      </c>
      <c r="Q886" s="2" t="s">
        <v>103</v>
      </c>
      <c r="R886" s="2" t="s">
        <v>7308</v>
      </c>
      <c r="T886" t="s">
        <v>18666</v>
      </c>
      <c r="U886" t="s">
        <v>18652</v>
      </c>
      <c r="V886" s="104">
        <v>45857</v>
      </c>
      <c r="X886" s="97"/>
      <c r="Y886" s="75">
        <v>333.51</v>
      </c>
    </row>
    <row r="887" spans="1:25" x14ac:dyDescent="0.25">
      <c r="A887" s="76">
        <v>918</v>
      </c>
      <c r="B887" s="2" t="s">
        <v>9921</v>
      </c>
      <c r="C887" s="2" t="s">
        <v>9922</v>
      </c>
      <c r="D887" s="2" t="s">
        <v>9923</v>
      </c>
      <c r="E887" s="2" t="s">
        <v>9924</v>
      </c>
      <c r="F887" s="2" t="s">
        <v>9925</v>
      </c>
      <c r="G887" s="2" t="s">
        <v>31</v>
      </c>
      <c r="H887" s="17">
        <v>200</v>
      </c>
      <c r="I887" s="31">
        <f t="shared" si="90"/>
        <v>200000</v>
      </c>
      <c r="J887" s="31">
        <f t="shared" si="91"/>
        <v>14000.000000000002</v>
      </c>
      <c r="K887" s="44">
        <f t="shared" si="92"/>
        <v>38.356164383561648</v>
      </c>
      <c r="L887" s="3">
        <f t="shared" si="93"/>
        <v>2838.3561643835619</v>
      </c>
      <c r="M887" s="3">
        <f t="shared" si="94"/>
        <v>170.30136986301372</v>
      </c>
      <c r="N887" s="67">
        <f t="shared" si="95"/>
        <v>2668.0547945205481</v>
      </c>
      <c r="O887" s="3"/>
      <c r="P887" s="70" t="s">
        <v>18612</v>
      </c>
      <c r="Q887" s="2" t="s">
        <v>103</v>
      </c>
      <c r="R887" s="2" t="s">
        <v>9926</v>
      </c>
      <c r="T887" t="s">
        <v>18666</v>
      </c>
      <c r="U887" t="s">
        <v>18652</v>
      </c>
      <c r="V887" s="104">
        <v>45857</v>
      </c>
      <c r="X887" s="97"/>
      <c r="Y887" s="75">
        <v>2668.0600000000004</v>
      </c>
    </row>
    <row r="888" spans="1:25" x14ac:dyDescent="0.25">
      <c r="A888" s="76">
        <v>919</v>
      </c>
      <c r="B888" s="2" t="s">
        <v>14751</v>
      </c>
      <c r="C888" s="2" t="s">
        <v>14752</v>
      </c>
      <c r="D888" s="2" t="s">
        <v>14753</v>
      </c>
      <c r="E888" s="2" t="s">
        <v>14754</v>
      </c>
      <c r="F888" s="2" t="s">
        <v>14755</v>
      </c>
      <c r="G888" s="2" t="s">
        <v>226</v>
      </c>
      <c r="H888" s="17">
        <v>25</v>
      </c>
      <c r="I888" s="31">
        <f t="shared" si="90"/>
        <v>25000</v>
      </c>
      <c r="J888" s="31">
        <f t="shared" si="91"/>
        <v>1750.0000000000002</v>
      </c>
      <c r="K888" s="44">
        <f t="shared" si="92"/>
        <v>4.794520547945206</v>
      </c>
      <c r="L888" s="3">
        <f t="shared" si="93"/>
        <v>354.79452054794524</v>
      </c>
      <c r="M888" s="3">
        <f t="shared" si="94"/>
        <v>21.287671232876715</v>
      </c>
      <c r="N888" s="67">
        <f t="shared" si="95"/>
        <v>333.50684931506851</v>
      </c>
      <c r="O888" s="3"/>
      <c r="P888" s="70" t="s">
        <v>18612</v>
      </c>
      <c r="Q888" s="2" t="s">
        <v>103</v>
      </c>
      <c r="R888" s="2" t="s">
        <v>14756</v>
      </c>
      <c r="T888" t="s">
        <v>18666</v>
      </c>
      <c r="U888" t="s">
        <v>18652</v>
      </c>
      <c r="V888" s="104">
        <v>45857</v>
      </c>
      <c r="X888" s="97"/>
      <c r="Y888" s="75">
        <v>333.51</v>
      </c>
    </row>
    <row r="889" spans="1:25" x14ac:dyDescent="0.25">
      <c r="A889" s="76">
        <v>920</v>
      </c>
      <c r="B889" s="2" t="s">
        <v>6501</v>
      </c>
      <c r="C889" s="2" t="s">
        <v>6502</v>
      </c>
      <c r="D889" s="2" t="s">
        <v>6503</v>
      </c>
      <c r="E889" s="2" t="s">
        <v>6504</v>
      </c>
      <c r="F889" s="2" t="s">
        <v>6505</v>
      </c>
      <c r="G889" s="2" t="s">
        <v>750</v>
      </c>
      <c r="H889" s="17">
        <v>860</v>
      </c>
      <c r="I889" s="31">
        <f t="shared" si="90"/>
        <v>860000</v>
      </c>
      <c r="J889" s="31">
        <f t="shared" si="91"/>
        <v>60200.000000000007</v>
      </c>
      <c r="K889" s="44">
        <f t="shared" si="92"/>
        <v>164.9315068493151</v>
      </c>
      <c r="L889" s="3">
        <f t="shared" si="93"/>
        <v>12204.931506849318</v>
      </c>
      <c r="M889" s="3">
        <f t="shared" si="94"/>
        <v>732.29589041095903</v>
      </c>
      <c r="N889" s="67">
        <f t="shared" si="95"/>
        <v>11472.63561643836</v>
      </c>
      <c r="O889" s="3"/>
      <c r="P889" s="70" t="s">
        <v>18612</v>
      </c>
      <c r="Q889" s="2" t="s">
        <v>103</v>
      </c>
      <c r="R889" s="2" t="s">
        <v>6506</v>
      </c>
      <c r="T889" t="s">
        <v>18666</v>
      </c>
      <c r="U889" t="s">
        <v>18652</v>
      </c>
      <c r="V889" s="104">
        <v>45857</v>
      </c>
      <c r="X889" s="97"/>
      <c r="Y889" s="75">
        <v>11472.64</v>
      </c>
    </row>
    <row r="890" spans="1:25" x14ac:dyDescent="0.25">
      <c r="A890" s="76">
        <v>921</v>
      </c>
      <c r="B890" s="2" t="s">
        <v>17718</v>
      </c>
      <c r="C890" s="2" t="s">
        <v>17719</v>
      </c>
      <c r="D890" s="2" t="s">
        <v>17720</v>
      </c>
      <c r="E890" s="2" t="s">
        <v>17721</v>
      </c>
      <c r="F890" s="2" t="s">
        <v>17722</v>
      </c>
      <c r="G890" s="2" t="s">
        <v>268</v>
      </c>
      <c r="H890" s="17">
        <v>50</v>
      </c>
      <c r="I890" s="31">
        <f t="shared" si="90"/>
        <v>50000</v>
      </c>
      <c r="J890" s="31">
        <f t="shared" si="91"/>
        <v>3500.0000000000005</v>
      </c>
      <c r="K890" s="44">
        <f t="shared" si="92"/>
        <v>9.589041095890412</v>
      </c>
      <c r="L890" s="3">
        <f t="shared" si="93"/>
        <v>709.58904109589048</v>
      </c>
      <c r="M890" s="3">
        <f t="shared" si="94"/>
        <v>42.57534246575343</v>
      </c>
      <c r="N890" s="67">
        <f t="shared" si="95"/>
        <v>667.01369863013701</v>
      </c>
      <c r="O890" s="3"/>
      <c r="P890" s="70" t="s">
        <v>18612</v>
      </c>
      <c r="Q890" s="2" t="s">
        <v>103</v>
      </c>
      <c r="R890" s="2" t="s">
        <v>17723</v>
      </c>
      <c r="T890" t="s">
        <v>18666</v>
      </c>
      <c r="U890" t="s">
        <v>18652</v>
      </c>
      <c r="V890" s="104">
        <v>45857</v>
      </c>
      <c r="X890" s="97"/>
      <c r="Y890" s="75">
        <v>667.02</v>
      </c>
    </row>
    <row r="891" spans="1:25" x14ac:dyDescent="0.25">
      <c r="A891" s="76">
        <v>922</v>
      </c>
      <c r="B891" s="2" t="s">
        <v>8667</v>
      </c>
      <c r="C891" s="2" t="s">
        <v>8668</v>
      </c>
      <c r="D891" s="2" t="s">
        <v>8669</v>
      </c>
      <c r="E891" s="2" t="s">
        <v>8670</v>
      </c>
      <c r="F891" s="2" t="s">
        <v>8671</v>
      </c>
      <c r="G891" s="2" t="s">
        <v>580</v>
      </c>
      <c r="H891" s="17">
        <v>100</v>
      </c>
      <c r="I891" s="31">
        <f t="shared" si="90"/>
        <v>100000</v>
      </c>
      <c r="J891" s="31">
        <f t="shared" si="91"/>
        <v>7000.0000000000009</v>
      </c>
      <c r="K891" s="44">
        <f t="shared" si="92"/>
        <v>19.178082191780824</v>
      </c>
      <c r="L891" s="3">
        <f t="shared" si="93"/>
        <v>1419.178082191781</v>
      </c>
      <c r="M891" s="3">
        <f t="shared" si="94"/>
        <v>85.150684931506859</v>
      </c>
      <c r="N891" s="67">
        <f t="shared" si="95"/>
        <v>1334.027397260274</v>
      </c>
      <c r="O891" s="3"/>
      <c r="P891" s="70" t="s">
        <v>18612</v>
      </c>
      <c r="Q891" s="2" t="s">
        <v>103</v>
      </c>
      <c r="R891" s="2" t="s">
        <v>8672</v>
      </c>
      <c r="T891" t="s">
        <v>18666</v>
      </c>
      <c r="U891" t="s">
        <v>18652</v>
      </c>
      <c r="V891" s="104">
        <v>45857</v>
      </c>
      <c r="X891" s="97"/>
      <c r="Y891" s="75">
        <v>1334.03</v>
      </c>
    </row>
    <row r="892" spans="1:25" x14ac:dyDescent="0.25">
      <c r="A892" s="76">
        <v>923</v>
      </c>
      <c r="B892" s="2" t="s">
        <v>13995</v>
      </c>
      <c r="C892" s="2" t="s">
        <v>13996</v>
      </c>
      <c r="D892" s="2" t="s">
        <v>13997</v>
      </c>
      <c r="E892" s="2" t="s">
        <v>13998</v>
      </c>
      <c r="F892" s="2" t="s">
        <v>13999</v>
      </c>
      <c r="G892" s="2" t="s">
        <v>31</v>
      </c>
      <c r="H892" s="17">
        <v>25</v>
      </c>
      <c r="I892" s="31">
        <f t="shared" si="90"/>
        <v>25000</v>
      </c>
      <c r="J892" s="31">
        <f t="shared" si="91"/>
        <v>1750.0000000000002</v>
      </c>
      <c r="K892" s="44">
        <f t="shared" si="92"/>
        <v>4.794520547945206</v>
      </c>
      <c r="L892" s="3">
        <f t="shared" si="93"/>
        <v>354.79452054794524</v>
      </c>
      <c r="M892" s="3">
        <f t="shared" si="94"/>
        <v>21.287671232876715</v>
      </c>
      <c r="N892" s="67">
        <f t="shared" si="95"/>
        <v>333.50684931506851</v>
      </c>
      <c r="O892" s="3"/>
      <c r="P892" s="70" t="s">
        <v>18612</v>
      </c>
      <c r="Q892" s="2" t="s">
        <v>103</v>
      </c>
      <c r="R892" s="2" t="s">
        <v>14000</v>
      </c>
      <c r="T892" t="s">
        <v>18666</v>
      </c>
      <c r="U892" t="s">
        <v>18652</v>
      </c>
      <c r="V892" s="104">
        <v>45857</v>
      </c>
      <c r="X892" s="97"/>
      <c r="Y892" s="75">
        <v>333.51</v>
      </c>
    </row>
    <row r="893" spans="1:25" x14ac:dyDescent="0.25">
      <c r="A893" s="76">
        <v>924</v>
      </c>
      <c r="B893" s="2" t="s">
        <v>9641</v>
      </c>
      <c r="C893" s="2" t="s">
        <v>9642</v>
      </c>
      <c r="D893" s="2" t="s">
        <v>9643</v>
      </c>
      <c r="E893" s="2" t="s">
        <v>9644</v>
      </c>
      <c r="F893" s="2" t="s">
        <v>9645</v>
      </c>
      <c r="G893" s="2" t="s">
        <v>835</v>
      </c>
      <c r="H893" s="17">
        <v>25</v>
      </c>
      <c r="I893" s="31">
        <f t="shared" si="90"/>
        <v>25000</v>
      </c>
      <c r="J893" s="31">
        <f t="shared" si="91"/>
        <v>1750.0000000000002</v>
      </c>
      <c r="K893" s="44">
        <f t="shared" si="92"/>
        <v>4.794520547945206</v>
      </c>
      <c r="L893" s="3">
        <f t="shared" si="93"/>
        <v>354.79452054794524</v>
      </c>
      <c r="M893" s="3">
        <f t="shared" si="94"/>
        <v>21.287671232876715</v>
      </c>
      <c r="N893" s="67">
        <f t="shared" si="95"/>
        <v>333.50684931506851</v>
      </c>
      <c r="O893" s="3"/>
      <c r="P893" s="70" t="s">
        <v>18612</v>
      </c>
      <c r="Q893" s="2" t="s">
        <v>103</v>
      </c>
      <c r="R893" s="2" t="s">
        <v>9646</v>
      </c>
      <c r="T893" t="s">
        <v>18666</v>
      </c>
      <c r="U893" t="s">
        <v>18652</v>
      </c>
      <c r="V893" s="104">
        <v>45857</v>
      </c>
      <c r="X893" s="97"/>
      <c r="Y893" s="75">
        <v>333.51</v>
      </c>
    </row>
    <row r="894" spans="1:25" x14ac:dyDescent="0.25">
      <c r="A894" s="76">
        <v>925</v>
      </c>
      <c r="B894" s="2" t="s">
        <v>15954</v>
      </c>
      <c r="C894" s="2" t="s">
        <v>15955</v>
      </c>
      <c r="D894" s="2" t="s">
        <v>15956</v>
      </c>
      <c r="E894" s="2" t="s">
        <v>15957</v>
      </c>
      <c r="F894" s="2" t="s">
        <v>15958</v>
      </c>
      <c r="G894" s="2" t="s">
        <v>1315</v>
      </c>
      <c r="H894" s="17">
        <v>25</v>
      </c>
      <c r="I894" s="31">
        <f t="shared" si="90"/>
        <v>25000</v>
      </c>
      <c r="J894" s="31">
        <f t="shared" si="91"/>
        <v>1750.0000000000002</v>
      </c>
      <c r="K894" s="44">
        <f t="shared" si="92"/>
        <v>4.794520547945206</v>
      </c>
      <c r="L894" s="3">
        <f t="shared" si="93"/>
        <v>354.79452054794524</v>
      </c>
      <c r="M894" s="3">
        <f t="shared" si="94"/>
        <v>21.287671232876715</v>
      </c>
      <c r="N894" s="67">
        <f t="shared" si="95"/>
        <v>333.50684931506851</v>
      </c>
      <c r="O894" s="3"/>
      <c r="P894" s="70" t="s">
        <v>18612</v>
      </c>
      <c r="Q894" s="2" t="s">
        <v>103</v>
      </c>
      <c r="R894" s="2" t="s">
        <v>15959</v>
      </c>
      <c r="T894" t="s">
        <v>18666</v>
      </c>
      <c r="U894" t="s">
        <v>18652</v>
      </c>
      <c r="V894" s="104">
        <v>45857</v>
      </c>
      <c r="X894" s="97"/>
      <c r="Y894" s="75">
        <v>333.51</v>
      </c>
    </row>
    <row r="895" spans="1:25" x14ac:dyDescent="0.25">
      <c r="A895" s="76">
        <v>926</v>
      </c>
      <c r="B895" s="2" t="s">
        <v>18366</v>
      </c>
      <c r="C895" s="2" t="s">
        <v>8156</v>
      </c>
      <c r="D895" s="2" t="s">
        <v>18367</v>
      </c>
      <c r="E895" s="2" t="s">
        <v>18368</v>
      </c>
      <c r="F895" s="2" t="s">
        <v>18369</v>
      </c>
      <c r="G895" s="2" t="s">
        <v>939</v>
      </c>
      <c r="H895" s="17">
        <v>500</v>
      </c>
      <c r="I895" s="31">
        <f t="shared" si="90"/>
        <v>500000</v>
      </c>
      <c r="J895" s="31">
        <f t="shared" si="91"/>
        <v>35000</v>
      </c>
      <c r="K895" s="44">
        <f t="shared" si="92"/>
        <v>95.890410958904113</v>
      </c>
      <c r="L895" s="3">
        <f t="shared" si="93"/>
        <v>7095.8904109589039</v>
      </c>
      <c r="M895" s="3">
        <f t="shared" si="94"/>
        <v>425.7534246575342</v>
      </c>
      <c r="N895" s="67">
        <f t="shared" si="95"/>
        <v>6670.1369863013697</v>
      </c>
      <c r="O895" s="3"/>
      <c r="P895" s="70" t="s">
        <v>18612</v>
      </c>
      <c r="Q895" s="2" t="s">
        <v>103</v>
      </c>
      <c r="R895" s="2" t="s">
        <v>18370</v>
      </c>
      <c r="T895" t="s">
        <v>18666</v>
      </c>
      <c r="U895" t="s">
        <v>18652</v>
      </c>
      <c r="V895" s="104">
        <v>45857</v>
      </c>
      <c r="X895" s="97"/>
      <c r="Y895" s="75">
        <v>6670.14</v>
      </c>
    </row>
    <row r="896" spans="1:25" x14ac:dyDescent="0.25">
      <c r="A896" s="76">
        <v>927</v>
      </c>
      <c r="B896" s="2" t="s">
        <v>15096</v>
      </c>
      <c r="C896" s="2" t="s">
        <v>15075</v>
      </c>
      <c r="D896" s="2" t="s">
        <v>15076</v>
      </c>
      <c r="E896" s="2" t="s">
        <v>15097</v>
      </c>
      <c r="F896" s="2" t="s">
        <v>15098</v>
      </c>
      <c r="G896" s="2" t="s">
        <v>144</v>
      </c>
      <c r="H896" s="17">
        <v>25</v>
      </c>
      <c r="I896" s="31">
        <f t="shared" si="90"/>
        <v>25000</v>
      </c>
      <c r="J896" s="31">
        <f t="shared" si="91"/>
        <v>1750.0000000000002</v>
      </c>
      <c r="K896" s="44">
        <f t="shared" si="92"/>
        <v>4.794520547945206</v>
      </c>
      <c r="L896" s="3">
        <f t="shared" si="93"/>
        <v>354.79452054794524</v>
      </c>
      <c r="M896" s="3">
        <f t="shared" si="94"/>
        <v>21.287671232876715</v>
      </c>
      <c r="N896" s="67">
        <f t="shared" si="95"/>
        <v>333.50684931506851</v>
      </c>
      <c r="O896" s="3"/>
      <c r="P896" s="70" t="s">
        <v>18612</v>
      </c>
      <c r="Q896" s="2" t="s">
        <v>103</v>
      </c>
      <c r="R896" s="2" t="s">
        <v>15099</v>
      </c>
      <c r="T896" t="s">
        <v>18666</v>
      </c>
      <c r="U896" t="s">
        <v>18652</v>
      </c>
      <c r="V896" s="104">
        <v>45857</v>
      </c>
      <c r="X896" s="97"/>
      <c r="Y896" s="75">
        <v>333.51</v>
      </c>
    </row>
    <row r="897" spans="1:25" x14ac:dyDescent="0.25">
      <c r="A897" s="76">
        <v>928</v>
      </c>
      <c r="B897" s="2" t="s">
        <v>15884</v>
      </c>
      <c r="C897" s="2" t="s">
        <v>15885</v>
      </c>
      <c r="D897" s="2" t="s">
        <v>15886</v>
      </c>
      <c r="E897" s="2" t="s">
        <v>15887</v>
      </c>
      <c r="F897" s="2" t="s">
        <v>15888</v>
      </c>
      <c r="G897" s="2" t="s">
        <v>743</v>
      </c>
      <c r="H897" s="17">
        <v>40</v>
      </c>
      <c r="I897" s="31">
        <f t="shared" si="90"/>
        <v>40000</v>
      </c>
      <c r="J897" s="31">
        <f t="shared" si="91"/>
        <v>2800.0000000000005</v>
      </c>
      <c r="K897" s="44">
        <f t="shared" si="92"/>
        <v>7.6712328767123301</v>
      </c>
      <c r="L897" s="3">
        <f t="shared" si="93"/>
        <v>567.67123287671245</v>
      </c>
      <c r="M897" s="3">
        <f t="shared" si="94"/>
        <v>34.060273972602744</v>
      </c>
      <c r="N897" s="67">
        <f t="shared" si="95"/>
        <v>533.61095890410968</v>
      </c>
      <c r="O897" s="3"/>
      <c r="P897" s="70" t="s">
        <v>18612</v>
      </c>
      <c r="Q897" s="2" t="s">
        <v>103</v>
      </c>
      <c r="R897" s="2" t="s">
        <v>15889</v>
      </c>
      <c r="T897" t="s">
        <v>18666</v>
      </c>
      <c r="U897" t="s">
        <v>18652</v>
      </c>
      <c r="V897" s="104">
        <v>45857</v>
      </c>
      <c r="X897" s="97"/>
      <c r="Y897" s="75">
        <v>533.62</v>
      </c>
    </row>
    <row r="898" spans="1:25" x14ac:dyDescent="0.25">
      <c r="A898" s="76">
        <v>929</v>
      </c>
      <c r="B898" s="2" t="s">
        <v>12502</v>
      </c>
      <c r="C898" s="2" t="s">
        <v>12503</v>
      </c>
      <c r="D898" s="2" t="s">
        <v>10538</v>
      </c>
      <c r="E898" s="2" t="s">
        <v>12504</v>
      </c>
      <c r="F898" s="2" t="s">
        <v>12505</v>
      </c>
      <c r="G898" s="2" t="s">
        <v>247</v>
      </c>
      <c r="H898" s="17">
        <v>30</v>
      </c>
      <c r="I898" s="31">
        <f t="shared" si="90"/>
        <v>30000</v>
      </c>
      <c r="J898" s="31">
        <f t="shared" si="91"/>
        <v>2100</v>
      </c>
      <c r="K898" s="44">
        <f t="shared" si="92"/>
        <v>5.7534246575342465</v>
      </c>
      <c r="L898" s="3">
        <f t="shared" si="93"/>
        <v>425.75342465753425</v>
      </c>
      <c r="M898" s="3">
        <f t="shared" si="94"/>
        <v>25.545205479452054</v>
      </c>
      <c r="N898" s="67">
        <f t="shared" si="95"/>
        <v>400.20821917808217</v>
      </c>
      <c r="O898" s="3"/>
      <c r="P898" s="70" t="s">
        <v>18612</v>
      </c>
      <c r="Q898" s="2" t="s">
        <v>103</v>
      </c>
      <c r="R898" s="2" t="s">
        <v>12506</v>
      </c>
      <c r="T898" t="s">
        <v>18666</v>
      </c>
      <c r="U898" t="s">
        <v>18652</v>
      </c>
      <c r="V898" s="104">
        <v>45857</v>
      </c>
      <c r="X898" s="97"/>
      <c r="Y898" s="75">
        <v>400.21</v>
      </c>
    </row>
    <row r="899" spans="1:25" x14ac:dyDescent="0.25">
      <c r="A899" s="76">
        <v>930</v>
      </c>
      <c r="B899" s="2" t="s">
        <v>13646</v>
      </c>
      <c r="C899" s="2" t="s">
        <v>13647</v>
      </c>
      <c r="D899" s="2" t="s">
        <v>13648</v>
      </c>
      <c r="E899" s="2" t="s">
        <v>13649</v>
      </c>
      <c r="F899" s="2" t="s">
        <v>13650</v>
      </c>
      <c r="G899" s="2" t="s">
        <v>123</v>
      </c>
      <c r="H899" s="17">
        <v>300</v>
      </c>
      <c r="I899" s="31">
        <f t="shared" si="90"/>
        <v>300000</v>
      </c>
      <c r="J899" s="31">
        <f t="shared" si="91"/>
        <v>21000.000000000004</v>
      </c>
      <c r="K899" s="44">
        <f t="shared" si="92"/>
        <v>57.534246575342479</v>
      </c>
      <c r="L899" s="3">
        <f t="shared" si="93"/>
        <v>4257.5342465753438</v>
      </c>
      <c r="M899" s="3">
        <f t="shared" si="94"/>
        <v>255.45205479452062</v>
      </c>
      <c r="N899" s="67">
        <f t="shared" si="95"/>
        <v>4002.082191780823</v>
      </c>
      <c r="O899" s="3"/>
      <c r="P899" s="70" t="s">
        <v>18612</v>
      </c>
      <c r="Q899" s="2" t="s">
        <v>103</v>
      </c>
      <c r="R899" s="2" t="s">
        <v>13651</v>
      </c>
      <c r="T899" t="s">
        <v>18666</v>
      </c>
      <c r="U899" t="s">
        <v>18652</v>
      </c>
      <c r="V899" s="104">
        <v>45857</v>
      </c>
      <c r="X899" s="97"/>
      <c r="Y899" s="75">
        <v>4002.09</v>
      </c>
    </row>
    <row r="900" spans="1:25" x14ac:dyDescent="0.25">
      <c r="A900" s="76">
        <v>931</v>
      </c>
      <c r="B900" s="2" t="s">
        <v>14484</v>
      </c>
      <c r="C900" s="2" t="s">
        <v>14485</v>
      </c>
      <c r="D900" s="2" t="s">
        <v>14486</v>
      </c>
      <c r="E900" s="2" t="s">
        <v>2318</v>
      </c>
      <c r="F900" s="2" t="s">
        <v>14487</v>
      </c>
      <c r="G900" s="2" t="s">
        <v>186</v>
      </c>
      <c r="H900" s="17">
        <v>25</v>
      </c>
      <c r="I900" s="31">
        <f t="shared" si="90"/>
        <v>25000</v>
      </c>
      <c r="J900" s="31">
        <f t="shared" si="91"/>
        <v>1750.0000000000002</v>
      </c>
      <c r="K900" s="44">
        <f t="shared" si="92"/>
        <v>4.794520547945206</v>
      </c>
      <c r="L900" s="3">
        <f t="shared" si="93"/>
        <v>354.79452054794524</v>
      </c>
      <c r="M900" s="3">
        <f t="shared" si="94"/>
        <v>21.287671232876715</v>
      </c>
      <c r="N900" s="67">
        <f t="shared" si="95"/>
        <v>333.50684931506851</v>
      </c>
      <c r="O900" s="3"/>
      <c r="P900" s="70" t="s">
        <v>18612</v>
      </c>
      <c r="Q900" s="2" t="s">
        <v>103</v>
      </c>
      <c r="R900" s="2" t="s">
        <v>14488</v>
      </c>
      <c r="T900" t="s">
        <v>18666</v>
      </c>
      <c r="U900" t="s">
        <v>18652</v>
      </c>
      <c r="V900" s="104">
        <v>45857</v>
      </c>
      <c r="X900" s="97"/>
      <c r="Y900" s="75">
        <v>333.51</v>
      </c>
    </row>
    <row r="901" spans="1:25" x14ac:dyDescent="0.25">
      <c r="A901" s="76">
        <v>932</v>
      </c>
      <c r="B901" s="2" t="s">
        <v>13752</v>
      </c>
      <c r="C901" s="2" t="s">
        <v>13753</v>
      </c>
      <c r="D901" s="2" t="s">
        <v>13754</v>
      </c>
      <c r="E901" s="2" t="s">
        <v>13755</v>
      </c>
      <c r="F901" s="2" t="s">
        <v>13756</v>
      </c>
      <c r="G901" s="2" t="s">
        <v>31</v>
      </c>
      <c r="H901" s="17">
        <v>25</v>
      </c>
      <c r="I901" s="31">
        <f t="shared" si="90"/>
        <v>25000</v>
      </c>
      <c r="J901" s="31">
        <f t="shared" si="91"/>
        <v>1750.0000000000002</v>
      </c>
      <c r="K901" s="44">
        <f t="shared" si="92"/>
        <v>4.794520547945206</v>
      </c>
      <c r="L901" s="3">
        <f t="shared" si="93"/>
        <v>354.79452054794524</v>
      </c>
      <c r="M901" s="3">
        <f t="shared" si="94"/>
        <v>21.287671232876715</v>
      </c>
      <c r="N901" s="67">
        <f t="shared" si="95"/>
        <v>333.50684931506851</v>
      </c>
      <c r="O901" s="3"/>
      <c r="P901" s="70" t="s">
        <v>18612</v>
      </c>
      <c r="Q901" s="2" t="s">
        <v>103</v>
      </c>
      <c r="R901" s="2" t="s">
        <v>13757</v>
      </c>
      <c r="T901" t="s">
        <v>18666</v>
      </c>
      <c r="U901" t="s">
        <v>18652</v>
      </c>
      <c r="V901" s="104">
        <v>45857</v>
      </c>
      <c r="X901" s="97"/>
      <c r="Y901" s="75">
        <v>333.51</v>
      </c>
    </row>
    <row r="902" spans="1:25" x14ac:dyDescent="0.25">
      <c r="A902" s="76">
        <v>933</v>
      </c>
      <c r="B902" s="2" t="s">
        <v>16921</v>
      </c>
      <c r="C902" s="2" t="s">
        <v>16922</v>
      </c>
      <c r="D902" s="2" t="s">
        <v>16923</v>
      </c>
      <c r="E902" s="2" t="s">
        <v>16924</v>
      </c>
      <c r="F902" s="2" t="s">
        <v>16925</v>
      </c>
      <c r="G902" s="2" t="s">
        <v>158</v>
      </c>
      <c r="H902" s="17">
        <v>25</v>
      </c>
      <c r="I902" s="31">
        <f t="shared" si="90"/>
        <v>25000</v>
      </c>
      <c r="J902" s="31">
        <f t="shared" si="91"/>
        <v>1750.0000000000002</v>
      </c>
      <c r="K902" s="44">
        <f t="shared" si="92"/>
        <v>4.794520547945206</v>
      </c>
      <c r="L902" s="3">
        <f t="shared" si="93"/>
        <v>354.79452054794524</v>
      </c>
      <c r="M902" s="3">
        <f t="shared" si="94"/>
        <v>21.287671232876715</v>
      </c>
      <c r="N902" s="67">
        <f t="shared" si="95"/>
        <v>333.50684931506851</v>
      </c>
      <c r="O902" s="3"/>
      <c r="P902" s="70" t="s">
        <v>18612</v>
      </c>
      <c r="Q902" s="2" t="s">
        <v>103</v>
      </c>
      <c r="R902" s="2" t="s">
        <v>16926</v>
      </c>
      <c r="T902" t="s">
        <v>18666</v>
      </c>
      <c r="U902" t="s">
        <v>18652</v>
      </c>
      <c r="V902" s="104">
        <v>45857</v>
      </c>
      <c r="X902" s="97"/>
      <c r="Y902" s="75">
        <v>333.51</v>
      </c>
    </row>
    <row r="903" spans="1:25" x14ac:dyDescent="0.25">
      <c r="A903" s="76">
        <v>934</v>
      </c>
      <c r="B903" s="2" t="s">
        <v>720</v>
      </c>
      <c r="C903" s="2" t="s">
        <v>721</v>
      </c>
      <c r="D903" s="2" t="s">
        <v>722</v>
      </c>
      <c r="E903" s="2" t="s">
        <v>723</v>
      </c>
      <c r="F903" s="2" t="s">
        <v>724</v>
      </c>
      <c r="G903" s="2" t="s">
        <v>23</v>
      </c>
      <c r="H903" s="17">
        <v>25</v>
      </c>
      <c r="I903" s="31">
        <f t="shared" si="90"/>
        <v>25000</v>
      </c>
      <c r="J903" s="31">
        <f t="shared" si="91"/>
        <v>1750.0000000000002</v>
      </c>
      <c r="K903" s="44">
        <f t="shared" si="92"/>
        <v>4.794520547945206</v>
      </c>
      <c r="L903" s="3">
        <f t="shared" si="93"/>
        <v>354.79452054794524</v>
      </c>
      <c r="M903" s="3">
        <f t="shared" si="94"/>
        <v>21.287671232876715</v>
      </c>
      <c r="N903" s="67">
        <f t="shared" si="95"/>
        <v>333.50684931506851</v>
      </c>
      <c r="O903" s="3"/>
      <c r="P903" s="70" t="s">
        <v>18612</v>
      </c>
      <c r="Q903" s="2" t="s">
        <v>103</v>
      </c>
      <c r="R903" s="2" t="s">
        <v>725</v>
      </c>
      <c r="T903" t="s">
        <v>18666</v>
      </c>
      <c r="U903" t="s">
        <v>18652</v>
      </c>
      <c r="V903" s="104">
        <v>45857</v>
      </c>
      <c r="X903" s="97"/>
      <c r="Y903" s="75">
        <v>333.51</v>
      </c>
    </row>
    <row r="904" spans="1:25" x14ac:dyDescent="0.25">
      <c r="A904" s="76">
        <v>935</v>
      </c>
      <c r="B904" s="2" t="s">
        <v>1160</v>
      </c>
      <c r="C904" s="2" t="s">
        <v>1161</v>
      </c>
      <c r="D904" s="2" t="s">
        <v>1162</v>
      </c>
      <c r="E904" s="2" t="s">
        <v>1163</v>
      </c>
      <c r="F904" s="2" t="s">
        <v>1164</v>
      </c>
      <c r="G904" s="2" t="s">
        <v>151</v>
      </c>
      <c r="H904" s="17">
        <v>50</v>
      </c>
      <c r="I904" s="31">
        <f t="shared" si="90"/>
        <v>50000</v>
      </c>
      <c r="J904" s="31">
        <f t="shared" si="91"/>
        <v>3500.0000000000005</v>
      </c>
      <c r="K904" s="44">
        <f t="shared" si="92"/>
        <v>9.589041095890412</v>
      </c>
      <c r="L904" s="3">
        <f t="shared" si="93"/>
        <v>709.58904109589048</v>
      </c>
      <c r="M904" s="3">
        <f t="shared" si="94"/>
        <v>42.57534246575343</v>
      </c>
      <c r="N904" s="67">
        <f t="shared" si="95"/>
        <v>667.01369863013701</v>
      </c>
      <c r="O904" s="3"/>
      <c r="P904" s="70" t="s">
        <v>18612</v>
      </c>
      <c r="Q904" s="2" t="s">
        <v>103</v>
      </c>
      <c r="R904" s="2" t="s">
        <v>1165</v>
      </c>
      <c r="T904" t="s">
        <v>18666</v>
      </c>
      <c r="U904" t="s">
        <v>18652</v>
      </c>
      <c r="V904" s="104">
        <v>45857</v>
      </c>
      <c r="X904" s="97"/>
      <c r="Y904" s="75">
        <v>667.02</v>
      </c>
    </row>
    <row r="905" spans="1:25" x14ac:dyDescent="0.25">
      <c r="A905" s="76">
        <v>936</v>
      </c>
      <c r="B905" s="2" t="s">
        <v>15831</v>
      </c>
      <c r="C905" s="2" t="s">
        <v>15832</v>
      </c>
      <c r="D905" s="2" t="s">
        <v>15833</v>
      </c>
      <c r="E905" s="2" t="s">
        <v>15834</v>
      </c>
      <c r="F905" s="2" t="s">
        <v>15835</v>
      </c>
      <c r="G905" s="2" t="s">
        <v>1315</v>
      </c>
      <c r="H905" s="17">
        <v>100</v>
      </c>
      <c r="I905" s="31">
        <f t="shared" si="90"/>
        <v>100000</v>
      </c>
      <c r="J905" s="31">
        <f t="shared" si="91"/>
        <v>7000.0000000000009</v>
      </c>
      <c r="K905" s="44">
        <f t="shared" si="92"/>
        <v>19.178082191780824</v>
      </c>
      <c r="L905" s="3">
        <f t="shared" si="93"/>
        <v>1419.178082191781</v>
      </c>
      <c r="M905" s="3">
        <f t="shared" si="94"/>
        <v>85.150684931506859</v>
      </c>
      <c r="N905" s="67">
        <f t="shared" si="95"/>
        <v>1334.027397260274</v>
      </c>
      <c r="O905" s="3"/>
      <c r="P905" s="70" t="s">
        <v>18612</v>
      </c>
      <c r="Q905" s="2" t="s">
        <v>103</v>
      </c>
      <c r="R905" s="2" t="s">
        <v>15836</v>
      </c>
      <c r="T905" t="s">
        <v>18666</v>
      </c>
      <c r="U905" t="s">
        <v>18652</v>
      </c>
      <c r="V905" s="104">
        <v>45857</v>
      </c>
      <c r="X905" s="97"/>
      <c r="Y905" s="75">
        <v>1334.03</v>
      </c>
    </row>
    <row r="906" spans="1:25" x14ac:dyDescent="0.25">
      <c r="A906" s="76">
        <v>937</v>
      </c>
      <c r="B906" s="2" t="s">
        <v>7269</v>
      </c>
      <c r="C906" s="2" t="s">
        <v>7270</v>
      </c>
      <c r="D906" s="2" t="s">
        <v>7271</v>
      </c>
      <c r="E906" s="2" t="s">
        <v>7272</v>
      </c>
      <c r="F906" s="2" t="s">
        <v>4610</v>
      </c>
      <c r="G906" s="2" t="s">
        <v>74</v>
      </c>
      <c r="H906" s="17">
        <v>25</v>
      </c>
      <c r="I906" s="31">
        <f t="shared" si="90"/>
        <v>25000</v>
      </c>
      <c r="J906" s="31">
        <f t="shared" si="91"/>
        <v>1750.0000000000002</v>
      </c>
      <c r="K906" s="44">
        <f t="shared" si="92"/>
        <v>4.794520547945206</v>
      </c>
      <c r="L906" s="3">
        <f t="shared" si="93"/>
        <v>354.79452054794524</v>
      </c>
      <c r="M906" s="3">
        <f t="shared" si="94"/>
        <v>21.287671232876715</v>
      </c>
      <c r="N906" s="67">
        <f t="shared" si="95"/>
        <v>333.50684931506851</v>
      </c>
      <c r="O906" s="3"/>
      <c r="P906" s="70" t="s">
        <v>18612</v>
      </c>
      <c r="Q906" s="2" t="s">
        <v>103</v>
      </c>
      <c r="R906" s="2" t="s">
        <v>7273</v>
      </c>
      <c r="T906" t="s">
        <v>18666</v>
      </c>
      <c r="U906" t="s">
        <v>18652</v>
      </c>
      <c r="V906" s="104">
        <v>45857</v>
      </c>
      <c r="X906" s="97"/>
      <c r="Y906" s="75">
        <v>333.51</v>
      </c>
    </row>
    <row r="907" spans="1:25" x14ac:dyDescent="0.25">
      <c r="A907" s="76">
        <v>938</v>
      </c>
      <c r="B907" s="2" t="s">
        <v>13330</v>
      </c>
      <c r="C907" s="2" t="s">
        <v>13331</v>
      </c>
      <c r="D907" s="2" t="s">
        <v>13332</v>
      </c>
      <c r="E907" s="2" t="s">
        <v>13333</v>
      </c>
      <c r="F907" s="2" t="s">
        <v>13334</v>
      </c>
      <c r="G907" s="2" t="s">
        <v>750</v>
      </c>
      <c r="H907" s="17">
        <v>30</v>
      </c>
      <c r="I907" s="31">
        <f t="shared" si="90"/>
        <v>30000</v>
      </c>
      <c r="J907" s="31">
        <f t="shared" si="91"/>
        <v>2100</v>
      </c>
      <c r="K907" s="44">
        <f t="shared" si="92"/>
        <v>5.7534246575342465</v>
      </c>
      <c r="L907" s="3">
        <f t="shared" si="93"/>
        <v>425.75342465753425</v>
      </c>
      <c r="M907" s="3">
        <f t="shared" si="94"/>
        <v>25.545205479452054</v>
      </c>
      <c r="N907" s="67">
        <f t="shared" si="95"/>
        <v>400.20821917808217</v>
      </c>
      <c r="O907" s="3"/>
      <c r="P907" s="70" t="s">
        <v>18612</v>
      </c>
      <c r="Q907" s="2" t="s">
        <v>103</v>
      </c>
      <c r="R907" s="2" t="s">
        <v>13335</v>
      </c>
      <c r="T907" t="s">
        <v>18666</v>
      </c>
      <c r="U907" t="s">
        <v>18652</v>
      </c>
      <c r="V907" s="104">
        <v>45857</v>
      </c>
      <c r="X907" s="97"/>
      <c r="Y907" s="75">
        <v>400.21</v>
      </c>
    </row>
    <row r="908" spans="1:25" x14ac:dyDescent="0.25">
      <c r="A908" s="76">
        <v>939</v>
      </c>
      <c r="B908" s="2" t="s">
        <v>1818</v>
      </c>
      <c r="C908" s="2" t="s">
        <v>1819</v>
      </c>
      <c r="D908" s="2" t="s">
        <v>1820</v>
      </c>
      <c r="E908" s="2" t="s">
        <v>1821</v>
      </c>
      <c r="F908" s="2" t="s">
        <v>1822</v>
      </c>
      <c r="G908" s="2" t="s">
        <v>1823</v>
      </c>
      <c r="H908" s="17">
        <v>25</v>
      </c>
      <c r="I908" s="31">
        <f t="shared" si="90"/>
        <v>25000</v>
      </c>
      <c r="J908" s="31">
        <f t="shared" si="91"/>
        <v>1750.0000000000002</v>
      </c>
      <c r="K908" s="44">
        <f t="shared" si="92"/>
        <v>4.794520547945206</v>
      </c>
      <c r="L908" s="3">
        <f t="shared" si="93"/>
        <v>354.79452054794524</v>
      </c>
      <c r="M908" s="3">
        <f t="shared" si="94"/>
        <v>21.287671232876715</v>
      </c>
      <c r="N908" s="67">
        <f t="shared" si="95"/>
        <v>333.50684931506851</v>
      </c>
      <c r="O908" s="3"/>
      <c r="P908" s="70" t="s">
        <v>18612</v>
      </c>
      <c r="Q908" s="2" t="s">
        <v>103</v>
      </c>
      <c r="R908" s="2" t="s">
        <v>1824</v>
      </c>
      <c r="T908" t="s">
        <v>18666</v>
      </c>
      <c r="U908" t="s">
        <v>18652</v>
      </c>
      <c r="V908" s="104">
        <v>45857</v>
      </c>
      <c r="X908" s="97"/>
      <c r="Y908" s="75">
        <v>333.51</v>
      </c>
    </row>
    <row r="909" spans="1:25" x14ac:dyDescent="0.25">
      <c r="A909" s="76">
        <v>940</v>
      </c>
      <c r="B909" s="2" t="s">
        <v>13570</v>
      </c>
      <c r="C909" s="2" t="s">
        <v>13571</v>
      </c>
      <c r="D909" s="2" t="s">
        <v>13572</v>
      </c>
      <c r="E909" s="2" t="s">
        <v>13573</v>
      </c>
      <c r="F909" s="2" t="s">
        <v>13574</v>
      </c>
      <c r="G909" s="2" t="s">
        <v>599</v>
      </c>
      <c r="H909" s="17">
        <v>25</v>
      </c>
      <c r="I909" s="31">
        <f t="shared" si="90"/>
        <v>25000</v>
      </c>
      <c r="J909" s="31">
        <f t="shared" si="91"/>
        <v>1750.0000000000002</v>
      </c>
      <c r="K909" s="44">
        <f t="shared" si="92"/>
        <v>4.794520547945206</v>
      </c>
      <c r="L909" s="3">
        <f t="shared" si="93"/>
        <v>354.79452054794524</v>
      </c>
      <c r="M909" s="3">
        <f t="shared" si="94"/>
        <v>21.287671232876715</v>
      </c>
      <c r="N909" s="67">
        <f t="shared" si="95"/>
        <v>333.50684931506851</v>
      </c>
      <c r="O909" s="3"/>
      <c r="P909" s="70" t="s">
        <v>18612</v>
      </c>
      <c r="Q909" s="2" t="s">
        <v>103</v>
      </c>
      <c r="R909" s="2" t="s">
        <v>13575</v>
      </c>
      <c r="T909" t="s">
        <v>18666</v>
      </c>
      <c r="U909" t="s">
        <v>18652</v>
      </c>
      <c r="V909" s="104">
        <v>45857</v>
      </c>
      <c r="X909" s="97"/>
      <c r="Y909" s="75">
        <v>333.51</v>
      </c>
    </row>
    <row r="910" spans="1:25" x14ac:dyDescent="0.25">
      <c r="A910" s="76">
        <v>941</v>
      </c>
      <c r="B910" s="2" t="s">
        <v>221</v>
      </c>
      <c r="C910" s="2" t="s">
        <v>222</v>
      </c>
      <c r="D910" s="2" t="s">
        <v>223</v>
      </c>
      <c r="E910" s="2" t="s">
        <v>224</v>
      </c>
      <c r="F910" s="2" t="s">
        <v>225</v>
      </c>
      <c r="G910" s="2" t="s">
        <v>226</v>
      </c>
      <c r="H910" s="17">
        <v>25</v>
      </c>
      <c r="I910" s="31">
        <f t="shared" si="90"/>
        <v>25000</v>
      </c>
      <c r="J910" s="31">
        <f t="shared" si="91"/>
        <v>1750.0000000000002</v>
      </c>
      <c r="K910" s="44">
        <f t="shared" si="92"/>
        <v>4.794520547945206</v>
      </c>
      <c r="L910" s="3">
        <f t="shared" si="93"/>
        <v>354.79452054794524</v>
      </c>
      <c r="M910" s="3">
        <f t="shared" si="94"/>
        <v>21.287671232876715</v>
      </c>
      <c r="N910" s="67">
        <f t="shared" si="95"/>
        <v>333.50684931506851</v>
      </c>
      <c r="O910" s="3"/>
      <c r="P910" s="70" t="s">
        <v>18612</v>
      </c>
      <c r="Q910" s="2" t="s">
        <v>103</v>
      </c>
      <c r="R910" s="2" t="s">
        <v>227</v>
      </c>
      <c r="T910" t="s">
        <v>18666</v>
      </c>
      <c r="U910" t="s">
        <v>18652</v>
      </c>
      <c r="V910" s="104">
        <v>45857</v>
      </c>
      <c r="X910" s="97"/>
      <c r="Y910" s="75">
        <v>333.51</v>
      </c>
    </row>
    <row r="911" spans="1:25" x14ac:dyDescent="0.25">
      <c r="A911" s="76">
        <v>942</v>
      </c>
      <c r="B911" s="2" t="s">
        <v>5497</v>
      </c>
      <c r="C911" s="2" t="s">
        <v>5498</v>
      </c>
      <c r="D911" s="2" t="s">
        <v>5499</v>
      </c>
      <c r="E911" s="2" t="s">
        <v>5500</v>
      </c>
      <c r="F911" s="2" t="s">
        <v>5501</v>
      </c>
      <c r="G911" s="2" t="s">
        <v>4575</v>
      </c>
      <c r="H911" s="17">
        <v>25</v>
      </c>
      <c r="I911" s="31">
        <f t="shared" si="90"/>
        <v>25000</v>
      </c>
      <c r="J911" s="31">
        <f t="shared" si="91"/>
        <v>1750.0000000000002</v>
      </c>
      <c r="K911" s="44">
        <f t="shared" si="92"/>
        <v>4.794520547945206</v>
      </c>
      <c r="L911" s="3">
        <f t="shared" si="93"/>
        <v>354.79452054794524</v>
      </c>
      <c r="M911" s="3">
        <f t="shared" si="94"/>
        <v>21.287671232876715</v>
      </c>
      <c r="N911" s="67">
        <f t="shared" si="95"/>
        <v>333.50684931506851</v>
      </c>
      <c r="O911" s="3"/>
      <c r="P911" s="70" t="s">
        <v>18612</v>
      </c>
      <c r="Q911" s="2" t="s">
        <v>103</v>
      </c>
      <c r="R911" s="2" t="s">
        <v>5502</v>
      </c>
      <c r="T911" t="s">
        <v>18666</v>
      </c>
      <c r="U911" t="s">
        <v>18652</v>
      </c>
      <c r="V911" s="104">
        <v>45857</v>
      </c>
      <c r="X911" s="97"/>
      <c r="Y911" s="75">
        <v>333.51</v>
      </c>
    </row>
    <row r="912" spans="1:25" x14ac:dyDescent="0.25">
      <c r="A912" s="76">
        <v>943</v>
      </c>
      <c r="B912" s="2" t="s">
        <v>9382</v>
      </c>
      <c r="C912" s="2" t="s">
        <v>9383</v>
      </c>
      <c r="D912" s="2" t="s">
        <v>9384</v>
      </c>
      <c r="E912" s="2" t="s">
        <v>9385</v>
      </c>
      <c r="F912" s="2" t="s">
        <v>9386</v>
      </c>
      <c r="G912" s="2" t="s">
        <v>618</v>
      </c>
      <c r="H912" s="17">
        <v>25</v>
      </c>
      <c r="I912" s="31">
        <f t="shared" si="90"/>
        <v>25000</v>
      </c>
      <c r="J912" s="31">
        <f t="shared" si="91"/>
        <v>1750.0000000000002</v>
      </c>
      <c r="K912" s="44">
        <f t="shared" si="92"/>
        <v>4.794520547945206</v>
      </c>
      <c r="L912" s="3">
        <f t="shared" si="93"/>
        <v>354.79452054794524</v>
      </c>
      <c r="M912" s="3">
        <f t="shared" si="94"/>
        <v>21.287671232876715</v>
      </c>
      <c r="N912" s="67">
        <f t="shared" si="95"/>
        <v>333.50684931506851</v>
      </c>
      <c r="O912" s="3"/>
      <c r="P912" s="70" t="s">
        <v>18612</v>
      </c>
      <c r="Q912" s="2" t="s">
        <v>103</v>
      </c>
      <c r="R912" s="2" t="s">
        <v>9387</v>
      </c>
      <c r="T912" t="s">
        <v>18666</v>
      </c>
      <c r="U912" t="s">
        <v>18652</v>
      </c>
      <c r="V912" s="104">
        <v>45857</v>
      </c>
      <c r="X912" s="97"/>
      <c r="Y912" s="75">
        <v>333.51</v>
      </c>
    </row>
    <row r="913" spans="1:25" x14ac:dyDescent="0.25">
      <c r="A913" s="76">
        <v>944</v>
      </c>
      <c r="B913" s="2" t="s">
        <v>8835</v>
      </c>
      <c r="C913" s="2" t="s">
        <v>8836</v>
      </c>
      <c r="D913" s="2" t="s">
        <v>8837</v>
      </c>
      <c r="E913" s="2" t="s">
        <v>8838</v>
      </c>
      <c r="F913" s="2" t="s">
        <v>8839</v>
      </c>
      <c r="G913" s="2" t="s">
        <v>123</v>
      </c>
      <c r="H913" s="17">
        <v>25</v>
      </c>
      <c r="I913" s="31">
        <f t="shared" si="90"/>
        <v>25000</v>
      </c>
      <c r="J913" s="31">
        <f t="shared" si="91"/>
        <v>1750.0000000000002</v>
      </c>
      <c r="K913" s="44">
        <f t="shared" si="92"/>
        <v>4.794520547945206</v>
      </c>
      <c r="L913" s="3">
        <f t="shared" si="93"/>
        <v>354.79452054794524</v>
      </c>
      <c r="M913" s="3">
        <f t="shared" si="94"/>
        <v>21.287671232876715</v>
      </c>
      <c r="N913" s="67">
        <f t="shared" si="95"/>
        <v>333.50684931506851</v>
      </c>
      <c r="O913" s="3"/>
      <c r="P913" s="70" t="s">
        <v>18612</v>
      </c>
      <c r="Q913" s="2" t="s">
        <v>103</v>
      </c>
      <c r="R913" s="2" t="s">
        <v>8840</v>
      </c>
      <c r="T913" t="s">
        <v>18666</v>
      </c>
      <c r="U913" t="s">
        <v>18652</v>
      </c>
      <c r="V913" s="104">
        <v>45857</v>
      </c>
      <c r="X913" s="97"/>
      <c r="Y913" s="75">
        <v>333.51</v>
      </c>
    </row>
    <row r="914" spans="1:25" x14ac:dyDescent="0.25">
      <c r="A914" s="76">
        <v>945</v>
      </c>
      <c r="B914" s="2" t="s">
        <v>17370</v>
      </c>
      <c r="C914" s="2" t="s">
        <v>17371</v>
      </c>
      <c r="D914" s="2" t="s">
        <v>17372</v>
      </c>
      <c r="E914" s="2" t="s">
        <v>17373</v>
      </c>
      <c r="F914" s="2" t="s">
        <v>17374</v>
      </c>
      <c r="G914" s="2" t="s">
        <v>1823</v>
      </c>
      <c r="H914" s="17">
        <v>100</v>
      </c>
      <c r="I914" s="31">
        <f t="shared" ref="I914:I977" si="96">H914*1000</f>
        <v>100000</v>
      </c>
      <c r="J914" s="31">
        <f t="shared" ref="J914:J977" si="97">I914*7%</f>
        <v>7000.0000000000009</v>
      </c>
      <c r="K914" s="44">
        <f t="shared" ref="K914:K977" si="98">J914/365</f>
        <v>19.178082191780824</v>
      </c>
      <c r="L914" s="3">
        <f t="shared" ref="L914:L977" si="99">K914*74</f>
        <v>1419.178082191781</v>
      </c>
      <c r="M914" s="3">
        <f t="shared" ref="M914:M977" si="100">L914*6%</f>
        <v>85.150684931506859</v>
      </c>
      <c r="N914" s="67">
        <f t="shared" ref="N914:N977" si="101">L914-M914</f>
        <v>1334.027397260274</v>
      </c>
      <c r="O914" s="3"/>
      <c r="P914" s="70" t="s">
        <v>18612</v>
      </c>
      <c r="Q914" s="2" t="s">
        <v>103</v>
      </c>
      <c r="R914" s="2" t="s">
        <v>17375</v>
      </c>
      <c r="T914" t="s">
        <v>18666</v>
      </c>
      <c r="U914" t="s">
        <v>18652</v>
      </c>
      <c r="V914" s="104">
        <v>45857</v>
      </c>
      <c r="X914" s="97"/>
      <c r="Y914" s="75">
        <v>1334.03</v>
      </c>
    </row>
    <row r="915" spans="1:25" x14ac:dyDescent="0.25">
      <c r="A915" s="76">
        <v>946</v>
      </c>
      <c r="B915" s="2" t="s">
        <v>2920</v>
      </c>
      <c r="C915" s="2" t="s">
        <v>2921</v>
      </c>
      <c r="D915" s="2" t="s">
        <v>2922</v>
      </c>
      <c r="E915" s="2" t="s">
        <v>2923</v>
      </c>
      <c r="F915" s="2" t="s">
        <v>2924</v>
      </c>
      <c r="G915" s="2" t="s">
        <v>254</v>
      </c>
      <c r="H915" s="17">
        <v>100</v>
      </c>
      <c r="I915" s="31">
        <f t="shared" si="96"/>
        <v>100000</v>
      </c>
      <c r="J915" s="31">
        <f t="shared" si="97"/>
        <v>7000.0000000000009</v>
      </c>
      <c r="K915" s="44">
        <f t="shared" si="98"/>
        <v>19.178082191780824</v>
      </c>
      <c r="L915" s="3">
        <f t="shared" si="99"/>
        <v>1419.178082191781</v>
      </c>
      <c r="M915" s="3">
        <f t="shared" si="100"/>
        <v>85.150684931506859</v>
      </c>
      <c r="N915" s="67">
        <f t="shared" si="101"/>
        <v>1334.027397260274</v>
      </c>
      <c r="O915" s="3"/>
      <c r="P915" s="70" t="s">
        <v>18612</v>
      </c>
      <c r="Q915" s="2" t="s">
        <v>103</v>
      </c>
      <c r="R915" s="2" t="s">
        <v>2925</v>
      </c>
      <c r="T915" t="s">
        <v>18666</v>
      </c>
      <c r="U915" t="s">
        <v>18652</v>
      </c>
      <c r="V915" s="104">
        <v>45857</v>
      </c>
      <c r="X915" s="97"/>
      <c r="Y915" s="75">
        <v>1334.03</v>
      </c>
    </row>
    <row r="916" spans="1:25" x14ac:dyDescent="0.25">
      <c r="A916" s="76">
        <v>947</v>
      </c>
      <c r="B916" s="2" t="s">
        <v>14442</v>
      </c>
      <c r="C916" s="2" t="s">
        <v>14443</v>
      </c>
      <c r="D916" s="2" t="s">
        <v>14444</v>
      </c>
      <c r="E916" s="2" t="s">
        <v>14445</v>
      </c>
      <c r="F916" s="2" t="s">
        <v>14446</v>
      </c>
      <c r="G916" s="2" t="s">
        <v>254</v>
      </c>
      <c r="H916" s="17">
        <v>25</v>
      </c>
      <c r="I916" s="31">
        <f t="shared" si="96"/>
        <v>25000</v>
      </c>
      <c r="J916" s="31">
        <f t="shared" si="97"/>
        <v>1750.0000000000002</v>
      </c>
      <c r="K916" s="44">
        <f t="shared" si="98"/>
        <v>4.794520547945206</v>
      </c>
      <c r="L916" s="3">
        <f t="shared" si="99"/>
        <v>354.79452054794524</v>
      </c>
      <c r="M916" s="3">
        <f t="shared" si="100"/>
        <v>21.287671232876715</v>
      </c>
      <c r="N916" s="67">
        <f t="shared" si="101"/>
        <v>333.50684931506851</v>
      </c>
      <c r="O916" s="3"/>
      <c r="P916" s="70" t="s">
        <v>18612</v>
      </c>
      <c r="Q916" s="2" t="s">
        <v>103</v>
      </c>
      <c r="R916" s="2" t="s">
        <v>14447</v>
      </c>
      <c r="T916" t="s">
        <v>18666</v>
      </c>
      <c r="U916" t="s">
        <v>18652</v>
      </c>
      <c r="V916" s="104">
        <v>45857</v>
      </c>
      <c r="X916" s="97"/>
      <c r="Y916" s="75">
        <v>333.51</v>
      </c>
    </row>
    <row r="917" spans="1:25" x14ac:dyDescent="0.25">
      <c r="A917" s="76">
        <v>948</v>
      </c>
      <c r="B917" s="2" t="s">
        <v>2291</v>
      </c>
      <c r="C917" s="2" t="s">
        <v>2292</v>
      </c>
      <c r="D917" s="2" t="s">
        <v>2293</v>
      </c>
      <c r="E917" s="2" t="s">
        <v>2294</v>
      </c>
      <c r="F917" s="2" t="s">
        <v>2295</v>
      </c>
      <c r="G917" s="2" t="s">
        <v>254</v>
      </c>
      <c r="H917" s="17">
        <v>25</v>
      </c>
      <c r="I917" s="31">
        <f t="shared" si="96"/>
        <v>25000</v>
      </c>
      <c r="J917" s="31">
        <f t="shared" si="97"/>
        <v>1750.0000000000002</v>
      </c>
      <c r="K917" s="44">
        <f t="shared" si="98"/>
        <v>4.794520547945206</v>
      </c>
      <c r="L917" s="3">
        <f t="shared" si="99"/>
        <v>354.79452054794524</v>
      </c>
      <c r="M917" s="3">
        <f t="shared" si="100"/>
        <v>21.287671232876715</v>
      </c>
      <c r="N917" s="67">
        <f t="shared" si="101"/>
        <v>333.50684931506851</v>
      </c>
      <c r="O917" s="3"/>
      <c r="P917" s="70" t="s">
        <v>18612</v>
      </c>
      <c r="Q917" s="2" t="s">
        <v>103</v>
      </c>
      <c r="R917" s="2" t="s">
        <v>2296</v>
      </c>
      <c r="T917" t="s">
        <v>18666</v>
      </c>
      <c r="U917" t="s">
        <v>18652</v>
      </c>
      <c r="V917" s="104">
        <v>45857</v>
      </c>
      <c r="X917" s="97"/>
      <c r="Y917" s="75">
        <v>333.51</v>
      </c>
    </row>
    <row r="918" spans="1:25" x14ac:dyDescent="0.25">
      <c r="A918" s="76">
        <v>949</v>
      </c>
      <c r="B918" s="2" t="s">
        <v>11512</v>
      </c>
      <c r="C918" s="2" t="s">
        <v>11513</v>
      </c>
      <c r="D918" s="2" t="s">
        <v>11514</v>
      </c>
      <c r="E918" s="2" t="s">
        <v>9419</v>
      </c>
      <c r="F918" s="2" t="s">
        <v>11515</v>
      </c>
      <c r="G918" s="2" t="s">
        <v>296</v>
      </c>
      <c r="H918" s="17">
        <v>25</v>
      </c>
      <c r="I918" s="31">
        <f t="shared" si="96"/>
        <v>25000</v>
      </c>
      <c r="J918" s="31">
        <f t="shared" si="97"/>
        <v>1750.0000000000002</v>
      </c>
      <c r="K918" s="44">
        <f t="shared" si="98"/>
        <v>4.794520547945206</v>
      </c>
      <c r="L918" s="3">
        <f t="shared" si="99"/>
        <v>354.79452054794524</v>
      </c>
      <c r="M918" s="3">
        <f t="shared" si="100"/>
        <v>21.287671232876715</v>
      </c>
      <c r="N918" s="67">
        <f t="shared" si="101"/>
        <v>333.50684931506851</v>
      </c>
      <c r="O918" s="3"/>
      <c r="P918" s="70" t="s">
        <v>18612</v>
      </c>
      <c r="Q918" s="2" t="s">
        <v>103</v>
      </c>
      <c r="R918" s="2" t="s">
        <v>11516</v>
      </c>
      <c r="T918" t="s">
        <v>18666</v>
      </c>
      <c r="U918" t="s">
        <v>18652</v>
      </c>
      <c r="V918" s="104">
        <v>45857</v>
      </c>
      <c r="X918" s="97"/>
      <c r="Y918" s="75">
        <v>333.51</v>
      </c>
    </row>
    <row r="919" spans="1:25" x14ac:dyDescent="0.25">
      <c r="A919" s="76">
        <v>950</v>
      </c>
      <c r="B919" s="2" t="s">
        <v>4546</v>
      </c>
      <c r="C919" s="2" t="s">
        <v>4547</v>
      </c>
      <c r="D919" s="2" t="s">
        <v>4548</v>
      </c>
      <c r="E919" s="2" t="s">
        <v>4549</v>
      </c>
      <c r="F919" s="2" t="s">
        <v>4550</v>
      </c>
      <c r="G919" s="2" t="s">
        <v>543</v>
      </c>
      <c r="H919" s="17">
        <v>25</v>
      </c>
      <c r="I919" s="31">
        <f t="shared" si="96"/>
        <v>25000</v>
      </c>
      <c r="J919" s="31">
        <f t="shared" si="97"/>
        <v>1750.0000000000002</v>
      </c>
      <c r="K919" s="44">
        <f t="shared" si="98"/>
        <v>4.794520547945206</v>
      </c>
      <c r="L919" s="3">
        <f t="shared" si="99"/>
        <v>354.79452054794524</v>
      </c>
      <c r="M919" s="3">
        <f t="shared" si="100"/>
        <v>21.287671232876715</v>
      </c>
      <c r="N919" s="67">
        <f t="shared" si="101"/>
        <v>333.50684931506851</v>
      </c>
      <c r="O919" s="3"/>
      <c r="P919" s="70" t="s">
        <v>18612</v>
      </c>
      <c r="Q919" s="2" t="s">
        <v>103</v>
      </c>
      <c r="R919" s="2" t="s">
        <v>4551</v>
      </c>
      <c r="T919" t="s">
        <v>18666</v>
      </c>
      <c r="U919" t="s">
        <v>18652</v>
      </c>
      <c r="V919" s="104">
        <v>45857</v>
      </c>
      <c r="X919" s="97"/>
      <c r="Y919" s="75">
        <v>333.51</v>
      </c>
    </row>
    <row r="920" spans="1:25" x14ac:dyDescent="0.25">
      <c r="A920" s="76">
        <v>951</v>
      </c>
      <c r="B920" s="2" t="s">
        <v>13509</v>
      </c>
      <c r="C920" s="2" t="s">
        <v>13510</v>
      </c>
      <c r="D920" s="2" t="s">
        <v>13511</v>
      </c>
      <c r="E920" s="2" t="s">
        <v>5359</v>
      </c>
      <c r="F920" s="2" t="s">
        <v>13512</v>
      </c>
      <c r="G920" s="2" t="s">
        <v>876</v>
      </c>
      <c r="H920" s="17">
        <v>25</v>
      </c>
      <c r="I920" s="31">
        <f t="shared" si="96"/>
        <v>25000</v>
      </c>
      <c r="J920" s="31">
        <f t="shared" si="97"/>
        <v>1750.0000000000002</v>
      </c>
      <c r="K920" s="44">
        <f t="shared" si="98"/>
        <v>4.794520547945206</v>
      </c>
      <c r="L920" s="3">
        <f t="shared" si="99"/>
        <v>354.79452054794524</v>
      </c>
      <c r="M920" s="3">
        <f t="shared" si="100"/>
        <v>21.287671232876715</v>
      </c>
      <c r="N920" s="67">
        <f t="shared" si="101"/>
        <v>333.50684931506851</v>
      </c>
      <c r="O920" s="3"/>
      <c r="P920" s="70" t="s">
        <v>18612</v>
      </c>
      <c r="Q920" s="2" t="s">
        <v>103</v>
      </c>
      <c r="R920" s="2" t="s">
        <v>13513</v>
      </c>
      <c r="T920" t="s">
        <v>18666</v>
      </c>
      <c r="U920" t="s">
        <v>18652</v>
      </c>
      <c r="V920" s="104">
        <v>45857</v>
      </c>
      <c r="X920" s="97"/>
      <c r="Y920" s="75">
        <v>333.51</v>
      </c>
    </row>
    <row r="921" spans="1:25" x14ac:dyDescent="0.25">
      <c r="A921" s="76">
        <v>952</v>
      </c>
      <c r="B921" s="2" t="s">
        <v>16459</v>
      </c>
      <c r="C921" s="2" t="s">
        <v>16460</v>
      </c>
      <c r="D921" s="2" t="s">
        <v>16461</v>
      </c>
      <c r="E921" s="2" t="s">
        <v>16462</v>
      </c>
      <c r="F921" s="2" t="s">
        <v>16463</v>
      </c>
      <c r="G921" s="2" t="s">
        <v>39</v>
      </c>
      <c r="H921" s="17">
        <v>50</v>
      </c>
      <c r="I921" s="31">
        <f t="shared" si="96"/>
        <v>50000</v>
      </c>
      <c r="J921" s="31">
        <f t="shared" si="97"/>
        <v>3500.0000000000005</v>
      </c>
      <c r="K921" s="44">
        <f t="shared" si="98"/>
        <v>9.589041095890412</v>
      </c>
      <c r="L921" s="3">
        <f t="shared" si="99"/>
        <v>709.58904109589048</v>
      </c>
      <c r="M921" s="3">
        <f t="shared" si="100"/>
        <v>42.57534246575343</v>
      </c>
      <c r="N921" s="67">
        <f t="shared" si="101"/>
        <v>667.01369863013701</v>
      </c>
      <c r="O921" s="3"/>
      <c r="P921" s="70" t="s">
        <v>18612</v>
      </c>
      <c r="Q921" s="2" t="s">
        <v>103</v>
      </c>
      <c r="R921" s="2" t="s">
        <v>16464</v>
      </c>
      <c r="T921" t="s">
        <v>18666</v>
      </c>
      <c r="U921" t="s">
        <v>18652</v>
      </c>
      <c r="V921" s="104">
        <v>45857</v>
      </c>
      <c r="X921" s="97"/>
      <c r="Y921" s="75">
        <v>667.02</v>
      </c>
    </row>
    <row r="922" spans="1:25" x14ac:dyDescent="0.25">
      <c r="A922" s="76">
        <v>953</v>
      </c>
      <c r="B922" s="2" t="s">
        <v>16933</v>
      </c>
      <c r="C922" s="2" t="s">
        <v>16934</v>
      </c>
      <c r="D922" s="2" t="s">
        <v>5447</v>
      </c>
      <c r="E922" s="2" t="s">
        <v>16935</v>
      </c>
      <c r="F922" s="2" t="s">
        <v>16936</v>
      </c>
      <c r="G922" s="2" t="s">
        <v>186</v>
      </c>
      <c r="H922" s="17">
        <v>25</v>
      </c>
      <c r="I922" s="31">
        <f t="shared" si="96"/>
        <v>25000</v>
      </c>
      <c r="J922" s="31">
        <f t="shared" si="97"/>
        <v>1750.0000000000002</v>
      </c>
      <c r="K922" s="44">
        <f t="shared" si="98"/>
        <v>4.794520547945206</v>
      </c>
      <c r="L922" s="3">
        <f t="shared" si="99"/>
        <v>354.79452054794524</v>
      </c>
      <c r="M922" s="3">
        <f t="shared" si="100"/>
        <v>21.287671232876715</v>
      </c>
      <c r="N922" s="67">
        <f t="shared" si="101"/>
        <v>333.50684931506851</v>
      </c>
      <c r="O922" s="3"/>
      <c r="P922" s="70" t="s">
        <v>18612</v>
      </c>
      <c r="Q922" s="2" t="s">
        <v>103</v>
      </c>
      <c r="R922" s="2" t="s">
        <v>16937</v>
      </c>
      <c r="T922" t="s">
        <v>18666</v>
      </c>
      <c r="U922" t="s">
        <v>18652</v>
      </c>
      <c r="V922" s="104">
        <v>45857</v>
      </c>
      <c r="X922" s="97"/>
      <c r="Y922" s="75">
        <v>333.51</v>
      </c>
    </row>
    <row r="923" spans="1:25" x14ac:dyDescent="0.25">
      <c r="A923" s="76">
        <v>954</v>
      </c>
      <c r="B923" s="2" t="s">
        <v>4534</v>
      </c>
      <c r="C923" s="2" t="s">
        <v>4535</v>
      </c>
      <c r="D923" s="2" t="s">
        <v>4536</v>
      </c>
      <c r="E923" s="2" t="s">
        <v>4537</v>
      </c>
      <c r="F923" s="2" t="s">
        <v>4538</v>
      </c>
      <c r="G923" s="2" t="s">
        <v>750</v>
      </c>
      <c r="H923" s="17">
        <v>25</v>
      </c>
      <c r="I923" s="31">
        <f t="shared" si="96"/>
        <v>25000</v>
      </c>
      <c r="J923" s="31">
        <f t="shared" si="97"/>
        <v>1750.0000000000002</v>
      </c>
      <c r="K923" s="44">
        <f t="shared" si="98"/>
        <v>4.794520547945206</v>
      </c>
      <c r="L923" s="3">
        <f t="shared" si="99"/>
        <v>354.79452054794524</v>
      </c>
      <c r="M923" s="3">
        <f t="shared" si="100"/>
        <v>21.287671232876715</v>
      </c>
      <c r="N923" s="67">
        <f t="shared" si="101"/>
        <v>333.50684931506851</v>
      </c>
      <c r="O923" s="3"/>
      <c r="P923" s="70" t="s">
        <v>18612</v>
      </c>
      <c r="Q923" s="2" t="s">
        <v>103</v>
      </c>
      <c r="R923" s="2" t="s">
        <v>4539</v>
      </c>
      <c r="T923" t="s">
        <v>18666</v>
      </c>
      <c r="U923" t="s">
        <v>18652</v>
      </c>
      <c r="V923" s="104">
        <v>45857</v>
      </c>
      <c r="X923" s="97"/>
      <c r="Y923" s="75">
        <v>333.51</v>
      </c>
    </row>
    <row r="924" spans="1:25" x14ac:dyDescent="0.25">
      <c r="A924" s="76">
        <v>955</v>
      </c>
      <c r="B924" s="2" t="s">
        <v>13163</v>
      </c>
      <c r="C924" s="2" t="s">
        <v>13164</v>
      </c>
      <c r="D924" s="2" t="s">
        <v>13165</v>
      </c>
      <c r="E924" s="2" t="s">
        <v>13166</v>
      </c>
      <c r="F924" s="2" t="s">
        <v>13167</v>
      </c>
      <c r="G924" s="2" t="s">
        <v>158</v>
      </c>
      <c r="H924" s="17">
        <v>25</v>
      </c>
      <c r="I924" s="31">
        <f t="shared" si="96"/>
        <v>25000</v>
      </c>
      <c r="J924" s="31">
        <f t="shared" si="97"/>
        <v>1750.0000000000002</v>
      </c>
      <c r="K924" s="44">
        <f t="shared" si="98"/>
        <v>4.794520547945206</v>
      </c>
      <c r="L924" s="3">
        <f t="shared" si="99"/>
        <v>354.79452054794524</v>
      </c>
      <c r="M924" s="3">
        <f t="shared" si="100"/>
        <v>21.287671232876715</v>
      </c>
      <c r="N924" s="67">
        <f t="shared" si="101"/>
        <v>333.50684931506851</v>
      </c>
      <c r="O924" s="3"/>
      <c r="P924" s="70" t="s">
        <v>18612</v>
      </c>
      <c r="Q924" s="2" t="s">
        <v>103</v>
      </c>
      <c r="R924" s="2" t="s">
        <v>13168</v>
      </c>
      <c r="T924" t="s">
        <v>18666</v>
      </c>
      <c r="U924" t="s">
        <v>18652</v>
      </c>
      <c r="V924" s="104">
        <v>45857</v>
      </c>
      <c r="X924" s="97"/>
      <c r="Y924" s="75">
        <v>333.51</v>
      </c>
    </row>
    <row r="925" spans="1:25" x14ac:dyDescent="0.25">
      <c r="A925" s="76">
        <v>956</v>
      </c>
      <c r="B925" s="2" t="s">
        <v>17554</v>
      </c>
      <c r="C925" s="2" t="s">
        <v>17555</v>
      </c>
      <c r="D925" s="2" t="s">
        <v>17556</v>
      </c>
      <c r="E925" s="2" t="s">
        <v>17557</v>
      </c>
      <c r="F925" s="2" t="s">
        <v>17558</v>
      </c>
      <c r="G925" s="2" t="s">
        <v>618</v>
      </c>
      <c r="H925" s="17">
        <v>25</v>
      </c>
      <c r="I925" s="31">
        <f t="shared" si="96"/>
        <v>25000</v>
      </c>
      <c r="J925" s="31">
        <f t="shared" si="97"/>
        <v>1750.0000000000002</v>
      </c>
      <c r="K925" s="44">
        <f t="shared" si="98"/>
        <v>4.794520547945206</v>
      </c>
      <c r="L925" s="3">
        <f t="shared" si="99"/>
        <v>354.79452054794524</v>
      </c>
      <c r="M925" s="3">
        <f t="shared" si="100"/>
        <v>21.287671232876715</v>
      </c>
      <c r="N925" s="67">
        <f t="shared" si="101"/>
        <v>333.50684931506851</v>
      </c>
      <c r="O925" s="3"/>
      <c r="P925" s="70" t="s">
        <v>18612</v>
      </c>
      <c r="Q925" s="2" t="s">
        <v>103</v>
      </c>
      <c r="R925" s="2" t="s">
        <v>17559</v>
      </c>
      <c r="T925" t="s">
        <v>18666</v>
      </c>
      <c r="U925" t="s">
        <v>18652</v>
      </c>
      <c r="V925" s="104">
        <v>45857</v>
      </c>
      <c r="X925" s="97"/>
      <c r="Y925" s="75">
        <v>333.51</v>
      </c>
    </row>
    <row r="926" spans="1:25" x14ac:dyDescent="0.25">
      <c r="A926" s="76">
        <v>957</v>
      </c>
      <c r="B926" s="2" t="s">
        <v>16839</v>
      </c>
      <c r="C926" s="2" t="s">
        <v>16840</v>
      </c>
      <c r="D926" s="2" t="s">
        <v>16841</v>
      </c>
      <c r="E926" s="2" t="s">
        <v>16842</v>
      </c>
      <c r="F926" s="2" t="s">
        <v>16843</v>
      </c>
      <c r="G926" s="2" t="s">
        <v>233</v>
      </c>
      <c r="H926" s="17">
        <v>25</v>
      </c>
      <c r="I926" s="31">
        <f t="shared" si="96"/>
        <v>25000</v>
      </c>
      <c r="J926" s="31">
        <f t="shared" si="97"/>
        <v>1750.0000000000002</v>
      </c>
      <c r="K926" s="44">
        <f t="shared" si="98"/>
        <v>4.794520547945206</v>
      </c>
      <c r="L926" s="3">
        <f t="shared" si="99"/>
        <v>354.79452054794524</v>
      </c>
      <c r="M926" s="3">
        <f t="shared" si="100"/>
        <v>21.287671232876715</v>
      </c>
      <c r="N926" s="67">
        <f t="shared" si="101"/>
        <v>333.50684931506851</v>
      </c>
      <c r="O926" s="3"/>
      <c r="P926" s="70" t="s">
        <v>18612</v>
      </c>
      <c r="Q926" s="2" t="s">
        <v>103</v>
      </c>
      <c r="R926" s="2" t="s">
        <v>16844</v>
      </c>
      <c r="T926" t="s">
        <v>18666</v>
      </c>
      <c r="U926" t="s">
        <v>18652</v>
      </c>
      <c r="V926" s="104">
        <v>45857</v>
      </c>
      <c r="X926" s="97"/>
      <c r="Y926" s="75">
        <v>333.51</v>
      </c>
    </row>
    <row r="927" spans="1:25" x14ac:dyDescent="0.25">
      <c r="A927" s="76">
        <v>958</v>
      </c>
      <c r="B927" s="2" t="s">
        <v>7507</v>
      </c>
      <c r="C927" s="2" t="s">
        <v>7508</v>
      </c>
      <c r="D927" s="2" t="s">
        <v>7509</v>
      </c>
      <c r="E927" s="2" t="s">
        <v>7510</v>
      </c>
      <c r="F927" s="2" t="s">
        <v>7511</v>
      </c>
      <c r="G927" s="2" t="s">
        <v>23</v>
      </c>
      <c r="H927" s="17">
        <v>50</v>
      </c>
      <c r="I927" s="31">
        <f t="shared" si="96"/>
        <v>50000</v>
      </c>
      <c r="J927" s="31">
        <f t="shared" si="97"/>
        <v>3500.0000000000005</v>
      </c>
      <c r="K927" s="44">
        <f t="shared" si="98"/>
        <v>9.589041095890412</v>
      </c>
      <c r="L927" s="3">
        <f t="shared" si="99"/>
        <v>709.58904109589048</v>
      </c>
      <c r="M927" s="3">
        <f t="shared" si="100"/>
        <v>42.57534246575343</v>
      </c>
      <c r="N927" s="67">
        <f t="shared" si="101"/>
        <v>667.01369863013701</v>
      </c>
      <c r="O927" s="3"/>
      <c r="P927" s="70" t="s">
        <v>18612</v>
      </c>
      <c r="Q927" s="2" t="s">
        <v>103</v>
      </c>
      <c r="R927" s="2" t="s">
        <v>7512</v>
      </c>
      <c r="T927" t="s">
        <v>18666</v>
      </c>
      <c r="U927" t="s">
        <v>18652</v>
      </c>
      <c r="V927" s="104">
        <v>45857</v>
      </c>
      <c r="X927" s="97"/>
      <c r="Y927" s="75">
        <v>667.02</v>
      </c>
    </row>
    <row r="928" spans="1:25" x14ac:dyDescent="0.25">
      <c r="A928" s="76">
        <v>959</v>
      </c>
      <c r="B928" s="2" t="s">
        <v>4482</v>
      </c>
      <c r="C928" s="2" t="s">
        <v>4483</v>
      </c>
      <c r="D928" s="2" t="s">
        <v>2425</v>
      </c>
      <c r="E928" s="2" t="s">
        <v>4484</v>
      </c>
      <c r="F928" s="2" t="s">
        <v>4485</v>
      </c>
      <c r="G928" s="2" t="s">
        <v>2380</v>
      </c>
      <c r="H928" s="17">
        <v>25</v>
      </c>
      <c r="I928" s="31">
        <f t="shared" si="96"/>
        <v>25000</v>
      </c>
      <c r="J928" s="31">
        <f t="shared" si="97"/>
        <v>1750.0000000000002</v>
      </c>
      <c r="K928" s="44">
        <f t="shared" si="98"/>
        <v>4.794520547945206</v>
      </c>
      <c r="L928" s="3">
        <f t="shared" si="99"/>
        <v>354.79452054794524</v>
      </c>
      <c r="M928" s="3">
        <f t="shared" si="100"/>
        <v>21.287671232876715</v>
      </c>
      <c r="N928" s="67">
        <f t="shared" si="101"/>
        <v>333.50684931506851</v>
      </c>
      <c r="O928" s="3"/>
      <c r="P928" s="70" t="s">
        <v>18612</v>
      </c>
      <c r="Q928" s="2" t="s">
        <v>103</v>
      </c>
      <c r="R928" s="2" t="s">
        <v>4486</v>
      </c>
      <c r="T928" t="s">
        <v>18666</v>
      </c>
      <c r="U928" t="s">
        <v>18652</v>
      </c>
      <c r="V928" s="104">
        <v>45857</v>
      </c>
      <c r="X928" s="97"/>
      <c r="Y928" s="75">
        <v>333.51</v>
      </c>
    </row>
    <row r="929" spans="1:25" x14ac:dyDescent="0.25">
      <c r="A929" s="76">
        <v>960</v>
      </c>
      <c r="B929" s="2" t="s">
        <v>8254</v>
      </c>
      <c r="C929" s="2" t="s">
        <v>8255</v>
      </c>
      <c r="D929" s="2" t="s">
        <v>8256</v>
      </c>
      <c r="E929" s="2" t="s">
        <v>8257</v>
      </c>
      <c r="F929" s="2" t="s">
        <v>8258</v>
      </c>
      <c r="G929" s="2" t="s">
        <v>296</v>
      </c>
      <c r="H929" s="17">
        <v>25</v>
      </c>
      <c r="I929" s="31">
        <f t="shared" si="96"/>
        <v>25000</v>
      </c>
      <c r="J929" s="31">
        <f t="shared" si="97"/>
        <v>1750.0000000000002</v>
      </c>
      <c r="K929" s="44">
        <f t="shared" si="98"/>
        <v>4.794520547945206</v>
      </c>
      <c r="L929" s="3">
        <f t="shared" si="99"/>
        <v>354.79452054794524</v>
      </c>
      <c r="M929" s="3">
        <f t="shared" si="100"/>
        <v>21.287671232876715</v>
      </c>
      <c r="N929" s="67">
        <f t="shared" si="101"/>
        <v>333.50684931506851</v>
      </c>
      <c r="O929" s="3"/>
      <c r="P929" s="70" t="s">
        <v>18612</v>
      </c>
      <c r="Q929" s="2" t="s">
        <v>103</v>
      </c>
      <c r="R929" s="2" t="s">
        <v>8259</v>
      </c>
      <c r="T929" t="s">
        <v>18666</v>
      </c>
      <c r="U929" t="s">
        <v>18652</v>
      </c>
      <c r="V929" s="104">
        <v>45857</v>
      </c>
      <c r="X929" s="97"/>
      <c r="Y929" s="75">
        <v>333.51</v>
      </c>
    </row>
    <row r="930" spans="1:25" x14ac:dyDescent="0.25">
      <c r="A930" s="76">
        <v>961</v>
      </c>
      <c r="B930" s="2" t="s">
        <v>1043</v>
      </c>
      <c r="C930" s="2" t="s">
        <v>1044</v>
      </c>
      <c r="D930" s="2" t="s">
        <v>1045</v>
      </c>
      <c r="E930" s="2" t="s">
        <v>1046</v>
      </c>
      <c r="F930" s="2" t="s">
        <v>1047</v>
      </c>
      <c r="G930" s="2" t="s">
        <v>1048</v>
      </c>
      <c r="H930" s="17">
        <v>200</v>
      </c>
      <c r="I930" s="31">
        <f t="shared" si="96"/>
        <v>200000</v>
      </c>
      <c r="J930" s="31">
        <f t="shared" si="97"/>
        <v>14000.000000000002</v>
      </c>
      <c r="K930" s="44">
        <f t="shared" si="98"/>
        <v>38.356164383561648</v>
      </c>
      <c r="L930" s="3">
        <f t="shared" si="99"/>
        <v>2838.3561643835619</v>
      </c>
      <c r="M930" s="3">
        <f t="shared" si="100"/>
        <v>170.30136986301372</v>
      </c>
      <c r="N930" s="67">
        <f t="shared" si="101"/>
        <v>2668.0547945205481</v>
      </c>
      <c r="O930" s="3"/>
      <c r="P930" s="70" t="s">
        <v>18612</v>
      </c>
      <c r="Q930" s="2" t="s">
        <v>103</v>
      </c>
      <c r="R930" s="2" t="s">
        <v>1049</v>
      </c>
      <c r="T930" t="s">
        <v>18666</v>
      </c>
      <c r="U930" t="s">
        <v>18652</v>
      </c>
      <c r="V930" s="104">
        <v>45857</v>
      </c>
      <c r="X930" s="97"/>
      <c r="Y930" s="75">
        <v>2668.0600000000004</v>
      </c>
    </row>
    <row r="931" spans="1:25" x14ac:dyDescent="0.25">
      <c r="A931" s="76">
        <v>962</v>
      </c>
      <c r="B931" s="2" t="s">
        <v>18395</v>
      </c>
      <c r="C931" s="2" t="s">
        <v>18396</v>
      </c>
      <c r="D931" s="2" t="s">
        <v>18397</v>
      </c>
      <c r="E931" s="2" t="s">
        <v>18398</v>
      </c>
      <c r="F931" s="2" t="s">
        <v>18399</v>
      </c>
      <c r="G931" s="2" t="s">
        <v>599</v>
      </c>
      <c r="H931" s="17">
        <v>25</v>
      </c>
      <c r="I931" s="31">
        <f t="shared" si="96"/>
        <v>25000</v>
      </c>
      <c r="J931" s="31">
        <f t="shared" si="97"/>
        <v>1750.0000000000002</v>
      </c>
      <c r="K931" s="44">
        <f t="shared" si="98"/>
        <v>4.794520547945206</v>
      </c>
      <c r="L931" s="3">
        <f t="shared" si="99"/>
        <v>354.79452054794524</v>
      </c>
      <c r="M931" s="3">
        <f t="shared" si="100"/>
        <v>21.287671232876715</v>
      </c>
      <c r="N931" s="67">
        <f t="shared" si="101"/>
        <v>333.50684931506851</v>
      </c>
      <c r="O931" s="3"/>
      <c r="P931" s="70" t="s">
        <v>18612</v>
      </c>
      <c r="Q931" s="2" t="s">
        <v>103</v>
      </c>
      <c r="R931" s="2" t="s">
        <v>18400</v>
      </c>
      <c r="T931" t="s">
        <v>18666</v>
      </c>
      <c r="U931" t="s">
        <v>18652</v>
      </c>
      <c r="V931" s="104">
        <v>45857</v>
      </c>
      <c r="X931" s="97"/>
      <c r="Y931" s="75">
        <v>333.51</v>
      </c>
    </row>
    <row r="932" spans="1:25" x14ac:dyDescent="0.25">
      <c r="A932" s="76">
        <v>963</v>
      </c>
      <c r="B932" s="2" t="s">
        <v>3848</v>
      </c>
      <c r="C932" s="2" t="s">
        <v>3849</v>
      </c>
      <c r="D932" s="2" t="s">
        <v>3850</v>
      </c>
      <c r="E932" s="2" t="s">
        <v>3851</v>
      </c>
      <c r="F932" s="2" t="s">
        <v>3852</v>
      </c>
      <c r="G932" s="2" t="s">
        <v>1315</v>
      </c>
      <c r="H932" s="17">
        <v>25</v>
      </c>
      <c r="I932" s="31">
        <f t="shared" si="96"/>
        <v>25000</v>
      </c>
      <c r="J932" s="31">
        <f t="shared" si="97"/>
        <v>1750.0000000000002</v>
      </c>
      <c r="K932" s="44">
        <f t="shared" si="98"/>
        <v>4.794520547945206</v>
      </c>
      <c r="L932" s="3">
        <f t="shared" si="99"/>
        <v>354.79452054794524</v>
      </c>
      <c r="M932" s="3">
        <f t="shared" si="100"/>
        <v>21.287671232876715</v>
      </c>
      <c r="N932" s="67">
        <f t="shared" si="101"/>
        <v>333.50684931506851</v>
      </c>
      <c r="O932" s="3"/>
      <c r="P932" s="70" t="s">
        <v>18612</v>
      </c>
      <c r="Q932" s="2" t="s">
        <v>103</v>
      </c>
      <c r="R932" s="2" t="s">
        <v>3853</v>
      </c>
      <c r="T932" t="s">
        <v>18666</v>
      </c>
      <c r="U932" t="s">
        <v>18652</v>
      </c>
      <c r="V932" s="104">
        <v>45857</v>
      </c>
      <c r="X932" s="97"/>
      <c r="Y932" s="75">
        <v>333.51</v>
      </c>
    </row>
    <row r="933" spans="1:25" x14ac:dyDescent="0.25">
      <c r="A933" s="76">
        <v>964</v>
      </c>
      <c r="B933" s="2" t="s">
        <v>2758</v>
      </c>
      <c r="C933" s="2" t="s">
        <v>2759</v>
      </c>
      <c r="D933" s="2" t="s">
        <v>2760</v>
      </c>
      <c r="E933" s="2" t="s">
        <v>2761</v>
      </c>
      <c r="F933" s="2" t="s">
        <v>2762</v>
      </c>
      <c r="G933" s="2" t="s">
        <v>2380</v>
      </c>
      <c r="H933" s="17">
        <v>28</v>
      </c>
      <c r="I933" s="31">
        <f t="shared" si="96"/>
        <v>28000</v>
      </c>
      <c r="J933" s="31">
        <f t="shared" si="97"/>
        <v>1960.0000000000002</v>
      </c>
      <c r="K933" s="44">
        <f t="shared" si="98"/>
        <v>5.3698630136986312</v>
      </c>
      <c r="L933" s="3">
        <f t="shared" si="99"/>
        <v>397.3698630136987</v>
      </c>
      <c r="M933" s="3">
        <f t="shared" si="100"/>
        <v>23.842191780821921</v>
      </c>
      <c r="N933" s="67">
        <f t="shared" si="101"/>
        <v>373.5276712328768</v>
      </c>
      <c r="O933" s="3"/>
      <c r="P933" s="70" t="s">
        <v>18612</v>
      </c>
      <c r="Q933" s="2" t="s">
        <v>103</v>
      </c>
      <c r="R933" s="2" t="s">
        <v>2763</v>
      </c>
      <c r="T933" t="s">
        <v>18666</v>
      </c>
      <c r="U933" t="s">
        <v>18652</v>
      </c>
      <c r="V933" s="104">
        <v>45857</v>
      </c>
      <c r="X933" s="97"/>
      <c r="Y933" s="75">
        <v>373.53</v>
      </c>
    </row>
    <row r="934" spans="1:25" x14ac:dyDescent="0.25">
      <c r="A934" s="76">
        <v>965</v>
      </c>
      <c r="B934" s="2" t="s">
        <v>1921</v>
      </c>
      <c r="C934" s="2" t="s">
        <v>1922</v>
      </c>
      <c r="D934" s="2" t="s">
        <v>1923</v>
      </c>
      <c r="E934" s="2" t="s">
        <v>1924</v>
      </c>
      <c r="F934" s="2" t="s">
        <v>1925</v>
      </c>
      <c r="G934" s="2" t="s">
        <v>599</v>
      </c>
      <c r="H934" s="17">
        <v>25</v>
      </c>
      <c r="I934" s="31">
        <f t="shared" si="96"/>
        <v>25000</v>
      </c>
      <c r="J934" s="31">
        <f t="shared" si="97"/>
        <v>1750.0000000000002</v>
      </c>
      <c r="K934" s="44">
        <f t="shared" si="98"/>
        <v>4.794520547945206</v>
      </c>
      <c r="L934" s="3">
        <f t="shared" si="99"/>
        <v>354.79452054794524</v>
      </c>
      <c r="M934" s="3">
        <f t="shared" si="100"/>
        <v>21.287671232876715</v>
      </c>
      <c r="N934" s="67">
        <f t="shared" si="101"/>
        <v>333.50684931506851</v>
      </c>
      <c r="O934" s="3"/>
      <c r="P934" s="70" t="s">
        <v>18612</v>
      </c>
      <c r="Q934" s="2" t="s">
        <v>103</v>
      </c>
      <c r="R934" s="2" t="s">
        <v>1926</v>
      </c>
      <c r="T934" t="s">
        <v>18666</v>
      </c>
      <c r="U934" t="s">
        <v>18652</v>
      </c>
      <c r="V934" s="104">
        <v>45857</v>
      </c>
      <c r="X934" s="97"/>
      <c r="Y934" s="75">
        <v>333.51</v>
      </c>
    </row>
    <row r="935" spans="1:25" x14ac:dyDescent="0.25">
      <c r="A935" s="76">
        <v>966</v>
      </c>
      <c r="B935" s="2" t="s">
        <v>9611</v>
      </c>
      <c r="C935" s="2" t="s">
        <v>9612</v>
      </c>
      <c r="D935" s="2" t="s">
        <v>9613</v>
      </c>
      <c r="E935" s="2" t="s">
        <v>9614</v>
      </c>
      <c r="F935" s="2" t="s">
        <v>9615</v>
      </c>
      <c r="G935" s="2" t="s">
        <v>23</v>
      </c>
      <c r="H935" s="17">
        <v>25</v>
      </c>
      <c r="I935" s="31">
        <f t="shared" si="96"/>
        <v>25000</v>
      </c>
      <c r="J935" s="31">
        <f t="shared" si="97"/>
        <v>1750.0000000000002</v>
      </c>
      <c r="K935" s="44">
        <f t="shared" si="98"/>
        <v>4.794520547945206</v>
      </c>
      <c r="L935" s="3">
        <f t="shared" si="99"/>
        <v>354.79452054794524</v>
      </c>
      <c r="M935" s="3">
        <f t="shared" si="100"/>
        <v>21.287671232876715</v>
      </c>
      <c r="N935" s="67">
        <f t="shared" si="101"/>
        <v>333.50684931506851</v>
      </c>
      <c r="O935" s="3"/>
      <c r="P935" s="70" t="s">
        <v>18612</v>
      </c>
      <c r="Q935" s="2" t="s">
        <v>103</v>
      </c>
      <c r="R935" s="2" t="s">
        <v>9616</v>
      </c>
      <c r="T935" t="s">
        <v>18666</v>
      </c>
      <c r="U935" t="s">
        <v>18652</v>
      </c>
      <c r="V935" s="104">
        <v>45857</v>
      </c>
      <c r="X935" s="97"/>
      <c r="Y935" s="75">
        <v>333.51</v>
      </c>
    </row>
    <row r="936" spans="1:25" x14ac:dyDescent="0.25">
      <c r="A936" s="76">
        <v>967</v>
      </c>
      <c r="B936" s="2" t="s">
        <v>12466</v>
      </c>
      <c r="C936" s="2" t="s">
        <v>12467</v>
      </c>
      <c r="D936" s="2" t="s">
        <v>12468</v>
      </c>
      <c r="E936" s="2" t="s">
        <v>12469</v>
      </c>
      <c r="F936" s="2" t="s">
        <v>12470</v>
      </c>
      <c r="G936" s="2" t="s">
        <v>2673</v>
      </c>
      <c r="H936" s="17">
        <v>500</v>
      </c>
      <c r="I936" s="31">
        <f t="shared" si="96"/>
        <v>500000</v>
      </c>
      <c r="J936" s="31">
        <f t="shared" si="97"/>
        <v>35000</v>
      </c>
      <c r="K936" s="44">
        <f t="shared" si="98"/>
        <v>95.890410958904113</v>
      </c>
      <c r="L936" s="3">
        <f t="shared" si="99"/>
        <v>7095.8904109589039</v>
      </c>
      <c r="M936" s="3">
        <f t="shared" si="100"/>
        <v>425.7534246575342</v>
      </c>
      <c r="N936" s="67">
        <f t="shared" si="101"/>
        <v>6670.1369863013697</v>
      </c>
      <c r="O936" s="3"/>
      <c r="P936" s="70" t="s">
        <v>18612</v>
      </c>
      <c r="Q936" s="2" t="s">
        <v>103</v>
      </c>
      <c r="R936" s="2" t="s">
        <v>12471</v>
      </c>
      <c r="T936" t="s">
        <v>18666</v>
      </c>
      <c r="U936" t="s">
        <v>18652</v>
      </c>
      <c r="V936" s="104">
        <v>45857</v>
      </c>
      <c r="X936" s="97"/>
      <c r="Y936" s="75">
        <v>6670.14</v>
      </c>
    </row>
    <row r="937" spans="1:25" x14ac:dyDescent="0.25">
      <c r="A937" s="76">
        <v>968</v>
      </c>
      <c r="B937" s="2" t="s">
        <v>11875</v>
      </c>
      <c r="C937" s="2" t="s">
        <v>11876</v>
      </c>
      <c r="D937" s="2" t="s">
        <v>11877</v>
      </c>
      <c r="E937" s="2" t="s">
        <v>11878</v>
      </c>
      <c r="F937" s="2" t="s">
        <v>11879</v>
      </c>
      <c r="G937" s="2" t="s">
        <v>218</v>
      </c>
      <c r="H937" s="17">
        <v>25</v>
      </c>
      <c r="I937" s="31">
        <f t="shared" si="96"/>
        <v>25000</v>
      </c>
      <c r="J937" s="31">
        <f t="shared" si="97"/>
        <v>1750.0000000000002</v>
      </c>
      <c r="K937" s="44">
        <f t="shared" si="98"/>
        <v>4.794520547945206</v>
      </c>
      <c r="L937" s="3">
        <f t="shared" si="99"/>
        <v>354.79452054794524</v>
      </c>
      <c r="M937" s="3">
        <f t="shared" si="100"/>
        <v>21.287671232876715</v>
      </c>
      <c r="N937" s="67">
        <f t="shared" si="101"/>
        <v>333.50684931506851</v>
      </c>
      <c r="O937" s="3"/>
      <c r="P937" s="70" t="s">
        <v>18612</v>
      </c>
      <c r="Q937" s="2" t="s">
        <v>103</v>
      </c>
      <c r="R937" s="2" t="s">
        <v>11880</v>
      </c>
      <c r="T937" t="s">
        <v>18666</v>
      </c>
      <c r="U937" t="s">
        <v>18652</v>
      </c>
      <c r="V937" s="104">
        <v>45857</v>
      </c>
      <c r="X937" s="97"/>
      <c r="Y937" s="75">
        <v>333.51</v>
      </c>
    </row>
    <row r="938" spans="1:25" x14ac:dyDescent="0.25">
      <c r="A938" s="76">
        <v>969</v>
      </c>
      <c r="B938" s="2" t="s">
        <v>16671</v>
      </c>
      <c r="C938" s="2" t="s">
        <v>16672</v>
      </c>
      <c r="D938" s="2" t="s">
        <v>2483</v>
      </c>
      <c r="E938" s="2" t="s">
        <v>16673</v>
      </c>
      <c r="F938" s="2" t="s">
        <v>16674</v>
      </c>
      <c r="G938" s="2" t="s">
        <v>5013</v>
      </c>
      <c r="H938" s="17">
        <v>50</v>
      </c>
      <c r="I938" s="31">
        <f t="shared" si="96"/>
        <v>50000</v>
      </c>
      <c r="J938" s="31">
        <f t="shared" si="97"/>
        <v>3500.0000000000005</v>
      </c>
      <c r="K938" s="44">
        <f t="shared" si="98"/>
        <v>9.589041095890412</v>
      </c>
      <c r="L938" s="3">
        <f t="shared" si="99"/>
        <v>709.58904109589048</v>
      </c>
      <c r="M938" s="3">
        <f t="shared" si="100"/>
        <v>42.57534246575343</v>
      </c>
      <c r="N938" s="67">
        <f t="shared" si="101"/>
        <v>667.01369863013701</v>
      </c>
      <c r="O938" s="3"/>
      <c r="P938" s="70" t="s">
        <v>18612</v>
      </c>
      <c r="Q938" s="2" t="s">
        <v>103</v>
      </c>
      <c r="R938" s="2" t="s">
        <v>16675</v>
      </c>
      <c r="T938" t="s">
        <v>18666</v>
      </c>
      <c r="U938" t="s">
        <v>18652</v>
      </c>
      <c r="V938" s="104">
        <v>45857</v>
      </c>
      <c r="X938" s="97"/>
      <c r="Y938" s="75">
        <v>667.02</v>
      </c>
    </row>
    <row r="939" spans="1:25" x14ac:dyDescent="0.25">
      <c r="A939" s="76">
        <v>970</v>
      </c>
      <c r="B939" s="2" t="s">
        <v>6495</v>
      </c>
      <c r="C939" s="2" t="s">
        <v>6496</v>
      </c>
      <c r="D939" s="2" t="s">
        <v>6497</v>
      </c>
      <c r="E939" s="2" t="s">
        <v>6498</v>
      </c>
      <c r="F939" s="2" t="s">
        <v>6499</v>
      </c>
      <c r="G939" s="2" t="s">
        <v>54</v>
      </c>
      <c r="H939" s="17">
        <v>25</v>
      </c>
      <c r="I939" s="31">
        <f t="shared" si="96"/>
        <v>25000</v>
      </c>
      <c r="J939" s="31">
        <f t="shared" si="97"/>
        <v>1750.0000000000002</v>
      </c>
      <c r="K939" s="44">
        <f t="shared" si="98"/>
        <v>4.794520547945206</v>
      </c>
      <c r="L939" s="3">
        <f t="shared" si="99"/>
        <v>354.79452054794524</v>
      </c>
      <c r="M939" s="3">
        <f t="shared" si="100"/>
        <v>21.287671232876715</v>
      </c>
      <c r="N939" s="67">
        <f t="shared" si="101"/>
        <v>333.50684931506851</v>
      </c>
      <c r="O939" s="3"/>
      <c r="P939" s="70" t="s">
        <v>18612</v>
      </c>
      <c r="Q939" s="2" t="s">
        <v>103</v>
      </c>
      <c r="R939" s="2" t="s">
        <v>6500</v>
      </c>
      <c r="T939" t="s">
        <v>18666</v>
      </c>
      <c r="U939" t="s">
        <v>18652</v>
      </c>
      <c r="V939" s="104">
        <v>45857</v>
      </c>
      <c r="X939" s="97"/>
      <c r="Y939" s="75">
        <v>333.51</v>
      </c>
    </row>
    <row r="940" spans="1:25" x14ac:dyDescent="0.25">
      <c r="A940" s="76">
        <v>971</v>
      </c>
      <c r="B940" s="2" t="s">
        <v>15362</v>
      </c>
      <c r="C940" s="2" t="s">
        <v>15363</v>
      </c>
      <c r="D940" s="2" t="s">
        <v>15364</v>
      </c>
      <c r="E940" s="2" t="s">
        <v>15365</v>
      </c>
      <c r="F940" s="2" t="s">
        <v>15366</v>
      </c>
      <c r="G940" s="2" t="s">
        <v>5013</v>
      </c>
      <c r="H940" s="17">
        <v>25</v>
      </c>
      <c r="I940" s="31">
        <f t="shared" si="96"/>
        <v>25000</v>
      </c>
      <c r="J940" s="31">
        <f t="shared" si="97"/>
        <v>1750.0000000000002</v>
      </c>
      <c r="K940" s="44">
        <f t="shared" si="98"/>
        <v>4.794520547945206</v>
      </c>
      <c r="L940" s="3">
        <f t="shared" si="99"/>
        <v>354.79452054794524</v>
      </c>
      <c r="M940" s="3">
        <f t="shared" si="100"/>
        <v>21.287671232876715</v>
      </c>
      <c r="N940" s="67">
        <f t="shared" si="101"/>
        <v>333.50684931506851</v>
      </c>
      <c r="O940" s="3"/>
      <c r="P940" s="70" t="s">
        <v>18612</v>
      </c>
      <c r="Q940" s="2" t="s">
        <v>103</v>
      </c>
      <c r="R940" s="2" t="s">
        <v>15367</v>
      </c>
      <c r="T940" t="s">
        <v>18666</v>
      </c>
      <c r="U940" t="s">
        <v>18652</v>
      </c>
      <c r="V940" s="104">
        <v>45857</v>
      </c>
      <c r="X940" s="97"/>
      <c r="Y940" s="75">
        <v>333.51</v>
      </c>
    </row>
    <row r="941" spans="1:25" x14ac:dyDescent="0.25">
      <c r="A941" s="76">
        <v>972</v>
      </c>
      <c r="B941" s="2" t="s">
        <v>13237</v>
      </c>
      <c r="C941" s="2" t="s">
        <v>13238</v>
      </c>
      <c r="D941" s="2" t="s">
        <v>11559</v>
      </c>
      <c r="E941" s="2" t="s">
        <v>3072</v>
      </c>
      <c r="F941" s="2" t="s">
        <v>13239</v>
      </c>
      <c r="G941" s="2" t="s">
        <v>144</v>
      </c>
      <c r="H941" s="17">
        <v>30</v>
      </c>
      <c r="I941" s="31">
        <f t="shared" si="96"/>
        <v>30000</v>
      </c>
      <c r="J941" s="31">
        <f t="shared" si="97"/>
        <v>2100</v>
      </c>
      <c r="K941" s="44">
        <f t="shared" si="98"/>
        <v>5.7534246575342465</v>
      </c>
      <c r="L941" s="3">
        <f t="shared" si="99"/>
        <v>425.75342465753425</v>
      </c>
      <c r="M941" s="3">
        <f t="shared" si="100"/>
        <v>25.545205479452054</v>
      </c>
      <c r="N941" s="67">
        <f t="shared" si="101"/>
        <v>400.20821917808217</v>
      </c>
      <c r="O941" s="3"/>
      <c r="P941" s="70" t="s">
        <v>18612</v>
      </c>
      <c r="Q941" s="2" t="s">
        <v>103</v>
      </c>
      <c r="R941" s="2" t="s">
        <v>13240</v>
      </c>
      <c r="T941" t="s">
        <v>18666</v>
      </c>
      <c r="U941" t="s">
        <v>18652</v>
      </c>
      <c r="V941" s="104">
        <v>45857</v>
      </c>
      <c r="X941" s="97"/>
      <c r="Y941" s="75">
        <v>400.21</v>
      </c>
    </row>
    <row r="942" spans="1:25" x14ac:dyDescent="0.25">
      <c r="A942" s="76">
        <v>973</v>
      </c>
      <c r="B942" s="2" t="s">
        <v>4669</v>
      </c>
      <c r="C942" s="2" t="s">
        <v>4670</v>
      </c>
      <c r="D942" s="2" t="s">
        <v>4671</v>
      </c>
      <c r="E942" s="2" t="s">
        <v>4672</v>
      </c>
      <c r="F942" s="2" t="s">
        <v>4673</v>
      </c>
      <c r="G942" s="2" t="s">
        <v>510</v>
      </c>
      <c r="H942" s="17">
        <v>25</v>
      </c>
      <c r="I942" s="31">
        <f t="shared" si="96"/>
        <v>25000</v>
      </c>
      <c r="J942" s="31">
        <f t="shared" si="97"/>
        <v>1750.0000000000002</v>
      </c>
      <c r="K942" s="44">
        <f t="shared" si="98"/>
        <v>4.794520547945206</v>
      </c>
      <c r="L942" s="3">
        <f t="shared" si="99"/>
        <v>354.79452054794524</v>
      </c>
      <c r="M942" s="3">
        <f t="shared" si="100"/>
        <v>21.287671232876715</v>
      </c>
      <c r="N942" s="67">
        <f t="shared" si="101"/>
        <v>333.50684931506851</v>
      </c>
      <c r="O942" s="3"/>
      <c r="P942" s="70" t="s">
        <v>18612</v>
      </c>
      <c r="Q942" s="2" t="s">
        <v>103</v>
      </c>
      <c r="R942" s="2" t="s">
        <v>4674</v>
      </c>
      <c r="T942" t="s">
        <v>18666</v>
      </c>
      <c r="U942" t="s">
        <v>18652</v>
      </c>
      <c r="V942" s="104">
        <v>45857</v>
      </c>
      <c r="X942" s="97"/>
      <c r="Y942" s="75">
        <v>333.51</v>
      </c>
    </row>
    <row r="943" spans="1:25" x14ac:dyDescent="0.25">
      <c r="A943" s="76">
        <v>974</v>
      </c>
      <c r="B943" s="2" t="s">
        <v>2675</v>
      </c>
      <c r="C943" s="2" t="s">
        <v>2676</v>
      </c>
      <c r="D943" s="2" t="s">
        <v>2677</v>
      </c>
      <c r="E943" s="2" t="s">
        <v>2678</v>
      </c>
      <c r="F943" s="2" t="s">
        <v>2679</v>
      </c>
      <c r="G943" s="2" t="s">
        <v>2680</v>
      </c>
      <c r="H943" s="17">
        <v>25</v>
      </c>
      <c r="I943" s="31">
        <f t="shared" si="96"/>
        <v>25000</v>
      </c>
      <c r="J943" s="31">
        <f t="shared" si="97"/>
        <v>1750.0000000000002</v>
      </c>
      <c r="K943" s="44">
        <f t="shared" si="98"/>
        <v>4.794520547945206</v>
      </c>
      <c r="L943" s="3">
        <f t="shared" si="99"/>
        <v>354.79452054794524</v>
      </c>
      <c r="M943" s="3">
        <f t="shared" si="100"/>
        <v>21.287671232876715</v>
      </c>
      <c r="N943" s="67">
        <f t="shared" si="101"/>
        <v>333.50684931506851</v>
      </c>
      <c r="O943" s="3"/>
      <c r="P943" s="70" t="s">
        <v>18612</v>
      </c>
      <c r="Q943" s="2" t="s">
        <v>103</v>
      </c>
      <c r="R943" s="2" t="s">
        <v>2681</v>
      </c>
      <c r="T943" t="s">
        <v>18666</v>
      </c>
      <c r="U943" t="s">
        <v>18652</v>
      </c>
      <c r="V943" s="104">
        <v>45857</v>
      </c>
      <c r="X943" s="97"/>
      <c r="Y943" s="75">
        <v>333.51</v>
      </c>
    </row>
    <row r="944" spans="1:25" x14ac:dyDescent="0.25">
      <c r="A944" s="76">
        <v>975</v>
      </c>
      <c r="B944" s="2" t="s">
        <v>14800</v>
      </c>
      <c r="C944" s="2" t="s">
        <v>12628</v>
      </c>
      <c r="D944" s="2" t="s">
        <v>14801</v>
      </c>
      <c r="E944" s="2" t="s">
        <v>14802</v>
      </c>
      <c r="F944" s="2" t="s">
        <v>14803</v>
      </c>
      <c r="G944" s="2" t="s">
        <v>1055</v>
      </c>
      <c r="H944" s="17">
        <v>25</v>
      </c>
      <c r="I944" s="31">
        <f t="shared" si="96"/>
        <v>25000</v>
      </c>
      <c r="J944" s="31">
        <f t="shared" si="97"/>
        <v>1750.0000000000002</v>
      </c>
      <c r="K944" s="44">
        <f t="shared" si="98"/>
        <v>4.794520547945206</v>
      </c>
      <c r="L944" s="3">
        <f t="shared" si="99"/>
        <v>354.79452054794524</v>
      </c>
      <c r="M944" s="3">
        <f t="shared" si="100"/>
        <v>21.287671232876715</v>
      </c>
      <c r="N944" s="67">
        <f t="shared" si="101"/>
        <v>333.50684931506851</v>
      </c>
      <c r="O944" s="3"/>
      <c r="P944" s="70" t="s">
        <v>18612</v>
      </c>
      <c r="Q944" s="2" t="s">
        <v>103</v>
      </c>
      <c r="R944" s="2" t="s">
        <v>14804</v>
      </c>
      <c r="T944" t="s">
        <v>18666</v>
      </c>
      <c r="U944" t="s">
        <v>18652</v>
      </c>
      <c r="V944" s="104">
        <v>45857</v>
      </c>
      <c r="X944" s="97"/>
      <c r="Y944" s="75">
        <v>333.51</v>
      </c>
    </row>
    <row r="945" spans="1:25" x14ac:dyDescent="0.25">
      <c r="A945" s="76">
        <v>976</v>
      </c>
      <c r="B945" s="2" t="s">
        <v>96</v>
      </c>
      <c r="C945" s="2" t="s">
        <v>97</v>
      </c>
      <c r="D945" s="2" t="s">
        <v>98</v>
      </c>
      <c r="E945" s="2" t="s">
        <v>99</v>
      </c>
      <c r="F945" s="2" t="s">
        <v>100</v>
      </c>
      <c r="G945" s="2" t="s">
        <v>101</v>
      </c>
      <c r="H945" s="17">
        <v>25</v>
      </c>
      <c r="I945" s="31">
        <f t="shared" si="96"/>
        <v>25000</v>
      </c>
      <c r="J945" s="31">
        <f t="shared" si="97"/>
        <v>1750.0000000000002</v>
      </c>
      <c r="K945" s="44">
        <f t="shared" si="98"/>
        <v>4.794520547945206</v>
      </c>
      <c r="L945" s="3">
        <f t="shared" si="99"/>
        <v>354.79452054794524</v>
      </c>
      <c r="M945" s="3">
        <f t="shared" si="100"/>
        <v>21.287671232876715</v>
      </c>
      <c r="N945" s="67">
        <f t="shared" si="101"/>
        <v>333.50684931506851</v>
      </c>
      <c r="O945" s="3"/>
      <c r="P945" s="70" t="s">
        <v>18612</v>
      </c>
      <c r="Q945" s="2" t="s">
        <v>103</v>
      </c>
      <c r="R945" s="2" t="s">
        <v>104</v>
      </c>
      <c r="T945" t="s">
        <v>18666</v>
      </c>
      <c r="U945" t="s">
        <v>18652</v>
      </c>
      <c r="V945" s="104">
        <v>45857</v>
      </c>
      <c r="X945" s="97"/>
      <c r="Y945" s="75">
        <v>333.51</v>
      </c>
    </row>
    <row r="946" spans="1:25" x14ac:dyDescent="0.25">
      <c r="A946" s="76">
        <v>977</v>
      </c>
      <c r="B946" s="2" t="s">
        <v>13799</v>
      </c>
      <c r="C946" s="2" t="s">
        <v>13800</v>
      </c>
      <c r="D946" s="2" t="s">
        <v>13753</v>
      </c>
      <c r="E946" s="2" t="s">
        <v>13754</v>
      </c>
      <c r="F946" s="2" t="s">
        <v>11978</v>
      </c>
      <c r="G946" s="2" t="s">
        <v>31</v>
      </c>
      <c r="H946" s="17">
        <v>25</v>
      </c>
      <c r="I946" s="31">
        <f t="shared" si="96"/>
        <v>25000</v>
      </c>
      <c r="J946" s="31">
        <f t="shared" si="97"/>
        <v>1750.0000000000002</v>
      </c>
      <c r="K946" s="44">
        <f t="shared" si="98"/>
        <v>4.794520547945206</v>
      </c>
      <c r="L946" s="3">
        <f t="shared" si="99"/>
        <v>354.79452054794524</v>
      </c>
      <c r="M946" s="3">
        <f t="shared" si="100"/>
        <v>21.287671232876715</v>
      </c>
      <c r="N946" s="67">
        <f t="shared" si="101"/>
        <v>333.50684931506851</v>
      </c>
      <c r="O946" s="3"/>
      <c r="P946" s="70" t="s">
        <v>18612</v>
      </c>
      <c r="Q946" s="2" t="s">
        <v>103</v>
      </c>
      <c r="R946" s="2" t="s">
        <v>13801</v>
      </c>
      <c r="T946" t="s">
        <v>18666</v>
      </c>
      <c r="U946" t="s">
        <v>18652</v>
      </c>
      <c r="V946" s="104">
        <v>45857</v>
      </c>
      <c r="X946" s="97"/>
      <c r="Y946" s="75">
        <v>333.51</v>
      </c>
    </row>
    <row r="947" spans="1:25" x14ac:dyDescent="0.25">
      <c r="A947" s="76">
        <v>978</v>
      </c>
      <c r="B947" s="2" t="s">
        <v>13808</v>
      </c>
      <c r="C947" s="2" t="s">
        <v>13809</v>
      </c>
      <c r="D947" s="2" t="s">
        <v>13753</v>
      </c>
      <c r="E947" s="2" t="s">
        <v>13754</v>
      </c>
      <c r="F947" s="2" t="s">
        <v>13810</v>
      </c>
      <c r="G947" s="2" t="s">
        <v>31</v>
      </c>
      <c r="H947" s="17">
        <v>25</v>
      </c>
      <c r="I947" s="31">
        <f t="shared" si="96"/>
        <v>25000</v>
      </c>
      <c r="J947" s="31">
        <f t="shared" si="97"/>
        <v>1750.0000000000002</v>
      </c>
      <c r="K947" s="44">
        <f t="shared" si="98"/>
        <v>4.794520547945206</v>
      </c>
      <c r="L947" s="3">
        <f t="shared" si="99"/>
        <v>354.79452054794524</v>
      </c>
      <c r="M947" s="3">
        <f t="shared" si="100"/>
        <v>21.287671232876715</v>
      </c>
      <c r="N947" s="67">
        <f t="shared" si="101"/>
        <v>333.50684931506851</v>
      </c>
      <c r="O947" s="3"/>
      <c r="P947" s="70" t="s">
        <v>18612</v>
      </c>
      <c r="Q947" s="2" t="s">
        <v>103</v>
      </c>
      <c r="R947" s="2" t="s">
        <v>13811</v>
      </c>
      <c r="T947" t="s">
        <v>18666</v>
      </c>
      <c r="U947" t="s">
        <v>18652</v>
      </c>
      <c r="V947" s="104">
        <v>45857</v>
      </c>
      <c r="X947" s="97"/>
      <c r="Y947" s="75">
        <v>333.51</v>
      </c>
    </row>
    <row r="948" spans="1:25" x14ac:dyDescent="0.25">
      <c r="A948" s="76">
        <v>979</v>
      </c>
      <c r="B948" s="2" t="s">
        <v>7185</v>
      </c>
      <c r="C948" s="2" t="s">
        <v>7186</v>
      </c>
      <c r="D948" s="2" t="s">
        <v>7187</v>
      </c>
      <c r="E948" s="2" t="s">
        <v>7188</v>
      </c>
      <c r="F948" s="2" t="s">
        <v>7189</v>
      </c>
      <c r="G948" s="2" t="s">
        <v>31</v>
      </c>
      <c r="H948" s="17">
        <v>300</v>
      </c>
      <c r="I948" s="31">
        <f t="shared" si="96"/>
        <v>300000</v>
      </c>
      <c r="J948" s="31">
        <f t="shared" si="97"/>
        <v>21000.000000000004</v>
      </c>
      <c r="K948" s="44">
        <f t="shared" si="98"/>
        <v>57.534246575342479</v>
      </c>
      <c r="L948" s="3">
        <f t="shared" si="99"/>
        <v>4257.5342465753438</v>
      </c>
      <c r="M948" s="3">
        <f t="shared" si="100"/>
        <v>255.45205479452062</v>
      </c>
      <c r="N948" s="67">
        <f t="shared" si="101"/>
        <v>4002.082191780823</v>
      </c>
      <c r="O948" s="3"/>
      <c r="P948" s="70" t="s">
        <v>18612</v>
      </c>
      <c r="Q948" s="2" t="s">
        <v>103</v>
      </c>
      <c r="R948" s="2" t="s">
        <v>7190</v>
      </c>
      <c r="T948" t="s">
        <v>18666</v>
      </c>
      <c r="U948" t="s">
        <v>18652</v>
      </c>
      <c r="V948" s="104">
        <v>45857</v>
      </c>
      <c r="X948" s="97"/>
      <c r="Y948" s="75">
        <v>4002.09</v>
      </c>
    </row>
    <row r="949" spans="1:25" x14ac:dyDescent="0.25">
      <c r="A949" s="76">
        <v>980</v>
      </c>
      <c r="B949" s="2" t="s">
        <v>7855</v>
      </c>
      <c r="C949" s="2" t="s">
        <v>7856</v>
      </c>
      <c r="D949" s="2" t="s">
        <v>7857</v>
      </c>
      <c r="E949" s="2" t="s">
        <v>7858</v>
      </c>
      <c r="F949" s="2" t="s">
        <v>7859</v>
      </c>
      <c r="G949" s="2" t="s">
        <v>275</v>
      </c>
      <c r="H949" s="17">
        <v>300</v>
      </c>
      <c r="I949" s="31">
        <f t="shared" si="96"/>
        <v>300000</v>
      </c>
      <c r="J949" s="31">
        <f t="shared" si="97"/>
        <v>21000.000000000004</v>
      </c>
      <c r="K949" s="44">
        <f t="shared" si="98"/>
        <v>57.534246575342479</v>
      </c>
      <c r="L949" s="3">
        <f t="shared" si="99"/>
        <v>4257.5342465753438</v>
      </c>
      <c r="M949" s="3">
        <f t="shared" si="100"/>
        <v>255.45205479452062</v>
      </c>
      <c r="N949" s="67">
        <f t="shared" si="101"/>
        <v>4002.082191780823</v>
      </c>
      <c r="O949" s="3"/>
      <c r="P949" s="70" t="s">
        <v>18612</v>
      </c>
      <c r="Q949" s="2" t="s">
        <v>103</v>
      </c>
      <c r="R949" s="2" t="s">
        <v>7860</v>
      </c>
      <c r="T949" t="s">
        <v>18666</v>
      </c>
      <c r="U949" t="s">
        <v>18652</v>
      </c>
      <c r="V949" s="104">
        <v>45857</v>
      </c>
      <c r="X949" s="97"/>
      <c r="Y949" s="75">
        <v>4002.09</v>
      </c>
    </row>
    <row r="950" spans="1:25" x14ac:dyDescent="0.25">
      <c r="A950" s="76">
        <v>981</v>
      </c>
      <c r="B950" s="2" t="s">
        <v>5074</v>
      </c>
      <c r="C950" s="2" t="s">
        <v>5075</v>
      </c>
      <c r="D950" s="2" t="s">
        <v>5076</v>
      </c>
      <c r="E950" s="2" t="s">
        <v>5077</v>
      </c>
      <c r="F950" s="2" t="s">
        <v>5078</v>
      </c>
      <c r="G950" s="2" t="s">
        <v>39</v>
      </c>
      <c r="H950" s="17">
        <v>25</v>
      </c>
      <c r="I950" s="31">
        <f t="shared" si="96"/>
        <v>25000</v>
      </c>
      <c r="J950" s="31">
        <f t="shared" si="97"/>
        <v>1750.0000000000002</v>
      </c>
      <c r="K950" s="44">
        <f t="shared" si="98"/>
        <v>4.794520547945206</v>
      </c>
      <c r="L950" s="3">
        <f t="shared" si="99"/>
        <v>354.79452054794524</v>
      </c>
      <c r="M950" s="3">
        <f t="shared" si="100"/>
        <v>21.287671232876715</v>
      </c>
      <c r="N950" s="67">
        <f t="shared" si="101"/>
        <v>333.50684931506851</v>
      </c>
      <c r="O950" s="3"/>
      <c r="P950" s="70" t="s">
        <v>18612</v>
      </c>
      <c r="Q950" s="2" t="s">
        <v>103</v>
      </c>
      <c r="R950" s="2" t="s">
        <v>5079</v>
      </c>
      <c r="T950" t="s">
        <v>18666</v>
      </c>
      <c r="U950" t="s">
        <v>18652</v>
      </c>
      <c r="V950" s="104">
        <v>45857</v>
      </c>
      <c r="X950" s="97"/>
      <c r="Y950" s="75">
        <v>333.51</v>
      </c>
    </row>
    <row r="951" spans="1:25" x14ac:dyDescent="0.25">
      <c r="A951" s="76">
        <v>982</v>
      </c>
      <c r="B951" s="2" t="s">
        <v>3566</v>
      </c>
      <c r="C951" s="2" t="s">
        <v>3567</v>
      </c>
      <c r="D951" s="2" t="s">
        <v>3568</v>
      </c>
      <c r="E951" s="2" t="s">
        <v>3569</v>
      </c>
      <c r="F951" s="2" t="s">
        <v>3570</v>
      </c>
      <c r="G951" s="2" t="s">
        <v>1017</v>
      </c>
      <c r="H951" s="17">
        <v>25</v>
      </c>
      <c r="I951" s="31">
        <f t="shared" si="96"/>
        <v>25000</v>
      </c>
      <c r="J951" s="31">
        <f t="shared" si="97"/>
        <v>1750.0000000000002</v>
      </c>
      <c r="K951" s="44">
        <f t="shared" si="98"/>
        <v>4.794520547945206</v>
      </c>
      <c r="L951" s="3">
        <f t="shared" si="99"/>
        <v>354.79452054794524</v>
      </c>
      <c r="M951" s="3">
        <f t="shared" si="100"/>
        <v>21.287671232876715</v>
      </c>
      <c r="N951" s="67">
        <f t="shared" si="101"/>
        <v>333.50684931506851</v>
      </c>
      <c r="O951" s="3"/>
      <c r="P951" s="70" t="s">
        <v>18612</v>
      </c>
      <c r="Q951" s="2" t="s">
        <v>103</v>
      </c>
      <c r="R951" s="2" t="s">
        <v>3571</v>
      </c>
      <c r="T951" t="s">
        <v>18666</v>
      </c>
      <c r="U951" t="s">
        <v>18652</v>
      </c>
      <c r="V951" s="104">
        <v>45857</v>
      </c>
      <c r="X951" s="97"/>
      <c r="Y951" s="75">
        <v>333.51</v>
      </c>
    </row>
    <row r="952" spans="1:25" x14ac:dyDescent="0.25">
      <c r="A952" s="76">
        <v>983</v>
      </c>
      <c r="B952" s="2" t="s">
        <v>12609</v>
      </c>
      <c r="C952" s="2" t="s">
        <v>12610</v>
      </c>
      <c r="D952" s="2" t="s">
        <v>12611</v>
      </c>
      <c r="E952" s="2" t="s">
        <v>12612</v>
      </c>
      <c r="F952" s="2" t="s">
        <v>12613</v>
      </c>
      <c r="G952" s="2" t="s">
        <v>268</v>
      </c>
      <c r="H952" s="17">
        <v>25</v>
      </c>
      <c r="I952" s="31">
        <f t="shared" si="96"/>
        <v>25000</v>
      </c>
      <c r="J952" s="31">
        <f t="shared" si="97"/>
        <v>1750.0000000000002</v>
      </c>
      <c r="K952" s="44">
        <f t="shared" si="98"/>
        <v>4.794520547945206</v>
      </c>
      <c r="L952" s="3">
        <f t="shared" si="99"/>
        <v>354.79452054794524</v>
      </c>
      <c r="M952" s="3">
        <f t="shared" si="100"/>
        <v>21.287671232876715</v>
      </c>
      <c r="N952" s="67">
        <f t="shared" si="101"/>
        <v>333.50684931506851</v>
      </c>
      <c r="O952" s="3"/>
      <c r="P952" s="70" t="s">
        <v>18612</v>
      </c>
      <c r="Q952" s="2" t="s">
        <v>103</v>
      </c>
      <c r="R952" s="2" t="s">
        <v>12614</v>
      </c>
      <c r="T952" t="s">
        <v>18666</v>
      </c>
      <c r="U952" t="s">
        <v>18652</v>
      </c>
      <c r="V952" s="104">
        <v>45857</v>
      </c>
      <c r="X952" s="97"/>
      <c r="Y952" s="75">
        <v>333.51</v>
      </c>
    </row>
    <row r="953" spans="1:25" x14ac:dyDescent="0.25">
      <c r="A953" s="76">
        <v>984</v>
      </c>
      <c r="B953" s="2" t="s">
        <v>11945</v>
      </c>
      <c r="C953" s="2" t="s">
        <v>11946</v>
      </c>
      <c r="D953" s="2" t="s">
        <v>11947</v>
      </c>
      <c r="E953" s="2" t="s">
        <v>11948</v>
      </c>
      <c r="F953" s="2" t="s">
        <v>11949</v>
      </c>
      <c r="G953" s="2" t="s">
        <v>587</v>
      </c>
      <c r="H953" s="17">
        <v>25</v>
      </c>
      <c r="I953" s="31">
        <f t="shared" si="96"/>
        <v>25000</v>
      </c>
      <c r="J953" s="31">
        <f t="shared" si="97"/>
        <v>1750.0000000000002</v>
      </c>
      <c r="K953" s="44">
        <f t="shared" si="98"/>
        <v>4.794520547945206</v>
      </c>
      <c r="L953" s="3">
        <f t="shared" si="99"/>
        <v>354.79452054794524</v>
      </c>
      <c r="M953" s="3">
        <f t="shared" si="100"/>
        <v>21.287671232876715</v>
      </c>
      <c r="N953" s="67">
        <f t="shared" si="101"/>
        <v>333.50684931506851</v>
      </c>
      <c r="O953" s="3"/>
      <c r="P953" s="70" t="s">
        <v>18612</v>
      </c>
      <c r="Q953" s="2" t="s">
        <v>103</v>
      </c>
      <c r="R953" s="2" t="s">
        <v>11950</v>
      </c>
      <c r="T953" t="s">
        <v>18666</v>
      </c>
      <c r="U953" t="s">
        <v>18652</v>
      </c>
      <c r="V953" s="104">
        <v>45857</v>
      </c>
      <c r="X953" s="97"/>
      <c r="Y953" s="75">
        <v>333.51</v>
      </c>
    </row>
    <row r="954" spans="1:25" x14ac:dyDescent="0.25">
      <c r="A954" s="76">
        <v>985</v>
      </c>
      <c r="B954" s="2" t="s">
        <v>5988</v>
      </c>
      <c r="C954" s="2" t="s">
        <v>5989</v>
      </c>
      <c r="D954" s="2" t="s">
        <v>5990</v>
      </c>
      <c r="E954" s="2" t="s">
        <v>5991</v>
      </c>
      <c r="F954" s="2" t="s">
        <v>5992</v>
      </c>
      <c r="G954" s="2" t="s">
        <v>218</v>
      </c>
      <c r="H954" s="17">
        <v>25</v>
      </c>
      <c r="I954" s="31">
        <f t="shared" si="96"/>
        <v>25000</v>
      </c>
      <c r="J954" s="31">
        <f t="shared" si="97"/>
        <v>1750.0000000000002</v>
      </c>
      <c r="K954" s="44">
        <f t="shared" si="98"/>
        <v>4.794520547945206</v>
      </c>
      <c r="L954" s="3">
        <f t="shared" si="99"/>
        <v>354.79452054794524</v>
      </c>
      <c r="M954" s="3">
        <f t="shared" si="100"/>
        <v>21.287671232876715</v>
      </c>
      <c r="N954" s="67">
        <f t="shared" si="101"/>
        <v>333.50684931506851</v>
      </c>
      <c r="O954" s="3"/>
      <c r="P954" s="70" t="s">
        <v>18612</v>
      </c>
      <c r="Q954" s="2" t="s">
        <v>103</v>
      </c>
      <c r="R954" s="2" t="s">
        <v>5993</v>
      </c>
      <c r="T954" t="s">
        <v>18666</v>
      </c>
      <c r="U954" t="s">
        <v>18652</v>
      </c>
      <c r="V954" s="104">
        <v>45857</v>
      </c>
      <c r="X954" s="97"/>
      <c r="Y954" s="75">
        <v>333.51</v>
      </c>
    </row>
    <row r="955" spans="1:25" x14ac:dyDescent="0.25">
      <c r="A955" s="76">
        <v>986</v>
      </c>
      <c r="B955" s="2" t="s">
        <v>3093</v>
      </c>
      <c r="C955" s="2" t="s">
        <v>3094</v>
      </c>
      <c r="D955" s="2" t="s">
        <v>3095</v>
      </c>
      <c r="E955" s="2" t="s">
        <v>3096</v>
      </c>
      <c r="F955" s="2" t="s">
        <v>3097</v>
      </c>
      <c r="G955" s="2" t="s">
        <v>247</v>
      </c>
      <c r="H955" s="17">
        <v>25</v>
      </c>
      <c r="I955" s="31">
        <f t="shared" si="96"/>
        <v>25000</v>
      </c>
      <c r="J955" s="31">
        <f t="shared" si="97"/>
        <v>1750.0000000000002</v>
      </c>
      <c r="K955" s="44">
        <f t="shared" si="98"/>
        <v>4.794520547945206</v>
      </c>
      <c r="L955" s="3">
        <f t="shared" si="99"/>
        <v>354.79452054794524</v>
      </c>
      <c r="M955" s="3">
        <f t="shared" si="100"/>
        <v>21.287671232876715</v>
      </c>
      <c r="N955" s="67">
        <f t="shared" si="101"/>
        <v>333.50684931506851</v>
      </c>
      <c r="O955" s="3"/>
      <c r="P955" s="70" t="s">
        <v>18612</v>
      </c>
      <c r="Q955" s="2" t="s">
        <v>103</v>
      </c>
      <c r="R955" s="2" t="s">
        <v>3098</v>
      </c>
      <c r="T955" t="s">
        <v>18666</v>
      </c>
      <c r="U955" t="s">
        <v>18652</v>
      </c>
      <c r="V955" s="104">
        <v>45857</v>
      </c>
      <c r="X955" s="97"/>
      <c r="Y955" s="75">
        <v>333.51</v>
      </c>
    </row>
    <row r="956" spans="1:25" x14ac:dyDescent="0.25">
      <c r="A956" s="76">
        <v>987</v>
      </c>
      <c r="B956" s="2" t="s">
        <v>17587</v>
      </c>
      <c r="C956" s="2" t="s">
        <v>17588</v>
      </c>
      <c r="D956" s="2" t="s">
        <v>17589</v>
      </c>
      <c r="E956" s="2" t="s">
        <v>17590</v>
      </c>
      <c r="F956" s="2" t="s">
        <v>17591</v>
      </c>
      <c r="G956" s="2" t="s">
        <v>158</v>
      </c>
      <c r="H956" s="17">
        <v>25</v>
      </c>
      <c r="I956" s="31">
        <f t="shared" si="96"/>
        <v>25000</v>
      </c>
      <c r="J956" s="31">
        <f t="shared" si="97"/>
        <v>1750.0000000000002</v>
      </c>
      <c r="K956" s="44">
        <f t="shared" si="98"/>
        <v>4.794520547945206</v>
      </c>
      <c r="L956" s="3">
        <f t="shared" si="99"/>
        <v>354.79452054794524</v>
      </c>
      <c r="M956" s="3">
        <f t="shared" si="100"/>
        <v>21.287671232876715</v>
      </c>
      <c r="N956" s="67">
        <f t="shared" si="101"/>
        <v>333.50684931506851</v>
      </c>
      <c r="O956" s="3"/>
      <c r="P956" s="70" t="s">
        <v>18612</v>
      </c>
      <c r="Q956" s="2" t="s">
        <v>103</v>
      </c>
      <c r="R956" s="2" t="s">
        <v>17592</v>
      </c>
      <c r="T956" t="s">
        <v>18666</v>
      </c>
      <c r="U956" t="s">
        <v>18652</v>
      </c>
      <c r="V956" s="104">
        <v>45857</v>
      </c>
      <c r="X956" s="97"/>
      <c r="Y956" s="75">
        <v>333.51</v>
      </c>
    </row>
    <row r="957" spans="1:25" x14ac:dyDescent="0.25">
      <c r="A957" s="76">
        <v>988</v>
      </c>
      <c r="B957" s="2" t="s">
        <v>4268</v>
      </c>
      <c r="C957" s="2" t="s">
        <v>4269</v>
      </c>
      <c r="D957" s="2" t="s">
        <v>4270</v>
      </c>
      <c r="E957" s="2" t="s">
        <v>4271</v>
      </c>
      <c r="F957" s="2" t="s">
        <v>4272</v>
      </c>
      <c r="G957" s="2" t="s">
        <v>226</v>
      </c>
      <c r="H957" s="17">
        <v>25</v>
      </c>
      <c r="I957" s="31">
        <f t="shared" si="96"/>
        <v>25000</v>
      </c>
      <c r="J957" s="31">
        <f t="shared" si="97"/>
        <v>1750.0000000000002</v>
      </c>
      <c r="K957" s="44">
        <f t="shared" si="98"/>
        <v>4.794520547945206</v>
      </c>
      <c r="L957" s="3">
        <f t="shared" si="99"/>
        <v>354.79452054794524</v>
      </c>
      <c r="M957" s="3">
        <f t="shared" si="100"/>
        <v>21.287671232876715</v>
      </c>
      <c r="N957" s="67">
        <f t="shared" si="101"/>
        <v>333.50684931506851</v>
      </c>
      <c r="O957" s="3"/>
      <c r="P957" s="70" t="s">
        <v>18612</v>
      </c>
      <c r="Q957" s="2" t="s">
        <v>103</v>
      </c>
      <c r="R957" s="2" t="s">
        <v>4273</v>
      </c>
      <c r="T957" t="s">
        <v>18666</v>
      </c>
      <c r="U957" t="s">
        <v>18652</v>
      </c>
      <c r="V957" s="104">
        <v>45857</v>
      </c>
      <c r="X957" s="97"/>
      <c r="Y957" s="75">
        <v>333.51</v>
      </c>
    </row>
    <row r="958" spans="1:25" x14ac:dyDescent="0.25">
      <c r="A958" s="76">
        <v>989</v>
      </c>
      <c r="B958" s="2" t="s">
        <v>8507</v>
      </c>
      <c r="C958" s="2" t="s">
        <v>8508</v>
      </c>
      <c r="D958" s="2" t="s">
        <v>8509</v>
      </c>
      <c r="E958" s="2" t="s">
        <v>8510</v>
      </c>
      <c r="F958" s="2" t="s">
        <v>8511</v>
      </c>
      <c r="G958" s="2" t="s">
        <v>282</v>
      </c>
      <c r="H958" s="17">
        <v>30</v>
      </c>
      <c r="I958" s="31">
        <f t="shared" si="96"/>
        <v>30000</v>
      </c>
      <c r="J958" s="31">
        <f t="shared" si="97"/>
        <v>2100</v>
      </c>
      <c r="K958" s="44">
        <f t="shared" si="98"/>
        <v>5.7534246575342465</v>
      </c>
      <c r="L958" s="3">
        <f t="shared" si="99"/>
        <v>425.75342465753425</v>
      </c>
      <c r="M958" s="3">
        <f t="shared" si="100"/>
        <v>25.545205479452054</v>
      </c>
      <c r="N958" s="67">
        <f t="shared" si="101"/>
        <v>400.20821917808217</v>
      </c>
      <c r="O958" s="3"/>
      <c r="P958" s="70" t="s">
        <v>18612</v>
      </c>
      <c r="Q958" s="2" t="s">
        <v>103</v>
      </c>
      <c r="R958" s="2" t="s">
        <v>8512</v>
      </c>
      <c r="T958" t="s">
        <v>18666</v>
      </c>
      <c r="U958" t="s">
        <v>18652</v>
      </c>
      <c r="V958" s="104">
        <v>45857</v>
      </c>
      <c r="X958" s="97"/>
      <c r="Y958" s="75">
        <v>400.21</v>
      </c>
    </row>
    <row r="959" spans="1:25" x14ac:dyDescent="0.25">
      <c r="A959" s="76">
        <v>990</v>
      </c>
      <c r="B959" s="2" t="s">
        <v>8489</v>
      </c>
      <c r="C959" s="2" t="s">
        <v>8490</v>
      </c>
      <c r="D959" s="2" t="s">
        <v>8491</v>
      </c>
      <c r="E959" s="2" t="s">
        <v>8492</v>
      </c>
      <c r="F959" s="2" t="s">
        <v>8493</v>
      </c>
      <c r="G959" s="2" t="s">
        <v>1104</v>
      </c>
      <c r="H959" s="17">
        <v>25</v>
      </c>
      <c r="I959" s="31">
        <f t="shared" si="96"/>
        <v>25000</v>
      </c>
      <c r="J959" s="31">
        <f t="shared" si="97"/>
        <v>1750.0000000000002</v>
      </c>
      <c r="K959" s="44">
        <f t="shared" si="98"/>
        <v>4.794520547945206</v>
      </c>
      <c r="L959" s="3">
        <f t="shared" si="99"/>
        <v>354.79452054794524</v>
      </c>
      <c r="M959" s="3">
        <f t="shared" si="100"/>
        <v>21.287671232876715</v>
      </c>
      <c r="N959" s="67">
        <f t="shared" si="101"/>
        <v>333.50684931506851</v>
      </c>
      <c r="O959" s="3"/>
      <c r="P959" s="70" t="s">
        <v>18612</v>
      </c>
      <c r="Q959" s="2" t="s">
        <v>103</v>
      </c>
      <c r="R959" s="2" t="s">
        <v>8494</v>
      </c>
      <c r="T959" t="s">
        <v>18666</v>
      </c>
      <c r="U959" t="s">
        <v>18652</v>
      </c>
      <c r="V959" s="104">
        <v>45857</v>
      </c>
      <c r="X959" s="97"/>
      <c r="Y959" s="75">
        <v>333.51</v>
      </c>
    </row>
    <row r="960" spans="1:25" x14ac:dyDescent="0.25">
      <c r="A960" s="76">
        <v>991</v>
      </c>
      <c r="B960" s="2" t="s">
        <v>17800</v>
      </c>
      <c r="C960" s="2" t="s">
        <v>17801</v>
      </c>
      <c r="D960" s="2" t="s">
        <v>17802</v>
      </c>
      <c r="E960" s="2" t="s">
        <v>17803</v>
      </c>
      <c r="F960" s="2" t="s">
        <v>17804</v>
      </c>
      <c r="G960" s="2" t="s">
        <v>381</v>
      </c>
      <c r="H960" s="17">
        <v>500</v>
      </c>
      <c r="I960" s="31">
        <f t="shared" si="96"/>
        <v>500000</v>
      </c>
      <c r="J960" s="31">
        <f t="shared" si="97"/>
        <v>35000</v>
      </c>
      <c r="K960" s="44">
        <f t="shared" si="98"/>
        <v>95.890410958904113</v>
      </c>
      <c r="L960" s="3">
        <f t="shared" si="99"/>
        <v>7095.8904109589039</v>
      </c>
      <c r="M960" s="3">
        <f t="shared" si="100"/>
        <v>425.7534246575342</v>
      </c>
      <c r="N960" s="67">
        <f t="shared" si="101"/>
        <v>6670.1369863013697</v>
      </c>
      <c r="O960" s="3"/>
      <c r="P960" s="70" t="s">
        <v>18612</v>
      </c>
      <c r="Q960" s="2" t="s">
        <v>103</v>
      </c>
      <c r="R960" s="2" t="s">
        <v>17805</v>
      </c>
      <c r="T960" t="s">
        <v>18666</v>
      </c>
      <c r="U960" t="s">
        <v>18652</v>
      </c>
      <c r="V960" s="104">
        <v>45857</v>
      </c>
      <c r="X960" s="97"/>
      <c r="Y960" s="75">
        <v>6670.14</v>
      </c>
    </row>
    <row r="961" spans="1:25" x14ac:dyDescent="0.25">
      <c r="A961" s="76">
        <v>992</v>
      </c>
      <c r="B961" s="2" t="s">
        <v>17195</v>
      </c>
      <c r="C961" s="2" t="s">
        <v>17196</v>
      </c>
      <c r="D961" s="2" t="s">
        <v>17197</v>
      </c>
      <c r="E961" s="2" t="s">
        <v>17198</v>
      </c>
      <c r="F961" s="2" t="s">
        <v>17199</v>
      </c>
      <c r="G961" s="2" t="s">
        <v>587</v>
      </c>
      <c r="H961" s="17">
        <v>50</v>
      </c>
      <c r="I961" s="31">
        <f t="shared" si="96"/>
        <v>50000</v>
      </c>
      <c r="J961" s="31">
        <f t="shared" si="97"/>
        <v>3500.0000000000005</v>
      </c>
      <c r="K961" s="44">
        <f t="shared" si="98"/>
        <v>9.589041095890412</v>
      </c>
      <c r="L961" s="3">
        <f t="shared" si="99"/>
        <v>709.58904109589048</v>
      </c>
      <c r="M961" s="3">
        <f t="shared" si="100"/>
        <v>42.57534246575343</v>
      </c>
      <c r="N961" s="67">
        <f t="shared" si="101"/>
        <v>667.01369863013701</v>
      </c>
      <c r="O961" s="3"/>
      <c r="P961" s="70" t="s">
        <v>18612</v>
      </c>
      <c r="Q961" s="2" t="s">
        <v>103</v>
      </c>
      <c r="R961" s="2" t="s">
        <v>17200</v>
      </c>
      <c r="T961" t="s">
        <v>18666</v>
      </c>
      <c r="U961" t="s">
        <v>18652</v>
      </c>
      <c r="V961" s="104">
        <v>45857</v>
      </c>
      <c r="X961" s="97"/>
      <c r="Y961" s="75">
        <v>667.02</v>
      </c>
    </row>
    <row r="962" spans="1:25" x14ac:dyDescent="0.25">
      <c r="A962" s="76">
        <v>993</v>
      </c>
      <c r="B962" s="2" t="s">
        <v>2488</v>
      </c>
      <c r="C962" s="2" t="s">
        <v>2489</v>
      </c>
      <c r="D962" s="2" t="s">
        <v>2490</v>
      </c>
      <c r="E962" s="2" t="s">
        <v>2491</v>
      </c>
      <c r="F962" s="2" t="s">
        <v>2492</v>
      </c>
      <c r="G962" s="2" t="s">
        <v>101</v>
      </c>
      <c r="H962" s="17">
        <v>30</v>
      </c>
      <c r="I962" s="31">
        <f t="shared" si="96"/>
        <v>30000</v>
      </c>
      <c r="J962" s="31">
        <f t="shared" si="97"/>
        <v>2100</v>
      </c>
      <c r="K962" s="44">
        <f t="shared" si="98"/>
        <v>5.7534246575342465</v>
      </c>
      <c r="L962" s="3">
        <f t="shared" si="99"/>
        <v>425.75342465753425</v>
      </c>
      <c r="M962" s="3">
        <f t="shared" si="100"/>
        <v>25.545205479452054</v>
      </c>
      <c r="N962" s="67">
        <f t="shared" si="101"/>
        <v>400.20821917808217</v>
      </c>
      <c r="O962" s="3"/>
      <c r="P962" s="70" t="s">
        <v>18612</v>
      </c>
      <c r="Q962" s="2" t="s">
        <v>103</v>
      </c>
      <c r="R962" s="2" t="s">
        <v>2493</v>
      </c>
      <c r="T962" t="s">
        <v>18666</v>
      </c>
      <c r="U962" t="s">
        <v>18652</v>
      </c>
      <c r="V962" s="104">
        <v>45857</v>
      </c>
      <c r="X962" s="97"/>
      <c r="Y962" s="75">
        <v>400.21</v>
      </c>
    </row>
    <row r="963" spans="1:25" x14ac:dyDescent="0.25">
      <c r="A963" s="76">
        <v>994</v>
      </c>
      <c r="B963" s="2" t="s">
        <v>6990</v>
      </c>
      <c r="C963" s="2" t="s">
        <v>6991</v>
      </c>
      <c r="D963" s="2" t="s">
        <v>6992</v>
      </c>
      <c r="E963" s="2" t="s">
        <v>5359</v>
      </c>
      <c r="F963" s="2" t="s">
        <v>6993</v>
      </c>
      <c r="G963" s="2" t="s">
        <v>23</v>
      </c>
      <c r="H963" s="17">
        <v>25</v>
      </c>
      <c r="I963" s="31">
        <f t="shared" si="96"/>
        <v>25000</v>
      </c>
      <c r="J963" s="31">
        <f t="shared" si="97"/>
        <v>1750.0000000000002</v>
      </c>
      <c r="K963" s="44">
        <f t="shared" si="98"/>
        <v>4.794520547945206</v>
      </c>
      <c r="L963" s="3">
        <f t="shared" si="99"/>
        <v>354.79452054794524</v>
      </c>
      <c r="M963" s="3">
        <f t="shared" si="100"/>
        <v>21.287671232876715</v>
      </c>
      <c r="N963" s="67">
        <f t="shared" si="101"/>
        <v>333.50684931506851</v>
      </c>
      <c r="O963" s="3"/>
      <c r="P963" s="70" t="s">
        <v>18612</v>
      </c>
      <c r="Q963" s="2" t="s">
        <v>103</v>
      </c>
      <c r="R963" s="2" t="s">
        <v>6994</v>
      </c>
      <c r="T963" t="s">
        <v>18666</v>
      </c>
      <c r="U963" t="s">
        <v>18652</v>
      </c>
      <c r="V963" s="104">
        <v>45857</v>
      </c>
      <c r="X963" s="97"/>
      <c r="Y963" s="75">
        <v>333.51</v>
      </c>
    </row>
    <row r="964" spans="1:25" x14ac:dyDescent="0.25">
      <c r="A964" s="76">
        <v>995</v>
      </c>
      <c r="B964" s="2" t="s">
        <v>5356</v>
      </c>
      <c r="C964" s="2" t="s">
        <v>5357</v>
      </c>
      <c r="D964" s="2" t="s">
        <v>5358</v>
      </c>
      <c r="E964" s="2" t="s">
        <v>5359</v>
      </c>
      <c r="F964" s="2" t="s">
        <v>5360</v>
      </c>
      <c r="G964" s="2" t="s">
        <v>23</v>
      </c>
      <c r="H964" s="17">
        <v>25</v>
      </c>
      <c r="I964" s="31">
        <f t="shared" si="96"/>
        <v>25000</v>
      </c>
      <c r="J964" s="31">
        <f t="shared" si="97"/>
        <v>1750.0000000000002</v>
      </c>
      <c r="K964" s="44">
        <f t="shared" si="98"/>
        <v>4.794520547945206</v>
      </c>
      <c r="L964" s="3">
        <f t="shared" si="99"/>
        <v>354.79452054794524</v>
      </c>
      <c r="M964" s="3">
        <f t="shared" si="100"/>
        <v>21.287671232876715</v>
      </c>
      <c r="N964" s="67">
        <f t="shared" si="101"/>
        <v>333.50684931506851</v>
      </c>
      <c r="O964" s="3"/>
      <c r="P964" s="70" t="s">
        <v>18612</v>
      </c>
      <c r="Q964" s="2" t="s">
        <v>103</v>
      </c>
      <c r="R964" s="2" t="s">
        <v>5361</v>
      </c>
      <c r="T964" t="s">
        <v>18666</v>
      </c>
      <c r="U964" t="s">
        <v>18652</v>
      </c>
      <c r="V964" s="104">
        <v>45857</v>
      </c>
      <c r="X964" s="97"/>
      <c r="Y964" s="75">
        <v>333.51</v>
      </c>
    </row>
    <row r="965" spans="1:25" x14ac:dyDescent="0.25">
      <c r="A965" s="76">
        <v>996</v>
      </c>
      <c r="B965" s="2" t="s">
        <v>10213</v>
      </c>
      <c r="C965" s="2" t="s">
        <v>10214</v>
      </c>
      <c r="D965" s="2" t="s">
        <v>10215</v>
      </c>
      <c r="E965" s="2" t="s">
        <v>10216</v>
      </c>
      <c r="F965" s="2" t="s">
        <v>10217</v>
      </c>
      <c r="G965" s="2" t="s">
        <v>74</v>
      </c>
      <c r="H965" s="17">
        <v>50</v>
      </c>
      <c r="I965" s="31">
        <f t="shared" si="96"/>
        <v>50000</v>
      </c>
      <c r="J965" s="31">
        <f t="shared" si="97"/>
        <v>3500.0000000000005</v>
      </c>
      <c r="K965" s="44">
        <f t="shared" si="98"/>
        <v>9.589041095890412</v>
      </c>
      <c r="L965" s="3">
        <f t="shared" si="99"/>
        <v>709.58904109589048</v>
      </c>
      <c r="M965" s="3">
        <f t="shared" si="100"/>
        <v>42.57534246575343</v>
      </c>
      <c r="N965" s="67">
        <f t="shared" si="101"/>
        <v>667.01369863013701</v>
      </c>
      <c r="O965" s="3"/>
      <c r="P965" s="70" t="s">
        <v>18612</v>
      </c>
      <c r="Q965" s="2" t="s">
        <v>103</v>
      </c>
      <c r="R965" s="2" t="s">
        <v>10218</v>
      </c>
      <c r="T965" t="s">
        <v>18666</v>
      </c>
      <c r="U965" t="s">
        <v>18652</v>
      </c>
      <c r="V965" s="104">
        <v>45857</v>
      </c>
      <c r="X965" s="97"/>
      <c r="Y965" s="75">
        <v>667.02</v>
      </c>
    </row>
    <row r="966" spans="1:25" x14ac:dyDescent="0.25">
      <c r="A966" s="76">
        <v>997</v>
      </c>
      <c r="B966" s="2" t="s">
        <v>13926</v>
      </c>
      <c r="C966" s="2" t="s">
        <v>13927</v>
      </c>
      <c r="D966" s="2" t="s">
        <v>13928</v>
      </c>
      <c r="E966" s="2" t="s">
        <v>13929</v>
      </c>
      <c r="F966" s="2" t="s">
        <v>13930</v>
      </c>
      <c r="G966" s="2" t="s">
        <v>39</v>
      </c>
      <c r="H966" s="17">
        <v>25</v>
      </c>
      <c r="I966" s="31">
        <f t="shared" si="96"/>
        <v>25000</v>
      </c>
      <c r="J966" s="31">
        <f t="shared" si="97"/>
        <v>1750.0000000000002</v>
      </c>
      <c r="K966" s="44">
        <f t="shared" si="98"/>
        <v>4.794520547945206</v>
      </c>
      <c r="L966" s="3">
        <f t="shared" si="99"/>
        <v>354.79452054794524</v>
      </c>
      <c r="M966" s="3">
        <f t="shared" si="100"/>
        <v>21.287671232876715</v>
      </c>
      <c r="N966" s="67">
        <f t="shared" si="101"/>
        <v>333.50684931506851</v>
      </c>
      <c r="O966" s="3"/>
      <c r="P966" s="70" t="s">
        <v>18612</v>
      </c>
      <c r="Q966" s="2" t="s">
        <v>103</v>
      </c>
      <c r="R966" s="2" t="s">
        <v>13931</v>
      </c>
      <c r="T966" t="s">
        <v>18666</v>
      </c>
      <c r="U966" t="s">
        <v>18652</v>
      </c>
      <c r="V966" s="104">
        <v>45857</v>
      </c>
      <c r="X966" s="97"/>
      <c r="Y966" s="75">
        <v>333.51</v>
      </c>
    </row>
    <row r="967" spans="1:25" x14ac:dyDescent="0.25">
      <c r="A967" s="76">
        <v>998</v>
      </c>
      <c r="B967" s="2" t="s">
        <v>14781</v>
      </c>
      <c r="C967" s="2" t="s">
        <v>14782</v>
      </c>
      <c r="D967" s="2" t="s">
        <v>14783</v>
      </c>
      <c r="E967" s="2" t="s">
        <v>14784</v>
      </c>
      <c r="F967" s="2" t="s">
        <v>14785</v>
      </c>
      <c r="G967" s="2" t="s">
        <v>412</v>
      </c>
      <c r="H967" s="17">
        <v>25</v>
      </c>
      <c r="I967" s="31">
        <f t="shared" si="96"/>
        <v>25000</v>
      </c>
      <c r="J967" s="31">
        <f t="shared" si="97"/>
        <v>1750.0000000000002</v>
      </c>
      <c r="K967" s="44">
        <f t="shared" si="98"/>
        <v>4.794520547945206</v>
      </c>
      <c r="L967" s="3">
        <f t="shared" si="99"/>
        <v>354.79452054794524</v>
      </c>
      <c r="M967" s="3">
        <f t="shared" si="100"/>
        <v>21.287671232876715</v>
      </c>
      <c r="N967" s="67">
        <f t="shared" si="101"/>
        <v>333.50684931506851</v>
      </c>
      <c r="O967" s="3"/>
      <c r="P967" s="70" t="s">
        <v>18612</v>
      </c>
      <c r="Q967" s="2" t="s">
        <v>103</v>
      </c>
      <c r="R967" s="2" t="s">
        <v>14786</v>
      </c>
      <c r="T967" t="s">
        <v>18666</v>
      </c>
      <c r="U967" t="s">
        <v>18652</v>
      </c>
      <c r="V967" s="104">
        <v>45857</v>
      </c>
      <c r="X967" s="97"/>
      <c r="Y967" s="75">
        <v>333.51</v>
      </c>
    </row>
    <row r="968" spans="1:25" x14ac:dyDescent="0.25">
      <c r="A968" s="76">
        <v>999</v>
      </c>
      <c r="B968" s="2" t="s">
        <v>15491</v>
      </c>
      <c r="C968" s="2" t="s">
        <v>15492</v>
      </c>
      <c r="D968" s="2" t="s">
        <v>15493</v>
      </c>
      <c r="E968" s="2" t="s">
        <v>15494</v>
      </c>
      <c r="F968" s="2" t="s">
        <v>15495</v>
      </c>
      <c r="G968" s="2" t="s">
        <v>750</v>
      </c>
      <c r="H968" s="17">
        <v>25</v>
      </c>
      <c r="I968" s="31">
        <f t="shared" si="96"/>
        <v>25000</v>
      </c>
      <c r="J968" s="31">
        <f t="shared" si="97"/>
        <v>1750.0000000000002</v>
      </c>
      <c r="K968" s="44">
        <f t="shared" si="98"/>
        <v>4.794520547945206</v>
      </c>
      <c r="L968" s="3">
        <f t="shared" si="99"/>
        <v>354.79452054794524</v>
      </c>
      <c r="M968" s="3">
        <f t="shared" si="100"/>
        <v>21.287671232876715</v>
      </c>
      <c r="N968" s="67">
        <f t="shared" si="101"/>
        <v>333.50684931506851</v>
      </c>
      <c r="O968" s="3"/>
      <c r="P968" s="70" t="s">
        <v>18612</v>
      </c>
      <c r="Q968" s="2" t="s">
        <v>103</v>
      </c>
      <c r="R968" s="2" t="s">
        <v>15496</v>
      </c>
      <c r="T968" t="s">
        <v>18666</v>
      </c>
      <c r="U968" t="s">
        <v>18652</v>
      </c>
      <c r="V968" s="104">
        <v>45857</v>
      </c>
      <c r="X968" s="97"/>
      <c r="Y968" s="75">
        <v>333.51</v>
      </c>
    </row>
    <row r="969" spans="1:25" x14ac:dyDescent="0.25">
      <c r="A969" s="76">
        <v>1000</v>
      </c>
      <c r="B969" s="2" t="s">
        <v>1226</v>
      </c>
      <c r="C969" s="2" t="s">
        <v>1227</v>
      </c>
      <c r="D969" s="2" t="s">
        <v>1228</v>
      </c>
      <c r="E969" s="2" t="s">
        <v>1229</v>
      </c>
      <c r="F969" s="2" t="s">
        <v>1230</v>
      </c>
      <c r="G969" s="2" t="s">
        <v>580</v>
      </c>
      <c r="H969" s="17">
        <v>25</v>
      </c>
      <c r="I969" s="31">
        <f t="shared" si="96"/>
        <v>25000</v>
      </c>
      <c r="J969" s="31">
        <f t="shared" si="97"/>
        <v>1750.0000000000002</v>
      </c>
      <c r="K969" s="44">
        <f t="shared" si="98"/>
        <v>4.794520547945206</v>
      </c>
      <c r="L969" s="3">
        <f t="shared" si="99"/>
        <v>354.79452054794524</v>
      </c>
      <c r="M969" s="3">
        <f t="shared" si="100"/>
        <v>21.287671232876715</v>
      </c>
      <c r="N969" s="67">
        <f t="shared" si="101"/>
        <v>333.50684931506851</v>
      </c>
      <c r="O969" s="3"/>
      <c r="P969" s="70" t="s">
        <v>18612</v>
      </c>
      <c r="Q969" s="2" t="s">
        <v>103</v>
      </c>
      <c r="R969" s="2" t="s">
        <v>1231</v>
      </c>
      <c r="T969" t="s">
        <v>18666</v>
      </c>
      <c r="U969" t="s">
        <v>18652</v>
      </c>
      <c r="V969" s="104">
        <v>45857</v>
      </c>
      <c r="X969" s="97"/>
      <c r="Y969" s="75">
        <v>333.51</v>
      </c>
    </row>
    <row r="970" spans="1:25" x14ac:dyDescent="0.25">
      <c r="A970" s="76">
        <v>1001</v>
      </c>
      <c r="B970" s="2" t="s">
        <v>2078</v>
      </c>
      <c r="C970" s="2" t="s">
        <v>2079</v>
      </c>
      <c r="D970" s="2" t="s">
        <v>2080</v>
      </c>
      <c r="E970" s="2" t="s">
        <v>2081</v>
      </c>
      <c r="F970" s="2" t="s">
        <v>2082</v>
      </c>
      <c r="G970" s="2" t="s">
        <v>186</v>
      </c>
      <c r="H970" s="17">
        <v>25</v>
      </c>
      <c r="I970" s="31">
        <f t="shared" si="96"/>
        <v>25000</v>
      </c>
      <c r="J970" s="31">
        <f t="shared" si="97"/>
        <v>1750.0000000000002</v>
      </c>
      <c r="K970" s="44">
        <f t="shared" si="98"/>
        <v>4.794520547945206</v>
      </c>
      <c r="L970" s="3">
        <f t="shared" si="99"/>
        <v>354.79452054794524</v>
      </c>
      <c r="M970" s="3">
        <f t="shared" si="100"/>
        <v>21.287671232876715</v>
      </c>
      <c r="N970" s="67">
        <f t="shared" si="101"/>
        <v>333.50684931506851</v>
      </c>
      <c r="O970" s="3"/>
      <c r="P970" s="70" t="s">
        <v>18612</v>
      </c>
      <c r="Q970" s="2" t="s">
        <v>103</v>
      </c>
      <c r="R970" s="2" t="s">
        <v>2083</v>
      </c>
      <c r="T970" t="s">
        <v>18666</v>
      </c>
      <c r="U970" t="s">
        <v>18652</v>
      </c>
      <c r="V970" s="104">
        <v>45857</v>
      </c>
      <c r="X970" s="97"/>
      <c r="Y970" s="75">
        <v>333.51</v>
      </c>
    </row>
    <row r="971" spans="1:25" x14ac:dyDescent="0.25">
      <c r="A971" s="76">
        <v>1002</v>
      </c>
      <c r="B971" s="2" t="s">
        <v>10165</v>
      </c>
      <c r="C971" s="2" t="s">
        <v>10166</v>
      </c>
      <c r="D971" s="2" t="s">
        <v>10167</v>
      </c>
      <c r="E971" s="2" t="s">
        <v>10168</v>
      </c>
      <c r="F971" s="2" t="s">
        <v>10169</v>
      </c>
      <c r="G971" s="2" t="s">
        <v>618</v>
      </c>
      <c r="H971" s="17">
        <v>50</v>
      </c>
      <c r="I971" s="31">
        <f t="shared" si="96"/>
        <v>50000</v>
      </c>
      <c r="J971" s="31">
        <f t="shared" si="97"/>
        <v>3500.0000000000005</v>
      </c>
      <c r="K971" s="44">
        <f t="shared" si="98"/>
        <v>9.589041095890412</v>
      </c>
      <c r="L971" s="3">
        <f t="shared" si="99"/>
        <v>709.58904109589048</v>
      </c>
      <c r="M971" s="3">
        <f t="shared" si="100"/>
        <v>42.57534246575343</v>
      </c>
      <c r="N971" s="67">
        <f t="shared" si="101"/>
        <v>667.01369863013701</v>
      </c>
      <c r="O971" s="3"/>
      <c r="P971" s="70" t="s">
        <v>18612</v>
      </c>
      <c r="Q971" s="2" t="s">
        <v>103</v>
      </c>
      <c r="R971" s="2" t="s">
        <v>10170</v>
      </c>
      <c r="T971" t="s">
        <v>18666</v>
      </c>
      <c r="U971" t="s">
        <v>18652</v>
      </c>
      <c r="V971" s="104">
        <v>45857</v>
      </c>
      <c r="X971" s="97"/>
      <c r="Y971" s="75">
        <v>667.02</v>
      </c>
    </row>
    <row r="972" spans="1:25" x14ac:dyDescent="0.25">
      <c r="A972" s="76">
        <v>1003</v>
      </c>
      <c r="B972" s="2" t="s">
        <v>7490</v>
      </c>
      <c r="C972" s="2" t="s">
        <v>7491</v>
      </c>
      <c r="D972" s="2" t="s">
        <v>3005</v>
      </c>
      <c r="E972" s="2" t="s">
        <v>7492</v>
      </c>
      <c r="F972" s="2" t="s">
        <v>7493</v>
      </c>
      <c r="G972" s="2" t="s">
        <v>144</v>
      </c>
      <c r="H972" s="17">
        <v>50</v>
      </c>
      <c r="I972" s="31">
        <f t="shared" si="96"/>
        <v>50000</v>
      </c>
      <c r="J972" s="31">
        <f t="shared" si="97"/>
        <v>3500.0000000000005</v>
      </c>
      <c r="K972" s="44">
        <f t="shared" si="98"/>
        <v>9.589041095890412</v>
      </c>
      <c r="L972" s="3">
        <f t="shared" si="99"/>
        <v>709.58904109589048</v>
      </c>
      <c r="M972" s="3">
        <f t="shared" si="100"/>
        <v>42.57534246575343</v>
      </c>
      <c r="N972" s="67">
        <f t="shared" si="101"/>
        <v>667.01369863013701</v>
      </c>
      <c r="O972" s="3"/>
      <c r="P972" s="70" t="s">
        <v>18612</v>
      </c>
      <c r="Q972" s="2" t="s">
        <v>103</v>
      </c>
      <c r="R972" s="2" t="s">
        <v>7494</v>
      </c>
      <c r="T972" t="s">
        <v>18666</v>
      </c>
      <c r="U972" t="s">
        <v>18652</v>
      </c>
      <c r="V972" s="104">
        <v>45857</v>
      </c>
      <c r="X972" s="97"/>
      <c r="Y972" s="75">
        <v>667.02</v>
      </c>
    </row>
    <row r="973" spans="1:25" x14ac:dyDescent="0.25">
      <c r="A973" s="76">
        <v>1004</v>
      </c>
      <c r="B973" s="2" t="s">
        <v>15896</v>
      </c>
      <c r="C973" s="2" t="s">
        <v>15897</v>
      </c>
      <c r="D973" s="2" t="s">
        <v>8867</v>
      </c>
      <c r="E973" s="2" t="s">
        <v>15898</v>
      </c>
      <c r="F973" s="2" t="s">
        <v>15899</v>
      </c>
      <c r="G973" s="2" t="s">
        <v>151</v>
      </c>
      <c r="H973" s="17">
        <v>25</v>
      </c>
      <c r="I973" s="31">
        <f t="shared" si="96"/>
        <v>25000</v>
      </c>
      <c r="J973" s="31">
        <f t="shared" si="97"/>
        <v>1750.0000000000002</v>
      </c>
      <c r="K973" s="44">
        <f t="shared" si="98"/>
        <v>4.794520547945206</v>
      </c>
      <c r="L973" s="3">
        <f t="shared" si="99"/>
        <v>354.79452054794524</v>
      </c>
      <c r="M973" s="3">
        <f t="shared" si="100"/>
        <v>21.287671232876715</v>
      </c>
      <c r="N973" s="67">
        <f t="shared" si="101"/>
        <v>333.50684931506851</v>
      </c>
      <c r="O973" s="3"/>
      <c r="P973" s="70" t="s">
        <v>18612</v>
      </c>
      <c r="Q973" s="2" t="s">
        <v>103</v>
      </c>
      <c r="R973" s="2" t="s">
        <v>15900</v>
      </c>
      <c r="T973" t="s">
        <v>18666</v>
      </c>
      <c r="U973" t="s">
        <v>18652</v>
      </c>
      <c r="V973" s="104">
        <v>45857</v>
      </c>
      <c r="X973" s="97"/>
      <c r="Y973" s="75">
        <v>333.51</v>
      </c>
    </row>
    <row r="974" spans="1:25" x14ac:dyDescent="0.25">
      <c r="A974" s="76">
        <v>1005</v>
      </c>
      <c r="B974" s="2" t="s">
        <v>3590</v>
      </c>
      <c r="C974" s="2" t="s">
        <v>3591</v>
      </c>
      <c r="D974" s="2" t="s">
        <v>3592</v>
      </c>
      <c r="E974" s="2" t="s">
        <v>3593</v>
      </c>
      <c r="F974" s="2" t="s">
        <v>3594</v>
      </c>
      <c r="G974" s="2" t="s">
        <v>718</v>
      </c>
      <c r="H974" s="17">
        <v>25</v>
      </c>
      <c r="I974" s="31">
        <f t="shared" si="96"/>
        <v>25000</v>
      </c>
      <c r="J974" s="31">
        <f t="shared" si="97"/>
        <v>1750.0000000000002</v>
      </c>
      <c r="K974" s="44">
        <f t="shared" si="98"/>
        <v>4.794520547945206</v>
      </c>
      <c r="L974" s="3">
        <f t="shared" si="99"/>
        <v>354.79452054794524</v>
      </c>
      <c r="M974" s="3">
        <f t="shared" si="100"/>
        <v>21.287671232876715</v>
      </c>
      <c r="N974" s="67">
        <f t="shared" si="101"/>
        <v>333.50684931506851</v>
      </c>
      <c r="O974" s="3"/>
      <c r="P974" s="70" t="s">
        <v>18612</v>
      </c>
      <c r="Q974" s="2" t="s">
        <v>103</v>
      </c>
      <c r="R974" s="2" t="s">
        <v>3595</v>
      </c>
      <c r="T974" t="s">
        <v>18666</v>
      </c>
      <c r="U974" t="s">
        <v>18652</v>
      </c>
      <c r="V974" s="104">
        <v>45857</v>
      </c>
      <c r="X974" s="97"/>
      <c r="Y974" s="75">
        <v>333.51</v>
      </c>
    </row>
    <row r="975" spans="1:25" x14ac:dyDescent="0.25">
      <c r="A975" s="76">
        <v>1006</v>
      </c>
      <c r="B975" s="2" t="s">
        <v>6602</v>
      </c>
      <c r="C975" s="2" t="s">
        <v>6603</v>
      </c>
      <c r="D975" s="2" t="s">
        <v>6604</v>
      </c>
      <c r="E975" s="2" t="s">
        <v>6605</v>
      </c>
      <c r="F975" s="2" t="s">
        <v>6606</v>
      </c>
      <c r="G975" s="2" t="s">
        <v>599</v>
      </c>
      <c r="H975" s="17">
        <v>25</v>
      </c>
      <c r="I975" s="31">
        <f t="shared" si="96"/>
        <v>25000</v>
      </c>
      <c r="J975" s="31">
        <f t="shared" si="97"/>
        <v>1750.0000000000002</v>
      </c>
      <c r="K975" s="44">
        <f t="shared" si="98"/>
        <v>4.794520547945206</v>
      </c>
      <c r="L975" s="3">
        <f t="shared" si="99"/>
        <v>354.79452054794524</v>
      </c>
      <c r="M975" s="3">
        <f t="shared" si="100"/>
        <v>21.287671232876715</v>
      </c>
      <c r="N975" s="67">
        <f t="shared" si="101"/>
        <v>333.50684931506851</v>
      </c>
      <c r="O975" s="3"/>
      <c r="P975" s="70" t="s">
        <v>18612</v>
      </c>
      <c r="Q975" s="2" t="s">
        <v>103</v>
      </c>
      <c r="R975" s="2" t="s">
        <v>6607</v>
      </c>
      <c r="T975" t="s">
        <v>18666</v>
      </c>
      <c r="U975" t="s">
        <v>18652</v>
      </c>
      <c r="V975" s="104">
        <v>45857</v>
      </c>
      <c r="X975" s="97"/>
      <c r="Y975" s="75">
        <v>333.51</v>
      </c>
    </row>
    <row r="976" spans="1:25" x14ac:dyDescent="0.25">
      <c r="A976" s="76">
        <v>1007</v>
      </c>
      <c r="B976" s="2" t="s">
        <v>3626</v>
      </c>
      <c r="C976" s="2" t="s">
        <v>3627</v>
      </c>
      <c r="D976" s="2" t="s">
        <v>3628</v>
      </c>
      <c r="E976" s="2" t="s">
        <v>3629</v>
      </c>
      <c r="F976" s="2" t="s">
        <v>3630</v>
      </c>
      <c r="G976" s="2" t="s">
        <v>166</v>
      </c>
      <c r="H976" s="17">
        <v>50</v>
      </c>
      <c r="I976" s="31">
        <f t="shared" si="96"/>
        <v>50000</v>
      </c>
      <c r="J976" s="31">
        <f t="shared" si="97"/>
        <v>3500.0000000000005</v>
      </c>
      <c r="K976" s="44">
        <f t="shared" si="98"/>
        <v>9.589041095890412</v>
      </c>
      <c r="L976" s="3">
        <f t="shared" si="99"/>
        <v>709.58904109589048</v>
      </c>
      <c r="M976" s="3">
        <f t="shared" si="100"/>
        <v>42.57534246575343</v>
      </c>
      <c r="N976" s="67">
        <f t="shared" si="101"/>
        <v>667.01369863013701</v>
      </c>
      <c r="O976" s="3"/>
      <c r="P976" s="70" t="s">
        <v>18612</v>
      </c>
      <c r="Q976" s="2" t="s">
        <v>103</v>
      </c>
      <c r="R976" s="2" t="s">
        <v>3631</v>
      </c>
      <c r="T976" t="s">
        <v>18666</v>
      </c>
      <c r="U976" t="s">
        <v>18652</v>
      </c>
      <c r="V976" s="104">
        <v>45857</v>
      </c>
      <c r="X976" s="97"/>
      <c r="Y976" s="75">
        <v>667.02</v>
      </c>
    </row>
    <row r="977" spans="1:25" x14ac:dyDescent="0.25">
      <c r="A977" s="76">
        <v>1008</v>
      </c>
      <c r="B977" s="2" t="s">
        <v>13576</v>
      </c>
      <c r="C977" s="2" t="s">
        <v>6533</v>
      </c>
      <c r="D977" s="2" t="s">
        <v>13577</v>
      </c>
      <c r="E977" s="2" t="s">
        <v>13578</v>
      </c>
      <c r="F977" s="2" t="s">
        <v>13579</v>
      </c>
      <c r="G977" s="2" t="s">
        <v>939</v>
      </c>
      <c r="H977" s="17">
        <v>50</v>
      </c>
      <c r="I977" s="31">
        <f t="shared" si="96"/>
        <v>50000</v>
      </c>
      <c r="J977" s="31">
        <f t="shared" si="97"/>
        <v>3500.0000000000005</v>
      </c>
      <c r="K977" s="44">
        <f t="shared" si="98"/>
        <v>9.589041095890412</v>
      </c>
      <c r="L977" s="3">
        <f t="shared" si="99"/>
        <v>709.58904109589048</v>
      </c>
      <c r="M977" s="3">
        <f t="shared" si="100"/>
        <v>42.57534246575343</v>
      </c>
      <c r="N977" s="67">
        <f t="shared" si="101"/>
        <v>667.01369863013701</v>
      </c>
      <c r="O977" s="3"/>
      <c r="P977" s="70" t="s">
        <v>18612</v>
      </c>
      <c r="Q977" s="2" t="s">
        <v>103</v>
      </c>
      <c r="R977" s="2" t="s">
        <v>13580</v>
      </c>
      <c r="T977" t="s">
        <v>18666</v>
      </c>
      <c r="U977" t="s">
        <v>18652</v>
      </c>
      <c r="V977" s="104">
        <v>45857</v>
      </c>
      <c r="X977" s="97"/>
      <c r="Y977" s="75">
        <v>667.02</v>
      </c>
    </row>
    <row r="978" spans="1:25" x14ac:dyDescent="0.25">
      <c r="A978" s="76">
        <v>1009</v>
      </c>
      <c r="B978" s="2" t="s">
        <v>11073</v>
      </c>
      <c r="C978" s="2" t="s">
        <v>2753</v>
      </c>
      <c r="D978" s="2" t="s">
        <v>5282</v>
      </c>
      <c r="E978" s="2" t="s">
        <v>11074</v>
      </c>
      <c r="F978" s="2" t="s">
        <v>11075</v>
      </c>
      <c r="G978" s="2" t="s">
        <v>750</v>
      </c>
      <c r="H978" s="17">
        <v>25</v>
      </c>
      <c r="I978" s="31">
        <f t="shared" ref="I978:I1041" si="102">H978*1000</f>
        <v>25000</v>
      </c>
      <c r="J978" s="31">
        <f t="shared" ref="J978:J1041" si="103">I978*7%</f>
        <v>1750.0000000000002</v>
      </c>
      <c r="K978" s="44">
        <f t="shared" ref="K978:K1041" si="104">J978/365</f>
        <v>4.794520547945206</v>
      </c>
      <c r="L978" s="3">
        <f t="shared" ref="L978:L1041" si="105">K978*74</f>
        <v>354.79452054794524</v>
      </c>
      <c r="M978" s="3">
        <f t="shared" ref="M978:M1041" si="106">L978*6%</f>
        <v>21.287671232876715</v>
      </c>
      <c r="N978" s="67">
        <f t="shared" ref="N978:N1041" si="107">L978-M978</f>
        <v>333.50684931506851</v>
      </c>
      <c r="O978" s="3"/>
      <c r="P978" s="70" t="s">
        <v>18612</v>
      </c>
      <c r="Q978" s="2" t="s">
        <v>103</v>
      </c>
      <c r="R978" s="2" t="s">
        <v>11076</v>
      </c>
      <c r="T978" t="s">
        <v>18666</v>
      </c>
      <c r="U978" t="s">
        <v>18652</v>
      </c>
      <c r="V978" s="104">
        <v>45857</v>
      </c>
      <c r="X978" s="97"/>
      <c r="Y978" s="75">
        <v>333.51</v>
      </c>
    </row>
    <row r="979" spans="1:25" x14ac:dyDescent="0.25">
      <c r="A979" s="76">
        <v>1010</v>
      </c>
      <c r="B979" s="2" t="s">
        <v>2114</v>
      </c>
      <c r="C979" s="2" t="s">
        <v>2115</v>
      </c>
      <c r="D979" s="2" t="s">
        <v>2116</v>
      </c>
      <c r="E979" s="2" t="s">
        <v>2117</v>
      </c>
      <c r="F979" s="2" t="s">
        <v>2118</v>
      </c>
      <c r="G979" s="2" t="s">
        <v>31</v>
      </c>
      <c r="H979" s="17">
        <v>25</v>
      </c>
      <c r="I979" s="31">
        <f t="shared" si="102"/>
        <v>25000</v>
      </c>
      <c r="J979" s="31">
        <f t="shared" si="103"/>
        <v>1750.0000000000002</v>
      </c>
      <c r="K979" s="44">
        <f t="shared" si="104"/>
        <v>4.794520547945206</v>
      </c>
      <c r="L979" s="3">
        <f t="shared" si="105"/>
        <v>354.79452054794524</v>
      </c>
      <c r="M979" s="3">
        <f t="shared" si="106"/>
        <v>21.287671232876715</v>
      </c>
      <c r="N979" s="67">
        <f t="shared" si="107"/>
        <v>333.50684931506851</v>
      </c>
      <c r="O979" s="3"/>
      <c r="P979" s="70" t="s">
        <v>18612</v>
      </c>
      <c r="Q979" s="2" t="s">
        <v>103</v>
      </c>
      <c r="R979" s="2" t="s">
        <v>2119</v>
      </c>
      <c r="T979" t="s">
        <v>18666</v>
      </c>
      <c r="U979" t="s">
        <v>18652</v>
      </c>
      <c r="V979" s="104">
        <v>45857</v>
      </c>
      <c r="X979" s="97"/>
      <c r="Y979" s="75">
        <v>333.51</v>
      </c>
    </row>
    <row r="980" spans="1:25" x14ac:dyDescent="0.25">
      <c r="A980" s="76">
        <v>1011</v>
      </c>
      <c r="B980" s="2" t="s">
        <v>12739</v>
      </c>
      <c r="C980" s="2" t="s">
        <v>12740</v>
      </c>
      <c r="D980" s="2" t="s">
        <v>12741</v>
      </c>
      <c r="E980" s="2" t="s">
        <v>12742</v>
      </c>
      <c r="F980" s="2" t="s">
        <v>12743</v>
      </c>
      <c r="G980" s="2" t="s">
        <v>524</v>
      </c>
      <c r="H980" s="17">
        <v>75</v>
      </c>
      <c r="I980" s="31">
        <f t="shared" si="102"/>
        <v>75000</v>
      </c>
      <c r="J980" s="31">
        <f t="shared" si="103"/>
        <v>5250.0000000000009</v>
      </c>
      <c r="K980" s="44">
        <f t="shared" si="104"/>
        <v>14.38356164383562</v>
      </c>
      <c r="L980" s="3">
        <f t="shared" si="105"/>
        <v>1064.3835616438359</v>
      </c>
      <c r="M980" s="3">
        <f t="shared" si="106"/>
        <v>63.863013698630155</v>
      </c>
      <c r="N980" s="67">
        <f t="shared" si="107"/>
        <v>1000.5205479452057</v>
      </c>
      <c r="O980" s="3"/>
      <c r="P980" s="70" t="s">
        <v>18612</v>
      </c>
      <c r="Q980" s="2" t="s">
        <v>103</v>
      </c>
      <c r="R980" s="2" t="s">
        <v>12744</v>
      </c>
      <c r="T980" t="s">
        <v>18666</v>
      </c>
      <c r="U980" t="s">
        <v>18652</v>
      </c>
      <c r="V980" s="104">
        <v>45857</v>
      </c>
      <c r="X980" s="97"/>
      <c r="Y980" s="75">
        <v>1000.53</v>
      </c>
    </row>
    <row r="981" spans="1:25" x14ac:dyDescent="0.25">
      <c r="A981" s="76">
        <v>1012</v>
      </c>
      <c r="B981" s="2" t="s">
        <v>812</v>
      </c>
      <c r="C981" s="2" t="s">
        <v>813</v>
      </c>
      <c r="D981" s="2" t="s">
        <v>814</v>
      </c>
      <c r="E981" s="2" t="s">
        <v>815</v>
      </c>
      <c r="F981" s="2" t="s">
        <v>816</v>
      </c>
      <c r="G981" s="2" t="s">
        <v>31</v>
      </c>
      <c r="H981" s="17">
        <v>25</v>
      </c>
      <c r="I981" s="31">
        <f t="shared" si="102"/>
        <v>25000</v>
      </c>
      <c r="J981" s="31">
        <f t="shared" si="103"/>
        <v>1750.0000000000002</v>
      </c>
      <c r="K981" s="44">
        <f t="shared" si="104"/>
        <v>4.794520547945206</v>
      </c>
      <c r="L981" s="3">
        <f t="shared" si="105"/>
        <v>354.79452054794524</v>
      </c>
      <c r="M981" s="3">
        <f t="shared" si="106"/>
        <v>21.287671232876715</v>
      </c>
      <c r="N981" s="67">
        <f t="shared" si="107"/>
        <v>333.50684931506851</v>
      </c>
      <c r="O981" s="3"/>
      <c r="P981" s="70" t="s">
        <v>18612</v>
      </c>
      <c r="Q981" s="2" t="s">
        <v>103</v>
      </c>
      <c r="R981" s="2" t="s">
        <v>817</v>
      </c>
      <c r="T981" t="s">
        <v>18666</v>
      </c>
      <c r="U981" t="s">
        <v>18652</v>
      </c>
      <c r="V981" s="104">
        <v>45857</v>
      </c>
      <c r="X981" s="97"/>
      <c r="Y981" s="75">
        <v>333.51</v>
      </c>
    </row>
    <row r="982" spans="1:25" x14ac:dyDescent="0.25">
      <c r="A982" s="76">
        <v>1013</v>
      </c>
      <c r="B982" s="2" t="s">
        <v>2903</v>
      </c>
      <c r="C982" s="2" t="s">
        <v>2904</v>
      </c>
      <c r="D982" s="2" t="s">
        <v>2905</v>
      </c>
      <c r="E982" s="2" t="s">
        <v>2906</v>
      </c>
      <c r="F982" s="2" t="s">
        <v>2907</v>
      </c>
      <c r="G982" s="2" t="s">
        <v>31</v>
      </c>
      <c r="H982" s="17">
        <v>150</v>
      </c>
      <c r="I982" s="31">
        <f t="shared" si="102"/>
        <v>150000</v>
      </c>
      <c r="J982" s="31">
        <f t="shared" si="103"/>
        <v>10500.000000000002</v>
      </c>
      <c r="K982" s="44">
        <f t="shared" si="104"/>
        <v>28.767123287671239</v>
      </c>
      <c r="L982" s="3">
        <f t="shared" si="105"/>
        <v>2128.7671232876719</v>
      </c>
      <c r="M982" s="3">
        <f t="shared" si="106"/>
        <v>127.72602739726031</v>
      </c>
      <c r="N982" s="67">
        <f t="shared" si="107"/>
        <v>2001.0410958904115</v>
      </c>
      <c r="O982" s="3"/>
      <c r="P982" s="70" t="s">
        <v>18612</v>
      </c>
      <c r="Q982" s="2" t="s">
        <v>103</v>
      </c>
      <c r="R982" s="2" t="s">
        <v>2908</v>
      </c>
      <c r="T982" t="s">
        <v>18666</v>
      </c>
      <c r="U982" t="s">
        <v>18652</v>
      </c>
      <c r="V982" s="104">
        <v>45857</v>
      </c>
      <c r="X982" s="97"/>
      <c r="Y982" s="75">
        <v>2001.05</v>
      </c>
    </row>
    <row r="983" spans="1:25" x14ac:dyDescent="0.25">
      <c r="A983" s="76">
        <v>1014</v>
      </c>
      <c r="B983" s="2" t="s">
        <v>551</v>
      </c>
      <c r="C983" s="2" t="s">
        <v>552</v>
      </c>
      <c r="D983" s="2" t="s">
        <v>553</v>
      </c>
      <c r="E983" s="2" t="s">
        <v>554</v>
      </c>
      <c r="F983" s="2" t="s">
        <v>555</v>
      </c>
      <c r="G983" s="2" t="s">
        <v>31</v>
      </c>
      <c r="H983" s="17">
        <v>25</v>
      </c>
      <c r="I983" s="31">
        <f t="shared" si="102"/>
        <v>25000</v>
      </c>
      <c r="J983" s="31">
        <f t="shared" si="103"/>
        <v>1750.0000000000002</v>
      </c>
      <c r="K983" s="44">
        <f t="shared" si="104"/>
        <v>4.794520547945206</v>
      </c>
      <c r="L983" s="3">
        <f t="shared" si="105"/>
        <v>354.79452054794524</v>
      </c>
      <c r="M983" s="3">
        <f t="shared" si="106"/>
        <v>21.287671232876715</v>
      </c>
      <c r="N983" s="67">
        <f t="shared" si="107"/>
        <v>333.50684931506851</v>
      </c>
      <c r="O983" s="3"/>
      <c r="P983" s="70" t="s">
        <v>18612</v>
      </c>
      <c r="Q983" s="2" t="s">
        <v>103</v>
      </c>
      <c r="R983" s="2" t="s">
        <v>556</v>
      </c>
      <c r="T983" t="s">
        <v>18666</v>
      </c>
      <c r="U983" t="s">
        <v>18652</v>
      </c>
      <c r="V983" s="104">
        <v>45857</v>
      </c>
      <c r="X983" s="97"/>
      <c r="Y983" s="75">
        <v>333.51</v>
      </c>
    </row>
    <row r="984" spans="1:25" x14ac:dyDescent="0.25">
      <c r="A984" s="76">
        <v>1015</v>
      </c>
      <c r="B984" s="2" t="s">
        <v>12561</v>
      </c>
      <c r="C984" s="2" t="s">
        <v>12562</v>
      </c>
      <c r="D984" s="2" t="s">
        <v>12563</v>
      </c>
      <c r="E984" s="2" t="s">
        <v>12564</v>
      </c>
      <c r="F984" s="2" t="s">
        <v>12565</v>
      </c>
      <c r="G984" s="2" t="s">
        <v>233</v>
      </c>
      <c r="H984" s="17">
        <v>25</v>
      </c>
      <c r="I984" s="31">
        <f t="shared" si="102"/>
        <v>25000</v>
      </c>
      <c r="J984" s="31">
        <f t="shared" si="103"/>
        <v>1750.0000000000002</v>
      </c>
      <c r="K984" s="44">
        <f t="shared" si="104"/>
        <v>4.794520547945206</v>
      </c>
      <c r="L984" s="3">
        <f t="shared" si="105"/>
        <v>354.79452054794524</v>
      </c>
      <c r="M984" s="3">
        <f t="shared" si="106"/>
        <v>21.287671232876715</v>
      </c>
      <c r="N984" s="67">
        <f t="shared" si="107"/>
        <v>333.50684931506851</v>
      </c>
      <c r="O984" s="3"/>
      <c r="P984" s="70" t="s">
        <v>18612</v>
      </c>
      <c r="Q984" s="2" t="s">
        <v>103</v>
      </c>
      <c r="R984" s="2" t="s">
        <v>12566</v>
      </c>
      <c r="T984" t="s">
        <v>18666</v>
      </c>
      <c r="U984" t="s">
        <v>18652</v>
      </c>
      <c r="V984" s="104">
        <v>45857</v>
      </c>
      <c r="X984" s="97"/>
      <c r="Y984" s="75">
        <v>333.51</v>
      </c>
    </row>
    <row r="985" spans="1:25" x14ac:dyDescent="0.25">
      <c r="A985" s="76">
        <v>1016</v>
      </c>
      <c r="B985" s="2" t="s">
        <v>8332</v>
      </c>
      <c r="C985" s="2" t="s">
        <v>8333</v>
      </c>
      <c r="D985" s="2" t="s">
        <v>8334</v>
      </c>
      <c r="E985" s="2" t="s">
        <v>8335</v>
      </c>
      <c r="F985" s="2" t="s">
        <v>8336</v>
      </c>
      <c r="G985" s="2" t="s">
        <v>247</v>
      </c>
      <c r="H985" s="17">
        <v>200</v>
      </c>
      <c r="I985" s="31">
        <f t="shared" si="102"/>
        <v>200000</v>
      </c>
      <c r="J985" s="31">
        <f t="shared" si="103"/>
        <v>14000.000000000002</v>
      </c>
      <c r="K985" s="44">
        <f t="shared" si="104"/>
        <v>38.356164383561648</v>
      </c>
      <c r="L985" s="3">
        <f t="shared" si="105"/>
        <v>2838.3561643835619</v>
      </c>
      <c r="M985" s="3">
        <f t="shared" si="106"/>
        <v>170.30136986301372</v>
      </c>
      <c r="N985" s="67">
        <f t="shared" si="107"/>
        <v>2668.0547945205481</v>
      </c>
      <c r="O985" s="3"/>
      <c r="P985" s="70" t="s">
        <v>18612</v>
      </c>
      <c r="Q985" s="2" t="s">
        <v>103</v>
      </c>
      <c r="R985" s="2" t="s">
        <v>8337</v>
      </c>
      <c r="T985" t="s">
        <v>18666</v>
      </c>
      <c r="U985" t="s">
        <v>18652</v>
      </c>
      <c r="V985" s="104">
        <v>45857</v>
      </c>
      <c r="X985" s="97"/>
      <c r="Y985" s="75">
        <v>2668.0600000000004</v>
      </c>
    </row>
    <row r="986" spans="1:25" x14ac:dyDescent="0.25">
      <c r="A986" s="76">
        <v>1017</v>
      </c>
      <c r="B986" s="2" t="s">
        <v>5486</v>
      </c>
      <c r="C986" s="2" t="s">
        <v>5487</v>
      </c>
      <c r="D986" s="2" t="s">
        <v>5488</v>
      </c>
      <c r="E986" s="2" t="s">
        <v>5489</v>
      </c>
      <c r="F986" s="2" t="s">
        <v>5490</v>
      </c>
      <c r="G986" s="2" t="s">
        <v>101</v>
      </c>
      <c r="H986" s="17">
        <v>25</v>
      </c>
      <c r="I986" s="31">
        <f t="shared" si="102"/>
        <v>25000</v>
      </c>
      <c r="J986" s="31">
        <f t="shared" si="103"/>
        <v>1750.0000000000002</v>
      </c>
      <c r="K986" s="44">
        <f t="shared" si="104"/>
        <v>4.794520547945206</v>
      </c>
      <c r="L986" s="3">
        <f t="shared" si="105"/>
        <v>354.79452054794524</v>
      </c>
      <c r="M986" s="3">
        <f t="shared" si="106"/>
        <v>21.287671232876715</v>
      </c>
      <c r="N986" s="67">
        <f t="shared" si="107"/>
        <v>333.50684931506851</v>
      </c>
      <c r="O986" s="3"/>
      <c r="P986" s="70" t="s">
        <v>18612</v>
      </c>
      <c r="Q986" s="2" t="s">
        <v>103</v>
      </c>
      <c r="R986" s="2" t="s">
        <v>5491</v>
      </c>
      <c r="T986" t="s">
        <v>18666</v>
      </c>
      <c r="U986" t="s">
        <v>18652</v>
      </c>
      <c r="V986" s="104">
        <v>45857</v>
      </c>
      <c r="X986" s="97"/>
      <c r="Y986" s="75">
        <v>333.51</v>
      </c>
    </row>
    <row r="987" spans="1:25" x14ac:dyDescent="0.25">
      <c r="A987" s="76">
        <v>1018</v>
      </c>
      <c r="B987" s="2" t="s">
        <v>14727</v>
      </c>
      <c r="C987" s="2" t="s">
        <v>14728</v>
      </c>
      <c r="D987" s="2" t="s">
        <v>14729</v>
      </c>
      <c r="E987" s="2" t="s">
        <v>14730</v>
      </c>
      <c r="F987" s="2" t="s">
        <v>14731</v>
      </c>
      <c r="G987" s="2" t="s">
        <v>275</v>
      </c>
      <c r="H987" s="17">
        <v>25</v>
      </c>
      <c r="I987" s="31">
        <f t="shared" si="102"/>
        <v>25000</v>
      </c>
      <c r="J987" s="31">
        <f t="shared" si="103"/>
        <v>1750.0000000000002</v>
      </c>
      <c r="K987" s="44">
        <f t="shared" si="104"/>
        <v>4.794520547945206</v>
      </c>
      <c r="L987" s="3">
        <f t="shared" si="105"/>
        <v>354.79452054794524</v>
      </c>
      <c r="M987" s="3">
        <f t="shared" si="106"/>
        <v>21.287671232876715</v>
      </c>
      <c r="N987" s="67">
        <f t="shared" si="107"/>
        <v>333.50684931506851</v>
      </c>
      <c r="O987" s="3"/>
      <c r="P987" s="70" t="s">
        <v>18612</v>
      </c>
      <c r="Q987" s="2" t="s">
        <v>103</v>
      </c>
      <c r="R987" s="2" t="s">
        <v>14732</v>
      </c>
      <c r="T987" t="s">
        <v>18666</v>
      </c>
      <c r="U987" t="s">
        <v>18652</v>
      </c>
      <c r="V987" s="104">
        <v>45857</v>
      </c>
      <c r="X987" s="97"/>
      <c r="Y987" s="75">
        <v>333.51</v>
      </c>
    </row>
    <row r="988" spans="1:25" x14ac:dyDescent="0.25">
      <c r="A988" s="76">
        <v>1019</v>
      </c>
      <c r="B988" s="2" t="s">
        <v>7454</v>
      </c>
      <c r="C988" s="2" t="s">
        <v>7455</v>
      </c>
      <c r="D988" s="2" t="s">
        <v>7456</v>
      </c>
      <c r="E988" s="2" t="s">
        <v>7457</v>
      </c>
      <c r="F988" s="2" t="s">
        <v>7458</v>
      </c>
      <c r="G988" s="2" t="s">
        <v>1570</v>
      </c>
      <c r="H988" s="17">
        <v>25</v>
      </c>
      <c r="I988" s="31">
        <f t="shared" si="102"/>
        <v>25000</v>
      </c>
      <c r="J988" s="31">
        <f t="shared" si="103"/>
        <v>1750.0000000000002</v>
      </c>
      <c r="K988" s="44">
        <f t="shared" si="104"/>
        <v>4.794520547945206</v>
      </c>
      <c r="L988" s="3">
        <f t="shared" si="105"/>
        <v>354.79452054794524</v>
      </c>
      <c r="M988" s="3">
        <f t="shared" si="106"/>
        <v>21.287671232876715</v>
      </c>
      <c r="N988" s="67">
        <f t="shared" si="107"/>
        <v>333.50684931506851</v>
      </c>
      <c r="O988" s="3"/>
      <c r="P988" s="70" t="s">
        <v>18612</v>
      </c>
      <c r="Q988" s="2" t="s">
        <v>103</v>
      </c>
      <c r="R988" s="2" t="s">
        <v>7459</v>
      </c>
      <c r="T988" t="s">
        <v>18666</v>
      </c>
      <c r="U988" t="s">
        <v>18652</v>
      </c>
      <c r="V988" s="104">
        <v>45857</v>
      </c>
      <c r="X988" s="97"/>
      <c r="Y988" s="75">
        <v>333.51</v>
      </c>
    </row>
    <row r="989" spans="1:25" x14ac:dyDescent="0.25">
      <c r="A989" s="76">
        <v>1020</v>
      </c>
      <c r="B989" s="2" t="s">
        <v>13280</v>
      </c>
      <c r="C989" s="2" t="s">
        <v>13281</v>
      </c>
      <c r="D989" s="2" t="s">
        <v>13282</v>
      </c>
      <c r="E989" s="2" t="s">
        <v>13283</v>
      </c>
      <c r="F989" s="2" t="s">
        <v>13284</v>
      </c>
      <c r="G989" s="2" t="s">
        <v>31</v>
      </c>
      <c r="H989" s="17">
        <v>25</v>
      </c>
      <c r="I989" s="31">
        <f t="shared" si="102"/>
        <v>25000</v>
      </c>
      <c r="J989" s="31">
        <f t="shared" si="103"/>
        <v>1750.0000000000002</v>
      </c>
      <c r="K989" s="44">
        <f t="shared" si="104"/>
        <v>4.794520547945206</v>
      </c>
      <c r="L989" s="3">
        <f t="shared" si="105"/>
        <v>354.79452054794524</v>
      </c>
      <c r="M989" s="3">
        <f t="shared" si="106"/>
        <v>21.287671232876715</v>
      </c>
      <c r="N989" s="67">
        <f t="shared" si="107"/>
        <v>333.50684931506851</v>
      </c>
      <c r="O989" s="3"/>
      <c r="P989" s="70" t="s">
        <v>18612</v>
      </c>
      <c r="Q989" s="2" t="s">
        <v>103</v>
      </c>
      <c r="R989" s="2" t="s">
        <v>13285</v>
      </c>
      <c r="T989" t="s">
        <v>18666</v>
      </c>
      <c r="U989" t="s">
        <v>18652</v>
      </c>
      <c r="V989" s="104">
        <v>45857</v>
      </c>
      <c r="X989" s="97"/>
      <c r="Y989" s="75">
        <v>333.51</v>
      </c>
    </row>
    <row r="990" spans="1:25" x14ac:dyDescent="0.25">
      <c r="A990" s="76">
        <v>1021</v>
      </c>
      <c r="B990" s="2" t="s">
        <v>16588</v>
      </c>
      <c r="C990" s="2" t="s">
        <v>16589</v>
      </c>
      <c r="D990" s="2" t="s">
        <v>16590</v>
      </c>
      <c r="E990" s="2" t="s">
        <v>16591</v>
      </c>
      <c r="F990" s="2" t="s">
        <v>16592</v>
      </c>
      <c r="G990" s="2" t="s">
        <v>240</v>
      </c>
      <c r="H990" s="17">
        <v>50</v>
      </c>
      <c r="I990" s="31">
        <f t="shared" si="102"/>
        <v>50000</v>
      </c>
      <c r="J990" s="31">
        <f t="shared" si="103"/>
        <v>3500.0000000000005</v>
      </c>
      <c r="K990" s="44">
        <f t="shared" si="104"/>
        <v>9.589041095890412</v>
      </c>
      <c r="L990" s="3">
        <f t="shared" si="105"/>
        <v>709.58904109589048</v>
      </c>
      <c r="M990" s="3">
        <f t="shared" si="106"/>
        <v>42.57534246575343</v>
      </c>
      <c r="N990" s="67">
        <f t="shared" si="107"/>
        <v>667.01369863013701</v>
      </c>
      <c r="O990" s="3"/>
      <c r="P990" s="70" t="s">
        <v>18612</v>
      </c>
      <c r="Q990" s="2" t="s">
        <v>103</v>
      </c>
      <c r="R990" s="2" t="s">
        <v>16593</v>
      </c>
      <c r="T990" t="s">
        <v>18666</v>
      </c>
      <c r="U990" t="s">
        <v>18652</v>
      </c>
      <c r="V990" s="104">
        <v>45857</v>
      </c>
      <c r="X990" s="97"/>
      <c r="Y990" s="75">
        <v>667.02</v>
      </c>
    </row>
    <row r="991" spans="1:25" x14ac:dyDescent="0.25">
      <c r="A991" s="76">
        <v>1022</v>
      </c>
      <c r="B991" s="2" t="s">
        <v>357</v>
      </c>
      <c r="C991" s="2" t="s">
        <v>358</v>
      </c>
      <c r="D991" s="2" t="s">
        <v>359</v>
      </c>
      <c r="E991" s="2" t="s">
        <v>360</v>
      </c>
      <c r="F991" s="2" t="s">
        <v>361</v>
      </c>
      <c r="G991" s="2" t="s">
        <v>362</v>
      </c>
      <c r="H991" s="17">
        <v>25</v>
      </c>
      <c r="I991" s="31">
        <f t="shared" si="102"/>
        <v>25000</v>
      </c>
      <c r="J991" s="31">
        <f t="shared" si="103"/>
        <v>1750.0000000000002</v>
      </c>
      <c r="K991" s="44">
        <f t="shared" si="104"/>
        <v>4.794520547945206</v>
      </c>
      <c r="L991" s="3">
        <f t="shared" si="105"/>
        <v>354.79452054794524</v>
      </c>
      <c r="M991" s="3">
        <f t="shared" si="106"/>
        <v>21.287671232876715</v>
      </c>
      <c r="N991" s="67">
        <f t="shared" si="107"/>
        <v>333.50684931506851</v>
      </c>
      <c r="O991" s="3"/>
      <c r="P991" s="70" t="s">
        <v>18612</v>
      </c>
      <c r="Q991" s="2" t="s">
        <v>103</v>
      </c>
      <c r="R991" s="2" t="s">
        <v>363</v>
      </c>
      <c r="T991" t="s">
        <v>18666</v>
      </c>
      <c r="U991" t="s">
        <v>18652</v>
      </c>
      <c r="V991" s="104">
        <v>45857</v>
      </c>
      <c r="X991" s="97"/>
      <c r="Y991" s="75">
        <v>333.51</v>
      </c>
    </row>
    <row r="992" spans="1:25" x14ac:dyDescent="0.25">
      <c r="A992" s="76">
        <v>1023</v>
      </c>
      <c r="B992" s="2" t="s">
        <v>915</v>
      </c>
      <c r="C992" s="2" t="s">
        <v>916</v>
      </c>
      <c r="D992" s="2" t="s">
        <v>917</v>
      </c>
      <c r="E992" s="2" t="s">
        <v>918</v>
      </c>
      <c r="F992" s="2" t="s">
        <v>919</v>
      </c>
      <c r="G992" s="2" t="s">
        <v>296</v>
      </c>
      <c r="H992" s="17">
        <v>100</v>
      </c>
      <c r="I992" s="31">
        <f t="shared" si="102"/>
        <v>100000</v>
      </c>
      <c r="J992" s="31">
        <f t="shared" si="103"/>
        <v>7000.0000000000009</v>
      </c>
      <c r="K992" s="44">
        <f t="shared" si="104"/>
        <v>19.178082191780824</v>
      </c>
      <c r="L992" s="3">
        <f t="shared" si="105"/>
        <v>1419.178082191781</v>
      </c>
      <c r="M992" s="3">
        <f t="shared" si="106"/>
        <v>85.150684931506859</v>
      </c>
      <c r="N992" s="67">
        <f t="shared" si="107"/>
        <v>1334.027397260274</v>
      </c>
      <c r="O992" s="3"/>
      <c r="P992" s="70" t="s">
        <v>18612</v>
      </c>
      <c r="Q992" s="2" t="s">
        <v>103</v>
      </c>
      <c r="R992" s="2" t="s">
        <v>920</v>
      </c>
      <c r="T992" t="s">
        <v>18666</v>
      </c>
      <c r="U992" t="s">
        <v>18652</v>
      </c>
      <c r="V992" s="104">
        <v>45857</v>
      </c>
      <c r="X992" s="97"/>
      <c r="Y992" s="75">
        <v>1334.03</v>
      </c>
    </row>
    <row r="993" spans="1:25" x14ac:dyDescent="0.25">
      <c r="A993" s="76">
        <v>1024</v>
      </c>
      <c r="B993" s="2" t="s">
        <v>11126</v>
      </c>
      <c r="C993" s="2" t="s">
        <v>11127</v>
      </c>
      <c r="D993" s="2" t="s">
        <v>11128</v>
      </c>
      <c r="E993" s="2" t="s">
        <v>11129</v>
      </c>
      <c r="F993" s="2" t="s">
        <v>11130</v>
      </c>
      <c r="G993" s="2" t="s">
        <v>31</v>
      </c>
      <c r="H993" s="17">
        <v>200</v>
      </c>
      <c r="I993" s="31">
        <f t="shared" si="102"/>
        <v>200000</v>
      </c>
      <c r="J993" s="31">
        <f t="shared" si="103"/>
        <v>14000.000000000002</v>
      </c>
      <c r="K993" s="44">
        <f t="shared" si="104"/>
        <v>38.356164383561648</v>
      </c>
      <c r="L993" s="3">
        <f t="shared" si="105"/>
        <v>2838.3561643835619</v>
      </c>
      <c r="M993" s="3">
        <f t="shared" si="106"/>
        <v>170.30136986301372</v>
      </c>
      <c r="N993" s="67">
        <f t="shared" si="107"/>
        <v>2668.0547945205481</v>
      </c>
      <c r="O993" s="3"/>
      <c r="P993" s="70" t="s">
        <v>18621</v>
      </c>
      <c r="Q993" s="2" t="s">
        <v>11112</v>
      </c>
      <c r="R993" s="2" t="s">
        <v>11131</v>
      </c>
      <c r="T993" t="s">
        <v>18666</v>
      </c>
      <c r="U993" t="s">
        <v>18652</v>
      </c>
      <c r="V993" s="104">
        <v>45857</v>
      </c>
      <c r="X993" s="97"/>
      <c r="Y993" s="75">
        <v>2668.0600000000004</v>
      </c>
    </row>
    <row r="994" spans="1:25" x14ac:dyDescent="0.25">
      <c r="A994" s="76">
        <v>1025</v>
      </c>
      <c r="B994" s="2" t="s">
        <v>11107</v>
      </c>
      <c r="C994" s="2" t="s">
        <v>11108</v>
      </c>
      <c r="D994" s="2" t="s">
        <v>11109</v>
      </c>
      <c r="E994" s="2" t="s">
        <v>11110</v>
      </c>
      <c r="F994" s="2" t="s">
        <v>11111</v>
      </c>
      <c r="G994" s="2" t="s">
        <v>31</v>
      </c>
      <c r="H994" s="17">
        <v>200</v>
      </c>
      <c r="I994" s="31">
        <f t="shared" si="102"/>
        <v>200000</v>
      </c>
      <c r="J994" s="31">
        <f t="shared" si="103"/>
        <v>14000.000000000002</v>
      </c>
      <c r="K994" s="44">
        <f t="shared" si="104"/>
        <v>38.356164383561648</v>
      </c>
      <c r="L994" s="3">
        <f t="shared" si="105"/>
        <v>2838.3561643835619</v>
      </c>
      <c r="M994" s="3">
        <f t="shared" si="106"/>
        <v>170.30136986301372</v>
      </c>
      <c r="N994" s="67">
        <f t="shared" si="107"/>
        <v>2668.0547945205481</v>
      </c>
      <c r="O994" s="3"/>
      <c r="P994" s="70" t="s">
        <v>18621</v>
      </c>
      <c r="Q994" s="2" t="s">
        <v>11112</v>
      </c>
      <c r="R994" s="2" t="s">
        <v>11113</v>
      </c>
      <c r="T994" t="s">
        <v>18666</v>
      </c>
      <c r="U994" t="s">
        <v>18652</v>
      </c>
      <c r="V994" s="104">
        <v>45857</v>
      </c>
      <c r="X994" s="97"/>
      <c r="Y994" s="75">
        <v>2668.0600000000004</v>
      </c>
    </row>
    <row r="995" spans="1:25" x14ac:dyDescent="0.25">
      <c r="A995" s="76">
        <v>1026</v>
      </c>
      <c r="B995" s="2" t="s">
        <v>13129</v>
      </c>
      <c r="C995" s="2" t="s">
        <v>13130</v>
      </c>
      <c r="D995" s="2" t="s">
        <v>13131</v>
      </c>
      <c r="E995" s="2" t="s">
        <v>13132</v>
      </c>
      <c r="F995" s="2" t="s">
        <v>13133</v>
      </c>
      <c r="G995" s="2" t="s">
        <v>193</v>
      </c>
      <c r="H995" s="17">
        <v>25</v>
      </c>
      <c r="I995" s="31">
        <f t="shared" si="102"/>
        <v>25000</v>
      </c>
      <c r="J995" s="31">
        <f t="shared" si="103"/>
        <v>1750.0000000000002</v>
      </c>
      <c r="K995" s="44">
        <f t="shared" si="104"/>
        <v>4.794520547945206</v>
      </c>
      <c r="L995" s="3">
        <f t="shared" si="105"/>
        <v>354.79452054794524</v>
      </c>
      <c r="M995" s="3">
        <f t="shared" si="106"/>
        <v>21.287671232876715</v>
      </c>
      <c r="N995" s="67">
        <f t="shared" si="107"/>
        <v>333.50684931506851</v>
      </c>
      <c r="O995" s="3"/>
      <c r="P995" s="70" t="s">
        <v>18621</v>
      </c>
      <c r="Q995" s="2" t="s">
        <v>11112</v>
      </c>
      <c r="R995" s="2" t="s">
        <v>13134</v>
      </c>
      <c r="T995" t="s">
        <v>18666</v>
      </c>
      <c r="U995" t="s">
        <v>18652</v>
      </c>
      <c r="V995" s="104">
        <v>45857</v>
      </c>
      <c r="X995" s="97"/>
      <c r="Y995" s="75">
        <v>333.51</v>
      </c>
    </row>
    <row r="996" spans="1:25" x14ac:dyDescent="0.25">
      <c r="A996" s="76">
        <v>1027</v>
      </c>
      <c r="B996" s="2" t="s">
        <v>14793</v>
      </c>
      <c r="C996" s="2" t="s">
        <v>14794</v>
      </c>
      <c r="D996" s="2" t="s">
        <v>14795</v>
      </c>
      <c r="E996" s="2" t="s">
        <v>14796</v>
      </c>
      <c r="F996" s="2" t="s">
        <v>14797</v>
      </c>
      <c r="G996" s="2" t="s">
        <v>296</v>
      </c>
      <c r="H996" s="17">
        <v>25</v>
      </c>
      <c r="I996" s="31">
        <f t="shared" si="102"/>
        <v>25000</v>
      </c>
      <c r="J996" s="31">
        <f t="shared" si="103"/>
        <v>1750.0000000000002</v>
      </c>
      <c r="K996" s="44">
        <f t="shared" si="104"/>
        <v>4.794520547945206</v>
      </c>
      <c r="L996" s="3">
        <f t="shared" si="105"/>
        <v>354.79452054794524</v>
      </c>
      <c r="M996" s="3">
        <f t="shared" si="106"/>
        <v>21.287671232876715</v>
      </c>
      <c r="N996" s="67">
        <f t="shared" si="107"/>
        <v>333.50684931506851</v>
      </c>
      <c r="O996" s="3"/>
      <c r="P996" s="70" t="s">
        <v>18622</v>
      </c>
      <c r="Q996" s="2" t="s">
        <v>14798</v>
      </c>
      <c r="R996" s="2" t="s">
        <v>14799</v>
      </c>
      <c r="T996" t="s">
        <v>18666</v>
      </c>
      <c r="U996" t="s">
        <v>18652</v>
      </c>
      <c r="V996" s="104">
        <v>45857</v>
      </c>
      <c r="X996" s="97"/>
      <c r="Y996" s="75">
        <v>333.51</v>
      </c>
    </row>
    <row r="997" spans="1:25" x14ac:dyDescent="0.25">
      <c r="A997" s="76">
        <v>1028</v>
      </c>
      <c r="B997" s="2" t="s">
        <v>16020</v>
      </c>
      <c r="C997" s="2" t="s">
        <v>16021</v>
      </c>
      <c r="D997" s="2" t="s">
        <v>16022</v>
      </c>
      <c r="E997" s="2" t="s">
        <v>16023</v>
      </c>
      <c r="F997" s="2" t="s">
        <v>16024</v>
      </c>
      <c r="G997" s="2" t="s">
        <v>750</v>
      </c>
      <c r="H997" s="17">
        <v>25</v>
      </c>
      <c r="I997" s="31">
        <f t="shared" si="102"/>
        <v>25000</v>
      </c>
      <c r="J997" s="31">
        <f t="shared" si="103"/>
        <v>1750.0000000000002</v>
      </c>
      <c r="K997" s="44">
        <f t="shared" si="104"/>
        <v>4.794520547945206</v>
      </c>
      <c r="L997" s="3">
        <f t="shared" si="105"/>
        <v>354.79452054794524</v>
      </c>
      <c r="M997" s="3">
        <f t="shared" si="106"/>
        <v>21.287671232876715</v>
      </c>
      <c r="N997" s="67">
        <f t="shared" si="107"/>
        <v>333.50684931506851</v>
      </c>
      <c r="O997" s="3"/>
      <c r="P997" s="70" t="s">
        <v>18623</v>
      </c>
      <c r="Q997" s="2" t="s">
        <v>6460</v>
      </c>
      <c r="R997" s="2" t="s">
        <v>16025</v>
      </c>
      <c r="T997" t="s">
        <v>18666</v>
      </c>
      <c r="U997" t="s">
        <v>18652</v>
      </c>
      <c r="V997" s="104">
        <v>45857</v>
      </c>
      <c r="X997" s="97"/>
      <c r="Y997" s="75">
        <v>333.51</v>
      </c>
    </row>
    <row r="998" spans="1:25" x14ac:dyDescent="0.25">
      <c r="A998" s="76">
        <v>1029</v>
      </c>
      <c r="B998" s="2" t="s">
        <v>6455</v>
      </c>
      <c r="C998" s="2" t="s">
        <v>6456</v>
      </c>
      <c r="D998" s="2" t="s">
        <v>6457</v>
      </c>
      <c r="E998" s="2" t="s">
        <v>6458</v>
      </c>
      <c r="F998" s="2" t="s">
        <v>6459</v>
      </c>
      <c r="G998" s="2" t="s">
        <v>750</v>
      </c>
      <c r="H998" s="17">
        <v>50</v>
      </c>
      <c r="I998" s="31">
        <f t="shared" si="102"/>
        <v>50000</v>
      </c>
      <c r="J998" s="31">
        <f t="shared" si="103"/>
        <v>3500.0000000000005</v>
      </c>
      <c r="K998" s="44">
        <f t="shared" si="104"/>
        <v>9.589041095890412</v>
      </c>
      <c r="L998" s="3">
        <f t="shared" si="105"/>
        <v>709.58904109589048</v>
      </c>
      <c r="M998" s="3">
        <f t="shared" si="106"/>
        <v>42.57534246575343</v>
      </c>
      <c r="N998" s="67">
        <f t="shared" si="107"/>
        <v>667.01369863013701</v>
      </c>
      <c r="O998" s="3"/>
      <c r="P998" s="70" t="s">
        <v>18623</v>
      </c>
      <c r="Q998" s="2" t="s">
        <v>6460</v>
      </c>
      <c r="R998" s="2" t="s">
        <v>6461</v>
      </c>
      <c r="T998" t="s">
        <v>18666</v>
      </c>
      <c r="U998" t="s">
        <v>18652</v>
      </c>
      <c r="V998" s="104">
        <v>45857</v>
      </c>
      <c r="X998" s="97"/>
      <c r="Y998" s="75">
        <v>667.02</v>
      </c>
    </row>
    <row r="999" spans="1:25" x14ac:dyDescent="0.25">
      <c r="A999" s="76">
        <v>1030</v>
      </c>
      <c r="B999" s="2" t="s">
        <v>1317</v>
      </c>
      <c r="C999" s="2" t="s">
        <v>1318</v>
      </c>
      <c r="D999" s="2" t="s">
        <v>1319</v>
      </c>
      <c r="E999" s="2" t="s">
        <v>1320</v>
      </c>
      <c r="F999" s="2" t="s">
        <v>1321</v>
      </c>
      <c r="G999" s="2" t="s">
        <v>1017</v>
      </c>
      <c r="H999" s="17">
        <v>25</v>
      </c>
      <c r="I999" s="31">
        <f t="shared" si="102"/>
        <v>25000</v>
      </c>
      <c r="J999" s="31">
        <f t="shared" si="103"/>
        <v>1750.0000000000002</v>
      </c>
      <c r="K999" s="44">
        <f t="shared" si="104"/>
        <v>4.794520547945206</v>
      </c>
      <c r="L999" s="3">
        <f t="shared" si="105"/>
        <v>354.79452054794524</v>
      </c>
      <c r="M999" s="3">
        <f t="shared" si="106"/>
        <v>21.287671232876715</v>
      </c>
      <c r="N999" s="67">
        <f t="shared" si="107"/>
        <v>333.50684931506851</v>
      </c>
      <c r="O999" s="3"/>
      <c r="P999" s="70" t="s">
        <v>18624</v>
      </c>
      <c r="Q999" s="2" t="s">
        <v>425</v>
      </c>
      <c r="R999" s="2" t="s">
        <v>1322</v>
      </c>
      <c r="T999" t="s">
        <v>18666</v>
      </c>
      <c r="U999" t="s">
        <v>18652</v>
      </c>
      <c r="V999" s="104">
        <v>45857</v>
      </c>
      <c r="X999" s="97"/>
      <c r="Y999" s="75">
        <v>333.51</v>
      </c>
    </row>
    <row r="1000" spans="1:25" x14ac:dyDescent="0.25">
      <c r="A1000" s="76">
        <v>1031</v>
      </c>
      <c r="B1000" s="2" t="s">
        <v>420</v>
      </c>
      <c r="C1000" s="2" t="s">
        <v>421</v>
      </c>
      <c r="D1000" s="2" t="s">
        <v>422</v>
      </c>
      <c r="E1000" s="2" t="s">
        <v>423</v>
      </c>
      <c r="F1000" s="2" t="s">
        <v>424</v>
      </c>
      <c r="G1000" s="2" t="s">
        <v>151</v>
      </c>
      <c r="H1000" s="17">
        <v>200</v>
      </c>
      <c r="I1000" s="31">
        <f t="shared" si="102"/>
        <v>200000</v>
      </c>
      <c r="J1000" s="31">
        <f t="shared" si="103"/>
        <v>14000.000000000002</v>
      </c>
      <c r="K1000" s="44">
        <f t="shared" si="104"/>
        <v>38.356164383561648</v>
      </c>
      <c r="L1000" s="3">
        <f t="shared" si="105"/>
        <v>2838.3561643835619</v>
      </c>
      <c r="M1000" s="3">
        <f t="shared" si="106"/>
        <v>170.30136986301372</v>
      </c>
      <c r="N1000" s="67">
        <f t="shared" si="107"/>
        <v>2668.0547945205481</v>
      </c>
      <c r="O1000" s="3"/>
      <c r="P1000" s="70" t="s">
        <v>18624</v>
      </c>
      <c r="Q1000" s="2" t="s">
        <v>425</v>
      </c>
      <c r="R1000" s="2" t="s">
        <v>426</v>
      </c>
      <c r="T1000" t="s">
        <v>18666</v>
      </c>
      <c r="U1000" t="s">
        <v>18652</v>
      </c>
      <c r="V1000" s="104">
        <v>45857</v>
      </c>
      <c r="X1000" s="97"/>
      <c r="Y1000" s="75">
        <v>2668.0600000000004</v>
      </c>
    </row>
    <row r="1001" spans="1:25" x14ac:dyDescent="0.25">
      <c r="A1001" s="76">
        <v>1032</v>
      </c>
      <c r="B1001" s="2" t="s">
        <v>11772</v>
      </c>
      <c r="C1001" s="2" t="s">
        <v>11773</v>
      </c>
      <c r="D1001" s="2" t="s">
        <v>11774</v>
      </c>
      <c r="E1001" s="2" t="s">
        <v>11775</v>
      </c>
      <c r="F1001" s="2" t="s">
        <v>11776</v>
      </c>
      <c r="G1001" s="2" t="s">
        <v>1570</v>
      </c>
      <c r="H1001" s="17">
        <v>25</v>
      </c>
      <c r="I1001" s="31">
        <f t="shared" si="102"/>
        <v>25000</v>
      </c>
      <c r="J1001" s="31">
        <f t="shared" si="103"/>
        <v>1750.0000000000002</v>
      </c>
      <c r="K1001" s="44">
        <f t="shared" si="104"/>
        <v>4.794520547945206</v>
      </c>
      <c r="L1001" s="3">
        <f t="shared" si="105"/>
        <v>354.79452054794524</v>
      </c>
      <c r="M1001" s="3">
        <f t="shared" si="106"/>
        <v>21.287671232876715</v>
      </c>
      <c r="N1001" s="67">
        <f t="shared" si="107"/>
        <v>333.50684931506851</v>
      </c>
      <c r="O1001" s="3"/>
      <c r="P1001" s="70" t="s">
        <v>18597</v>
      </c>
      <c r="Q1001" s="2" t="s">
        <v>349</v>
      </c>
      <c r="R1001" s="2" t="s">
        <v>11777</v>
      </c>
      <c r="T1001" t="s">
        <v>18666</v>
      </c>
      <c r="U1001" t="s">
        <v>18652</v>
      </c>
      <c r="V1001" s="104">
        <v>45857</v>
      </c>
      <c r="X1001" s="97"/>
      <c r="Y1001" s="75">
        <v>333.51</v>
      </c>
    </row>
    <row r="1002" spans="1:25" x14ac:dyDescent="0.25">
      <c r="A1002" s="76">
        <v>1033</v>
      </c>
      <c r="B1002" s="2" t="s">
        <v>15780</v>
      </c>
      <c r="C1002" s="2" t="s">
        <v>15781</v>
      </c>
      <c r="D1002" s="2" t="s">
        <v>15782</v>
      </c>
      <c r="E1002" s="2" t="s">
        <v>15783</v>
      </c>
      <c r="F1002" s="2" t="s">
        <v>15784</v>
      </c>
      <c r="G1002" s="2" t="s">
        <v>2380</v>
      </c>
      <c r="H1002" s="17">
        <v>25</v>
      </c>
      <c r="I1002" s="31">
        <f t="shared" si="102"/>
        <v>25000</v>
      </c>
      <c r="J1002" s="31">
        <f t="shared" si="103"/>
        <v>1750.0000000000002</v>
      </c>
      <c r="K1002" s="44">
        <f t="shared" si="104"/>
        <v>4.794520547945206</v>
      </c>
      <c r="L1002" s="3">
        <f t="shared" si="105"/>
        <v>354.79452054794524</v>
      </c>
      <c r="M1002" s="3">
        <f t="shared" si="106"/>
        <v>21.287671232876715</v>
      </c>
      <c r="N1002" s="67">
        <f t="shared" si="107"/>
        <v>333.50684931506851</v>
      </c>
      <c r="O1002" s="3"/>
      <c r="P1002" s="70" t="s">
        <v>18597</v>
      </c>
      <c r="Q1002" s="2" t="s">
        <v>349</v>
      </c>
      <c r="R1002" s="2" t="s">
        <v>15785</v>
      </c>
      <c r="T1002" t="s">
        <v>18666</v>
      </c>
      <c r="U1002" t="s">
        <v>18652</v>
      </c>
      <c r="V1002" s="104">
        <v>45857</v>
      </c>
      <c r="X1002" s="97"/>
      <c r="Y1002" s="75">
        <v>333.51</v>
      </c>
    </row>
    <row r="1003" spans="1:25" x14ac:dyDescent="0.25">
      <c r="A1003" s="76">
        <v>1034</v>
      </c>
      <c r="B1003" s="2" t="s">
        <v>13729</v>
      </c>
      <c r="C1003" s="2" t="s">
        <v>13730</v>
      </c>
      <c r="D1003" s="2" t="s">
        <v>13731</v>
      </c>
      <c r="E1003" s="2" t="s">
        <v>13732</v>
      </c>
      <c r="F1003" s="2" t="s">
        <v>13733</v>
      </c>
      <c r="G1003" s="2" t="s">
        <v>186</v>
      </c>
      <c r="H1003" s="17">
        <v>25</v>
      </c>
      <c r="I1003" s="31">
        <f t="shared" si="102"/>
        <v>25000</v>
      </c>
      <c r="J1003" s="31">
        <f t="shared" si="103"/>
        <v>1750.0000000000002</v>
      </c>
      <c r="K1003" s="44">
        <f t="shared" si="104"/>
        <v>4.794520547945206</v>
      </c>
      <c r="L1003" s="3">
        <f t="shared" si="105"/>
        <v>354.79452054794524</v>
      </c>
      <c r="M1003" s="3">
        <f t="shared" si="106"/>
        <v>21.287671232876715</v>
      </c>
      <c r="N1003" s="67">
        <f t="shared" si="107"/>
        <v>333.50684931506851</v>
      </c>
      <c r="O1003" s="3"/>
      <c r="P1003" s="70" t="s">
        <v>18597</v>
      </c>
      <c r="Q1003" s="2" t="s">
        <v>349</v>
      </c>
      <c r="R1003" s="2" t="s">
        <v>13734</v>
      </c>
      <c r="T1003" t="s">
        <v>18666</v>
      </c>
      <c r="U1003" t="s">
        <v>18652</v>
      </c>
      <c r="V1003" s="104">
        <v>45857</v>
      </c>
      <c r="X1003" s="97"/>
      <c r="Y1003" s="75">
        <v>333.51</v>
      </c>
    </row>
    <row r="1004" spans="1:25" x14ac:dyDescent="0.25">
      <c r="A1004" s="76">
        <v>1035</v>
      </c>
      <c r="B1004" s="2" t="s">
        <v>12182</v>
      </c>
      <c r="C1004" s="2" t="s">
        <v>12183</v>
      </c>
      <c r="D1004" s="2" t="s">
        <v>12184</v>
      </c>
      <c r="E1004" s="2" t="s">
        <v>12185</v>
      </c>
      <c r="F1004" s="2" t="s">
        <v>10784</v>
      </c>
      <c r="G1004" s="2" t="s">
        <v>74</v>
      </c>
      <c r="H1004" s="17">
        <v>290</v>
      </c>
      <c r="I1004" s="31">
        <f t="shared" si="102"/>
        <v>290000</v>
      </c>
      <c r="J1004" s="31">
        <f t="shared" si="103"/>
        <v>20300.000000000004</v>
      </c>
      <c r="K1004" s="44">
        <f t="shared" si="104"/>
        <v>55.616438356164394</v>
      </c>
      <c r="L1004" s="3">
        <f t="shared" si="105"/>
        <v>4115.6164383561654</v>
      </c>
      <c r="M1004" s="3">
        <f t="shared" si="106"/>
        <v>246.93698630136993</v>
      </c>
      <c r="N1004" s="67">
        <f t="shared" si="107"/>
        <v>3868.6794520547955</v>
      </c>
      <c r="O1004" s="3"/>
      <c r="P1004" s="70" t="s">
        <v>18597</v>
      </c>
      <c r="Q1004" s="2" t="s">
        <v>349</v>
      </c>
      <c r="R1004" s="2" t="s">
        <v>12186</v>
      </c>
      <c r="T1004" t="s">
        <v>18666</v>
      </c>
      <c r="U1004" t="s">
        <v>18652</v>
      </c>
      <c r="V1004" s="104">
        <v>45857</v>
      </c>
      <c r="X1004" s="97"/>
      <c r="Y1004" s="75">
        <v>3868.6800000000003</v>
      </c>
    </row>
    <row r="1005" spans="1:25" x14ac:dyDescent="0.25">
      <c r="A1005" s="76">
        <v>1036</v>
      </c>
      <c r="B1005" s="2" t="s">
        <v>13247</v>
      </c>
      <c r="C1005" s="2" t="s">
        <v>13248</v>
      </c>
      <c r="D1005" s="2" t="s">
        <v>13249</v>
      </c>
      <c r="E1005" s="2" t="s">
        <v>13250</v>
      </c>
      <c r="F1005" s="2" t="s">
        <v>13251</v>
      </c>
      <c r="G1005" s="2" t="s">
        <v>876</v>
      </c>
      <c r="H1005" s="17">
        <v>25</v>
      </c>
      <c r="I1005" s="31">
        <f t="shared" si="102"/>
        <v>25000</v>
      </c>
      <c r="J1005" s="31">
        <f t="shared" si="103"/>
        <v>1750.0000000000002</v>
      </c>
      <c r="K1005" s="44">
        <f t="shared" si="104"/>
        <v>4.794520547945206</v>
      </c>
      <c r="L1005" s="3">
        <f t="shared" si="105"/>
        <v>354.79452054794524</v>
      </c>
      <c r="M1005" s="3">
        <f t="shared" si="106"/>
        <v>21.287671232876715</v>
      </c>
      <c r="N1005" s="67">
        <f t="shared" si="107"/>
        <v>333.50684931506851</v>
      </c>
      <c r="O1005" s="3"/>
      <c r="P1005" s="70" t="s">
        <v>18597</v>
      </c>
      <c r="Q1005" s="2" t="s">
        <v>349</v>
      </c>
      <c r="R1005" s="2" t="s">
        <v>13252</v>
      </c>
      <c r="T1005" t="s">
        <v>18666</v>
      </c>
      <c r="U1005" t="s">
        <v>18652</v>
      </c>
      <c r="V1005" s="104">
        <v>45857</v>
      </c>
      <c r="X1005" s="97"/>
      <c r="Y1005" s="75">
        <v>333.51</v>
      </c>
    </row>
    <row r="1006" spans="1:25" x14ac:dyDescent="0.25">
      <c r="A1006" s="76">
        <v>1037</v>
      </c>
      <c r="B1006" s="2" t="s">
        <v>3266</v>
      </c>
      <c r="C1006" s="2" t="s">
        <v>3267</v>
      </c>
      <c r="D1006" s="2" t="s">
        <v>3268</v>
      </c>
      <c r="E1006" s="2" t="s">
        <v>3269</v>
      </c>
      <c r="F1006" s="2" t="s">
        <v>3270</v>
      </c>
      <c r="G1006" s="2" t="s">
        <v>1570</v>
      </c>
      <c r="H1006" s="17">
        <v>100</v>
      </c>
      <c r="I1006" s="31">
        <f t="shared" si="102"/>
        <v>100000</v>
      </c>
      <c r="J1006" s="31">
        <f t="shared" si="103"/>
        <v>7000.0000000000009</v>
      </c>
      <c r="K1006" s="44">
        <f t="shared" si="104"/>
        <v>19.178082191780824</v>
      </c>
      <c r="L1006" s="3">
        <f t="shared" si="105"/>
        <v>1419.178082191781</v>
      </c>
      <c r="M1006" s="3">
        <f t="shared" si="106"/>
        <v>85.150684931506859</v>
      </c>
      <c r="N1006" s="67">
        <f t="shared" si="107"/>
        <v>1334.027397260274</v>
      </c>
      <c r="O1006" s="3"/>
      <c r="P1006" s="70" t="s">
        <v>18597</v>
      </c>
      <c r="Q1006" s="2" t="s">
        <v>349</v>
      </c>
      <c r="R1006" s="2" t="s">
        <v>3271</v>
      </c>
      <c r="T1006" t="s">
        <v>18666</v>
      </c>
      <c r="U1006" t="s">
        <v>18652</v>
      </c>
      <c r="V1006" s="104">
        <v>45857</v>
      </c>
      <c r="X1006" s="97"/>
      <c r="Y1006" s="75">
        <v>1334.03</v>
      </c>
    </row>
    <row r="1007" spans="1:25" x14ac:dyDescent="0.25">
      <c r="A1007" s="76">
        <v>1038</v>
      </c>
      <c r="B1007" s="2" t="s">
        <v>1138</v>
      </c>
      <c r="C1007" s="2" t="s">
        <v>1139</v>
      </c>
      <c r="D1007" s="2" t="s">
        <v>1140</v>
      </c>
      <c r="E1007" s="2" t="s">
        <v>1141</v>
      </c>
      <c r="F1007" s="2" t="s">
        <v>1142</v>
      </c>
      <c r="G1007" s="2" t="s">
        <v>31</v>
      </c>
      <c r="H1007" s="17">
        <v>500</v>
      </c>
      <c r="I1007" s="31">
        <f t="shared" si="102"/>
        <v>500000</v>
      </c>
      <c r="J1007" s="31">
        <f t="shared" si="103"/>
        <v>35000</v>
      </c>
      <c r="K1007" s="44">
        <f t="shared" si="104"/>
        <v>95.890410958904113</v>
      </c>
      <c r="L1007" s="3">
        <f t="shared" si="105"/>
        <v>7095.8904109589039</v>
      </c>
      <c r="M1007" s="3">
        <f t="shared" si="106"/>
        <v>425.7534246575342</v>
      </c>
      <c r="N1007" s="67">
        <f t="shared" si="107"/>
        <v>6670.1369863013697</v>
      </c>
      <c r="O1007" s="3"/>
      <c r="P1007" s="70" t="s">
        <v>18597</v>
      </c>
      <c r="Q1007" s="2" t="s">
        <v>349</v>
      </c>
      <c r="R1007" s="2" t="s">
        <v>1143</v>
      </c>
      <c r="T1007" t="s">
        <v>18666</v>
      </c>
      <c r="U1007" t="s">
        <v>18652</v>
      </c>
      <c r="V1007" s="104">
        <v>45857</v>
      </c>
      <c r="X1007" s="97"/>
      <c r="Y1007" s="75">
        <v>6670.14</v>
      </c>
    </row>
    <row r="1008" spans="1:25" x14ac:dyDescent="0.25">
      <c r="A1008" s="76">
        <v>1039</v>
      </c>
      <c r="B1008" s="2" t="s">
        <v>6942</v>
      </c>
      <c r="C1008" s="2" t="s">
        <v>6943</v>
      </c>
      <c r="D1008" s="2" t="s">
        <v>6944</v>
      </c>
      <c r="E1008" s="2" t="s">
        <v>6945</v>
      </c>
      <c r="F1008" s="2" t="s">
        <v>6946</v>
      </c>
      <c r="G1008" s="2" t="s">
        <v>166</v>
      </c>
      <c r="H1008" s="17">
        <v>25</v>
      </c>
      <c r="I1008" s="31">
        <f t="shared" si="102"/>
        <v>25000</v>
      </c>
      <c r="J1008" s="31">
        <f t="shared" si="103"/>
        <v>1750.0000000000002</v>
      </c>
      <c r="K1008" s="44">
        <f t="shared" si="104"/>
        <v>4.794520547945206</v>
      </c>
      <c r="L1008" s="3">
        <f t="shared" si="105"/>
        <v>354.79452054794524</v>
      </c>
      <c r="M1008" s="3">
        <f t="shared" si="106"/>
        <v>21.287671232876715</v>
      </c>
      <c r="N1008" s="67">
        <f t="shared" si="107"/>
        <v>333.50684931506851</v>
      </c>
      <c r="O1008" s="3"/>
      <c r="P1008" s="70" t="s">
        <v>18597</v>
      </c>
      <c r="Q1008" s="2" t="s">
        <v>349</v>
      </c>
      <c r="R1008" s="2" t="s">
        <v>6947</v>
      </c>
      <c r="T1008" t="s">
        <v>18666</v>
      </c>
      <c r="U1008" t="s">
        <v>18652</v>
      </c>
      <c r="V1008" s="104">
        <v>45857</v>
      </c>
      <c r="X1008" s="97"/>
      <c r="Y1008" s="75">
        <v>333.51</v>
      </c>
    </row>
    <row r="1009" spans="1:25" x14ac:dyDescent="0.25">
      <c r="A1009" s="76">
        <v>1040</v>
      </c>
      <c r="B1009" s="2" t="s">
        <v>17068</v>
      </c>
      <c r="C1009" s="2" t="s">
        <v>17069</v>
      </c>
      <c r="D1009" s="2" t="s">
        <v>17070</v>
      </c>
      <c r="E1009" s="2" t="s">
        <v>17071</v>
      </c>
      <c r="F1009" s="2" t="s">
        <v>17072</v>
      </c>
      <c r="G1009" s="2" t="s">
        <v>31</v>
      </c>
      <c r="H1009" s="17">
        <v>25</v>
      </c>
      <c r="I1009" s="31">
        <f t="shared" si="102"/>
        <v>25000</v>
      </c>
      <c r="J1009" s="31">
        <f t="shared" si="103"/>
        <v>1750.0000000000002</v>
      </c>
      <c r="K1009" s="44">
        <f t="shared" si="104"/>
        <v>4.794520547945206</v>
      </c>
      <c r="L1009" s="3">
        <f t="shared" si="105"/>
        <v>354.79452054794524</v>
      </c>
      <c r="M1009" s="3">
        <f t="shared" si="106"/>
        <v>21.287671232876715</v>
      </c>
      <c r="N1009" s="67">
        <f t="shared" si="107"/>
        <v>333.50684931506851</v>
      </c>
      <c r="O1009" s="3"/>
      <c r="P1009" s="70" t="s">
        <v>18597</v>
      </c>
      <c r="Q1009" s="2" t="s">
        <v>349</v>
      </c>
      <c r="R1009" s="2" t="s">
        <v>17073</v>
      </c>
      <c r="T1009" t="s">
        <v>18666</v>
      </c>
      <c r="U1009" t="s">
        <v>18652</v>
      </c>
      <c r="V1009" s="104">
        <v>45857</v>
      </c>
      <c r="X1009" s="97"/>
      <c r="Y1009" s="75">
        <v>333.51</v>
      </c>
    </row>
    <row r="1010" spans="1:25" x14ac:dyDescent="0.25">
      <c r="A1010" s="76">
        <v>1041</v>
      </c>
      <c r="B1010" s="2" t="s">
        <v>2176</v>
      </c>
      <c r="C1010" s="2" t="s">
        <v>2177</v>
      </c>
      <c r="D1010" s="2" t="s">
        <v>2178</v>
      </c>
      <c r="E1010" s="2" t="s">
        <v>2179</v>
      </c>
      <c r="F1010" s="2" t="s">
        <v>2180</v>
      </c>
      <c r="G1010" s="2" t="s">
        <v>750</v>
      </c>
      <c r="H1010" s="17">
        <v>25</v>
      </c>
      <c r="I1010" s="31">
        <f t="shared" si="102"/>
        <v>25000</v>
      </c>
      <c r="J1010" s="31">
        <f t="shared" si="103"/>
        <v>1750.0000000000002</v>
      </c>
      <c r="K1010" s="44">
        <f t="shared" si="104"/>
        <v>4.794520547945206</v>
      </c>
      <c r="L1010" s="3">
        <f t="shared" si="105"/>
        <v>354.79452054794524</v>
      </c>
      <c r="M1010" s="3">
        <f t="shared" si="106"/>
        <v>21.287671232876715</v>
      </c>
      <c r="N1010" s="67">
        <f t="shared" si="107"/>
        <v>333.50684931506851</v>
      </c>
      <c r="O1010" s="3"/>
      <c r="P1010" s="70" t="s">
        <v>18597</v>
      </c>
      <c r="Q1010" s="2" t="s">
        <v>349</v>
      </c>
      <c r="R1010" s="2" t="s">
        <v>2181</v>
      </c>
      <c r="T1010" t="s">
        <v>18666</v>
      </c>
      <c r="U1010" t="s">
        <v>18652</v>
      </c>
      <c r="V1010" s="104">
        <v>45857</v>
      </c>
      <c r="X1010" s="97"/>
      <c r="Y1010" s="75">
        <v>333.51</v>
      </c>
    </row>
    <row r="1011" spans="1:25" x14ac:dyDescent="0.25">
      <c r="A1011" s="76">
        <v>1042</v>
      </c>
      <c r="B1011" s="2" t="s">
        <v>16139</v>
      </c>
      <c r="C1011" s="2" t="s">
        <v>8156</v>
      </c>
      <c r="D1011" s="2" t="s">
        <v>16140</v>
      </c>
      <c r="E1011" s="2" t="s">
        <v>16141</v>
      </c>
      <c r="F1011" s="2" t="s">
        <v>16142</v>
      </c>
      <c r="G1011" s="2" t="s">
        <v>151</v>
      </c>
      <c r="H1011" s="17">
        <v>25</v>
      </c>
      <c r="I1011" s="31">
        <f t="shared" si="102"/>
        <v>25000</v>
      </c>
      <c r="J1011" s="31">
        <f t="shared" si="103"/>
        <v>1750.0000000000002</v>
      </c>
      <c r="K1011" s="44">
        <f t="shared" si="104"/>
        <v>4.794520547945206</v>
      </c>
      <c r="L1011" s="3">
        <f t="shared" si="105"/>
        <v>354.79452054794524</v>
      </c>
      <c r="M1011" s="3">
        <f t="shared" si="106"/>
        <v>21.287671232876715</v>
      </c>
      <c r="N1011" s="67">
        <f t="shared" si="107"/>
        <v>333.50684931506851</v>
      </c>
      <c r="O1011" s="3"/>
      <c r="P1011" s="70" t="s">
        <v>18597</v>
      </c>
      <c r="Q1011" s="2" t="s">
        <v>349</v>
      </c>
      <c r="R1011" s="2" t="s">
        <v>16143</v>
      </c>
      <c r="T1011" t="s">
        <v>18666</v>
      </c>
      <c r="U1011" t="s">
        <v>18652</v>
      </c>
      <c r="V1011" s="104">
        <v>45857</v>
      </c>
      <c r="X1011" s="97"/>
      <c r="Y1011" s="75">
        <v>333.51</v>
      </c>
    </row>
    <row r="1012" spans="1:25" x14ac:dyDescent="0.25">
      <c r="A1012" s="76">
        <v>1043</v>
      </c>
      <c r="B1012" s="2" t="s">
        <v>9194</v>
      </c>
      <c r="C1012" s="2" t="s">
        <v>9195</v>
      </c>
      <c r="D1012" s="2" t="s">
        <v>9196</v>
      </c>
      <c r="E1012" s="2" t="s">
        <v>9197</v>
      </c>
      <c r="F1012" s="2" t="s">
        <v>9198</v>
      </c>
      <c r="G1012" s="2" t="s">
        <v>166</v>
      </c>
      <c r="H1012" s="17">
        <v>25</v>
      </c>
      <c r="I1012" s="31">
        <f t="shared" si="102"/>
        <v>25000</v>
      </c>
      <c r="J1012" s="31">
        <f t="shared" si="103"/>
        <v>1750.0000000000002</v>
      </c>
      <c r="K1012" s="44">
        <f t="shared" si="104"/>
        <v>4.794520547945206</v>
      </c>
      <c r="L1012" s="3">
        <f t="shared" si="105"/>
        <v>354.79452054794524</v>
      </c>
      <c r="M1012" s="3">
        <f t="shared" si="106"/>
        <v>21.287671232876715</v>
      </c>
      <c r="N1012" s="67">
        <f t="shared" si="107"/>
        <v>333.50684931506851</v>
      </c>
      <c r="O1012" s="3"/>
      <c r="P1012" s="70" t="s">
        <v>18597</v>
      </c>
      <c r="Q1012" s="2" t="s">
        <v>349</v>
      </c>
      <c r="R1012" s="2" t="s">
        <v>9199</v>
      </c>
      <c r="T1012" t="s">
        <v>18666</v>
      </c>
      <c r="U1012" t="s">
        <v>18652</v>
      </c>
      <c r="V1012" s="104">
        <v>45857</v>
      </c>
      <c r="X1012" s="97"/>
      <c r="Y1012" s="75">
        <v>333.51</v>
      </c>
    </row>
    <row r="1013" spans="1:25" x14ac:dyDescent="0.25">
      <c r="A1013" s="76">
        <v>1044</v>
      </c>
      <c r="B1013" s="2" t="s">
        <v>15169</v>
      </c>
      <c r="C1013" s="2" t="s">
        <v>12468</v>
      </c>
      <c r="D1013" s="2" t="s">
        <v>15170</v>
      </c>
      <c r="E1013" s="2" t="s">
        <v>15171</v>
      </c>
      <c r="F1013" s="2" t="s">
        <v>15172</v>
      </c>
      <c r="G1013" s="2" t="s">
        <v>1315</v>
      </c>
      <c r="H1013" s="17">
        <v>500</v>
      </c>
      <c r="I1013" s="31">
        <f t="shared" si="102"/>
        <v>500000</v>
      </c>
      <c r="J1013" s="31">
        <f t="shared" si="103"/>
        <v>35000</v>
      </c>
      <c r="K1013" s="44">
        <f t="shared" si="104"/>
        <v>95.890410958904113</v>
      </c>
      <c r="L1013" s="3">
        <f t="shared" si="105"/>
        <v>7095.8904109589039</v>
      </c>
      <c r="M1013" s="3">
        <f t="shared" si="106"/>
        <v>425.7534246575342</v>
      </c>
      <c r="N1013" s="67">
        <f t="shared" si="107"/>
        <v>6670.1369863013697</v>
      </c>
      <c r="O1013" s="3"/>
      <c r="P1013" s="70" t="s">
        <v>18597</v>
      </c>
      <c r="Q1013" s="2" t="s">
        <v>349</v>
      </c>
      <c r="R1013" s="2" t="s">
        <v>15173</v>
      </c>
      <c r="T1013" t="s">
        <v>18666</v>
      </c>
      <c r="U1013" t="s">
        <v>18652</v>
      </c>
      <c r="V1013" s="104">
        <v>45857</v>
      </c>
      <c r="X1013" s="97"/>
      <c r="Y1013" s="75">
        <v>6670.14</v>
      </c>
    </row>
    <row r="1014" spans="1:25" x14ac:dyDescent="0.25">
      <c r="A1014" s="76">
        <v>1045</v>
      </c>
      <c r="B1014" s="2" t="s">
        <v>16495</v>
      </c>
      <c r="C1014" s="2" t="s">
        <v>16496</v>
      </c>
      <c r="D1014" s="2" t="s">
        <v>16497</v>
      </c>
      <c r="E1014" s="2" t="s">
        <v>16498</v>
      </c>
      <c r="F1014" s="2" t="s">
        <v>16499</v>
      </c>
      <c r="G1014" s="2" t="s">
        <v>31</v>
      </c>
      <c r="H1014" s="17">
        <v>25</v>
      </c>
      <c r="I1014" s="31">
        <f t="shared" si="102"/>
        <v>25000</v>
      </c>
      <c r="J1014" s="31">
        <f t="shared" si="103"/>
        <v>1750.0000000000002</v>
      </c>
      <c r="K1014" s="44">
        <f t="shared" si="104"/>
        <v>4.794520547945206</v>
      </c>
      <c r="L1014" s="3">
        <f t="shared" si="105"/>
        <v>354.79452054794524</v>
      </c>
      <c r="M1014" s="3">
        <f t="shared" si="106"/>
        <v>21.287671232876715</v>
      </c>
      <c r="N1014" s="67">
        <f t="shared" si="107"/>
        <v>333.50684931506851</v>
      </c>
      <c r="O1014" s="3"/>
      <c r="P1014" s="70" t="s">
        <v>18597</v>
      </c>
      <c r="Q1014" s="2" t="s">
        <v>349</v>
      </c>
      <c r="R1014" s="2" t="s">
        <v>16500</v>
      </c>
      <c r="T1014" t="s">
        <v>18666</v>
      </c>
      <c r="U1014" t="s">
        <v>18652</v>
      </c>
      <c r="V1014" s="104">
        <v>45857</v>
      </c>
      <c r="X1014" s="97"/>
      <c r="Y1014" s="75">
        <v>333.51</v>
      </c>
    </row>
    <row r="1015" spans="1:25" x14ac:dyDescent="0.25">
      <c r="A1015" s="76">
        <v>1046</v>
      </c>
      <c r="B1015" s="2" t="s">
        <v>16385</v>
      </c>
      <c r="C1015" s="2" t="s">
        <v>16386</v>
      </c>
      <c r="D1015" s="2" t="s">
        <v>10531</v>
      </c>
      <c r="E1015" s="2" t="s">
        <v>10204</v>
      </c>
      <c r="F1015" s="2" t="s">
        <v>16387</v>
      </c>
      <c r="G1015" s="2" t="s">
        <v>31</v>
      </c>
      <c r="H1015" s="17">
        <v>25</v>
      </c>
      <c r="I1015" s="31">
        <f t="shared" si="102"/>
        <v>25000</v>
      </c>
      <c r="J1015" s="31">
        <f t="shared" si="103"/>
        <v>1750.0000000000002</v>
      </c>
      <c r="K1015" s="44">
        <f t="shared" si="104"/>
        <v>4.794520547945206</v>
      </c>
      <c r="L1015" s="3">
        <f t="shared" si="105"/>
        <v>354.79452054794524</v>
      </c>
      <c r="M1015" s="3">
        <f t="shared" si="106"/>
        <v>21.287671232876715</v>
      </c>
      <c r="N1015" s="67">
        <f t="shared" si="107"/>
        <v>333.50684931506851</v>
      </c>
      <c r="O1015" s="3"/>
      <c r="P1015" s="70" t="s">
        <v>18597</v>
      </c>
      <c r="Q1015" s="2" t="s">
        <v>349</v>
      </c>
      <c r="R1015" s="2" t="s">
        <v>16388</v>
      </c>
      <c r="T1015" t="s">
        <v>18666</v>
      </c>
      <c r="U1015" t="s">
        <v>18652</v>
      </c>
      <c r="V1015" s="104">
        <v>45857</v>
      </c>
      <c r="X1015" s="97"/>
      <c r="Y1015" s="75">
        <v>333.51</v>
      </c>
    </row>
    <row r="1016" spans="1:25" x14ac:dyDescent="0.25">
      <c r="A1016" s="76">
        <v>1047</v>
      </c>
      <c r="B1016" s="2" t="s">
        <v>17566</v>
      </c>
      <c r="C1016" s="2" t="s">
        <v>16073</v>
      </c>
      <c r="D1016" s="2" t="s">
        <v>12183</v>
      </c>
      <c r="E1016" s="2" t="s">
        <v>12184</v>
      </c>
      <c r="F1016" s="2" t="s">
        <v>17567</v>
      </c>
      <c r="G1016" s="2" t="s">
        <v>74</v>
      </c>
      <c r="H1016" s="17">
        <v>25</v>
      </c>
      <c r="I1016" s="31">
        <f t="shared" si="102"/>
        <v>25000</v>
      </c>
      <c r="J1016" s="31">
        <f t="shared" si="103"/>
        <v>1750.0000000000002</v>
      </c>
      <c r="K1016" s="44">
        <f t="shared" si="104"/>
        <v>4.794520547945206</v>
      </c>
      <c r="L1016" s="3">
        <f t="shared" si="105"/>
        <v>354.79452054794524</v>
      </c>
      <c r="M1016" s="3">
        <f t="shared" si="106"/>
        <v>21.287671232876715</v>
      </c>
      <c r="N1016" s="67">
        <f t="shared" si="107"/>
        <v>333.50684931506851</v>
      </c>
      <c r="O1016" s="3"/>
      <c r="P1016" s="70" t="s">
        <v>18597</v>
      </c>
      <c r="Q1016" s="2" t="s">
        <v>349</v>
      </c>
      <c r="R1016" s="2" t="s">
        <v>17568</v>
      </c>
      <c r="T1016" t="s">
        <v>18666</v>
      </c>
      <c r="U1016" t="s">
        <v>18652</v>
      </c>
      <c r="V1016" s="104">
        <v>45857</v>
      </c>
      <c r="X1016" s="97"/>
      <c r="Y1016" s="75">
        <v>333.51</v>
      </c>
    </row>
    <row r="1017" spans="1:25" x14ac:dyDescent="0.25">
      <c r="A1017" s="76">
        <v>1048</v>
      </c>
      <c r="B1017" s="2" t="s">
        <v>4115</v>
      </c>
      <c r="C1017" s="2" t="s">
        <v>4116</v>
      </c>
      <c r="D1017" s="2" t="s">
        <v>4117</v>
      </c>
      <c r="E1017" s="2" t="s">
        <v>4118</v>
      </c>
      <c r="F1017" s="2" t="s">
        <v>4119</v>
      </c>
      <c r="G1017" s="2" t="s">
        <v>31</v>
      </c>
      <c r="H1017" s="17">
        <v>25</v>
      </c>
      <c r="I1017" s="31">
        <f t="shared" si="102"/>
        <v>25000</v>
      </c>
      <c r="J1017" s="31">
        <f t="shared" si="103"/>
        <v>1750.0000000000002</v>
      </c>
      <c r="K1017" s="44">
        <f t="shared" si="104"/>
        <v>4.794520547945206</v>
      </c>
      <c r="L1017" s="3">
        <f t="shared" si="105"/>
        <v>354.79452054794524</v>
      </c>
      <c r="M1017" s="3">
        <f t="shared" si="106"/>
        <v>21.287671232876715</v>
      </c>
      <c r="N1017" s="67">
        <f t="shared" si="107"/>
        <v>333.50684931506851</v>
      </c>
      <c r="O1017" s="3"/>
      <c r="P1017" s="70" t="s">
        <v>18597</v>
      </c>
      <c r="Q1017" s="2" t="s">
        <v>349</v>
      </c>
      <c r="R1017" s="2" t="s">
        <v>4120</v>
      </c>
      <c r="T1017" t="s">
        <v>18666</v>
      </c>
      <c r="U1017" t="s">
        <v>18652</v>
      </c>
      <c r="V1017" s="104">
        <v>45857</v>
      </c>
      <c r="X1017" s="97"/>
      <c r="Y1017" s="75">
        <v>333.51</v>
      </c>
    </row>
    <row r="1018" spans="1:25" x14ac:dyDescent="0.25">
      <c r="A1018" s="76">
        <v>1049</v>
      </c>
      <c r="B1018" s="2" t="s">
        <v>10448</v>
      </c>
      <c r="C1018" s="2" t="s">
        <v>10449</v>
      </c>
      <c r="D1018" s="2" t="s">
        <v>10450</v>
      </c>
      <c r="E1018" s="2" t="s">
        <v>10451</v>
      </c>
      <c r="F1018" s="2" t="s">
        <v>7189</v>
      </c>
      <c r="G1018" s="2" t="s">
        <v>247</v>
      </c>
      <c r="H1018" s="17">
        <v>50</v>
      </c>
      <c r="I1018" s="31">
        <f t="shared" si="102"/>
        <v>50000</v>
      </c>
      <c r="J1018" s="31">
        <f t="shared" si="103"/>
        <v>3500.0000000000005</v>
      </c>
      <c r="K1018" s="44">
        <f t="shared" si="104"/>
        <v>9.589041095890412</v>
      </c>
      <c r="L1018" s="3">
        <f t="shared" si="105"/>
        <v>709.58904109589048</v>
      </c>
      <c r="M1018" s="3">
        <f t="shared" si="106"/>
        <v>42.57534246575343</v>
      </c>
      <c r="N1018" s="67">
        <f t="shared" si="107"/>
        <v>667.01369863013701</v>
      </c>
      <c r="O1018" s="3"/>
      <c r="P1018" s="70" t="s">
        <v>18597</v>
      </c>
      <c r="Q1018" s="2" t="s">
        <v>349</v>
      </c>
      <c r="R1018" s="2" t="s">
        <v>10452</v>
      </c>
      <c r="T1018" t="s">
        <v>18666</v>
      </c>
      <c r="U1018" t="s">
        <v>18652</v>
      </c>
      <c r="V1018" s="104">
        <v>45857</v>
      </c>
      <c r="X1018" s="97"/>
      <c r="Y1018" s="75">
        <v>667.02</v>
      </c>
    </row>
    <row r="1019" spans="1:25" x14ac:dyDescent="0.25">
      <c r="A1019" s="76">
        <v>1050</v>
      </c>
      <c r="B1019" s="2" t="s">
        <v>15710</v>
      </c>
      <c r="C1019" s="2" t="s">
        <v>15706</v>
      </c>
      <c r="D1019" s="2" t="s">
        <v>15707</v>
      </c>
      <c r="E1019" s="2" t="s">
        <v>15711</v>
      </c>
      <c r="F1019" s="2" t="s">
        <v>15712</v>
      </c>
      <c r="G1019" s="2" t="s">
        <v>31</v>
      </c>
      <c r="H1019" s="17">
        <v>25</v>
      </c>
      <c r="I1019" s="31">
        <f t="shared" si="102"/>
        <v>25000</v>
      </c>
      <c r="J1019" s="31">
        <f t="shared" si="103"/>
        <v>1750.0000000000002</v>
      </c>
      <c r="K1019" s="44">
        <f t="shared" si="104"/>
        <v>4.794520547945206</v>
      </c>
      <c r="L1019" s="3">
        <f t="shared" si="105"/>
        <v>354.79452054794524</v>
      </c>
      <c r="M1019" s="3">
        <f t="shared" si="106"/>
        <v>21.287671232876715</v>
      </c>
      <c r="N1019" s="67">
        <f t="shared" si="107"/>
        <v>333.50684931506851</v>
      </c>
      <c r="O1019" s="3"/>
      <c r="P1019" s="70" t="s">
        <v>18597</v>
      </c>
      <c r="Q1019" s="2" t="s">
        <v>349</v>
      </c>
      <c r="R1019" s="2" t="s">
        <v>15713</v>
      </c>
      <c r="T1019" t="s">
        <v>18666</v>
      </c>
      <c r="U1019" t="s">
        <v>18652</v>
      </c>
      <c r="V1019" s="104">
        <v>45857</v>
      </c>
      <c r="X1019" s="97"/>
      <c r="Y1019" s="75">
        <v>333.51</v>
      </c>
    </row>
    <row r="1020" spans="1:25" x14ac:dyDescent="0.25">
      <c r="A1020" s="76">
        <v>1051</v>
      </c>
      <c r="B1020" s="2" t="s">
        <v>16868</v>
      </c>
      <c r="C1020" s="2" t="s">
        <v>16869</v>
      </c>
      <c r="D1020" s="2" t="s">
        <v>16870</v>
      </c>
      <c r="E1020" s="2" t="s">
        <v>16871</v>
      </c>
      <c r="F1020" s="2" t="s">
        <v>16872</v>
      </c>
      <c r="G1020" s="2" t="s">
        <v>31</v>
      </c>
      <c r="H1020" s="17">
        <v>5000</v>
      </c>
      <c r="I1020" s="31">
        <f t="shared" si="102"/>
        <v>5000000</v>
      </c>
      <c r="J1020" s="31">
        <f t="shared" si="103"/>
        <v>350000.00000000006</v>
      </c>
      <c r="K1020" s="44">
        <f t="shared" si="104"/>
        <v>958.90410958904124</v>
      </c>
      <c r="L1020" s="3">
        <f t="shared" si="105"/>
        <v>70958.904109589057</v>
      </c>
      <c r="M1020" s="3">
        <f t="shared" si="106"/>
        <v>4257.5342465753429</v>
      </c>
      <c r="N1020" s="67">
        <f t="shared" si="107"/>
        <v>66701.369863013708</v>
      </c>
      <c r="O1020" s="3"/>
      <c r="P1020" s="70" t="s">
        <v>18597</v>
      </c>
      <c r="Q1020" s="2" t="s">
        <v>349</v>
      </c>
      <c r="R1020" s="2" t="s">
        <v>16873</v>
      </c>
      <c r="T1020" t="s">
        <v>18666</v>
      </c>
      <c r="U1020" t="s">
        <v>18652</v>
      </c>
      <c r="V1020" s="104">
        <v>45857</v>
      </c>
      <c r="X1020" s="97"/>
      <c r="Y1020" s="75">
        <v>66701.37</v>
      </c>
    </row>
    <row r="1021" spans="1:25" x14ac:dyDescent="0.25">
      <c r="A1021" s="76">
        <v>1052</v>
      </c>
      <c r="B1021" s="2" t="s">
        <v>7325</v>
      </c>
      <c r="C1021" s="2" t="s">
        <v>7326</v>
      </c>
      <c r="D1021" s="2" t="s">
        <v>7327</v>
      </c>
      <c r="E1021" s="2" t="s">
        <v>7328</v>
      </c>
      <c r="F1021" s="2" t="s">
        <v>7329</v>
      </c>
      <c r="G1021" s="2" t="s">
        <v>362</v>
      </c>
      <c r="H1021" s="17">
        <v>25</v>
      </c>
      <c r="I1021" s="31">
        <f t="shared" si="102"/>
        <v>25000</v>
      </c>
      <c r="J1021" s="31">
        <f t="shared" si="103"/>
        <v>1750.0000000000002</v>
      </c>
      <c r="K1021" s="44">
        <f t="shared" si="104"/>
        <v>4.794520547945206</v>
      </c>
      <c r="L1021" s="3">
        <f t="shared" si="105"/>
        <v>354.79452054794524</v>
      </c>
      <c r="M1021" s="3">
        <f t="shared" si="106"/>
        <v>21.287671232876715</v>
      </c>
      <c r="N1021" s="67">
        <f t="shared" si="107"/>
        <v>333.50684931506851</v>
      </c>
      <c r="O1021" s="3"/>
      <c r="P1021" s="70" t="s">
        <v>18597</v>
      </c>
      <c r="Q1021" s="2" t="s">
        <v>349</v>
      </c>
      <c r="R1021" s="2" t="s">
        <v>7330</v>
      </c>
      <c r="T1021" t="s">
        <v>18666</v>
      </c>
      <c r="U1021" t="s">
        <v>18652</v>
      </c>
      <c r="V1021" s="104">
        <v>45857</v>
      </c>
      <c r="X1021" s="97"/>
      <c r="Y1021" s="75">
        <v>333.51</v>
      </c>
    </row>
    <row r="1022" spans="1:25" x14ac:dyDescent="0.25">
      <c r="A1022" s="76">
        <v>1053</v>
      </c>
      <c r="B1022" s="2" t="s">
        <v>7337</v>
      </c>
      <c r="C1022" s="2" t="s">
        <v>7338</v>
      </c>
      <c r="D1022" s="2" t="s">
        <v>7327</v>
      </c>
      <c r="E1022" s="2" t="s">
        <v>7328</v>
      </c>
      <c r="F1022" s="2" t="s">
        <v>7339</v>
      </c>
      <c r="G1022" s="2" t="s">
        <v>39</v>
      </c>
      <c r="H1022" s="17">
        <v>25</v>
      </c>
      <c r="I1022" s="31">
        <f t="shared" si="102"/>
        <v>25000</v>
      </c>
      <c r="J1022" s="31">
        <f t="shared" si="103"/>
        <v>1750.0000000000002</v>
      </c>
      <c r="K1022" s="44">
        <f t="shared" si="104"/>
        <v>4.794520547945206</v>
      </c>
      <c r="L1022" s="3">
        <f t="shared" si="105"/>
        <v>354.79452054794524</v>
      </c>
      <c r="M1022" s="3">
        <f t="shared" si="106"/>
        <v>21.287671232876715</v>
      </c>
      <c r="N1022" s="67">
        <f t="shared" si="107"/>
        <v>333.50684931506851</v>
      </c>
      <c r="O1022" s="3"/>
      <c r="P1022" s="70" t="s">
        <v>18597</v>
      </c>
      <c r="Q1022" s="2" t="s">
        <v>349</v>
      </c>
      <c r="R1022" s="2" t="s">
        <v>7340</v>
      </c>
      <c r="T1022" t="s">
        <v>18666</v>
      </c>
      <c r="U1022" t="s">
        <v>18652</v>
      </c>
      <c r="V1022" s="104">
        <v>45857</v>
      </c>
      <c r="X1022" s="97"/>
      <c r="Y1022" s="75">
        <v>333.51</v>
      </c>
    </row>
    <row r="1023" spans="1:25" x14ac:dyDescent="0.25">
      <c r="A1023" s="76">
        <v>1054</v>
      </c>
      <c r="B1023" s="2" t="s">
        <v>344</v>
      </c>
      <c r="C1023" s="2" t="s">
        <v>345</v>
      </c>
      <c r="D1023" s="2" t="s">
        <v>346</v>
      </c>
      <c r="E1023" s="2" t="s">
        <v>347</v>
      </c>
      <c r="F1023" s="2" t="s">
        <v>348</v>
      </c>
      <c r="G1023" s="2" t="s">
        <v>233</v>
      </c>
      <c r="H1023" s="17">
        <v>25</v>
      </c>
      <c r="I1023" s="31">
        <f t="shared" si="102"/>
        <v>25000</v>
      </c>
      <c r="J1023" s="31">
        <f t="shared" si="103"/>
        <v>1750.0000000000002</v>
      </c>
      <c r="K1023" s="44">
        <f t="shared" si="104"/>
        <v>4.794520547945206</v>
      </c>
      <c r="L1023" s="3">
        <f t="shared" si="105"/>
        <v>354.79452054794524</v>
      </c>
      <c r="M1023" s="3">
        <f t="shared" si="106"/>
        <v>21.287671232876715</v>
      </c>
      <c r="N1023" s="67">
        <f t="shared" si="107"/>
        <v>333.50684931506851</v>
      </c>
      <c r="O1023" s="3"/>
      <c r="P1023" s="70" t="s">
        <v>18597</v>
      </c>
      <c r="Q1023" s="2" t="s">
        <v>349</v>
      </c>
      <c r="R1023" s="2" t="s">
        <v>350</v>
      </c>
      <c r="T1023" t="s">
        <v>18666</v>
      </c>
      <c r="U1023" t="s">
        <v>18652</v>
      </c>
      <c r="V1023" s="104">
        <v>45857</v>
      </c>
      <c r="X1023" s="97"/>
      <c r="Y1023" s="75">
        <v>333.51</v>
      </c>
    </row>
    <row r="1024" spans="1:25" x14ac:dyDescent="0.25">
      <c r="A1024" s="76">
        <v>1055</v>
      </c>
      <c r="B1024" s="2" t="s">
        <v>3897</v>
      </c>
      <c r="C1024" s="2" t="s">
        <v>3898</v>
      </c>
      <c r="D1024" s="2" t="s">
        <v>3899</v>
      </c>
      <c r="E1024" s="2" t="s">
        <v>3900</v>
      </c>
      <c r="F1024" s="2" t="s">
        <v>3901</v>
      </c>
      <c r="G1024" s="2" t="s">
        <v>876</v>
      </c>
      <c r="H1024" s="17">
        <v>25</v>
      </c>
      <c r="I1024" s="31">
        <f t="shared" si="102"/>
        <v>25000</v>
      </c>
      <c r="J1024" s="31">
        <f t="shared" si="103"/>
        <v>1750.0000000000002</v>
      </c>
      <c r="K1024" s="44">
        <f t="shared" si="104"/>
        <v>4.794520547945206</v>
      </c>
      <c r="L1024" s="3">
        <f t="shared" si="105"/>
        <v>354.79452054794524</v>
      </c>
      <c r="M1024" s="3">
        <f t="shared" si="106"/>
        <v>21.287671232876715</v>
      </c>
      <c r="N1024" s="67">
        <f t="shared" si="107"/>
        <v>333.50684931506851</v>
      </c>
      <c r="O1024" s="3"/>
      <c r="P1024" s="70" t="s">
        <v>18597</v>
      </c>
      <c r="Q1024" s="2" t="s">
        <v>349</v>
      </c>
      <c r="R1024" s="2" t="s">
        <v>3902</v>
      </c>
      <c r="T1024" t="s">
        <v>18666</v>
      </c>
      <c r="U1024" t="s">
        <v>18652</v>
      </c>
      <c r="V1024" s="104">
        <v>45857</v>
      </c>
      <c r="X1024" s="97"/>
      <c r="Y1024" s="75">
        <v>333.51</v>
      </c>
    </row>
    <row r="1025" spans="1:25" x14ac:dyDescent="0.25">
      <c r="A1025" s="76">
        <v>1056</v>
      </c>
      <c r="B1025" s="2" t="s">
        <v>16375</v>
      </c>
      <c r="C1025" s="2" t="s">
        <v>10531</v>
      </c>
      <c r="D1025" s="2" t="s">
        <v>10204</v>
      </c>
      <c r="E1025" s="2" t="s">
        <v>16376</v>
      </c>
      <c r="F1025" s="2" t="s">
        <v>16377</v>
      </c>
      <c r="G1025" s="2" t="s">
        <v>268</v>
      </c>
      <c r="H1025" s="17">
        <v>25</v>
      </c>
      <c r="I1025" s="31">
        <f t="shared" si="102"/>
        <v>25000</v>
      </c>
      <c r="J1025" s="31">
        <f t="shared" si="103"/>
        <v>1750.0000000000002</v>
      </c>
      <c r="K1025" s="44">
        <f t="shared" si="104"/>
        <v>4.794520547945206</v>
      </c>
      <c r="L1025" s="3">
        <f t="shared" si="105"/>
        <v>354.79452054794524</v>
      </c>
      <c r="M1025" s="3">
        <f t="shared" si="106"/>
        <v>21.287671232876715</v>
      </c>
      <c r="N1025" s="67">
        <f t="shared" si="107"/>
        <v>333.50684931506851</v>
      </c>
      <c r="O1025" s="3"/>
      <c r="P1025" s="70" t="s">
        <v>18597</v>
      </c>
      <c r="Q1025" s="2" t="s">
        <v>349</v>
      </c>
      <c r="R1025" s="2" t="s">
        <v>16378</v>
      </c>
      <c r="T1025" t="s">
        <v>18666</v>
      </c>
      <c r="U1025" t="s">
        <v>18652</v>
      </c>
      <c r="V1025" s="104">
        <v>45857</v>
      </c>
      <c r="X1025" s="97"/>
      <c r="Y1025" s="75">
        <v>333.51</v>
      </c>
    </row>
    <row r="1026" spans="1:25" x14ac:dyDescent="0.25">
      <c r="A1026" s="76">
        <v>1057</v>
      </c>
      <c r="B1026" s="2" t="s">
        <v>16401</v>
      </c>
      <c r="C1026" s="2" t="s">
        <v>16402</v>
      </c>
      <c r="D1026" s="2" t="s">
        <v>16403</v>
      </c>
      <c r="E1026" s="2" t="s">
        <v>16404</v>
      </c>
      <c r="F1026" s="2" t="s">
        <v>16405</v>
      </c>
      <c r="G1026" s="2" t="s">
        <v>268</v>
      </c>
      <c r="H1026" s="17">
        <v>25</v>
      </c>
      <c r="I1026" s="31">
        <f t="shared" si="102"/>
        <v>25000</v>
      </c>
      <c r="J1026" s="31">
        <f t="shared" si="103"/>
        <v>1750.0000000000002</v>
      </c>
      <c r="K1026" s="44">
        <f t="shared" si="104"/>
        <v>4.794520547945206</v>
      </c>
      <c r="L1026" s="3">
        <f t="shared" si="105"/>
        <v>354.79452054794524</v>
      </c>
      <c r="M1026" s="3">
        <f t="shared" si="106"/>
        <v>21.287671232876715</v>
      </c>
      <c r="N1026" s="67">
        <f t="shared" si="107"/>
        <v>333.50684931506851</v>
      </c>
      <c r="O1026" s="3"/>
      <c r="P1026" s="70" t="s">
        <v>18597</v>
      </c>
      <c r="Q1026" s="2" t="s">
        <v>349</v>
      </c>
      <c r="R1026" s="2" t="s">
        <v>16406</v>
      </c>
      <c r="T1026" t="s">
        <v>18666</v>
      </c>
      <c r="U1026" t="s">
        <v>18652</v>
      </c>
      <c r="V1026" s="104">
        <v>45857</v>
      </c>
      <c r="X1026" s="97"/>
      <c r="Y1026" s="75">
        <v>333.51</v>
      </c>
    </row>
    <row r="1027" spans="1:25" x14ac:dyDescent="0.25">
      <c r="A1027" s="76">
        <v>1058</v>
      </c>
      <c r="B1027" s="2" t="s">
        <v>5593</v>
      </c>
      <c r="C1027" s="2" t="s">
        <v>5594</v>
      </c>
      <c r="D1027" s="2" t="s">
        <v>5595</v>
      </c>
      <c r="E1027" s="2" t="s">
        <v>5596</v>
      </c>
      <c r="F1027" s="2" t="s">
        <v>5597</v>
      </c>
      <c r="G1027" s="2" t="s">
        <v>268</v>
      </c>
      <c r="H1027" s="17">
        <v>25</v>
      </c>
      <c r="I1027" s="31">
        <f t="shared" si="102"/>
        <v>25000</v>
      </c>
      <c r="J1027" s="31">
        <f t="shared" si="103"/>
        <v>1750.0000000000002</v>
      </c>
      <c r="K1027" s="44">
        <f t="shared" si="104"/>
        <v>4.794520547945206</v>
      </c>
      <c r="L1027" s="3">
        <f t="shared" si="105"/>
        <v>354.79452054794524</v>
      </c>
      <c r="M1027" s="3">
        <f t="shared" si="106"/>
        <v>21.287671232876715</v>
      </c>
      <c r="N1027" s="67">
        <f t="shared" si="107"/>
        <v>333.50684931506851</v>
      </c>
      <c r="O1027" s="3"/>
      <c r="P1027" s="70" t="s">
        <v>18597</v>
      </c>
      <c r="Q1027" s="2" t="s">
        <v>349</v>
      </c>
      <c r="R1027" s="2" t="s">
        <v>5598</v>
      </c>
      <c r="T1027" t="s">
        <v>18666</v>
      </c>
      <c r="U1027" t="s">
        <v>18652</v>
      </c>
      <c r="V1027" s="104">
        <v>45857</v>
      </c>
      <c r="X1027" s="97"/>
      <c r="Y1027" s="75">
        <v>333.51</v>
      </c>
    </row>
    <row r="1028" spans="1:25" x14ac:dyDescent="0.25">
      <c r="A1028" s="76">
        <v>1059</v>
      </c>
      <c r="B1028" s="2" t="s">
        <v>5068</v>
      </c>
      <c r="C1028" s="2" t="s">
        <v>5069</v>
      </c>
      <c r="D1028" s="2" t="s">
        <v>5070</v>
      </c>
      <c r="E1028" s="2" t="s">
        <v>5071</v>
      </c>
      <c r="F1028" s="2" t="s">
        <v>5072</v>
      </c>
      <c r="G1028" s="2" t="s">
        <v>193</v>
      </c>
      <c r="H1028" s="17">
        <v>50</v>
      </c>
      <c r="I1028" s="31">
        <f t="shared" si="102"/>
        <v>50000</v>
      </c>
      <c r="J1028" s="31">
        <f t="shared" si="103"/>
        <v>3500.0000000000005</v>
      </c>
      <c r="K1028" s="44">
        <f t="shared" si="104"/>
        <v>9.589041095890412</v>
      </c>
      <c r="L1028" s="3">
        <f t="shared" si="105"/>
        <v>709.58904109589048</v>
      </c>
      <c r="M1028" s="3">
        <f t="shared" si="106"/>
        <v>42.57534246575343</v>
      </c>
      <c r="N1028" s="67">
        <f t="shared" si="107"/>
        <v>667.01369863013701</v>
      </c>
      <c r="O1028" s="3"/>
      <c r="P1028" s="70" t="s">
        <v>18597</v>
      </c>
      <c r="Q1028" s="2" t="s">
        <v>349</v>
      </c>
      <c r="R1028" s="2" t="s">
        <v>5073</v>
      </c>
      <c r="T1028" t="s">
        <v>18666</v>
      </c>
      <c r="U1028" t="s">
        <v>18652</v>
      </c>
      <c r="V1028" s="104">
        <v>45857</v>
      </c>
      <c r="X1028" s="97"/>
      <c r="Y1028" s="75">
        <v>667.02</v>
      </c>
    </row>
    <row r="1029" spans="1:25" x14ac:dyDescent="0.25">
      <c r="A1029" s="76">
        <v>1060</v>
      </c>
      <c r="B1029" s="2" t="s">
        <v>5050</v>
      </c>
      <c r="C1029" s="2" t="s">
        <v>5051</v>
      </c>
      <c r="D1029" s="2" t="s">
        <v>5052</v>
      </c>
      <c r="E1029" s="2" t="s">
        <v>5053</v>
      </c>
      <c r="F1029" s="2" t="s">
        <v>5054</v>
      </c>
      <c r="G1029" s="2" t="s">
        <v>31</v>
      </c>
      <c r="H1029" s="17">
        <v>25</v>
      </c>
      <c r="I1029" s="31">
        <f t="shared" si="102"/>
        <v>25000</v>
      </c>
      <c r="J1029" s="31">
        <f t="shared" si="103"/>
        <v>1750.0000000000002</v>
      </c>
      <c r="K1029" s="44">
        <f t="shared" si="104"/>
        <v>4.794520547945206</v>
      </c>
      <c r="L1029" s="3">
        <f t="shared" si="105"/>
        <v>354.79452054794524</v>
      </c>
      <c r="M1029" s="3">
        <f t="shared" si="106"/>
        <v>21.287671232876715</v>
      </c>
      <c r="N1029" s="67">
        <f t="shared" si="107"/>
        <v>333.50684931506851</v>
      </c>
      <c r="O1029" s="3"/>
      <c r="P1029" s="70" t="s">
        <v>18597</v>
      </c>
      <c r="Q1029" s="2" t="s">
        <v>349</v>
      </c>
      <c r="R1029" s="2" t="s">
        <v>5055</v>
      </c>
      <c r="T1029" t="s">
        <v>18666</v>
      </c>
      <c r="U1029" t="s">
        <v>18652</v>
      </c>
      <c r="V1029" s="104">
        <v>45857</v>
      </c>
      <c r="X1029" s="97"/>
      <c r="Y1029" s="75">
        <v>333.51</v>
      </c>
    </row>
    <row r="1030" spans="1:25" x14ac:dyDescent="0.25">
      <c r="A1030" s="76">
        <v>1061</v>
      </c>
      <c r="B1030" s="2" t="s">
        <v>2464</v>
      </c>
      <c r="C1030" s="2" t="s">
        <v>2465</v>
      </c>
      <c r="D1030" s="2" t="s">
        <v>2466</v>
      </c>
      <c r="E1030" s="2" t="s">
        <v>2467</v>
      </c>
      <c r="F1030" s="2" t="s">
        <v>2468</v>
      </c>
      <c r="G1030" s="2" t="s">
        <v>151</v>
      </c>
      <c r="H1030" s="17">
        <v>25</v>
      </c>
      <c r="I1030" s="31">
        <f t="shared" si="102"/>
        <v>25000</v>
      </c>
      <c r="J1030" s="31">
        <f t="shared" si="103"/>
        <v>1750.0000000000002</v>
      </c>
      <c r="K1030" s="44">
        <f t="shared" si="104"/>
        <v>4.794520547945206</v>
      </c>
      <c r="L1030" s="3">
        <f t="shared" si="105"/>
        <v>354.79452054794524</v>
      </c>
      <c r="M1030" s="3">
        <f t="shared" si="106"/>
        <v>21.287671232876715</v>
      </c>
      <c r="N1030" s="67">
        <f t="shared" si="107"/>
        <v>333.50684931506851</v>
      </c>
      <c r="O1030" s="3"/>
      <c r="P1030" s="70" t="s">
        <v>18597</v>
      </c>
      <c r="Q1030" s="2" t="s">
        <v>349</v>
      </c>
      <c r="R1030" s="2" t="s">
        <v>2469</v>
      </c>
      <c r="T1030" t="s">
        <v>18666</v>
      </c>
      <c r="U1030" t="s">
        <v>18652</v>
      </c>
      <c r="V1030" s="104">
        <v>45857</v>
      </c>
      <c r="X1030" s="97"/>
      <c r="Y1030" s="75">
        <v>333.51</v>
      </c>
    </row>
    <row r="1031" spans="1:25" x14ac:dyDescent="0.25">
      <c r="A1031" s="76">
        <v>1062</v>
      </c>
      <c r="B1031" s="2" t="s">
        <v>12645</v>
      </c>
      <c r="C1031" s="2" t="s">
        <v>12646</v>
      </c>
      <c r="D1031" s="2" t="s">
        <v>12647</v>
      </c>
      <c r="E1031" s="2" t="s">
        <v>12648</v>
      </c>
      <c r="F1031" s="2" t="s">
        <v>12649</v>
      </c>
      <c r="G1031" s="2" t="s">
        <v>31</v>
      </c>
      <c r="H1031" s="17">
        <v>50</v>
      </c>
      <c r="I1031" s="31">
        <f t="shared" si="102"/>
        <v>50000</v>
      </c>
      <c r="J1031" s="31">
        <f t="shared" si="103"/>
        <v>3500.0000000000005</v>
      </c>
      <c r="K1031" s="44">
        <f t="shared" si="104"/>
        <v>9.589041095890412</v>
      </c>
      <c r="L1031" s="3">
        <f t="shared" si="105"/>
        <v>709.58904109589048</v>
      </c>
      <c r="M1031" s="3">
        <f t="shared" si="106"/>
        <v>42.57534246575343</v>
      </c>
      <c r="N1031" s="67">
        <f t="shared" si="107"/>
        <v>667.01369863013701</v>
      </c>
      <c r="O1031" s="3"/>
      <c r="P1031" s="70" t="s">
        <v>18597</v>
      </c>
      <c r="Q1031" s="2" t="s">
        <v>349</v>
      </c>
      <c r="R1031" s="2" t="s">
        <v>12650</v>
      </c>
      <c r="T1031" t="s">
        <v>18666</v>
      </c>
      <c r="U1031" t="s">
        <v>18652</v>
      </c>
      <c r="V1031" s="104">
        <v>45857</v>
      </c>
      <c r="X1031" s="97"/>
      <c r="Y1031" s="75">
        <v>667.02</v>
      </c>
    </row>
    <row r="1032" spans="1:25" x14ac:dyDescent="0.25">
      <c r="A1032" s="76">
        <v>1063</v>
      </c>
      <c r="B1032" s="2" t="s">
        <v>1866</v>
      </c>
      <c r="C1032" s="2" t="s">
        <v>1867</v>
      </c>
      <c r="D1032" s="2" t="s">
        <v>1868</v>
      </c>
      <c r="E1032" s="2" t="s">
        <v>1869</v>
      </c>
      <c r="F1032" s="2" t="s">
        <v>1870</v>
      </c>
      <c r="G1032" s="2" t="s">
        <v>151</v>
      </c>
      <c r="H1032" s="17">
        <v>25</v>
      </c>
      <c r="I1032" s="31">
        <f t="shared" si="102"/>
        <v>25000</v>
      </c>
      <c r="J1032" s="31">
        <f t="shared" si="103"/>
        <v>1750.0000000000002</v>
      </c>
      <c r="K1032" s="44">
        <f t="shared" si="104"/>
        <v>4.794520547945206</v>
      </c>
      <c r="L1032" s="3">
        <f t="shared" si="105"/>
        <v>354.79452054794524</v>
      </c>
      <c r="M1032" s="3">
        <f t="shared" si="106"/>
        <v>21.287671232876715</v>
      </c>
      <c r="N1032" s="67">
        <f t="shared" si="107"/>
        <v>333.50684931506851</v>
      </c>
      <c r="O1032" s="3"/>
      <c r="P1032" s="70" t="s">
        <v>18597</v>
      </c>
      <c r="Q1032" s="2" t="s">
        <v>349</v>
      </c>
      <c r="R1032" s="2" t="s">
        <v>1871</v>
      </c>
      <c r="T1032" t="s">
        <v>18666</v>
      </c>
      <c r="U1032" t="s">
        <v>18652</v>
      </c>
      <c r="V1032" s="104">
        <v>45857</v>
      </c>
      <c r="X1032" s="97"/>
      <c r="Y1032" s="75">
        <v>333.51</v>
      </c>
    </row>
    <row r="1033" spans="1:25" x14ac:dyDescent="0.25">
      <c r="A1033" s="76">
        <v>1064</v>
      </c>
      <c r="B1033" s="2" t="s">
        <v>12266</v>
      </c>
      <c r="C1033" s="2" t="s">
        <v>12267</v>
      </c>
      <c r="D1033" s="2" t="s">
        <v>7992</v>
      </c>
      <c r="E1033" s="2" t="s">
        <v>11982</v>
      </c>
      <c r="F1033" s="2" t="s">
        <v>12268</v>
      </c>
      <c r="G1033" s="2" t="s">
        <v>31</v>
      </c>
      <c r="H1033" s="17">
        <v>25</v>
      </c>
      <c r="I1033" s="31">
        <f t="shared" si="102"/>
        <v>25000</v>
      </c>
      <c r="J1033" s="31">
        <f t="shared" si="103"/>
        <v>1750.0000000000002</v>
      </c>
      <c r="K1033" s="44">
        <f t="shared" si="104"/>
        <v>4.794520547945206</v>
      </c>
      <c r="L1033" s="3">
        <f t="shared" si="105"/>
        <v>354.79452054794524</v>
      </c>
      <c r="M1033" s="3">
        <f t="shared" si="106"/>
        <v>21.287671232876715</v>
      </c>
      <c r="N1033" s="67">
        <f t="shared" si="107"/>
        <v>333.50684931506851</v>
      </c>
      <c r="O1033" s="3"/>
      <c r="P1033" s="70" t="s">
        <v>18597</v>
      </c>
      <c r="Q1033" s="2" t="s">
        <v>349</v>
      </c>
      <c r="R1033" s="2" t="s">
        <v>12269</v>
      </c>
      <c r="T1033" t="s">
        <v>18666</v>
      </c>
      <c r="U1033" t="s">
        <v>18652</v>
      </c>
      <c r="V1033" s="104">
        <v>45857</v>
      </c>
      <c r="X1033" s="97"/>
      <c r="Y1033" s="75">
        <v>333.51</v>
      </c>
    </row>
    <row r="1034" spans="1:25" x14ac:dyDescent="0.25">
      <c r="A1034" s="76">
        <v>1065</v>
      </c>
      <c r="B1034" s="2" t="s">
        <v>2579</v>
      </c>
      <c r="C1034" s="2" t="s">
        <v>2580</v>
      </c>
      <c r="D1034" s="2" t="s">
        <v>2581</v>
      </c>
      <c r="E1034" s="2" t="s">
        <v>2582</v>
      </c>
      <c r="F1034" s="2" t="s">
        <v>2583</v>
      </c>
      <c r="G1034" s="2" t="s">
        <v>151</v>
      </c>
      <c r="H1034" s="17">
        <v>25</v>
      </c>
      <c r="I1034" s="31">
        <f t="shared" si="102"/>
        <v>25000</v>
      </c>
      <c r="J1034" s="31">
        <f t="shared" si="103"/>
        <v>1750.0000000000002</v>
      </c>
      <c r="K1034" s="44">
        <f t="shared" si="104"/>
        <v>4.794520547945206</v>
      </c>
      <c r="L1034" s="3">
        <f t="shared" si="105"/>
        <v>354.79452054794524</v>
      </c>
      <c r="M1034" s="3">
        <f t="shared" si="106"/>
        <v>21.287671232876715</v>
      </c>
      <c r="N1034" s="67">
        <f t="shared" si="107"/>
        <v>333.50684931506851</v>
      </c>
      <c r="O1034" s="3"/>
      <c r="P1034" s="70" t="s">
        <v>18597</v>
      </c>
      <c r="Q1034" s="2" t="s">
        <v>349</v>
      </c>
      <c r="R1034" s="2" t="s">
        <v>2584</v>
      </c>
      <c r="T1034" t="s">
        <v>18666</v>
      </c>
      <c r="U1034" t="s">
        <v>18652</v>
      </c>
      <c r="V1034" s="104">
        <v>45857</v>
      </c>
      <c r="X1034" s="97"/>
      <c r="Y1034" s="75">
        <v>333.51</v>
      </c>
    </row>
    <row r="1035" spans="1:25" x14ac:dyDescent="0.25">
      <c r="A1035" s="76">
        <v>1066</v>
      </c>
      <c r="B1035" s="2" t="s">
        <v>18030</v>
      </c>
      <c r="C1035" s="2" t="s">
        <v>18031</v>
      </c>
      <c r="D1035" s="2" t="s">
        <v>18032</v>
      </c>
      <c r="E1035" s="2" t="s">
        <v>18033</v>
      </c>
      <c r="F1035" s="2" t="s">
        <v>18034</v>
      </c>
      <c r="G1035" s="2" t="s">
        <v>31</v>
      </c>
      <c r="H1035" s="17">
        <v>750</v>
      </c>
      <c r="I1035" s="31">
        <f t="shared" si="102"/>
        <v>750000</v>
      </c>
      <c r="J1035" s="31">
        <f t="shared" si="103"/>
        <v>52500.000000000007</v>
      </c>
      <c r="K1035" s="44">
        <f t="shared" si="104"/>
        <v>143.8356164383562</v>
      </c>
      <c r="L1035" s="3">
        <f t="shared" si="105"/>
        <v>10643.835616438359</v>
      </c>
      <c r="M1035" s="3">
        <f t="shared" si="106"/>
        <v>638.63013698630152</v>
      </c>
      <c r="N1035" s="67">
        <f t="shared" si="107"/>
        <v>10005.205479452057</v>
      </c>
      <c r="O1035" s="3"/>
      <c r="P1035" s="70" t="s">
        <v>18597</v>
      </c>
      <c r="Q1035" s="2" t="s">
        <v>349</v>
      </c>
      <c r="R1035" s="2" t="s">
        <v>18035</v>
      </c>
      <c r="T1035" t="s">
        <v>18666</v>
      </c>
      <c r="U1035" t="s">
        <v>18652</v>
      </c>
      <c r="V1035" s="104">
        <v>45857</v>
      </c>
      <c r="X1035" s="97"/>
      <c r="Y1035" s="75">
        <v>10005.210000000001</v>
      </c>
    </row>
    <row r="1036" spans="1:25" x14ac:dyDescent="0.25">
      <c r="A1036" s="76">
        <v>1067</v>
      </c>
      <c r="B1036" s="2" t="s">
        <v>5790</v>
      </c>
      <c r="C1036" s="2" t="s">
        <v>5791</v>
      </c>
      <c r="D1036" s="2" t="s">
        <v>5792</v>
      </c>
      <c r="E1036" s="2" t="s">
        <v>5793</v>
      </c>
      <c r="F1036" s="2" t="s">
        <v>5794</v>
      </c>
      <c r="G1036" s="2" t="s">
        <v>517</v>
      </c>
      <c r="H1036" s="17">
        <v>25</v>
      </c>
      <c r="I1036" s="31">
        <f t="shared" si="102"/>
        <v>25000</v>
      </c>
      <c r="J1036" s="31">
        <f t="shared" si="103"/>
        <v>1750.0000000000002</v>
      </c>
      <c r="K1036" s="44">
        <f t="shared" si="104"/>
        <v>4.794520547945206</v>
      </c>
      <c r="L1036" s="3">
        <f t="shared" si="105"/>
        <v>354.79452054794524</v>
      </c>
      <c r="M1036" s="3">
        <f t="shared" si="106"/>
        <v>21.287671232876715</v>
      </c>
      <c r="N1036" s="67">
        <f t="shared" si="107"/>
        <v>333.50684931506851</v>
      </c>
      <c r="O1036" s="3"/>
      <c r="P1036" s="70" t="s">
        <v>18597</v>
      </c>
      <c r="Q1036" s="2" t="s">
        <v>349</v>
      </c>
      <c r="R1036" s="2" t="s">
        <v>5795</v>
      </c>
      <c r="T1036" t="s">
        <v>18666</v>
      </c>
      <c r="U1036" t="s">
        <v>18652</v>
      </c>
      <c r="V1036" s="104">
        <v>45857</v>
      </c>
      <c r="X1036" s="97"/>
      <c r="Y1036" s="75">
        <v>333.51</v>
      </c>
    </row>
    <row r="1037" spans="1:25" x14ac:dyDescent="0.25">
      <c r="A1037" s="76">
        <v>1068</v>
      </c>
      <c r="B1037" s="2" t="s">
        <v>8468</v>
      </c>
      <c r="C1037" s="2" t="s">
        <v>8469</v>
      </c>
      <c r="D1037" s="2" t="s">
        <v>8428</v>
      </c>
      <c r="E1037" s="2" t="s">
        <v>8429</v>
      </c>
      <c r="F1037" s="2" t="s">
        <v>8470</v>
      </c>
      <c r="G1037" s="2" t="s">
        <v>750</v>
      </c>
      <c r="H1037" s="17">
        <v>30</v>
      </c>
      <c r="I1037" s="31">
        <f t="shared" si="102"/>
        <v>30000</v>
      </c>
      <c r="J1037" s="31">
        <f t="shared" si="103"/>
        <v>2100</v>
      </c>
      <c r="K1037" s="44">
        <f t="shared" si="104"/>
        <v>5.7534246575342465</v>
      </c>
      <c r="L1037" s="3">
        <f t="shared" si="105"/>
        <v>425.75342465753425</v>
      </c>
      <c r="M1037" s="3">
        <f t="shared" si="106"/>
        <v>25.545205479452054</v>
      </c>
      <c r="N1037" s="67">
        <f t="shared" si="107"/>
        <v>400.20821917808217</v>
      </c>
      <c r="O1037" s="3"/>
      <c r="P1037" s="70" t="s">
        <v>18597</v>
      </c>
      <c r="Q1037" s="2" t="s">
        <v>349</v>
      </c>
      <c r="R1037" s="2" t="s">
        <v>8471</v>
      </c>
      <c r="T1037" t="s">
        <v>18666</v>
      </c>
      <c r="U1037" t="s">
        <v>18652</v>
      </c>
      <c r="V1037" s="104">
        <v>45857</v>
      </c>
      <c r="X1037" s="97"/>
      <c r="Y1037" s="75">
        <v>400.21</v>
      </c>
    </row>
    <row r="1038" spans="1:25" x14ac:dyDescent="0.25">
      <c r="A1038" s="76">
        <v>1069</v>
      </c>
      <c r="B1038" s="2" t="s">
        <v>13071</v>
      </c>
      <c r="C1038" s="2" t="s">
        <v>13072</v>
      </c>
      <c r="D1038" s="2" t="s">
        <v>13073</v>
      </c>
      <c r="E1038" s="2" t="s">
        <v>13074</v>
      </c>
      <c r="F1038" s="2" t="s">
        <v>13075</v>
      </c>
      <c r="G1038" s="2" t="s">
        <v>247</v>
      </c>
      <c r="H1038" s="17">
        <v>25</v>
      </c>
      <c r="I1038" s="31">
        <f t="shared" si="102"/>
        <v>25000</v>
      </c>
      <c r="J1038" s="31">
        <f t="shared" si="103"/>
        <v>1750.0000000000002</v>
      </c>
      <c r="K1038" s="44">
        <f t="shared" si="104"/>
        <v>4.794520547945206</v>
      </c>
      <c r="L1038" s="3">
        <f t="shared" si="105"/>
        <v>354.79452054794524</v>
      </c>
      <c r="M1038" s="3">
        <f t="shared" si="106"/>
        <v>21.287671232876715</v>
      </c>
      <c r="N1038" s="67">
        <f t="shared" si="107"/>
        <v>333.50684931506851</v>
      </c>
      <c r="O1038" s="3"/>
      <c r="P1038" s="70" t="s">
        <v>18597</v>
      </c>
      <c r="Q1038" s="2" t="s">
        <v>349</v>
      </c>
      <c r="R1038" s="2" t="s">
        <v>13076</v>
      </c>
      <c r="T1038" t="s">
        <v>18666</v>
      </c>
      <c r="U1038" t="s">
        <v>18652</v>
      </c>
      <c r="V1038" s="104">
        <v>45857</v>
      </c>
      <c r="X1038" s="97"/>
      <c r="Y1038" s="75">
        <v>333.51</v>
      </c>
    </row>
    <row r="1039" spans="1:25" x14ac:dyDescent="0.25">
      <c r="A1039" s="76">
        <v>1070</v>
      </c>
      <c r="B1039" s="2" t="s">
        <v>10424</v>
      </c>
      <c r="C1039" s="2" t="s">
        <v>10425</v>
      </c>
      <c r="D1039" s="2" t="s">
        <v>10426</v>
      </c>
      <c r="E1039" s="2" t="s">
        <v>10427</v>
      </c>
      <c r="F1039" s="2" t="s">
        <v>10428</v>
      </c>
      <c r="G1039" s="2" t="s">
        <v>2680</v>
      </c>
      <c r="H1039" s="17">
        <v>25</v>
      </c>
      <c r="I1039" s="31">
        <f t="shared" si="102"/>
        <v>25000</v>
      </c>
      <c r="J1039" s="31">
        <f t="shared" si="103"/>
        <v>1750.0000000000002</v>
      </c>
      <c r="K1039" s="44">
        <f t="shared" si="104"/>
        <v>4.794520547945206</v>
      </c>
      <c r="L1039" s="3">
        <f t="shared" si="105"/>
        <v>354.79452054794524</v>
      </c>
      <c r="M1039" s="3">
        <f t="shared" si="106"/>
        <v>21.287671232876715</v>
      </c>
      <c r="N1039" s="67">
        <f t="shared" si="107"/>
        <v>333.50684931506851</v>
      </c>
      <c r="O1039" s="3"/>
      <c r="P1039" s="70" t="s">
        <v>18597</v>
      </c>
      <c r="Q1039" s="2" t="s">
        <v>349</v>
      </c>
      <c r="R1039" s="2" t="s">
        <v>10429</v>
      </c>
      <c r="T1039" t="s">
        <v>18666</v>
      </c>
      <c r="U1039" t="s">
        <v>18652</v>
      </c>
      <c r="V1039" s="104">
        <v>45857</v>
      </c>
      <c r="X1039" s="97"/>
      <c r="Y1039" s="75">
        <v>333.51</v>
      </c>
    </row>
    <row r="1040" spans="1:25" x14ac:dyDescent="0.25">
      <c r="A1040" s="76">
        <v>1071</v>
      </c>
      <c r="B1040" s="2" t="s">
        <v>8997</v>
      </c>
      <c r="C1040" s="2" t="s">
        <v>8998</v>
      </c>
      <c r="D1040" s="2" t="s">
        <v>8999</v>
      </c>
      <c r="E1040" s="2" t="s">
        <v>9000</v>
      </c>
      <c r="F1040" s="2" t="s">
        <v>9001</v>
      </c>
      <c r="G1040" s="2" t="s">
        <v>328</v>
      </c>
      <c r="H1040" s="17">
        <v>25</v>
      </c>
      <c r="I1040" s="31">
        <f t="shared" si="102"/>
        <v>25000</v>
      </c>
      <c r="J1040" s="31">
        <f t="shared" si="103"/>
        <v>1750.0000000000002</v>
      </c>
      <c r="K1040" s="44">
        <f t="shared" si="104"/>
        <v>4.794520547945206</v>
      </c>
      <c r="L1040" s="3">
        <f t="shared" si="105"/>
        <v>354.79452054794524</v>
      </c>
      <c r="M1040" s="3">
        <f t="shared" si="106"/>
        <v>21.287671232876715</v>
      </c>
      <c r="N1040" s="67">
        <f t="shared" si="107"/>
        <v>333.50684931506851</v>
      </c>
      <c r="O1040" s="3"/>
      <c r="P1040" s="70" t="s">
        <v>18597</v>
      </c>
      <c r="Q1040" s="2" t="s">
        <v>349</v>
      </c>
      <c r="R1040" s="2" t="s">
        <v>9002</v>
      </c>
      <c r="T1040" t="s">
        <v>18666</v>
      </c>
      <c r="U1040" t="s">
        <v>18652</v>
      </c>
      <c r="V1040" s="104">
        <v>45857</v>
      </c>
      <c r="X1040" s="97"/>
      <c r="Y1040" s="75">
        <v>333.51</v>
      </c>
    </row>
    <row r="1041" spans="1:25" x14ac:dyDescent="0.25">
      <c r="A1041" s="76">
        <v>1072</v>
      </c>
      <c r="B1041" s="2" t="s">
        <v>8008</v>
      </c>
      <c r="C1041" s="2" t="s">
        <v>8009</v>
      </c>
      <c r="D1041" s="2" t="s">
        <v>8010</v>
      </c>
      <c r="E1041" s="2" t="s">
        <v>8011</v>
      </c>
      <c r="F1041" s="2" t="s">
        <v>8012</v>
      </c>
      <c r="G1041" s="2" t="s">
        <v>524</v>
      </c>
      <c r="H1041" s="17">
        <v>30</v>
      </c>
      <c r="I1041" s="31">
        <f t="shared" si="102"/>
        <v>30000</v>
      </c>
      <c r="J1041" s="31">
        <f t="shared" si="103"/>
        <v>2100</v>
      </c>
      <c r="K1041" s="44">
        <f t="shared" si="104"/>
        <v>5.7534246575342465</v>
      </c>
      <c r="L1041" s="3">
        <f t="shared" si="105"/>
        <v>425.75342465753425</v>
      </c>
      <c r="M1041" s="3">
        <f t="shared" si="106"/>
        <v>25.545205479452054</v>
      </c>
      <c r="N1041" s="67">
        <f t="shared" si="107"/>
        <v>400.20821917808217</v>
      </c>
      <c r="O1041" s="3"/>
      <c r="P1041" s="70" t="s">
        <v>18597</v>
      </c>
      <c r="Q1041" s="2" t="s">
        <v>349</v>
      </c>
      <c r="R1041" s="2" t="s">
        <v>8013</v>
      </c>
      <c r="T1041" t="s">
        <v>18666</v>
      </c>
      <c r="U1041" t="s">
        <v>18652</v>
      </c>
      <c r="V1041" s="104">
        <v>45857</v>
      </c>
      <c r="X1041" s="97"/>
      <c r="Y1041" s="75">
        <v>400.21</v>
      </c>
    </row>
    <row r="1042" spans="1:25" x14ac:dyDescent="0.25">
      <c r="A1042" s="76">
        <v>1073</v>
      </c>
      <c r="B1042" s="2" t="s">
        <v>8398</v>
      </c>
      <c r="C1042" s="2" t="s">
        <v>8399</v>
      </c>
      <c r="D1042" s="2" t="s">
        <v>8400</v>
      </c>
      <c r="E1042" s="2" t="s">
        <v>8401</v>
      </c>
      <c r="F1042" s="2" t="s">
        <v>8402</v>
      </c>
      <c r="G1042" s="2" t="s">
        <v>31</v>
      </c>
      <c r="H1042" s="17">
        <v>25</v>
      </c>
      <c r="I1042" s="31">
        <f t="shared" ref="I1042:I1105" si="108">H1042*1000</f>
        <v>25000</v>
      </c>
      <c r="J1042" s="31">
        <f t="shared" ref="J1042:J1105" si="109">I1042*7%</f>
        <v>1750.0000000000002</v>
      </c>
      <c r="K1042" s="44">
        <f t="shared" ref="K1042:K1105" si="110">J1042/365</f>
        <v>4.794520547945206</v>
      </c>
      <c r="L1042" s="3">
        <f t="shared" ref="L1042:L1105" si="111">K1042*74</f>
        <v>354.79452054794524</v>
      </c>
      <c r="M1042" s="3">
        <f t="shared" ref="M1042:M1105" si="112">L1042*6%</f>
        <v>21.287671232876715</v>
      </c>
      <c r="N1042" s="67">
        <f t="shared" ref="N1042:N1105" si="113">L1042-M1042</f>
        <v>333.50684931506851</v>
      </c>
      <c r="O1042" s="3"/>
      <c r="P1042" s="70" t="s">
        <v>18597</v>
      </c>
      <c r="Q1042" s="2" t="s">
        <v>349</v>
      </c>
      <c r="R1042" s="2" t="s">
        <v>8403</v>
      </c>
      <c r="T1042" t="s">
        <v>18666</v>
      </c>
      <c r="U1042" t="s">
        <v>18652</v>
      </c>
      <c r="V1042" s="104">
        <v>45857</v>
      </c>
      <c r="X1042" s="97"/>
      <c r="Y1042" s="75">
        <v>333.51</v>
      </c>
    </row>
    <row r="1043" spans="1:25" x14ac:dyDescent="0.25">
      <c r="A1043" s="76">
        <v>1074</v>
      </c>
      <c r="B1043" s="2" t="s">
        <v>17622</v>
      </c>
      <c r="C1043" s="2" t="s">
        <v>17623</v>
      </c>
      <c r="D1043" s="2" t="s">
        <v>17624</v>
      </c>
      <c r="E1043" s="2" t="s">
        <v>17625</v>
      </c>
      <c r="F1043" s="2" t="s">
        <v>17626</v>
      </c>
      <c r="G1043" s="2" t="s">
        <v>580</v>
      </c>
      <c r="H1043" s="17">
        <v>25</v>
      </c>
      <c r="I1043" s="31">
        <f t="shared" si="108"/>
        <v>25000</v>
      </c>
      <c r="J1043" s="31">
        <f t="shared" si="109"/>
        <v>1750.0000000000002</v>
      </c>
      <c r="K1043" s="44">
        <f t="shared" si="110"/>
        <v>4.794520547945206</v>
      </c>
      <c r="L1043" s="3">
        <f t="shared" si="111"/>
        <v>354.79452054794524</v>
      </c>
      <c r="M1043" s="3">
        <f t="shared" si="112"/>
        <v>21.287671232876715</v>
      </c>
      <c r="N1043" s="67">
        <f t="shared" si="113"/>
        <v>333.50684931506851</v>
      </c>
      <c r="O1043" s="3"/>
      <c r="P1043" s="70" t="s">
        <v>18597</v>
      </c>
      <c r="Q1043" s="2" t="s">
        <v>349</v>
      </c>
      <c r="R1043" s="2" t="s">
        <v>17627</v>
      </c>
      <c r="T1043" t="s">
        <v>18666</v>
      </c>
      <c r="U1043" t="s">
        <v>18652</v>
      </c>
      <c r="V1043" s="104">
        <v>45857</v>
      </c>
      <c r="X1043" s="97"/>
      <c r="Y1043" s="75">
        <v>333.51</v>
      </c>
    </row>
    <row r="1044" spans="1:25" x14ac:dyDescent="0.25">
      <c r="A1044" s="76">
        <v>1075</v>
      </c>
      <c r="B1044" s="2" t="s">
        <v>12460</v>
      </c>
      <c r="C1044" s="2" t="s">
        <v>12461</v>
      </c>
      <c r="D1044" s="2" t="s">
        <v>12462</v>
      </c>
      <c r="E1044" s="2" t="s">
        <v>12463</v>
      </c>
      <c r="F1044" s="2" t="s">
        <v>12464</v>
      </c>
      <c r="G1044" s="2" t="s">
        <v>1424</v>
      </c>
      <c r="H1044" s="17">
        <v>25</v>
      </c>
      <c r="I1044" s="31">
        <f t="shared" si="108"/>
        <v>25000</v>
      </c>
      <c r="J1044" s="31">
        <f t="shared" si="109"/>
        <v>1750.0000000000002</v>
      </c>
      <c r="K1044" s="44">
        <f t="shared" si="110"/>
        <v>4.794520547945206</v>
      </c>
      <c r="L1044" s="3">
        <f t="shared" si="111"/>
        <v>354.79452054794524</v>
      </c>
      <c r="M1044" s="3">
        <f t="shared" si="112"/>
        <v>21.287671232876715</v>
      </c>
      <c r="N1044" s="67">
        <f t="shared" si="113"/>
        <v>333.50684931506851</v>
      </c>
      <c r="O1044" s="3"/>
      <c r="P1044" s="70" t="s">
        <v>18597</v>
      </c>
      <c r="Q1044" s="2" t="s">
        <v>349</v>
      </c>
      <c r="R1044" s="2" t="s">
        <v>12465</v>
      </c>
      <c r="T1044" t="s">
        <v>18666</v>
      </c>
      <c r="U1044" t="s">
        <v>18652</v>
      </c>
      <c r="V1044" s="104">
        <v>45857</v>
      </c>
      <c r="X1044" s="97"/>
      <c r="Y1044" s="75">
        <v>333.51</v>
      </c>
    </row>
    <row r="1045" spans="1:25" x14ac:dyDescent="0.25">
      <c r="A1045" s="76">
        <v>1076</v>
      </c>
      <c r="B1045" s="2" t="s">
        <v>16722</v>
      </c>
      <c r="C1045" s="2" t="s">
        <v>16723</v>
      </c>
      <c r="D1045" s="2" t="s">
        <v>16724</v>
      </c>
      <c r="E1045" s="2" t="s">
        <v>16713</v>
      </c>
      <c r="F1045" s="2" t="s">
        <v>16725</v>
      </c>
      <c r="G1045" s="2" t="s">
        <v>1136</v>
      </c>
      <c r="H1045" s="17">
        <v>25</v>
      </c>
      <c r="I1045" s="31">
        <f t="shared" si="108"/>
        <v>25000</v>
      </c>
      <c r="J1045" s="31">
        <f t="shared" si="109"/>
        <v>1750.0000000000002</v>
      </c>
      <c r="K1045" s="44">
        <f t="shared" si="110"/>
        <v>4.794520547945206</v>
      </c>
      <c r="L1045" s="3">
        <f t="shared" si="111"/>
        <v>354.79452054794524</v>
      </c>
      <c r="M1045" s="3">
        <f t="shared" si="112"/>
        <v>21.287671232876715</v>
      </c>
      <c r="N1045" s="67">
        <f t="shared" si="113"/>
        <v>333.50684931506851</v>
      </c>
      <c r="O1045" s="3"/>
      <c r="P1045" s="70" t="s">
        <v>18597</v>
      </c>
      <c r="Q1045" s="2" t="s">
        <v>349</v>
      </c>
      <c r="R1045" s="2" t="s">
        <v>16726</v>
      </c>
      <c r="T1045" t="s">
        <v>18666</v>
      </c>
      <c r="U1045" t="s">
        <v>18652</v>
      </c>
      <c r="V1045" s="104">
        <v>45857</v>
      </c>
      <c r="X1045" s="97"/>
      <c r="Y1045" s="75">
        <v>333.51</v>
      </c>
    </row>
    <row r="1046" spans="1:25" x14ac:dyDescent="0.25">
      <c r="A1046" s="76">
        <v>1077</v>
      </c>
      <c r="B1046" s="2" t="s">
        <v>4375</v>
      </c>
      <c r="C1046" s="2" t="s">
        <v>4376</v>
      </c>
      <c r="D1046" s="2" t="s">
        <v>3397</v>
      </c>
      <c r="E1046" s="2" t="s">
        <v>4377</v>
      </c>
      <c r="F1046" s="2" t="s">
        <v>4378</v>
      </c>
      <c r="G1046" s="2" t="s">
        <v>618</v>
      </c>
      <c r="H1046" s="17">
        <v>25</v>
      </c>
      <c r="I1046" s="31">
        <f t="shared" si="108"/>
        <v>25000</v>
      </c>
      <c r="J1046" s="31">
        <f t="shared" si="109"/>
        <v>1750.0000000000002</v>
      </c>
      <c r="K1046" s="44">
        <f t="shared" si="110"/>
        <v>4.794520547945206</v>
      </c>
      <c r="L1046" s="3">
        <f t="shared" si="111"/>
        <v>354.79452054794524</v>
      </c>
      <c r="M1046" s="3">
        <f t="shared" si="112"/>
        <v>21.287671232876715</v>
      </c>
      <c r="N1046" s="67">
        <f t="shared" si="113"/>
        <v>333.50684931506851</v>
      </c>
      <c r="O1046" s="3"/>
      <c r="P1046" s="70" t="s">
        <v>18597</v>
      </c>
      <c r="Q1046" s="2" t="s">
        <v>349</v>
      </c>
      <c r="R1046" s="2" t="s">
        <v>4379</v>
      </c>
      <c r="T1046" t="s">
        <v>18666</v>
      </c>
      <c r="U1046" t="s">
        <v>18652</v>
      </c>
      <c r="V1046" s="104">
        <v>45857</v>
      </c>
      <c r="X1046" s="97"/>
      <c r="Y1046" s="75">
        <v>333.51</v>
      </c>
    </row>
    <row r="1047" spans="1:25" x14ac:dyDescent="0.25">
      <c r="A1047" s="76">
        <v>1078</v>
      </c>
      <c r="B1047" s="2" t="s">
        <v>13253</v>
      </c>
      <c r="C1047" s="2" t="s">
        <v>13254</v>
      </c>
      <c r="D1047" s="2" t="s">
        <v>13255</v>
      </c>
      <c r="E1047" s="2" t="s">
        <v>13256</v>
      </c>
      <c r="F1047" s="2" t="s">
        <v>13257</v>
      </c>
      <c r="G1047" s="2" t="s">
        <v>158</v>
      </c>
      <c r="H1047" s="17">
        <v>25</v>
      </c>
      <c r="I1047" s="31">
        <f t="shared" si="108"/>
        <v>25000</v>
      </c>
      <c r="J1047" s="31">
        <f t="shared" si="109"/>
        <v>1750.0000000000002</v>
      </c>
      <c r="K1047" s="44">
        <f t="shared" si="110"/>
        <v>4.794520547945206</v>
      </c>
      <c r="L1047" s="3">
        <f t="shared" si="111"/>
        <v>354.79452054794524</v>
      </c>
      <c r="M1047" s="3">
        <f t="shared" si="112"/>
        <v>21.287671232876715</v>
      </c>
      <c r="N1047" s="67">
        <f t="shared" si="113"/>
        <v>333.50684931506851</v>
      </c>
      <c r="O1047" s="3"/>
      <c r="P1047" s="70" t="s">
        <v>18597</v>
      </c>
      <c r="Q1047" s="2" t="s">
        <v>349</v>
      </c>
      <c r="R1047" s="2" t="s">
        <v>13258</v>
      </c>
      <c r="T1047" t="s">
        <v>18666</v>
      </c>
      <c r="U1047" t="s">
        <v>18652</v>
      </c>
      <c r="V1047" s="104">
        <v>45857</v>
      </c>
      <c r="X1047" s="97"/>
      <c r="Y1047" s="75">
        <v>333.51</v>
      </c>
    </row>
    <row r="1048" spans="1:25" x14ac:dyDescent="0.25">
      <c r="A1048" s="76">
        <v>1079</v>
      </c>
      <c r="B1048" s="2" t="s">
        <v>9528</v>
      </c>
      <c r="C1048" s="2" t="s">
        <v>9529</v>
      </c>
      <c r="D1048" s="2" t="s">
        <v>9530</v>
      </c>
      <c r="E1048" s="2" t="s">
        <v>9531</v>
      </c>
      <c r="F1048" s="2" t="s">
        <v>9532</v>
      </c>
      <c r="G1048" s="2" t="s">
        <v>31</v>
      </c>
      <c r="H1048" s="17">
        <v>25</v>
      </c>
      <c r="I1048" s="31">
        <f t="shared" si="108"/>
        <v>25000</v>
      </c>
      <c r="J1048" s="31">
        <f t="shared" si="109"/>
        <v>1750.0000000000002</v>
      </c>
      <c r="K1048" s="44">
        <f t="shared" si="110"/>
        <v>4.794520547945206</v>
      </c>
      <c r="L1048" s="3">
        <f t="shared" si="111"/>
        <v>354.79452054794524</v>
      </c>
      <c r="M1048" s="3">
        <f t="shared" si="112"/>
        <v>21.287671232876715</v>
      </c>
      <c r="N1048" s="67">
        <f t="shared" si="113"/>
        <v>333.50684931506851</v>
      </c>
      <c r="O1048" s="3"/>
      <c r="P1048" s="70" t="s">
        <v>18597</v>
      </c>
      <c r="Q1048" s="2" t="s">
        <v>349</v>
      </c>
      <c r="R1048" s="2" t="s">
        <v>9533</v>
      </c>
      <c r="T1048" t="s">
        <v>18666</v>
      </c>
      <c r="U1048" t="s">
        <v>18652</v>
      </c>
      <c r="V1048" s="104">
        <v>45857</v>
      </c>
      <c r="X1048" s="97"/>
      <c r="Y1048" s="75">
        <v>333.51</v>
      </c>
    </row>
    <row r="1049" spans="1:25" x14ac:dyDescent="0.25">
      <c r="A1049" s="76">
        <v>1080</v>
      </c>
      <c r="B1049" s="2" t="s">
        <v>18458</v>
      </c>
      <c r="C1049" s="2" t="s">
        <v>18459</v>
      </c>
      <c r="D1049" s="2" t="s">
        <v>18460</v>
      </c>
      <c r="E1049" s="2" t="s">
        <v>18461</v>
      </c>
      <c r="F1049" s="2" t="s">
        <v>18462</v>
      </c>
      <c r="G1049" s="2" t="s">
        <v>296</v>
      </c>
      <c r="H1049" s="17">
        <v>25</v>
      </c>
      <c r="I1049" s="31">
        <f t="shared" si="108"/>
        <v>25000</v>
      </c>
      <c r="J1049" s="31">
        <f t="shared" si="109"/>
        <v>1750.0000000000002</v>
      </c>
      <c r="K1049" s="44">
        <f t="shared" si="110"/>
        <v>4.794520547945206</v>
      </c>
      <c r="L1049" s="3">
        <f t="shared" si="111"/>
        <v>354.79452054794524</v>
      </c>
      <c r="M1049" s="3">
        <f t="shared" si="112"/>
        <v>21.287671232876715</v>
      </c>
      <c r="N1049" s="67">
        <f t="shared" si="113"/>
        <v>333.50684931506851</v>
      </c>
      <c r="O1049" s="3"/>
      <c r="P1049" s="70" t="s">
        <v>18597</v>
      </c>
      <c r="Q1049" s="2" t="s">
        <v>349</v>
      </c>
      <c r="R1049" s="2" t="s">
        <v>18463</v>
      </c>
      <c r="T1049" t="s">
        <v>18666</v>
      </c>
      <c r="U1049" t="s">
        <v>18652</v>
      </c>
      <c r="V1049" s="104">
        <v>45857</v>
      </c>
      <c r="X1049" s="97"/>
      <c r="Y1049" s="75">
        <v>333.51</v>
      </c>
    </row>
    <row r="1050" spans="1:25" x14ac:dyDescent="0.25">
      <c r="A1050" s="76">
        <v>1081</v>
      </c>
      <c r="B1050" s="2" t="s">
        <v>2573</v>
      </c>
      <c r="C1050" s="2" t="s">
        <v>2574</v>
      </c>
      <c r="D1050" s="2" t="s">
        <v>2575</v>
      </c>
      <c r="E1050" s="2" t="s">
        <v>2576</v>
      </c>
      <c r="F1050" s="2" t="s">
        <v>2577</v>
      </c>
      <c r="G1050" s="2" t="s">
        <v>587</v>
      </c>
      <c r="H1050" s="17">
        <v>25</v>
      </c>
      <c r="I1050" s="31">
        <f t="shared" si="108"/>
        <v>25000</v>
      </c>
      <c r="J1050" s="31">
        <f t="shared" si="109"/>
        <v>1750.0000000000002</v>
      </c>
      <c r="K1050" s="44">
        <f t="shared" si="110"/>
        <v>4.794520547945206</v>
      </c>
      <c r="L1050" s="3">
        <f t="shared" si="111"/>
        <v>354.79452054794524</v>
      </c>
      <c r="M1050" s="3">
        <f t="shared" si="112"/>
        <v>21.287671232876715</v>
      </c>
      <c r="N1050" s="67">
        <f t="shared" si="113"/>
        <v>333.50684931506851</v>
      </c>
      <c r="O1050" s="3"/>
      <c r="P1050" s="70" t="s">
        <v>18597</v>
      </c>
      <c r="Q1050" s="2" t="s">
        <v>349</v>
      </c>
      <c r="R1050" s="2" t="s">
        <v>2578</v>
      </c>
      <c r="T1050" t="s">
        <v>18666</v>
      </c>
      <c r="U1050" t="s">
        <v>18652</v>
      </c>
      <c r="V1050" s="104">
        <v>45857</v>
      </c>
      <c r="X1050" s="97"/>
      <c r="Y1050" s="75">
        <v>333.51</v>
      </c>
    </row>
    <row r="1051" spans="1:25" x14ac:dyDescent="0.25">
      <c r="A1051" s="76">
        <v>1082</v>
      </c>
      <c r="B1051" s="2" t="s">
        <v>18464</v>
      </c>
      <c r="C1051" s="2" t="s">
        <v>18465</v>
      </c>
      <c r="D1051" s="2" t="s">
        <v>18466</v>
      </c>
      <c r="E1051" s="2" t="s">
        <v>18467</v>
      </c>
      <c r="F1051" s="2" t="s">
        <v>18468</v>
      </c>
      <c r="G1051" s="2" t="s">
        <v>296</v>
      </c>
      <c r="H1051" s="17">
        <v>25</v>
      </c>
      <c r="I1051" s="31">
        <f t="shared" si="108"/>
        <v>25000</v>
      </c>
      <c r="J1051" s="31">
        <f t="shared" si="109"/>
        <v>1750.0000000000002</v>
      </c>
      <c r="K1051" s="44">
        <f t="shared" si="110"/>
        <v>4.794520547945206</v>
      </c>
      <c r="L1051" s="3">
        <f t="shared" si="111"/>
        <v>354.79452054794524</v>
      </c>
      <c r="M1051" s="3">
        <f t="shared" si="112"/>
        <v>21.287671232876715</v>
      </c>
      <c r="N1051" s="67">
        <f t="shared" si="113"/>
        <v>333.50684931506851</v>
      </c>
      <c r="O1051" s="3"/>
      <c r="P1051" s="70" t="s">
        <v>18597</v>
      </c>
      <c r="Q1051" s="2" t="s">
        <v>349</v>
      </c>
      <c r="R1051" s="2" t="s">
        <v>18469</v>
      </c>
      <c r="T1051" t="s">
        <v>18666</v>
      </c>
      <c r="U1051" t="s">
        <v>18652</v>
      </c>
      <c r="V1051" s="104">
        <v>45857</v>
      </c>
      <c r="X1051" s="97"/>
      <c r="Y1051" s="75">
        <v>333.51</v>
      </c>
    </row>
    <row r="1052" spans="1:25" x14ac:dyDescent="0.25">
      <c r="A1052" s="76">
        <v>1083</v>
      </c>
      <c r="B1052" s="2" t="s">
        <v>18470</v>
      </c>
      <c r="C1052" s="2" t="s">
        <v>18471</v>
      </c>
      <c r="D1052" s="2" t="s">
        <v>18472</v>
      </c>
      <c r="E1052" s="2" t="s">
        <v>18467</v>
      </c>
      <c r="F1052" s="2" t="s">
        <v>18473</v>
      </c>
      <c r="G1052" s="2" t="s">
        <v>296</v>
      </c>
      <c r="H1052" s="17">
        <v>25</v>
      </c>
      <c r="I1052" s="31">
        <f t="shared" si="108"/>
        <v>25000</v>
      </c>
      <c r="J1052" s="31">
        <f t="shared" si="109"/>
        <v>1750.0000000000002</v>
      </c>
      <c r="K1052" s="44">
        <f t="shared" si="110"/>
        <v>4.794520547945206</v>
      </c>
      <c r="L1052" s="3">
        <f t="shared" si="111"/>
        <v>354.79452054794524</v>
      </c>
      <c r="M1052" s="3">
        <f t="shared" si="112"/>
        <v>21.287671232876715</v>
      </c>
      <c r="N1052" s="67">
        <f t="shared" si="113"/>
        <v>333.50684931506851</v>
      </c>
      <c r="O1052" s="3"/>
      <c r="P1052" s="70" t="s">
        <v>18597</v>
      </c>
      <c r="Q1052" s="2" t="s">
        <v>349</v>
      </c>
      <c r="R1052" s="2" t="s">
        <v>18474</v>
      </c>
      <c r="T1052" t="s">
        <v>18666</v>
      </c>
      <c r="U1052" t="s">
        <v>18652</v>
      </c>
      <c r="V1052" s="104">
        <v>45857</v>
      </c>
      <c r="X1052" s="97"/>
      <c r="Y1052" s="75">
        <v>333.51</v>
      </c>
    </row>
    <row r="1053" spans="1:25" x14ac:dyDescent="0.25">
      <c r="A1053" s="76">
        <v>1084</v>
      </c>
      <c r="B1053" s="2" t="s">
        <v>14113</v>
      </c>
      <c r="C1053" s="2" t="s">
        <v>14114</v>
      </c>
      <c r="D1053" s="2" t="s">
        <v>14115</v>
      </c>
      <c r="E1053" s="2" t="s">
        <v>14116</v>
      </c>
      <c r="F1053" s="2" t="s">
        <v>14117</v>
      </c>
      <c r="G1053" s="2" t="s">
        <v>750</v>
      </c>
      <c r="H1053" s="17">
        <v>25</v>
      </c>
      <c r="I1053" s="31">
        <f t="shared" si="108"/>
        <v>25000</v>
      </c>
      <c r="J1053" s="31">
        <f t="shared" si="109"/>
        <v>1750.0000000000002</v>
      </c>
      <c r="K1053" s="44">
        <f t="shared" si="110"/>
        <v>4.794520547945206</v>
      </c>
      <c r="L1053" s="3">
        <f t="shared" si="111"/>
        <v>354.79452054794524</v>
      </c>
      <c r="M1053" s="3">
        <f t="shared" si="112"/>
        <v>21.287671232876715</v>
      </c>
      <c r="N1053" s="67">
        <f t="shared" si="113"/>
        <v>333.50684931506851</v>
      </c>
      <c r="O1053" s="3"/>
      <c r="P1053" s="70" t="s">
        <v>18597</v>
      </c>
      <c r="Q1053" s="2" t="s">
        <v>349</v>
      </c>
      <c r="R1053" s="2" t="s">
        <v>14118</v>
      </c>
      <c r="T1053" t="s">
        <v>18666</v>
      </c>
      <c r="U1053" t="s">
        <v>18652</v>
      </c>
      <c r="V1053" s="104">
        <v>45857</v>
      </c>
      <c r="X1053" s="97"/>
      <c r="Y1053" s="75">
        <v>333.51</v>
      </c>
    </row>
    <row r="1054" spans="1:25" x14ac:dyDescent="0.25">
      <c r="A1054" s="76">
        <v>1085</v>
      </c>
      <c r="B1054" s="2" t="s">
        <v>15704</v>
      </c>
      <c r="C1054" s="2" t="s">
        <v>15705</v>
      </c>
      <c r="D1054" s="2" t="s">
        <v>15706</v>
      </c>
      <c r="E1054" s="2" t="s">
        <v>15707</v>
      </c>
      <c r="F1054" s="2" t="s">
        <v>15708</v>
      </c>
      <c r="G1054" s="2" t="s">
        <v>31</v>
      </c>
      <c r="H1054" s="17">
        <v>25</v>
      </c>
      <c r="I1054" s="31">
        <f t="shared" si="108"/>
        <v>25000</v>
      </c>
      <c r="J1054" s="31">
        <f t="shared" si="109"/>
        <v>1750.0000000000002</v>
      </c>
      <c r="K1054" s="44">
        <f t="shared" si="110"/>
        <v>4.794520547945206</v>
      </c>
      <c r="L1054" s="3">
        <f t="shared" si="111"/>
        <v>354.79452054794524</v>
      </c>
      <c r="M1054" s="3">
        <f t="shared" si="112"/>
        <v>21.287671232876715</v>
      </c>
      <c r="N1054" s="67">
        <f t="shared" si="113"/>
        <v>333.50684931506851</v>
      </c>
      <c r="O1054" s="3"/>
      <c r="P1054" s="70" t="s">
        <v>18597</v>
      </c>
      <c r="Q1054" s="2" t="s">
        <v>349</v>
      </c>
      <c r="R1054" s="2" t="s">
        <v>15709</v>
      </c>
      <c r="T1054" t="s">
        <v>18666</v>
      </c>
      <c r="U1054" t="s">
        <v>18652</v>
      </c>
      <c r="V1054" s="104">
        <v>45857</v>
      </c>
      <c r="X1054" s="97"/>
      <c r="Y1054" s="75">
        <v>333.51</v>
      </c>
    </row>
    <row r="1055" spans="1:25" x14ac:dyDescent="0.25">
      <c r="A1055" s="76">
        <v>1086</v>
      </c>
      <c r="B1055" s="2" t="s">
        <v>8870</v>
      </c>
      <c r="C1055" s="2" t="s">
        <v>8871</v>
      </c>
      <c r="D1055" s="2" t="s">
        <v>8872</v>
      </c>
      <c r="E1055" s="2" t="s">
        <v>8873</v>
      </c>
      <c r="F1055" s="2" t="s">
        <v>8874</v>
      </c>
      <c r="G1055" s="2" t="s">
        <v>31</v>
      </c>
      <c r="H1055" s="17">
        <v>25</v>
      </c>
      <c r="I1055" s="31">
        <f t="shared" si="108"/>
        <v>25000</v>
      </c>
      <c r="J1055" s="31">
        <f t="shared" si="109"/>
        <v>1750.0000000000002</v>
      </c>
      <c r="K1055" s="44">
        <f t="shared" si="110"/>
        <v>4.794520547945206</v>
      </c>
      <c r="L1055" s="3">
        <f t="shared" si="111"/>
        <v>354.79452054794524</v>
      </c>
      <c r="M1055" s="3">
        <f t="shared" si="112"/>
        <v>21.287671232876715</v>
      </c>
      <c r="N1055" s="67">
        <f t="shared" si="113"/>
        <v>333.50684931506851</v>
      </c>
      <c r="O1055" s="3"/>
      <c r="P1055" s="70" t="s">
        <v>18597</v>
      </c>
      <c r="Q1055" s="2" t="s">
        <v>349</v>
      </c>
      <c r="R1055" s="2" t="s">
        <v>8875</v>
      </c>
      <c r="T1055" t="s">
        <v>18666</v>
      </c>
      <c r="U1055" t="s">
        <v>18652</v>
      </c>
      <c r="V1055" s="104">
        <v>45857</v>
      </c>
      <c r="X1055" s="97"/>
      <c r="Y1055" s="75">
        <v>333.51</v>
      </c>
    </row>
    <row r="1056" spans="1:25" x14ac:dyDescent="0.25">
      <c r="A1056" s="76">
        <v>1087</v>
      </c>
      <c r="B1056" s="2" t="s">
        <v>12312</v>
      </c>
      <c r="C1056" s="2" t="s">
        <v>12313</v>
      </c>
      <c r="D1056" s="2" t="s">
        <v>8872</v>
      </c>
      <c r="E1056" s="2" t="s">
        <v>12314</v>
      </c>
      <c r="F1056" s="2" t="s">
        <v>12315</v>
      </c>
      <c r="G1056" s="2" t="s">
        <v>31</v>
      </c>
      <c r="H1056" s="17">
        <v>25</v>
      </c>
      <c r="I1056" s="31">
        <f t="shared" si="108"/>
        <v>25000</v>
      </c>
      <c r="J1056" s="31">
        <f t="shared" si="109"/>
        <v>1750.0000000000002</v>
      </c>
      <c r="K1056" s="44">
        <f t="shared" si="110"/>
        <v>4.794520547945206</v>
      </c>
      <c r="L1056" s="3">
        <f t="shared" si="111"/>
        <v>354.79452054794524</v>
      </c>
      <c r="M1056" s="3">
        <f t="shared" si="112"/>
        <v>21.287671232876715</v>
      </c>
      <c r="N1056" s="67">
        <f t="shared" si="113"/>
        <v>333.50684931506851</v>
      </c>
      <c r="O1056" s="3"/>
      <c r="P1056" s="70" t="s">
        <v>18597</v>
      </c>
      <c r="Q1056" s="2" t="s">
        <v>349</v>
      </c>
      <c r="R1056" s="2" t="s">
        <v>12316</v>
      </c>
      <c r="T1056" t="s">
        <v>18666</v>
      </c>
      <c r="U1056" t="s">
        <v>18652</v>
      </c>
      <c r="V1056" s="104">
        <v>45857</v>
      </c>
      <c r="X1056" s="97"/>
      <c r="Y1056" s="75">
        <v>333.51</v>
      </c>
    </row>
    <row r="1057" spans="1:25" x14ac:dyDescent="0.25">
      <c r="A1057" s="76">
        <v>1088</v>
      </c>
      <c r="B1057" s="2" t="s">
        <v>3836</v>
      </c>
      <c r="C1057" s="2" t="s">
        <v>3837</v>
      </c>
      <c r="D1057" s="2" t="s">
        <v>3838</v>
      </c>
      <c r="E1057" s="2" t="s">
        <v>3839</v>
      </c>
      <c r="F1057" s="2" t="s">
        <v>3840</v>
      </c>
      <c r="G1057" s="2" t="s">
        <v>193</v>
      </c>
      <c r="H1057" s="17">
        <v>160</v>
      </c>
      <c r="I1057" s="31">
        <f t="shared" si="108"/>
        <v>160000</v>
      </c>
      <c r="J1057" s="31">
        <f t="shared" si="109"/>
        <v>11200.000000000002</v>
      </c>
      <c r="K1057" s="44">
        <f t="shared" si="110"/>
        <v>30.68493150684932</v>
      </c>
      <c r="L1057" s="3">
        <f t="shared" si="111"/>
        <v>2270.6849315068498</v>
      </c>
      <c r="M1057" s="3">
        <f t="shared" si="112"/>
        <v>136.24109589041097</v>
      </c>
      <c r="N1057" s="67">
        <f t="shared" si="113"/>
        <v>2134.4438356164387</v>
      </c>
      <c r="O1057" s="3"/>
      <c r="P1057" s="70" t="s">
        <v>18597</v>
      </c>
      <c r="Q1057" s="2" t="s">
        <v>349</v>
      </c>
      <c r="R1057" s="2" t="s">
        <v>3841</v>
      </c>
      <c r="T1057" t="s">
        <v>18666</v>
      </c>
      <c r="U1057" t="s">
        <v>18652</v>
      </c>
      <c r="V1057" s="104">
        <v>45857</v>
      </c>
      <c r="X1057" s="97"/>
      <c r="Y1057" s="75">
        <v>2134.4500000000003</v>
      </c>
    </row>
    <row r="1058" spans="1:25" x14ac:dyDescent="0.25">
      <c r="A1058" s="76">
        <v>1089</v>
      </c>
      <c r="B1058" s="2" t="s">
        <v>1444</v>
      </c>
      <c r="C1058" s="2" t="s">
        <v>1445</v>
      </c>
      <c r="D1058" s="2" t="s">
        <v>1446</v>
      </c>
      <c r="E1058" s="2" t="s">
        <v>1447</v>
      </c>
      <c r="F1058" s="2" t="s">
        <v>1448</v>
      </c>
      <c r="G1058" s="2" t="s">
        <v>524</v>
      </c>
      <c r="H1058" s="17">
        <v>25</v>
      </c>
      <c r="I1058" s="31">
        <f t="shared" si="108"/>
        <v>25000</v>
      </c>
      <c r="J1058" s="31">
        <f t="shared" si="109"/>
        <v>1750.0000000000002</v>
      </c>
      <c r="K1058" s="44">
        <f t="shared" si="110"/>
        <v>4.794520547945206</v>
      </c>
      <c r="L1058" s="3">
        <f t="shared" si="111"/>
        <v>354.79452054794524</v>
      </c>
      <c r="M1058" s="3">
        <f t="shared" si="112"/>
        <v>21.287671232876715</v>
      </c>
      <c r="N1058" s="67">
        <f t="shared" si="113"/>
        <v>333.50684931506851</v>
      </c>
      <c r="O1058" s="3"/>
      <c r="P1058" s="70" t="s">
        <v>18597</v>
      </c>
      <c r="Q1058" s="2" t="s">
        <v>349</v>
      </c>
      <c r="R1058" s="2" t="s">
        <v>1449</v>
      </c>
      <c r="T1058" t="s">
        <v>18666</v>
      </c>
      <c r="U1058" t="s">
        <v>18652</v>
      </c>
      <c r="V1058" s="104">
        <v>45857</v>
      </c>
      <c r="X1058" s="97"/>
      <c r="Y1058" s="75">
        <v>333.51</v>
      </c>
    </row>
    <row r="1059" spans="1:25" x14ac:dyDescent="0.25">
      <c r="A1059" s="76">
        <v>1090</v>
      </c>
      <c r="B1059" s="2" t="s">
        <v>15714</v>
      </c>
      <c r="C1059" s="2" t="s">
        <v>15715</v>
      </c>
      <c r="D1059" s="2" t="s">
        <v>15716</v>
      </c>
      <c r="E1059" s="2" t="s">
        <v>15717</v>
      </c>
      <c r="F1059" s="2" t="s">
        <v>15718</v>
      </c>
      <c r="G1059" s="2" t="s">
        <v>31</v>
      </c>
      <c r="H1059" s="17">
        <v>25</v>
      </c>
      <c r="I1059" s="31">
        <f t="shared" si="108"/>
        <v>25000</v>
      </c>
      <c r="J1059" s="31">
        <f t="shared" si="109"/>
        <v>1750.0000000000002</v>
      </c>
      <c r="K1059" s="44">
        <f t="shared" si="110"/>
        <v>4.794520547945206</v>
      </c>
      <c r="L1059" s="3">
        <f t="shared" si="111"/>
        <v>354.79452054794524</v>
      </c>
      <c r="M1059" s="3">
        <f t="shared" si="112"/>
        <v>21.287671232876715</v>
      </c>
      <c r="N1059" s="67">
        <f t="shared" si="113"/>
        <v>333.50684931506851</v>
      </c>
      <c r="O1059" s="3"/>
      <c r="P1059" s="70" t="s">
        <v>18597</v>
      </c>
      <c r="Q1059" s="2" t="s">
        <v>349</v>
      </c>
      <c r="R1059" s="2" t="s">
        <v>15719</v>
      </c>
      <c r="T1059" t="s">
        <v>18666</v>
      </c>
      <c r="U1059" t="s">
        <v>18652</v>
      </c>
      <c r="V1059" s="104">
        <v>45857</v>
      </c>
      <c r="X1059" s="97"/>
      <c r="Y1059" s="75">
        <v>333.51</v>
      </c>
    </row>
    <row r="1060" spans="1:25" x14ac:dyDescent="0.25">
      <c r="A1060" s="76">
        <v>1091</v>
      </c>
      <c r="B1060" s="2" t="s">
        <v>13891</v>
      </c>
      <c r="C1060" s="2" t="s">
        <v>13892</v>
      </c>
      <c r="D1060" s="2" t="s">
        <v>13893</v>
      </c>
      <c r="E1060" s="2" t="s">
        <v>13894</v>
      </c>
      <c r="F1060" s="2" t="s">
        <v>13895</v>
      </c>
      <c r="G1060" s="2" t="s">
        <v>543</v>
      </c>
      <c r="H1060" s="17">
        <v>25</v>
      </c>
      <c r="I1060" s="31">
        <f t="shared" si="108"/>
        <v>25000</v>
      </c>
      <c r="J1060" s="31">
        <f t="shared" si="109"/>
        <v>1750.0000000000002</v>
      </c>
      <c r="K1060" s="44">
        <f t="shared" si="110"/>
        <v>4.794520547945206</v>
      </c>
      <c r="L1060" s="3">
        <f t="shared" si="111"/>
        <v>354.79452054794524</v>
      </c>
      <c r="M1060" s="3">
        <f t="shared" si="112"/>
        <v>21.287671232876715</v>
      </c>
      <c r="N1060" s="67">
        <f t="shared" si="113"/>
        <v>333.50684931506851</v>
      </c>
      <c r="O1060" s="3"/>
      <c r="P1060" s="70" t="s">
        <v>18597</v>
      </c>
      <c r="Q1060" s="2" t="s">
        <v>349</v>
      </c>
      <c r="R1060" s="2" t="s">
        <v>13896</v>
      </c>
      <c r="T1060" t="s">
        <v>18666</v>
      </c>
      <c r="U1060" t="s">
        <v>18652</v>
      </c>
      <c r="V1060" s="104">
        <v>45857</v>
      </c>
      <c r="X1060" s="97"/>
      <c r="Y1060" s="75">
        <v>333.51</v>
      </c>
    </row>
    <row r="1061" spans="1:25" x14ac:dyDescent="0.25">
      <c r="A1061" s="76">
        <v>1092</v>
      </c>
      <c r="B1061" s="2" t="s">
        <v>1244</v>
      </c>
      <c r="C1061" s="2" t="s">
        <v>1245</v>
      </c>
      <c r="D1061" s="2" t="s">
        <v>1246</v>
      </c>
      <c r="E1061" s="2" t="s">
        <v>1247</v>
      </c>
      <c r="F1061" s="2" t="s">
        <v>1248</v>
      </c>
      <c r="G1061" s="2" t="s">
        <v>31</v>
      </c>
      <c r="H1061" s="17">
        <v>25</v>
      </c>
      <c r="I1061" s="31">
        <f t="shared" si="108"/>
        <v>25000</v>
      </c>
      <c r="J1061" s="31">
        <f t="shared" si="109"/>
        <v>1750.0000000000002</v>
      </c>
      <c r="K1061" s="44">
        <f t="shared" si="110"/>
        <v>4.794520547945206</v>
      </c>
      <c r="L1061" s="3">
        <f t="shared" si="111"/>
        <v>354.79452054794524</v>
      </c>
      <c r="M1061" s="3">
        <f t="shared" si="112"/>
        <v>21.287671232876715</v>
      </c>
      <c r="N1061" s="67">
        <f t="shared" si="113"/>
        <v>333.50684931506851</v>
      </c>
      <c r="O1061" s="3"/>
      <c r="P1061" s="70" t="s">
        <v>18597</v>
      </c>
      <c r="Q1061" s="2" t="s">
        <v>349</v>
      </c>
      <c r="R1061" s="2" t="s">
        <v>1249</v>
      </c>
      <c r="T1061" t="s">
        <v>18666</v>
      </c>
      <c r="U1061" t="s">
        <v>18652</v>
      </c>
      <c r="V1061" s="104">
        <v>45857</v>
      </c>
      <c r="X1061" s="97"/>
      <c r="Y1061" s="75">
        <v>333.51</v>
      </c>
    </row>
    <row r="1062" spans="1:25" x14ac:dyDescent="0.25">
      <c r="A1062" s="76">
        <v>1093</v>
      </c>
      <c r="B1062" s="2" t="s">
        <v>3530</v>
      </c>
      <c r="C1062" s="2" t="s">
        <v>3531</v>
      </c>
      <c r="D1062" s="2" t="s">
        <v>3532</v>
      </c>
      <c r="E1062" s="2" t="s">
        <v>3533</v>
      </c>
      <c r="F1062" s="2" t="s">
        <v>3534</v>
      </c>
      <c r="G1062" s="2" t="s">
        <v>31</v>
      </c>
      <c r="H1062" s="17">
        <v>25</v>
      </c>
      <c r="I1062" s="31">
        <f t="shared" si="108"/>
        <v>25000</v>
      </c>
      <c r="J1062" s="31">
        <f t="shared" si="109"/>
        <v>1750.0000000000002</v>
      </c>
      <c r="K1062" s="44">
        <f t="shared" si="110"/>
        <v>4.794520547945206</v>
      </c>
      <c r="L1062" s="3">
        <f t="shared" si="111"/>
        <v>354.79452054794524</v>
      </c>
      <c r="M1062" s="3">
        <f t="shared" si="112"/>
        <v>21.287671232876715</v>
      </c>
      <c r="N1062" s="67">
        <f t="shared" si="113"/>
        <v>333.50684931506851</v>
      </c>
      <c r="O1062" s="3"/>
      <c r="P1062" s="70" t="s">
        <v>18597</v>
      </c>
      <c r="Q1062" s="2" t="s">
        <v>349</v>
      </c>
      <c r="R1062" s="2" t="s">
        <v>3535</v>
      </c>
      <c r="T1062" t="s">
        <v>18666</v>
      </c>
      <c r="U1062" t="s">
        <v>18652</v>
      </c>
      <c r="V1062" s="104">
        <v>45857</v>
      </c>
      <c r="X1062" s="97"/>
      <c r="Y1062" s="75">
        <v>333.51</v>
      </c>
    </row>
    <row r="1063" spans="1:25" x14ac:dyDescent="0.25">
      <c r="A1063" s="76">
        <v>1094</v>
      </c>
      <c r="B1063" s="2" t="s">
        <v>12729</v>
      </c>
      <c r="C1063" s="2" t="s">
        <v>12730</v>
      </c>
      <c r="D1063" s="2" t="s">
        <v>12731</v>
      </c>
      <c r="E1063" s="2" t="s">
        <v>12732</v>
      </c>
      <c r="F1063" s="2" t="s">
        <v>12733</v>
      </c>
      <c r="G1063" s="2" t="s">
        <v>5013</v>
      </c>
      <c r="H1063" s="17">
        <v>25</v>
      </c>
      <c r="I1063" s="31">
        <f t="shared" si="108"/>
        <v>25000</v>
      </c>
      <c r="J1063" s="31">
        <f t="shared" si="109"/>
        <v>1750.0000000000002</v>
      </c>
      <c r="K1063" s="44">
        <f t="shared" si="110"/>
        <v>4.794520547945206</v>
      </c>
      <c r="L1063" s="3">
        <f t="shared" si="111"/>
        <v>354.79452054794524</v>
      </c>
      <c r="M1063" s="3">
        <f t="shared" si="112"/>
        <v>21.287671232876715</v>
      </c>
      <c r="N1063" s="67">
        <f t="shared" si="113"/>
        <v>333.50684931506851</v>
      </c>
      <c r="O1063" s="3"/>
      <c r="P1063" s="70" t="s">
        <v>18597</v>
      </c>
      <c r="Q1063" s="2" t="s">
        <v>349</v>
      </c>
      <c r="R1063" s="2" t="s">
        <v>12734</v>
      </c>
      <c r="T1063" t="s">
        <v>18666</v>
      </c>
      <c r="U1063" t="s">
        <v>18652</v>
      </c>
      <c r="V1063" s="104">
        <v>45857</v>
      </c>
      <c r="X1063" s="97"/>
      <c r="Y1063" s="75">
        <v>333.51</v>
      </c>
    </row>
    <row r="1064" spans="1:25" x14ac:dyDescent="0.25">
      <c r="A1064" s="76">
        <v>1095</v>
      </c>
      <c r="B1064" s="2" t="s">
        <v>13101</v>
      </c>
      <c r="C1064" s="2" t="s">
        <v>13102</v>
      </c>
      <c r="D1064" s="2" t="s">
        <v>13103</v>
      </c>
      <c r="E1064" s="2" t="s">
        <v>13104</v>
      </c>
      <c r="F1064" s="2" t="s">
        <v>13105</v>
      </c>
      <c r="G1064" s="2" t="s">
        <v>1315</v>
      </c>
      <c r="H1064" s="17">
        <v>26</v>
      </c>
      <c r="I1064" s="31">
        <f t="shared" si="108"/>
        <v>26000</v>
      </c>
      <c r="J1064" s="31">
        <f t="shared" si="109"/>
        <v>1820.0000000000002</v>
      </c>
      <c r="K1064" s="44">
        <f t="shared" si="110"/>
        <v>4.9863013698630141</v>
      </c>
      <c r="L1064" s="3">
        <f t="shared" si="111"/>
        <v>368.98630136986304</v>
      </c>
      <c r="M1064" s="3">
        <f t="shared" si="112"/>
        <v>22.139178082191783</v>
      </c>
      <c r="N1064" s="67">
        <f t="shared" si="113"/>
        <v>346.84712328767125</v>
      </c>
      <c r="O1064" s="3"/>
      <c r="P1064" s="70" t="s">
        <v>18597</v>
      </c>
      <c r="Q1064" s="2" t="s">
        <v>349</v>
      </c>
      <c r="R1064" s="2" t="s">
        <v>13106</v>
      </c>
      <c r="T1064" t="s">
        <v>18666</v>
      </c>
      <c r="U1064" t="s">
        <v>18652</v>
      </c>
      <c r="V1064" s="104">
        <v>45857</v>
      </c>
      <c r="X1064" s="97"/>
      <c r="Y1064" s="75">
        <v>346.84999999999997</v>
      </c>
    </row>
    <row r="1065" spans="1:25" x14ac:dyDescent="0.25">
      <c r="A1065" s="76">
        <v>1096</v>
      </c>
      <c r="B1065" s="2" t="s">
        <v>16792</v>
      </c>
      <c r="C1065" s="2" t="s">
        <v>16793</v>
      </c>
      <c r="D1065" s="2" t="s">
        <v>16794</v>
      </c>
      <c r="E1065" s="2" t="s">
        <v>16795</v>
      </c>
      <c r="F1065" s="2" t="s">
        <v>16796</v>
      </c>
      <c r="G1065" s="2" t="s">
        <v>643</v>
      </c>
      <c r="H1065" s="17">
        <v>25</v>
      </c>
      <c r="I1065" s="31">
        <f t="shared" si="108"/>
        <v>25000</v>
      </c>
      <c r="J1065" s="31">
        <f t="shared" si="109"/>
        <v>1750.0000000000002</v>
      </c>
      <c r="K1065" s="44">
        <f t="shared" si="110"/>
        <v>4.794520547945206</v>
      </c>
      <c r="L1065" s="3">
        <f t="shared" si="111"/>
        <v>354.79452054794524</v>
      </c>
      <c r="M1065" s="3">
        <f t="shared" si="112"/>
        <v>21.287671232876715</v>
      </c>
      <c r="N1065" s="67">
        <f t="shared" si="113"/>
        <v>333.50684931506851</v>
      </c>
      <c r="O1065" s="3"/>
      <c r="P1065" s="70" t="s">
        <v>18597</v>
      </c>
      <c r="Q1065" s="2" t="s">
        <v>349</v>
      </c>
      <c r="R1065" s="2" t="s">
        <v>16797</v>
      </c>
      <c r="T1065" t="s">
        <v>18666</v>
      </c>
      <c r="U1065" t="s">
        <v>18652</v>
      </c>
      <c r="V1065" s="104">
        <v>45857</v>
      </c>
      <c r="X1065" s="97"/>
      <c r="Y1065" s="75">
        <v>333.51</v>
      </c>
    </row>
    <row r="1066" spans="1:25" x14ac:dyDescent="0.25">
      <c r="A1066" s="76">
        <v>1097</v>
      </c>
      <c r="B1066" s="2" t="s">
        <v>6195</v>
      </c>
      <c r="C1066" s="2" t="s">
        <v>6196</v>
      </c>
      <c r="D1066" s="2" t="s">
        <v>6197</v>
      </c>
      <c r="E1066" s="2" t="s">
        <v>6198</v>
      </c>
      <c r="F1066" s="2" t="s">
        <v>6199</v>
      </c>
      <c r="G1066" s="2" t="s">
        <v>381</v>
      </c>
      <c r="H1066" s="17">
        <v>100</v>
      </c>
      <c r="I1066" s="31">
        <f t="shared" si="108"/>
        <v>100000</v>
      </c>
      <c r="J1066" s="31">
        <f t="shared" si="109"/>
        <v>7000.0000000000009</v>
      </c>
      <c r="K1066" s="44">
        <f t="shared" si="110"/>
        <v>19.178082191780824</v>
      </c>
      <c r="L1066" s="3">
        <f t="shared" si="111"/>
        <v>1419.178082191781</v>
      </c>
      <c r="M1066" s="3">
        <f t="shared" si="112"/>
        <v>85.150684931506859</v>
      </c>
      <c r="N1066" s="67">
        <f t="shared" si="113"/>
        <v>1334.027397260274</v>
      </c>
      <c r="O1066" s="3"/>
      <c r="P1066" s="70" t="s">
        <v>18597</v>
      </c>
      <c r="Q1066" s="2" t="s">
        <v>349</v>
      </c>
      <c r="R1066" s="2" t="s">
        <v>6200</v>
      </c>
      <c r="T1066" t="s">
        <v>18666</v>
      </c>
      <c r="U1066" t="s">
        <v>18652</v>
      </c>
      <c r="V1066" s="104">
        <v>45857</v>
      </c>
      <c r="X1066" s="97"/>
      <c r="Y1066" s="75">
        <v>1334.03</v>
      </c>
    </row>
    <row r="1067" spans="1:25" x14ac:dyDescent="0.25">
      <c r="A1067" s="76">
        <v>1098</v>
      </c>
      <c r="B1067" s="2" t="s">
        <v>9983</v>
      </c>
      <c r="C1067" s="2" t="s">
        <v>9984</v>
      </c>
      <c r="D1067" s="2" t="s">
        <v>9985</v>
      </c>
      <c r="E1067" s="2" t="s">
        <v>9986</v>
      </c>
      <c r="F1067" s="2" t="s">
        <v>9987</v>
      </c>
      <c r="G1067" s="2" t="s">
        <v>31</v>
      </c>
      <c r="H1067" s="17">
        <v>25</v>
      </c>
      <c r="I1067" s="31">
        <f t="shared" si="108"/>
        <v>25000</v>
      </c>
      <c r="J1067" s="31">
        <f t="shared" si="109"/>
        <v>1750.0000000000002</v>
      </c>
      <c r="K1067" s="44">
        <f t="shared" si="110"/>
        <v>4.794520547945206</v>
      </c>
      <c r="L1067" s="3">
        <f t="shared" si="111"/>
        <v>354.79452054794524</v>
      </c>
      <c r="M1067" s="3">
        <f t="shared" si="112"/>
        <v>21.287671232876715</v>
      </c>
      <c r="N1067" s="67">
        <f t="shared" si="113"/>
        <v>333.50684931506851</v>
      </c>
      <c r="O1067" s="3"/>
      <c r="P1067" s="70" t="s">
        <v>18597</v>
      </c>
      <c r="Q1067" s="2" t="s">
        <v>349</v>
      </c>
      <c r="R1067" s="2" t="s">
        <v>9988</v>
      </c>
      <c r="T1067" t="s">
        <v>18666</v>
      </c>
      <c r="U1067" t="s">
        <v>18652</v>
      </c>
      <c r="V1067" s="104">
        <v>45857</v>
      </c>
      <c r="X1067" s="97"/>
      <c r="Y1067" s="75">
        <v>333.51</v>
      </c>
    </row>
    <row r="1068" spans="1:25" x14ac:dyDescent="0.25">
      <c r="A1068" s="76">
        <v>1099</v>
      </c>
      <c r="B1068" s="2" t="s">
        <v>9254</v>
      </c>
      <c r="C1068" s="2" t="s">
        <v>9255</v>
      </c>
      <c r="D1068" s="2" t="s">
        <v>9256</v>
      </c>
      <c r="E1068" s="2" t="s">
        <v>9257</v>
      </c>
      <c r="F1068" s="2" t="s">
        <v>9258</v>
      </c>
      <c r="G1068" s="2" t="s">
        <v>31</v>
      </c>
      <c r="H1068" s="17">
        <v>25</v>
      </c>
      <c r="I1068" s="31">
        <f t="shared" si="108"/>
        <v>25000</v>
      </c>
      <c r="J1068" s="31">
        <f t="shared" si="109"/>
        <v>1750.0000000000002</v>
      </c>
      <c r="K1068" s="44">
        <f t="shared" si="110"/>
        <v>4.794520547945206</v>
      </c>
      <c r="L1068" s="3">
        <f t="shared" si="111"/>
        <v>354.79452054794524</v>
      </c>
      <c r="M1068" s="3">
        <f t="shared" si="112"/>
        <v>21.287671232876715</v>
      </c>
      <c r="N1068" s="67">
        <f t="shared" si="113"/>
        <v>333.50684931506851</v>
      </c>
      <c r="O1068" s="3"/>
      <c r="P1068" s="70" t="s">
        <v>18597</v>
      </c>
      <c r="Q1068" s="2" t="s">
        <v>349</v>
      </c>
      <c r="R1068" s="2" t="s">
        <v>9259</v>
      </c>
      <c r="T1068" t="s">
        <v>18666</v>
      </c>
      <c r="U1068" t="s">
        <v>18652</v>
      </c>
      <c r="V1068" s="104">
        <v>45857</v>
      </c>
      <c r="X1068" s="97"/>
      <c r="Y1068" s="75">
        <v>333.51</v>
      </c>
    </row>
    <row r="1069" spans="1:25" x14ac:dyDescent="0.25">
      <c r="A1069" s="76">
        <v>1100</v>
      </c>
      <c r="B1069" s="2" t="s">
        <v>9188</v>
      </c>
      <c r="C1069" s="2" t="s">
        <v>9189</v>
      </c>
      <c r="D1069" s="2" t="s">
        <v>9190</v>
      </c>
      <c r="E1069" s="2" t="s">
        <v>9191</v>
      </c>
      <c r="F1069" s="2" t="s">
        <v>9192</v>
      </c>
      <c r="G1069" s="2" t="s">
        <v>5013</v>
      </c>
      <c r="H1069" s="17">
        <v>50</v>
      </c>
      <c r="I1069" s="31">
        <f t="shared" si="108"/>
        <v>50000</v>
      </c>
      <c r="J1069" s="31">
        <f t="shared" si="109"/>
        <v>3500.0000000000005</v>
      </c>
      <c r="K1069" s="44">
        <f t="shared" si="110"/>
        <v>9.589041095890412</v>
      </c>
      <c r="L1069" s="3">
        <f t="shared" si="111"/>
        <v>709.58904109589048</v>
      </c>
      <c r="M1069" s="3">
        <f t="shared" si="112"/>
        <v>42.57534246575343</v>
      </c>
      <c r="N1069" s="67">
        <f t="shared" si="113"/>
        <v>667.01369863013701</v>
      </c>
      <c r="O1069" s="3"/>
      <c r="P1069" s="70" t="s">
        <v>18597</v>
      </c>
      <c r="Q1069" s="2" t="s">
        <v>349</v>
      </c>
      <c r="R1069" s="2" t="s">
        <v>9193</v>
      </c>
      <c r="T1069" t="s">
        <v>18666</v>
      </c>
      <c r="U1069" t="s">
        <v>18652</v>
      </c>
      <c r="V1069" s="104">
        <v>45857</v>
      </c>
      <c r="X1069" s="97"/>
      <c r="Y1069" s="75">
        <v>667.02</v>
      </c>
    </row>
    <row r="1070" spans="1:25" x14ac:dyDescent="0.25">
      <c r="A1070" s="76">
        <v>1101</v>
      </c>
      <c r="B1070" s="2" t="s">
        <v>17478</v>
      </c>
      <c r="C1070" s="2" t="s">
        <v>17479</v>
      </c>
      <c r="D1070" s="2" t="s">
        <v>17480</v>
      </c>
      <c r="E1070" s="2" t="s">
        <v>17481</v>
      </c>
      <c r="F1070" s="2" t="s">
        <v>2094</v>
      </c>
      <c r="G1070" s="2" t="s">
        <v>3399</v>
      </c>
      <c r="H1070" s="17">
        <v>25</v>
      </c>
      <c r="I1070" s="31">
        <f t="shared" si="108"/>
        <v>25000</v>
      </c>
      <c r="J1070" s="31">
        <f t="shared" si="109"/>
        <v>1750.0000000000002</v>
      </c>
      <c r="K1070" s="44">
        <f t="shared" si="110"/>
        <v>4.794520547945206</v>
      </c>
      <c r="L1070" s="3">
        <f t="shared" si="111"/>
        <v>354.79452054794524</v>
      </c>
      <c r="M1070" s="3">
        <f t="shared" si="112"/>
        <v>21.287671232876715</v>
      </c>
      <c r="N1070" s="67">
        <f t="shared" si="113"/>
        <v>333.50684931506851</v>
      </c>
      <c r="O1070" s="3"/>
      <c r="P1070" s="70" t="s">
        <v>18625</v>
      </c>
      <c r="Q1070" s="2" t="s">
        <v>3828</v>
      </c>
      <c r="R1070" s="2" t="s">
        <v>17482</v>
      </c>
      <c r="T1070" t="s">
        <v>18666</v>
      </c>
      <c r="U1070" t="s">
        <v>18652</v>
      </c>
      <c r="V1070" s="104">
        <v>45857</v>
      </c>
      <c r="X1070" s="97"/>
      <c r="Y1070" s="75">
        <v>333.51</v>
      </c>
    </row>
    <row r="1071" spans="1:25" x14ac:dyDescent="0.25">
      <c r="A1071" s="76">
        <v>1102</v>
      </c>
      <c r="B1071" s="2" t="s">
        <v>16206</v>
      </c>
      <c r="C1071" s="2" t="s">
        <v>16207</v>
      </c>
      <c r="D1071" s="2" t="s">
        <v>16208</v>
      </c>
      <c r="E1071" s="2" t="s">
        <v>16209</v>
      </c>
      <c r="F1071" s="2" t="s">
        <v>16210</v>
      </c>
      <c r="G1071" s="2" t="s">
        <v>31</v>
      </c>
      <c r="H1071" s="17">
        <v>25</v>
      </c>
      <c r="I1071" s="31">
        <f t="shared" si="108"/>
        <v>25000</v>
      </c>
      <c r="J1071" s="31">
        <f t="shared" si="109"/>
        <v>1750.0000000000002</v>
      </c>
      <c r="K1071" s="44">
        <f t="shared" si="110"/>
        <v>4.794520547945206</v>
      </c>
      <c r="L1071" s="3">
        <f t="shared" si="111"/>
        <v>354.79452054794524</v>
      </c>
      <c r="M1071" s="3">
        <f t="shared" si="112"/>
        <v>21.287671232876715</v>
      </c>
      <c r="N1071" s="67">
        <f t="shared" si="113"/>
        <v>333.50684931506851</v>
      </c>
      <c r="O1071" s="3"/>
      <c r="P1071" s="70" t="s">
        <v>18625</v>
      </c>
      <c r="Q1071" s="2" t="s">
        <v>3828</v>
      </c>
      <c r="R1071" s="2" t="s">
        <v>16211</v>
      </c>
      <c r="T1071" t="s">
        <v>18666</v>
      </c>
      <c r="U1071" t="s">
        <v>18652</v>
      </c>
      <c r="V1071" s="104">
        <v>45857</v>
      </c>
      <c r="X1071" s="97"/>
      <c r="Y1071" s="75">
        <v>333.51</v>
      </c>
    </row>
    <row r="1072" spans="1:25" x14ac:dyDescent="0.25">
      <c r="A1072" s="76">
        <v>1103</v>
      </c>
      <c r="B1072" s="2" t="s">
        <v>10673</v>
      </c>
      <c r="C1072" s="2" t="s">
        <v>10674</v>
      </c>
      <c r="D1072" s="2" t="s">
        <v>10675</v>
      </c>
      <c r="E1072" s="2" t="s">
        <v>10676</v>
      </c>
      <c r="F1072" s="2" t="s">
        <v>10677</v>
      </c>
      <c r="G1072" s="2" t="s">
        <v>247</v>
      </c>
      <c r="H1072" s="17">
        <v>450</v>
      </c>
      <c r="I1072" s="31">
        <f t="shared" si="108"/>
        <v>450000</v>
      </c>
      <c r="J1072" s="31">
        <f t="shared" si="109"/>
        <v>31500.000000000004</v>
      </c>
      <c r="K1072" s="44">
        <f t="shared" si="110"/>
        <v>86.301369863013704</v>
      </c>
      <c r="L1072" s="3">
        <f t="shared" si="111"/>
        <v>6386.3013698630139</v>
      </c>
      <c r="M1072" s="3">
        <f t="shared" si="112"/>
        <v>383.17808219178085</v>
      </c>
      <c r="N1072" s="67">
        <f t="shared" si="113"/>
        <v>6003.1232876712329</v>
      </c>
      <c r="O1072" s="3"/>
      <c r="P1072" s="70" t="s">
        <v>18625</v>
      </c>
      <c r="Q1072" s="2" t="s">
        <v>3828</v>
      </c>
      <c r="R1072" s="2" t="s">
        <v>10678</v>
      </c>
      <c r="T1072" t="s">
        <v>18666</v>
      </c>
      <c r="U1072" t="s">
        <v>18652</v>
      </c>
      <c r="V1072" s="104">
        <v>45857</v>
      </c>
      <c r="X1072" s="97"/>
      <c r="Y1072" s="75">
        <v>6003.13</v>
      </c>
    </row>
    <row r="1073" spans="1:25" x14ac:dyDescent="0.25">
      <c r="A1073" s="76">
        <v>1104</v>
      </c>
      <c r="B1073" s="2" t="s">
        <v>9109</v>
      </c>
      <c r="C1073" s="2" t="s">
        <v>9110</v>
      </c>
      <c r="D1073" s="2" t="s">
        <v>9111</v>
      </c>
      <c r="E1073" s="2" t="s">
        <v>9112</v>
      </c>
      <c r="F1073" s="2" t="s">
        <v>9113</v>
      </c>
      <c r="G1073" s="2" t="s">
        <v>643</v>
      </c>
      <c r="H1073" s="17">
        <v>100</v>
      </c>
      <c r="I1073" s="31">
        <f t="shared" si="108"/>
        <v>100000</v>
      </c>
      <c r="J1073" s="31">
        <f t="shared" si="109"/>
        <v>7000.0000000000009</v>
      </c>
      <c r="K1073" s="44">
        <f t="shared" si="110"/>
        <v>19.178082191780824</v>
      </c>
      <c r="L1073" s="3">
        <f t="shared" si="111"/>
        <v>1419.178082191781</v>
      </c>
      <c r="M1073" s="3">
        <f t="shared" si="112"/>
        <v>85.150684931506859</v>
      </c>
      <c r="N1073" s="67">
        <f t="shared" si="113"/>
        <v>1334.027397260274</v>
      </c>
      <c r="O1073" s="3"/>
      <c r="P1073" s="70" t="s">
        <v>18625</v>
      </c>
      <c r="Q1073" s="2" t="s">
        <v>3828</v>
      </c>
      <c r="R1073" s="2" t="s">
        <v>9114</v>
      </c>
      <c r="T1073" t="s">
        <v>18666</v>
      </c>
      <c r="U1073" t="s">
        <v>18652</v>
      </c>
      <c r="V1073" s="104">
        <v>45857</v>
      </c>
      <c r="X1073" s="97"/>
      <c r="Y1073" s="75">
        <v>1334.03</v>
      </c>
    </row>
    <row r="1074" spans="1:25" x14ac:dyDescent="0.25">
      <c r="A1074" s="76">
        <v>1105</v>
      </c>
      <c r="B1074" s="2" t="s">
        <v>9133</v>
      </c>
      <c r="C1074" s="2" t="s">
        <v>9134</v>
      </c>
      <c r="D1074" s="2" t="s">
        <v>9111</v>
      </c>
      <c r="E1074" s="2" t="s">
        <v>9112</v>
      </c>
      <c r="F1074" s="2" t="s">
        <v>9135</v>
      </c>
      <c r="G1074" s="2" t="s">
        <v>643</v>
      </c>
      <c r="H1074" s="17">
        <v>100</v>
      </c>
      <c r="I1074" s="31">
        <f t="shared" si="108"/>
        <v>100000</v>
      </c>
      <c r="J1074" s="31">
        <f t="shared" si="109"/>
        <v>7000.0000000000009</v>
      </c>
      <c r="K1074" s="44">
        <f t="shared" si="110"/>
        <v>19.178082191780824</v>
      </c>
      <c r="L1074" s="3">
        <f t="shared" si="111"/>
        <v>1419.178082191781</v>
      </c>
      <c r="M1074" s="3">
        <f t="shared" si="112"/>
        <v>85.150684931506859</v>
      </c>
      <c r="N1074" s="67">
        <f t="shared" si="113"/>
        <v>1334.027397260274</v>
      </c>
      <c r="O1074" s="3"/>
      <c r="P1074" s="70" t="s">
        <v>18625</v>
      </c>
      <c r="Q1074" s="2" t="s">
        <v>3828</v>
      </c>
      <c r="R1074" s="2" t="s">
        <v>9136</v>
      </c>
      <c r="T1074" t="s">
        <v>18666</v>
      </c>
      <c r="U1074" t="s">
        <v>18652</v>
      </c>
      <c r="V1074" s="104">
        <v>45857</v>
      </c>
      <c r="X1074" s="97"/>
      <c r="Y1074" s="75">
        <v>1334.03</v>
      </c>
    </row>
    <row r="1075" spans="1:25" x14ac:dyDescent="0.25">
      <c r="A1075" s="76">
        <v>1106</v>
      </c>
      <c r="B1075" s="2" t="s">
        <v>9844</v>
      </c>
      <c r="C1075" s="2" t="s">
        <v>9845</v>
      </c>
      <c r="D1075" s="2" t="s">
        <v>9846</v>
      </c>
      <c r="E1075" s="2" t="s">
        <v>9847</v>
      </c>
      <c r="F1075" s="2" t="s">
        <v>9848</v>
      </c>
      <c r="G1075" s="2" t="s">
        <v>193</v>
      </c>
      <c r="H1075" s="17">
        <v>100</v>
      </c>
      <c r="I1075" s="31">
        <f t="shared" si="108"/>
        <v>100000</v>
      </c>
      <c r="J1075" s="31">
        <f t="shared" si="109"/>
        <v>7000.0000000000009</v>
      </c>
      <c r="K1075" s="44">
        <f t="shared" si="110"/>
        <v>19.178082191780824</v>
      </c>
      <c r="L1075" s="3">
        <f t="shared" si="111"/>
        <v>1419.178082191781</v>
      </c>
      <c r="M1075" s="3">
        <f t="shared" si="112"/>
        <v>85.150684931506859</v>
      </c>
      <c r="N1075" s="67">
        <f t="shared" si="113"/>
        <v>1334.027397260274</v>
      </c>
      <c r="O1075" s="3"/>
      <c r="P1075" s="70" t="s">
        <v>18625</v>
      </c>
      <c r="Q1075" s="2" t="s">
        <v>3828</v>
      </c>
      <c r="R1075" s="2" t="s">
        <v>9849</v>
      </c>
      <c r="T1075" t="s">
        <v>18666</v>
      </c>
      <c r="U1075" t="s">
        <v>18652</v>
      </c>
      <c r="V1075" s="104">
        <v>45857</v>
      </c>
      <c r="X1075" s="97"/>
      <c r="Y1075" s="75">
        <v>1334.03</v>
      </c>
    </row>
    <row r="1076" spans="1:25" x14ac:dyDescent="0.25">
      <c r="A1076" s="76">
        <v>1107</v>
      </c>
      <c r="B1076" s="2" t="s">
        <v>3891</v>
      </c>
      <c r="C1076" s="2" t="s">
        <v>3892</v>
      </c>
      <c r="D1076" s="2" t="s">
        <v>3893</v>
      </c>
      <c r="E1076" s="2" t="s">
        <v>3894</v>
      </c>
      <c r="F1076" s="2" t="s">
        <v>3895</v>
      </c>
      <c r="G1076" s="2" t="s">
        <v>31</v>
      </c>
      <c r="H1076" s="17">
        <v>200</v>
      </c>
      <c r="I1076" s="31">
        <f t="shared" si="108"/>
        <v>200000</v>
      </c>
      <c r="J1076" s="31">
        <f t="shared" si="109"/>
        <v>14000.000000000002</v>
      </c>
      <c r="K1076" s="44">
        <f t="shared" si="110"/>
        <v>38.356164383561648</v>
      </c>
      <c r="L1076" s="3">
        <f t="shared" si="111"/>
        <v>2838.3561643835619</v>
      </c>
      <c r="M1076" s="3">
        <f t="shared" si="112"/>
        <v>170.30136986301372</v>
      </c>
      <c r="N1076" s="67">
        <f t="shared" si="113"/>
        <v>2668.0547945205481</v>
      </c>
      <c r="O1076" s="3"/>
      <c r="P1076" s="70" t="s">
        <v>18625</v>
      </c>
      <c r="Q1076" s="2" t="s">
        <v>3828</v>
      </c>
      <c r="R1076" s="2" t="s">
        <v>3896</v>
      </c>
      <c r="T1076" t="s">
        <v>18666</v>
      </c>
      <c r="U1076" t="s">
        <v>18652</v>
      </c>
      <c r="V1076" s="104">
        <v>45857</v>
      </c>
      <c r="X1076" s="97"/>
      <c r="Y1076" s="75">
        <v>2668.0600000000004</v>
      </c>
    </row>
    <row r="1077" spans="1:25" x14ac:dyDescent="0.25">
      <c r="A1077" s="76">
        <v>1108</v>
      </c>
      <c r="B1077" s="2" t="s">
        <v>14346</v>
      </c>
      <c r="C1077" s="2" t="s">
        <v>14347</v>
      </c>
      <c r="D1077" s="2" t="s">
        <v>14348</v>
      </c>
      <c r="E1077" s="2" t="s">
        <v>14349</v>
      </c>
      <c r="F1077" s="2" t="s">
        <v>14350</v>
      </c>
      <c r="G1077" s="2" t="s">
        <v>166</v>
      </c>
      <c r="H1077" s="17">
        <v>50</v>
      </c>
      <c r="I1077" s="31">
        <f t="shared" si="108"/>
        <v>50000</v>
      </c>
      <c r="J1077" s="31">
        <f t="shared" si="109"/>
        <v>3500.0000000000005</v>
      </c>
      <c r="K1077" s="44">
        <f t="shared" si="110"/>
        <v>9.589041095890412</v>
      </c>
      <c r="L1077" s="3">
        <f t="shared" si="111"/>
        <v>709.58904109589048</v>
      </c>
      <c r="M1077" s="3">
        <f t="shared" si="112"/>
        <v>42.57534246575343</v>
      </c>
      <c r="N1077" s="67">
        <f t="shared" si="113"/>
        <v>667.01369863013701</v>
      </c>
      <c r="O1077" s="3"/>
      <c r="P1077" s="70" t="s">
        <v>18625</v>
      </c>
      <c r="Q1077" s="2" t="s">
        <v>3828</v>
      </c>
      <c r="R1077" s="2" t="s">
        <v>14351</v>
      </c>
      <c r="T1077" t="s">
        <v>18666</v>
      </c>
      <c r="U1077" t="s">
        <v>18652</v>
      </c>
      <c r="V1077" s="104">
        <v>45857</v>
      </c>
      <c r="X1077" s="97"/>
      <c r="Y1077" s="75">
        <v>667.02</v>
      </c>
    </row>
    <row r="1078" spans="1:25" x14ac:dyDescent="0.25">
      <c r="A1078" s="76">
        <v>1109</v>
      </c>
      <c r="B1078" s="2" t="s">
        <v>11243</v>
      </c>
      <c r="C1078" s="2" t="s">
        <v>3825</v>
      </c>
      <c r="D1078" s="2" t="s">
        <v>3826</v>
      </c>
      <c r="E1078" s="2" t="s">
        <v>11244</v>
      </c>
      <c r="F1078" s="2" t="s">
        <v>11245</v>
      </c>
      <c r="G1078" s="2" t="s">
        <v>31</v>
      </c>
      <c r="H1078" s="17">
        <v>100</v>
      </c>
      <c r="I1078" s="31">
        <f t="shared" si="108"/>
        <v>100000</v>
      </c>
      <c r="J1078" s="31">
        <f t="shared" si="109"/>
        <v>7000.0000000000009</v>
      </c>
      <c r="K1078" s="44">
        <f t="shared" si="110"/>
        <v>19.178082191780824</v>
      </c>
      <c r="L1078" s="3">
        <f t="shared" si="111"/>
        <v>1419.178082191781</v>
      </c>
      <c r="M1078" s="3">
        <f t="shared" si="112"/>
        <v>85.150684931506859</v>
      </c>
      <c r="N1078" s="67">
        <f t="shared" si="113"/>
        <v>1334.027397260274</v>
      </c>
      <c r="O1078" s="3"/>
      <c r="P1078" s="70" t="s">
        <v>18625</v>
      </c>
      <c r="Q1078" s="2" t="s">
        <v>3828</v>
      </c>
      <c r="R1078" s="2" t="s">
        <v>11246</v>
      </c>
      <c r="T1078" t="s">
        <v>18666</v>
      </c>
      <c r="U1078" t="s">
        <v>18652</v>
      </c>
      <c r="V1078" s="104">
        <v>45857</v>
      </c>
      <c r="X1078" s="97"/>
      <c r="Y1078" s="75">
        <v>1334.03</v>
      </c>
    </row>
    <row r="1079" spans="1:25" x14ac:dyDescent="0.25">
      <c r="A1079" s="76">
        <v>1110</v>
      </c>
      <c r="B1079" s="2" t="s">
        <v>3823</v>
      </c>
      <c r="C1079" s="2" t="s">
        <v>3824</v>
      </c>
      <c r="D1079" s="2" t="s">
        <v>3825</v>
      </c>
      <c r="E1079" s="2" t="s">
        <v>3826</v>
      </c>
      <c r="F1079" s="2" t="s">
        <v>3827</v>
      </c>
      <c r="G1079" s="2" t="s">
        <v>31</v>
      </c>
      <c r="H1079" s="17">
        <v>500</v>
      </c>
      <c r="I1079" s="31">
        <f t="shared" si="108"/>
        <v>500000</v>
      </c>
      <c r="J1079" s="31">
        <f t="shared" si="109"/>
        <v>35000</v>
      </c>
      <c r="K1079" s="44">
        <f t="shared" si="110"/>
        <v>95.890410958904113</v>
      </c>
      <c r="L1079" s="3">
        <f t="shared" si="111"/>
        <v>7095.8904109589039</v>
      </c>
      <c r="M1079" s="3">
        <f t="shared" si="112"/>
        <v>425.7534246575342</v>
      </c>
      <c r="N1079" s="67">
        <f t="shared" si="113"/>
        <v>6670.1369863013697</v>
      </c>
      <c r="O1079" s="3"/>
      <c r="P1079" s="70" t="s">
        <v>18625</v>
      </c>
      <c r="Q1079" s="2" t="s">
        <v>3828</v>
      </c>
      <c r="R1079" s="2" t="s">
        <v>3829</v>
      </c>
      <c r="T1079" t="s">
        <v>18666</v>
      </c>
      <c r="U1079" t="s">
        <v>18652</v>
      </c>
      <c r="V1079" s="104">
        <v>45857</v>
      </c>
      <c r="X1079" s="97"/>
      <c r="Y1079" s="75">
        <v>6670.14</v>
      </c>
    </row>
    <row r="1080" spans="1:25" x14ac:dyDescent="0.25">
      <c r="A1080" s="76">
        <v>1111</v>
      </c>
      <c r="B1080" s="2" t="s">
        <v>13491</v>
      </c>
      <c r="C1080" s="2" t="s">
        <v>13492</v>
      </c>
      <c r="D1080" s="2" t="s">
        <v>13493</v>
      </c>
      <c r="E1080" s="2" t="s">
        <v>13494</v>
      </c>
      <c r="F1080" s="2" t="s">
        <v>13495</v>
      </c>
      <c r="G1080" s="2" t="s">
        <v>643</v>
      </c>
      <c r="H1080" s="17">
        <v>500</v>
      </c>
      <c r="I1080" s="31">
        <f t="shared" si="108"/>
        <v>500000</v>
      </c>
      <c r="J1080" s="31">
        <f t="shared" si="109"/>
        <v>35000</v>
      </c>
      <c r="K1080" s="44">
        <f t="shared" si="110"/>
        <v>95.890410958904113</v>
      </c>
      <c r="L1080" s="3">
        <f t="shared" si="111"/>
        <v>7095.8904109589039</v>
      </c>
      <c r="M1080" s="3">
        <f t="shared" si="112"/>
        <v>425.7534246575342</v>
      </c>
      <c r="N1080" s="67">
        <f t="shared" si="113"/>
        <v>6670.1369863013697</v>
      </c>
      <c r="O1080" s="3"/>
      <c r="P1080" s="70" t="s">
        <v>18625</v>
      </c>
      <c r="Q1080" s="2" t="s">
        <v>3828</v>
      </c>
      <c r="R1080" s="2" t="s">
        <v>13496</v>
      </c>
      <c r="T1080" t="s">
        <v>18666</v>
      </c>
      <c r="U1080" t="s">
        <v>18652</v>
      </c>
      <c r="V1080" s="104">
        <v>45857</v>
      </c>
      <c r="X1080" s="97"/>
      <c r="Y1080" s="75">
        <v>6670.14</v>
      </c>
    </row>
    <row r="1081" spans="1:25" x14ac:dyDescent="0.25">
      <c r="A1081" s="76">
        <v>1112</v>
      </c>
      <c r="B1081" s="2" t="s">
        <v>10130</v>
      </c>
      <c r="C1081" s="2" t="s">
        <v>10131</v>
      </c>
      <c r="D1081" s="2" t="s">
        <v>10132</v>
      </c>
      <c r="E1081" s="2" t="s">
        <v>5235</v>
      </c>
      <c r="F1081" s="2" t="s">
        <v>10133</v>
      </c>
      <c r="G1081" s="2" t="s">
        <v>226</v>
      </c>
      <c r="H1081" s="17">
        <v>50</v>
      </c>
      <c r="I1081" s="31">
        <f t="shared" si="108"/>
        <v>50000</v>
      </c>
      <c r="J1081" s="31">
        <f t="shared" si="109"/>
        <v>3500.0000000000005</v>
      </c>
      <c r="K1081" s="44">
        <f t="shared" si="110"/>
        <v>9.589041095890412</v>
      </c>
      <c r="L1081" s="3">
        <f t="shared" si="111"/>
        <v>709.58904109589048</v>
      </c>
      <c r="M1081" s="3">
        <f t="shared" si="112"/>
        <v>42.57534246575343</v>
      </c>
      <c r="N1081" s="67">
        <f t="shared" si="113"/>
        <v>667.01369863013701</v>
      </c>
      <c r="O1081" s="3"/>
      <c r="P1081" s="70" t="s">
        <v>18626</v>
      </c>
      <c r="Q1081" s="2" t="s">
        <v>636</v>
      </c>
      <c r="R1081" s="2" t="s">
        <v>10134</v>
      </c>
      <c r="T1081" t="s">
        <v>18666</v>
      </c>
      <c r="U1081" t="s">
        <v>18652</v>
      </c>
      <c r="V1081" s="104">
        <v>45857</v>
      </c>
      <c r="X1081" s="97"/>
      <c r="Y1081" s="75">
        <v>667.02</v>
      </c>
    </row>
    <row r="1082" spans="1:25" x14ac:dyDescent="0.25">
      <c r="A1082" s="76">
        <v>1113</v>
      </c>
      <c r="B1082" s="2" t="s">
        <v>4795</v>
      </c>
      <c r="C1082" s="2" t="s">
        <v>4796</v>
      </c>
      <c r="D1082" s="2" t="s">
        <v>4797</v>
      </c>
      <c r="E1082" s="2" t="s">
        <v>4798</v>
      </c>
      <c r="F1082" s="2" t="s">
        <v>4799</v>
      </c>
      <c r="G1082" s="2" t="s">
        <v>31</v>
      </c>
      <c r="H1082" s="17">
        <v>100</v>
      </c>
      <c r="I1082" s="31">
        <f t="shared" si="108"/>
        <v>100000</v>
      </c>
      <c r="J1082" s="31">
        <f t="shared" si="109"/>
        <v>7000.0000000000009</v>
      </c>
      <c r="K1082" s="44">
        <f t="shared" si="110"/>
        <v>19.178082191780824</v>
      </c>
      <c r="L1082" s="3">
        <f t="shared" si="111"/>
        <v>1419.178082191781</v>
      </c>
      <c r="M1082" s="3">
        <f t="shared" si="112"/>
        <v>85.150684931506859</v>
      </c>
      <c r="N1082" s="67">
        <f t="shared" si="113"/>
        <v>1334.027397260274</v>
      </c>
      <c r="O1082" s="3"/>
      <c r="P1082" s="70" t="s">
        <v>18626</v>
      </c>
      <c r="Q1082" s="2" t="s">
        <v>636</v>
      </c>
      <c r="R1082" s="2" t="s">
        <v>4800</v>
      </c>
      <c r="T1082" t="s">
        <v>18666</v>
      </c>
      <c r="U1082" t="s">
        <v>18652</v>
      </c>
      <c r="V1082" s="104">
        <v>45857</v>
      </c>
      <c r="X1082" s="97"/>
      <c r="Y1082" s="75">
        <v>1334.03</v>
      </c>
    </row>
    <row r="1083" spans="1:25" x14ac:dyDescent="0.25">
      <c r="A1083" s="76">
        <v>1114</v>
      </c>
      <c r="B1083" s="2" t="s">
        <v>6407</v>
      </c>
      <c r="C1083" s="2" t="s">
        <v>6408</v>
      </c>
      <c r="D1083" s="2" t="s">
        <v>6409</v>
      </c>
      <c r="E1083" s="2" t="s">
        <v>6410</v>
      </c>
      <c r="F1083" s="2" t="s">
        <v>6411</v>
      </c>
      <c r="G1083" s="2" t="s">
        <v>31</v>
      </c>
      <c r="H1083" s="17">
        <v>600</v>
      </c>
      <c r="I1083" s="31">
        <f t="shared" si="108"/>
        <v>600000</v>
      </c>
      <c r="J1083" s="31">
        <f t="shared" si="109"/>
        <v>42000.000000000007</v>
      </c>
      <c r="K1083" s="44">
        <f t="shared" si="110"/>
        <v>115.06849315068496</v>
      </c>
      <c r="L1083" s="3">
        <f t="shared" si="111"/>
        <v>8515.0684931506876</v>
      </c>
      <c r="M1083" s="3">
        <f t="shared" si="112"/>
        <v>510.90410958904124</v>
      </c>
      <c r="N1083" s="67">
        <f t="shared" si="113"/>
        <v>8004.164383561646</v>
      </c>
      <c r="O1083" s="3"/>
      <c r="P1083" s="70" t="s">
        <v>18626</v>
      </c>
      <c r="Q1083" s="2" t="s">
        <v>636</v>
      </c>
      <c r="R1083" s="2" t="s">
        <v>6412</v>
      </c>
      <c r="T1083" t="s">
        <v>18666</v>
      </c>
      <c r="U1083" t="s">
        <v>18652</v>
      </c>
      <c r="V1083" s="104">
        <v>45857</v>
      </c>
      <c r="X1083" s="97"/>
      <c r="Y1083" s="75">
        <v>8004.17</v>
      </c>
    </row>
    <row r="1084" spans="1:25" x14ac:dyDescent="0.25">
      <c r="A1084" s="76">
        <v>1115</v>
      </c>
      <c r="B1084" s="2" t="s">
        <v>7263</v>
      </c>
      <c r="C1084" s="2" t="s">
        <v>7264</v>
      </c>
      <c r="D1084" s="2" t="s">
        <v>7265</v>
      </c>
      <c r="E1084" s="2" t="s">
        <v>7266</v>
      </c>
      <c r="F1084" s="2" t="s">
        <v>7267</v>
      </c>
      <c r="G1084" s="2" t="s">
        <v>510</v>
      </c>
      <c r="H1084" s="17">
        <v>25</v>
      </c>
      <c r="I1084" s="31">
        <f t="shared" si="108"/>
        <v>25000</v>
      </c>
      <c r="J1084" s="31">
        <f t="shared" si="109"/>
        <v>1750.0000000000002</v>
      </c>
      <c r="K1084" s="44">
        <f t="shared" si="110"/>
        <v>4.794520547945206</v>
      </c>
      <c r="L1084" s="3">
        <f t="shared" si="111"/>
        <v>354.79452054794524</v>
      </c>
      <c r="M1084" s="3">
        <f t="shared" si="112"/>
        <v>21.287671232876715</v>
      </c>
      <c r="N1084" s="67">
        <f t="shared" si="113"/>
        <v>333.50684931506851</v>
      </c>
      <c r="O1084" s="3"/>
      <c r="P1084" s="70" t="s">
        <v>18626</v>
      </c>
      <c r="Q1084" s="2" t="s">
        <v>636</v>
      </c>
      <c r="R1084" s="2" t="s">
        <v>7268</v>
      </c>
      <c r="T1084" t="s">
        <v>18666</v>
      </c>
      <c r="U1084" t="s">
        <v>18652</v>
      </c>
      <c r="V1084" s="104">
        <v>45857</v>
      </c>
      <c r="X1084" s="97"/>
      <c r="Y1084" s="75">
        <v>333.51</v>
      </c>
    </row>
    <row r="1085" spans="1:25" x14ac:dyDescent="0.25">
      <c r="A1085" s="76">
        <v>1116</v>
      </c>
      <c r="B1085" s="2" t="s">
        <v>16850</v>
      </c>
      <c r="C1085" s="2" t="s">
        <v>16851</v>
      </c>
      <c r="D1085" s="2" t="s">
        <v>16852</v>
      </c>
      <c r="E1085" s="2" t="s">
        <v>16853</v>
      </c>
      <c r="F1085" s="2" t="s">
        <v>16854</v>
      </c>
      <c r="G1085" s="2" t="s">
        <v>750</v>
      </c>
      <c r="H1085" s="17">
        <v>25</v>
      </c>
      <c r="I1085" s="31">
        <f t="shared" si="108"/>
        <v>25000</v>
      </c>
      <c r="J1085" s="31">
        <f t="shared" si="109"/>
        <v>1750.0000000000002</v>
      </c>
      <c r="K1085" s="44">
        <f t="shared" si="110"/>
        <v>4.794520547945206</v>
      </c>
      <c r="L1085" s="3">
        <f t="shared" si="111"/>
        <v>354.79452054794524</v>
      </c>
      <c r="M1085" s="3">
        <f t="shared" si="112"/>
        <v>21.287671232876715</v>
      </c>
      <c r="N1085" s="67">
        <f t="shared" si="113"/>
        <v>333.50684931506851</v>
      </c>
      <c r="O1085" s="3"/>
      <c r="P1085" s="70" t="s">
        <v>18626</v>
      </c>
      <c r="Q1085" s="2" t="s">
        <v>636</v>
      </c>
      <c r="R1085" s="2" t="s">
        <v>16855</v>
      </c>
      <c r="T1085" t="s">
        <v>18666</v>
      </c>
      <c r="U1085" t="s">
        <v>18652</v>
      </c>
      <c r="V1085" s="104">
        <v>45857</v>
      </c>
      <c r="X1085" s="97"/>
      <c r="Y1085" s="75">
        <v>333.51</v>
      </c>
    </row>
    <row r="1086" spans="1:25" x14ac:dyDescent="0.25">
      <c r="A1086" s="76">
        <v>1117</v>
      </c>
      <c r="B1086" s="2" t="s">
        <v>15990</v>
      </c>
      <c r="C1086" s="2" t="s">
        <v>15991</v>
      </c>
      <c r="D1086" s="2" t="s">
        <v>15992</v>
      </c>
      <c r="E1086" s="2" t="s">
        <v>15993</v>
      </c>
      <c r="F1086" s="2" t="s">
        <v>15994</v>
      </c>
      <c r="G1086" s="2" t="s">
        <v>743</v>
      </c>
      <c r="H1086" s="17">
        <v>50</v>
      </c>
      <c r="I1086" s="31">
        <f t="shared" si="108"/>
        <v>50000</v>
      </c>
      <c r="J1086" s="31">
        <f t="shared" si="109"/>
        <v>3500.0000000000005</v>
      </c>
      <c r="K1086" s="44">
        <f t="shared" si="110"/>
        <v>9.589041095890412</v>
      </c>
      <c r="L1086" s="3">
        <f t="shared" si="111"/>
        <v>709.58904109589048</v>
      </c>
      <c r="M1086" s="3">
        <f t="shared" si="112"/>
        <v>42.57534246575343</v>
      </c>
      <c r="N1086" s="67">
        <f t="shared" si="113"/>
        <v>667.01369863013701</v>
      </c>
      <c r="O1086" s="3"/>
      <c r="P1086" s="70" t="s">
        <v>18626</v>
      </c>
      <c r="Q1086" s="2" t="s">
        <v>636</v>
      </c>
      <c r="R1086" s="2" t="s">
        <v>15995</v>
      </c>
      <c r="T1086" t="s">
        <v>18666</v>
      </c>
      <c r="U1086" t="s">
        <v>18652</v>
      </c>
      <c r="V1086" s="104">
        <v>45857</v>
      </c>
      <c r="X1086" s="97"/>
      <c r="Y1086" s="75">
        <v>667.02</v>
      </c>
    </row>
    <row r="1087" spans="1:25" x14ac:dyDescent="0.25">
      <c r="A1087" s="76">
        <v>1118</v>
      </c>
      <c r="B1087" s="2" t="s">
        <v>4334</v>
      </c>
      <c r="C1087" s="2" t="s">
        <v>4335</v>
      </c>
      <c r="D1087" s="2" t="s">
        <v>4336</v>
      </c>
      <c r="E1087" s="2" t="s">
        <v>4337</v>
      </c>
      <c r="F1087" s="2" t="s">
        <v>4338</v>
      </c>
      <c r="G1087" s="2" t="s">
        <v>282</v>
      </c>
      <c r="H1087" s="17">
        <v>200</v>
      </c>
      <c r="I1087" s="31">
        <f t="shared" si="108"/>
        <v>200000</v>
      </c>
      <c r="J1087" s="31">
        <f t="shared" si="109"/>
        <v>14000.000000000002</v>
      </c>
      <c r="K1087" s="44">
        <f t="shared" si="110"/>
        <v>38.356164383561648</v>
      </c>
      <c r="L1087" s="3">
        <f t="shared" si="111"/>
        <v>2838.3561643835619</v>
      </c>
      <c r="M1087" s="3">
        <f t="shared" si="112"/>
        <v>170.30136986301372</v>
      </c>
      <c r="N1087" s="67">
        <f t="shared" si="113"/>
        <v>2668.0547945205481</v>
      </c>
      <c r="O1087" s="3"/>
      <c r="P1087" s="70" t="s">
        <v>18626</v>
      </c>
      <c r="Q1087" s="2" t="s">
        <v>636</v>
      </c>
      <c r="R1087" s="2" t="s">
        <v>4339</v>
      </c>
      <c r="T1087" t="s">
        <v>18666</v>
      </c>
      <c r="U1087" t="s">
        <v>18652</v>
      </c>
      <c r="V1087" s="104">
        <v>45857</v>
      </c>
      <c r="X1087" s="97"/>
      <c r="Y1087" s="75">
        <v>2668.0600000000004</v>
      </c>
    </row>
    <row r="1088" spans="1:25" x14ac:dyDescent="0.25">
      <c r="A1088" s="76">
        <v>1119</v>
      </c>
      <c r="B1088" s="2" t="s">
        <v>3237</v>
      </c>
      <c r="C1088" s="2" t="s">
        <v>3238</v>
      </c>
      <c r="D1088" s="2" t="s">
        <v>3239</v>
      </c>
      <c r="E1088" s="2" t="s">
        <v>3240</v>
      </c>
      <c r="F1088" s="2" t="s">
        <v>3241</v>
      </c>
      <c r="G1088" s="2" t="s">
        <v>618</v>
      </c>
      <c r="H1088" s="17">
        <v>25</v>
      </c>
      <c r="I1088" s="31">
        <f t="shared" si="108"/>
        <v>25000</v>
      </c>
      <c r="J1088" s="31">
        <f t="shared" si="109"/>
        <v>1750.0000000000002</v>
      </c>
      <c r="K1088" s="44">
        <f t="shared" si="110"/>
        <v>4.794520547945206</v>
      </c>
      <c r="L1088" s="3">
        <f t="shared" si="111"/>
        <v>354.79452054794524</v>
      </c>
      <c r="M1088" s="3">
        <f t="shared" si="112"/>
        <v>21.287671232876715</v>
      </c>
      <c r="N1088" s="67">
        <f t="shared" si="113"/>
        <v>333.50684931506851</v>
      </c>
      <c r="O1088" s="3"/>
      <c r="P1088" s="70" t="s">
        <v>18626</v>
      </c>
      <c r="Q1088" s="2" t="s">
        <v>636</v>
      </c>
      <c r="R1088" s="2" t="s">
        <v>3242</v>
      </c>
      <c r="T1088" t="s">
        <v>18666</v>
      </c>
      <c r="U1088" t="s">
        <v>18652</v>
      </c>
      <c r="V1088" s="104">
        <v>45857</v>
      </c>
      <c r="X1088" s="97"/>
      <c r="Y1088" s="75">
        <v>333.51</v>
      </c>
    </row>
    <row r="1089" spans="1:25" x14ac:dyDescent="0.25">
      <c r="A1089" s="76">
        <v>1120</v>
      </c>
      <c r="B1089" s="2" t="s">
        <v>4280</v>
      </c>
      <c r="C1089" s="2" t="s">
        <v>4281</v>
      </c>
      <c r="D1089" s="2" t="s">
        <v>4282</v>
      </c>
      <c r="E1089" s="2" t="s">
        <v>4283</v>
      </c>
      <c r="F1089" s="2" t="s">
        <v>4284</v>
      </c>
      <c r="G1089" s="2" t="s">
        <v>31</v>
      </c>
      <c r="H1089" s="17">
        <v>25</v>
      </c>
      <c r="I1089" s="31">
        <f t="shared" si="108"/>
        <v>25000</v>
      </c>
      <c r="J1089" s="31">
        <f t="shared" si="109"/>
        <v>1750.0000000000002</v>
      </c>
      <c r="K1089" s="44">
        <f t="shared" si="110"/>
        <v>4.794520547945206</v>
      </c>
      <c r="L1089" s="3">
        <f t="shared" si="111"/>
        <v>354.79452054794524</v>
      </c>
      <c r="M1089" s="3">
        <f t="shared" si="112"/>
        <v>21.287671232876715</v>
      </c>
      <c r="N1089" s="67">
        <f t="shared" si="113"/>
        <v>333.50684931506851</v>
      </c>
      <c r="O1089" s="3"/>
      <c r="P1089" s="70" t="s">
        <v>18626</v>
      </c>
      <c r="Q1089" s="2" t="s">
        <v>636</v>
      </c>
      <c r="R1089" s="2" t="s">
        <v>4285</v>
      </c>
      <c r="T1089" t="s">
        <v>18666</v>
      </c>
      <c r="U1089" t="s">
        <v>18652</v>
      </c>
      <c r="V1089" s="104">
        <v>45857</v>
      </c>
      <c r="X1089" s="97"/>
      <c r="Y1089" s="75">
        <v>333.51</v>
      </c>
    </row>
    <row r="1090" spans="1:25" x14ac:dyDescent="0.25">
      <c r="A1090" s="76">
        <v>1121</v>
      </c>
      <c r="B1090" s="2" t="s">
        <v>14852</v>
      </c>
      <c r="C1090" s="2" t="s">
        <v>14853</v>
      </c>
      <c r="D1090" s="2" t="s">
        <v>14854</v>
      </c>
      <c r="E1090" s="2" t="s">
        <v>14855</v>
      </c>
      <c r="F1090" s="2" t="s">
        <v>14856</v>
      </c>
      <c r="G1090" s="2" t="s">
        <v>2673</v>
      </c>
      <c r="H1090" s="17">
        <v>25</v>
      </c>
      <c r="I1090" s="31">
        <f t="shared" si="108"/>
        <v>25000</v>
      </c>
      <c r="J1090" s="31">
        <f t="shared" si="109"/>
        <v>1750.0000000000002</v>
      </c>
      <c r="K1090" s="44">
        <f t="shared" si="110"/>
        <v>4.794520547945206</v>
      </c>
      <c r="L1090" s="3">
        <f t="shared" si="111"/>
        <v>354.79452054794524</v>
      </c>
      <c r="M1090" s="3">
        <f t="shared" si="112"/>
        <v>21.287671232876715</v>
      </c>
      <c r="N1090" s="67">
        <f t="shared" si="113"/>
        <v>333.50684931506851</v>
      </c>
      <c r="O1090" s="3"/>
      <c r="P1090" s="70" t="s">
        <v>18626</v>
      </c>
      <c r="Q1090" s="2" t="s">
        <v>636</v>
      </c>
      <c r="R1090" s="2" t="s">
        <v>14857</v>
      </c>
      <c r="T1090" t="s">
        <v>18666</v>
      </c>
      <c r="U1090" t="s">
        <v>18652</v>
      </c>
      <c r="V1090" s="104">
        <v>45857</v>
      </c>
      <c r="X1090" s="97"/>
      <c r="Y1090" s="75">
        <v>333.51</v>
      </c>
    </row>
    <row r="1091" spans="1:25" x14ac:dyDescent="0.25">
      <c r="A1091" s="76">
        <v>1122</v>
      </c>
      <c r="B1091" s="2" t="s">
        <v>6519</v>
      </c>
      <c r="C1091" s="2" t="s">
        <v>6520</v>
      </c>
      <c r="D1091" s="2" t="s">
        <v>6521</v>
      </c>
      <c r="E1091" s="2" t="s">
        <v>6522</v>
      </c>
      <c r="F1091" s="2" t="s">
        <v>6523</v>
      </c>
      <c r="G1091" s="2" t="s">
        <v>362</v>
      </c>
      <c r="H1091" s="17">
        <v>25</v>
      </c>
      <c r="I1091" s="31">
        <f t="shared" si="108"/>
        <v>25000</v>
      </c>
      <c r="J1091" s="31">
        <f t="shared" si="109"/>
        <v>1750.0000000000002</v>
      </c>
      <c r="K1091" s="44">
        <f t="shared" si="110"/>
        <v>4.794520547945206</v>
      </c>
      <c r="L1091" s="3">
        <f t="shared" si="111"/>
        <v>354.79452054794524</v>
      </c>
      <c r="M1091" s="3">
        <f t="shared" si="112"/>
        <v>21.287671232876715</v>
      </c>
      <c r="N1091" s="67">
        <f t="shared" si="113"/>
        <v>333.50684931506851</v>
      </c>
      <c r="O1091" s="3"/>
      <c r="P1091" s="70" t="s">
        <v>18626</v>
      </c>
      <c r="Q1091" s="2" t="s">
        <v>636</v>
      </c>
      <c r="R1091" s="2" t="s">
        <v>6524</v>
      </c>
      <c r="T1091" t="s">
        <v>18666</v>
      </c>
      <c r="U1091" t="s">
        <v>18652</v>
      </c>
      <c r="V1091" s="104">
        <v>45857</v>
      </c>
      <c r="X1091" s="97"/>
      <c r="Y1091" s="75">
        <v>333.51</v>
      </c>
    </row>
    <row r="1092" spans="1:25" x14ac:dyDescent="0.25">
      <c r="A1092" s="76">
        <v>1123</v>
      </c>
      <c r="B1092" s="2" t="s">
        <v>3243</v>
      </c>
      <c r="C1092" s="2" t="s">
        <v>3244</v>
      </c>
      <c r="D1092" s="2" t="s">
        <v>3245</v>
      </c>
      <c r="E1092" s="2" t="s">
        <v>3246</v>
      </c>
      <c r="F1092" s="2" t="s">
        <v>3247</v>
      </c>
      <c r="G1092" s="2" t="s">
        <v>1570</v>
      </c>
      <c r="H1092" s="17">
        <v>25</v>
      </c>
      <c r="I1092" s="31">
        <f t="shared" si="108"/>
        <v>25000</v>
      </c>
      <c r="J1092" s="31">
        <f t="shared" si="109"/>
        <v>1750.0000000000002</v>
      </c>
      <c r="K1092" s="44">
        <f t="shared" si="110"/>
        <v>4.794520547945206</v>
      </c>
      <c r="L1092" s="3">
        <f t="shared" si="111"/>
        <v>354.79452054794524</v>
      </c>
      <c r="M1092" s="3">
        <f t="shared" si="112"/>
        <v>21.287671232876715</v>
      </c>
      <c r="N1092" s="67">
        <f t="shared" si="113"/>
        <v>333.50684931506851</v>
      </c>
      <c r="O1092" s="3"/>
      <c r="P1092" s="70" t="s">
        <v>18626</v>
      </c>
      <c r="Q1092" s="2" t="s">
        <v>636</v>
      </c>
      <c r="R1092" s="2" t="s">
        <v>3248</v>
      </c>
      <c r="T1092" t="s">
        <v>18666</v>
      </c>
      <c r="U1092" t="s">
        <v>18652</v>
      </c>
      <c r="V1092" s="104">
        <v>45857</v>
      </c>
      <c r="X1092" s="97"/>
      <c r="Y1092" s="75">
        <v>333.51</v>
      </c>
    </row>
    <row r="1093" spans="1:25" x14ac:dyDescent="0.25">
      <c r="A1093" s="76">
        <v>1124</v>
      </c>
      <c r="B1093" s="2" t="s">
        <v>2244</v>
      </c>
      <c r="C1093" s="2" t="s">
        <v>2245</v>
      </c>
      <c r="D1093" s="2" t="s">
        <v>2246</v>
      </c>
      <c r="E1093" s="2" t="s">
        <v>2247</v>
      </c>
      <c r="F1093" s="2" t="s">
        <v>2248</v>
      </c>
      <c r="G1093" s="2" t="s">
        <v>835</v>
      </c>
      <c r="H1093" s="17">
        <v>25</v>
      </c>
      <c r="I1093" s="31">
        <f t="shared" si="108"/>
        <v>25000</v>
      </c>
      <c r="J1093" s="31">
        <f t="shared" si="109"/>
        <v>1750.0000000000002</v>
      </c>
      <c r="K1093" s="44">
        <f t="shared" si="110"/>
        <v>4.794520547945206</v>
      </c>
      <c r="L1093" s="3">
        <f t="shared" si="111"/>
        <v>354.79452054794524</v>
      </c>
      <c r="M1093" s="3">
        <f t="shared" si="112"/>
        <v>21.287671232876715</v>
      </c>
      <c r="N1093" s="67">
        <f t="shared" si="113"/>
        <v>333.50684931506851</v>
      </c>
      <c r="O1093" s="3"/>
      <c r="P1093" s="70" t="s">
        <v>18626</v>
      </c>
      <c r="Q1093" s="2" t="s">
        <v>636</v>
      </c>
      <c r="R1093" s="2" t="s">
        <v>2249</v>
      </c>
      <c r="T1093" t="s">
        <v>18666</v>
      </c>
      <c r="U1093" t="s">
        <v>18652</v>
      </c>
      <c r="V1093" s="104">
        <v>45857</v>
      </c>
      <c r="X1093" s="97"/>
      <c r="Y1093" s="75">
        <v>333.51</v>
      </c>
    </row>
    <row r="1094" spans="1:25" x14ac:dyDescent="0.25">
      <c r="A1094" s="76">
        <v>1125</v>
      </c>
      <c r="B1094" s="2" t="s">
        <v>1178</v>
      </c>
      <c r="C1094" s="2" t="s">
        <v>1179</v>
      </c>
      <c r="D1094" s="2" t="s">
        <v>1180</v>
      </c>
      <c r="E1094" s="2" t="s">
        <v>1181</v>
      </c>
      <c r="F1094" s="2" t="s">
        <v>1182</v>
      </c>
      <c r="G1094" s="2" t="s">
        <v>618</v>
      </c>
      <c r="H1094" s="17">
        <v>25</v>
      </c>
      <c r="I1094" s="31">
        <f t="shared" si="108"/>
        <v>25000</v>
      </c>
      <c r="J1094" s="31">
        <f t="shared" si="109"/>
        <v>1750.0000000000002</v>
      </c>
      <c r="K1094" s="44">
        <f t="shared" si="110"/>
        <v>4.794520547945206</v>
      </c>
      <c r="L1094" s="3">
        <f t="shared" si="111"/>
        <v>354.79452054794524</v>
      </c>
      <c r="M1094" s="3">
        <f t="shared" si="112"/>
        <v>21.287671232876715</v>
      </c>
      <c r="N1094" s="67">
        <f t="shared" si="113"/>
        <v>333.50684931506851</v>
      </c>
      <c r="O1094" s="3"/>
      <c r="P1094" s="70" t="s">
        <v>18626</v>
      </c>
      <c r="Q1094" s="2" t="s">
        <v>636</v>
      </c>
      <c r="R1094" s="2" t="s">
        <v>1183</v>
      </c>
      <c r="T1094" t="s">
        <v>18666</v>
      </c>
      <c r="U1094" t="s">
        <v>18652</v>
      </c>
      <c r="V1094" s="104">
        <v>45857</v>
      </c>
      <c r="X1094" s="97"/>
      <c r="Y1094" s="75">
        <v>333.51</v>
      </c>
    </row>
    <row r="1095" spans="1:25" x14ac:dyDescent="0.25">
      <c r="A1095" s="76">
        <v>1126</v>
      </c>
      <c r="B1095" s="2" t="s">
        <v>13680</v>
      </c>
      <c r="C1095" s="2" t="s">
        <v>13681</v>
      </c>
      <c r="D1095" s="2" t="s">
        <v>13682</v>
      </c>
      <c r="E1095" s="2" t="s">
        <v>13683</v>
      </c>
      <c r="F1095" s="2" t="s">
        <v>13684</v>
      </c>
      <c r="G1095" s="2" t="s">
        <v>296</v>
      </c>
      <c r="H1095" s="17">
        <v>100</v>
      </c>
      <c r="I1095" s="31">
        <f t="shared" si="108"/>
        <v>100000</v>
      </c>
      <c r="J1095" s="31">
        <f t="shared" si="109"/>
        <v>7000.0000000000009</v>
      </c>
      <c r="K1095" s="44">
        <f t="shared" si="110"/>
        <v>19.178082191780824</v>
      </c>
      <c r="L1095" s="3">
        <f t="shared" si="111"/>
        <v>1419.178082191781</v>
      </c>
      <c r="M1095" s="3">
        <f t="shared" si="112"/>
        <v>85.150684931506859</v>
      </c>
      <c r="N1095" s="67">
        <f t="shared" si="113"/>
        <v>1334.027397260274</v>
      </c>
      <c r="O1095" s="3"/>
      <c r="P1095" s="70" t="s">
        <v>18626</v>
      </c>
      <c r="Q1095" s="2" t="s">
        <v>636</v>
      </c>
      <c r="R1095" s="2" t="s">
        <v>13685</v>
      </c>
      <c r="T1095" t="s">
        <v>18666</v>
      </c>
      <c r="U1095" t="s">
        <v>18652</v>
      </c>
      <c r="V1095" s="104">
        <v>45857</v>
      </c>
      <c r="X1095" s="97"/>
      <c r="Y1095" s="75">
        <v>1334.03</v>
      </c>
    </row>
    <row r="1096" spans="1:25" x14ac:dyDescent="0.25">
      <c r="A1096" s="76">
        <v>1127</v>
      </c>
      <c r="B1096" s="2" t="s">
        <v>16483</v>
      </c>
      <c r="C1096" s="2" t="s">
        <v>16484</v>
      </c>
      <c r="D1096" s="2" t="s">
        <v>16485</v>
      </c>
      <c r="E1096" s="2" t="s">
        <v>16486</v>
      </c>
      <c r="F1096" s="2" t="s">
        <v>16487</v>
      </c>
      <c r="G1096" s="2" t="s">
        <v>31</v>
      </c>
      <c r="H1096" s="17">
        <v>300</v>
      </c>
      <c r="I1096" s="31">
        <f t="shared" si="108"/>
        <v>300000</v>
      </c>
      <c r="J1096" s="31">
        <f t="shared" si="109"/>
        <v>21000.000000000004</v>
      </c>
      <c r="K1096" s="44">
        <f t="shared" si="110"/>
        <v>57.534246575342479</v>
      </c>
      <c r="L1096" s="3">
        <f t="shared" si="111"/>
        <v>4257.5342465753438</v>
      </c>
      <c r="M1096" s="3">
        <f t="shared" si="112"/>
        <v>255.45205479452062</v>
      </c>
      <c r="N1096" s="67">
        <f t="shared" si="113"/>
        <v>4002.082191780823</v>
      </c>
      <c r="O1096" s="3"/>
      <c r="P1096" s="70" t="s">
        <v>18626</v>
      </c>
      <c r="Q1096" s="2" t="s">
        <v>636</v>
      </c>
      <c r="R1096" s="2" t="s">
        <v>16488</v>
      </c>
      <c r="T1096" t="s">
        <v>18666</v>
      </c>
      <c r="U1096" t="s">
        <v>18652</v>
      </c>
      <c r="V1096" s="104">
        <v>45857</v>
      </c>
      <c r="X1096" s="97"/>
      <c r="Y1096" s="75">
        <v>4002.09</v>
      </c>
    </row>
    <row r="1097" spans="1:25" x14ac:dyDescent="0.25">
      <c r="A1097" s="76">
        <v>1128</v>
      </c>
      <c r="B1097" s="2" t="s">
        <v>11637</v>
      </c>
      <c r="C1097" s="2" t="s">
        <v>11638</v>
      </c>
      <c r="D1097" s="2" t="s">
        <v>11639</v>
      </c>
      <c r="E1097" s="2" t="s">
        <v>11640</v>
      </c>
      <c r="F1097" s="2" t="s">
        <v>11641</v>
      </c>
      <c r="G1097" s="2" t="s">
        <v>1823</v>
      </c>
      <c r="H1097" s="17">
        <v>25</v>
      </c>
      <c r="I1097" s="31">
        <f t="shared" si="108"/>
        <v>25000</v>
      </c>
      <c r="J1097" s="31">
        <f t="shared" si="109"/>
        <v>1750.0000000000002</v>
      </c>
      <c r="K1097" s="44">
        <f t="shared" si="110"/>
        <v>4.794520547945206</v>
      </c>
      <c r="L1097" s="3">
        <f t="shared" si="111"/>
        <v>354.79452054794524</v>
      </c>
      <c r="M1097" s="3">
        <f t="shared" si="112"/>
        <v>21.287671232876715</v>
      </c>
      <c r="N1097" s="67">
        <f t="shared" si="113"/>
        <v>333.50684931506851</v>
      </c>
      <c r="O1097" s="3"/>
      <c r="P1097" s="70" t="s">
        <v>18626</v>
      </c>
      <c r="Q1097" s="2" t="s">
        <v>636</v>
      </c>
      <c r="R1097" s="2" t="s">
        <v>11642</v>
      </c>
      <c r="T1097" t="s">
        <v>18666</v>
      </c>
      <c r="U1097" t="s">
        <v>18652</v>
      </c>
      <c r="V1097" s="104">
        <v>45857</v>
      </c>
      <c r="X1097" s="97"/>
      <c r="Y1097" s="75">
        <v>333.51</v>
      </c>
    </row>
    <row r="1098" spans="1:25" x14ac:dyDescent="0.25">
      <c r="A1098" s="76">
        <v>1129</v>
      </c>
      <c r="B1098" s="2" t="s">
        <v>17655</v>
      </c>
      <c r="C1098" s="2" t="s">
        <v>17656</v>
      </c>
      <c r="D1098" s="2" t="s">
        <v>17657</v>
      </c>
      <c r="E1098" s="2" t="s">
        <v>17658</v>
      </c>
      <c r="F1098" s="2" t="s">
        <v>17659</v>
      </c>
      <c r="G1098" s="2" t="s">
        <v>31</v>
      </c>
      <c r="H1098" s="17">
        <v>252</v>
      </c>
      <c r="I1098" s="31">
        <f t="shared" si="108"/>
        <v>252000</v>
      </c>
      <c r="J1098" s="31">
        <f t="shared" si="109"/>
        <v>17640</v>
      </c>
      <c r="K1098" s="44">
        <f t="shared" si="110"/>
        <v>48.328767123287669</v>
      </c>
      <c r="L1098" s="3">
        <f t="shared" si="111"/>
        <v>3576.3287671232874</v>
      </c>
      <c r="M1098" s="3">
        <f t="shared" si="112"/>
        <v>214.57972602739724</v>
      </c>
      <c r="N1098" s="67">
        <f t="shared" si="113"/>
        <v>3361.7490410958903</v>
      </c>
      <c r="O1098" s="3"/>
      <c r="P1098" s="70" t="s">
        <v>18626</v>
      </c>
      <c r="Q1098" s="2" t="s">
        <v>636</v>
      </c>
      <c r="R1098" s="2" t="s">
        <v>17660</v>
      </c>
      <c r="T1098" t="s">
        <v>18666</v>
      </c>
      <c r="U1098" t="s">
        <v>18652</v>
      </c>
      <c r="V1098" s="104">
        <v>45857</v>
      </c>
      <c r="X1098" s="97"/>
      <c r="Y1098" s="75">
        <v>3361.75</v>
      </c>
    </row>
    <row r="1099" spans="1:25" x14ac:dyDescent="0.25">
      <c r="A1099" s="76">
        <v>1130</v>
      </c>
      <c r="B1099" s="2" t="s">
        <v>7001</v>
      </c>
      <c r="C1099" s="2" t="s">
        <v>7002</v>
      </c>
      <c r="D1099" s="2" t="s">
        <v>7003</v>
      </c>
      <c r="E1099" s="2" t="s">
        <v>7004</v>
      </c>
      <c r="F1099" s="2" t="s">
        <v>7005</v>
      </c>
      <c r="G1099" s="2" t="s">
        <v>643</v>
      </c>
      <c r="H1099" s="17">
        <v>25</v>
      </c>
      <c r="I1099" s="31">
        <f t="shared" si="108"/>
        <v>25000</v>
      </c>
      <c r="J1099" s="31">
        <f t="shared" si="109"/>
        <v>1750.0000000000002</v>
      </c>
      <c r="K1099" s="44">
        <f t="shared" si="110"/>
        <v>4.794520547945206</v>
      </c>
      <c r="L1099" s="3">
        <f t="shared" si="111"/>
        <v>354.79452054794524</v>
      </c>
      <c r="M1099" s="3">
        <f t="shared" si="112"/>
        <v>21.287671232876715</v>
      </c>
      <c r="N1099" s="67">
        <f t="shared" si="113"/>
        <v>333.50684931506851</v>
      </c>
      <c r="O1099" s="3"/>
      <c r="P1099" s="70" t="s">
        <v>18626</v>
      </c>
      <c r="Q1099" s="2" t="s">
        <v>636</v>
      </c>
      <c r="R1099" s="2" t="s">
        <v>7006</v>
      </c>
      <c r="T1099" t="s">
        <v>18666</v>
      </c>
      <c r="U1099" t="s">
        <v>18652</v>
      </c>
      <c r="V1099" s="104">
        <v>45857</v>
      </c>
      <c r="X1099" s="97"/>
      <c r="Y1099" s="75">
        <v>333.51</v>
      </c>
    </row>
    <row r="1100" spans="1:25" x14ac:dyDescent="0.25">
      <c r="A1100" s="76">
        <v>1131</v>
      </c>
      <c r="B1100" s="2" t="s">
        <v>4812</v>
      </c>
      <c r="C1100" s="2" t="s">
        <v>4813</v>
      </c>
      <c r="D1100" s="2" t="s">
        <v>4814</v>
      </c>
      <c r="E1100" s="2" t="s">
        <v>4815</v>
      </c>
      <c r="F1100" s="2" t="s">
        <v>4816</v>
      </c>
      <c r="G1100" s="2" t="s">
        <v>31</v>
      </c>
      <c r="H1100" s="17">
        <v>100</v>
      </c>
      <c r="I1100" s="31">
        <f t="shared" si="108"/>
        <v>100000</v>
      </c>
      <c r="J1100" s="31">
        <f t="shared" si="109"/>
        <v>7000.0000000000009</v>
      </c>
      <c r="K1100" s="44">
        <f t="shared" si="110"/>
        <v>19.178082191780824</v>
      </c>
      <c r="L1100" s="3">
        <f t="shared" si="111"/>
        <v>1419.178082191781</v>
      </c>
      <c r="M1100" s="3">
        <f t="shared" si="112"/>
        <v>85.150684931506859</v>
      </c>
      <c r="N1100" s="67">
        <f t="shared" si="113"/>
        <v>1334.027397260274</v>
      </c>
      <c r="O1100" s="3"/>
      <c r="P1100" s="70" t="s">
        <v>18626</v>
      </c>
      <c r="Q1100" s="2" t="s">
        <v>636</v>
      </c>
      <c r="R1100" s="2" t="s">
        <v>4817</v>
      </c>
      <c r="T1100" t="s">
        <v>18666</v>
      </c>
      <c r="U1100" t="s">
        <v>18652</v>
      </c>
      <c r="V1100" s="104">
        <v>45857</v>
      </c>
      <c r="X1100" s="97"/>
      <c r="Y1100" s="75">
        <v>1334.03</v>
      </c>
    </row>
    <row r="1101" spans="1:25" x14ac:dyDescent="0.25">
      <c r="A1101" s="76">
        <v>1132</v>
      </c>
      <c r="B1101" s="2" t="s">
        <v>4340</v>
      </c>
      <c r="C1101" s="2" t="s">
        <v>4341</v>
      </c>
      <c r="D1101" s="2" t="s">
        <v>4342</v>
      </c>
      <c r="E1101" s="2" t="s">
        <v>4343</v>
      </c>
      <c r="F1101" s="2" t="s">
        <v>4344</v>
      </c>
      <c r="G1101" s="2" t="s">
        <v>31</v>
      </c>
      <c r="H1101" s="17">
        <v>25</v>
      </c>
      <c r="I1101" s="31">
        <f t="shared" si="108"/>
        <v>25000</v>
      </c>
      <c r="J1101" s="31">
        <f t="shared" si="109"/>
        <v>1750.0000000000002</v>
      </c>
      <c r="K1101" s="44">
        <f t="shared" si="110"/>
        <v>4.794520547945206</v>
      </c>
      <c r="L1101" s="3">
        <f t="shared" si="111"/>
        <v>354.79452054794524</v>
      </c>
      <c r="M1101" s="3">
        <f t="shared" si="112"/>
        <v>21.287671232876715</v>
      </c>
      <c r="N1101" s="67">
        <f t="shared" si="113"/>
        <v>333.50684931506851</v>
      </c>
      <c r="O1101" s="3"/>
      <c r="P1101" s="70" t="s">
        <v>18626</v>
      </c>
      <c r="Q1101" s="2" t="s">
        <v>636</v>
      </c>
      <c r="R1101" s="2" t="s">
        <v>4345</v>
      </c>
      <c r="T1101" t="s">
        <v>18666</v>
      </c>
      <c r="U1101" t="s">
        <v>18652</v>
      </c>
      <c r="V1101" s="104">
        <v>45857</v>
      </c>
      <c r="X1101" s="97"/>
      <c r="Y1101" s="75">
        <v>333.51</v>
      </c>
    </row>
    <row r="1102" spans="1:25" x14ac:dyDescent="0.25">
      <c r="A1102" s="76">
        <v>1133</v>
      </c>
      <c r="B1102" s="2" t="s">
        <v>8601</v>
      </c>
      <c r="C1102" s="2" t="s">
        <v>8602</v>
      </c>
      <c r="D1102" s="2" t="s">
        <v>8603</v>
      </c>
      <c r="E1102" s="2" t="s">
        <v>8604</v>
      </c>
      <c r="F1102" s="2" t="s">
        <v>8605</v>
      </c>
      <c r="G1102" s="2" t="s">
        <v>618</v>
      </c>
      <c r="H1102" s="17">
        <v>25</v>
      </c>
      <c r="I1102" s="31">
        <f t="shared" si="108"/>
        <v>25000</v>
      </c>
      <c r="J1102" s="31">
        <f t="shared" si="109"/>
        <v>1750.0000000000002</v>
      </c>
      <c r="K1102" s="44">
        <f t="shared" si="110"/>
        <v>4.794520547945206</v>
      </c>
      <c r="L1102" s="3">
        <f t="shared" si="111"/>
        <v>354.79452054794524</v>
      </c>
      <c r="M1102" s="3">
        <f t="shared" si="112"/>
        <v>21.287671232876715</v>
      </c>
      <c r="N1102" s="67">
        <f t="shared" si="113"/>
        <v>333.50684931506851</v>
      </c>
      <c r="O1102" s="3"/>
      <c r="P1102" s="70" t="s">
        <v>18626</v>
      </c>
      <c r="Q1102" s="2" t="s">
        <v>636</v>
      </c>
      <c r="R1102" s="2" t="s">
        <v>8606</v>
      </c>
      <c r="T1102" t="s">
        <v>18666</v>
      </c>
      <c r="U1102" t="s">
        <v>18652</v>
      </c>
      <c r="V1102" s="104">
        <v>45857</v>
      </c>
      <c r="X1102" s="97"/>
      <c r="Y1102" s="75">
        <v>333.51</v>
      </c>
    </row>
    <row r="1103" spans="1:25" x14ac:dyDescent="0.25">
      <c r="A1103" s="76">
        <v>1134</v>
      </c>
      <c r="B1103" s="2" t="s">
        <v>18083</v>
      </c>
      <c r="C1103" s="2" t="s">
        <v>18084</v>
      </c>
      <c r="D1103" s="2" t="s">
        <v>18085</v>
      </c>
      <c r="E1103" s="2" t="s">
        <v>18086</v>
      </c>
      <c r="F1103" s="2" t="s">
        <v>18087</v>
      </c>
      <c r="G1103" s="2" t="s">
        <v>151</v>
      </c>
      <c r="H1103" s="17">
        <v>100</v>
      </c>
      <c r="I1103" s="31">
        <f t="shared" si="108"/>
        <v>100000</v>
      </c>
      <c r="J1103" s="31">
        <f t="shared" si="109"/>
        <v>7000.0000000000009</v>
      </c>
      <c r="K1103" s="44">
        <f t="shared" si="110"/>
        <v>19.178082191780824</v>
      </c>
      <c r="L1103" s="3">
        <f t="shared" si="111"/>
        <v>1419.178082191781</v>
      </c>
      <c r="M1103" s="3">
        <f t="shared" si="112"/>
        <v>85.150684931506859</v>
      </c>
      <c r="N1103" s="67">
        <f t="shared" si="113"/>
        <v>1334.027397260274</v>
      </c>
      <c r="O1103" s="3"/>
      <c r="P1103" s="70" t="s">
        <v>18626</v>
      </c>
      <c r="Q1103" s="2" t="s">
        <v>636</v>
      </c>
      <c r="R1103" s="2" t="s">
        <v>18088</v>
      </c>
      <c r="T1103" t="s">
        <v>18666</v>
      </c>
      <c r="U1103" t="s">
        <v>18652</v>
      </c>
      <c r="V1103" s="104">
        <v>45857</v>
      </c>
      <c r="X1103" s="97"/>
      <c r="Y1103" s="75">
        <v>1334.03</v>
      </c>
    </row>
    <row r="1104" spans="1:25" x14ac:dyDescent="0.25">
      <c r="A1104" s="76">
        <v>1135</v>
      </c>
      <c r="B1104" s="2" t="s">
        <v>6829</v>
      </c>
      <c r="C1104" s="2" t="s">
        <v>6830</v>
      </c>
      <c r="D1104" s="2" t="s">
        <v>6831</v>
      </c>
      <c r="E1104" s="2" t="s">
        <v>6832</v>
      </c>
      <c r="F1104" s="2" t="s">
        <v>6833</v>
      </c>
      <c r="G1104" s="2" t="s">
        <v>799</v>
      </c>
      <c r="H1104" s="17">
        <v>25</v>
      </c>
      <c r="I1104" s="31">
        <f t="shared" si="108"/>
        <v>25000</v>
      </c>
      <c r="J1104" s="31">
        <f t="shared" si="109"/>
        <v>1750.0000000000002</v>
      </c>
      <c r="K1104" s="44">
        <f t="shared" si="110"/>
        <v>4.794520547945206</v>
      </c>
      <c r="L1104" s="3">
        <f t="shared" si="111"/>
        <v>354.79452054794524</v>
      </c>
      <c r="M1104" s="3">
        <f t="shared" si="112"/>
        <v>21.287671232876715</v>
      </c>
      <c r="N1104" s="67">
        <f t="shared" si="113"/>
        <v>333.50684931506851</v>
      </c>
      <c r="O1104" s="3"/>
      <c r="P1104" s="70" t="s">
        <v>18626</v>
      </c>
      <c r="Q1104" s="2" t="s">
        <v>636</v>
      </c>
      <c r="R1104" s="2" t="s">
        <v>6834</v>
      </c>
      <c r="T1104" t="s">
        <v>18666</v>
      </c>
      <c r="U1104" t="s">
        <v>18652</v>
      </c>
      <c r="V1104" s="104">
        <v>45857</v>
      </c>
      <c r="X1104" s="97"/>
      <c r="Y1104" s="75">
        <v>333.51</v>
      </c>
    </row>
    <row r="1105" spans="1:25" x14ac:dyDescent="0.25">
      <c r="A1105" s="76">
        <v>1136</v>
      </c>
      <c r="B1105" s="2" t="s">
        <v>909</v>
      </c>
      <c r="C1105" s="2" t="s">
        <v>910</v>
      </c>
      <c r="D1105" s="2" t="s">
        <v>911</v>
      </c>
      <c r="E1105" s="2" t="s">
        <v>912</v>
      </c>
      <c r="F1105" s="2" t="s">
        <v>913</v>
      </c>
      <c r="G1105" s="2" t="s">
        <v>587</v>
      </c>
      <c r="H1105" s="17">
        <v>100</v>
      </c>
      <c r="I1105" s="31">
        <f t="shared" si="108"/>
        <v>100000</v>
      </c>
      <c r="J1105" s="31">
        <f t="shared" si="109"/>
        <v>7000.0000000000009</v>
      </c>
      <c r="K1105" s="44">
        <f t="shared" si="110"/>
        <v>19.178082191780824</v>
      </c>
      <c r="L1105" s="3">
        <f t="shared" si="111"/>
        <v>1419.178082191781</v>
      </c>
      <c r="M1105" s="3">
        <f t="shared" si="112"/>
        <v>85.150684931506859</v>
      </c>
      <c r="N1105" s="67">
        <f t="shared" si="113"/>
        <v>1334.027397260274</v>
      </c>
      <c r="O1105" s="3"/>
      <c r="P1105" s="70" t="s">
        <v>18626</v>
      </c>
      <c r="Q1105" s="2" t="s">
        <v>636</v>
      </c>
      <c r="R1105" s="2" t="s">
        <v>914</v>
      </c>
      <c r="T1105" t="s">
        <v>18666</v>
      </c>
      <c r="U1105" t="s">
        <v>18652</v>
      </c>
      <c r="V1105" s="104">
        <v>45857</v>
      </c>
      <c r="X1105" s="97"/>
      <c r="Y1105" s="75">
        <v>1334.03</v>
      </c>
    </row>
    <row r="1106" spans="1:25" x14ac:dyDescent="0.25">
      <c r="A1106" s="76">
        <v>1137</v>
      </c>
      <c r="B1106" s="2" t="s">
        <v>631</v>
      </c>
      <c r="C1106" s="2" t="s">
        <v>632</v>
      </c>
      <c r="D1106" s="2" t="s">
        <v>633</v>
      </c>
      <c r="E1106" s="2" t="s">
        <v>634</v>
      </c>
      <c r="F1106" s="2" t="s">
        <v>635</v>
      </c>
      <c r="G1106" s="2" t="s">
        <v>23</v>
      </c>
      <c r="H1106" s="17">
        <v>30</v>
      </c>
      <c r="I1106" s="31">
        <f t="shared" ref="I1106:I1169" si="114">H1106*1000</f>
        <v>30000</v>
      </c>
      <c r="J1106" s="31">
        <f t="shared" ref="J1106:J1169" si="115">I1106*7%</f>
        <v>2100</v>
      </c>
      <c r="K1106" s="44">
        <f t="shared" ref="K1106:K1169" si="116">J1106/365</f>
        <v>5.7534246575342465</v>
      </c>
      <c r="L1106" s="3">
        <f t="shared" ref="L1106:L1169" si="117">K1106*74</f>
        <v>425.75342465753425</v>
      </c>
      <c r="M1106" s="3">
        <f t="shared" ref="M1106:M1169" si="118">L1106*6%</f>
        <v>25.545205479452054</v>
      </c>
      <c r="N1106" s="67">
        <f t="shared" ref="N1106:N1169" si="119">L1106-M1106</f>
        <v>400.20821917808217</v>
      </c>
      <c r="O1106" s="3"/>
      <c r="P1106" s="70" t="s">
        <v>18626</v>
      </c>
      <c r="Q1106" s="2" t="s">
        <v>636</v>
      </c>
      <c r="R1106" s="2" t="s">
        <v>637</v>
      </c>
      <c r="T1106" t="s">
        <v>18666</v>
      </c>
      <c r="U1106" t="s">
        <v>18652</v>
      </c>
      <c r="V1106" s="104">
        <v>45857</v>
      </c>
      <c r="X1106" s="97"/>
      <c r="Y1106" s="75">
        <v>400.21</v>
      </c>
    </row>
    <row r="1107" spans="1:25" x14ac:dyDescent="0.25">
      <c r="A1107" s="76">
        <v>1138</v>
      </c>
      <c r="B1107" s="2" t="s">
        <v>2446</v>
      </c>
      <c r="C1107" s="2" t="s">
        <v>2447</v>
      </c>
      <c r="D1107" s="2" t="s">
        <v>2448</v>
      </c>
      <c r="E1107" s="2" t="s">
        <v>2449</v>
      </c>
      <c r="F1107" s="2" t="s">
        <v>2450</v>
      </c>
      <c r="G1107" s="2" t="s">
        <v>618</v>
      </c>
      <c r="H1107" s="17">
        <v>25</v>
      </c>
      <c r="I1107" s="31">
        <f t="shared" si="114"/>
        <v>25000</v>
      </c>
      <c r="J1107" s="31">
        <f t="shared" si="115"/>
        <v>1750.0000000000002</v>
      </c>
      <c r="K1107" s="44">
        <f t="shared" si="116"/>
        <v>4.794520547945206</v>
      </c>
      <c r="L1107" s="3">
        <f t="shared" si="117"/>
        <v>354.79452054794524</v>
      </c>
      <c r="M1107" s="3">
        <f t="shared" si="118"/>
        <v>21.287671232876715</v>
      </c>
      <c r="N1107" s="67">
        <f t="shared" si="119"/>
        <v>333.50684931506851</v>
      </c>
      <c r="O1107" s="3"/>
      <c r="P1107" s="70" t="s">
        <v>18626</v>
      </c>
      <c r="Q1107" s="2" t="s">
        <v>636</v>
      </c>
      <c r="R1107" s="2" t="s">
        <v>2451</v>
      </c>
      <c r="T1107" t="s">
        <v>18666</v>
      </c>
      <c r="U1107" t="s">
        <v>18652</v>
      </c>
      <c r="V1107" s="104">
        <v>45857</v>
      </c>
      <c r="X1107" s="97"/>
      <c r="Y1107" s="75">
        <v>333.51</v>
      </c>
    </row>
    <row r="1108" spans="1:25" x14ac:dyDescent="0.25">
      <c r="A1108" s="76">
        <v>1139</v>
      </c>
      <c r="B1108" s="2" t="s">
        <v>15117</v>
      </c>
      <c r="C1108" s="2" t="s">
        <v>15118</v>
      </c>
      <c r="D1108" s="2" t="s">
        <v>15119</v>
      </c>
      <c r="E1108" s="2" t="s">
        <v>15120</v>
      </c>
      <c r="F1108" s="2" t="s">
        <v>15121</v>
      </c>
      <c r="G1108" s="2" t="s">
        <v>101</v>
      </c>
      <c r="H1108" s="17">
        <v>25</v>
      </c>
      <c r="I1108" s="31">
        <f t="shared" si="114"/>
        <v>25000</v>
      </c>
      <c r="J1108" s="31">
        <f t="shared" si="115"/>
        <v>1750.0000000000002</v>
      </c>
      <c r="K1108" s="44">
        <f t="shared" si="116"/>
        <v>4.794520547945206</v>
      </c>
      <c r="L1108" s="3">
        <f t="shared" si="117"/>
        <v>354.79452054794524</v>
      </c>
      <c r="M1108" s="3">
        <f t="shared" si="118"/>
        <v>21.287671232876715</v>
      </c>
      <c r="N1108" s="67">
        <f t="shared" si="119"/>
        <v>333.50684931506851</v>
      </c>
      <c r="O1108" s="3"/>
      <c r="P1108" s="70" t="s">
        <v>18626</v>
      </c>
      <c r="Q1108" s="2" t="s">
        <v>636</v>
      </c>
      <c r="R1108" s="2" t="s">
        <v>15122</v>
      </c>
      <c r="T1108" t="s">
        <v>18666</v>
      </c>
      <c r="U1108" t="s">
        <v>18652</v>
      </c>
      <c r="V1108" s="104">
        <v>45857</v>
      </c>
      <c r="X1108" s="97"/>
      <c r="Y1108" s="75">
        <v>333.51</v>
      </c>
    </row>
    <row r="1109" spans="1:25" x14ac:dyDescent="0.25">
      <c r="A1109" s="76">
        <v>1140</v>
      </c>
      <c r="B1109" s="2" t="s">
        <v>15559</v>
      </c>
      <c r="C1109" s="2" t="s">
        <v>15560</v>
      </c>
      <c r="D1109" s="2" t="s">
        <v>15561</v>
      </c>
      <c r="E1109" s="2" t="s">
        <v>15562</v>
      </c>
      <c r="F1109" s="2" t="s">
        <v>15563</v>
      </c>
      <c r="G1109" s="2" t="s">
        <v>1055</v>
      </c>
      <c r="H1109" s="17">
        <v>25</v>
      </c>
      <c r="I1109" s="31">
        <f t="shared" si="114"/>
        <v>25000</v>
      </c>
      <c r="J1109" s="31">
        <f t="shared" si="115"/>
        <v>1750.0000000000002</v>
      </c>
      <c r="K1109" s="44">
        <f t="shared" si="116"/>
        <v>4.794520547945206</v>
      </c>
      <c r="L1109" s="3">
        <f t="shared" si="117"/>
        <v>354.79452054794524</v>
      </c>
      <c r="M1109" s="3">
        <f t="shared" si="118"/>
        <v>21.287671232876715</v>
      </c>
      <c r="N1109" s="67">
        <f t="shared" si="119"/>
        <v>333.50684931506851</v>
      </c>
      <c r="O1109" s="3"/>
      <c r="P1109" s="70" t="s">
        <v>18627</v>
      </c>
      <c r="Q1109" s="2" t="s">
        <v>1734</v>
      </c>
      <c r="R1109" s="2" t="s">
        <v>15564</v>
      </c>
      <c r="T1109" t="s">
        <v>18666</v>
      </c>
      <c r="U1109" t="s">
        <v>18652</v>
      </c>
      <c r="V1109" s="104">
        <v>45857</v>
      </c>
      <c r="X1109" s="97"/>
      <c r="Y1109" s="75">
        <v>333.51</v>
      </c>
    </row>
    <row r="1110" spans="1:25" x14ac:dyDescent="0.25">
      <c r="A1110" s="76">
        <v>1141</v>
      </c>
      <c r="B1110" s="2" t="s">
        <v>10377</v>
      </c>
      <c r="C1110" s="2" t="s">
        <v>10378</v>
      </c>
      <c r="D1110" s="2" t="s">
        <v>10379</v>
      </c>
      <c r="E1110" s="2" t="s">
        <v>10380</v>
      </c>
      <c r="F1110" s="2" t="s">
        <v>10381</v>
      </c>
      <c r="G1110" s="2" t="s">
        <v>412</v>
      </c>
      <c r="H1110" s="17">
        <v>25</v>
      </c>
      <c r="I1110" s="31">
        <f t="shared" si="114"/>
        <v>25000</v>
      </c>
      <c r="J1110" s="31">
        <f t="shared" si="115"/>
        <v>1750.0000000000002</v>
      </c>
      <c r="K1110" s="44">
        <f t="shared" si="116"/>
        <v>4.794520547945206</v>
      </c>
      <c r="L1110" s="3">
        <f t="shared" si="117"/>
        <v>354.79452054794524</v>
      </c>
      <c r="M1110" s="3">
        <f t="shared" si="118"/>
        <v>21.287671232876715</v>
      </c>
      <c r="N1110" s="67">
        <f t="shared" si="119"/>
        <v>333.50684931506851</v>
      </c>
      <c r="O1110" s="3"/>
      <c r="P1110" s="70" t="s">
        <v>18627</v>
      </c>
      <c r="Q1110" s="2" t="s">
        <v>1734</v>
      </c>
      <c r="R1110" s="2" t="s">
        <v>10382</v>
      </c>
      <c r="T1110" t="s">
        <v>18666</v>
      </c>
      <c r="U1110" t="s">
        <v>18652</v>
      </c>
      <c r="V1110" s="104">
        <v>45857</v>
      </c>
      <c r="X1110" s="97"/>
      <c r="Y1110" s="75">
        <v>333.51</v>
      </c>
    </row>
    <row r="1111" spans="1:25" x14ac:dyDescent="0.25">
      <c r="A1111" s="76">
        <v>1142</v>
      </c>
      <c r="B1111" s="2" t="s">
        <v>1729</v>
      </c>
      <c r="C1111" s="2" t="s">
        <v>1730</v>
      </c>
      <c r="D1111" s="2" t="s">
        <v>1731</v>
      </c>
      <c r="E1111" s="2" t="s">
        <v>1732</v>
      </c>
      <c r="F1111" s="2" t="s">
        <v>1733</v>
      </c>
      <c r="G1111" s="2" t="s">
        <v>193</v>
      </c>
      <c r="H1111" s="17">
        <v>25</v>
      </c>
      <c r="I1111" s="31">
        <f t="shared" si="114"/>
        <v>25000</v>
      </c>
      <c r="J1111" s="31">
        <f t="shared" si="115"/>
        <v>1750.0000000000002</v>
      </c>
      <c r="K1111" s="44">
        <f t="shared" si="116"/>
        <v>4.794520547945206</v>
      </c>
      <c r="L1111" s="3">
        <f t="shared" si="117"/>
        <v>354.79452054794524</v>
      </c>
      <c r="M1111" s="3">
        <f t="shared" si="118"/>
        <v>21.287671232876715</v>
      </c>
      <c r="N1111" s="67">
        <f t="shared" si="119"/>
        <v>333.50684931506851</v>
      </c>
      <c r="O1111" s="3"/>
      <c r="P1111" s="70" t="s">
        <v>18627</v>
      </c>
      <c r="Q1111" s="2" t="s">
        <v>1734</v>
      </c>
      <c r="R1111" s="2" t="s">
        <v>1735</v>
      </c>
      <c r="T1111" t="s">
        <v>18666</v>
      </c>
      <c r="U1111" t="s">
        <v>18652</v>
      </c>
      <c r="V1111" s="104">
        <v>45857</v>
      </c>
      <c r="X1111" s="97"/>
      <c r="Y1111" s="75">
        <v>333.51</v>
      </c>
    </row>
    <row r="1112" spans="1:25" x14ac:dyDescent="0.25">
      <c r="A1112" s="76">
        <v>1143</v>
      </c>
      <c r="B1112" s="2" t="s">
        <v>13658</v>
      </c>
      <c r="C1112" s="2" t="s">
        <v>13659</v>
      </c>
      <c r="D1112" s="2" t="s">
        <v>13660</v>
      </c>
      <c r="E1112" s="2" t="s">
        <v>13661</v>
      </c>
      <c r="F1112" s="2" t="s">
        <v>13662</v>
      </c>
      <c r="G1112" s="2" t="s">
        <v>226</v>
      </c>
      <c r="H1112" s="17">
        <v>25</v>
      </c>
      <c r="I1112" s="31">
        <f t="shared" si="114"/>
        <v>25000</v>
      </c>
      <c r="J1112" s="31">
        <f t="shared" si="115"/>
        <v>1750.0000000000002</v>
      </c>
      <c r="K1112" s="44">
        <f t="shared" si="116"/>
        <v>4.794520547945206</v>
      </c>
      <c r="L1112" s="3">
        <f t="shared" si="117"/>
        <v>354.79452054794524</v>
      </c>
      <c r="M1112" s="3">
        <f t="shared" si="118"/>
        <v>21.287671232876715</v>
      </c>
      <c r="N1112" s="67">
        <f t="shared" si="119"/>
        <v>333.50684931506851</v>
      </c>
      <c r="O1112" s="3"/>
      <c r="P1112" s="70" t="s">
        <v>18627</v>
      </c>
      <c r="Q1112" s="2" t="s">
        <v>1734</v>
      </c>
      <c r="R1112" s="2" t="s">
        <v>13663</v>
      </c>
      <c r="T1112" t="s">
        <v>18666</v>
      </c>
      <c r="U1112" t="s">
        <v>18652</v>
      </c>
      <c r="V1112" s="104">
        <v>45857</v>
      </c>
      <c r="X1112" s="97"/>
      <c r="Y1112" s="75">
        <v>333.51</v>
      </c>
    </row>
    <row r="1113" spans="1:25" x14ac:dyDescent="0.25">
      <c r="A1113" s="76">
        <v>1144</v>
      </c>
      <c r="B1113" s="2" t="s">
        <v>17691</v>
      </c>
      <c r="C1113" s="2" t="s">
        <v>17692</v>
      </c>
      <c r="D1113" s="2" t="s">
        <v>17693</v>
      </c>
      <c r="E1113" s="2" t="s">
        <v>17694</v>
      </c>
      <c r="F1113" s="2" t="s">
        <v>17695</v>
      </c>
      <c r="G1113" s="2" t="s">
        <v>39</v>
      </c>
      <c r="H1113" s="17">
        <v>25</v>
      </c>
      <c r="I1113" s="31">
        <f t="shared" si="114"/>
        <v>25000</v>
      </c>
      <c r="J1113" s="31">
        <f t="shared" si="115"/>
        <v>1750.0000000000002</v>
      </c>
      <c r="K1113" s="44">
        <f t="shared" si="116"/>
        <v>4.794520547945206</v>
      </c>
      <c r="L1113" s="3">
        <f t="shared" si="117"/>
        <v>354.79452054794524</v>
      </c>
      <c r="M1113" s="3">
        <f t="shared" si="118"/>
        <v>21.287671232876715</v>
      </c>
      <c r="N1113" s="67">
        <f t="shared" si="119"/>
        <v>333.50684931506851</v>
      </c>
      <c r="O1113" s="3"/>
      <c r="P1113" s="70" t="s">
        <v>18627</v>
      </c>
      <c r="Q1113" s="2" t="s">
        <v>1734</v>
      </c>
      <c r="R1113" s="2" t="s">
        <v>17696</v>
      </c>
      <c r="T1113" t="s">
        <v>18666</v>
      </c>
      <c r="U1113" t="s">
        <v>18652</v>
      </c>
      <c r="V1113" s="104">
        <v>45857</v>
      </c>
      <c r="X1113" s="97"/>
      <c r="Y1113" s="75">
        <v>333.51</v>
      </c>
    </row>
    <row r="1114" spans="1:25" x14ac:dyDescent="0.25">
      <c r="A1114" s="76">
        <v>1145</v>
      </c>
      <c r="B1114" s="2" t="s">
        <v>5404</v>
      </c>
      <c r="C1114" s="2" t="s">
        <v>5405</v>
      </c>
      <c r="D1114" s="2" t="s">
        <v>5406</v>
      </c>
      <c r="E1114" s="2" t="s">
        <v>5407</v>
      </c>
      <c r="F1114" s="2" t="s">
        <v>5408</v>
      </c>
      <c r="G1114" s="2" t="s">
        <v>151</v>
      </c>
      <c r="H1114" s="17">
        <v>25</v>
      </c>
      <c r="I1114" s="31">
        <f t="shared" si="114"/>
        <v>25000</v>
      </c>
      <c r="J1114" s="31">
        <f t="shared" si="115"/>
        <v>1750.0000000000002</v>
      </c>
      <c r="K1114" s="44">
        <f t="shared" si="116"/>
        <v>4.794520547945206</v>
      </c>
      <c r="L1114" s="3">
        <f t="shared" si="117"/>
        <v>354.79452054794524</v>
      </c>
      <c r="M1114" s="3">
        <f t="shared" si="118"/>
        <v>21.287671232876715</v>
      </c>
      <c r="N1114" s="67">
        <f t="shared" si="119"/>
        <v>333.50684931506851</v>
      </c>
      <c r="O1114" s="3"/>
      <c r="P1114" s="70" t="s">
        <v>18627</v>
      </c>
      <c r="Q1114" s="2" t="s">
        <v>1734</v>
      </c>
      <c r="R1114" s="2" t="s">
        <v>5409</v>
      </c>
      <c r="T1114" t="s">
        <v>18666</v>
      </c>
      <c r="U1114" t="s">
        <v>18652</v>
      </c>
      <c r="V1114" s="104">
        <v>45857</v>
      </c>
      <c r="X1114" s="97"/>
      <c r="Y1114" s="75">
        <v>333.51</v>
      </c>
    </row>
    <row r="1115" spans="1:25" x14ac:dyDescent="0.25">
      <c r="A1115" s="76">
        <v>1146</v>
      </c>
      <c r="B1115" s="2" t="s">
        <v>14864</v>
      </c>
      <c r="C1115" s="2" t="s">
        <v>14865</v>
      </c>
      <c r="D1115" s="2" t="s">
        <v>14866</v>
      </c>
      <c r="E1115" s="2" t="s">
        <v>14867</v>
      </c>
      <c r="F1115" s="2" t="s">
        <v>14868</v>
      </c>
      <c r="G1115" s="2" t="s">
        <v>1823</v>
      </c>
      <c r="H1115" s="17">
        <v>25</v>
      </c>
      <c r="I1115" s="31">
        <f t="shared" si="114"/>
        <v>25000</v>
      </c>
      <c r="J1115" s="31">
        <f t="shared" si="115"/>
        <v>1750.0000000000002</v>
      </c>
      <c r="K1115" s="44">
        <f t="shared" si="116"/>
        <v>4.794520547945206</v>
      </c>
      <c r="L1115" s="3">
        <f t="shared" si="117"/>
        <v>354.79452054794524</v>
      </c>
      <c r="M1115" s="3">
        <f t="shared" si="118"/>
        <v>21.287671232876715</v>
      </c>
      <c r="N1115" s="67">
        <f t="shared" si="119"/>
        <v>333.50684931506851</v>
      </c>
      <c r="O1115" s="3"/>
      <c r="P1115" s="70" t="s">
        <v>18627</v>
      </c>
      <c r="Q1115" s="2" t="s">
        <v>1734</v>
      </c>
      <c r="R1115" s="2" t="s">
        <v>14869</v>
      </c>
      <c r="T1115" t="s">
        <v>18666</v>
      </c>
      <c r="U1115" t="s">
        <v>18652</v>
      </c>
      <c r="V1115" s="104">
        <v>45857</v>
      </c>
      <c r="X1115" s="97"/>
      <c r="Y1115" s="75">
        <v>333.51</v>
      </c>
    </row>
    <row r="1116" spans="1:25" x14ac:dyDescent="0.25">
      <c r="A1116" s="76">
        <v>1147</v>
      </c>
      <c r="B1116" s="2" t="s">
        <v>5149</v>
      </c>
      <c r="C1116" s="2" t="s">
        <v>5150</v>
      </c>
      <c r="D1116" s="2" t="s">
        <v>5151</v>
      </c>
      <c r="E1116" s="2" t="s">
        <v>5152</v>
      </c>
      <c r="F1116" s="2" t="s">
        <v>5153</v>
      </c>
      <c r="G1116" s="2" t="s">
        <v>226</v>
      </c>
      <c r="H1116" s="17">
        <v>25</v>
      </c>
      <c r="I1116" s="31">
        <f t="shared" si="114"/>
        <v>25000</v>
      </c>
      <c r="J1116" s="31">
        <f t="shared" si="115"/>
        <v>1750.0000000000002</v>
      </c>
      <c r="K1116" s="44">
        <f t="shared" si="116"/>
        <v>4.794520547945206</v>
      </c>
      <c r="L1116" s="3">
        <f t="shared" si="117"/>
        <v>354.79452054794524</v>
      </c>
      <c r="M1116" s="3">
        <f t="shared" si="118"/>
        <v>21.287671232876715</v>
      </c>
      <c r="N1116" s="67">
        <f t="shared" si="119"/>
        <v>333.50684931506851</v>
      </c>
      <c r="O1116" s="3"/>
      <c r="P1116" s="70" t="s">
        <v>18627</v>
      </c>
      <c r="Q1116" s="2" t="s">
        <v>1734</v>
      </c>
      <c r="R1116" s="2" t="s">
        <v>5154</v>
      </c>
      <c r="T1116" t="s">
        <v>18666</v>
      </c>
      <c r="U1116" t="s">
        <v>18652</v>
      </c>
      <c r="V1116" s="104">
        <v>45857</v>
      </c>
      <c r="X1116" s="97"/>
      <c r="Y1116" s="75">
        <v>333.51</v>
      </c>
    </row>
    <row r="1117" spans="1:25" x14ac:dyDescent="0.25">
      <c r="A1117" s="76">
        <v>1148</v>
      </c>
      <c r="B1117" s="2" t="s">
        <v>4744</v>
      </c>
      <c r="C1117" s="2" t="s">
        <v>4745</v>
      </c>
      <c r="D1117" s="2" t="s">
        <v>4746</v>
      </c>
      <c r="E1117" s="2" t="s">
        <v>4747</v>
      </c>
      <c r="F1117" s="2" t="s">
        <v>4748</v>
      </c>
      <c r="G1117" s="2" t="s">
        <v>226</v>
      </c>
      <c r="H1117" s="17">
        <v>25</v>
      </c>
      <c r="I1117" s="31">
        <f t="shared" si="114"/>
        <v>25000</v>
      </c>
      <c r="J1117" s="31">
        <f t="shared" si="115"/>
        <v>1750.0000000000002</v>
      </c>
      <c r="K1117" s="44">
        <f t="shared" si="116"/>
        <v>4.794520547945206</v>
      </c>
      <c r="L1117" s="3">
        <f t="shared" si="117"/>
        <v>354.79452054794524</v>
      </c>
      <c r="M1117" s="3">
        <f t="shared" si="118"/>
        <v>21.287671232876715</v>
      </c>
      <c r="N1117" s="67">
        <f t="shared" si="119"/>
        <v>333.50684931506851</v>
      </c>
      <c r="O1117" s="3"/>
      <c r="P1117" s="70" t="s">
        <v>18628</v>
      </c>
      <c r="Q1117" s="2" t="s">
        <v>1117</v>
      </c>
      <c r="R1117" s="2" t="s">
        <v>4749</v>
      </c>
      <c r="T1117" t="s">
        <v>18666</v>
      </c>
      <c r="U1117" t="s">
        <v>18652</v>
      </c>
      <c r="V1117" s="104">
        <v>45857</v>
      </c>
      <c r="X1117" s="97"/>
      <c r="Y1117" s="75">
        <v>333.51</v>
      </c>
    </row>
    <row r="1118" spans="1:25" x14ac:dyDescent="0.25">
      <c r="A1118" s="76">
        <v>1149</v>
      </c>
      <c r="B1118" s="2" t="s">
        <v>10430</v>
      </c>
      <c r="C1118" s="2" t="s">
        <v>10431</v>
      </c>
      <c r="D1118" s="2" t="s">
        <v>10432</v>
      </c>
      <c r="E1118" s="2" t="s">
        <v>10433</v>
      </c>
      <c r="F1118" s="2" t="s">
        <v>10434</v>
      </c>
      <c r="G1118" s="2" t="s">
        <v>218</v>
      </c>
      <c r="H1118" s="17">
        <v>50</v>
      </c>
      <c r="I1118" s="31">
        <f t="shared" si="114"/>
        <v>50000</v>
      </c>
      <c r="J1118" s="31">
        <f t="shared" si="115"/>
        <v>3500.0000000000005</v>
      </c>
      <c r="K1118" s="44">
        <f t="shared" si="116"/>
        <v>9.589041095890412</v>
      </c>
      <c r="L1118" s="3">
        <f t="shared" si="117"/>
        <v>709.58904109589048</v>
      </c>
      <c r="M1118" s="3">
        <f t="shared" si="118"/>
        <v>42.57534246575343</v>
      </c>
      <c r="N1118" s="67">
        <f t="shared" si="119"/>
        <v>667.01369863013701</v>
      </c>
      <c r="O1118" s="3"/>
      <c r="P1118" s="70" t="s">
        <v>18628</v>
      </c>
      <c r="Q1118" s="2" t="s">
        <v>1117</v>
      </c>
      <c r="R1118" s="2" t="s">
        <v>10435</v>
      </c>
      <c r="T1118" t="s">
        <v>18666</v>
      </c>
      <c r="U1118" t="s">
        <v>18652</v>
      </c>
      <c r="V1118" s="104">
        <v>45857</v>
      </c>
      <c r="X1118" s="97"/>
      <c r="Y1118" s="75">
        <v>667.02</v>
      </c>
    </row>
    <row r="1119" spans="1:25" x14ac:dyDescent="0.25">
      <c r="A1119" s="76">
        <v>1150</v>
      </c>
      <c r="B1119" s="2" t="s">
        <v>2868</v>
      </c>
      <c r="C1119" s="2" t="s">
        <v>2829</v>
      </c>
      <c r="D1119" s="2" t="s">
        <v>2869</v>
      </c>
      <c r="E1119" s="2" t="s">
        <v>2870</v>
      </c>
      <c r="F1119" s="2" t="s">
        <v>2871</v>
      </c>
      <c r="G1119" s="2" t="s">
        <v>123</v>
      </c>
      <c r="H1119" s="17">
        <v>25</v>
      </c>
      <c r="I1119" s="31">
        <f t="shared" si="114"/>
        <v>25000</v>
      </c>
      <c r="J1119" s="31">
        <f t="shared" si="115"/>
        <v>1750.0000000000002</v>
      </c>
      <c r="K1119" s="44">
        <f t="shared" si="116"/>
        <v>4.794520547945206</v>
      </c>
      <c r="L1119" s="3">
        <f t="shared" si="117"/>
        <v>354.79452054794524</v>
      </c>
      <c r="M1119" s="3">
        <f t="shared" si="118"/>
        <v>21.287671232876715</v>
      </c>
      <c r="N1119" s="67">
        <f t="shared" si="119"/>
        <v>333.50684931506851</v>
      </c>
      <c r="O1119" s="3"/>
      <c r="P1119" s="70" t="s">
        <v>18628</v>
      </c>
      <c r="Q1119" s="2" t="s">
        <v>1117</v>
      </c>
      <c r="R1119" s="2" t="s">
        <v>2872</v>
      </c>
      <c r="T1119" t="s">
        <v>18666</v>
      </c>
      <c r="U1119" t="s">
        <v>18652</v>
      </c>
      <c r="V1119" s="104">
        <v>45857</v>
      </c>
      <c r="X1119" s="97"/>
      <c r="Y1119" s="75">
        <v>333.51</v>
      </c>
    </row>
    <row r="1120" spans="1:25" x14ac:dyDescent="0.25">
      <c r="A1120" s="76">
        <v>1151</v>
      </c>
      <c r="B1120" s="2" t="s">
        <v>1957</v>
      </c>
      <c r="C1120" s="2" t="s">
        <v>1958</v>
      </c>
      <c r="D1120" s="2" t="s">
        <v>1959</v>
      </c>
      <c r="E1120" s="2" t="s">
        <v>1960</v>
      </c>
      <c r="F1120" s="2" t="s">
        <v>1961</v>
      </c>
      <c r="G1120" s="2" t="s">
        <v>750</v>
      </c>
      <c r="H1120" s="17">
        <v>25</v>
      </c>
      <c r="I1120" s="31">
        <f t="shared" si="114"/>
        <v>25000</v>
      </c>
      <c r="J1120" s="31">
        <f t="shared" si="115"/>
        <v>1750.0000000000002</v>
      </c>
      <c r="K1120" s="44">
        <f t="shared" si="116"/>
        <v>4.794520547945206</v>
      </c>
      <c r="L1120" s="3">
        <f t="shared" si="117"/>
        <v>354.79452054794524</v>
      </c>
      <c r="M1120" s="3">
        <f t="shared" si="118"/>
        <v>21.287671232876715</v>
      </c>
      <c r="N1120" s="67">
        <f t="shared" si="119"/>
        <v>333.50684931506851</v>
      </c>
      <c r="O1120" s="3"/>
      <c r="P1120" s="70" t="s">
        <v>18628</v>
      </c>
      <c r="Q1120" s="2" t="s">
        <v>1117</v>
      </c>
      <c r="R1120" s="2" t="s">
        <v>1962</v>
      </c>
      <c r="T1120" t="s">
        <v>18666</v>
      </c>
      <c r="U1120" t="s">
        <v>18652</v>
      </c>
      <c r="V1120" s="104">
        <v>45857</v>
      </c>
      <c r="X1120" s="97"/>
      <c r="Y1120" s="75">
        <v>333.51</v>
      </c>
    </row>
    <row r="1121" spans="1:25" x14ac:dyDescent="0.25">
      <c r="A1121" s="76">
        <v>1152</v>
      </c>
      <c r="B1121" s="2" t="s">
        <v>16418</v>
      </c>
      <c r="C1121" s="2" t="s">
        <v>16419</v>
      </c>
      <c r="D1121" s="2" t="s">
        <v>16420</v>
      </c>
      <c r="E1121" s="2" t="s">
        <v>16421</v>
      </c>
      <c r="F1121" s="2" t="s">
        <v>16422</v>
      </c>
      <c r="G1121" s="2" t="s">
        <v>61</v>
      </c>
      <c r="H1121" s="17">
        <v>25</v>
      </c>
      <c r="I1121" s="31">
        <f t="shared" si="114"/>
        <v>25000</v>
      </c>
      <c r="J1121" s="31">
        <f t="shared" si="115"/>
        <v>1750.0000000000002</v>
      </c>
      <c r="K1121" s="44">
        <f t="shared" si="116"/>
        <v>4.794520547945206</v>
      </c>
      <c r="L1121" s="3">
        <f t="shared" si="117"/>
        <v>354.79452054794524</v>
      </c>
      <c r="M1121" s="3">
        <f t="shared" si="118"/>
        <v>21.287671232876715</v>
      </c>
      <c r="N1121" s="67">
        <f t="shared" si="119"/>
        <v>333.50684931506851</v>
      </c>
      <c r="O1121" s="3"/>
      <c r="P1121" s="70" t="s">
        <v>18628</v>
      </c>
      <c r="Q1121" s="2" t="s">
        <v>1117</v>
      </c>
      <c r="R1121" s="2" t="s">
        <v>16423</v>
      </c>
      <c r="T1121" t="s">
        <v>18666</v>
      </c>
      <c r="U1121" t="s">
        <v>18652</v>
      </c>
      <c r="V1121" s="104">
        <v>45857</v>
      </c>
      <c r="X1121" s="97"/>
      <c r="Y1121" s="75">
        <v>333.51</v>
      </c>
    </row>
    <row r="1122" spans="1:25" x14ac:dyDescent="0.25">
      <c r="A1122" s="76">
        <v>1153</v>
      </c>
      <c r="B1122" s="2" t="s">
        <v>1112</v>
      </c>
      <c r="C1122" s="2" t="s">
        <v>1113</v>
      </c>
      <c r="D1122" s="2" t="s">
        <v>1114</v>
      </c>
      <c r="E1122" s="2" t="s">
        <v>1115</v>
      </c>
      <c r="F1122" s="2" t="s">
        <v>1116</v>
      </c>
      <c r="G1122" s="2" t="s">
        <v>186</v>
      </c>
      <c r="H1122" s="17">
        <v>25</v>
      </c>
      <c r="I1122" s="31">
        <f t="shared" si="114"/>
        <v>25000</v>
      </c>
      <c r="J1122" s="31">
        <f t="shared" si="115"/>
        <v>1750.0000000000002</v>
      </c>
      <c r="K1122" s="44">
        <f t="shared" si="116"/>
        <v>4.794520547945206</v>
      </c>
      <c r="L1122" s="3">
        <f t="shared" si="117"/>
        <v>354.79452054794524</v>
      </c>
      <c r="M1122" s="3">
        <f t="shared" si="118"/>
        <v>21.287671232876715</v>
      </c>
      <c r="N1122" s="67">
        <f t="shared" si="119"/>
        <v>333.50684931506851</v>
      </c>
      <c r="O1122" s="3"/>
      <c r="P1122" s="70" t="s">
        <v>18628</v>
      </c>
      <c r="Q1122" s="2" t="s">
        <v>1117</v>
      </c>
      <c r="R1122" s="2" t="s">
        <v>1118</v>
      </c>
      <c r="T1122" t="s">
        <v>18666</v>
      </c>
      <c r="U1122" t="s">
        <v>18652</v>
      </c>
      <c r="V1122" s="104">
        <v>45857</v>
      </c>
      <c r="X1122" s="97"/>
      <c r="Y1122" s="75">
        <v>333.51</v>
      </c>
    </row>
    <row r="1123" spans="1:25" x14ac:dyDescent="0.25">
      <c r="A1123" s="76">
        <v>1154</v>
      </c>
      <c r="B1123" s="2" t="s">
        <v>17537</v>
      </c>
      <c r="C1123" s="2" t="s">
        <v>17538</v>
      </c>
      <c r="D1123" s="2" t="s">
        <v>17539</v>
      </c>
      <c r="E1123" s="2" t="s">
        <v>17540</v>
      </c>
      <c r="F1123" s="2" t="s">
        <v>17541</v>
      </c>
      <c r="G1123" s="2" t="s">
        <v>1823</v>
      </c>
      <c r="H1123" s="17">
        <v>25</v>
      </c>
      <c r="I1123" s="31">
        <f t="shared" si="114"/>
        <v>25000</v>
      </c>
      <c r="J1123" s="31">
        <f t="shared" si="115"/>
        <v>1750.0000000000002</v>
      </c>
      <c r="K1123" s="44">
        <f t="shared" si="116"/>
        <v>4.794520547945206</v>
      </c>
      <c r="L1123" s="3">
        <f t="shared" si="117"/>
        <v>354.79452054794524</v>
      </c>
      <c r="M1123" s="3">
        <f t="shared" si="118"/>
        <v>21.287671232876715</v>
      </c>
      <c r="N1123" s="67">
        <f t="shared" si="119"/>
        <v>333.50684931506851</v>
      </c>
      <c r="O1123" s="3"/>
      <c r="P1123" s="70" t="s">
        <v>18628</v>
      </c>
      <c r="Q1123" s="2" t="s">
        <v>1117</v>
      </c>
      <c r="R1123" s="2" t="s">
        <v>17542</v>
      </c>
      <c r="T1123" t="s">
        <v>18666</v>
      </c>
      <c r="U1123" t="s">
        <v>18652</v>
      </c>
      <c r="V1123" s="104">
        <v>45857</v>
      </c>
      <c r="X1123" s="97"/>
      <c r="Y1123" s="75">
        <v>333.51</v>
      </c>
    </row>
    <row r="1124" spans="1:25" x14ac:dyDescent="0.25">
      <c r="A1124" s="76">
        <v>1155</v>
      </c>
      <c r="B1124" s="2" t="s">
        <v>17341</v>
      </c>
      <c r="C1124" s="2" t="s">
        <v>17342</v>
      </c>
      <c r="D1124" s="2" t="s">
        <v>17343</v>
      </c>
      <c r="E1124" s="2" t="s">
        <v>17344</v>
      </c>
      <c r="F1124" s="2" t="s">
        <v>17345</v>
      </c>
      <c r="G1124" s="2" t="s">
        <v>158</v>
      </c>
      <c r="H1124" s="17">
        <v>25</v>
      </c>
      <c r="I1124" s="31">
        <f t="shared" si="114"/>
        <v>25000</v>
      </c>
      <c r="J1124" s="31">
        <f t="shared" si="115"/>
        <v>1750.0000000000002</v>
      </c>
      <c r="K1124" s="44">
        <f t="shared" si="116"/>
        <v>4.794520547945206</v>
      </c>
      <c r="L1124" s="3">
        <f t="shared" si="117"/>
        <v>354.79452054794524</v>
      </c>
      <c r="M1124" s="3">
        <f t="shared" si="118"/>
        <v>21.287671232876715</v>
      </c>
      <c r="N1124" s="67">
        <f t="shared" si="119"/>
        <v>333.50684931506851</v>
      </c>
      <c r="O1124" s="3"/>
      <c r="P1124" s="70" t="s">
        <v>18628</v>
      </c>
      <c r="Q1124" s="2" t="s">
        <v>1117</v>
      </c>
      <c r="R1124" s="2" t="s">
        <v>17346</v>
      </c>
      <c r="T1124" t="s">
        <v>18666</v>
      </c>
      <c r="U1124" t="s">
        <v>18652</v>
      </c>
      <c r="V1124" s="104">
        <v>45857</v>
      </c>
      <c r="X1124" s="97"/>
      <c r="Y1124" s="75">
        <v>333.51</v>
      </c>
    </row>
    <row r="1125" spans="1:25" x14ac:dyDescent="0.25">
      <c r="A1125" s="76">
        <v>1156</v>
      </c>
      <c r="B1125" s="2" t="s">
        <v>1504</v>
      </c>
      <c r="C1125" s="2" t="s">
        <v>1505</v>
      </c>
      <c r="D1125" s="2" t="s">
        <v>1506</v>
      </c>
      <c r="E1125" s="2" t="s">
        <v>1507</v>
      </c>
      <c r="F1125" s="2" t="s">
        <v>1508</v>
      </c>
      <c r="G1125" s="2" t="s">
        <v>381</v>
      </c>
      <c r="H1125" s="17">
        <v>25</v>
      </c>
      <c r="I1125" s="31">
        <f t="shared" si="114"/>
        <v>25000</v>
      </c>
      <c r="J1125" s="31">
        <f t="shared" si="115"/>
        <v>1750.0000000000002</v>
      </c>
      <c r="K1125" s="44">
        <f t="shared" si="116"/>
        <v>4.794520547945206</v>
      </c>
      <c r="L1125" s="3">
        <f t="shared" si="117"/>
        <v>354.79452054794524</v>
      </c>
      <c r="M1125" s="3">
        <f t="shared" si="118"/>
        <v>21.287671232876715</v>
      </c>
      <c r="N1125" s="67">
        <f t="shared" si="119"/>
        <v>333.50684931506851</v>
      </c>
      <c r="O1125" s="3"/>
      <c r="P1125" s="70" t="s">
        <v>18628</v>
      </c>
      <c r="Q1125" s="2" t="s">
        <v>1117</v>
      </c>
      <c r="R1125" s="2" t="s">
        <v>1509</v>
      </c>
      <c r="T1125" t="s">
        <v>18666</v>
      </c>
      <c r="U1125" t="s">
        <v>18652</v>
      </c>
      <c r="V1125" s="104">
        <v>45857</v>
      </c>
      <c r="X1125" s="97"/>
      <c r="Y1125" s="75">
        <v>333.51</v>
      </c>
    </row>
    <row r="1126" spans="1:25" x14ac:dyDescent="0.25">
      <c r="A1126" s="76">
        <v>1157</v>
      </c>
      <c r="B1126" s="2" t="s">
        <v>1492</v>
      </c>
      <c r="C1126" s="2" t="s">
        <v>1493</v>
      </c>
      <c r="D1126" s="2" t="s">
        <v>1494</v>
      </c>
      <c r="E1126" s="2" t="s">
        <v>1495</v>
      </c>
      <c r="F1126" s="2" t="s">
        <v>1496</v>
      </c>
      <c r="G1126" s="2" t="s">
        <v>151</v>
      </c>
      <c r="H1126" s="17">
        <v>25</v>
      </c>
      <c r="I1126" s="31">
        <f t="shared" si="114"/>
        <v>25000</v>
      </c>
      <c r="J1126" s="31">
        <f t="shared" si="115"/>
        <v>1750.0000000000002</v>
      </c>
      <c r="K1126" s="44">
        <f t="shared" si="116"/>
        <v>4.794520547945206</v>
      </c>
      <c r="L1126" s="3">
        <f t="shared" si="117"/>
        <v>354.79452054794524</v>
      </c>
      <c r="M1126" s="3">
        <f t="shared" si="118"/>
        <v>21.287671232876715</v>
      </c>
      <c r="N1126" s="67">
        <f t="shared" si="119"/>
        <v>333.50684931506851</v>
      </c>
      <c r="O1126" s="3"/>
      <c r="P1126" s="70" t="s">
        <v>18628</v>
      </c>
      <c r="Q1126" s="2" t="s">
        <v>1117</v>
      </c>
      <c r="R1126" s="2" t="s">
        <v>1497</v>
      </c>
      <c r="T1126" t="s">
        <v>18666</v>
      </c>
      <c r="U1126" t="s">
        <v>18652</v>
      </c>
      <c r="V1126" s="104">
        <v>45857</v>
      </c>
      <c r="X1126" s="97"/>
      <c r="Y1126" s="75">
        <v>333.51</v>
      </c>
    </row>
    <row r="1127" spans="1:25" x14ac:dyDescent="0.25">
      <c r="A1127" s="76">
        <v>1158</v>
      </c>
      <c r="B1127" s="2" t="s">
        <v>15744</v>
      </c>
      <c r="C1127" s="2" t="s">
        <v>15745</v>
      </c>
      <c r="D1127" s="2" t="s">
        <v>15746</v>
      </c>
      <c r="E1127" s="2" t="s">
        <v>15747</v>
      </c>
      <c r="F1127" s="2" t="s">
        <v>15748</v>
      </c>
      <c r="G1127" s="2" t="s">
        <v>381</v>
      </c>
      <c r="H1127" s="17">
        <v>25</v>
      </c>
      <c r="I1127" s="31">
        <f t="shared" si="114"/>
        <v>25000</v>
      </c>
      <c r="J1127" s="31">
        <f t="shared" si="115"/>
        <v>1750.0000000000002</v>
      </c>
      <c r="K1127" s="44">
        <f t="shared" si="116"/>
        <v>4.794520547945206</v>
      </c>
      <c r="L1127" s="3">
        <f t="shared" si="117"/>
        <v>354.79452054794524</v>
      </c>
      <c r="M1127" s="3">
        <f t="shared" si="118"/>
        <v>21.287671232876715</v>
      </c>
      <c r="N1127" s="67">
        <f t="shared" si="119"/>
        <v>333.50684931506851</v>
      </c>
      <c r="O1127" s="3"/>
      <c r="P1127" s="70" t="s">
        <v>18628</v>
      </c>
      <c r="Q1127" s="2" t="s">
        <v>1117</v>
      </c>
      <c r="R1127" s="2" t="s">
        <v>15749</v>
      </c>
      <c r="T1127" t="s">
        <v>18666</v>
      </c>
      <c r="U1127" t="s">
        <v>18652</v>
      </c>
      <c r="V1127" s="104">
        <v>45857</v>
      </c>
      <c r="X1127" s="97"/>
      <c r="Y1127" s="75">
        <v>333.51</v>
      </c>
    </row>
    <row r="1128" spans="1:25" x14ac:dyDescent="0.25">
      <c r="A1128" s="76">
        <v>1159</v>
      </c>
      <c r="B1128" s="2" t="s">
        <v>15445</v>
      </c>
      <c r="C1128" s="2" t="s">
        <v>15446</v>
      </c>
      <c r="D1128" s="2" t="s">
        <v>15447</v>
      </c>
      <c r="E1128" s="2" t="s">
        <v>15448</v>
      </c>
      <c r="F1128" s="2" t="s">
        <v>15449</v>
      </c>
      <c r="G1128" s="2" t="s">
        <v>1315</v>
      </c>
      <c r="H1128" s="17">
        <v>50</v>
      </c>
      <c r="I1128" s="31">
        <f t="shared" si="114"/>
        <v>50000</v>
      </c>
      <c r="J1128" s="31">
        <f t="shared" si="115"/>
        <v>3500.0000000000005</v>
      </c>
      <c r="K1128" s="44">
        <f t="shared" si="116"/>
        <v>9.589041095890412</v>
      </c>
      <c r="L1128" s="3">
        <f t="shared" si="117"/>
        <v>709.58904109589048</v>
      </c>
      <c r="M1128" s="3">
        <f t="shared" si="118"/>
        <v>42.57534246575343</v>
      </c>
      <c r="N1128" s="67">
        <f t="shared" si="119"/>
        <v>667.01369863013701</v>
      </c>
      <c r="O1128" s="3"/>
      <c r="P1128" s="70" t="s">
        <v>18628</v>
      </c>
      <c r="Q1128" s="2" t="s">
        <v>1117</v>
      </c>
      <c r="R1128" s="2" t="s">
        <v>15450</v>
      </c>
      <c r="T1128" t="s">
        <v>18666</v>
      </c>
      <c r="U1128" t="s">
        <v>18652</v>
      </c>
      <c r="V1128" s="104">
        <v>45857</v>
      </c>
      <c r="X1128" s="97"/>
      <c r="Y1128" s="75">
        <v>667.02</v>
      </c>
    </row>
    <row r="1129" spans="1:25" x14ac:dyDescent="0.25">
      <c r="A1129" s="76">
        <v>1160</v>
      </c>
      <c r="B1129" s="2" t="s">
        <v>17454</v>
      </c>
      <c r="C1129" s="2" t="s">
        <v>17455</v>
      </c>
      <c r="D1129" s="2" t="s">
        <v>17456</v>
      </c>
      <c r="E1129" s="2" t="s">
        <v>17457</v>
      </c>
      <c r="F1129" s="2" t="s">
        <v>17458</v>
      </c>
      <c r="G1129" s="2" t="s">
        <v>31</v>
      </c>
      <c r="H1129" s="17">
        <v>25</v>
      </c>
      <c r="I1129" s="31">
        <f t="shared" si="114"/>
        <v>25000</v>
      </c>
      <c r="J1129" s="31">
        <f t="shared" si="115"/>
        <v>1750.0000000000002</v>
      </c>
      <c r="K1129" s="44">
        <f t="shared" si="116"/>
        <v>4.794520547945206</v>
      </c>
      <c r="L1129" s="3">
        <f t="shared" si="117"/>
        <v>354.79452054794524</v>
      </c>
      <c r="M1129" s="3">
        <f t="shared" si="118"/>
        <v>21.287671232876715</v>
      </c>
      <c r="N1129" s="67">
        <f t="shared" si="119"/>
        <v>333.50684931506851</v>
      </c>
      <c r="O1129" s="3"/>
      <c r="P1129" s="70" t="s">
        <v>18628</v>
      </c>
      <c r="Q1129" s="2" t="s">
        <v>1117</v>
      </c>
      <c r="R1129" s="2" t="s">
        <v>17459</v>
      </c>
      <c r="T1129" t="s">
        <v>18666</v>
      </c>
      <c r="U1129" t="s">
        <v>18652</v>
      </c>
      <c r="V1129" s="104">
        <v>45857</v>
      </c>
      <c r="X1129" s="97"/>
      <c r="Y1129" s="75">
        <v>333.51</v>
      </c>
    </row>
    <row r="1130" spans="1:25" x14ac:dyDescent="0.25">
      <c r="A1130" s="76">
        <v>1161</v>
      </c>
      <c r="B1130" s="2" t="s">
        <v>15027</v>
      </c>
      <c r="C1130" s="2" t="s">
        <v>15028</v>
      </c>
      <c r="D1130" s="2" t="s">
        <v>15029</v>
      </c>
      <c r="E1130" s="2" t="s">
        <v>15030</v>
      </c>
      <c r="F1130" s="2" t="s">
        <v>15031</v>
      </c>
      <c r="G1130" s="2" t="s">
        <v>31</v>
      </c>
      <c r="H1130" s="17">
        <v>50</v>
      </c>
      <c r="I1130" s="31">
        <f t="shared" si="114"/>
        <v>50000</v>
      </c>
      <c r="J1130" s="31">
        <f t="shared" si="115"/>
        <v>3500.0000000000005</v>
      </c>
      <c r="K1130" s="44">
        <f t="shared" si="116"/>
        <v>9.589041095890412</v>
      </c>
      <c r="L1130" s="3">
        <f t="shared" si="117"/>
        <v>709.58904109589048</v>
      </c>
      <c r="M1130" s="3">
        <f t="shared" si="118"/>
        <v>42.57534246575343</v>
      </c>
      <c r="N1130" s="67">
        <f t="shared" si="119"/>
        <v>667.01369863013701</v>
      </c>
      <c r="O1130" s="3"/>
      <c r="P1130" s="70" t="s">
        <v>18628</v>
      </c>
      <c r="Q1130" s="2" t="s">
        <v>1117</v>
      </c>
      <c r="R1130" s="2" t="s">
        <v>15032</v>
      </c>
      <c r="T1130" t="s">
        <v>18666</v>
      </c>
      <c r="U1130" t="s">
        <v>18652</v>
      </c>
      <c r="V1130" s="104">
        <v>45857</v>
      </c>
      <c r="X1130" s="97"/>
      <c r="Y1130" s="75">
        <v>667.02</v>
      </c>
    </row>
    <row r="1131" spans="1:25" x14ac:dyDescent="0.25">
      <c r="A1131" s="76">
        <v>1162</v>
      </c>
      <c r="B1131" s="2" t="s">
        <v>15004</v>
      </c>
      <c r="C1131" s="2" t="s">
        <v>15005</v>
      </c>
      <c r="D1131" s="2" t="s">
        <v>15006</v>
      </c>
      <c r="E1131" s="2" t="s">
        <v>15007</v>
      </c>
      <c r="F1131" s="2" t="s">
        <v>15008</v>
      </c>
      <c r="G1131" s="2" t="s">
        <v>61</v>
      </c>
      <c r="H1131" s="17">
        <v>100</v>
      </c>
      <c r="I1131" s="31">
        <f t="shared" si="114"/>
        <v>100000</v>
      </c>
      <c r="J1131" s="31">
        <f t="shared" si="115"/>
        <v>7000.0000000000009</v>
      </c>
      <c r="K1131" s="44">
        <f t="shared" si="116"/>
        <v>19.178082191780824</v>
      </c>
      <c r="L1131" s="3">
        <f t="shared" si="117"/>
        <v>1419.178082191781</v>
      </c>
      <c r="M1131" s="3">
        <f t="shared" si="118"/>
        <v>85.150684931506859</v>
      </c>
      <c r="N1131" s="67">
        <f t="shared" si="119"/>
        <v>1334.027397260274</v>
      </c>
      <c r="O1131" s="3"/>
      <c r="P1131" s="70" t="s">
        <v>18628</v>
      </c>
      <c r="Q1131" s="2" t="s">
        <v>1117</v>
      </c>
      <c r="R1131" s="2" t="s">
        <v>15009</v>
      </c>
      <c r="T1131" t="s">
        <v>18666</v>
      </c>
      <c r="U1131" t="s">
        <v>18652</v>
      </c>
      <c r="V1131" s="104">
        <v>45857</v>
      </c>
      <c r="X1131" s="97"/>
      <c r="Y1131" s="75">
        <v>1334.03</v>
      </c>
    </row>
    <row r="1132" spans="1:25" x14ac:dyDescent="0.25">
      <c r="A1132" s="76">
        <v>1163</v>
      </c>
      <c r="B1132" s="2" t="s">
        <v>12723</v>
      </c>
      <c r="C1132" s="2" t="s">
        <v>12724</v>
      </c>
      <c r="D1132" s="2" t="s">
        <v>12725</v>
      </c>
      <c r="E1132" s="2" t="s">
        <v>12726</v>
      </c>
      <c r="F1132" s="2" t="s">
        <v>12727</v>
      </c>
      <c r="G1132" s="2" t="s">
        <v>240</v>
      </c>
      <c r="H1132" s="17">
        <v>30</v>
      </c>
      <c r="I1132" s="31">
        <f t="shared" si="114"/>
        <v>30000</v>
      </c>
      <c r="J1132" s="31">
        <f t="shared" si="115"/>
        <v>2100</v>
      </c>
      <c r="K1132" s="44">
        <f t="shared" si="116"/>
        <v>5.7534246575342465</v>
      </c>
      <c r="L1132" s="3">
        <f t="shared" si="117"/>
        <v>425.75342465753425</v>
      </c>
      <c r="M1132" s="3">
        <f t="shared" si="118"/>
        <v>25.545205479452054</v>
      </c>
      <c r="N1132" s="67">
        <f t="shared" si="119"/>
        <v>400.20821917808217</v>
      </c>
      <c r="O1132" s="3"/>
      <c r="P1132" s="70" t="s">
        <v>18628</v>
      </c>
      <c r="Q1132" s="2" t="s">
        <v>1117</v>
      </c>
      <c r="R1132" s="2" t="s">
        <v>12728</v>
      </c>
      <c r="T1132" t="s">
        <v>18666</v>
      </c>
      <c r="U1132" t="s">
        <v>18652</v>
      </c>
      <c r="V1132" s="104">
        <v>45857</v>
      </c>
      <c r="X1132" s="97"/>
      <c r="Y1132" s="75">
        <v>400.21</v>
      </c>
    </row>
    <row r="1133" spans="1:25" x14ac:dyDescent="0.25">
      <c r="A1133" s="76">
        <v>1164</v>
      </c>
      <c r="B1133" s="2" t="s">
        <v>9950</v>
      </c>
      <c r="C1133" s="2" t="s">
        <v>9951</v>
      </c>
      <c r="D1133" s="2" t="s">
        <v>9922</v>
      </c>
      <c r="E1133" s="2" t="s">
        <v>9942</v>
      </c>
      <c r="F1133" s="2" t="s">
        <v>9925</v>
      </c>
      <c r="G1133" s="2" t="s">
        <v>31</v>
      </c>
      <c r="H1133" s="17">
        <v>25</v>
      </c>
      <c r="I1133" s="31">
        <f t="shared" si="114"/>
        <v>25000</v>
      </c>
      <c r="J1133" s="31">
        <f t="shared" si="115"/>
        <v>1750.0000000000002</v>
      </c>
      <c r="K1133" s="44">
        <f t="shared" si="116"/>
        <v>4.794520547945206</v>
      </c>
      <c r="L1133" s="3">
        <f t="shared" si="117"/>
        <v>354.79452054794524</v>
      </c>
      <c r="M1133" s="3">
        <f t="shared" si="118"/>
        <v>21.287671232876715</v>
      </c>
      <c r="N1133" s="67">
        <f t="shared" si="119"/>
        <v>333.50684931506851</v>
      </c>
      <c r="O1133" s="3"/>
      <c r="P1133" s="70" t="s">
        <v>18628</v>
      </c>
      <c r="Q1133" s="2" t="s">
        <v>1117</v>
      </c>
      <c r="R1133" s="2" t="s">
        <v>9952</v>
      </c>
      <c r="T1133" t="s">
        <v>18666</v>
      </c>
      <c r="U1133" t="s">
        <v>18652</v>
      </c>
      <c r="V1133" s="104">
        <v>45857</v>
      </c>
      <c r="X1133" s="97"/>
      <c r="Y1133" s="75">
        <v>333.51</v>
      </c>
    </row>
    <row r="1134" spans="1:25" x14ac:dyDescent="0.25">
      <c r="A1134" s="76">
        <v>1165</v>
      </c>
      <c r="B1134" s="2" t="s">
        <v>6071</v>
      </c>
      <c r="C1134" s="2" t="s">
        <v>6072</v>
      </c>
      <c r="D1134" s="2" t="s">
        <v>6073</v>
      </c>
      <c r="E1134" s="2" t="s">
        <v>6074</v>
      </c>
      <c r="F1134" s="2" t="s">
        <v>6075</v>
      </c>
      <c r="G1134" s="2" t="s">
        <v>23</v>
      </c>
      <c r="H1134" s="17">
        <v>25</v>
      </c>
      <c r="I1134" s="31">
        <f t="shared" si="114"/>
        <v>25000</v>
      </c>
      <c r="J1134" s="31">
        <f t="shared" si="115"/>
        <v>1750.0000000000002</v>
      </c>
      <c r="K1134" s="44">
        <f t="shared" si="116"/>
        <v>4.794520547945206</v>
      </c>
      <c r="L1134" s="3">
        <f t="shared" si="117"/>
        <v>354.79452054794524</v>
      </c>
      <c r="M1134" s="3">
        <f t="shared" si="118"/>
        <v>21.287671232876715</v>
      </c>
      <c r="N1134" s="67">
        <f t="shared" si="119"/>
        <v>333.50684931506851</v>
      </c>
      <c r="O1134" s="3"/>
      <c r="P1134" s="70" t="s">
        <v>18628</v>
      </c>
      <c r="Q1134" s="2" t="s">
        <v>1117</v>
      </c>
      <c r="R1134" s="2" t="s">
        <v>6076</v>
      </c>
      <c r="T1134" t="s">
        <v>18666</v>
      </c>
      <c r="U1134" t="s">
        <v>18652</v>
      </c>
      <c r="V1134" s="104">
        <v>45857</v>
      </c>
      <c r="X1134" s="97"/>
      <c r="Y1134" s="75">
        <v>333.51</v>
      </c>
    </row>
    <row r="1135" spans="1:25" x14ac:dyDescent="0.25">
      <c r="A1135" s="76">
        <v>1167</v>
      </c>
      <c r="B1135" s="2" t="s">
        <v>17938</v>
      </c>
      <c r="C1135" s="2" t="s">
        <v>17939</v>
      </c>
      <c r="D1135" s="2" t="s">
        <v>17940</v>
      </c>
      <c r="E1135" s="2" t="s">
        <v>17941</v>
      </c>
      <c r="F1135" s="2" t="s">
        <v>17942</v>
      </c>
      <c r="G1135" s="2" t="s">
        <v>296</v>
      </c>
      <c r="H1135" s="17">
        <v>25</v>
      </c>
      <c r="I1135" s="31">
        <f t="shared" si="114"/>
        <v>25000</v>
      </c>
      <c r="J1135" s="31">
        <f t="shared" si="115"/>
        <v>1750.0000000000002</v>
      </c>
      <c r="K1135" s="44">
        <f t="shared" si="116"/>
        <v>4.794520547945206</v>
      </c>
      <c r="L1135" s="3">
        <f t="shared" si="117"/>
        <v>354.79452054794524</v>
      </c>
      <c r="M1135" s="3">
        <f t="shared" si="118"/>
        <v>21.287671232876715</v>
      </c>
      <c r="N1135" s="67">
        <f t="shared" si="119"/>
        <v>333.50684931506851</v>
      </c>
      <c r="O1135" s="3"/>
      <c r="P1135" s="70" t="s">
        <v>18628</v>
      </c>
      <c r="Q1135" s="2" t="s">
        <v>1117</v>
      </c>
      <c r="R1135" s="2" t="s">
        <v>17943</v>
      </c>
      <c r="T1135" t="s">
        <v>18666</v>
      </c>
      <c r="U1135" t="s">
        <v>18652</v>
      </c>
      <c r="V1135" s="104">
        <v>45857</v>
      </c>
      <c r="X1135" s="97"/>
      <c r="Y1135" s="75">
        <v>333.51</v>
      </c>
    </row>
    <row r="1136" spans="1:25" x14ac:dyDescent="0.25">
      <c r="A1136" s="76">
        <v>1168</v>
      </c>
      <c r="B1136" s="2" t="s">
        <v>5220</v>
      </c>
      <c r="C1136" s="2" t="s">
        <v>5221</v>
      </c>
      <c r="D1136" s="2" t="s">
        <v>5222</v>
      </c>
      <c r="E1136" s="2" t="s">
        <v>5223</v>
      </c>
      <c r="F1136" s="2" t="s">
        <v>5224</v>
      </c>
      <c r="G1136" s="2" t="s">
        <v>101</v>
      </c>
      <c r="H1136" s="17">
        <v>25</v>
      </c>
      <c r="I1136" s="31">
        <f t="shared" si="114"/>
        <v>25000</v>
      </c>
      <c r="J1136" s="31">
        <f t="shared" si="115"/>
        <v>1750.0000000000002</v>
      </c>
      <c r="K1136" s="44">
        <f t="shared" si="116"/>
        <v>4.794520547945206</v>
      </c>
      <c r="L1136" s="3">
        <f t="shared" si="117"/>
        <v>354.79452054794524</v>
      </c>
      <c r="M1136" s="3">
        <f t="shared" si="118"/>
        <v>21.287671232876715</v>
      </c>
      <c r="N1136" s="67">
        <f t="shared" si="119"/>
        <v>333.50684931506851</v>
      </c>
      <c r="O1136" s="3"/>
      <c r="P1136" s="70" t="s">
        <v>18628</v>
      </c>
      <c r="Q1136" s="2" t="s">
        <v>1117</v>
      </c>
      <c r="R1136" s="2" t="s">
        <v>5225</v>
      </c>
      <c r="T1136" t="s">
        <v>18666</v>
      </c>
      <c r="U1136" t="s">
        <v>18652</v>
      </c>
      <c r="V1136" s="104">
        <v>45857</v>
      </c>
      <c r="X1136" s="97"/>
      <c r="Y1136" s="75">
        <v>333.51</v>
      </c>
    </row>
    <row r="1137" spans="1:25" x14ac:dyDescent="0.25">
      <c r="A1137" s="76">
        <v>1169</v>
      </c>
      <c r="B1137" s="2" t="s">
        <v>5044</v>
      </c>
      <c r="C1137" s="2" t="s">
        <v>5045</v>
      </c>
      <c r="D1137" s="2" t="s">
        <v>5046</v>
      </c>
      <c r="E1137" s="2" t="s">
        <v>5047</v>
      </c>
      <c r="F1137" s="2" t="s">
        <v>5048</v>
      </c>
      <c r="G1137" s="2" t="s">
        <v>296</v>
      </c>
      <c r="H1137" s="17">
        <v>25</v>
      </c>
      <c r="I1137" s="31">
        <f t="shared" si="114"/>
        <v>25000</v>
      </c>
      <c r="J1137" s="31">
        <f t="shared" si="115"/>
        <v>1750.0000000000002</v>
      </c>
      <c r="K1137" s="44">
        <f t="shared" si="116"/>
        <v>4.794520547945206</v>
      </c>
      <c r="L1137" s="3">
        <f t="shared" si="117"/>
        <v>354.79452054794524</v>
      </c>
      <c r="M1137" s="3">
        <f t="shared" si="118"/>
        <v>21.287671232876715</v>
      </c>
      <c r="N1137" s="67">
        <f t="shared" si="119"/>
        <v>333.50684931506851</v>
      </c>
      <c r="O1137" s="3"/>
      <c r="P1137" s="70" t="s">
        <v>18628</v>
      </c>
      <c r="Q1137" s="2" t="s">
        <v>1117</v>
      </c>
      <c r="R1137" s="2" t="s">
        <v>5049</v>
      </c>
      <c r="T1137" t="s">
        <v>18666</v>
      </c>
      <c r="U1137" t="s">
        <v>18652</v>
      </c>
      <c r="V1137" s="104">
        <v>45857</v>
      </c>
      <c r="X1137" s="97"/>
      <c r="Y1137" s="75">
        <v>333.51</v>
      </c>
    </row>
    <row r="1138" spans="1:25" x14ac:dyDescent="0.25">
      <c r="A1138" s="76">
        <v>1170</v>
      </c>
      <c r="B1138" s="2" t="s">
        <v>17080</v>
      </c>
      <c r="C1138" s="2" t="s">
        <v>17081</v>
      </c>
      <c r="D1138" s="2" t="s">
        <v>17082</v>
      </c>
      <c r="E1138" s="2" t="s">
        <v>17083</v>
      </c>
      <c r="F1138" s="2" t="s">
        <v>17084</v>
      </c>
      <c r="G1138" s="2" t="s">
        <v>31</v>
      </c>
      <c r="H1138" s="17">
        <v>25</v>
      </c>
      <c r="I1138" s="31">
        <f t="shared" si="114"/>
        <v>25000</v>
      </c>
      <c r="J1138" s="31">
        <f t="shared" si="115"/>
        <v>1750.0000000000002</v>
      </c>
      <c r="K1138" s="44">
        <f t="shared" si="116"/>
        <v>4.794520547945206</v>
      </c>
      <c r="L1138" s="3">
        <f t="shared" si="117"/>
        <v>354.79452054794524</v>
      </c>
      <c r="M1138" s="3">
        <f t="shared" si="118"/>
        <v>21.287671232876715</v>
      </c>
      <c r="N1138" s="67">
        <f t="shared" si="119"/>
        <v>333.50684931506851</v>
      </c>
      <c r="O1138" s="3"/>
      <c r="P1138" s="70" t="s">
        <v>18628</v>
      </c>
      <c r="Q1138" s="2" t="s">
        <v>1117</v>
      </c>
      <c r="R1138" s="2" t="s">
        <v>17085</v>
      </c>
      <c r="T1138" t="s">
        <v>18666</v>
      </c>
      <c r="U1138" t="s">
        <v>18652</v>
      </c>
      <c r="V1138" s="104">
        <v>45857</v>
      </c>
      <c r="X1138" s="97"/>
      <c r="Y1138" s="75">
        <v>333.51</v>
      </c>
    </row>
    <row r="1139" spans="1:25" x14ac:dyDescent="0.25">
      <c r="A1139" s="76">
        <v>1171</v>
      </c>
      <c r="B1139" s="2" t="s">
        <v>10958</v>
      </c>
      <c r="C1139" s="2" t="s">
        <v>10959</v>
      </c>
      <c r="D1139" s="2" t="s">
        <v>10960</v>
      </c>
      <c r="E1139" s="2" t="s">
        <v>10961</v>
      </c>
      <c r="F1139" s="2" t="s">
        <v>10962</v>
      </c>
      <c r="G1139" s="2" t="s">
        <v>31</v>
      </c>
      <c r="H1139" s="17">
        <v>990</v>
      </c>
      <c r="I1139" s="31">
        <f t="shared" si="114"/>
        <v>990000</v>
      </c>
      <c r="J1139" s="31">
        <f t="shared" si="115"/>
        <v>69300</v>
      </c>
      <c r="K1139" s="44">
        <f t="shared" si="116"/>
        <v>189.86301369863014</v>
      </c>
      <c r="L1139" s="3">
        <f t="shared" si="117"/>
        <v>14049.86301369863</v>
      </c>
      <c r="M1139" s="3">
        <f t="shared" si="118"/>
        <v>842.99178082191781</v>
      </c>
      <c r="N1139" s="67">
        <f t="shared" si="119"/>
        <v>13206.871232876712</v>
      </c>
      <c r="O1139" s="3"/>
      <c r="P1139" s="70" t="s">
        <v>18628</v>
      </c>
      <c r="Q1139" s="2" t="s">
        <v>1117</v>
      </c>
      <c r="R1139" s="2" t="s">
        <v>10963</v>
      </c>
      <c r="T1139" t="s">
        <v>18666</v>
      </c>
      <c r="U1139" t="s">
        <v>18652</v>
      </c>
      <c r="V1139" s="104">
        <v>45857</v>
      </c>
      <c r="X1139" s="97"/>
      <c r="Y1139" s="75">
        <v>13206.880000000001</v>
      </c>
    </row>
    <row r="1140" spans="1:25" x14ac:dyDescent="0.25">
      <c r="A1140" s="76">
        <v>1172</v>
      </c>
      <c r="B1140" s="2" t="s">
        <v>3087</v>
      </c>
      <c r="C1140" s="2" t="s">
        <v>3088</v>
      </c>
      <c r="D1140" s="2" t="s">
        <v>3089</v>
      </c>
      <c r="E1140" s="2" t="s">
        <v>3090</v>
      </c>
      <c r="F1140" s="2" t="s">
        <v>3091</v>
      </c>
      <c r="G1140" s="2" t="s">
        <v>158</v>
      </c>
      <c r="H1140" s="17">
        <v>40</v>
      </c>
      <c r="I1140" s="31">
        <f t="shared" si="114"/>
        <v>40000</v>
      </c>
      <c r="J1140" s="31">
        <f t="shared" si="115"/>
        <v>2800.0000000000005</v>
      </c>
      <c r="K1140" s="44">
        <f t="shared" si="116"/>
        <v>7.6712328767123301</v>
      </c>
      <c r="L1140" s="3">
        <f t="shared" si="117"/>
        <v>567.67123287671245</v>
      </c>
      <c r="M1140" s="3">
        <f t="shared" si="118"/>
        <v>34.060273972602744</v>
      </c>
      <c r="N1140" s="67">
        <f t="shared" si="119"/>
        <v>533.61095890410968</v>
      </c>
      <c r="O1140" s="3"/>
      <c r="P1140" s="70" t="s">
        <v>18628</v>
      </c>
      <c r="Q1140" s="2" t="s">
        <v>1117</v>
      </c>
      <c r="R1140" s="2" t="s">
        <v>3092</v>
      </c>
      <c r="T1140" t="s">
        <v>18666</v>
      </c>
      <c r="U1140" t="s">
        <v>18652</v>
      </c>
      <c r="V1140" s="104">
        <v>45857</v>
      </c>
      <c r="X1140" s="97"/>
      <c r="Y1140" s="75">
        <v>533.62</v>
      </c>
    </row>
    <row r="1141" spans="1:25" x14ac:dyDescent="0.25">
      <c r="A1141" s="76">
        <v>1173</v>
      </c>
      <c r="B1141" s="2" t="s">
        <v>1629</v>
      </c>
      <c r="C1141" s="2" t="s">
        <v>1630</v>
      </c>
      <c r="D1141" s="2" t="s">
        <v>1631</v>
      </c>
      <c r="E1141" s="2" t="s">
        <v>1632</v>
      </c>
      <c r="F1141" s="2" t="s">
        <v>1633</v>
      </c>
      <c r="G1141" s="2" t="s">
        <v>101</v>
      </c>
      <c r="H1141" s="17">
        <v>25</v>
      </c>
      <c r="I1141" s="31">
        <f t="shared" si="114"/>
        <v>25000</v>
      </c>
      <c r="J1141" s="31">
        <f t="shared" si="115"/>
        <v>1750.0000000000002</v>
      </c>
      <c r="K1141" s="44">
        <f t="shared" si="116"/>
        <v>4.794520547945206</v>
      </c>
      <c r="L1141" s="3">
        <f t="shared" si="117"/>
        <v>354.79452054794524</v>
      </c>
      <c r="M1141" s="3">
        <f t="shared" si="118"/>
        <v>21.287671232876715</v>
      </c>
      <c r="N1141" s="67">
        <f t="shared" si="119"/>
        <v>333.50684931506851</v>
      </c>
      <c r="O1141" s="3"/>
      <c r="P1141" s="70" t="s">
        <v>18628</v>
      </c>
      <c r="Q1141" s="2" t="s">
        <v>1117</v>
      </c>
      <c r="R1141" s="2" t="s">
        <v>1634</v>
      </c>
      <c r="T1141" t="s">
        <v>18666</v>
      </c>
      <c r="U1141" t="s">
        <v>18652</v>
      </c>
      <c r="V1141" s="104">
        <v>45857</v>
      </c>
      <c r="X1141" s="97"/>
      <c r="Y1141" s="75">
        <v>333.51</v>
      </c>
    </row>
    <row r="1142" spans="1:25" x14ac:dyDescent="0.25">
      <c r="A1142" s="76">
        <v>1174</v>
      </c>
      <c r="B1142" s="2" t="s">
        <v>4163</v>
      </c>
      <c r="C1142" s="2" t="s">
        <v>4164</v>
      </c>
      <c r="D1142" s="2" t="s">
        <v>4165</v>
      </c>
      <c r="E1142" s="2" t="s">
        <v>4166</v>
      </c>
      <c r="F1142" s="2" t="s">
        <v>4167</v>
      </c>
      <c r="G1142" s="2" t="s">
        <v>1424</v>
      </c>
      <c r="H1142" s="17">
        <v>25</v>
      </c>
      <c r="I1142" s="31">
        <f t="shared" si="114"/>
        <v>25000</v>
      </c>
      <c r="J1142" s="31">
        <f t="shared" si="115"/>
        <v>1750.0000000000002</v>
      </c>
      <c r="K1142" s="44">
        <f t="shared" si="116"/>
        <v>4.794520547945206</v>
      </c>
      <c r="L1142" s="3">
        <f t="shared" si="117"/>
        <v>354.79452054794524</v>
      </c>
      <c r="M1142" s="3">
        <f t="shared" si="118"/>
        <v>21.287671232876715</v>
      </c>
      <c r="N1142" s="67">
        <f t="shared" si="119"/>
        <v>333.50684931506851</v>
      </c>
      <c r="O1142" s="3"/>
      <c r="P1142" s="70" t="s">
        <v>18628</v>
      </c>
      <c r="Q1142" s="2" t="s">
        <v>1117</v>
      </c>
      <c r="R1142" s="2" t="s">
        <v>4168</v>
      </c>
      <c r="T1142" t="s">
        <v>18666</v>
      </c>
      <c r="U1142" t="s">
        <v>18652</v>
      </c>
      <c r="V1142" s="104">
        <v>45857</v>
      </c>
      <c r="X1142" s="97"/>
      <c r="Y1142" s="75">
        <v>333.51</v>
      </c>
    </row>
    <row r="1143" spans="1:25" x14ac:dyDescent="0.25">
      <c r="A1143" s="76">
        <v>1175</v>
      </c>
      <c r="B1143" s="2" t="s">
        <v>5911</v>
      </c>
      <c r="C1143" s="2" t="s">
        <v>5912</v>
      </c>
      <c r="D1143" s="2" t="s">
        <v>5913</v>
      </c>
      <c r="E1143" s="2" t="s">
        <v>5914</v>
      </c>
      <c r="F1143" s="2" t="s">
        <v>5915</v>
      </c>
      <c r="G1143" s="2" t="s">
        <v>618</v>
      </c>
      <c r="H1143" s="17">
        <v>25</v>
      </c>
      <c r="I1143" s="31">
        <f t="shared" si="114"/>
        <v>25000</v>
      </c>
      <c r="J1143" s="31">
        <f t="shared" si="115"/>
        <v>1750.0000000000002</v>
      </c>
      <c r="K1143" s="44">
        <f t="shared" si="116"/>
        <v>4.794520547945206</v>
      </c>
      <c r="L1143" s="3">
        <f t="shared" si="117"/>
        <v>354.79452054794524</v>
      </c>
      <c r="M1143" s="3">
        <f t="shared" si="118"/>
        <v>21.287671232876715</v>
      </c>
      <c r="N1143" s="67">
        <f t="shared" si="119"/>
        <v>333.50684931506851</v>
      </c>
      <c r="O1143" s="3"/>
      <c r="P1143" s="70" t="s">
        <v>18628</v>
      </c>
      <c r="Q1143" s="2" t="s">
        <v>1117</v>
      </c>
      <c r="R1143" s="2" t="s">
        <v>5916</v>
      </c>
      <c r="T1143" t="s">
        <v>18666</v>
      </c>
      <c r="U1143" t="s">
        <v>18652</v>
      </c>
      <c r="V1143" s="104">
        <v>45857</v>
      </c>
      <c r="X1143" s="97"/>
      <c r="Y1143" s="75">
        <v>333.51</v>
      </c>
    </row>
    <row r="1144" spans="1:25" x14ac:dyDescent="0.25">
      <c r="A1144" s="76">
        <v>1176</v>
      </c>
      <c r="B1144" s="2" t="s">
        <v>4222</v>
      </c>
      <c r="C1144" s="2" t="s">
        <v>4223</v>
      </c>
      <c r="D1144" s="2" t="s">
        <v>4224</v>
      </c>
      <c r="E1144" s="2" t="s">
        <v>4225</v>
      </c>
      <c r="F1144" s="2" t="s">
        <v>4226</v>
      </c>
      <c r="G1144" s="2" t="s">
        <v>1570</v>
      </c>
      <c r="H1144" s="17">
        <v>30</v>
      </c>
      <c r="I1144" s="31">
        <f t="shared" si="114"/>
        <v>30000</v>
      </c>
      <c r="J1144" s="31">
        <f t="shared" si="115"/>
        <v>2100</v>
      </c>
      <c r="K1144" s="44">
        <f t="shared" si="116"/>
        <v>5.7534246575342465</v>
      </c>
      <c r="L1144" s="3">
        <f t="shared" si="117"/>
        <v>425.75342465753425</v>
      </c>
      <c r="M1144" s="3">
        <f t="shared" si="118"/>
        <v>25.545205479452054</v>
      </c>
      <c r="N1144" s="67">
        <f t="shared" si="119"/>
        <v>400.20821917808217</v>
      </c>
      <c r="O1144" s="3"/>
      <c r="P1144" s="70" t="s">
        <v>18628</v>
      </c>
      <c r="Q1144" s="2" t="s">
        <v>1117</v>
      </c>
      <c r="R1144" s="2" t="s">
        <v>4227</v>
      </c>
      <c r="T1144" t="s">
        <v>18666</v>
      </c>
      <c r="U1144" t="s">
        <v>18652</v>
      </c>
      <c r="V1144" s="104">
        <v>45857</v>
      </c>
      <c r="X1144" s="97"/>
      <c r="Y1144" s="75">
        <v>400.21</v>
      </c>
    </row>
    <row r="1145" spans="1:25" x14ac:dyDescent="0.25">
      <c r="A1145" s="76">
        <v>1177</v>
      </c>
      <c r="B1145" s="2" t="s">
        <v>13018</v>
      </c>
      <c r="C1145" s="2" t="s">
        <v>13019</v>
      </c>
      <c r="D1145" s="2" t="s">
        <v>13020</v>
      </c>
      <c r="E1145" s="2" t="s">
        <v>13021</v>
      </c>
      <c r="F1145" s="2" t="s">
        <v>13022</v>
      </c>
      <c r="G1145" s="2" t="s">
        <v>618</v>
      </c>
      <c r="H1145" s="17">
        <v>25</v>
      </c>
      <c r="I1145" s="31">
        <f t="shared" si="114"/>
        <v>25000</v>
      </c>
      <c r="J1145" s="31">
        <f t="shared" si="115"/>
        <v>1750.0000000000002</v>
      </c>
      <c r="K1145" s="44">
        <f t="shared" si="116"/>
        <v>4.794520547945206</v>
      </c>
      <c r="L1145" s="3">
        <f t="shared" si="117"/>
        <v>354.79452054794524</v>
      </c>
      <c r="M1145" s="3">
        <f t="shared" si="118"/>
        <v>21.287671232876715</v>
      </c>
      <c r="N1145" s="67">
        <f t="shared" si="119"/>
        <v>333.50684931506851</v>
      </c>
      <c r="O1145" s="3"/>
      <c r="P1145" s="70" t="s">
        <v>18628</v>
      </c>
      <c r="Q1145" s="2" t="s">
        <v>1117</v>
      </c>
      <c r="R1145" s="2" t="s">
        <v>13023</v>
      </c>
      <c r="T1145" t="s">
        <v>18666</v>
      </c>
      <c r="U1145" t="s">
        <v>18652</v>
      </c>
      <c r="V1145" s="104">
        <v>45857</v>
      </c>
      <c r="X1145" s="97"/>
      <c r="Y1145" s="75">
        <v>333.51</v>
      </c>
    </row>
    <row r="1146" spans="1:25" x14ac:dyDescent="0.25">
      <c r="A1146" s="76">
        <v>1178</v>
      </c>
      <c r="B1146" s="2" t="s">
        <v>12093</v>
      </c>
      <c r="C1146" s="2" t="s">
        <v>12094</v>
      </c>
      <c r="D1146" s="2" t="s">
        <v>12095</v>
      </c>
      <c r="E1146" s="2" t="s">
        <v>12096</v>
      </c>
      <c r="F1146" s="2" t="s">
        <v>12097</v>
      </c>
      <c r="G1146" s="2" t="s">
        <v>158</v>
      </c>
      <c r="H1146" s="17">
        <v>25</v>
      </c>
      <c r="I1146" s="31">
        <f t="shared" si="114"/>
        <v>25000</v>
      </c>
      <c r="J1146" s="31">
        <f t="shared" si="115"/>
        <v>1750.0000000000002</v>
      </c>
      <c r="K1146" s="44">
        <f t="shared" si="116"/>
        <v>4.794520547945206</v>
      </c>
      <c r="L1146" s="3">
        <f t="shared" si="117"/>
        <v>354.79452054794524</v>
      </c>
      <c r="M1146" s="3">
        <f t="shared" si="118"/>
        <v>21.287671232876715</v>
      </c>
      <c r="N1146" s="67">
        <f t="shared" si="119"/>
        <v>333.50684931506851</v>
      </c>
      <c r="O1146" s="3"/>
      <c r="P1146" s="70" t="s">
        <v>18628</v>
      </c>
      <c r="Q1146" s="2" t="s">
        <v>1117</v>
      </c>
      <c r="R1146" s="2" t="s">
        <v>12098</v>
      </c>
      <c r="T1146" t="s">
        <v>18666</v>
      </c>
      <c r="U1146" t="s">
        <v>18652</v>
      </c>
      <c r="V1146" s="104">
        <v>45857</v>
      </c>
      <c r="X1146" s="97"/>
      <c r="Y1146" s="75">
        <v>333.51</v>
      </c>
    </row>
    <row r="1147" spans="1:25" x14ac:dyDescent="0.25">
      <c r="A1147" s="76">
        <v>1179</v>
      </c>
      <c r="B1147" s="2" t="s">
        <v>17741</v>
      </c>
      <c r="C1147" s="2" t="s">
        <v>17742</v>
      </c>
      <c r="D1147" s="2" t="s">
        <v>17743</v>
      </c>
      <c r="E1147" s="2" t="s">
        <v>17744</v>
      </c>
      <c r="F1147" s="2" t="s">
        <v>17745</v>
      </c>
      <c r="G1147" s="2" t="s">
        <v>1424</v>
      </c>
      <c r="H1147" s="17">
        <v>30</v>
      </c>
      <c r="I1147" s="31">
        <f t="shared" si="114"/>
        <v>30000</v>
      </c>
      <c r="J1147" s="31">
        <f t="shared" si="115"/>
        <v>2100</v>
      </c>
      <c r="K1147" s="44">
        <f t="shared" si="116"/>
        <v>5.7534246575342465</v>
      </c>
      <c r="L1147" s="3">
        <f t="shared" si="117"/>
        <v>425.75342465753425</v>
      </c>
      <c r="M1147" s="3">
        <f t="shared" si="118"/>
        <v>25.545205479452054</v>
      </c>
      <c r="N1147" s="67">
        <f t="shared" si="119"/>
        <v>400.20821917808217</v>
      </c>
      <c r="O1147" s="3"/>
      <c r="P1147" s="70" t="s">
        <v>18628</v>
      </c>
      <c r="Q1147" s="2" t="s">
        <v>1117</v>
      </c>
      <c r="R1147" s="2" t="s">
        <v>17746</v>
      </c>
      <c r="T1147" t="s">
        <v>18666</v>
      </c>
      <c r="U1147" t="s">
        <v>18652</v>
      </c>
      <c r="V1147" s="104">
        <v>45857</v>
      </c>
      <c r="X1147" s="97"/>
      <c r="Y1147" s="75">
        <v>400.21</v>
      </c>
    </row>
    <row r="1148" spans="1:25" x14ac:dyDescent="0.25">
      <c r="A1148" s="76">
        <v>1180</v>
      </c>
      <c r="B1148" s="2" t="s">
        <v>1498</v>
      </c>
      <c r="C1148" s="2" t="s">
        <v>1499</v>
      </c>
      <c r="D1148" s="2" t="s">
        <v>1500</v>
      </c>
      <c r="E1148" s="2" t="s">
        <v>1501</v>
      </c>
      <c r="F1148" s="2" t="s">
        <v>1502</v>
      </c>
      <c r="G1148" s="2" t="s">
        <v>61</v>
      </c>
      <c r="H1148" s="17">
        <v>25</v>
      </c>
      <c r="I1148" s="31">
        <f t="shared" si="114"/>
        <v>25000</v>
      </c>
      <c r="J1148" s="31">
        <f t="shared" si="115"/>
        <v>1750.0000000000002</v>
      </c>
      <c r="K1148" s="44">
        <f t="shared" si="116"/>
        <v>4.794520547945206</v>
      </c>
      <c r="L1148" s="3">
        <f t="shared" si="117"/>
        <v>354.79452054794524</v>
      </c>
      <c r="M1148" s="3">
        <f t="shared" si="118"/>
        <v>21.287671232876715</v>
      </c>
      <c r="N1148" s="67">
        <f t="shared" si="119"/>
        <v>333.50684931506851</v>
      </c>
      <c r="O1148" s="3"/>
      <c r="P1148" s="70" t="s">
        <v>18628</v>
      </c>
      <c r="Q1148" s="2" t="s">
        <v>1117</v>
      </c>
      <c r="R1148" s="2" t="s">
        <v>1503</v>
      </c>
      <c r="T1148" t="s">
        <v>18666</v>
      </c>
      <c r="U1148" t="s">
        <v>18652</v>
      </c>
      <c r="V1148" s="104">
        <v>45857</v>
      </c>
      <c r="X1148" s="97"/>
      <c r="Y1148" s="75">
        <v>333.51</v>
      </c>
    </row>
    <row r="1149" spans="1:25" x14ac:dyDescent="0.25">
      <c r="A1149" s="76">
        <v>1181</v>
      </c>
      <c r="B1149" s="2" t="s">
        <v>15149</v>
      </c>
      <c r="C1149" s="2" t="s">
        <v>15150</v>
      </c>
      <c r="D1149" s="2" t="s">
        <v>15151</v>
      </c>
      <c r="E1149" s="2" t="s">
        <v>15152</v>
      </c>
      <c r="F1149" s="2" t="s">
        <v>15153</v>
      </c>
      <c r="G1149" s="2" t="s">
        <v>275</v>
      </c>
      <c r="H1149" s="17">
        <v>25</v>
      </c>
      <c r="I1149" s="31">
        <f t="shared" si="114"/>
        <v>25000</v>
      </c>
      <c r="J1149" s="31">
        <f t="shared" si="115"/>
        <v>1750.0000000000002</v>
      </c>
      <c r="K1149" s="44">
        <f t="shared" si="116"/>
        <v>4.794520547945206</v>
      </c>
      <c r="L1149" s="3">
        <f t="shared" si="117"/>
        <v>354.79452054794524</v>
      </c>
      <c r="M1149" s="3">
        <f t="shared" si="118"/>
        <v>21.287671232876715</v>
      </c>
      <c r="N1149" s="67">
        <f t="shared" si="119"/>
        <v>333.50684931506851</v>
      </c>
      <c r="O1149" s="3"/>
      <c r="P1149" s="70" t="s">
        <v>18628</v>
      </c>
      <c r="Q1149" s="2" t="s">
        <v>1117</v>
      </c>
      <c r="R1149" s="2" t="s">
        <v>15154</v>
      </c>
      <c r="T1149" t="s">
        <v>18666</v>
      </c>
      <c r="U1149" t="s">
        <v>18652</v>
      </c>
      <c r="V1149" s="104">
        <v>45857</v>
      </c>
      <c r="X1149" s="97"/>
      <c r="Y1149" s="75">
        <v>333.51</v>
      </c>
    </row>
    <row r="1150" spans="1:25" x14ac:dyDescent="0.25">
      <c r="A1150" s="76">
        <v>1182</v>
      </c>
      <c r="B1150" s="2" t="s">
        <v>12219</v>
      </c>
      <c r="C1150" s="2" t="s">
        <v>12220</v>
      </c>
      <c r="D1150" s="2" t="s">
        <v>12221</v>
      </c>
      <c r="E1150" s="2" t="s">
        <v>12222</v>
      </c>
      <c r="F1150" s="2" t="s">
        <v>12223</v>
      </c>
      <c r="G1150" s="2" t="s">
        <v>412</v>
      </c>
      <c r="H1150" s="17">
        <v>25</v>
      </c>
      <c r="I1150" s="31">
        <f t="shared" si="114"/>
        <v>25000</v>
      </c>
      <c r="J1150" s="31">
        <f t="shared" si="115"/>
        <v>1750.0000000000002</v>
      </c>
      <c r="K1150" s="44">
        <f t="shared" si="116"/>
        <v>4.794520547945206</v>
      </c>
      <c r="L1150" s="3">
        <f t="shared" si="117"/>
        <v>354.79452054794524</v>
      </c>
      <c r="M1150" s="3">
        <f t="shared" si="118"/>
        <v>21.287671232876715</v>
      </c>
      <c r="N1150" s="67">
        <f t="shared" si="119"/>
        <v>333.50684931506851</v>
      </c>
      <c r="O1150" s="3"/>
      <c r="P1150" s="70" t="s">
        <v>18628</v>
      </c>
      <c r="Q1150" s="2" t="s">
        <v>1117</v>
      </c>
      <c r="R1150" s="2" t="s">
        <v>12224</v>
      </c>
      <c r="T1150" t="s">
        <v>18666</v>
      </c>
      <c r="U1150" t="s">
        <v>18652</v>
      </c>
      <c r="V1150" s="104">
        <v>45857</v>
      </c>
      <c r="X1150" s="97"/>
      <c r="Y1150" s="75">
        <v>333.51</v>
      </c>
    </row>
    <row r="1151" spans="1:25" x14ac:dyDescent="0.25">
      <c r="A1151" s="76">
        <v>1183</v>
      </c>
      <c r="B1151" s="2" t="s">
        <v>10763</v>
      </c>
      <c r="C1151" s="2" t="s">
        <v>10764</v>
      </c>
      <c r="D1151" s="2" t="s">
        <v>10765</v>
      </c>
      <c r="E1151" s="2" t="s">
        <v>10766</v>
      </c>
      <c r="F1151" s="2" t="s">
        <v>10767</v>
      </c>
      <c r="G1151" s="2" t="s">
        <v>144</v>
      </c>
      <c r="H1151" s="17">
        <v>25</v>
      </c>
      <c r="I1151" s="31">
        <f t="shared" si="114"/>
        <v>25000</v>
      </c>
      <c r="J1151" s="31">
        <f t="shared" si="115"/>
        <v>1750.0000000000002</v>
      </c>
      <c r="K1151" s="44">
        <f t="shared" si="116"/>
        <v>4.794520547945206</v>
      </c>
      <c r="L1151" s="3">
        <f t="shared" si="117"/>
        <v>354.79452054794524</v>
      </c>
      <c r="M1151" s="3">
        <f t="shared" si="118"/>
        <v>21.287671232876715</v>
      </c>
      <c r="N1151" s="67">
        <f t="shared" si="119"/>
        <v>333.50684931506851</v>
      </c>
      <c r="O1151" s="3"/>
      <c r="P1151" s="70" t="s">
        <v>18628</v>
      </c>
      <c r="Q1151" s="2" t="s">
        <v>1117</v>
      </c>
      <c r="R1151" s="2" t="s">
        <v>10768</v>
      </c>
      <c r="T1151" t="s">
        <v>18666</v>
      </c>
      <c r="U1151" t="s">
        <v>18652</v>
      </c>
      <c r="V1151" s="104">
        <v>45857</v>
      </c>
      <c r="X1151" s="97"/>
      <c r="Y1151" s="75">
        <v>333.51</v>
      </c>
    </row>
    <row r="1152" spans="1:25" x14ac:dyDescent="0.25">
      <c r="A1152" s="76">
        <v>1184</v>
      </c>
      <c r="B1152" s="2" t="s">
        <v>12340</v>
      </c>
      <c r="C1152" s="2" t="s">
        <v>12341</v>
      </c>
      <c r="D1152" s="2" t="s">
        <v>12342</v>
      </c>
      <c r="E1152" s="2" t="s">
        <v>12343</v>
      </c>
      <c r="F1152" s="2" t="s">
        <v>12344</v>
      </c>
      <c r="G1152" s="2" t="s">
        <v>186</v>
      </c>
      <c r="H1152" s="17">
        <v>25</v>
      </c>
      <c r="I1152" s="31">
        <f t="shared" si="114"/>
        <v>25000</v>
      </c>
      <c r="J1152" s="31">
        <f t="shared" si="115"/>
        <v>1750.0000000000002</v>
      </c>
      <c r="K1152" s="44">
        <f t="shared" si="116"/>
        <v>4.794520547945206</v>
      </c>
      <c r="L1152" s="3">
        <f t="shared" si="117"/>
        <v>354.79452054794524</v>
      </c>
      <c r="M1152" s="3">
        <f t="shared" si="118"/>
        <v>21.287671232876715</v>
      </c>
      <c r="N1152" s="67">
        <f t="shared" si="119"/>
        <v>333.50684931506851</v>
      </c>
      <c r="O1152" s="3"/>
      <c r="P1152" s="70" t="s">
        <v>18628</v>
      </c>
      <c r="Q1152" s="2" t="s">
        <v>1117</v>
      </c>
      <c r="R1152" s="2" t="s">
        <v>12345</v>
      </c>
      <c r="T1152" t="s">
        <v>18666</v>
      </c>
      <c r="U1152" t="s">
        <v>18652</v>
      </c>
      <c r="V1152" s="104">
        <v>45857</v>
      </c>
      <c r="X1152" s="97"/>
      <c r="Y1152" s="75">
        <v>333.51</v>
      </c>
    </row>
    <row r="1153" spans="1:25" x14ac:dyDescent="0.25">
      <c r="A1153" s="76">
        <v>1185</v>
      </c>
      <c r="B1153" s="2" t="s">
        <v>14547</v>
      </c>
      <c r="C1153" s="2" t="s">
        <v>14548</v>
      </c>
      <c r="D1153" s="2" t="s">
        <v>14549</v>
      </c>
      <c r="E1153" s="2" t="s">
        <v>14550</v>
      </c>
      <c r="F1153" s="2" t="s">
        <v>14551</v>
      </c>
      <c r="G1153" s="2" t="s">
        <v>1424</v>
      </c>
      <c r="H1153" s="17">
        <v>25</v>
      </c>
      <c r="I1153" s="31">
        <f t="shared" si="114"/>
        <v>25000</v>
      </c>
      <c r="J1153" s="31">
        <f t="shared" si="115"/>
        <v>1750.0000000000002</v>
      </c>
      <c r="K1153" s="44">
        <f t="shared" si="116"/>
        <v>4.794520547945206</v>
      </c>
      <c r="L1153" s="3">
        <f t="shared" si="117"/>
        <v>354.79452054794524</v>
      </c>
      <c r="M1153" s="3">
        <f t="shared" si="118"/>
        <v>21.287671232876715</v>
      </c>
      <c r="N1153" s="67">
        <f t="shared" si="119"/>
        <v>333.50684931506851</v>
      </c>
      <c r="O1153" s="3"/>
      <c r="P1153" s="70" t="s">
        <v>18628</v>
      </c>
      <c r="Q1153" s="2" t="s">
        <v>1117</v>
      </c>
      <c r="R1153" s="2" t="s">
        <v>14552</v>
      </c>
      <c r="T1153" t="s">
        <v>18666</v>
      </c>
      <c r="U1153" t="s">
        <v>18652</v>
      </c>
      <c r="V1153" s="104">
        <v>45857</v>
      </c>
      <c r="X1153" s="97"/>
      <c r="Y1153" s="75">
        <v>333.51</v>
      </c>
    </row>
    <row r="1154" spans="1:25" x14ac:dyDescent="0.25">
      <c r="A1154" s="76">
        <v>1186</v>
      </c>
      <c r="B1154" s="2" t="s">
        <v>17242</v>
      </c>
      <c r="C1154" s="2" t="s">
        <v>17243</v>
      </c>
      <c r="D1154" s="2" t="s">
        <v>17244</v>
      </c>
      <c r="E1154" s="2" t="s">
        <v>11342</v>
      </c>
      <c r="F1154" s="2" t="s">
        <v>17245</v>
      </c>
      <c r="G1154" s="2" t="s">
        <v>61</v>
      </c>
      <c r="H1154" s="17">
        <v>25</v>
      </c>
      <c r="I1154" s="31">
        <f t="shared" si="114"/>
        <v>25000</v>
      </c>
      <c r="J1154" s="31">
        <f t="shared" si="115"/>
        <v>1750.0000000000002</v>
      </c>
      <c r="K1154" s="44">
        <f t="shared" si="116"/>
        <v>4.794520547945206</v>
      </c>
      <c r="L1154" s="3">
        <f t="shared" si="117"/>
        <v>354.79452054794524</v>
      </c>
      <c r="M1154" s="3">
        <f t="shared" si="118"/>
        <v>21.287671232876715</v>
      </c>
      <c r="N1154" s="67">
        <f t="shared" si="119"/>
        <v>333.50684931506851</v>
      </c>
      <c r="O1154" s="3"/>
      <c r="P1154" s="70" t="s">
        <v>18628</v>
      </c>
      <c r="Q1154" s="2" t="s">
        <v>1117</v>
      </c>
      <c r="R1154" s="2" t="s">
        <v>17246</v>
      </c>
      <c r="T1154" t="s">
        <v>18666</v>
      </c>
      <c r="U1154" t="s">
        <v>18652</v>
      </c>
      <c r="V1154" s="104">
        <v>45857</v>
      </c>
      <c r="X1154" s="97"/>
      <c r="Y1154" s="75">
        <v>333.51</v>
      </c>
    </row>
    <row r="1155" spans="1:25" x14ac:dyDescent="0.25">
      <c r="A1155" s="76">
        <v>1187</v>
      </c>
      <c r="B1155" s="2" t="s">
        <v>12176</v>
      </c>
      <c r="C1155" s="2" t="s">
        <v>12177</v>
      </c>
      <c r="D1155" s="2" t="s">
        <v>12178</v>
      </c>
      <c r="E1155" s="2" t="s">
        <v>12179</v>
      </c>
      <c r="F1155" s="2" t="s">
        <v>12180</v>
      </c>
      <c r="G1155" s="2" t="s">
        <v>2380</v>
      </c>
      <c r="H1155" s="17">
        <v>25</v>
      </c>
      <c r="I1155" s="31">
        <f t="shared" si="114"/>
        <v>25000</v>
      </c>
      <c r="J1155" s="31">
        <f t="shared" si="115"/>
        <v>1750.0000000000002</v>
      </c>
      <c r="K1155" s="44">
        <f t="shared" si="116"/>
        <v>4.794520547945206</v>
      </c>
      <c r="L1155" s="3">
        <f t="shared" si="117"/>
        <v>354.79452054794524</v>
      </c>
      <c r="M1155" s="3">
        <f t="shared" si="118"/>
        <v>21.287671232876715</v>
      </c>
      <c r="N1155" s="67">
        <f t="shared" si="119"/>
        <v>333.50684931506851</v>
      </c>
      <c r="O1155" s="3"/>
      <c r="P1155" s="70" t="s">
        <v>18628</v>
      </c>
      <c r="Q1155" s="2" t="s">
        <v>1117</v>
      </c>
      <c r="R1155" s="2" t="s">
        <v>12181</v>
      </c>
      <c r="T1155" t="s">
        <v>18666</v>
      </c>
      <c r="U1155" t="s">
        <v>18652</v>
      </c>
      <c r="V1155" s="104">
        <v>45857</v>
      </c>
      <c r="X1155" s="97"/>
      <c r="Y1155" s="75">
        <v>333.51</v>
      </c>
    </row>
    <row r="1156" spans="1:25" x14ac:dyDescent="0.25">
      <c r="A1156" s="76">
        <v>1188</v>
      </c>
      <c r="B1156" s="2" t="s">
        <v>9755</v>
      </c>
      <c r="C1156" s="2" t="s">
        <v>9756</v>
      </c>
      <c r="D1156" s="2" t="s">
        <v>9757</v>
      </c>
      <c r="E1156" s="2" t="s">
        <v>4875</v>
      </c>
      <c r="F1156" s="2" t="s">
        <v>9758</v>
      </c>
      <c r="G1156" s="2" t="s">
        <v>939</v>
      </c>
      <c r="H1156" s="17">
        <v>25</v>
      </c>
      <c r="I1156" s="31">
        <f t="shared" si="114"/>
        <v>25000</v>
      </c>
      <c r="J1156" s="31">
        <f t="shared" si="115"/>
        <v>1750.0000000000002</v>
      </c>
      <c r="K1156" s="44">
        <f t="shared" si="116"/>
        <v>4.794520547945206</v>
      </c>
      <c r="L1156" s="3">
        <f t="shared" si="117"/>
        <v>354.79452054794524</v>
      </c>
      <c r="M1156" s="3">
        <f t="shared" si="118"/>
        <v>21.287671232876715</v>
      </c>
      <c r="N1156" s="67">
        <f t="shared" si="119"/>
        <v>333.50684931506851</v>
      </c>
      <c r="O1156" s="3"/>
      <c r="P1156" s="70" t="s">
        <v>18628</v>
      </c>
      <c r="Q1156" s="2" t="s">
        <v>1117</v>
      </c>
      <c r="R1156" s="2" t="s">
        <v>9759</v>
      </c>
      <c r="T1156" t="s">
        <v>18666</v>
      </c>
      <c r="U1156" t="s">
        <v>18652</v>
      </c>
      <c r="V1156" s="104">
        <v>45857</v>
      </c>
      <c r="X1156" s="97"/>
      <c r="Y1156" s="75">
        <v>333.51</v>
      </c>
    </row>
    <row r="1157" spans="1:25" x14ac:dyDescent="0.25">
      <c r="A1157" s="76">
        <v>1189</v>
      </c>
      <c r="B1157" s="2" t="s">
        <v>16611</v>
      </c>
      <c r="C1157" s="2" t="s">
        <v>16612</v>
      </c>
      <c r="D1157" s="2" t="s">
        <v>16613</v>
      </c>
      <c r="E1157" s="2" t="s">
        <v>16614</v>
      </c>
      <c r="F1157" s="2" t="s">
        <v>16615</v>
      </c>
      <c r="G1157" s="2" t="s">
        <v>218</v>
      </c>
      <c r="H1157" s="17">
        <v>25</v>
      </c>
      <c r="I1157" s="31">
        <f t="shared" si="114"/>
        <v>25000</v>
      </c>
      <c r="J1157" s="31">
        <f t="shared" si="115"/>
        <v>1750.0000000000002</v>
      </c>
      <c r="K1157" s="44">
        <f t="shared" si="116"/>
        <v>4.794520547945206</v>
      </c>
      <c r="L1157" s="3">
        <f t="shared" si="117"/>
        <v>354.79452054794524</v>
      </c>
      <c r="M1157" s="3">
        <f t="shared" si="118"/>
        <v>21.287671232876715</v>
      </c>
      <c r="N1157" s="67">
        <f t="shared" si="119"/>
        <v>333.50684931506851</v>
      </c>
      <c r="O1157" s="3"/>
      <c r="P1157" s="70" t="s">
        <v>18628</v>
      </c>
      <c r="Q1157" s="2" t="s">
        <v>1117</v>
      </c>
      <c r="R1157" s="2" t="s">
        <v>16616</v>
      </c>
      <c r="T1157" t="s">
        <v>18666</v>
      </c>
      <c r="U1157" t="s">
        <v>18652</v>
      </c>
      <c r="V1157" s="104">
        <v>45857</v>
      </c>
      <c r="X1157" s="97"/>
      <c r="Y1157" s="75">
        <v>333.51</v>
      </c>
    </row>
    <row r="1158" spans="1:25" x14ac:dyDescent="0.25">
      <c r="A1158" s="76">
        <v>1190</v>
      </c>
      <c r="B1158" s="2" t="s">
        <v>18183</v>
      </c>
      <c r="C1158" s="2" t="s">
        <v>18184</v>
      </c>
      <c r="D1158" s="2" t="s">
        <v>18185</v>
      </c>
      <c r="E1158" s="2" t="s">
        <v>18186</v>
      </c>
      <c r="F1158" s="2" t="s">
        <v>18187</v>
      </c>
      <c r="G1158" s="2" t="s">
        <v>31</v>
      </c>
      <c r="H1158" s="17">
        <v>25</v>
      </c>
      <c r="I1158" s="31">
        <f t="shared" si="114"/>
        <v>25000</v>
      </c>
      <c r="J1158" s="31">
        <f t="shared" si="115"/>
        <v>1750.0000000000002</v>
      </c>
      <c r="K1158" s="44">
        <f t="shared" si="116"/>
        <v>4.794520547945206</v>
      </c>
      <c r="L1158" s="3">
        <f t="shared" si="117"/>
        <v>354.79452054794524</v>
      </c>
      <c r="M1158" s="3">
        <f t="shared" si="118"/>
        <v>21.287671232876715</v>
      </c>
      <c r="N1158" s="67">
        <f t="shared" si="119"/>
        <v>333.50684931506851</v>
      </c>
      <c r="O1158" s="3"/>
      <c r="P1158" s="70" t="s">
        <v>18628</v>
      </c>
      <c r="Q1158" s="2" t="s">
        <v>1117</v>
      </c>
      <c r="R1158" s="2" t="s">
        <v>18188</v>
      </c>
      <c r="T1158" t="s">
        <v>18666</v>
      </c>
      <c r="U1158" t="s">
        <v>18652</v>
      </c>
      <c r="V1158" s="104">
        <v>45857</v>
      </c>
      <c r="X1158" s="97"/>
      <c r="Y1158" s="75">
        <v>333.51</v>
      </c>
    </row>
    <row r="1159" spans="1:25" x14ac:dyDescent="0.25">
      <c r="A1159" s="76">
        <v>1191</v>
      </c>
      <c r="B1159" s="2" t="s">
        <v>9658</v>
      </c>
      <c r="C1159" s="2" t="s">
        <v>9659</v>
      </c>
      <c r="D1159" s="2" t="s">
        <v>9660</v>
      </c>
      <c r="E1159" s="2" t="s">
        <v>9661</v>
      </c>
      <c r="F1159" s="2" t="s">
        <v>9662</v>
      </c>
      <c r="G1159" s="2" t="s">
        <v>123</v>
      </c>
      <c r="H1159" s="17">
        <v>25</v>
      </c>
      <c r="I1159" s="31">
        <f t="shared" si="114"/>
        <v>25000</v>
      </c>
      <c r="J1159" s="31">
        <f t="shared" si="115"/>
        <v>1750.0000000000002</v>
      </c>
      <c r="K1159" s="44">
        <f t="shared" si="116"/>
        <v>4.794520547945206</v>
      </c>
      <c r="L1159" s="3">
        <f t="shared" si="117"/>
        <v>354.79452054794524</v>
      </c>
      <c r="M1159" s="3">
        <f t="shared" si="118"/>
        <v>21.287671232876715</v>
      </c>
      <c r="N1159" s="67">
        <f t="shared" si="119"/>
        <v>333.50684931506851</v>
      </c>
      <c r="O1159" s="3"/>
      <c r="P1159" s="70" t="s">
        <v>18628</v>
      </c>
      <c r="Q1159" s="2" t="s">
        <v>1117</v>
      </c>
      <c r="R1159" s="2" t="s">
        <v>9663</v>
      </c>
      <c r="T1159" t="s">
        <v>18666</v>
      </c>
      <c r="U1159" t="s">
        <v>18652</v>
      </c>
      <c r="V1159" s="104">
        <v>45857</v>
      </c>
      <c r="X1159" s="97"/>
      <c r="Y1159" s="75">
        <v>333.51</v>
      </c>
    </row>
    <row r="1160" spans="1:25" x14ac:dyDescent="0.25">
      <c r="A1160" s="76">
        <v>1192</v>
      </c>
      <c r="B1160" s="2" t="s">
        <v>12815</v>
      </c>
      <c r="C1160" s="2" t="s">
        <v>12816</v>
      </c>
      <c r="D1160" s="2" t="s">
        <v>12817</v>
      </c>
      <c r="E1160" s="2" t="s">
        <v>12818</v>
      </c>
      <c r="F1160" s="2" t="s">
        <v>12819</v>
      </c>
      <c r="G1160" s="2" t="s">
        <v>10199</v>
      </c>
      <c r="H1160" s="17">
        <v>25</v>
      </c>
      <c r="I1160" s="31">
        <f t="shared" si="114"/>
        <v>25000</v>
      </c>
      <c r="J1160" s="31">
        <f t="shared" si="115"/>
        <v>1750.0000000000002</v>
      </c>
      <c r="K1160" s="44">
        <f t="shared" si="116"/>
        <v>4.794520547945206</v>
      </c>
      <c r="L1160" s="3">
        <f t="shared" si="117"/>
        <v>354.79452054794524</v>
      </c>
      <c r="M1160" s="3">
        <f t="shared" si="118"/>
        <v>21.287671232876715</v>
      </c>
      <c r="N1160" s="67">
        <f t="shared" si="119"/>
        <v>333.50684931506851</v>
      </c>
      <c r="O1160" s="3"/>
      <c r="P1160" s="70" t="s">
        <v>18628</v>
      </c>
      <c r="Q1160" s="2" t="s">
        <v>1117</v>
      </c>
      <c r="R1160" s="2" t="s">
        <v>12820</v>
      </c>
      <c r="T1160" t="s">
        <v>18666</v>
      </c>
      <c r="U1160" t="s">
        <v>18652</v>
      </c>
      <c r="V1160" s="104">
        <v>45857</v>
      </c>
      <c r="X1160" s="97"/>
      <c r="Y1160" s="75">
        <v>333.51</v>
      </c>
    </row>
    <row r="1161" spans="1:25" x14ac:dyDescent="0.25">
      <c r="A1161" s="76">
        <v>1193</v>
      </c>
      <c r="B1161" s="2" t="s">
        <v>1371</v>
      </c>
      <c r="C1161" s="2" t="s">
        <v>1372</v>
      </c>
      <c r="D1161" s="2" t="s">
        <v>1373</v>
      </c>
      <c r="E1161" s="2" t="s">
        <v>1374</v>
      </c>
      <c r="F1161" s="2" t="s">
        <v>1375</v>
      </c>
      <c r="G1161" s="2" t="s">
        <v>381</v>
      </c>
      <c r="H1161" s="17">
        <v>25</v>
      </c>
      <c r="I1161" s="31">
        <f t="shared" si="114"/>
        <v>25000</v>
      </c>
      <c r="J1161" s="31">
        <f t="shared" si="115"/>
        <v>1750.0000000000002</v>
      </c>
      <c r="K1161" s="44">
        <f t="shared" si="116"/>
        <v>4.794520547945206</v>
      </c>
      <c r="L1161" s="3">
        <f t="shared" si="117"/>
        <v>354.79452054794524</v>
      </c>
      <c r="M1161" s="3">
        <f t="shared" si="118"/>
        <v>21.287671232876715</v>
      </c>
      <c r="N1161" s="67">
        <f t="shared" si="119"/>
        <v>333.50684931506851</v>
      </c>
      <c r="O1161" s="3"/>
      <c r="P1161" s="70" t="s">
        <v>18628</v>
      </c>
      <c r="Q1161" s="2" t="s">
        <v>1117</v>
      </c>
      <c r="R1161" s="2" t="s">
        <v>1376</v>
      </c>
      <c r="T1161" t="s">
        <v>18666</v>
      </c>
      <c r="U1161" t="s">
        <v>18652</v>
      </c>
      <c r="V1161" s="104">
        <v>45857</v>
      </c>
      <c r="X1161" s="97"/>
      <c r="Y1161" s="75">
        <v>333.51</v>
      </c>
    </row>
    <row r="1162" spans="1:25" x14ac:dyDescent="0.25">
      <c r="A1162" s="76">
        <v>1194</v>
      </c>
      <c r="B1162" s="2" t="s">
        <v>11089</v>
      </c>
      <c r="C1162" s="2" t="s">
        <v>11090</v>
      </c>
      <c r="D1162" s="2" t="s">
        <v>11091</v>
      </c>
      <c r="E1162" s="2" t="s">
        <v>11092</v>
      </c>
      <c r="F1162" s="2" t="s">
        <v>11093</v>
      </c>
      <c r="G1162" s="2" t="s">
        <v>61</v>
      </c>
      <c r="H1162" s="17">
        <v>25</v>
      </c>
      <c r="I1162" s="31">
        <f t="shared" si="114"/>
        <v>25000</v>
      </c>
      <c r="J1162" s="31">
        <f t="shared" si="115"/>
        <v>1750.0000000000002</v>
      </c>
      <c r="K1162" s="44">
        <f t="shared" si="116"/>
        <v>4.794520547945206</v>
      </c>
      <c r="L1162" s="3">
        <f t="shared" si="117"/>
        <v>354.79452054794524</v>
      </c>
      <c r="M1162" s="3">
        <f t="shared" si="118"/>
        <v>21.287671232876715</v>
      </c>
      <c r="N1162" s="67">
        <f t="shared" si="119"/>
        <v>333.50684931506851</v>
      </c>
      <c r="O1162" s="3"/>
      <c r="P1162" s="70" t="s">
        <v>18628</v>
      </c>
      <c r="Q1162" s="2" t="s">
        <v>1117</v>
      </c>
      <c r="R1162" s="2" t="s">
        <v>11094</v>
      </c>
      <c r="T1162" t="s">
        <v>18666</v>
      </c>
      <c r="U1162" t="s">
        <v>18652</v>
      </c>
      <c r="V1162" s="104">
        <v>45857</v>
      </c>
      <c r="X1162" s="97"/>
      <c r="Y1162" s="75">
        <v>333.51</v>
      </c>
    </row>
    <row r="1163" spans="1:25" x14ac:dyDescent="0.25">
      <c r="A1163" s="76">
        <v>1195</v>
      </c>
      <c r="B1163" s="2" t="s">
        <v>3260</v>
      </c>
      <c r="C1163" s="2" t="s">
        <v>3261</v>
      </c>
      <c r="D1163" s="2" t="s">
        <v>3262</v>
      </c>
      <c r="E1163" s="2" t="s">
        <v>3263</v>
      </c>
      <c r="F1163" s="2" t="s">
        <v>3264</v>
      </c>
      <c r="G1163" s="2" t="s">
        <v>186</v>
      </c>
      <c r="H1163" s="17">
        <v>25</v>
      </c>
      <c r="I1163" s="31">
        <f t="shared" si="114"/>
        <v>25000</v>
      </c>
      <c r="J1163" s="31">
        <f t="shared" si="115"/>
        <v>1750.0000000000002</v>
      </c>
      <c r="K1163" s="44">
        <f t="shared" si="116"/>
        <v>4.794520547945206</v>
      </c>
      <c r="L1163" s="3">
        <f t="shared" si="117"/>
        <v>354.79452054794524</v>
      </c>
      <c r="M1163" s="3">
        <f t="shared" si="118"/>
        <v>21.287671232876715</v>
      </c>
      <c r="N1163" s="67">
        <f t="shared" si="119"/>
        <v>333.50684931506851</v>
      </c>
      <c r="O1163" s="3"/>
      <c r="P1163" s="70" t="s">
        <v>18628</v>
      </c>
      <c r="Q1163" s="2" t="s">
        <v>1117</v>
      </c>
      <c r="R1163" s="2" t="s">
        <v>3265</v>
      </c>
      <c r="T1163" t="s">
        <v>18666</v>
      </c>
      <c r="U1163" t="s">
        <v>18652</v>
      </c>
      <c r="V1163" s="104">
        <v>45857</v>
      </c>
      <c r="X1163" s="97"/>
      <c r="Y1163" s="75">
        <v>333.51</v>
      </c>
    </row>
    <row r="1164" spans="1:25" x14ac:dyDescent="0.25">
      <c r="A1164" s="76">
        <v>1196</v>
      </c>
      <c r="B1164" s="2" t="s">
        <v>4511</v>
      </c>
      <c r="C1164" s="2" t="s">
        <v>4512</v>
      </c>
      <c r="D1164" s="2" t="s">
        <v>4513</v>
      </c>
      <c r="E1164" s="2" t="s">
        <v>4514</v>
      </c>
      <c r="F1164" s="2" t="s">
        <v>4515</v>
      </c>
      <c r="G1164" s="2" t="s">
        <v>23</v>
      </c>
      <c r="H1164" s="17">
        <v>50</v>
      </c>
      <c r="I1164" s="31">
        <f t="shared" si="114"/>
        <v>50000</v>
      </c>
      <c r="J1164" s="31">
        <f t="shared" si="115"/>
        <v>3500.0000000000005</v>
      </c>
      <c r="K1164" s="44">
        <f t="shared" si="116"/>
        <v>9.589041095890412</v>
      </c>
      <c r="L1164" s="3">
        <f t="shared" si="117"/>
        <v>709.58904109589048</v>
      </c>
      <c r="M1164" s="3">
        <f t="shared" si="118"/>
        <v>42.57534246575343</v>
      </c>
      <c r="N1164" s="67">
        <f t="shared" si="119"/>
        <v>667.01369863013701</v>
      </c>
      <c r="O1164" s="3"/>
      <c r="P1164" s="70" t="s">
        <v>18628</v>
      </c>
      <c r="Q1164" s="2" t="s">
        <v>1117</v>
      </c>
      <c r="R1164" s="2" t="s">
        <v>4516</v>
      </c>
      <c r="T1164" t="s">
        <v>18666</v>
      </c>
      <c r="U1164" t="s">
        <v>18652</v>
      </c>
      <c r="V1164" s="104">
        <v>45857</v>
      </c>
      <c r="X1164" s="97"/>
      <c r="Y1164" s="75">
        <v>667.02</v>
      </c>
    </row>
    <row r="1165" spans="1:25" x14ac:dyDescent="0.25">
      <c r="A1165" s="76">
        <v>1197</v>
      </c>
      <c r="B1165" s="2" t="s">
        <v>13524</v>
      </c>
      <c r="C1165" s="2" t="s">
        <v>13525</v>
      </c>
      <c r="D1165" s="2" t="s">
        <v>13526</v>
      </c>
      <c r="E1165" s="2" t="s">
        <v>13527</v>
      </c>
      <c r="F1165" s="2" t="s">
        <v>13528</v>
      </c>
      <c r="G1165" s="2" t="s">
        <v>31</v>
      </c>
      <c r="H1165" s="17">
        <v>25</v>
      </c>
      <c r="I1165" s="31">
        <f t="shared" si="114"/>
        <v>25000</v>
      </c>
      <c r="J1165" s="31">
        <f t="shared" si="115"/>
        <v>1750.0000000000002</v>
      </c>
      <c r="K1165" s="44">
        <f t="shared" si="116"/>
        <v>4.794520547945206</v>
      </c>
      <c r="L1165" s="3">
        <f t="shared" si="117"/>
        <v>354.79452054794524</v>
      </c>
      <c r="M1165" s="3">
        <f t="shared" si="118"/>
        <v>21.287671232876715</v>
      </c>
      <c r="N1165" s="67">
        <f t="shared" si="119"/>
        <v>333.50684931506851</v>
      </c>
      <c r="O1165" s="3"/>
      <c r="P1165" s="70" t="s">
        <v>18628</v>
      </c>
      <c r="Q1165" s="2" t="s">
        <v>1117</v>
      </c>
      <c r="R1165" s="2" t="s">
        <v>13529</v>
      </c>
      <c r="T1165" t="s">
        <v>18666</v>
      </c>
      <c r="U1165" t="s">
        <v>18652</v>
      </c>
      <c r="V1165" s="104">
        <v>45857</v>
      </c>
      <c r="X1165" s="97"/>
      <c r="Y1165" s="75">
        <v>333.51</v>
      </c>
    </row>
    <row r="1166" spans="1:25" x14ac:dyDescent="0.25">
      <c r="A1166" s="76">
        <v>1198</v>
      </c>
      <c r="B1166" s="2" t="s">
        <v>9242</v>
      </c>
      <c r="C1166" s="2" t="s">
        <v>9243</v>
      </c>
      <c r="D1166" s="2" t="s">
        <v>9244</v>
      </c>
      <c r="E1166" s="2" t="s">
        <v>9245</v>
      </c>
      <c r="F1166" s="2" t="s">
        <v>9246</v>
      </c>
      <c r="G1166" s="2" t="s">
        <v>31</v>
      </c>
      <c r="H1166" s="17">
        <v>25</v>
      </c>
      <c r="I1166" s="31">
        <f t="shared" si="114"/>
        <v>25000</v>
      </c>
      <c r="J1166" s="31">
        <f t="shared" si="115"/>
        <v>1750.0000000000002</v>
      </c>
      <c r="K1166" s="44">
        <f t="shared" si="116"/>
        <v>4.794520547945206</v>
      </c>
      <c r="L1166" s="3">
        <f t="shared" si="117"/>
        <v>354.79452054794524</v>
      </c>
      <c r="M1166" s="3">
        <f t="shared" si="118"/>
        <v>21.287671232876715</v>
      </c>
      <c r="N1166" s="67">
        <f t="shared" si="119"/>
        <v>333.50684931506851</v>
      </c>
      <c r="O1166" s="3"/>
      <c r="P1166" s="70" t="s">
        <v>18628</v>
      </c>
      <c r="Q1166" s="2" t="s">
        <v>1117</v>
      </c>
      <c r="R1166" s="2" t="s">
        <v>9247</v>
      </c>
      <c r="T1166" t="s">
        <v>18666</v>
      </c>
      <c r="U1166" t="s">
        <v>18652</v>
      </c>
      <c r="V1166" s="104">
        <v>45857</v>
      </c>
      <c r="X1166" s="97"/>
      <c r="Y1166" s="75">
        <v>333.51</v>
      </c>
    </row>
    <row r="1167" spans="1:25" x14ac:dyDescent="0.25">
      <c r="A1167" s="76">
        <v>1199</v>
      </c>
      <c r="B1167" s="2" t="s">
        <v>3638</v>
      </c>
      <c r="C1167" s="2" t="s">
        <v>3639</v>
      </c>
      <c r="D1167" s="2" t="s">
        <v>3640</v>
      </c>
      <c r="E1167" s="2" t="s">
        <v>3641</v>
      </c>
      <c r="F1167" s="2" t="s">
        <v>3642</v>
      </c>
      <c r="G1167" s="2" t="s">
        <v>1315</v>
      </c>
      <c r="H1167" s="17">
        <v>100</v>
      </c>
      <c r="I1167" s="31">
        <f t="shared" si="114"/>
        <v>100000</v>
      </c>
      <c r="J1167" s="31">
        <f t="shared" si="115"/>
        <v>7000.0000000000009</v>
      </c>
      <c r="K1167" s="44">
        <f t="shared" si="116"/>
        <v>19.178082191780824</v>
      </c>
      <c r="L1167" s="3">
        <f t="shared" si="117"/>
        <v>1419.178082191781</v>
      </c>
      <c r="M1167" s="3">
        <f t="shared" si="118"/>
        <v>85.150684931506859</v>
      </c>
      <c r="N1167" s="67">
        <f t="shared" si="119"/>
        <v>1334.027397260274</v>
      </c>
      <c r="O1167" s="3"/>
      <c r="P1167" s="70" t="s">
        <v>18628</v>
      </c>
      <c r="Q1167" s="2" t="s">
        <v>1117</v>
      </c>
      <c r="R1167" s="2" t="s">
        <v>3643</v>
      </c>
      <c r="T1167" t="s">
        <v>18666</v>
      </c>
      <c r="U1167" t="s">
        <v>18652</v>
      </c>
      <c r="V1167" s="104">
        <v>45857</v>
      </c>
      <c r="X1167" s="97"/>
      <c r="Y1167" s="75">
        <v>1334.03</v>
      </c>
    </row>
    <row r="1168" spans="1:25" x14ac:dyDescent="0.25">
      <c r="A1168" s="76">
        <v>1200</v>
      </c>
      <c r="B1168" s="2" t="s">
        <v>2603</v>
      </c>
      <c r="C1168" s="2" t="s">
        <v>2604</v>
      </c>
      <c r="D1168" s="2" t="s">
        <v>2605</v>
      </c>
      <c r="E1168" s="2" t="s">
        <v>2606</v>
      </c>
      <c r="F1168" s="2" t="s">
        <v>2607</v>
      </c>
      <c r="G1168" s="2" t="s">
        <v>328</v>
      </c>
      <c r="H1168" s="17">
        <v>25</v>
      </c>
      <c r="I1168" s="31">
        <f t="shared" si="114"/>
        <v>25000</v>
      </c>
      <c r="J1168" s="31">
        <f t="shared" si="115"/>
        <v>1750.0000000000002</v>
      </c>
      <c r="K1168" s="44">
        <f t="shared" si="116"/>
        <v>4.794520547945206</v>
      </c>
      <c r="L1168" s="3">
        <f t="shared" si="117"/>
        <v>354.79452054794524</v>
      </c>
      <c r="M1168" s="3">
        <f t="shared" si="118"/>
        <v>21.287671232876715</v>
      </c>
      <c r="N1168" s="67">
        <f t="shared" si="119"/>
        <v>333.50684931506851</v>
      </c>
      <c r="O1168" s="3"/>
      <c r="P1168" s="70" t="s">
        <v>18628</v>
      </c>
      <c r="Q1168" s="2" t="s">
        <v>1117</v>
      </c>
      <c r="R1168" s="2" t="s">
        <v>2608</v>
      </c>
      <c r="T1168" t="s">
        <v>18666</v>
      </c>
      <c r="U1168" t="s">
        <v>18652</v>
      </c>
      <c r="V1168" s="104">
        <v>45857</v>
      </c>
      <c r="X1168" s="97"/>
      <c r="Y1168" s="75">
        <v>333.51</v>
      </c>
    </row>
    <row r="1169" spans="1:25" x14ac:dyDescent="0.25">
      <c r="A1169" s="76">
        <v>1201</v>
      </c>
      <c r="B1169" s="2" t="s">
        <v>17633</v>
      </c>
      <c r="C1169" s="2" t="s">
        <v>17634</v>
      </c>
      <c r="D1169" s="2" t="s">
        <v>17635</v>
      </c>
      <c r="E1169" s="2" t="s">
        <v>17636</v>
      </c>
      <c r="F1169" s="2" t="s">
        <v>17637</v>
      </c>
      <c r="G1169" s="2" t="s">
        <v>750</v>
      </c>
      <c r="H1169" s="17">
        <v>25</v>
      </c>
      <c r="I1169" s="31">
        <f t="shared" si="114"/>
        <v>25000</v>
      </c>
      <c r="J1169" s="31">
        <f t="shared" si="115"/>
        <v>1750.0000000000002</v>
      </c>
      <c r="K1169" s="44">
        <f t="shared" si="116"/>
        <v>4.794520547945206</v>
      </c>
      <c r="L1169" s="3">
        <f t="shared" si="117"/>
        <v>354.79452054794524</v>
      </c>
      <c r="M1169" s="3">
        <f t="shared" si="118"/>
        <v>21.287671232876715</v>
      </c>
      <c r="N1169" s="67">
        <f t="shared" si="119"/>
        <v>333.50684931506851</v>
      </c>
      <c r="O1169" s="3"/>
      <c r="P1169" s="70" t="s">
        <v>18628</v>
      </c>
      <c r="Q1169" s="2" t="s">
        <v>1117</v>
      </c>
      <c r="R1169" s="2" t="s">
        <v>17638</v>
      </c>
      <c r="T1169" t="s">
        <v>18666</v>
      </c>
      <c r="U1169" t="s">
        <v>18652</v>
      </c>
      <c r="V1169" s="104">
        <v>45857</v>
      </c>
      <c r="X1169" s="97"/>
      <c r="Y1169" s="75">
        <v>333.51</v>
      </c>
    </row>
    <row r="1170" spans="1:25" x14ac:dyDescent="0.25">
      <c r="A1170" s="76">
        <v>1202</v>
      </c>
      <c r="B1170" s="2" t="s">
        <v>17824</v>
      </c>
      <c r="C1170" s="2" t="s">
        <v>17825</v>
      </c>
      <c r="D1170" s="2" t="s">
        <v>17826</v>
      </c>
      <c r="E1170" s="2" t="s">
        <v>17827</v>
      </c>
      <c r="F1170" s="2" t="s">
        <v>17828</v>
      </c>
      <c r="G1170" s="2" t="s">
        <v>31</v>
      </c>
      <c r="H1170" s="17">
        <v>200</v>
      </c>
      <c r="I1170" s="31">
        <f t="shared" ref="I1170:I1233" si="120">H1170*1000</f>
        <v>200000</v>
      </c>
      <c r="J1170" s="31">
        <f t="shared" ref="J1170:J1233" si="121">I1170*7%</f>
        <v>14000.000000000002</v>
      </c>
      <c r="K1170" s="44">
        <f t="shared" ref="K1170:K1233" si="122">J1170/365</f>
        <v>38.356164383561648</v>
      </c>
      <c r="L1170" s="3">
        <f t="shared" ref="L1170:L1233" si="123">K1170*74</f>
        <v>2838.3561643835619</v>
      </c>
      <c r="M1170" s="3">
        <f t="shared" ref="M1170:M1233" si="124">L1170*6%</f>
        <v>170.30136986301372</v>
      </c>
      <c r="N1170" s="67">
        <f t="shared" ref="N1170:N1233" si="125">L1170-M1170</f>
        <v>2668.0547945205481</v>
      </c>
      <c r="O1170" s="3"/>
      <c r="P1170" s="70" t="s">
        <v>18628</v>
      </c>
      <c r="Q1170" s="2" t="s">
        <v>1117</v>
      </c>
      <c r="R1170" s="2" t="s">
        <v>17829</v>
      </c>
      <c r="T1170" t="s">
        <v>18666</v>
      </c>
      <c r="U1170" t="s">
        <v>18652</v>
      </c>
      <c r="V1170" s="104">
        <v>45857</v>
      </c>
      <c r="X1170" s="97"/>
      <c r="Y1170" s="75">
        <v>2668.0600000000004</v>
      </c>
    </row>
    <row r="1171" spans="1:25" x14ac:dyDescent="0.25">
      <c r="A1171" s="76">
        <v>1203</v>
      </c>
      <c r="B1171" s="2" t="s">
        <v>4907</v>
      </c>
      <c r="C1171" s="2" t="s">
        <v>4908</v>
      </c>
      <c r="D1171" s="2" t="s">
        <v>4909</v>
      </c>
      <c r="E1171" s="2" t="s">
        <v>4910</v>
      </c>
      <c r="F1171" s="2" t="s">
        <v>4911</v>
      </c>
      <c r="G1171" s="2" t="s">
        <v>166</v>
      </c>
      <c r="H1171" s="17">
        <v>25</v>
      </c>
      <c r="I1171" s="31">
        <f t="shared" si="120"/>
        <v>25000</v>
      </c>
      <c r="J1171" s="31">
        <f t="shared" si="121"/>
        <v>1750.0000000000002</v>
      </c>
      <c r="K1171" s="44">
        <f t="shared" si="122"/>
        <v>4.794520547945206</v>
      </c>
      <c r="L1171" s="3">
        <f t="shared" si="123"/>
        <v>354.79452054794524</v>
      </c>
      <c r="M1171" s="3">
        <f t="shared" si="124"/>
        <v>21.287671232876715</v>
      </c>
      <c r="N1171" s="67">
        <f t="shared" si="125"/>
        <v>333.50684931506851</v>
      </c>
      <c r="O1171" s="3"/>
      <c r="P1171" s="70" t="s">
        <v>18628</v>
      </c>
      <c r="Q1171" s="2" t="s">
        <v>1117</v>
      </c>
      <c r="R1171" s="2" t="s">
        <v>4912</v>
      </c>
      <c r="T1171" t="s">
        <v>18666</v>
      </c>
      <c r="U1171" t="s">
        <v>18652</v>
      </c>
      <c r="V1171" s="104">
        <v>45857</v>
      </c>
      <c r="X1171" s="97"/>
      <c r="Y1171" s="75">
        <v>333.51</v>
      </c>
    </row>
    <row r="1172" spans="1:25" x14ac:dyDescent="0.25">
      <c r="A1172" s="76">
        <v>1204</v>
      </c>
      <c r="B1172" s="2" t="s">
        <v>8560</v>
      </c>
      <c r="C1172" s="2" t="s">
        <v>8561</v>
      </c>
      <c r="D1172" s="2" t="s">
        <v>8562</v>
      </c>
      <c r="E1172" s="2" t="s">
        <v>8563</v>
      </c>
      <c r="F1172" s="2" t="s">
        <v>8564</v>
      </c>
      <c r="G1172" s="2" t="s">
        <v>166</v>
      </c>
      <c r="H1172" s="17">
        <v>50</v>
      </c>
      <c r="I1172" s="31">
        <f t="shared" si="120"/>
        <v>50000</v>
      </c>
      <c r="J1172" s="31">
        <f t="shared" si="121"/>
        <v>3500.0000000000005</v>
      </c>
      <c r="K1172" s="44">
        <f t="shared" si="122"/>
        <v>9.589041095890412</v>
      </c>
      <c r="L1172" s="3">
        <f t="shared" si="123"/>
        <v>709.58904109589048</v>
      </c>
      <c r="M1172" s="3">
        <f t="shared" si="124"/>
        <v>42.57534246575343</v>
      </c>
      <c r="N1172" s="67">
        <f t="shared" si="125"/>
        <v>667.01369863013701</v>
      </c>
      <c r="O1172" s="3"/>
      <c r="P1172" s="70" t="s">
        <v>18628</v>
      </c>
      <c r="Q1172" s="2" t="s">
        <v>1117</v>
      </c>
      <c r="R1172" s="2" t="s">
        <v>8565</v>
      </c>
      <c r="T1172" t="s">
        <v>18666</v>
      </c>
      <c r="U1172" t="s">
        <v>18652</v>
      </c>
      <c r="V1172" s="104">
        <v>45857</v>
      </c>
      <c r="X1172" s="97"/>
      <c r="Y1172" s="75">
        <v>667.02</v>
      </c>
    </row>
    <row r="1173" spans="1:25" x14ac:dyDescent="0.25">
      <c r="A1173" s="76">
        <v>1205</v>
      </c>
      <c r="B1173" s="2" t="s">
        <v>4703</v>
      </c>
      <c r="C1173" s="2" t="s">
        <v>4704</v>
      </c>
      <c r="D1173" s="2" t="s">
        <v>4705</v>
      </c>
      <c r="E1173" s="2" t="s">
        <v>4706</v>
      </c>
      <c r="F1173" s="2" t="s">
        <v>4707</v>
      </c>
      <c r="G1173" s="2" t="s">
        <v>144</v>
      </c>
      <c r="H1173" s="17">
        <v>25</v>
      </c>
      <c r="I1173" s="31">
        <f t="shared" si="120"/>
        <v>25000</v>
      </c>
      <c r="J1173" s="31">
        <f t="shared" si="121"/>
        <v>1750.0000000000002</v>
      </c>
      <c r="K1173" s="44">
        <f t="shared" si="122"/>
        <v>4.794520547945206</v>
      </c>
      <c r="L1173" s="3">
        <f t="shared" si="123"/>
        <v>354.79452054794524</v>
      </c>
      <c r="M1173" s="3">
        <f t="shared" si="124"/>
        <v>21.287671232876715</v>
      </c>
      <c r="N1173" s="67">
        <f t="shared" si="125"/>
        <v>333.50684931506851</v>
      </c>
      <c r="O1173" s="3"/>
      <c r="P1173" s="70" t="s">
        <v>18628</v>
      </c>
      <c r="Q1173" s="2" t="s">
        <v>1117</v>
      </c>
      <c r="R1173" s="2" t="s">
        <v>4708</v>
      </c>
      <c r="T1173" t="s">
        <v>18666</v>
      </c>
      <c r="U1173" t="s">
        <v>18652</v>
      </c>
      <c r="V1173" s="104">
        <v>45857</v>
      </c>
      <c r="X1173" s="97"/>
      <c r="Y1173" s="75">
        <v>333.51</v>
      </c>
    </row>
    <row r="1174" spans="1:25" x14ac:dyDescent="0.25">
      <c r="A1174" s="76">
        <v>1206</v>
      </c>
      <c r="B1174" s="2" t="s">
        <v>1280</v>
      </c>
      <c r="C1174" s="2" t="s">
        <v>1281</v>
      </c>
      <c r="D1174" s="2" t="s">
        <v>1282</v>
      </c>
      <c r="E1174" s="2" t="s">
        <v>1283</v>
      </c>
      <c r="F1174" s="2" t="s">
        <v>1284</v>
      </c>
      <c r="G1174" s="2" t="s">
        <v>381</v>
      </c>
      <c r="H1174" s="17">
        <v>300</v>
      </c>
      <c r="I1174" s="31">
        <f t="shared" si="120"/>
        <v>300000</v>
      </c>
      <c r="J1174" s="31">
        <f t="shared" si="121"/>
        <v>21000.000000000004</v>
      </c>
      <c r="K1174" s="44">
        <f t="shared" si="122"/>
        <v>57.534246575342479</v>
      </c>
      <c r="L1174" s="3">
        <f t="shared" si="123"/>
        <v>4257.5342465753438</v>
      </c>
      <c r="M1174" s="3">
        <f t="shared" si="124"/>
        <v>255.45205479452062</v>
      </c>
      <c r="N1174" s="67">
        <f t="shared" si="125"/>
        <v>4002.082191780823</v>
      </c>
      <c r="O1174" s="3"/>
      <c r="P1174" s="70" t="s">
        <v>18628</v>
      </c>
      <c r="Q1174" s="2" t="s">
        <v>1117</v>
      </c>
      <c r="R1174" s="2" t="s">
        <v>1285</v>
      </c>
      <c r="T1174" t="s">
        <v>18666</v>
      </c>
      <c r="U1174" t="s">
        <v>18652</v>
      </c>
      <c r="V1174" s="104">
        <v>45857</v>
      </c>
      <c r="X1174" s="97"/>
      <c r="Y1174" s="75">
        <v>4002.09</v>
      </c>
    </row>
    <row r="1175" spans="1:25" x14ac:dyDescent="0.25">
      <c r="A1175" s="76">
        <v>1207</v>
      </c>
      <c r="B1175" s="2" t="s">
        <v>8805</v>
      </c>
      <c r="C1175" s="2" t="s">
        <v>8806</v>
      </c>
      <c r="D1175" s="2" t="s">
        <v>8807</v>
      </c>
      <c r="E1175" s="2" t="s">
        <v>8808</v>
      </c>
      <c r="F1175" s="2" t="s">
        <v>8809</v>
      </c>
      <c r="G1175" s="2" t="s">
        <v>39</v>
      </c>
      <c r="H1175" s="17">
        <v>25</v>
      </c>
      <c r="I1175" s="31">
        <f t="shared" si="120"/>
        <v>25000</v>
      </c>
      <c r="J1175" s="31">
        <f t="shared" si="121"/>
        <v>1750.0000000000002</v>
      </c>
      <c r="K1175" s="44">
        <f t="shared" si="122"/>
        <v>4.794520547945206</v>
      </c>
      <c r="L1175" s="3">
        <f t="shared" si="123"/>
        <v>354.79452054794524</v>
      </c>
      <c r="M1175" s="3">
        <f t="shared" si="124"/>
        <v>21.287671232876715</v>
      </c>
      <c r="N1175" s="67">
        <f t="shared" si="125"/>
        <v>333.50684931506851</v>
      </c>
      <c r="O1175" s="3"/>
      <c r="P1175" s="70" t="s">
        <v>18628</v>
      </c>
      <c r="Q1175" s="2" t="s">
        <v>1117</v>
      </c>
      <c r="R1175" s="2" t="s">
        <v>8810</v>
      </c>
      <c r="T1175" t="s">
        <v>18666</v>
      </c>
      <c r="U1175" t="s">
        <v>18652</v>
      </c>
      <c r="V1175" s="104">
        <v>45857</v>
      </c>
      <c r="X1175" s="97"/>
      <c r="Y1175" s="75">
        <v>333.51</v>
      </c>
    </row>
    <row r="1176" spans="1:25" x14ac:dyDescent="0.25">
      <c r="A1176" s="76">
        <v>1208</v>
      </c>
      <c r="B1176" s="2" t="s">
        <v>12433</v>
      </c>
      <c r="C1176" s="2" t="s">
        <v>12434</v>
      </c>
      <c r="D1176" s="2" t="s">
        <v>12435</v>
      </c>
      <c r="E1176" s="2" t="s">
        <v>12436</v>
      </c>
      <c r="F1176" s="2" t="s">
        <v>12437</v>
      </c>
      <c r="G1176" s="2" t="s">
        <v>151</v>
      </c>
      <c r="H1176" s="17">
        <v>25</v>
      </c>
      <c r="I1176" s="31">
        <f t="shared" si="120"/>
        <v>25000</v>
      </c>
      <c r="J1176" s="31">
        <f t="shared" si="121"/>
        <v>1750.0000000000002</v>
      </c>
      <c r="K1176" s="44">
        <f t="shared" si="122"/>
        <v>4.794520547945206</v>
      </c>
      <c r="L1176" s="3">
        <f t="shared" si="123"/>
        <v>354.79452054794524</v>
      </c>
      <c r="M1176" s="3">
        <f t="shared" si="124"/>
        <v>21.287671232876715</v>
      </c>
      <c r="N1176" s="67">
        <f t="shared" si="125"/>
        <v>333.50684931506851</v>
      </c>
      <c r="O1176" s="3"/>
      <c r="P1176" s="70" t="s">
        <v>18628</v>
      </c>
      <c r="Q1176" s="2" t="s">
        <v>1117</v>
      </c>
      <c r="R1176" s="2" t="s">
        <v>12438</v>
      </c>
      <c r="T1176" t="s">
        <v>18666</v>
      </c>
      <c r="U1176" t="s">
        <v>18652</v>
      </c>
      <c r="V1176" s="104">
        <v>45857</v>
      </c>
      <c r="X1176" s="97"/>
      <c r="Y1176" s="75">
        <v>333.51</v>
      </c>
    </row>
    <row r="1177" spans="1:25" x14ac:dyDescent="0.25">
      <c r="A1177" s="76">
        <v>1209</v>
      </c>
      <c r="B1177" s="2" t="s">
        <v>3932</v>
      </c>
      <c r="C1177" s="2" t="s">
        <v>3933</v>
      </c>
      <c r="D1177" s="2" t="s">
        <v>3934</v>
      </c>
      <c r="E1177" s="2" t="s">
        <v>3935</v>
      </c>
      <c r="F1177" s="2" t="s">
        <v>3936</v>
      </c>
      <c r="G1177" s="2" t="s">
        <v>524</v>
      </c>
      <c r="H1177" s="17">
        <v>25</v>
      </c>
      <c r="I1177" s="31">
        <f t="shared" si="120"/>
        <v>25000</v>
      </c>
      <c r="J1177" s="31">
        <f t="shared" si="121"/>
        <v>1750.0000000000002</v>
      </c>
      <c r="K1177" s="44">
        <f t="shared" si="122"/>
        <v>4.794520547945206</v>
      </c>
      <c r="L1177" s="3">
        <f t="shared" si="123"/>
        <v>354.79452054794524</v>
      </c>
      <c r="M1177" s="3">
        <f t="shared" si="124"/>
        <v>21.287671232876715</v>
      </c>
      <c r="N1177" s="67">
        <f t="shared" si="125"/>
        <v>333.50684931506851</v>
      </c>
      <c r="O1177" s="3"/>
      <c r="P1177" s="70" t="s">
        <v>18628</v>
      </c>
      <c r="Q1177" s="2" t="s">
        <v>1117</v>
      </c>
      <c r="R1177" s="2" t="s">
        <v>3937</v>
      </c>
      <c r="T1177" t="s">
        <v>18666</v>
      </c>
      <c r="U1177" t="s">
        <v>18652</v>
      </c>
      <c r="V1177" s="104">
        <v>45857</v>
      </c>
      <c r="X1177" s="97"/>
      <c r="Y1177" s="75">
        <v>333.51</v>
      </c>
    </row>
    <row r="1178" spans="1:25" x14ac:dyDescent="0.25">
      <c r="A1178" s="76">
        <v>1210</v>
      </c>
      <c r="B1178" s="2" t="s">
        <v>4929</v>
      </c>
      <c r="C1178" s="2" t="s">
        <v>4930</v>
      </c>
      <c r="D1178" s="2" t="s">
        <v>4931</v>
      </c>
      <c r="E1178" s="2" t="s">
        <v>4932</v>
      </c>
      <c r="F1178" s="2" t="s">
        <v>4933</v>
      </c>
      <c r="G1178" s="2" t="s">
        <v>173</v>
      </c>
      <c r="H1178" s="17">
        <v>26</v>
      </c>
      <c r="I1178" s="31">
        <f t="shared" si="120"/>
        <v>26000</v>
      </c>
      <c r="J1178" s="31">
        <f t="shared" si="121"/>
        <v>1820.0000000000002</v>
      </c>
      <c r="K1178" s="44">
        <f t="shared" si="122"/>
        <v>4.9863013698630141</v>
      </c>
      <c r="L1178" s="3">
        <f t="shared" si="123"/>
        <v>368.98630136986304</v>
      </c>
      <c r="M1178" s="3">
        <f t="shared" si="124"/>
        <v>22.139178082191783</v>
      </c>
      <c r="N1178" s="67">
        <f t="shared" si="125"/>
        <v>346.84712328767125</v>
      </c>
      <c r="O1178" s="3"/>
      <c r="P1178" s="70" t="s">
        <v>18628</v>
      </c>
      <c r="Q1178" s="2" t="s">
        <v>1117</v>
      </c>
      <c r="R1178" s="2" t="s">
        <v>4934</v>
      </c>
      <c r="T1178" t="s">
        <v>18666</v>
      </c>
      <c r="U1178" t="s">
        <v>18652</v>
      </c>
      <c r="V1178" s="104">
        <v>45857</v>
      </c>
      <c r="X1178" s="97"/>
      <c r="Y1178" s="75">
        <v>346.84999999999997</v>
      </c>
    </row>
    <row r="1179" spans="1:25" x14ac:dyDescent="0.25">
      <c r="A1179" s="76">
        <v>1211</v>
      </c>
      <c r="B1179" s="2" t="s">
        <v>6390</v>
      </c>
      <c r="C1179" s="2" t="s">
        <v>6391</v>
      </c>
      <c r="D1179" s="2" t="s">
        <v>6392</v>
      </c>
      <c r="E1179" s="2" t="s">
        <v>6393</v>
      </c>
      <c r="F1179" s="2" t="s">
        <v>6394</v>
      </c>
      <c r="G1179" s="2" t="s">
        <v>23</v>
      </c>
      <c r="H1179" s="17">
        <v>25</v>
      </c>
      <c r="I1179" s="31">
        <f t="shared" si="120"/>
        <v>25000</v>
      </c>
      <c r="J1179" s="31">
        <f t="shared" si="121"/>
        <v>1750.0000000000002</v>
      </c>
      <c r="K1179" s="44">
        <f t="shared" si="122"/>
        <v>4.794520547945206</v>
      </c>
      <c r="L1179" s="3">
        <f t="shared" si="123"/>
        <v>354.79452054794524</v>
      </c>
      <c r="M1179" s="3">
        <f t="shared" si="124"/>
        <v>21.287671232876715</v>
      </c>
      <c r="N1179" s="67">
        <f t="shared" si="125"/>
        <v>333.50684931506851</v>
      </c>
      <c r="O1179" s="3"/>
      <c r="P1179" s="70" t="s">
        <v>18628</v>
      </c>
      <c r="Q1179" s="2" t="s">
        <v>1117</v>
      </c>
      <c r="R1179" s="2" t="s">
        <v>6395</v>
      </c>
      <c r="T1179" t="s">
        <v>18666</v>
      </c>
      <c r="U1179" t="s">
        <v>18652</v>
      </c>
      <c r="V1179" s="104">
        <v>45857</v>
      </c>
      <c r="X1179" s="97"/>
      <c r="Y1179" s="75">
        <v>333.51</v>
      </c>
    </row>
    <row r="1180" spans="1:25" x14ac:dyDescent="0.25">
      <c r="A1180" s="76">
        <v>1212</v>
      </c>
      <c r="B1180" s="2" t="s">
        <v>9839</v>
      </c>
      <c r="C1180" s="2" t="s">
        <v>9840</v>
      </c>
      <c r="D1180" s="2" t="s">
        <v>9841</v>
      </c>
      <c r="E1180" s="2" t="s">
        <v>9842</v>
      </c>
      <c r="F1180" s="2" t="s">
        <v>7488</v>
      </c>
      <c r="G1180" s="2" t="s">
        <v>31</v>
      </c>
      <c r="H1180" s="17">
        <v>25</v>
      </c>
      <c r="I1180" s="31">
        <f t="shared" si="120"/>
        <v>25000</v>
      </c>
      <c r="J1180" s="31">
        <f t="shared" si="121"/>
        <v>1750.0000000000002</v>
      </c>
      <c r="K1180" s="44">
        <f t="shared" si="122"/>
        <v>4.794520547945206</v>
      </c>
      <c r="L1180" s="3">
        <f t="shared" si="123"/>
        <v>354.79452054794524</v>
      </c>
      <c r="M1180" s="3">
        <f t="shared" si="124"/>
        <v>21.287671232876715</v>
      </c>
      <c r="N1180" s="67">
        <f t="shared" si="125"/>
        <v>333.50684931506851</v>
      </c>
      <c r="O1180" s="3"/>
      <c r="P1180" s="70" t="s">
        <v>18628</v>
      </c>
      <c r="Q1180" s="2" t="s">
        <v>1117</v>
      </c>
      <c r="R1180" s="2" t="s">
        <v>9843</v>
      </c>
      <c r="T1180" t="s">
        <v>18666</v>
      </c>
      <c r="U1180" t="s">
        <v>18652</v>
      </c>
      <c r="V1180" s="104">
        <v>45857</v>
      </c>
      <c r="X1180" s="97"/>
      <c r="Y1180" s="75">
        <v>333.51</v>
      </c>
    </row>
    <row r="1181" spans="1:25" x14ac:dyDescent="0.25">
      <c r="A1181" s="76">
        <v>1213</v>
      </c>
      <c r="B1181" s="2" t="s">
        <v>12472</v>
      </c>
      <c r="C1181" s="2" t="s">
        <v>12473</v>
      </c>
      <c r="D1181" s="2" t="s">
        <v>12474</v>
      </c>
      <c r="E1181" s="2" t="s">
        <v>12475</v>
      </c>
      <c r="F1181" s="2" t="s">
        <v>12476</v>
      </c>
      <c r="G1181" s="2" t="s">
        <v>1048</v>
      </c>
      <c r="H1181" s="17">
        <v>25</v>
      </c>
      <c r="I1181" s="31">
        <f t="shared" si="120"/>
        <v>25000</v>
      </c>
      <c r="J1181" s="31">
        <f t="shared" si="121"/>
        <v>1750.0000000000002</v>
      </c>
      <c r="K1181" s="44">
        <f t="shared" si="122"/>
        <v>4.794520547945206</v>
      </c>
      <c r="L1181" s="3">
        <f t="shared" si="123"/>
        <v>354.79452054794524</v>
      </c>
      <c r="M1181" s="3">
        <f t="shared" si="124"/>
        <v>21.287671232876715</v>
      </c>
      <c r="N1181" s="67">
        <f t="shared" si="125"/>
        <v>333.50684931506851</v>
      </c>
      <c r="O1181" s="3"/>
      <c r="P1181" s="70" t="s">
        <v>18628</v>
      </c>
      <c r="Q1181" s="2" t="s">
        <v>1117</v>
      </c>
      <c r="R1181" s="2" t="s">
        <v>12477</v>
      </c>
      <c r="T1181" t="s">
        <v>18666</v>
      </c>
      <c r="U1181" t="s">
        <v>18652</v>
      </c>
      <c r="V1181" s="104">
        <v>45857</v>
      </c>
      <c r="X1181" s="97"/>
      <c r="Y1181" s="75">
        <v>333.51</v>
      </c>
    </row>
    <row r="1182" spans="1:25" x14ac:dyDescent="0.25">
      <c r="A1182" s="76">
        <v>1214</v>
      </c>
      <c r="B1182" s="2" t="s">
        <v>17103</v>
      </c>
      <c r="C1182" s="2" t="s">
        <v>17104</v>
      </c>
      <c r="D1182" s="2" t="s">
        <v>17105</v>
      </c>
      <c r="E1182" s="2" t="s">
        <v>17106</v>
      </c>
      <c r="F1182" s="2" t="s">
        <v>17107</v>
      </c>
      <c r="G1182" s="2" t="s">
        <v>10199</v>
      </c>
      <c r="H1182" s="17">
        <v>25</v>
      </c>
      <c r="I1182" s="31">
        <f t="shared" si="120"/>
        <v>25000</v>
      </c>
      <c r="J1182" s="31">
        <f t="shared" si="121"/>
        <v>1750.0000000000002</v>
      </c>
      <c r="K1182" s="44">
        <f t="shared" si="122"/>
        <v>4.794520547945206</v>
      </c>
      <c r="L1182" s="3">
        <f t="shared" si="123"/>
        <v>354.79452054794524</v>
      </c>
      <c r="M1182" s="3">
        <f t="shared" si="124"/>
        <v>21.287671232876715</v>
      </c>
      <c r="N1182" s="67">
        <f t="shared" si="125"/>
        <v>333.50684931506851</v>
      </c>
      <c r="O1182" s="3"/>
      <c r="P1182" s="70" t="s">
        <v>18628</v>
      </c>
      <c r="Q1182" s="2" t="s">
        <v>1117</v>
      </c>
      <c r="R1182" s="2" t="s">
        <v>17108</v>
      </c>
      <c r="T1182" t="s">
        <v>18666</v>
      </c>
      <c r="U1182" t="s">
        <v>18652</v>
      </c>
      <c r="V1182" s="104">
        <v>45857</v>
      </c>
      <c r="X1182" s="97"/>
      <c r="Y1182" s="75">
        <v>333.51</v>
      </c>
    </row>
    <row r="1183" spans="1:25" x14ac:dyDescent="0.25">
      <c r="A1183" s="76">
        <v>1215</v>
      </c>
      <c r="B1183" s="2" t="s">
        <v>3614</v>
      </c>
      <c r="C1183" s="2" t="s">
        <v>3615</v>
      </c>
      <c r="D1183" s="2" t="s">
        <v>3616</v>
      </c>
      <c r="E1183" s="2" t="s">
        <v>3617</v>
      </c>
      <c r="F1183" s="2" t="s">
        <v>3618</v>
      </c>
      <c r="G1183" s="2" t="s">
        <v>226</v>
      </c>
      <c r="H1183" s="17">
        <v>25</v>
      </c>
      <c r="I1183" s="31">
        <f t="shared" si="120"/>
        <v>25000</v>
      </c>
      <c r="J1183" s="31">
        <f t="shared" si="121"/>
        <v>1750.0000000000002</v>
      </c>
      <c r="K1183" s="44">
        <f t="shared" si="122"/>
        <v>4.794520547945206</v>
      </c>
      <c r="L1183" s="3">
        <f t="shared" si="123"/>
        <v>354.79452054794524</v>
      </c>
      <c r="M1183" s="3">
        <f t="shared" si="124"/>
        <v>21.287671232876715</v>
      </c>
      <c r="N1183" s="67">
        <f t="shared" si="125"/>
        <v>333.50684931506851</v>
      </c>
      <c r="O1183" s="3"/>
      <c r="P1183" s="70" t="s">
        <v>18628</v>
      </c>
      <c r="Q1183" s="2" t="s">
        <v>1117</v>
      </c>
      <c r="R1183" s="2" t="s">
        <v>3619</v>
      </c>
      <c r="T1183" t="s">
        <v>18666</v>
      </c>
      <c r="U1183" t="s">
        <v>18652</v>
      </c>
      <c r="V1183" s="104">
        <v>45857</v>
      </c>
      <c r="X1183" s="97"/>
      <c r="Y1183" s="75">
        <v>333.51</v>
      </c>
    </row>
    <row r="1184" spans="1:25" x14ac:dyDescent="0.25">
      <c r="A1184" s="76">
        <v>1216</v>
      </c>
      <c r="B1184" s="2" t="s">
        <v>11101</v>
      </c>
      <c r="C1184" s="2" t="s">
        <v>11102</v>
      </c>
      <c r="D1184" s="2" t="s">
        <v>11103</v>
      </c>
      <c r="E1184" s="2" t="s">
        <v>11104</v>
      </c>
      <c r="F1184" s="2" t="s">
        <v>11105</v>
      </c>
      <c r="G1184" s="2" t="s">
        <v>166</v>
      </c>
      <c r="H1184" s="17">
        <v>25</v>
      </c>
      <c r="I1184" s="31">
        <f t="shared" si="120"/>
        <v>25000</v>
      </c>
      <c r="J1184" s="31">
        <f t="shared" si="121"/>
        <v>1750.0000000000002</v>
      </c>
      <c r="K1184" s="44">
        <f t="shared" si="122"/>
        <v>4.794520547945206</v>
      </c>
      <c r="L1184" s="3">
        <f t="shared" si="123"/>
        <v>354.79452054794524</v>
      </c>
      <c r="M1184" s="3">
        <f t="shared" si="124"/>
        <v>21.287671232876715</v>
      </c>
      <c r="N1184" s="67">
        <f t="shared" si="125"/>
        <v>333.50684931506851</v>
      </c>
      <c r="O1184" s="3"/>
      <c r="P1184" s="70" t="s">
        <v>18628</v>
      </c>
      <c r="Q1184" s="2" t="s">
        <v>1117</v>
      </c>
      <c r="R1184" s="2" t="s">
        <v>11106</v>
      </c>
      <c r="T1184" t="s">
        <v>18666</v>
      </c>
      <c r="U1184" t="s">
        <v>18652</v>
      </c>
      <c r="V1184" s="104">
        <v>45857</v>
      </c>
      <c r="X1184" s="97"/>
      <c r="Y1184" s="75">
        <v>333.51</v>
      </c>
    </row>
    <row r="1185" spans="1:25" x14ac:dyDescent="0.25">
      <c r="A1185" s="76">
        <v>1217</v>
      </c>
      <c r="B1185" s="2" t="s">
        <v>3295</v>
      </c>
      <c r="C1185" s="2" t="s">
        <v>3296</v>
      </c>
      <c r="D1185" s="2" t="s">
        <v>3297</v>
      </c>
      <c r="E1185" s="2" t="s">
        <v>3298</v>
      </c>
      <c r="F1185" s="2" t="s">
        <v>3299</v>
      </c>
      <c r="G1185" s="2" t="s">
        <v>939</v>
      </c>
      <c r="H1185" s="17">
        <v>25</v>
      </c>
      <c r="I1185" s="31">
        <f t="shared" si="120"/>
        <v>25000</v>
      </c>
      <c r="J1185" s="31">
        <f t="shared" si="121"/>
        <v>1750.0000000000002</v>
      </c>
      <c r="K1185" s="44">
        <f t="shared" si="122"/>
        <v>4.794520547945206</v>
      </c>
      <c r="L1185" s="3">
        <f t="shared" si="123"/>
        <v>354.79452054794524</v>
      </c>
      <c r="M1185" s="3">
        <f t="shared" si="124"/>
        <v>21.287671232876715</v>
      </c>
      <c r="N1185" s="67">
        <f t="shared" si="125"/>
        <v>333.50684931506851</v>
      </c>
      <c r="O1185" s="3"/>
      <c r="P1185" s="70" t="s">
        <v>18628</v>
      </c>
      <c r="Q1185" s="2" t="s">
        <v>1117</v>
      </c>
      <c r="R1185" s="2" t="s">
        <v>3300</v>
      </c>
      <c r="T1185" t="s">
        <v>18666</v>
      </c>
      <c r="U1185" t="s">
        <v>18652</v>
      </c>
      <c r="V1185" s="104">
        <v>45857</v>
      </c>
      <c r="X1185" s="97"/>
      <c r="Y1185" s="75">
        <v>333.51</v>
      </c>
    </row>
    <row r="1186" spans="1:25" x14ac:dyDescent="0.25">
      <c r="A1186" s="76">
        <v>1218</v>
      </c>
      <c r="B1186" s="2" t="s">
        <v>17050</v>
      </c>
      <c r="C1186" s="2" t="s">
        <v>17051</v>
      </c>
      <c r="D1186" s="2" t="s">
        <v>17052</v>
      </c>
      <c r="E1186" s="2" t="s">
        <v>17053</v>
      </c>
      <c r="F1186" s="2" t="s">
        <v>17054</v>
      </c>
      <c r="G1186" s="2" t="s">
        <v>166</v>
      </c>
      <c r="H1186" s="17">
        <v>100</v>
      </c>
      <c r="I1186" s="31">
        <f t="shared" si="120"/>
        <v>100000</v>
      </c>
      <c r="J1186" s="31">
        <f t="shared" si="121"/>
        <v>7000.0000000000009</v>
      </c>
      <c r="K1186" s="44">
        <f t="shared" si="122"/>
        <v>19.178082191780824</v>
      </c>
      <c r="L1186" s="3">
        <f t="shared" si="123"/>
        <v>1419.178082191781</v>
      </c>
      <c r="M1186" s="3">
        <f t="shared" si="124"/>
        <v>85.150684931506859</v>
      </c>
      <c r="N1186" s="67">
        <f t="shared" si="125"/>
        <v>1334.027397260274</v>
      </c>
      <c r="O1186" s="3"/>
      <c r="P1186" s="70" t="s">
        <v>18628</v>
      </c>
      <c r="Q1186" s="2" t="s">
        <v>1117</v>
      </c>
      <c r="R1186" s="2" t="s">
        <v>17055</v>
      </c>
      <c r="T1186" t="s">
        <v>18666</v>
      </c>
      <c r="U1186" t="s">
        <v>18652</v>
      </c>
      <c r="V1186" s="104">
        <v>45857</v>
      </c>
      <c r="X1186" s="97"/>
      <c r="Y1186" s="75">
        <v>1334.03</v>
      </c>
    </row>
    <row r="1187" spans="1:25" x14ac:dyDescent="0.25">
      <c r="A1187" s="76">
        <v>1219</v>
      </c>
      <c r="B1187" s="2" t="s">
        <v>4145</v>
      </c>
      <c r="C1187" s="2" t="s">
        <v>4146</v>
      </c>
      <c r="D1187" s="2" t="s">
        <v>4147</v>
      </c>
      <c r="E1187" s="2" t="s">
        <v>4148</v>
      </c>
      <c r="F1187" s="2" t="s">
        <v>4149</v>
      </c>
      <c r="G1187" s="2" t="s">
        <v>381</v>
      </c>
      <c r="H1187" s="17">
        <v>50</v>
      </c>
      <c r="I1187" s="31">
        <f t="shared" si="120"/>
        <v>50000</v>
      </c>
      <c r="J1187" s="31">
        <f t="shared" si="121"/>
        <v>3500.0000000000005</v>
      </c>
      <c r="K1187" s="44">
        <f t="shared" si="122"/>
        <v>9.589041095890412</v>
      </c>
      <c r="L1187" s="3">
        <f t="shared" si="123"/>
        <v>709.58904109589048</v>
      </c>
      <c r="M1187" s="3">
        <f t="shared" si="124"/>
        <v>42.57534246575343</v>
      </c>
      <c r="N1187" s="67">
        <f t="shared" si="125"/>
        <v>667.01369863013701</v>
      </c>
      <c r="O1187" s="3"/>
      <c r="P1187" s="70" t="s">
        <v>18628</v>
      </c>
      <c r="Q1187" s="2" t="s">
        <v>1117</v>
      </c>
      <c r="R1187" s="2" t="s">
        <v>4150</v>
      </c>
      <c r="T1187" t="s">
        <v>18666</v>
      </c>
      <c r="U1187" t="s">
        <v>18652</v>
      </c>
      <c r="V1187" s="104">
        <v>45857</v>
      </c>
      <c r="X1187" s="97"/>
      <c r="Y1187" s="75">
        <v>667.02</v>
      </c>
    </row>
    <row r="1188" spans="1:25" x14ac:dyDescent="0.25">
      <c r="A1188" s="76">
        <v>1220</v>
      </c>
      <c r="B1188" s="2" t="s">
        <v>11209</v>
      </c>
      <c r="C1188" s="2" t="s">
        <v>11210</v>
      </c>
      <c r="D1188" s="2" t="s">
        <v>11211</v>
      </c>
      <c r="E1188" s="2" t="s">
        <v>10959</v>
      </c>
      <c r="F1188" s="2" t="s">
        <v>11212</v>
      </c>
      <c r="G1188" s="2" t="s">
        <v>39</v>
      </c>
      <c r="H1188" s="17">
        <v>230</v>
      </c>
      <c r="I1188" s="31">
        <f t="shared" si="120"/>
        <v>230000</v>
      </c>
      <c r="J1188" s="31">
        <f t="shared" si="121"/>
        <v>16100.000000000002</v>
      </c>
      <c r="K1188" s="44">
        <f t="shared" si="122"/>
        <v>44.109589041095894</v>
      </c>
      <c r="L1188" s="3">
        <f t="shared" si="123"/>
        <v>3264.1095890410961</v>
      </c>
      <c r="M1188" s="3">
        <f t="shared" si="124"/>
        <v>195.84657534246577</v>
      </c>
      <c r="N1188" s="67">
        <f t="shared" si="125"/>
        <v>3068.2630136986304</v>
      </c>
      <c r="O1188" s="3"/>
      <c r="P1188" s="70" t="s">
        <v>18628</v>
      </c>
      <c r="Q1188" s="2" t="s">
        <v>1117</v>
      </c>
      <c r="R1188" s="2" t="s">
        <v>11213</v>
      </c>
      <c r="T1188" t="s">
        <v>18666</v>
      </c>
      <c r="U1188" t="s">
        <v>18652</v>
      </c>
      <c r="V1188" s="104">
        <v>45857</v>
      </c>
      <c r="X1188" s="97"/>
      <c r="Y1188" s="75">
        <v>3068.2700000000004</v>
      </c>
    </row>
    <row r="1189" spans="1:25" x14ac:dyDescent="0.25">
      <c r="A1189" s="76">
        <v>1221</v>
      </c>
      <c r="B1189" s="2" t="s">
        <v>7442</v>
      </c>
      <c r="C1189" s="2" t="s">
        <v>7443</v>
      </c>
      <c r="D1189" s="2" t="s">
        <v>7444</v>
      </c>
      <c r="E1189" s="2" t="s">
        <v>7445</v>
      </c>
      <c r="F1189" s="2" t="s">
        <v>7446</v>
      </c>
      <c r="G1189" s="2" t="s">
        <v>2571</v>
      </c>
      <c r="H1189" s="17">
        <v>25</v>
      </c>
      <c r="I1189" s="31">
        <f t="shared" si="120"/>
        <v>25000</v>
      </c>
      <c r="J1189" s="31">
        <f t="shared" si="121"/>
        <v>1750.0000000000002</v>
      </c>
      <c r="K1189" s="44">
        <f t="shared" si="122"/>
        <v>4.794520547945206</v>
      </c>
      <c r="L1189" s="3">
        <f t="shared" si="123"/>
        <v>354.79452054794524</v>
      </c>
      <c r="M1189" s="3">
        <f t="shared" si="124"/>
        <v>21.287671232876715</v>
      </c>
      <c r="N1189" s="67">
        <f t="shared" si="125"/>
        <v>333.50684931506851</v>
      </c>
      <c r="O1189" s="3"/>
      <c r="P1189" s="70" t="s">
        <v>18628</v>
      </c>
      <c r="Q1189" s="2" t="s">
        <v>1117</v>
      </c>
      <c r="R1189" s="2" t="s">
        <v>7447</v>
      </c>
      <c r="T1189" t="s">
        <v>18666</v>
      </c>
      <c r="U1189" t="s">
        <v>18652</v>
      </c>
      <c r="V1189" s="104">
        <v>45857</v>
      </c>
      <c r="X1189" s="97"/>
      <c r="Y1189" s="75">
        <v>333.51</v>
      </c>
    </row>
    <row r="1190" spans="1:25" x14ac:dyDescent="0.25">
      <c r="A1190" s="76">
        <v>1222</v>
      </c>
      <c r="B1190" s="2" t="s">
        <v>1782</v>
      </c>
      <c r="C1190" s="2" t="s">
        <v>1783</v>
      </c>
      <c r="D1190" s="2" t="s">
        <v>1784</v>
      </c>
      <c r="E1190" s="2" t="s">
        <v>1785</v>
      </c>
      <c r="F1190" s="2" t="s">
        <v>1786</v>
      </c>
      <c r="G1190" s="2" t="s">
        <v>31</v>
      </c>
      <c r="H1190" s="17">
        <v>25</v>
      </c>
      <c r="I1190" s="31">
        <f t="shared" si="120"/>
        <v>25000</v>
      </c>
      <c r="J1190" s="31">
        <f t="shared" si="121"/>
        <v>1750.0000000000002</v>
      </c>
      <c r="K1190" s="44">
        <f t="shared" si="122"/>
        <v>4.794520547945206</v>
      </c>
      <c r="L1190" s="3">
        <f t="shared" si="123"/>
        <v>354.79452054794524</v>
      </c>
      <c r="M1190" s="3">
        <f t="shared" si="124"/>
        <v>21.287671232876715</v>
      </c>
      <c r="N1190" s="67">
        <f t="shared" si="125"/>
        <v>333.50684931506851</v>
      </c>
      <c r="O1190" s="3"/>
      <c r="P1190" s="70" t="s">
        <v>18628</v>
      </c>
      <c r="Q1190" s="2" t="s">
        <v>1117</v>
      </c>
      <c r="R1190" s="2" t="s">
        <v>1787</v>
      </c>
      <c r="T1190" t="s">
        <v>18666</v>
      </c>
      <c r="U1190" t="s">
        <v>18652</v>
      </c>
      <c r="V1190" s="104">
        <v>45857</v>
      </c>
      <c r="X1190" s="97"/>
      <c r="Y1190" s="75">
        <v>333.51</v>
      </c>
    </row>
    <row r="1191" spans="1:25" x14ac:dyDescent="0.25">
      <c r="A1191" s="76">
        <v>1223</v>
      </c>
      <c r="B1191" s="2" t="s">
        <v>5649</v>
      </c>
      <c r="C1191" s="2" t="s">
        <v>5650</v>
      </c>
      <c r="D1191" s="2" t="s">
        <v>5651</v>
      </c>
      <c r="E1191" s="2" t="s">
        <v>5652</v>
      </c>
      <c r="F1191" s="2" t="s">
        <v>5653</v>
      </c>
      <c r="G1191" s="2" t="s">
        <v>309</v>
      </c>
      <c r="H1191" s="17">
        <v>25</v>
      </c>
      <c r="I1191" s="31">
        <f t="shared" si="120"/>
        <v>25000</v>
      </c>
      <c r="J1191" s="31">
        <f t="shared" si="121"/>
        <v>1750.0000000000002</v>
      </c>
      <c r="K1191" s="44">
        <f t="shared" si="122"/>
        <v>4.794520547945206</v>
      </c>
      <c r="L1191" s="3">
        <f t="shared" si="123"/>
        <v>354.79452054794524</v>
      </c>
      <c r="M1191" s="3">
        <f t="shared" si="124"/>
        <v>21.287671232876715</v>
      </c>
      <c r="N1191" s="67">
        <f t="shared" si="125"/>
        <v>333.50684931506851</v>
      </c>
      <c r="O1191" s="3"/>
      <c r="P1191" s="70" t="s">
        <v>18628</v>
      </c>
      <c r="Q1191" s="2" t="s">
        <v>1117</v>
      </c>
      <c r="R1191" s="2" t="s">
        <v>5654</v>
      </c>
      <c r="T1191" t="s">
        <v>18666</v>
      </c>
      <c r="U1191" t="s">
        <v>18652</v>
      </c>
      <c r="V1191" s="104">
        <v>45857</v>
      </c>
      <c r="X1191" s="97"/>
      <c r="Y1191" s="75">
        <v>333.51</v>
      </c>
    </row>
    <row r="1192" spans="1:25" x14ac:dyDescent="0.25">
      <c r="A1192" s="76">
        <v>1224</v>
      </c>
      <c r="B1192" s="2" t="s">
        <v>9031</v>
      </c>
      <c r="C1192" s="2" t="s">
        <v>9032</v>
      </c>
      <c r="D1192" s="2" t="s">
        <v>9033</v>
      </c>
      <c r="E1192" s="2" t="s">
        <v>9034</v>
      </c>
      <c r="F1192" s="2" t="s">
        <v>9035</v>
      </c>
      <c r="G1192" s="2" t="s">
        <v>268</v>
      </c>
      <c r="H1192" s="17">
        <v>25</v>
      </c>
      <c r="I1192" s="31">
        <f t="shared" si="120"/>
        <v>25000</v>
      </c>
      <c r="J1192" s="31">
        <f t="shared" si="121"/>
        <v>1750.0000000000002</v>
      </c>
      <c r="K1192" s="44">
        <f t="shared" si="122"/>
        <v>4.794520547945206</v>
      </c>
      <c r="L1192" s="3">
        <f t="shared" si="123"/>
        <v>354.79452054794524</v>
      </c>
      <c r="M1192" s="3">
        <f t="shared" si="124"/>
        <v>21.287671232876715</v>
      </c>
      <c r="N1192" s="67">
        <f t="shared" si="125"/>
        <v>333.50684931506851</v>
      </c>
      <c r="O1192" s="3"/>
      <c r="P1192" s="70" t="s">
        <v>18628</v>
      </c>
      <c r="Q1192" s="2" t="s">
        <v>1117</v>
      </c>
      <c r="R1192" s="2" t="s">
        <v>9036</v>
      </c>
      <c r="T1192" t="s">
        <v>18666</v>
      </c>
      <c r="U1192" t="s">
        <v>18652</v>
      </c>
      <c r="V1192" s="104">
        <v>45857</v>
      </c>
      <c r="X1192" s="97"/>
      <c r="Y1192" s="75">
        <v>333.51</v>
      </c>
    </row>
    <row r="1193" spans="1:25" x14ac:dyDescent="0.25">
      <c r="A1193" s="76">
        <v>1225</v>
      </c>
      <c r="B1193" s="2" t="s">
        <v>8202</v>
      </c>
      <c r="C1193" s="2" t="s">
        <v>8203</v>
      </c>
      <c r="D1193" s="2" t="s">
        <v>8204</v>
      </c>
      <c r="E1193" s="2" t="s">
        <v>4207</v>
      </c>
      <c r="F1193" s="2" t="s">
        <v>8205</v>
      </c>
      <c r="G1193" s="2" t="s">
        <v>743</v>
      </c>
      <c r="H1193" s="17">
        <v>25</v>
      </c>
      <c r="I1193" s="31">
        <f t="shared" si="120"/>
        <v>25000</v>
      </c>
      <c r="J1193" s="31">
        <f t="shared" si="121"/>
        <v>1750.0000000000002</v>
      </c>
      <c r="K1193" s="44">
        <f t="shared" si="122"/>
        <v>4.794520547945206</v>
      </c>
      <c r="L1193" s="3">
        <f t="shared" si="123"/>
        <v>354.79452054794524</v>
      </c>
      <c r="M1193" s="3">
        <f t="shared" si="124"/>
        <v>21.287671232876715</v>
      </c>
      <c r="N1193" s="67">
        <f t="shared" si="125"/>
        <v>333.50684931506851</v>
      </c>
      <c r="O1193" s="3"/>
      <c r="P1193" s="70" t="s">
        <v>18628</v>
      </c>
      <c r="Q1193" s="2" t="s">
        <v>1117</v>
      </c>
      <c r="R1193" s="2" t="s">
        <v>8206</v>
      </c>
      <c r="T1193" t="s">
        <v>18666</v>
      </c>
      <c r="U1193" t="s">
        <v>18652</v>
      </c>
      <c r="V1193" s="104">
        <v>45857</v>
      </c>
      <c r="X1193" s="97"/>
      <c r="Y1193" s="75">
        <v>333.51</v>
      </c>
    </row>
    <row r="1194" spans="1:25" x14ac:dyDescent="0.25">
      <c r="A1194" s="76">
        <v>1226</v>
      </c>
      <c r="B1194" s="2" t="s">
        <v>11814</v>
      </c>
      <c r="C1194" s="2" t="s">
        <v>11815</v>
      </c>
      <c r="D1194" s="2" t="s">
        <v>3072</v>
      </c>
      <c r="E1194" s="2" t="s">
        <v>11816</v>
      </c>
      <c r="F1194" s="2" t="s">
        <v>11817</v>
      </c>
      <c r="G1194" s="2" t="s">
        <v>2680</v>
      </c>
      <c r="H1194" s="17">
        <v>50</v>
      </c>
      <c r="I1194" s="31">
        <f t="shared" si="120"/>
        <v>50000</v>
      </c>
      <c r="J1194" s="31">
        <f t="shared" si="121"/>
        <v>3500.0000000000005</v>
      </c>
      <c r="K1194" s="44">
        <f t="shared" si="122"/>
        <v>9.589041095890412</v>
      </c>
      <c r="L1194" s="3">
        <f t="shared" si="123"/>
        <v>709.58904109589048</v>
      </c>
      <c r="M1194" s="3">
        <f t="shared" si="124"/>
        <v>42.57534246575343</v>
      </c>
      <c r="N1194" s="67">
        <f t="shared" si="125"/>
        <v>667.01369863013701</v>
      </c>
      <c r="O1194" s="3"/>
      <c r="P1194" s="70" t="s">
        <v>18628</v>
      </c>
      <c r="Q1194" s="2" t="s">
        <v>1117</v>
      </c>
      <c r="R1194" s="2" t="s">
        <v>11818</v>
      </c>
      <c r="T1194" t="s">
        <v>18666</v>
      </c>
      <c r="U1194" t="s">
        <v>18652</v>
      </c>
      <c r="V1194" s="104">
        <v>45857</v>
      </c>
      <c r="X1194" s="97"/>
      <c r="Y1194" s="75">
        <v>667.02</v>
      </c>
    </row>
    <row r="1195" spans="1:25" x14ac:dyDescent="0.25">
      <c r="A1195" s="76">
        <v>1227</v>
      </c>
      <c r="B1195" s="2" t="s">
        <v>7388</v>
      </c>
      <c r="C1195" s="2" t="s">
        <v>4395</v>
      </c>
      <c r="D1195" s="2" t="s">
        <v>7389</v>
      </c>
      <c r="E1195" s="2" t="s">
        <v>7390</v>
      </c>
      <c r="F1195" s="2" t="s">
        <v>7391</v>
      </c>
      <c r="G1195" s="2" t="s">
        <v>166</v>
      </c>
      <c r="H1195" s="17">
        <v>25</v>
      </c>
      <c r="I1195" s="31">
        <f t="shared" si="120"/>
        <v>25000</v>
      </c>
      <c r="J1195" s="31">
        <f t="shared" si="121"/>
        <v>1750.0000000000002</v>
      </c>
      <c r="K1195" s="44">
        <f t="shared" si="122"/>
        <v>4.794520547945206</v>
      </c>
      <c r="L1195" s="3">
        <f t="shared" si="123"/>
        <v>354.79452054794524</v>
      </c>
      <c r="M1195" s="3">
        <f t="shared" si="124"/>
        <v>21.287671232876715</v>
      </c>
      <c r="N1195" s="67">
        <f t="shared" si="125"/>
        <v>333.50684931506851</v>
      </c>
      <c r="O1195" s="3"/>
      <c r="P1195" s="70" t="s">
        <v>18628</v>
      </c>
      <c r="Q1195" s="2" t="s">
        <v>1117</v>
      </c>
      <c r="R1195" s="2" t="s">
        <v>7392</v>
      </c>
      <c r="T1195" t="s">
        <v>18666</v>
      </c>
      <c r="U1195" t="s">
        <v>18652</v>
      </c>
      <c r="V1195" s="104">
        <v>45857</v>
      </c>
      <c r="X1195" s="97"/>
      <c r="Y1195" s="75">
        <v>333.51</v>
      </c>
    </row>
    <row r="1196" spans="1:25" x14ac:dyDescent="0.25">
      <c r="A1196" s="76">
        <v>1228</v>
      </c>
      <c r="B1196" s="2" t="s">
        <v>15238</v>
      </c>
      <c r="C1196" s="2" t="s">
        <v>15239</v>
      </c>
      <c r="D1196" s="2" t="s">
        <v>15240</v>
      </c>
      <c r="E1196" s="2" t="s">
        <v>15241</v>
      </c>
      <c r="F1196" s="2" t="s">
        <v>15242</v>
      </c>
      <c r="G1196" s="2" t="s">
        <v>524</v>
      </c>
      <c r="H1196" s="17">
        <v>25</v>
      </c>
      <c r="I1196" s="31">
        <f t="shared" si="120"/>
        <v>25000</v>
      </c>
      <c r="J1196" s="31">
        <f t="shared" si="121"/>
        <v>1750.0000000000002</v>
      </c>
      <c r="K1196" s="44">
        <f t="shared" si="122"/>
        <v>4.794520547945206</v>
      </c>
      <c r="L1196" s="3">
        <f t="shared" si="123"/>
        <v>354.79452054794524</v>
      </c>
      <c r="M1196" s="3">
        <f t="shared" si="124"/>
        <v>21.287671232876715</v>
      </c>
      <c r="N1196" s="67">
        <f t="shared" si="125"/>
        <v>333.50684931506851</v>
      </c>
      <c r="O1196" s="3"/>
      <c r="P1196" s="70" t="s">
        <v>18628</v>
      </c>
      <c r="Q1196" s="2" t="s">
        <v>1117</v>
      </c>
      <c r="R1196" s="2" t="s">
        <v>15243</v>
      </c>
      <c r="T1196" t="s">
        <v>18666</v>
      </c>
      <c r="U1196" t="s">
        <v>18652</v>
      </c>
      <c r="V1196" s="104">
        <v>45857</v>
      </c>
      <c r="X1196" s="97"/>
      <c r="Y1196" s="75">
        <v>333.51</v>
      </c>
    </row>
    <row r="1197" spans="1:25" x14ac:dyDescent="0.25">
      <c r="A1197" s="76">
        <v>1229</v>
      </c>
      <c r="B1197" s="2" t="s">
        <v>8713</v>
      </c>
      <c r="C1197" s="2" t="s">
        <v>8714</v>
      </c>
      <c r="D1197" s="2" t="s">
        <v>8715</v>
      </c>
      <c r="E1197" s="2" t="s">
        <v>8716</v>
      </c>
      <c r="F1197" s="2" t="s">
        <v>8717</v>
      </c>
      <c r="G1197" s="2" t="s">
        <v>282</v>
      </c>
      <c r="H1197" s="17">
        <v>25</v>
      </c>
      <c r="I1197" s="31">
        <f t="shared" si="120"/>
        <v>25000</v>
      </c>
      <c r="J1197" s="31">
        <f t="shared" si="121"/>
        <v>1750.0000000000002</v>
      </c>
      <c r="K1197" s="44">
        <f t="shared" si="122"/>
        <v>4.794520547945206</v>
      </c>
      <c r="L1197" s="3">
        <f t="shared" si="123"/>
        <v>354.79452054794524</v>
      </c>
      <c r="M1197" s="3">
        <f t="shared" si="124"/>
        <v>21.287671232876715</v>
      </c>
      <c r="N1197" s="67">
        <f t="shared" si="125"/>
        <v>333.50684931506851</v>
      </c>
      <c r="O1197" s="3"/>
      <c r="P1197" s="70" t="s">
        <v>18628</v>
      </c>
      <c r="Q1197" s="2" t="s">
        <v>1117</v>
      </c>
      <c r="R1197" s="2" t="s">
        <v>8718</v>
      </c>
      <c r="T1197" t="s">
        <v>18666</v>
      </c>
      <c r="U1197" t="s">
        <v>18652</v>
      </c>
      <c r="V1197" s="104">
        <v>45857</v>
      </c>
      <c r="X1197" s="97"/>
      <c r="Y1197" s="75">
        <v>333.51</v>
      </c>
    </row>
    <row r="1198" spans="1:25" x14ac:dyDescent="0.25">
      <c r="A1198" s="76">
        <v>1230</v>
      </c>
      <c r="B1198" s="2" t="s">
        <v>1462</v>
      </c>
      <c r="C1198" s="2" t="s">
        <v>1463</v>
      </c>
      <c r="D1198" s="2" t="s">
        <v>1464</v>
      </c>
      <c r="E1198" s="2" t="s">
        <v>1465</v>
      </c>
      <c r="F1198" s="2" t="s">
        <v>1466</v>
      </c>
      <c r="G1198" s="2" t="s">
        <v>296</v>
      </c>
      <c r="H1198" s="17">
        <v>25</v>
      </c>
      <c r="I1198" s="31">
        <f t="shared" si="120"/>
        <v>25000</v>
      </c>
      <c r="J1198" s="31">
        <f t="shared" si="121"/>
        <v>1750.0000000000002</v>
      </c>
      <c r="K1198" s="44">
        <f t="shared" si="122"/>
        <v>4.794520547945206</v>
      </c>
      <c r="L1198" s="3">
        <f t="shared" si="123"/>
        <v>354.79452054794524</v>
      </c>
      <c r="M1198" s="3">
        <f t="shared" si="124"/>
        <v>21.287671232876715</v>
      </c>
      <c r="N1198" s="67">
        <f t="shared" si="125"/>
        <v>333.50684931506851</v>
      </c>
      <c r="O1198" s="3"/>
      <c r="P1198" s="70" t="s">
        <v>18628</v>
      </c>
      <c r="Q1198" s="2" t="s">
        <v>1117</v>
      </c>
      <c r="R1198" s="2" t="s">
        <v>1467</v>
      </c>
      <c r="T1198" t="s">
        <v>18666</v>
      </c>
      <c r="U1198" t="s">
        <v>18652</v>
      </c>
      <c r="V1198" s="104">
        <v>45857</v>
      </c>
      <c r="X1198" s="97"/>
      <c r="Y1198" s="75">
        <v>333.51</v>
      </c>
    </row>
    <row r="1199" spans="1:25" x14ac:dyDescent="0.25">
      <c r="A1199" s="76">
        <v>1231</v>
      </c>
      <c r="B1199" s="2" t="s">
        <v>5178</v>
      </c>
      <c r="C1199" s="2" t="s">
        <v>5179</v>
      </c>
      <c r="D1199" s="2" t="s">
        <v>5180</v>
      </c>
      <c r="E1199" s="2" t="s">
        <v>5181</v>
      </c>
      <c r="F1199" s="2" t="s">
        <v>5182</v>
      </c>
      <c r="G1199" s="2" t="s">
        <v>31</v>
      </c>
      <c r="H1199" s="17">
        <v>25</v>
      </c>
      <c r="I1199" s="31">
        <f t="shared" si="120"/>
        <v>25000</v>
      </c>
      <c r="J1199" s="31">
        <f t="shared" si="121"/>
        <v>1750.0000000000002</v>
      </c>
      <c r="K1199" s="44">
        <f t="shared" si="122"/>
        <v>4.794520547945206</v>
      </c>
      <c r="L1199" s="3">
        <f t="shared" si="123"/>
        <v>354.79452054794524</v>
      </c>
      <c r="M1199" s="3">
        <f t="shared" si="124"/>
        <v>21.287671232876715</v>
      </c>
      <c r="N1199" s="67">
        <f t="shared" si="125"/>
        <v>333.50684931506851</v>
      </c>
      <c r="O1199" s="3"/>
      <c r="P1199" s="70" t="s">
        <v>18628</v>
      </c>
      <c r="Q1199" s="2" t="s">
        <v>1117</v>
      </c>
      <c r="R1199" s="2" t="s">
        <v>5183</v>
      </c>
      <c r="T1199" t="s">
        <v>18666</v>
      </c>
      <c r="U1199" t="s">
        <v>18652</v>
      </c>
      <c r="V1199" s="104">
        <v>45857</v>
      </c>
      <c r="X1199" s="97"/>
      <c r="Y1199" s="75">
        <v>333.51</v>
      </c>
    </row>
    <row r="1200" spans="1:25" x14ac:dyDescent="0.25">
      <c r="A1200" s="76">
        <v>1232</v>
      </c>
      <c r="B1200" s="2" t="s">
        <v>7079</v>
      </c>
      <c r="C1200" s="2" t="s">
        <v>7080</v>
      </c>
      <c r="D1200" s="2" t="s">
        <v>7081</v>
      </c>
      <c r="E1200" s="2" t="s">
        <v>7082</v>
      </c>
      <c r="F1200" s="2" t="s">
        <v>7083</v>
      </c>
      <c r="G1200" s="2" t="s">
        <v>268</v>
      </c>
      <c r="H1200" s="17">
        <v>50</v>
      </c>
      <c r="I1200" s="31">
        <f t="shared" si="120"/>
        <v>50000</v>
      </c>
      <c r="J1200" s="31">
        <f t="shared" si="121"/>
        <v>3500.0000000000005</v>
      </c>
      <c r="K1200" s="44">
        <f t="shared" si="122"/>
        <v>9.589041095890412</v>
      </c>
      <c r="L1200" s="3">
        <f t="shared" si="123"/>
        <v>709.58904109589048</v>
      </c>
      <c r="M1200" s="3">
        <f t="shared" si="124"/>
        <v>42.57534246575343</v>
      </c>
      <c r="N1200" s="67">
        <f t="shared" si="125"/>
        <v>667.01369863013701</v>
      </c>
      <c r="O1200" s="3"/>
      <c r="P1200" s="70" t="s">
        <v>18628</v>
      </c>
      <c r="Q1200" s="2" t="s">
        <v>1117</v>
      </c>
      <c r="R1200" s="2" t="s">
        <v>7084</v>
      </c>
      <c r="T1200" t="s">
        <v>18666</v>
      </c>
      <c r="U1200" t="s">
        <v>18652</v>
      </c>
      <c r="V1200" s="104">
        <v>45857</v>
      </c>
      <c r="X1200" s="97"/>
      <c r="Y1200" s="75">
        <v>667.02</v>
      </c>
    </row>
    <row r="1201" spans="1:25" x14ac:dyDescent="0.25">
      <c r="A1201" s="76">
        <v>1233</v>
      </c>
      <c r="B1201" s="2" t="s">
        <v>11903</v>
      </c>
      <c r="C1201" s="2" t="s">
        <v>11904</v>
      </c>
      <c r="D1201" s="2" t="s">
        <v>11905</v>
      </c>
      <c r="E1201" s="2" t="s">
        <v>11906</v>
      </c>
      <c r="F1201" s="2" t="s">
        <v>11907</v>
      </c>
      <c r="G1201" s="2" t="s">
        <v>412</v>
      </c>
      <c r="H1201" s="17">
        <v>25</v>
      </c>
      <c r="I1201" s="31">
        <f t="shared" si="120"/>
        <v>25000</v>
      </c>
      <c r="J1201" s="31">
        <f t="shared" si="121"/>
        <v>1750.0000000000002</v>
      </c>
      <c r="K1201" s="44">
        <f t="shared" si="122"/>
        <v>4.794520547945206</v>
      </c>
      <c r="L1201" s="3">
        <f t="shared" si="123"/>
        <v>354.79452054794524</v>
      </c>
      <c r="M1201" s="3">
        <f t="shared" si="124"/>
        <v>21.287671232876715</v>
      </c>
      <c r="N1201" s="67">
        <f t="shared" si="125"/>
        <v>333.50684931506851</v>
      </c>
      <c r="O1201" s="3"/>
      <c r="P1201" s="70" t="s">
        <v>18628</v>
      </c>
      <c r="Q1201" s="2" t="s">
        <v>1117</v>
      </c>
      <c r="R1201" s="2" t="s">
        <v>11908</v>
      </c>
      <c r="T1201" t="s">
        <v>18666</v>
      </c>
      <c r="U1201" t="s">
        <v>18652</v>
      </c>
      <c r="V1201" s="104">
        <v>45857</v>
      </c>
      <c r="X1201" s="97"/>
      <c r="Y1201" s="75">
        <v>333.51</v>
      </c>
    </row>
    <row r="1202" spans="1:25" x14ac:dyDescent="0.25">
      <c r="A1202" s="76">
        <v>1234</v>
      </c>
      <c r="B1202" s="2" t="s">
        <v>3009</v>
      </c>
      <c r="C1202" s="2" t="s">
        <v>3010</v>
      </c>
      <c r="D1202" s="2" t="s">
        <v>3011</v>
      </c>
      <c r="E1202" s="2" t="s">
        <v>3012</v>
      </c>
      <c r="F1202" s="2" t="s">
        <v>3013</v>
      </c>
      <c r="G1202" s="2" t="s">
        <v>524</v>
      </c>
      <c r="H1202" s="17">
        <v>25</v>
      </c>
      <c r="I1202" s="31">
        <f t="shared" si="120"/>
        <v>25000</v>
      </c>
      <c r="J1202" s="31">
        <f t="shared" si="121"/>
        <v>1750.0000000000002</v>
      </c>
      <c r="K1202" s="44">
        <f t="shared" si="122"/>
        <v>4.794520547945206</v>
      </c>
      <c r="L1202" s="3">
        <f t="shared" si="123"/>
        <v>354.79452054794524</v>
      </c>
      <c r="M1202" s="3">
        <f t="shared" si="124"/>
        <v>21.287671232876715</v>
      </c>
      <c r="N1202" s="67">
        <f t="shared" si="125"/>
        <v>333.50684931506851</v>
      </c>
      <c r="O1202" s="3"/>
      <c r="P1202" s="70" t="s">
        <v>18628</v>
      </c>
      <c r="Q1202" s="2" t="s">
        <v>1117</v>
      </c>
      <c r="R1202" s="2" t="s">
        <v>3014</v>
      </c>
      <c r="T1202" t="s">
        <v>18666</v>
      </c>
      <c r="U1202" t="s">
        <v>18652</v>
      </c>
      <c r="V1202" s="104">
        <v>45857</v>
      </c>
      <c r="X1202" s="97"/>
      <c r="Y1202" s="75">
        <v>333.51</v>
      </c>
    </row>
    <row r="1203" spans="1:25" x14ac:dyDescent="0.25">
      <c r="A1203" s="76">
        <v>1235</v>
      </c>
      <c r="B1203" s="2" t="s">
        <v>6235</v>
      </c>
      <c r="C1203" s="2" t="s">
        <v>6236</v>
      </c>
      <c r="D1203" s="2" t="s">
        <v>6237</v>
      </c>
      <c r="E1203" s="2" t="s">
        <v>6238</v>
      </c>
      <c r="F1203" s="2" t="s">
        <v>6239</v>
      </c>
      <c r="G1203" s="2" t="s">
        <v>2571</v>
      </c>
      <c r="H1203" s="17">
        <v>100</v>
      </c>
      <c r="I1203" s="31">
        <f t="shared" si="120"/>
        <v>100000</v>
      </c>
      <c r="J1203" s="31">
        <f t="shared" si="121"/>
        <v>7000.0000000000009</v>
      </c>
      <c r="K1203" s="44">
        <f t="shared" si="122"/>
        <v>19.178082191780824</v>
      </c>
      <c r="L1203" s="3">
        <f t="shared" si="123"/>
        <v>1419.178082191781</v>
      </c>
      <c r="M1203" s="3">
        <f t="shared" si="124"/>
        <v>85.150684931506859</v>
      </c>
      <c r="N1203" s="67">
        <f t="shared" si="125"/>
        <v>1334.027397260274</v>
      </c>
      <c r="O1203" s="3"/>
      <c r="P1203" s="70" t="s">
        <v>18628</v>
      </c>
      <c r="Q1203" s="2" t="s">
        <v>1117</v>
      </c>
      <c r="R1203" s="2" t="s">
        <v>6240</v>
      </c>
      <c r="T1203" t="s">
        <v>18666</v>
      </c>
      <c r="U1203" t="s">
        <v>18652</v>
      </c>
      <c r="V1203" s="104">
        <v>45857</v>
      </c>
      <c r="X1203" s="97"/>
      <c r="Y1203" s="75">
        <v>1334.03</v>
      </c>
    </row>
    <row r="1204" spans="1:25" x14ac:dyDescent="0.25">
      <c r="A1204" s="76">
        <v>1236</v>
      </c>
      <c r="B1204" s="2" t="s">
        <v>14244</v>
      </c>
      <c r="C1204" s="2" t="s">
        <v>14245</v>
      </c>
      <c r="D1204" s="2" t="s">
        <v>14246</v>
      </c>
      <c r="E1204" s="2" t="s">
        <v>14247</v>
      </c>
      <c r="F1204" s="2" t="s">
        <v>14248</v>
      </c>
      <c r="G1204" s="2" t="s">
        <v>31</v>
      </c>
      <c r="H1204" s="17">
        <v>200</v>
      </c>
      <c r="I1204" s="31">
        <f t="shared" si="120"/>
        <v>200000</v>
      </c>
      <c r="J1204" s="31">
        <f t="shared" si="121"/>
        <v>14000.000000000002</v>
      </c>
      <c r="K1204" s="44">
        <f t="shared" si="122"/>
        <v>38.356164383561648</v>
      </c>
      <c r="L1204" s="3">
        <f t="shared" si="123"/>
        <v>2838.3561643835619</v>
      </c>
      <c r="M1204" s="3">
        <f t="shared" si="124"/>
        <v>170.30136986301372</v>
      </c>
      <c r="N1204" s="67">
        <f t="shared" si="125"/>
        <v>2668.0547945205481</v>
      </c>
      <c r="O1204" s="3"/>
      <c r="P1204" s="70" t="s">
        <v>18628</v>
      </c>
      <c r="Q1204" s="2" t="s">
        <v>1117</v>
      </c>
      <c r="R1204" s="2" t="s">
        <v>14249</v>
      </c>
      <c r="T1204" t="s">
        <v>18666</v>
      </c>
      <c r="U1204" t="s">
        <v>18652</v>
      </c>
      <c r="V1204" s="104">
        <v>45857</v>
      </c>
      <c r="X1204" s="97"/>
      <c r="Y1204" s="75">
        <v>2668.0600000000004</v>
      </c>
    </row>
    <row r="1205" spans="1:25" x14ac:dyDescent="0.25">
      <c r="A1205" s="76">
        <v>1237</v>
      </c>
      <c r="B1205" s="2" t="s">
        <v>2816</v>
      </c>
      <c r="C1205" s="2" t="s">
        <v>2817</v>
      </c>
      <c r="D1205" s="2" t="s">
        <v>2818</v>
      </c>
      <c r="E1205" s="2" t="s">
        <v>2819</v>
      </c>
      <c r="F1205" s="2" t="s">
        <v>2820</v>
      </c>
      <c r="G1205" s="2" t="s">
        <v>144</v>
      </c>
      <c r="H1205" s="17">
        <v>50</v>
      </c>
      <c r="I1205" s="31">
        <f t="shared" si="120"/>
        <v>50000</v>
      </c>
      <c r="J1205" s="31">
        <f t="shared" si="121"/>
        <v>3500.0000000000005</v>
      </c>
      <c r="K1205" s="44">
        <f t="shared" si="122"/>
        <v>9.589041095890412</v>
      </c>
      <c r="L1205" s="3">
        <f t="shared" si="123"/>
        <v>709.58904109589048</v>
      </c>
      <c r="M1205" s="3">
        <f t="shared" si="124"/>
        <v>42.57534246575343</v>
      </c>
      <c r="N1205" s="67">
        <f t="shared" si="125"/>
        <v>667.01369863013701</v>
      </c>
      <c r="O1205" s="3"/>
      <c r="P1205" s="70" t="s">
        <v>18628</v>
      </c>
      <c r="Q1205" s="2" t="s">
        <v>1117</v>
      </c>
      <c r="R1205" s="2" t="s">
        <v>2821</v>
      </c>
      <c r="T1205" t="s">
        <v>18666</v>
      </c>
      <c r="U1205" t="s">
        <v>18652</v>
      </c>
      <c r="V1205" s="104">
        <v>45857</v>
      </c>
      <c r="X1205" s="97"/>
      <c r="Y1205" s="75">
        <v>667.02</v>
      </c>
    </row>
    <row r="1206" spans="1:25" x14ac:dyDescent="0.25">
      <c r="A1206" s="76">
        <v>1238</v>
      </c>
      <c r="B1206" s="2" t="s">
        <v>8528</v>
      </c>
      <c r="C1206" s="2" t="s">
        <v>8529</v>
      </c>
      <c r="D1206" s="2" t="s">
        <v>8530</v>
      </c>
      <c r="E1206" s="2" t="s">
        <v>8531</v>
      </c>
      <c r="F1206" s="2" t="s">
        <v>8532</v>
      </c>
      <c r="G1206" s="2" t="s">
        <v>296</v>
      </c>
      <c r="H1206" s="17">
        <v>50</v>
      </c>
      <c r="I1206" s="31">
        <f t="shared" si="120"/>
        <v>50000</v>
      </c>
      <c r="J1206" s="31">
        <f t="shared" si="121"/>
        <v>3500.0000000000005</v>
      </c>
      <c r="K1206" s="44">
        <f t="shared" si="122"/>
        <v>9.589041095890412</v>
      </c>
      <c r="L1206" s="3">
        <f t="shared" si="123"/>
        <v>709.58904109589048</v>
      </c>
      <c r="M1206" s="3">
        <f t="shared" si="124"/>
        <v>42.57534246575343</v>
      </c>
      <c r="N1206" s="67">
        <f t="shared" si="125"/>
        <v>667.01369863013701</v>
      </c>
      <c r="O1206" s="3"/>
      <c r="P1206" s="70" t="s">
        <v>18628</v>
      </c>
      <c r="Q1206" s="2" t="s">
        <v>1117</v>
      </c>
      <c r="R1206" s="2" t="s">
        <v>8533</v>
      </c>
      <c r="T1206" t="s">
        <v>18666</v>
      </c>
      <c r="U1206" t="s">
        <v>18652</v>
      </c>
      <c r="V1206" s="104">
        <v>45857</v>
      </c>
      <c r="X1206" s="97"/>
      <c r="Y1206" s="75">
        <v>667.02</v>
      </c>
    </row>
    <row r="1207" spans="1:25" x14ac:dyDescent="0.25">
      <c r="A1207" s="76">
        <v>1239</v>
      </c>
      <c r="B1207" s="2" t="s">
        <v>9909</v>
      </c>
      <c r="C1207" s="2" t="s">
        <v>9910</v>
      </c>
      <c r="D1207" s="2" t="s">
        <v>9911</v>
      </c>
      <c r="E1207" s="2" t="s">
        <v>9912</v>
      </c>
      <c r="F1207" s="2" t="s">
        <v>9913</v>
      </c>
      <c r="G1207" s="2" t="s">
        <v>31</v>
      </c>
      <c r="H1207" s="17">
        <v>26</v>
      </c>
      <c r="I1207" s="31">
        <f t="shared" si="120"/>
        <v>26000</v>
      </c>
      <c r="J1207" s="31">
        <f t="shared" si="121"/>
        <v>1820.0000000000002</v>
      </c>
      <c r="K1207" s="44">
        <f t="shared" si="122"/>
        <v>4.9863013698630141</v>
      </c>
      <c r="L1207" s="3">
        <f t="shared" si="123"/>
        <v>368.98630136986304</v>
      </c>
      <c r="M1207" s="3">
        <f t="shared" si="124"/>
        <v>22.139178082191783</v>
      </c>
      <c r="N1207" s="67">
        <f t="shared" si="125"/>
        <v>346.84712328767125</v>
      </c>
      <c r="O1207" s="3"/>
      <c r="P1207" s="70" t="s">
        <v>18628</v>
      </c>
      <c r="Q1207" s="2" t="s">
        <v>1117</v>
      </c>
      <c r="R1207" s="2" t="s">
        <v>9914</v>
      </c>
      <c r="T1207" t="s">
        <v>18666</v>
      </c>
      <c r="U1207" t="s">
        <v>18652</v>
      </c>
      <c r="V1207" s="104">
        <v>45857</v>
      </c>
      <c r="X1207" s="97"/>
      <c r="Y1207" s="75">
        <v>346.84999999999997</v>
      </c>
    </row>
    <row r="1208" spans="1:25" x14ac:dyDescent="0.25">
      <c r="A1208" s="76">
        <v>1240</v>
      </c>
      <c r="B1208" s="2" t="s">
        <v>11051</v>
      </c>
      <c r="C1208" s="2" t="s">
        <v>11052</v>
      </c>
      <c r="D1208" s="2" t="s">
        <v>10959</v>
      </c>
      <c r="E1208" s="2" t="s">
        <v>10960</v>
      </c>
      <c r="F1208" s="2" t="s">
        <v>11053</v>
      </c>
      <c r="G1208" s="2" t="s">
        <v>31</v>
      </c>
      <c r="H1208" s="17">
        <v>230</v>
      </c>
      <c r="I1208" s="31">
        <f t="shared" si="120"/>
        <v>230000</v>
      </c>
      <c r="J1208" s="31">
        <f t="shared" si="121"/>
        <v>16100.000000000002</v>
      </c>
      <c r="K1208" s="44">
        <f t="shared" si="122"/>
        <v>44.109589041095894</v>
      </c>
      <c r="L1208" s="3">
        <f t="shared" si="123"/>
        <v>3264.1095890410961</v>
      </c>
      <c r="M1208" s="3">
        <f t="shared" si="124"/>
        <v>195.84657534246577</v>
      </c>
      <c r="N1208" s="67">
        <f t="shared" si="125"/>
        <v>3068.2630136986304</v>
      </c>
      <c r="O1208" s="3"/>
      <c r="P1208" s="70" t="s">
        <v>18628</v>
      </c>
      <c r="Q1208" s="2" t="s">
        <v>1117</v>
      </c>
      <c r="R1208" s="2" t="s">
        <v>11054</v>
      </c>
      <c r="T1208" t="s">
        <v>18666</v>
      </c>
      <c r="U1208" t="s">
        <v>18652</v>
      </c>
      <c r="V1208" s="104">
        <v>45857</v>
      </c>
      <c r="X1208" s="97"/>
      <c r="Y1208" s="75">
        <v>3068.2700000000004</v>
      </c>
    </row>
    <row r="1209" spans="1:25" x14ac:dyDescent="0.25">
      <c r="A1209" s="76">
        <v>1241</v>
      </c>
      <c r="B1209" s="2" t="s">
        <v>13147</v>
      </c>
      <c r="C1209" s="2" t="s">
        <v>13148</v>
      </c>
      <c r="D1209" s="2" t="s">
        <v>10959</v>
      </c>
      <c r="E1209" s="2" t="s">
        <v>10960</v>
      </c>
      <c r="F1209" s="2" t="s">
        <v>13149</v>
      </c>
      <c r="G1209" s="2" t="s">
        <v>31</v>
      </c>
      <c r="H1209" s="17">
        <v>200</v>
      </c>
      <c r="I1209" s="31">
        <f t="shared" si="120"/>
        <v>200000</v>
      </c>
      <c r="J1209" s="31">
        <f t="shared" si="121"/>
        <v>14000.000000000002</v>
      </c>
      <c r="K1209" s="44">
        <f t="shared" si="122"/>
        <v>38.356164383561648</v>
      </c>
      <c r="L1209" s="3">
        <f t="shared" si="123"/>
        <v>2838.3561643835619</v>
      </c>
      <c r="M1209" s="3">
        <f t="shared" si="124"/>
        <v>170.30136986301372</v>
      </c>
      <c r="N1209" s="67">
        <f t="shared" si="125"/>
        <v>2668.0547945205481</v>
      </c>
      <c r="O1209" s="3"/>
      <c r="P1209" s="70" t="s">
        <v>18628</v>
      </c>
      <c r="Q1209" s="2" t="s">
        <v>1117</v>
      </c>
      <c r="R1209" s="2" t="s">
        <v>13150</v>
      </c>
      <c r="T1209" t="s">
        <v>18666</v>
      </c>
      <c r="U1209" t="s">
        <v>18652</v>
      </c>
      <c r="V1209" s="104">
        <v>45857</v>
      </c>
      <c r="X1209" s="97"/>
      <c r="Y1209" s="75">
        <v>2668.0600000000004</v>
      </c>
    </row>
    <row r="1210" spans="1:25" x14ac:dyDescent="0.25">
      <c r="A1210" s="76">
        <v>1242</v>
      </c>
      <c r="B1210" s="2" t="s">
        <v>17643</v>
      </c>
      <c r="C1210" s="2" t="s">
        <v>17644</v>
      </c>
      <c r="D1210" s="2" t="s">
        <v>17645</v>
      </c>
      <c r="E1210" s="2" t="s">
        <v>17646</v>
      </c>
      <c r="F1210" s="2" t="s">
        <v>17647</v>
      </c>
      <c r="G1210" s="2" t="s">
        <v>31</v>
      </c>
      <c r="H1210" s="17">
        <v>25</v>
      </c>
      <c r="I1210" s="31">
        <f t="shared" si="120"/>
        <v>25000</v>
      </c>
      <c r="J1210" s="31">
        <f t="shared" si="121"/>
        <v>1750.0000000000002</v>
      </c>
      <c r="K1210" s="44">
        <f t="shared" si="122"/>
        <v>4.794520547945206</v>
      </c>
      <c r="L1210" s="3">
        <f t="shared" si="123"/>
        <v>354.79452054794524</v>
      </c>
      <c r="M1210" s="3">
        <f t="shared" si="124"/>
        <v>21.287671232876715</v>
      </c>
      <c r="N1210" s="67">
        <f t="shared" si="125"/>
        <v>333.50684931506851</v>
      </c>
      <c r="O1210" s="3"/>
      <c r="P1210" s="70" t="s">
        <v>18628</v>
      </c>
      <c r="Q1210" s="2" t="s">
        <v>1117</v>
      </c>
      <c r="R1210" s="2" t="s">
        <v>17648</v>
      </c>
      <c r="T1210" t="s">
        <v>18666</v>
      </c>
      <c r="U1210" t="s">
        <v>18652</v>
      </c>
      <c r="V1210" s="104">
        <v>45857</v>
      </c>
      <c r="X1210" s="97"/>
      <c r="Y1210" s="75">
        <v>333.51</v>
      </c>
    </row>
    <row r="1211" spans="1:25" x14ac:dyDescent="0.25">
      <c r="A1211" s="76">
        <v>1243</v>
      </c>
      <c r="B1211" s="2" t="s">
        <v>2926</v>
      </c>
      <c r="C1211" s="2" t="s">
        <v>2927</v>
      </c>
      <c r="D1211" s="2" t="s">
        <v>2928</v>
      </c>
      <c r="E1211" s="2" t="s">
        <v>2905</v>
      </c>
      <c r="F1211" s="2" t="s">
        <v>2929</v>
      </c>
      <c r="G1211" s="2" t="s">
        <v>31</v>
      </c>
      <c r="H1211" s="17">
        <v>35</v>
      </c>
      <c r="I1211" s="31">
        <f t="shared" si="120"/>
        <v>35000</v>
      </c>
      <c r="J1211" s="31">
        <f t="shared" si="121"/>
        <v>2450.0000000000005</v>
      </c>
      <c r="K1211" s="44">
        <f t="shared" si="122"/>
        <v>6.7123287671232887</v>
      </c>
      <c r="L1211" s="3">
        <f t="shared" si="123"/>
        <v>496.71232876712338</v>
      </c>
      <c r="M1211" s="3">
        <f t="shared" si="124"/>
        <v>29.802739726027401</v>
      </c>
      <c r="N1211" s="67">
        <f t="shared" si="125"/>
        <v>466.90958904109596</v>
      </c>
      <c r="O1211" s="3"/>
      <c r="P1211" s="70" t="s">
        <v>18628</v>
      </c>
      <c r="Q1211" s="2" t="s">
        <v>1117</v>
      </c>
      <c r="R1211" s="2" t="s">
        <v>2930</v>
      </c>
      <c r="T1211" t="s">
        <v>18666</v>
      </c>
      <c r="U1211" t="s">
        <v>18652</v>
      </c>
      <c r="V1211" s="104">
        <v>45857</v>
      </c>
      <c r="X1211" s="97"/>
      <c r="Y1211" s="75">
        <v>466.90999999999997</v>
      </c>
    </row>
    <row r="1212" spans="1:25" x14ac:dyDescent="0.25">
      <c r="A1212" s="76">
        <v>1244</v>
      </c>
      <c r="B1212" s="2" t="s">
        <v>9230</v>
      </c>
      <c r="C1212" s="2" t="s">
        <v>9231</v>
      </c>
      <c r="D1212" s="2" t="s">
        <v>9232</v>
      </c>
      <c r="E1212" s="2" t="s">
        <v>9233</v>
      </c>
      <c r="F1212" s="2" t="s">
        <v>9234</v>
      </c>
      <c r="G1212" s="2" t="s">
        <v>31</v>
      </c>
      <c r="H1212" s="17">
        <v>100</v>
      </c>
      <c r="I1212" s="31">
        <f t="shared" si="120"/>
        <v>100000</v>
      </c>
      <c r="J1212" s="31">
        <f t="shared" si="121"/>
        <v>7000.0000000000009</v>
      </c>
      <c r="K1212" s="44">
        <f t="shared" si="122"/>
        <v>19.178082191780824</v>
      </c>
      <c r="L1212" s="3">
        <f t="shared" si="123"/>
        <v>1419.178082191781</v>
      </c>
      <c r="M1212" s="3">
        <f t="shared" si="124"/>
        <v>85.150684931506859</v>
      </c>
      <c r="N1212" s="67">
        <f t="shared" si="125"/>
        <v>1334.027397260274</v>
      </c>
      <c r="O1212" s="3"/>
      <c r="P1212" s="70" t="s">
        <v>18628</v>
      </c>
      <c r="Q1212" s="2" t="s">
        <v>1117</v>
      </c>
      <c r="R1212" s="2" t="s">
        <v>9235</v>
      </c>
      <c r="T1212" t="s">
        <v>18666</v>
      </c>
      <c r="U1212" t="s">
        <v>18652</v>
      </c>
      <c r="V1212" s="104">
        <v>45857</v>
      </c>
      <c r="X1212" s="97"/>
      <c r="Y1212" s="75">
        <v>1334.03</v>
      </c>
    </row>
    <row r="1213" spans="1:25" x14ac:dyDescent="0.25">
      <c r="A1213" s="76">
        <v>1245</v>
      </c>
      <c r="B1213" s="2" t="s">
        <v>6241</v>
      </c>
      <c r="C1213" s="2" t="s">
        <v>6242</v>
      </c>
      <c r="D1213" s="2" t="s">
        <v>6243</v>
      </c>
      <c r="E1213" s="2" t="s">
        <v>6244</v>
      </c>
      <c r="F1213" s="2" t="s">
        <v>6245</v>
      </c>
      <c r="G1213" s="2" t="s">
        <v>186</v>
      </c>
      <c r="H1213" s="17">
        <v>25</v>
      </c>
      <c r="I1213" s="31">
        <f t="shared" si="120"/>
        <v>25000</v>
      </c>
      <c r="J1213" s="31">
        <f t="shared" si="121"/>
        <v>1750.0000000000002</v>
      </c>
      <c r="K1213" s="44">
        <f t="shared" si="122"/>
        <v>4.794520547945206</v>
      </c>
      <c r="L1213" s="3">
        <f t="shared" si="123"/>
        <v>354.79452054794524</v>
      </c>
      <c r="M1213" s="3">
        <f t="shared" si="124"/>
        <v>21.287671232876715</v>
      </c>
      <c r="N1213" s="67">
        <f t="shared" si="125"/>
        <v>333.50684931506851</v>
      </c>
      <c r="O1213" s="3"/>
      <c r="P1213" s="70" t="s">
        <v>18629</v>
      </c>
      <c r="Q1213" s="2" t="s">
        <v>283</v>
      </c>
      <c r="R1213" s="2" t="s">
        <v>6246</v>
      </c>
      <c r="T1213" t="s">
        <v>18666</v>
      </c>
      <c r="U1213" t="s">
        <v>18652</v>
      </c>
      <c r="V1213" s="104">
        <v>45857</v>
      </c>
      <c r="X1213" s="97"/>
      <c r="Y1213" s="75">
        <v>333.51</v>
      </c>
    </row>
    <row r="1214" spans="1:25" x14ac:dyDescent="0.25">
      <c r="A1214" s="76">
        <v>1246</v>
      </c>
      <c r="B1214" s="2" t="s">
        <v>298</v>
      </c>
      <c r="C1214" s="2" t="s">
        <v>299</v>
      </c>
      <c r="D1214" s="2" t="s">
        <v>300</v>
      </c>
      <c r="E1214" s="2" t="s">
        <v>301</v>
      </c>
      <c r="F1214" s="2" t="s">
        <v>302</v>
      </c>
      <c r="G1214" s="2" t="s">
        <v>282</v>
      </c>
      <c r="H1214" s="17">
        <v>25</v>
      </c>
      <c r="I1214" s="31">
        <f t="shared" si="120"/>
        <v>25000</v>
      </c>
      <c r="J1214" s="31">
        <f t="shared" si="121"/>
        <v>1750.0000000000002</v>
      </c>
      <c r="K1214" s="44">
        <f t="shared" si="122"/>
        <v>4.794520547945206</v>
      </c>
      <c r="L1214" s="3">
        <f t="shared" si="123"/>
        <v>354.79452054794524</v>
      </c>
      <c r="M1214" s="3">
        <f t="shared" si="124"/>
        <v>21.287671232876715</v>
      </c>
      <c r="N1214" s="67">
        <f t="shared" si="125"/>
        <v>333.50684931506851</v>
      </c>
      <c r="O1214" s="3"/>
      <c r="P1214" s="70" t="s">
        <v>18629</v>
      </c>
      <c r="Q1214" s="2" t="s">
        <v>283</v>
      </c>
      <c r="R1214" s="2" t="s">
        <v>303</v>
      </c>
      <c r="T1214" t="s">
        <v>18666</v>
      </c>
      <c r="U1214" t="s">
        <v>18652</v>
      </c>
      <c r="V1214" s="104">
        <v>45857</v>
      </c>
      <c r="X1214" s="97"/>
      <c r="Y1214" s="75">
        <v>333.51</v>
      </c>
    </row>
    <row r="1215" spans="1:25" x14ac:dyDescent="0.25">
      <c r="A1215" s="76">
        <v>1247</v>
      </c>
      <c r="B1215" s="2" t="s">
        <v>7821</v>
      </c>
      <c r="C1215" s="2" t="s">
        <v>7822</v>
      </c>
      <c r="D1215" s="2" t="s">
        <v>7823</v>
      </c>
      <c r="E1215" s="2" t="s">
        <v>7824</v>
      </c>
      <c r="F1215" s="2" t="s">
        <v>7825</v>
      </c>
      <c r="G1215" s="2" t="s">
        <v>750</v>
      </c>
      <c r="H1215" s="17">
        <v>25</v>
      </c>
      <c r="I1215" s="31">
        <f t="shared" si="120"/>
        <v>25000</v>
      </c>
      <c r="J1215" s="31">
        <f t="shared" si="121"/>
        <v>1750.0000000000002</v>
      </c>
      <c r="K1215" s="44">
        <f t="shared" si="122"/>
        <v>4.794520547945206</v>
      </c>
      <c r="L1215" s="3">
        <f t="shared" si="123"/>
        <v>354.79452054794524</v>
      </c>
      <c r="M1215" s="3">
        <f t="shared" si="124"/>
        <v>21.287671232876715</v>
      </c>
      <c r="N1215" s="67">
        <f t="shared" si="125"/>
        <v>333.50684931506851</v>
      </c>
      <c r="O1215" s="3"/>
      <c r="P1215" s="70" t="s">
        <v>18629</v>
      </c>
      <c r="Q1215" s="2" t="s">
        <v>283</v>
      </c>
      <c r="R1215" s="2" t="s">
        <v>7826</v>
      </c>
      <c r="T1215" t="s">
        <v>18666</v>
      </c>
      <c r="U1215" t="s">
        <v>18652</v>
      </c>
      <c r="V1215" s="104">
        <v>45857</v>
      </c>
      <c r="X1215" s="97"/>
      <c r="Y1215" s="75">
        <v>333.51</v>
      </c>
    </row>
    <row r="1216" spans="1:25" x14ac:dyDescent="0.25">
      <c r="A1216" s="76">
        <v>1248</v>
      </c>
      <c r="B1216" s="2" t="s">
        <v>2626</v>
      </c>
      <c r="C1216" s="2" t="s">
        <v>2627</v>
      </c>
      <c r="D1216" s="2" t="s">
        <v>2628</v>
      </c>
      <c r="E1216" s="2" t="s">
        <v>2629</v>
      </c>
      <c r="F1216" s="2" t="s">
        <v>2630</v>
      </c>
      <c r="G1216" s="2" t="s">
        <v>328</v>
      </c>
      <c r="H1216" s="17">
        <v>28</v>
      </c>
      <c r="I1216" s="31">
        <f t="shared" si="120"/>
        <v>28000</v>
      </c>
      <c r="J1216" s="31">
        <f t="shared" si="121"/>
        <v>1960.0000000000002</v>
      </c>
      <c r="K1216" s="44">
        <f t="shared" si="122"/>
        <v>5.3698630136986312</v>
      </c>
      <c r="L1216" s="3">
        <f t="shared" si="123"/>
        <v>397.3698630136987</v>
      </c>
      <c r="M1216" s="3">
        <f t="shared" si="124"/>
        <v>23.842191780821921</v>
      </c>
      <c r="N1216" s="67">
        <f t="shared" si="125"/>
        <v>373.5276712328768</v>
      </c>
      <c r="O1216" s="3"/>
      <c r="P1216" s="70" t="s">
        <v>18629</v>
      </c>
      <c r="Q1216" s="2" t="s">
        <v>283</v>
      </c>
      <c r="R1216" s="2" t="s">
        <v>2631</v>
      </c>
      <c r="T1216" t="s">
        <v>18666</v>
      </c>
      <c r="U1216" t="s">
        <v>18652</v>
      </c>
      <c r="V1216" s="104">
        <v>45857</v>
      </c>
      <c r="X1216" s="97"/>
      <c r="Y1216" s="75">
        <v>373.53</v>
      </c>
    </row>
    <row r="1217" spans="1:25" x14ac:dyDescent="0.25">
      <c r="A1217" s="76">
        <v>1249</v>
      </c>
      <c r="B1217" s="2" t="s">
        <v>5108</v>
      </c>
      <c r="C1217" s="2" t="s">
        <v>5109</v>
      </c>
      <c r="D1217" s="2" t="s">
        <v>5110</v>
      </c>
      <c r="E1217" s="2" t="s">
        <v>5111</v>
      </c>
      <c r="F1217" s="2" t="s">
        <v>5112</v>
      </c>
      <c r="G1217" s="2" t="s">
        <v>510</v>
      </c>
      <c r="H1217" s="17">
        <v>25</v>
      </c>
      <c r="I1217" s="31">
        <f t="shared" si="120"/>
        <v>25000</v>
      </c>
      <c r="J1217" s="31">
        <f t="shared" si="121"/>
        <v>1750.0000000000002</v>
      </c>
      <c r="K1217" s="44">
        <f t="shared" si="122"/>
        <v>4.794520547945206</v>
      </c>
      <c r="L1217" s="3">
        <f t="shared" si="123"/>
        <v>354.79452054794524</v>
      </c>
      <c r="M1217" s="3">
        <f t="shared" si="124"/>
        <v>21.287671232876715</v>
      </c>
      <c r="N1217" s="67">
        <f t="shared" si="125"/>
        <v>333.50684931506851</v>
      </c>
      <c r="O1217" s="3"/>
      <c r="P1217" s="70" t="s">
        <v>18629</v>
      </c>
      <c r="Q1217" s="2" t="s">
        <v>283</v>
      </c>
      <c r="R1217" s="2" t="s">
        <v>5113</v>
      </c>
      <c r="T1217" t="s">
        <v>18666</v>
      </c>
      <c r="U1217" t="s">
        <v>18652</v>
      </c>
      <c r="V1217" s="104">
        <v>45857</v>
      </c>
      <c r="X1217" s="97"/>
      <c r="Y1217" s="75">
        <v>333.51</v>
      </c>
    </row>
    <row r="1218" spans="1:25" x14ac:dyDescent="0.25">
      <c r="A1218" s="76">
        <v>1250</v>
      </c>
      <c r="B1218" s="2" t="s">
        <v>16862</v>
      </c>
      <c r="C1218" s="2" t="s">
        <v>16863</v>
      </c>
      <c r="D1218" s="2" t="s">
        <v>16864</v>
      </c>
      <c r="E1218" s="2" t="s">
        <v>16865</v>
      </c>
      <c r="F1218" s="2" t="s">
        <v>16866</v>
      </c>
      <c r="G1218" s="2" t="s">
        <v>166</v>
      </c>
      <c r="H1218" s="17">
        <v>50</v>
      </c>
      <c r="I1218" s="31">
        <f t="shared" si="120"/>
        <v>50000</v>
      </c>
      <c r="J1218" s="31">
        <f t="shared" si="121"/>
        <v>3500.0000000000005</v>
      </c>
      <c r="K1218" s="44">
        <f t="shared" si="122"/>
        <v>9.589041095890412</v>
      </c>
      <c r="L1218" s="3">
        <f t="shared" si="123"/>
        <v>709.58904109589048</v>
      </c>
      <c r="M1218" s="3">
        <f t="shared" si="124"/>
        <v>42.57534246575343</v>
      </c>
      <c r="N1218" s="67">
        <f t="shared" si="125"/>
        <v>667.01369863013701</v>
      </c>
      <c r="O1218" s="3"/>
      <c r="P1218" s="70" t="s">
        <v>18629</v>
      </c>
      <c r="Q1218" s="2" t="s">
        <v>283</v>
      </c>
      <c r="R1218" s="2" t="s">
        <v>16867</v>
      </c>
      <c r="T1218" t="s">
        <v>18666</v>
      </c>
      <c r="U1218" t="s">
        <v>18652</v>
      </c>
      <c r="V1218" s="104">
        <v>45857</v>
      </c>
      <c r="X1218" s="97"/>
      <c r="Y1218" s="75">
        <v>667.02</v>
      </c>
    </row>
    <row r="1219" spans="1:25" x14ac:dyDescent="0.25">
      <c r="A1219" s="76">
        <v>1251</v>
      </c>
      <c r="B1219" s="2" t="s">
        <v>15090</v>
      </c>
      <c r="C1219" s="2" t="s">
        <v>15091</v>
      </c>
      <c r="D1219" s="2" t="s">
        <v>15092</v>
      </c>
      <c r="E1219" s="2" t="s">
        <v>15093</v>
      </c>
      <c r="F1219" s="2" t="s">
        <v>15094</v>
      </c>
      <c r="G1219" s="2" t="s">
        <v>144</v>
      </c>
      <c r="H1219" s="17">
        <v>25</v>
      </c>
      <c r="I1219" s="31">
        <f t="shared" si="120"/>
        <v>25000</v>
      </c>
      <c r="J1219" s="31">
        <f t="shared" si="121"/>
        <v>1750.0000000000002</v>
      </c>
      <c r="K1219" s="44">
        <f t="shared" si="122"/>
        <v>4.794520547945206</v>
      </c>
      <c r="L1219" s="3">
        <f t="shared" si="123"/>
        <v>354.79452054794524</v>
      </c>
      <c r="M1219" s="3">
        <f t="shared" si="124"/>
        <v>21.287671232876715</v>
      </c>
      <c r="N1219" s="67">
        <f t="shared" si="125"/>
        <v>333.50684931506851</v>
      </c>
      <c r="O1219" s="3"/>
      <c r="P1219" s="70" t="s">
        <v>18629</v>
      </c>
      <c r="Q1219" s="2" t="s">
        <v>283</v>
      </c>
      <c r="R1219" s="2" t="s">
        <v>15095</v>
      </c>
      <c r="T1219" t="s">
        <v>18666</v>
      </c>
      <c r="U1219" t="s">
        <v>18652</v>
      </c>
      <c r="V1219" s="104">
        <v>45857</v>
      </c>
      <c r="X1219" s="97"/>
      <c r="Y1219" s="75">
        <v>333.51</v>
      </c>
    </row>
    <row r="1220" spans="1:25" x14ac:dyDescent="0.25">
      <c r="A1220" s="76">
        <v>1252</v>
      </c>
      <c r="B1220" s="2" t="s">
        <v>10880</v>
      </c>
      <c r="C1220" s="2" t="s">
        <v>10881</v>
      </c>
      <c r="D1220" s="2" t="s">
        <v>10882</v>
      </c>
      <c r="E1220" s="2" t="s">
        <v>10883</v>
      </c>
      <c r="F1220" s="2" t="s">
        <v>10884</v>
      </c>
      <c r="G1220" s="2" t="s">
        <v>2571</v>
      </c>
      <c r="H1220" s="17">
        <v>25</v>
      </c>
      <c r="I1220" s="31">
        <f t="shared" si="120"/>
        <v>25000</v>
      </c>
      <c r="J1220" s="31">
        <f t="shared" si="121"/>
        <v>1750.0000000000002</v>
      </c>
      <c r="K1220" s="44">
        <f t="shared" si="122"/>
        <v>4.794520547945206</v>
      </c>
      <c r="L1220" s="3">
        <f t="shared" si="123"/>
        <v>354.79452054794524</v>
      </c>
      <c r="M1220" s="3">
        <f t="shared" si="124"/>
        <v>21.287671232876715</v>
      </c>
      <c r="N1220" s="67">
        <f t="shared" si="125"/>
        <v>333.50684931506851</v>
      </c>
      <c r="O1220" s="3"/>
      <c r="P1220" s="70" t="s">
        <v>18629</v>
      </c>
      <c r="Q1220" s="2" t="s">
        <v>283</v>
      </c>
      <c r="R1220" s="2" t="s">
        <v>10885</v>
      </c>
      <c r="T1220" t="s">
        <v>18666</v>
      </c>
      <c r="U1220" t="s">
        <v>18652</v>
      </c>
      <c r="V1220" s="104">
        <v>45857</v>
      </c>
      <c r="X1220" s="97"/>
      <c r="Y1220" s="75">
        <v>333.51</v>
      </c>
    </row>
    <row r="1221" spans="1:25" x14ac:dyDescent="0.25">
      <c r="A1221" s="76">
        <v>1253</v>
      </c>
      <c r="B1221" s="2" t="s">
        <v>15583</v>
      </c>
      <c r="C1221" s="2" t="s">
        <v>15584</v>
      </c>
      <c r="D1221" s="2" t="s">
        <v>15585</v>
      </c>
      <c r="E1221" s="2" t="s">
        <v>15586</v>
      </c>
      <c r="F1221" s="2" t="s">
        <v>15587</v>
      </c>
      <c r="G1221" s="2" t="s">
        <v>233</v>
      </c>
      <c r="H1221" s="17">
        <v>25</v>
      </c>
      <c r="I1221" s="31">
        <f t="shared" si="120"/>
        <v>25000</v>
      </c>
      <c r="J1221" s="31">
        <f t="shared" si="121"/>
        <v>1750.0000000000002</v>
      </c>
      <c r="K1221" s="44">
        <f t="shared" si="122"/>
        <v>4.794520547945206</v>
      </c>
      <c r="L1221" s="3">
        <f t="shared" si="123"/>
        <v>354.79452054794524</v>
      </c>
      <c r="M1221" s="3">
        <f t="shared" si="124"/>
        <v>21.287671232876715</v>
      </c>
      <c r="N1221" s="67">
        <f t="shared" si="125"/>
        <v>333.50684931506851</v>
      </c>
      <c r="O1221" s="3"/>
      <c r="P1221" s="70" t="s">
        <v>18629</v>
      </c>
      <c r="Q1221" s="2" t="s">
        <v>283</v>
      </c>
      <c r="R1221" s="2" t="s">
        <v>15588</v>
      </c>
      <c r="T1221" t="s">
        <v>18666</v>
      </c>
      <c r="U1221" t="s">
        <v>18652</v>
      </c>
      <c r="V1221" s="104">
        <v>45857</v>
      </c>
      <c r="X1221" s="97"/>
      <c r="Y1221" s="75">
        <v>333.51</v>
      </c>
    </row>
    <row r="1222" spans="1:25" x14ac:dyDescent="0.25">
      <c r="A1222" s="76">
        <v>1254</v>
      </c>
      <c r="B1222" s="2" t="s">
        <v>17944</v>
      </c>
      <c r="C1222" s="2" t="s">
        <v>17945</v>
      </c>
      <c r="D1222" s="2" t="s">
        <v>17946</v>
      </c>
      <c r="E1222" s="2" t="s">
        <v>17947</v>
      </c>
      <c r="F1222" s="2" t="s">
        <v>17948</v>
      </c>
      <c r="G1222" s="2" t="s">
        <v>381</v>
      </c>
      <c r="H1222" s="17">
        <v>800</v>
      </c>
      <c r="I1222" s="31">
        <f t="shared" si="120"/>
        <v>800000</v>
      </c>
      <c r="J1222" s="31">
        <f t="shared" si="121"/>
        <v>56000.000000000007</v>
      </c>
      <c r="K1222" s="44">
        <f t="shared" si="122"/>
        <v>153.42465753424659</v>
      </c>
      <c r="L1222" s="3">
        <f t="shared" si="123"/>
        <v>11353.424657534248</v>
      </c>
      <c r="M1222" s="3">
        <f t="shared" si="124"/>
        <v>681.20547945205487</v>
      </c>
      <c r="N1222" s="67">
        <f t="shared" si="125"/>
        <v>10672.219178082192</v>
      </c>
      <c r="O1222" s="3"/>
      <c r="P1222" s="70" t="s">
        <v>18629</v>
      </c>
      <c r="Q1222" s="2" t="s">
        <v>283</v>
      </c>
      <c r="R1222" s="2" t="s">
        <v>17949</v>
      </c>
      <c r="T1222" t="s">
        <v>18666</v>
      </c>
      <c r="U1222" t="s">
        <v>18652</v>
      </c>
      <c r="V1222" s="104">
        <v>45857</v>
      </c>
      <c r="X1222" s="97"/>
      <c r="Y1222" s="75">
        <v>10672.22</v>
      </c>
    </row>
    <row r="1223" spans="1:25" x14ac:dyDescent="0.25">
      <c r="A1223" s="76">
        <v>1255</v>
      </c>
      <c r="B1223" s="2" t="s">
        <v>17387</v>
      </c>
      <c r="C1223" s="2" t="s">
        <v>17388</v>
      </c>
      <c r="D1223" s="2" t="s">
        <v>17389</v>
      </c>
      <c r="E1223" s="2" t="s">
        <v>17390</v>
      </c>
      <c r="F1223" s="2" t="s">
        <v>17391</v>
      </c>
      <c r="G1223" s="2" t="s">
        <v>296</v>
      </c>
      <c r="H1223" s="17">
        <v>25</v>
      </c>
      <c r="I1223" s="31">
        <f t="shared" si="120"/>
        <v>25000</v>
      </c>
      <c r="J1223" s="31">
        <f t="shared" si="121"/>
        <v>1750.0000000000002</v>
      </c>
      <c r="K1223" s="44">
        <f t="shared" si="122"/>
        <v>4.794520547945206</v>
      </c>
      <c r="L1223" s="3">
        <f t="shared" si="123"/>
        <v>354.79452054794524</v>
      </c>
      <c r="M1223" s="3">
        <f t="shared" si="124"/>
        <v>21.287671232876715</v>
      </c>
      <c r="N1223" s="67">
        <f t="shared" si="125"/>
        <v>333.50684931506851</v>
      </c>
      <c r="O1223" s="3"/>
      <c r="P1223" s="70" t="s">
        <v>18629</v>
      </c>
      <c r="Q1223" s="2" t="s">
        <v>283</v>
      </c>
      <c r="R1223" s="2" t="s">
        <v>17392</v>
      </c>
      <c r="T1223" t="s">
        <v>18666</v>
      </c>
      <c r="U1223" t="s">
        <v>18652</v>
      </c>
      <c r="V1223" s="104">
        <v>45857</v>
      </c>
      <c r="X1223" s="97"/>
      <c r="Y1223" s="75">
        <v>333.51</v>
      </c>
    </row>
    <row r="1224" spans="1:25" x14ac:dyDescent="0.25">
      <c r="A1224" s="76">
        <v>1256</v>
      </c>
      <c r="B1224" s="2" t="s">
        <v>15057</v>
      </c>
      <c r="C1224" s="2" t="s">
        <v>15058</v>
      </c>
      <c r="D1224" s="2" t="s">
        <v>15059</v>
      </c>
      <c r="E1224" s="2" t="s">
        <v>15060</v>
      </c>
      <c r="F1224" s="2" t="s">
        <v>15061</v>
      </c>
      <c r="G1224" s="2" t="s">
        <v>876</v>
      </c>
      <c r="H1224" s="17">
        <v>100</v>
      </c>
      <c r="I1224" s="31">
        <f t="shared" si="120"/>
        <v>100000</v>
      </c>
      <c r="J1224" s="31">
        <f t="shared" si="121"/>
        <v>7000.0000000000009</v>
      </c>
      <c r="K1224" s="44">
        <f t="shared" si="122"/>
        <v>19.178082191780824</v>
      </c>
      <c r="L1224" s="3">
        <f t="shared" si="123"/>
        <v>1419.178082191781</v>
      </c>
      <c r="M1224" s="3">
        <f t="shared" si="124"/>
        <v>85.150684931506859</v>
      </c>
      <c r="N1224" s="67">
        <f t="shared" si="125"/>
        <v>1334.027397260274</v>
      </c>
      <c r="O1224" s="3"/>
      <c r="P1224" s="70" t="s">
        <v>18629</v>
      </c>
      <c r="Q1224" s="2" t="s">
        <v>283</v>
      </c>
      <c r="R1224" s="2" t="s">
        <v>15062</v>
      </c>
      <c r="T1224" t="s">
        <v>18666</v>
      </c>
      <c r="U1224" t="s">
        <v>18652</v>
      </c>
      <c r="V1224" s="104">
        <v>45857</v>
      </c>
      <c r="X1224" s="97"/>
      <c r="Y1224" s="75">
        <v>1334.03</v>
      </c>
    </row>
    <row r="1225" spans="1:25" x14ac:dyDescent="0.25">
      <c r="A1225" s="76">
        <v>1257</v>
      </c>
      <c r="B1225" s="2" t="s">
        <v>16961</v>
      </c>
      <c r="C1225" s="2" t="s">
        <v>16962</v>
      </c>
      <c r="D1225" s="2" t="s">
        <v>16963</v>
      </c>
      <c r="E1225" s="2" t="s">
        <v>16964</v>
      </c>
      <c r="F1225" s="2" t="s">
        <v>16965</v>
      </c>
      <c r="G1225" s="2" t="s">
        <v>1136</v>
      </c>
      <c r="H1225" s="17">
        <v>25</v>
      </c>
      <c r="I1225" s="31">
        <f t="shared" si="120"/>
        <v>25000</v>
      </c>
      <c r="J1225" s="31">
        <f t="shared" si="121"/>
        <v>1750.0000000000002</v>
      </c>
      <c r="K1225" s="44">
        <f t="shared" si="122"/>
        <v>4.794520547945206</v>
      </c>
      <c r="L1225" s="3">
        <f t="shared" si="123"/>
        <v>354.79452054794524</v>
      </c>
      <c r="M1225" s="3">
        <f t="shared" si="124"/>
        <v>21.287671232876715</v>
      </c>
      <c r="N1225" s="67">
        <f t="shared" si="125"/>
        <v>333.50684931506851</v>
      </c>
      <c r="O1225" s="3"/>
      <c r="P1225" s="70" t="s">
        <v>18629</v>
      </c>
      <c r="Q1225" s="2" t="s">
        <v>283</v>
      </c>
      <c r="R1225" s="2" t="s">
        <v>16966</v>
      </c>
      <c r="T1225" t="s">
        <v>18666</v>
      </c>
      <c r="U1225" t="s">
        <v>18652</v>
      </c>
      <c r="V1225" s="104">
        <v>45857</v>
      </c>
      <c r="X1225" s="97"/>
      <c r="Y1225" s="75">
        <v>333.51</v>
      </c>
    </row>
    <row r="1226" spans="1:25" x14ac:dyDescent="0.25">
      <c r="A1226" s="76">
        <v>1258</v>
      </c>
      <c r="B1226" s="2" t="s">
        <v>11282</v>
      </c>
      <c r="C1226" s="2" t="s">
        <v>11283</v>
      </c>
      <c r="D1226" s="2" t="s">
        <v>11284</v>
      </c>
      <c r="E1226" s="2" t="s">
        <v>11285</v>
      </c>
      <c r="F1226" s="2" t="s">
        <v>11286</v>
      </c>
      <c r="G1226" s="2" t="s">
        <v>186</v>
      </c>
      <c r="H1226" s="17">
        <v>25</v>
      </c>
      <c r="I1226" s="31">
        <f t="shared" si="120"/>
        <v>25000</v>
      </c>
      <c r="J1226" s="31">
        <f t="shared" si="121"/>
        <v>1750.0000000000002</v>
      </c>
      <c r="K1226" s="44">
        <f t="shared" si="122"/>
        <v>4.794520547945206</v>
      </c>
      <c r="L1226" s="3">
        <f t="shared" si="123"/>
        <v>354.79452054794524</v>
      </c>
      <c r="M1226" s="3">
        <f t="shared" si="124"/>
        <v>21.287671232876715</v>
      </c>
      <c r="N1226" s="67">
        <f t="shared" si="125"/>
        <v>333.50684931506851</v>
      </c>
      <c r="O1226" s="3"/>
      <c r="P1226" s="70" t="s">
        <v>18629</v>
      </c>
      <c r="Q1226" s="2" t="s">
        <v>283</v>
      </c>
      <c r="R1226" s="2" t="s">
        <v>11287</v>
      </c>
      <c r="T1226" t="s">
        <v>18666</v>
      </c>
      <c r="U1226" t="s">
        <v>18652</v>
      </c>
      <c r="V1226" s="104">
        <v>45857</v>
      </c>
      <c r="X1226" s="97"/>
      <c r="Y1226" s="75">
        <v>333.51</v>
      </c>
    </row>
    <row r="1227" spans="1:25" x14ac:dyDescent="0.25">
      <c r="A1227" s="76">
        <v>1259</v>
      </c>
      <c r="B1227" s="2" t="s">
        <v>14158</v>
      </c>
      <c r="C1227" s="2" t="s">
        <v>14159</v>
      </c>
      <c r="D1227" s="2" t="s">
        <v>14160</v>
      </c>
      <c r="E1227" s="2" t="s">
        <v>8110</v>
      </c>
      <c r="F1227" s="2" t="s">
        <v>14161</v>
      </c>
      <c r="G1227" s="2" t="s">
        <v>151</v>
      </c>
      <c r="H1227" s="17">
        <v>25</v>
      </c>
      <c r="I1227" s="31">
        <f t="shared" si="120"/>
        <v>25000</v>
      </c>
      <c r="J1227" s="31">
        <f t="shared" si="121"/>
        <v>1750.0000000000002</v>
      </c>
      <c r="K1227" s="44">
        <f t="shared" si="122"/>
        <v>4.794520547945206</v>
      </c>
      <c r="L1227" s="3">
        <f t="shared" si="123"/>
        <v>354.79452054794524</v>
      </c>
      <c r="M1227" s="3">
        <f t="shared" si="124"/>
        <v>21.287671232876715</v>
      </c>
      <c r="N1227" s="67">
        <f t="shared" si="125"/>
        <v>333.50684931506851</v>
      </c>
      <c r="O1227" s="3"/>
      <c r="P1227" s="70" t="s">
        <v>18629</v>
      </c>
      <c r="Q1227" s="2" t="s">
        <v>283</v>
      </c>
      <c r="R1227" s="2" t="s">
        <v>14162</v>
      </c>
      <c r="T1227" t="s">
        <v>18666</v>
      </c>
      <c r="U1227" t="s">
        <v>18652</v>
      </c>
      <c r="V1227" s="104">
        <v>45857</v>
      </c>
      <c r="X1227" s="97"/>
      <c r="Y1227" s="75">
        <v>333.51</v>
      </c>
    </row>
    <row r="1228" spans="1:25" x14ac:dyDescent="0.25">
      <c r="A1228" s="76">
        <v>1260</v>
      </c>
      <c r="B1228" s="2" t="s">
        <v>8049</v>
      </c>
      <c r="C1228" s="2" t="s">
        <v>8050</v>
      </c>
      <c r="D1228" s="2" t="s">
        <v>8051</v>
      </c>
      <c r="E1228" s="2" t="s">
        <v>8052</v>
      </c>
      <c r="F1228" s="2" t="s">
        <v>8053</v>
      </c>
      <c r="G1228" s="2" t="s">
        <v>186</v>
      </c>
      <c r="H1228" s="17">
        <v>25</v>
      </c>
      <c r="I1228" s="31">
        <f t="shared" si="120"/>
        <v>25000</v>
      </c>
      <c r="J1228" s="31">
        <f t="shared" si="121"/>
        <v>1750.0000000000002</v>
      </c>
      <c r="K1228" s="44">
        <f t="shared" si="122"/>
        <v>4.794520547945206</v>
      </c>
      <c r="L1228" s="3">
        <f t="shared" si="123"/>
        <v>354.79452054794524</v>
      </c>
      <c r="M1228" s="3">
        <f t="shared" si="124"/>
        <v>21.287671232876715</v>
      </c>
      <c r="N1228" s="67">
        <f t="shared" si="125"/>
        <v>333.50684931506851</v>
      </c>
      <c r="O1228" s="3"/>
      <c r="P1228" s="70" t="s">
        <v>18629</v>
      </c>
      <c r="Q1228" s="2" t="s">
        <v>283</v>
      </c>
      <c r="R1228" s="2" t="s">
        <v>8054</v>
      </c>
      <c r="T1228" t="s">
        <v>18666</v>
      </c>
      <c r="U1228" t="s">
        <v>18652</v>
      </c>
      <c r="V1228" s="104">
        <v>45857</v>
      </c>
      <c r="X1228" s="97"/>
      <c r="Y1228" s="75">
        <v>333.51</v>
      </c>
    </row>
    <row r="1229" spans="1:25" x14ac:dyDescent="0.25">
      <c r="A1229" s="76">
        <v>1261</v>
      </c>
      <c r="B1229" s="2" t="s">
        <v>934</v>
      </c>
      <c r="C1229" s="2" t="s">
        <v>935</v>
      </c>
      <c r="D1229" s="2" t="s">
        <v>936</v>
      </c>
      <c r="E1229" s="2" t="s">
        <v>937</v>
      </c>
      <c r="F1229" s="2" t="s">
        <v>938</v>
      </c>
      <c r="G1229" s="2" t="s">
        <v>939</v>
      </c>
      <c r="H1229" s="17">
        <v>100</v>
      </c>
      <c r="I1229" s="31">
        <f t="shared" si="120"/>
        <v>100000</v>
      </c>
      <c r="J1229" s="31">
        <f t="shared" si="121"/>
        <v>7000.0000000000009</v>
      </c>
      <c r="K1229" s="44">
        <f t="shared" si="122"/>
        <v>19.178082191780824</v>
      </c>
      <c r="L1229" s="3">
        <f t="shared" si="123"/>
        <v>1419.178082191781</v>
      </c>
      <c r="M1229" s="3">
        <f t="shared" si="124"/>
        <v>85.150684931506859</v>
      </c>
      <c r="N1229" s="67">
        <f t="shared" si="125"/>
        <v>1334.027397260274</v>
      </c>
      <c r="O1229" s="3"/>
      <c r="P1229" s="70" t="s">
        <v>18629</v>
      </c>
      <c r="Q1229" s="2" t="s">
        <v>283</v>
      </c>
      <c r="R1229" s="2" t="s">
        <v>940</v>
      </c>
      <c r="T1229" t="s">
        <v>18666</v>
      </c>
      <c r="U1229" t="s">
        <v>18652</v>
      </c>
      <c r="V1229" s="104">
        <v>45857</v>
      </c>
      <c r="X1229" s="97"/>
      <c r="Y1229" s="75">
        <v>1334.03</v>
      </c>
    </row>
    <row r="1230" spans="1:25" x14ac:dyDescent="0.25">
      <c r="A1230" s="76">
        <v>1262</v>
      </c>
      <c r="B1230" s="2" t="s">
        <v>17525</v>
      </c>
      <c r="C1230" s="2" t="s">
        <v>17526</v>
      </c>
      <c r="D1230" s="2" t="s">
        <v>17527</v>
      </c>
      <c r="E1230" s="2" t="s">
        <v>17528</v>
      </c>
      <c r="F1230" s="2" t="s">
        <v>17529</v>
      </c>
      <c r="G1230" s="2" t="s">
        <v>166</v>
      </c>
      <c r="H1230" s="17">
        <v>25</v>
      </c>
      <c r="I1230" s="31">
        <f t="shared" si="120"/>
        <v>25000</v>
      </c>
      <c r="J1230" s="31">
        <f t="shared" si="121"/>
        <v>1750.0000000000002</v>
      </c>
      <c r="K1230" s="44">
        <f t="shared" si="122"/>
        <v>4.794520547945206</v>
      </c>
      <c r="L1230" s="3">
        <f t="shared" si="123"/>
        <v>354.79452054794524</v>
      </c>
      <c r="M1230" s="3">
        <f t="shared" si="124"/>
        <v>21.287671232876715</v>
      </c>
      <c r="N1230" s="67">
        <f t="shared" si="125"/>
        <v>333.50684931506851</v>
      </c>
      <c r="O1230" s="3"/>
      <c r="P1230" s="70" t="s">
        <v>18629</v>
      </c>
      <c r="Q1230" s="2" t="s">
        <v>283</v>
      </c>
      <c r="R1230" s="2" t="s">
        <v>17530</v>
      </c>
      <c r="T1230" t="s">
        <v>18666</v>
      </c>
      <c r="U1230" t="s">
        <v>18652</v>
      </c>
      <c r="V1230" s="104">
        <v>45857</v>
      </c>
      <c r="X1230" s="97"/>
      <c r="Y1230" s="75">
        <v>333.51</v>
      </c>
    </row>
    <row r="1231" spans="1:25" x14ac:dyDescent="0.25">
      <c r="A1231" s="76">
        <v>1263</v>
      </c>
      <c r="B1231" s="2" t="s">
        <v>9493</v>
      </c>
      <c r="C1231" s="2" t="s">
        <v>9494</v>
      </c>
      <c r="D1231" s="2" t="s">
        <v>9495</v>
      </c>
      <c r="E1231" s="2" t="s">
        <v>9496</v>
      </c>
      <c r="F1231" s="2" t="s">
        <v>9497</v>
      </c>
      <c r="G1231" s="2" t="s">
        <v>31</v>
      </c>
      <c r="H1231" s="17">
        <v>25</v>
      </c>
      <c r="I1231" s="31">
        <f t="shared" si="120"/>
        <v>25000</v>
      </c>
      <c r="J1231" s="31">
        <f t="shared" si="121"/>
        <v>1750.0000000000002</v>
      </c>
      <c r="K1231" s="44">
        <f t="shared" si="122"/>
        <v>4.794520547945206</v>
      </c>
      <c r="L1231" s="3">
        <f t="shared" si="123"/>
        <v>354.79452054794524</v>
      </c>
      <c r="M1231" s="3">
        <f t="shared" si="124"/>
        <v>21.287671232876715</v>
      </c>
      <c r="N1231" s="67">
        <f t="shared" si="125"/>
        <v>333.50684931506851</v>
      </c>
      <c r="O1231" s="3"/>
      <c r="P1231" s="70" t="s">
        <v>18629</v>
      </c>
      <c r="Q1231" s="2" t="s">
        <v>283</v>
      </c>
      <c r="R1231" s="2" t="s">
        <v>9498</v>
      </c>
      <c r="T1231" t="s">
        <v>18666</v>
      </c>
      <c r="U1231" t="s">
        <v>18652</v>
      </c>
      <c r="V1231" s="104">
        <v>45857</v>
      </c>
      <c r="X1231" s="97"/>
      <c r="Y1231" s="75">
        <v>333.51</v>
      </c>
    </row>
    <row r="1232" spans="1:25" x14ac:dyDescent="0.25">
      <c r="A1232" s="76">
        <v>1264</v>
      </c>
      <c r="B1232" s="2" t="s">
        <v>1274</v>
      </c>
      <c r="C1232" s="2" t="s">
        <v>1275</v>
      </c>
      <c r="D1232" s="2" t="s">
        <v>1276</v>
      </c>
      <c r="E1232" s="2" t="s">
        <v>1277</v>
      </c>
      <c r="F1232" s="2" t="s">
        <v>1278</v>
      </c>
      <c r="G1232" s="2" t="s">
        <v>247</v>
      </c>
      <c r="H1232" s="17">
        <v>50</v>
      </c>
      <c r="I1232" s="31">
        <f t="shared" si="120"/>
        <v>50000</v>
      </c>
      <c r="J1232" s="31">
        <f t="shared" si="121"/>
        <v>3500.0000000000005</v>
      </c>
      <c r="K1232" s="44">
        <f t="shared" si="122"/>
        <v>9.589041095890412</v>
      </c>
      <c r="L1232" s="3">
        <f t="shared" si="123"/>
        <v>709.58904109589048</v>
      </c>
      <c r="M1232" s="3">
        <f t="shared" si="124"/>
        <v>42.57534246575343</v>
      </c>
      <c r="N1232" s="67">
        <f t="shared" si="125"/>
        <v>667.01369863013701</v>
      </c>
      <c r="O1232" s="3"/>
      <c r="P1232" s="70" t="s">
        <v>18629</v>
      </c>
      <c r="Q1232" s="2" t="s">
        <v>283</v>
      </c>
      <c r="R1232" s="2" t="s">
        <v>1279</v>
      </c>
      <c r="T1232" t="s">
        <v>18666</v>
      </c>
      <c r="U1232" t="s">
        <v>18652</v>
      </c>
      <c r="V1232" s="104">
        <v>45857</v>
      </c>
      <c r="X1232" s="97"/>
      <c r="Y1232" s="75">
        <v>667.02</v>
      </c>
    </row>
    <row r="1233" spans="1:25" x14ac:dyDescent="0.25">
      <c r="A1233" s="76">
        <v>1265</v>
      </c>
      <c r="B1233" s="2" t="s">
        <v>18434</v>
      </c>
      <c r="C1233" s="2" t="s">
        <v>18435</v>
      </c>
      <c r="D1233" s="2" t="s">
        <v>18436</v>
      </c>
      <c r="E1233" s="2" t="s">
        <v>18437</v>
      </c>
      <c r="F1233" s="2" t="s">
        <v>18438</v>
      </c>
      <c r="G1233" s="2" t="s">
        <v>2380</v>
      </c>
      <c r="H1233" s="17">
        <v>25</v>
      </c>
      <c r="I1233" s="31">
        <f t="shared" si="120"/>
        <v>25000</v>
      </c>
      <c r="J1233" s="31">
        <f t="shared" si="121"/>
        <v>1750.0000000000002</v>
      </c>
      <c r="K1233" s="44">
        <f t="shared" si="122"/>
        <v>4.794520547945206</v>
      </c>
      <c r="L1233" s="3">
        <f t="shared" si="123"/>
        <v>354.79452054794524</v>
      </c>
      <c r="M1233" s="3">
        <f t="shared" si="124"/>
        <v>21.287671232876715</v>
      </c>
      <c r="N1233" s="67">
        <f t="shared" si="125"/>
        <v>333.50684931506851</v>
      </c>
      <c r="O1233" s="3"/>
      <c r="P1233" s="70" t="s">
        <v>18629</v>
      </c>
      <c r="Q1233" s="2" t="s">
        <v>283</v>
      </c>
      <c r="R1233" s="2" t="s">
        <v>18439</v>
      </c>
      <c r="T1233" t="s">
        <v>18666</v>
      </c>
      <c r="U1233" t="s">
        <v>18652</v>
      </c>
      <c r="V1233" s="104">
        <v>45857</v>
      </c>
      <c r="X1233" s="97"/>
      <c r="Y1233" s="75">
        <v>333.51</v>
      </c>
    </row>
    <row r="1234" spans="1:25" x14ac:dyDescent="0.25">
      <c r="A1234" s="76">
        <v>1266</v>
      </c>
      <c r="B1234" s="2" t="s">
        <v>16804</v>
      </c>
      <c r="C1234" s="2" t="s">
        <v>16805</v>
      </c>
      <c r="D1234" s="2" t="s">
        <v>16806</v>
      </c>
      <c r="E1234" s="2" t="s">
        <v>16807</v>
      </c>
      <c r="F1234" s="2" t="s">
        <v>16808</v>
      </c>
      <c r="G1234" s="2" t="s">
        <v>1570</v>
      </c>
      <c r="H1234" s="17">
        <v>25</v>
      </c>
      <c r="I1234" s="31">
        <f t="shared" ref="I1234:I1297" si="126">H1234*1000</f>
        <v>25000</v>
      </c>
      <c r="J1234" s="31">
        <f t="shared" ref="J1234:J1297" si="127">I1234*7%</f>
        <v>1750.0000000000002</v>
      </c>
      <c r="K1234" s="44">
        <f t="shared" ref="K1234:K1297" si="128">J1234/365</f>
        <v>4.794520547945206</v>
      </c>
      <c r="L1234" s="3">
        <f t="shared" ref="L1234:L1297" si="129">K1234*74</f>
        <v>354.79452054794524</v>
      </c>
      <c r="M1234" s="3">
        <f t="shared" ref="M1234:M1297" si="130">L1234*6%</f>
        <v>21.287671232876715</v>
      </c>
      <c r="N1234" s="67">
        <f t="shared" ref="N1234:N1297" si="131">L1234-M1234</f>
        <v>333.50684931506851</v>
      </c>
      <c r="O1234" s="3"/>
      <c r="P1234" s="70" t="s">
        <v>18629</v>
      </c>
      <c r="Q1234" s="2" t="s">
        <v>283</v>
      </c>
      <c r="R1234" s="2" t="s">
        <v>16809</v>
      </c>
      <c r="T1234" t="s">
        <v>18666</v>
      </c>
      <c r="U1234" t="s">
        <v>18652</v>
      </c>
      <c r="V1234" s="104">
        <v>45857</v>
      </c>
      <c r="X1234" s="97"/>
      <c r="Y1234" s="75">
        <v>333.51</v>
      </c>
    </row>
    <row r="1235" spans="1:25" x14ac:dyDescent="0.25">
      <c r="A1235" s="76">
        <v>1267</v>
      </c>
      <c r="B1235" s="2" t="s">
        <v>3998</v>
      </c>
      <c r="C1235" s="2" t="s">
        <v>3999</v>
      </c>
      <c r="D1235" s="2" t="s">
        <v>4000</v>
      </c>
      <c r="E1235" s="2" t="s">
        <v>4001</v>
      </c>
      <c r="F1235" s="2" t="s">
        <v>4002</v>
      </c>
      <c r="G1235" s="2" t="s">
        <v>510</v>
      </c>
      <c r="H1235" s="17">
        <v>25</v>
      </c>
      <c r="I1235" s="31">
        <f t="shared" si="126"/>
        <v>25000</v>
      </c>
      <c r="J1235" s="31">
        <f t="shared" si="127"/>
        <v>1750.0000000000002</v>
      </c>
      <c r="K1235" s="44">
        <f t="shared" si="128"/>
        <v>4.794520547945206</v>
      </c>
      <c r="L1235" s="3">
        <f t="shared" si="129"/>
        <v>354.79452054794524</v>
      </c>
      <c r="M1235" s="3">
        <f t="shared" si="130"/>
        <v>21.287671232876715</v>
      </c>
      <c r="N1235" s="67">
        <f t="shared" si="131"/>
        <v>333.50684931506851</v>
      </c>
      <c r="O1235" s="3"/>
      <c r="P1235" s="70" t="s">
        <v>18629</v>
      </c>
      <c r="Q1235" s="2" t="s">
        <v>283</v>
      </c>
      <c r="R1235" s="2" t="s">
        <v>4003</v>
      </c>
      <c r="T1235" t="s">
        <v>18666</v>
      </c>
      <c r="U1235" t="s">
        <v>18652</v>
      </c>
      <c r="V1235" s="104">
        <v>45857</v>
      </c>
      <c r="X1235" s="97"/>
      <c r="Y1235" s="75">
        <v>333.51</v>
      </c>
    </row>
    <row r="1236" spans="1:25" x14ac:dyDescent="0.25">
      <c r="A1236" s="76">
        <v>1268</v>
      </c>
      <c r="B1236" s="2" t="s">
        <v>10580</v>
      </c>
      <c r="C1236" s="2" t="s">
        <v>10581</v>
      </c>
      <c r="D1236" s="2" t="s">
        <v>10582</v>
      </c>
      <c r="E1236" s="2" t="s">
        <v>10583</v>
      </c>
      <c r="F1236" s="2" t="s">
        <v>10584</v>
      </c>
      <c r="G1236" s="2" t="s">
        <v>5013</v>
      </c>
      <c r="H1236" s="17">
        <v>100</v>
      </c>
      <c r="I1236" s="31">
        <f t="shared" si="126"/>
        <v>100000</v>
      </c>
      <c r="J1236" s="31">
        <f t="shared" si="127"/>
        <v>7000.0000000000009</v>
      </c>
      <c r="K1236" s="44">
        <f t="shared" si="128"/>
        <v>19.178082191780824</v>
      </c>
      <c r="L1236" s="3">
        <f t="shared" si="129"/>
        <v>1419.178082191781</v>
      </c>
      <c r="M1236" s="3">
        <f t="shared" si="130"/>
        <v>85.150684931506859</v>
      </c>
      <c r="N1236" s="67">
        <f t="shared" si="131"/>
        <v>1334.027397260274</v>
      </c>
      <c r="O1236" s="3"/>
      <c r="P1236" s="70" t="s">
        <v>18629</v>
      </c>
      <c r="Q1236" s="2" t="s">
        <v>283</v>
      </c>
      <c r="R1236" s="2" t="s">
        <v>10585</v>
      </c>
      <c r="T1236" t="s">
        <v>18666</v>
      </c>
      <c r="U1236" t="s">
        <v>18652</v>
      </c>
      <c r="V1236" s="104">
        <v>45857</v>
      </c>
      <c r="X1236" s="97"/>
      <c r="Y1236" s="75">
        <v>1334.03</v>
      </c>
    </row>
    <row r="1237" spans="1:25" x14ac:dyDescent="0.25">
      <c r="A1237" s="76">
        <v>1269</v>
      </c>
      <c r="B1237" s="2" t="s">
        <v>9013</v>
      </c>
      <c r="C1237" s="2" t="s">
        <v>9014</v>
      </c>
      <c r="D1237" s="2" t="s">
        <v>9015</v>
      </c>
      <c r="E1237" s="2" t="s">
        <v>9016</v>
      </c>
      <c r="F1237" s="2" t="s">
        <v>9017</v>
      </c>
      <c r="G1237" s="2" t="s">
        <v>151</v>
      </c>
      <c r="H1237" s="17">
        <v>100</v>
      </c>
      <c r="I1237" s="31">
        <f t="shared" si="126"/>
        <v>100000</v>
      </c>
      <c r="J1237" s="31">
        <f t="shared" si="127"/>
        <v>7000.0000000000009</v>
      </c>
      <c r="K1237" s="44">
        <f t="shared" si="128"/>
        <v>19.178082191780824</v>
      </c>
      <c r="L1237" s="3">
        <f t="shared" si="129"/>
        <v>1419.178082191781</v>
      </c>
      <c r="M1237" s="3">
        <f t="shared" si="130"/>
        <v>85.150684931506859</v>
      </c>
      <c r="N1237" s="67">
        <f t="shared" si="131"/>
        <v>1334.027397260274</v>
      </c>
      <c r="O1237" s="3"/>
      <c r="P1237" s="70" t="s">
        <v>18629</v>
      </c>
      <c r="Q1237" s="2" t="s">
        <v>283</v>
      </c>
      <c r="R1237" s="2" t="s">
        <v>9018</v>
      </c>
      <c r="T1237" t="s">
        <v>18666</v>
      </c>
      <c r="U1237" t="s">
        <v>18652</v>
      </c>
      <c r="V1237" s="104">
        <v>45857</v>
      </c>
      <c r="X1237" s="97"/>
      <c r="Y1237" s="75">
        <v>1334.03</v>
      </c>
    </row>
    <row r="1238" spans="1:25" x14ac:dyDescent="0.25">
      <c r="A1238" s="76">
        <v>1270</v>
      </c>
      <c r="B1238" s="2" t="s">
        <v>14430</v>
      </c>
      <c r="C1238" s="2" t="s">
        <v>14431</v>
      </c>
      <c r="D1238" s="2" t="s">
        <v>14432</v>
      </c>
      <c r="E1238" s="2" t="s">
        <v>14433</v>
      </c>
      <c r="F1238" s="2" t="s">
        <v>14434</v>
      </c>
      <c r="G1238" s="2" t="s">
        <v>31</v>
      </c>
      <c r="H1238" s="17">
        <v>50</v>
      </c>
      <c r="I1238" s="31">
        <f t="shared" si="126"/>
        <v>50000</v>
      </c>
      <c r="J1238" s="31">
        <f t="shared" si="127"/>
        <v>3500.0000000000005</v>
      </c>
      <c r="K1238" s="44">
        <f t="shared" si="128"/>
        <v>9.589041095890412</v>
      </c>
      <c r="L1238" s="3">
        <f t="shared" si="129"/>
        <v>709.58904109589048</v>
      </c>
      <c r="M1238" s="3">
        <f t="shared" si="130"/>
        <v>42.57534246575343</v>
      </c>
      <c r="N1238" s="67">
        <f t="shared" si="131"/>
        <v>667.01369863013701</v>
      </c>
      <c r="O1238" s="3"/>
      <c r="P1238" s="70" t="s">
        <v>18629</v>
      </c>
      <c r="Q1238" s="2" t="s">
        <v>283</v>
      </c>
      <c r="R1238" s="2" t="s">
        <v>14435</v>
      </c>
      <c r="T1238" t="s">
        <v>18666</v>
      </c>
      <c r="U1238" t="s">
        <v>18652</v>
      </c>
      <c r="V1238" s="104">
        <v>45857</v>
      </c>
      <c r="X1238" s="97"/>
      <c r="Y1238" s="75">
        <v>667.02</v>
      </c>
    </row>
    <row r="1239" spans="1:25" x14ac:dyDescent="0.25">
      <c r="A1239" s="76">
        <v>1271</v>
      </c>
      <c r="B1239" s="2" t="s">
        <v>17125</v>
      </c>
      <c r="C1239" s="2" t="s">
        <v>17126</v>
      </c>
      <c r="D1239" s="2" t="s">
        <v>17127</v>
      </c>
      <c r="E1239" s="2" t="s">
        <v>17128</v>
      </c>
      <c r="F1239" s="2" t="s">
        <v>17129</v>
      </c>
      <c r="G1239" s="2" t="s">
        <v>750</v>
      </c>
      <c r="H1239" s="17">
        <v>25</v>
      </c>
      <c r="I1239" s="31">
        <f t="shared" si="126"/>
        <v>25000</v>
      </c>
      <c r="J1239" s="31">
        <f t="shared" si="127"/>
        <v>1750.0000000000002</v>
      </c>
      <c r="K1239" s="44">
        <f t="shared" si="128"/>
        <v>4.794520547945206</v>
      </c>
      <c r="L1239" s="3">
        <f t="shared" si="129"/>
        <v>354.79452054794524</v>
      </c>
      <c r="M1239" s="3">
        <f t="shared" si="130"/>
        <v>21.287671232876715</v>
      </c>
      <c r="N1239" s="67">
        <f t="shared" si="131"/>
        <v>333.50684931506851</v>
      </c>
      <c r="O1239" s="3"/>
      <c r="P1239" s="70" t="s">
        <v>18629</v>
      </c>
      <c r="Q1239" s="2" t="s">
        <v>283</v>
      </c>
      <c r="R1239" s="2" t="s">
        <v>17130</v>
      </c>
      <c r="T1239" t="s">
        <v>18666</v>
      </c>
      <c r="U1239" t="s">
        <v>18652</v>
      </c>
      <c r="V1239" s="104">
        <v>45857</v>
      </c>
      <c r="X1239" s="97"/>
      <c r="Y1239" s="75">
        <v>333.51</v>
      </c>
    </row>
    <row r="1240" spans="1:25" x14ac:dyDescent="0.25">
      <c r="A1240" s="76">
        <v>1272</v>
      </c>
      <c r="B1240" s="2" t="s">
        <v>14870</v>
      </c>
      <c r="C1240" s="2" t="s">
        <v>14871</v>
      </c>
      <c r="D1240" s="2" t="s">
        <v>14872</v>
      </c>
      <c r="E1240" s="2" t="s">
        <v>14873</v>
      </c>
      <c r="F1240" s="2" t="s">
        <v>14874</v>
      </c>
      <c r="G1240" s="2" t="s">
        <v>1017</v>
      </c>
      <c r="H1240" s="17">
        <v>25</v>
      </c>
      <c r="I1240" s="31">
        <f t="shared" si="126"/>
        <v>25000</v>
      </c>
      <c r="J1240" s="31">
        <f t="shared" si="127"/>
        <v>1750.0000000000002</v>
      </c>
      <c r="K1240" s="44">
        <f t="shared" si="128"/>
        <v>4.794520547945206</v>
      </c>
      <c r="L1240" s="3">
        <f t="shared" si="129"/>
        <v>354.79452054794524</v>
      </c>
      <c r="M1240" s="3">
        <f t="shared" si="130"/>
        <v>21.287671232876715</v>
      </c>
      <c r="N1240" s="67">
        <f t="shared" si="131"/>
        <v>333.50684931506851</v>
      </c>
      <c r="O1240" s="3"/>
      <c r="P1240" s="70" t="s">
        <v>18629</v>
      </c>
      <c r="Q1240" s="2" t="s">
        <v>283</v>
      </c>
      <c r="R1240" s="2" t="s">
        <v>14875</v>
      </c>
      <c r="T1240" t="s">
        <v>18666</v>
      </c>
      <c r="U1240" t="s">
        <v>18652</v>
      </c>
      <c r="V1240" s="104">
        <v>45857</v>
      </c>
      <c r="X1240" s="97"/>
      <c r="Y1240" s="75">
        <v>333.51</v>
      </c>
    </row>
    <row r="1241" spans="1:25" x14ac:dyDescent="0.25">
      <c r="A1241" s="76">
        <v>1273</v>
      </c>
      <c r="B1241" s="2" t="s">
        <v>9676</v>
      </c>
      <c r="C1241" s="2" t="s">
        <v>9677</v>
      </c>
      <c r="D1241" s="2" t="s">
        <v>9678</v>
      </c>
      <c r="E1241" s="2" t="s">
        <v>9679</v>
      </c>
      <c r="F1241" s="2" t="s">
        <v>9680</v>
      </c>
      <c r="G1241" s="2" t="s">
        <v>275</v>
      </c>
      <c r="H1241" s="17">
        <v>25</v>
      </c>
      <c r="I1241" s="31">
        <f t="shared" si="126"/>
        <v>25000</v>
      </c>
      <c r="J1241" s="31">
        <f t="shared" si="127"/>
        <v>1750.0000000000002</v>
      </c>
      <c r="K1241" s="44">
        <f t="shared" si="128"/>
        <v>4.794520547945206</v>
      </c>
      <c r="L1241" s="3">
        <f t="shared" si="129"/>
        <v>354.79452054794524</v>
      </c>
      <c r="M1241" s="3">
        <f t="shared" si="130"/>
        <v>21.287671232876715</v>
      </c>
      <c r="N1241" s="67">
        <f t="shared" si="131"/>
        <v>333.50684931506851</v>
      </c>
      <c r="O1241" s="3"/>
      <c r="P1241" s="70" t="s">
        <v>18629</v>
      </c>
      <c r="Q1241" s="2" t="s">
        <v>283</v>
      </c>
      <c r="R1241" s="2" t="s">
        <v>9681</v>
      </c>
      <c r="T1241" t="s">
        <v>18666</v>
      </c>
      <c r="U1241" t="s">
        <v>18652</v>
      </c>
      <c r="V1241" s="104">
        <v>45857</v>
      </c>
      <c r="X1241" s="97"/>
      <c r="Y1241" s="75">
        <v>333.51</v>
      </c>
    </row>
    <row r="1242" spans="1:25" x14ac:dyDescent="0.25">
      <c r="A1242" s="76">
        <v>1274</v>
      </c>
      <c r="B1242" s="2" t="s">
        <v>10639</v>
      </c>
      <c r="C1242" s="2" t="s">
        <v>10640</v>
      </c>
      <c r="D1242" s="2" t="s">
        <v>10641</v>
      </c>
      <c r="E1242" s="2" t="s">
        <v>10642</v>
      </c>
      <c r="F1242" s="2" t="s">
        <v>10643</v>
      </c>
      <c r="G1242" s="2" t="s">
        <v>835</v>
      </c>
      <c r="H1242" s="17">
        <v>25</v>
      </c>
      <c r="I1242" s="31">
        <f t="shared" si="126"/>
        <v>25000</v>
      </c>
      <c r="J1242" s="31">
        <f t="shared" si="127"/>
        <v>1750.0000000000002</v>
      </c>
      <c r="K1242" s="44">
        <f t="shared" si="128"/>
        <v>4.794520547945206</v>
      </c>
      <c r="L1242" s="3">
        <f t="shared" si="129"/>
        <v>354.79452054794524</v>
      </c>
      <c r="M1242" s="3">
        <f t="shared" si="130"/>
        <v>21.287671232876715</v>
      </c>
      <c r="N1242" s="67">
        <f t="shared" si="131"/>
        <v>333.50684931506851</v>
      </c>
      <c r="O1242" s="3"/>
      <c r="P1242" s="70" t="s">
        <v>18629</v>
      </c>
      <c r="Q1242" s="2" t="s">
        <v>283</v>
      </c>
      <c r="R1242" s="2" t="s">
        <v>10644</v>
      </c>
      <c r="T1242" t="s">
        <v>18666</v>
      </c>
      <c r="U1242" t="s">
        <v>18652</v>
      </c>
      <c r="V1242" s="104">
        <v>45857</v>
      </c>
      <c r="X1242" s="97"/>
      <c r="Y1242" s="75">
        <v>333.51</v>
      </c>
    </row>
    <row r="1243" spans="1:25" x14ac:dyDescent="0.25">
      <c r="A1243" s="76">
        <v>1275</v>
      </c>
      <c r="B1243" s="2" t="s">
        <v>277</v>
      </c>
      <c r="C1243" s="2" t="s">
        <v>278</v>
      </c>
      <c r="D1243" s="2" t="s">
        <v>279</v>
      </c>
      <c r="E1243" s="2" t="s">
        <v>280</v>
      </c>
      <c r="F1243" s="2" t="s">
        <v>281</v>
      </c>
      <c r="G1243" s="2" t="s">
        <v>282</v>
      </c>
      <c r="H1243" s="17">
        <v>50</v>
      </c>
      <c r="I1243" s="31">
        <f t="shared" si="126"/>
        <v>50000</v>
      </c>
      <c r="J1243" s="31">
        <f t="shared" si="127"/>
        <v>3500.0000000000005</v>
      </c>
      <c r="K1243" s="44">
        <f t="shared" si="128"/>
        <v>9.589041095890412</v>
      </c>
      <c r="L1243" s="3">
        <f t="shared" si="129"/>
        <v>709.58904109589048</v>
      </c>
      <c r="M1243" s="3">
        <f t="shared" si="130"/>
        <v>42.57534246575343</v>
      </c>
      <c r="N1243" s="67">
        <f t="shared" si="131"/>
        <v>667.01369863013701</v>
      </c>
      <c r="O1243" s="3"/>
      <c r="P1243" s="70" t="s">
        <v>18629</v>
      </c>
      <c r="Q1243" s="2" t="s">
        <v>283</v>
      </c>
      <c r="R1243" s="2" t="s">
        <v>284</v>
      </c>
      <c r="T1243" t="s">
        <v>18666</v>
      </c>
      <c r="U1243" t="s">
        <v>18652</v>
      </c>
      <c r="V1243" s="104">
        <v>45857</v>
      </c>
      <c r="X1243" s="97"/>
      <c r="Y1243" s="75">
        <v>667.02</v>
      </c>
    </row>
    <row r="1244" spans="1:25" x14ac:dyDescent="0.25">
      <c r="A1244" s="76">
        <v>1276</v>
      </c>
      <c r="B1244" s="2" t="s">
        <v>5667</v>
      </c>
      <c r="C1244" s="2" t="s">
        <v>5668</v>
      </c>
      <c r="D1244" s="2" t="s">
        <v>4146</v>
      </c>
      <c r="E1244" s="2" t="s">
        <v>5669</v>
      </c>
      <c r="F1244" s="2" t="s">
        <v>5670</v>
      </c>
      <c r="G1244" s="2" t="s">
        <v>31</v>
      </c>
      <c r="H1244" s="17">
        <v>100</v>
      </c>
      <c r="I1244" s="31">
        <f t="shared" si="126"/>
        <v>100000</v>
      </c>
      <c r="J1244" s="31">
        <f t="shared" si="127"/>
        <v>7000.0000000000009</v>
      </c>
      <c r="K1244" s="44">
        <f t="shared" si="128"/>
        <v>19.178082191780824</v>
      </c>
      <c r="L1244" s="3">
        <f t="shared" si="129"/>
        <v>1419.178082191781</v>
      </c>
      <c r="M1244" s="3">
        <f t="shared" si="130"/>
        <v>85.150684931506859</v>
      </c>
      <c r="N1244" s="67">
        <f t="shared" si="131"/>
        <v>1334.027397260274</v>
      </c>
      <c r="O1244" s="3"/>
      <c r="P1244" s="70" t="s">
        <v>18629</v>
      </c>
      <c r="Q1244" s="2" t="s">
        <v>283</v>
      </c>
      <c r="R1244" s="2" t="s">
        <v>5671</v>
      </c>
      <c r="T1244" t="s">
        <v>18666</v>
      </c>
      <c r="U1244" t="s">
        <v>18652</v>
      </c>
      <c r="V1244" s="104">
        <v>45857</v>
      </c>
      <c r="X1244" s="97"/>
      <c r="Y1244" s="75">
        <v>1334.03</v>
      </c>
    </row>
    <row r="1245" spans="1:25" x14ac:dyDescent="0.25">
      <c r="A1245" s="76">
        <v>1277</v>
      </c>
      <c r="B1245" s="2" t="s">
        <v>13157</v>
      </c>
      <c r="C1245" s="2" t="s">
        <v>13158</v>
      </c>
      <c r="D1245" s="2" t="s">
        <v>13159</v>
      </c>
      <c r="E1245" s="2" t="s">
        <v>13160</v>
      </c>
      <c r="F1245" s="2" t="s">
        <v>13161</v>
      </c>
      <c r="G1245" s="2" t="s">
        <v>151</v>
      </c>
      <c r="H1245" s="17">
        <v>50</v>
      </c>
      <c r="I1245" s="31">
        <f t="shared" si="126"/>
        <v>50000</v>
      </c>
      <c r="J1245" s="31">
        <f t="shared" si="127"/>
        <v>3500.0000000000005</v>
      </c>
      <c r="K1245" s="44">
        <f t="shared" si="128"/>
        <v>9.589041095890412</v>
      </c>
      <c r="L1245" s="3">
        <f t="shared" si="129"/>
        <v>709.58904109589048</v>
      </c>
      <c r="M1245" s="3">
        <f t="shared" si="130"/>
        <v>42.57534246575343</v>
      </c>
      <c r="N1245" s="67">
        <f t="shared" si="131"/>
        <v>667.01369863013701</v>
      </c>
      <c r="O1245" s="3"/>
      <c r="P1245" s="70" t="s">
        <v>18629</v>
      </c>
      <c r="Q1245" s="2" t="s">
        <v>283</v>
      </c>
      <c r="R1245" s="2" t="s">
        <v>13162</v>
      </c>
      <c r="T1245" t="s">
        <v>18666</v>
      </c>
      <c r="U1245" t="s">
        <v>18652</v>
      </c>
      <c r="V1245" s="104">
        <v>45857</v>
      </c>
      <c r="X1245" s="97"/>
      <c r="Y1245" s="75">
        <v>667.02</v>
      </c>
    </row>
    <row r="1246" spans="1:25" x14ac:dyDescent="0.25">
      <c r="A1246" s="76">
        <v>1278</v>
      </c>
      <c r="B1246" s="2" t="s">
        <v>12597</v>
      </c>
      <c r="C1246" s="2" t="s">
        <v>12598</v>
      </c>
      <c r="D1246" s="2" t="s">
        <v>12599</v>
      </c>
      <c r="E1246" s="2" t="s">
        <v>12600</v>
      </c>
      <c r="F1246" s="2" t="s">
        <v>12601</v>
      </c>
      <c r="G1246" s="2" t="s">
        <v>510</v>
      </c>
      <c r="H1246" s="17">
        <v>25</v>
      </c>
      <c r="I1246" s="31">
        <f t="shared" si="126"/>
        <v>25000</v>
      </c>
      <c r="J1246" s="31">
        <f t="shared" si="127"/>
        <v>1750.0000000000002</v>
      </c>
      <c r="K1246" s="44">
        <f t="shared" si="128"/>
        <v>4.794520547945206</v>
      </c>
      <c r="L1246" s="3">
        <f t="shared" si="129"/>
        <v>354.79452054794524</v>
      </c>
      <c r="M1246" s="3">
        <f t="shared" si="130"/>
        <v>21.287671232876715</v>
      </c>
      <c r="N1246" s="67">
        <f t="shared" si="131"/>
        <v>333.50684931506851</v>
      </c>
      <c r="O1246" s="3"/>
      <c r="P1246" s="70" t="s">
        <v>18629</v>
      </c>
      <c r="Q1246" s="2" t="s">
        <v>283</v>
      </c>
      <c r="R1246" s="2" t="s">
        <v>12602</v>
      </c>
      <c r="T1246" t="s">
        <v>18666</v>
      </c>
      <c r="U1246" t="s">
        <v>18652</v>
      </c>
      <c r="V1246" s="104">
        <v>45857</v>
      </c>
      <c r="X1246" s="97"/>
      <c r="Y1246" s="75">
        <v>333.51</v>
      </c>
    </row>
    <row r="1247" spans="1:25" x14ac:dyDescent="0.25">
      <c r="A1247" s="76">
        <v>1279</v>
      </c>
      <c r="B1247" s="2" t="s">
        <v>2321</v>
      </c>
      <c r="C1247" s="2" t="s">
        <v>2322</v>
      </c>
      <c r="D1247" s="2" t="s">
        <v>2323</v>
      </c>
      <c r="E1247" s="2" t="s">
        <v>2324</v>
      </c>
      <c r="F1247" s="2" t="s">
        <v>2325</v>
      </c>
      <c r="G1247" s="2" t="s">
        <v>1055</v>
      </c>
      <c r="H1247" s="17">
        <v>25</v>
      </c>
      <c r="I1247" s="31">
        <f t="shared" si="126"/>
        <v>25000</v>
      </c>
      <c r="J1247" s="31">
        <f t="shared" si="127"/>
        <v>1750.0000000000002</v>
      </c>
      <c r="K1247" s="44">
        <f t="shared" si="128"/>
        <v>4.794520547945206</v>
      </c>
      <c r="L1247" s="3">
        <f t="shared" si="129"/>
        <v>354.79452054794524</v>
      </c>
      <c r="M1247" s="3">
        <f t="shared" si="130"/>
        <v>21.287671232876715</v>
      </c>
      <c r="N1247" s="67">
        <f t="shared" si="131"/>
        <v>333.50684931506851</v>
      </c>
      <c r="O1247" s="3"/>
      <c r="P1247" s="70" t="s">
        <v>18629</v>
      </c>
      <c r="Q1247" s="2" t="s">
        <v>283</v>
      </c>
      <c r="R1247" s="2" t="s">
        <v>2326</v>
      </c>
      <c r="T1247" t="s">
        <v>18666</v>
      </c>
      <c r="U1247" t="s">
        <v>18652</v>
      </c>
      <c r="V1247" s="104">
        <v>45857</v>
      </c>
      <c r="X1247" s="97"/>
      <c r="Y1247" s="75">
        <v>333.51</v>
      </c>
    </row>
    <row r="1248" spans="1:25" x14ac:dyDescent="0.25">
      <c r="A1248" s="76">
        <v>1280</v>
      </c>
      <c r="B1248" s="2" t="s">
        <v>7743</v>
      </c>
      <c r="C1248" s="2" t="s">
        <v>7744</v>
      </c>
      <c r="D1248" s="2" t="s">
        <v>7745</v>
      </c>
      <c r="E1248" s="2" t="s">
        <v>7746</v>
      </c>
      <c r="F1248" s="2" t="s">
        <v>7747</v>
      </c>
      <c r="G1248" s="2" t="s">
        <v>74</v>
      </c>
      <c r="H1248" s="17">
        <v>50</v>
      </c>
      <c r="I1248" s="31">
        <f t="shared" si="126"/>
        <v>50000</v>
      </c>
      <c r="J1248" s="31">
        <f t="shared" si="127"/>
        <v>3500.0000000000005</v>
      </c>
      <c r="K1248" s="44">
        <f t="shared" si="128"/>
        <v>9.589041095890412</v>
      </c>
      <c r="L1248" s="3">
        <f t="shared" si="129"/>
        <v>709.58904109589048</v>
      </c>
      <c r="M1248" s="3">
        <f t="shared" si="130"/>
        <v>42.57534246575343</v>
      </c>
      <c r="N1248" s="67">
        <f t="shared" si="131"/>
        <v>667.01369863013701</v>
      </c>
      <c r="O1248" s="3"/>
      <c r="P1248" s="70" t="s">
        <v>18629</v>
      </c>
      <c r="Q1248" s="2" t="s">
        <v>283</v>
      </c>
      <c r="R1248" s="2" t="s">
        <v>7748</v>
      </c>
      <c r="T1248" t="s">
        <v>18666</v>
      </c>
      <c r="U1248" t="s">
        <v>18652</v>
      </c>
      <c r="V1248" s="104">
        <v>45857</v>
      </c>
      <c r="X1248" s="97"/>
      <c r="Y1248" s="75">
        <v>667.02</v>
      </c>
    </row>
    <row r="1249" spans="1:25" x14ac:dyDescent="0.25">
      <c r="A1249" s="76">
        <v>1281</v>
      </c>
      <c r="B1249" s="2" t="s">
        <v>11891</v>
      </c>
      <c r="C1249" s="2" t="s">
        <v>11892</v>
      </c>
      <c r="D1249" s="2" t="s">
        <v>11893</v>
      </c>
      <c r="E1249" s="2" t="s">
        <v>11894</v>
      </c>
      <c r="F1249" s="2" t="s">
        <v>11895</v>
      </c>
      <c r="G1249" s="2" t="s">
        <v>23</v>
      </c>
      <c r="H1249" s="17">
        <v>25</v>
      </c>
      <c r="I1249" s="31">
        <f t="shared" si="126"/>
        <v>25000</v>
      </c>
      <c r="J1249" s="31">
        <f t="shared" si="127"/>
        <v>1750.0000000000002</v>
      </c>
      <c r="K1249" s="44">
        <f t="shared" si="128"/>
        <v>4.794520547945206</v>
      </c>
      <c r="L1249" s="3">
        <f t="shared" si="129"/>
        <v>354.79452054794524</v>
      </c>
      <c r="M1249" s="3">
        <f t="shared" si="130"/>
        <v>21.287671232876715</v>
      </c>
      <c r="N1249" s="67">
        <f t="shared" si="131"/>
        <v>333.50684931506851</v>
      </c>
      <c r="O1249" s="3"/>
      <c r="P1249" s="70" t="s">
        <v>18629</v>
      </c>
      <c r="Q1249" s="2" t="s">
        <v>283</v>
      </c>
      <c r="R1249" s="2" t="s">
        <v>11896</v>
      </c>
      <c r="T1249" t="s">
        <v>18666</v>
      </c>
      <c r="U1249" t="s">
        <v>18652</v>
      </c>
      <c r="V1249" s="104">
        <v>45857</v>
      </c>
      <c r="X1249" s="97"/>
      <c r="Y1249" s="75">
        <v>333.51</v>
      </c>
    </row>
    <row r="1250" spans="1:25" x14ac:dyDescent="0.25">
      <c r="A1250" s="76">
        <v>1282</v>
      </c>
      <c r="B1250" s="2" t="s">
        <v>14918</v>
      </c>
      <c r="C1250" s="2" t="s">
        <v>14919</v>
      </c>
      <c r="D1250" s="2" t="s">
        <v>14920</v>
      </c>
      <c r="E1250" s="2" t="s">
        <v>14921</v>
      </c>
      <c r="F1250" s="2" t="s">
        <v>14922</v>
      </c>
      <c r="G1250" s="2" t="s">
        <v>31</v>
      </c>
      <c r="H1250" s="17">
        <v>25</v>
      </c>
      <c r="I1250" s="31">
        <f t="shared" si="126"/>
        <v>25000</v>
      </c>
      <c r="J1250" s="31">
        <f t="shared" si="127"/>
        <v>1750.0000000000002</v>
      </c>
      <c r="K1250" s="44">
        <f t="shared" si="128"/>
        <v>4.794520547945206</v>
      </c>
      <c r="L1250" s="3">
        <f t="shared" si="129"/>
        <v>354.79452054794524</v>
      </c>
      <c r="M1250" s="3">
        <f t="shared" si="130"/>
        <v>21.287671232876715</v>
      </c>
      <c r="N1250" s="67">
        <f t="shared" si="131"/>
        <v>333.50684931506851</v>
      </c>
      <c r="O1250" s="3"/>
      <c r="P1250" s="70" t="s">
        <v>18629</v>
      </c>
      <c r="Q1250" s="2" t="s">
        <v>283</v>
      </c>
      <c r="R1250" s="2" t="s">
        <v>14923</v>
      </c>
      <c r="T1250" t="s">
        <v>18666</v>
      </c>
      <c r="U1250" t="s">
        <v>18652</v>
      </c>
      <c r="V1250" s="104">
        <v>45857</v>
      </c>
      <c r="X1250" s="97"/>
      <c r="Y1250" s="75">
        <v>333.51</v>
      </c>
    </row>
    <row r="1251" spans="1:25" x14ac:dyDescent="0.25">
      <c r="A1251" s="76">
        <v>1283</v>
      </c>
      <c r="B1251" s="2" t="s">
        <v>13077</v>
      </c>
      <c r="C1251" s="2" t="s">
        <v>13078</v>
      </c>
      <c r="D1251" s="2" t="s">
        <v>13079</v>
      </c>
      <c r="E1251" s="2" t="s">
        <v>13080</v>
      </c>
      <c r="F1251" s="2" t="s">
        <v>13081</v>
      </c>
      <c r="G1251" s="2" t="s">
        <v>876</v>
      </c>
      <c r="H1251" s="17">
        <v>50</v>
      </c>
      <c r="I1251" s="31">
        <f t="shared" si="126"/>
        <v>50000</v>
      </c>
      <c r="J1251" s="31">
        <f t="shared" si="127"/>
        <v>3500.0000000000005</v>
      </c>
      <c r="K1251" s="44">
        <f t="shared" si="128"/>
        <v>9.589041095890412</v>
      </c>
      <c r="L1251" s="3">
        <f t="shared" si="129"/>
        <v>709.58904109589048</v>
      </c>
      <c r="M1251" s="3">
        <f t="shared" si="130"/>
        <v>42.57534246575343</v>
      </c>
      <c r="N1251" s="67">
        <f t="shared" si="131"/>
        <v>667.01369863013701</v>
      </c>
      <c r="O1251" s="3"/>
      <c r="P1251" s="70" t="s">
        <v>18629</v>
      </c>
      <c r="Q1251" s="2" t="s">
        <v>283</v>
      </c>
      <c r="R1251" s="2" t="s">
        <v>13082</v>
      </c>
      <c r="T1251" t="s">
        <v>18666</v>
      </c>
      <c r="U1251" t="s">
        <v>18652</v>
      </c>
      <c r="V1251" s="104">
        <v>45857</v>
      </c>
      <c r="X1251" s="97"/>
      <c r="Y1251" s="75">
        <v>667.02</v>
      </c>
    </row>
    <row r="1252" spans="1:25" x14ac:dyDescent="0.25">
      <c r="A1252" s="76">
        <v>1284</v>
      </c>
      <c r="B1252" s="2" t="s">
        <v>16424</v>
      </c>
      <c r="C1252" s="2" t="s">
        <v>16425</v>
      </c>
      <c r="D1252" s="2" t="s">
        <v>16426</v>
      </c>
      <c r="E1252" s="2" t="s">
        <v>16427</v>
      </c>
      <c r="F1252" s="2" t="s">
        <v>16428</v>
      </c>
      <c r="G1252" s="2" t="s">
        <v>750</v>
      </c>
      <c r="H1252" s="17">
        <v>100</v>
      </c>
      <c r="I1252" s="31">
        <f t="shared" si="126"/>
        <v>100000</v>
      </c>
      <c r="J1252" s="31">
        <f t="shared" si="127"/>
        <v>7000.0000000000009</v>
      </c>
      <c r="K1252" s="44">
        <f t="shared" si="128"/>
        <v>19.178082191780824</v>
      </c>
      <c r="L1252" s="3">
        <f t="shared" si="129"/>
        <v>1419.178082191781</v>
      </c>
      <c r="M1252" s="3">
        <f t="shared" si="130"/>
        <v>85.150684931506859</v>
      </c>
      <c r="N1252" s="67">
        <f t="shared" si="131"/>
        <v>1334.027397260274</v>
      </c>
      <c r="O1252" s="3"/>
      <c r="P1252" s="70" t="s">
        <v>18629</v>
      </c>
      <c r="Q1252" s="2" t="s">
        <v>283</v>
      </c>
      <c r="R1252" s="2" t="s">
        <v>16429</v>
      </c>
      <c r="T1252" t="s">
        <v>18666</v>
      </c>
      <c r="U1252" t="s">
        <v>18652</v>
      </c>
      <c r="V1252" s="104">
        <v>45857</v>
      </c>
      <c r="X1252" s="97"/>
      <c r="Y1252" s="75">
        <v>1334.03</v>
      </c>
    </row>
    <row r="1253" spans="1:25" x14ac:dyDescent="0.25">
      <c r="A1253" s="76">
        <v>1285</v>
      </c>
      <c r="B1253" s="2" t="s">
        <v>8356</v>
      </c>
      <c r="C1253" s="2" t="s">
        <v>8357</v>
      </c>
      <c r="D1253" s="2" t="s">
        <v>8358</v>
      </c>
      <c r="E1253" s="2" t="s">
        <v>8359</v>
      </c>
      <c r="F1253" s="2" t="s">
        <v>8360</v>
      </c>
      <c r="G1253" s="2" t="s">
        <v>5013</v>
      </c>
      <c r="H1253" s="17">
        <v>25</v>
      </c>
      <c r="I1253" s="31">
        <f t="shared" si="126"/>
        <v>25000</v>
      </c>
      <c r="J1253" s="31">
        <f t="shared" si="127"/>
        <v>1750.0000000000002</v>
      </c>
      <c r="K1253" s="44">
        <f t="shared" si="128"/>
        <v>4.794520547945206</v>
      </c>
      <c r="L1253" s="3">
        <f t="shared" si="129"/>
        <v>354.79452054794524</v>
      </c>
      <c r="M1253" s="3">
        <f t="shared" si="130"/>
        <v>21.287671232876715</v>
      </c>
      <c r="N1253" s="67">
        <f t="shared" si="131"/>
        <v>333.50684931506851</v>
      </c>
      <c r="O1253" s="3"/>
      <c r="P1253" s="70" t="s">
        <v>18629</v>
      </c>
      <c r="Q1253" s="2" t="s">
        <v>283</v>
      </c>
      <c r="R1253" s="2" t="s">
        <v>8361</v>
      </c>
      <c r="T1253" t="s">
        <v>18666</v>
      </c>
      <c r="U1253" t="s">
        <v>18652</v>
      </c>
      <c r="V1253" s="104">
        <v>45857</v>
      </c>
      <c r="X1253" s="97"/>
      <c r="Y1253" s="75">
        <v>333.51</v>
      </c>
    </row>
    <row r="1254" spans="1:25" x14ac:dyDescent="0.25">
      <c r="A1254" s="76">
        <v>1286</v>
      </c>
      <c r="B1254" s="2" t="s">
        <v>6728</v>
      </c>
      <c r="C1254" s="2" t="s">
        <v>6729</v>
      </c>
      <c r="D1254" s="2" t="s">
        <v>6730</v>
      </c>
      <c r="E1254" s="2" t="s">
        <v>6731</v>
      </c>
      <c r="F1254" s="2" t="s">
        <v>6732</v>
      </c>
      <c r="G1254" s="2" t="s">
        <v>580</v>
      </c>
      <c r="H1254" s="17">
        <v>50</v>
      </c>
      <c r="I1254" s="31">
        <f t="shared" si="126"/>
        <v>50000</v>
      </c>
      <c r="J1254" s="31">
        <f t="shared" si="127"/>
        <v>3500.0000000000005</v>
      </c>
      <c r="K1254" s="44">
        <f t="shared" si="128"/>
        <v>9.589041095890412</v>
      </c>
      <c r="L1254" s="3">
        <f t="shared" si="129"/>
        <v>709.58904109589048</v>
      </c>
      <c r="M1254" s="3">
        <f t="shared" si="130"/>
        <v>42.57534246575343</v>
      </c>
      <c r="N1254" s="67">
        <f t="shared" si="131"/>
        <v>667.01369863013701</v>
      </c>
      <c r="O1254" s="3"/>
      <c r="P1254" s="70" t="s">
        <v>18629</v>
      </c>
      <c r="Q1254" s="2" t="s">
        <v>283</v>
      </c>
      <c r="R1254" s="2" t="s">
        <v>6733</v>
      </c>
      <c r="T1254" t="s">
        <v>18666</v>
      </c>
      <c r="U1254" t="s">
        <v>18652</v>
      </c>
      <c r="V1254" s="104">
        <v>45857</v>
      </c>
      <c r="X1254" s="97"/>
      <c r="Y1254" s="75">
        <v>667.02</v>
      </c>
    </row>
    <row r="1255" spans="1:25" x14ac:dyDescent="0.25">
      <c r="A1255" s="76">
        <v>1287</v>
      </c>
      <c r="B1255" s="2" t="s">
        <v>8113</v>
      </c>
      <c r="C1255" s="2" t="s">
        <v>8114</v>
      </c>
      <c r="D1255" s="2" t="s">
        <v>8115</v>
      </c>
      <c r="E1255" s="2" t="s">
        <v>7876</v>
      </c>
      <c r="F1255" s="2" t="s">
        <v>8116</v>
      </c>
      <c r="G1255" s="2" t="s">
        <v>2380</v>
      </c>
      <c r="H1255" s="17">
        <v>25</v>
      </c>
      <c r="I1255" s="31">
        <f t="shared" si="126"/>
        <v>25000</v>
      </c>
      <c r="J1255" s="31">
        <f t="shared" si="127"/>
        <v>1750.0000000000002</v>
      </c>
      <c r="K1255" s="44">
        <f t="shared" si="128"/>
        <v>4.794520547945206</v>
      </c>
      <c r="L1255" s="3">
        <f t="shared" si="129"/>
        <v>354.79452054794524</v>
      </c>
      <c r="M1255" s="3">
        <f t="shared" si="130"/>
        <v>21.287671232876715</v>
      </c>
      <c r="N1255" s="67">
        <f t="shared" si="131"/>
        <v>333.50684931506851</v>
      </c>
      <c r="O1255" s="3"/>
      <c r="P1255" s="70" t="s">
        <v>18629</v>
      </c>
      <c r="Q1255" s="2" t="s">
        <v>283</v>
      </c>
      <c r="R1255" s="2" t="s">
        <v>8117</v>
      </c>
      <c r="T1255" t="s">
        <v>18666</v>
      </c>
      <c r="U1255" t="s">
        <v>18652</v>
      </c>
      <c r="V1255" s="104">
        <v>45857</v>
      </c>
      <c r="X1255" s="97"/>
      <c r="Y1255" s="75">
        <v>333.51</v>
      </c>
    </row>
    <row r="1256" spans="1:25" x14ac:dyDescent="0.25">
      <c r="A1256" s="76">
        <v>1288</v>
      </c>
      <c r="B1256" s="2" t="s">
        <v>6100</v>
      </c>
      <c r="C1256" s="2" t="s">
        <v>6101</v>
      </c>
      <c r="D1256" s="2" t="s">
        <v>6102</v>
      </c>
      <c r="E1256" s="2" t="s">
        <v>6103</v>
      </c>
      <c r="F1256" s="2" t="s">
        <v>6104</v>
      </c>
      <c r="G1256" s="2" t="s">
        <v>1315</v>
      </c>
      <c r="H1256" s="17">
        <v>25</v>
      </c>
      <c r="I1256" s="31">
        <f t="shared" si="126"/>
        <v>25000</v>
      </c>
      <c r="J1256" s="31">
        <f t="shared" si="127"/>
        <v>1750.0000000000002</v>
      </c>
      <c r="K1256" s="44">
        <f t="shared" si="128"/>
        <v>4.794520547945206</v>
      </c>
      <c r="L1256" s="3">
        <f t="shared" si="129"/>
        <v>354.79452054794524</v>
      </c>
      <c r="M1256" s="3">
        <f t="shared" si="130"/>
        <v>21.287671232876715</v>
      </c>
      <c r="N1256" s="67">
        <f t="shared" si="131"/>
        <v>333.50684931506851</v>
      </c>
      <c r="O1256" s="3"/>
      <c r="P1256" s="70" t="s">
        <v>18629</v>
      </c>
      <c r="Q1256" s="2" t="s">
        <v>283</v>
      </c>
      <c r="R1256" s="2" t="s">
        <v>6105</v>
      </c>
      <c r="T1256" t="s">
        <v>18666</v>
      </c>
      <c r="U1256" t="s">
        <v>18652</v>
      </c>
      <c r="V1256" s="104">
        <v>45857</v>
      </c>
      <c r="X1256" s="97"/>
      <c r="Y1256" s="75">
        <v>333.51</v>
      </c>
    </row>
    <row r="1257" spans="1:25" x14ac:dyDescent="0.25">
      <c r="A1257" s="76">
        <v>1289</v>
      </c>
      <c r="B1257" s="2" t="s">
        <v>594</v>
      </c>
      <c r="C1257" s="2" t="s">
        <v>595</v>
      </c>
      <c r="D1257" s="2" t="s">
        <v>596</v>
      </c>
      <c r="E1257" s="2" t="s">
        <v>597</v>
      </c>
      <c r="F1257" s="2" t="s">
        <v>598</v>
      </c>
      <c r="G1257" s="2" t="s">
        <v>599</v>
      </c>
      <c r="H1257" s="17">
        <v>25</v>
      </c>
      <c r="I1257" s="31">
        <f t="shared" si="126"/>
        <v>25000</v>
      </c>
      <c r="J1257" s="31">
        <f t="shared" si="127"/>
        <v>1750.0000000000002</v>
      </c>
      <c r="K1257" s="44">
        <f t="shared" si="128"/>
        <v>4.794520547945206</v>
      </c>
      <c r="L1257" s="3">
        <f t="shared" si="129"/>
        <v>354.79452054794524</v>
      </c>
      <c r="M1257" s="3">
        <f t="shared" si="130"/>
        <v>21.287671232876715</v>
      </c>
      <c r="N1257" s="67">
        <f t="shared" si="131"/>
        <v>333.50684931506851</v>
      </c>
      <c r="O1257" s="3"/>
      <c r="P1257" s="70" t="s">
        <v>18629</v>
      </c>
      <c r="Q1257" s="2" t="s">
        <v>283</v>
      </c>
      <c r="R1257" s="2" t="s">
        <v>600</v>
      </c>
      <c r="T1257" t="s">
        <v>18666</v>
      </c>
      <c r="U1257" t="s">
        <v>18652</v>
      </c>
      <c r="V1257" s="104">
        <v>45857</v>
      </c>
      <c r="X1257" s="97"/>
      <c r="Y1257" s="75">
        <v>333.51</v>
      </c>
    </row>
    <row r="1258" spans="1:25" x14ac:dyDescent="0.25">
      <c r="A1258" s="76">
        <v>1290</v>
      </c>
      <c r="B1258" s="2" t="s">
        <v>18429</v>
      </c>
      <c r="C1258" s="2" t="s">
        <v>18430</v>
      </c>
      <c r="D1258" s="2" t="s">
        <v>18431</v>
      </c>
      <c r="E1258" s="2" t="s">
        <v>16543</v>
      </c>
      <c r="F1258" s="2" t="s">
        <v>18432</v>
      </c>
      <c r="G1258" s="2" t="s">
        <v>31</v>
      </c>
      <c r="H1258" s="17">
        <v>25</v>
      </c>
      <c r="I1258" s="31">
        <f t="shared" si="126"/>
        <v>25000</v>
      </c>
      <c r="J1258" s="31">
        <f t="shared" si="127"/>
        <v>1750.0000000000002</v>
      </c>
      <c r="K1258" s="44">
        <f t="shared" si="128"/>
        <v>4.794520547945206</v>
      </c>
      <c r="L1258" s="3">
        <f t="shared" si="129"/>
        <v>354.79452054794524</v>
      </c>
      <c r="M1258" s="3">
        <f t="shared" si="130"/>
        <v>21.287671232876715</v>
      </c>
      <c r="N1258" s="67">
        <f t="shared" si="131"/>
        <v>333.50684931506851</v>
      </c>
      <c r="O1258" s="3"/>
      <c r="P1258" s="70" t="s">
        <v>18629</v>
      </c>
      <c r="Q1258" s="2" t="s">
        <v>283</v>
      </c>
      <c r="R1258" s="2" t="s">
        <v>18433</v>
      </c>
      <c r="T1258" t="s">
        <v>18666</v>
      </c>
      <c r="U1258" t="s">
        <v>18652</v>
      </c>
      <c r="V1258" s="104">
        <v>45857</v>
      </c>
      <c r="X1258" s="97"/>
      <c r="Y1258" s="75">
        <v>333.51</v>
      </c>
    </row>
    <row r="1259" spans="1:25" x14ac:dyDescent="0.25">
      <c r="A1259" s="76">
        <v>1291</v>
      </c>
      <c r="B1259" s="2" t="s">
        <v>5208</v>
      </c>
      <c r="C1259" s="2" t="s">
        <v>5209</v>
      </c>
      <c r="D1259" s="2" t="s">
        <v>5210</v>
      </c>
      <c r="E1259" s="2" t="s">
        <v>5211</v>
      </c>
      <c r="F1259" s="2" t="s">
        <v>5212</v>
      </c>
      <c r="G1259" s="2" t="s">
        <v>31</v>
      </c>
      <c r="H1259" s="17">
        <v>25</v>
      </c>
      <c r="I1259" s="31">
        <f t="shared" si="126"/>
        <v>25000</v>
      </c>
      <c r="J1259" s="31">
        <f t="shared" si="127"/>
        <v>1750.0000000000002</v>
      </c>
      <c r="K1259" s="44">
        <f t="shared" si="128"/>
        <v>4.794520547945206</v>
      </c>
      <c r="L1259" s="3">
        <f t="shared" si="129"/>
        <v>354.79452054794524</v>
      </c>
      <c r="M1259" s="3">
        <f t="shared" si="130"/>
        <v>21.287671232876715</v>
      </c>
      <c r="N1259" s="67">
        <f t="shared" si="131"/>
        <v>333.50684931506851</v>
      </c>
      <c r="O1259" s="3"/>
      <c r="P1259" s="70" t="s">
        <v>18629</v>
      </c>
      <c r="Q1259" s="2" t="s">
        <v>283</v>
      </c>
      <c r="R1259" s="2" t="s">
        <v>5213</v>
      </c>
      <c r="T1259" t="s">
        <v>18666</v>
      </c>
      <c r="U1259" t="s">
        <v>18652</v>
      </c>
      <c r="V1259" s="104">
        <v>45857</v>
      </c>
      <c r="X1259" s="97"/>
      <c r="Y1259" s="75">
        <v>333.51</v>
      </c>
    </row>
    <row r="1260" spans="1:25" x14ac:dyDescent="0.25">
      <c r="A1260" s="76">
        <v>1292</v>
      </c>
      <c r="B1260" s="2" t="s">
        <v>4175</v>
      </c>
      <c r="C1260" s="2" t="s">
        <v>4176</v>
      </c>
      <c r="D1260" s="2" t="s">
        <v>4177</v>
      </c>
      <c r="E1260" s="2" t="s">
        <v>4178</v>
      </c>
      <c r="F1260" s="2" t="s">
        <v>4179</v>
      </c>
      <c r="G1260" s="2" t="s">
        <v>328</v>
      </c>
      <c r="H1260" s="17">
        <v>25</v>
      </c>
      <c r="I1260" s="31">
        <f t="shared" si="126"/>
        <v>25000</v>
      </c>
      <c r="J1260" s="31">
        <f t="shared" si="127"/>
        <v>1750.0000000000002</v>
      </c>
      <c r="K1260" s="44">
        <f t="shared" si="128"/>
        <v>4.794520547945206</v>
      </c>
      <c r="L1260" s="3">
        <f t="shared" si="129"/>
        <v>354.79452054794524</v>
      </c>
      <c r="M1260" s="3">
        <f t="shared" si="130"/>
        <v>21.287671232876715</v>
      </c>
      <c r="N1260" s="67">
        <f t="shared" si="131"/>
        <v>333.50684931506851</v>
      </c>
      <c r="O1260" s="3"/>
      <c r="P1260" s="70" t="s">
        <v>18629</v>
      </c>
      <c r="Q1260" s="2" t="s">
        <v>283</v>
      </c>
      <c r="R1260" s="2" t="s">
        <v>4180</v>
      </c>
      <c r="T1260" t="s">
        <v>18666</v>
      </c>
      <c r="U1260" t="s">
        <v>18652</v>
      </c>
      <c r="V1260" s="104">
        <v>45857</v>
      </c>
      <c r="X1260" s="97"/>
      <c r="Y1260" s="75">
        <v>333.51</v>
      </c>
    </row>
    <row r="1261" spans="1:25" x14ac:dyDescent="0.25">
      <c r="A1261" s="76">
        <v>1293</v>
      </c>
      <c r="B1261" s="2" t="s">
        <v>7013</v>
      </c>
      <c r="C1261" s="2" t="s">
        <v>7014</v>
      </c>
      <c r="D1261" s="2" t="s">
        <v>4177</v>
      </c>
      <c r="E1261" s="2" t="s">
        <v>7015</v>
      </c>
      <c r="F1261" s="2" t="s">
        <v>7016</v>
      </c>
      <c r="G1261" s="2" t="s">
        <v>328</v>
      </c>
      <c r="H1261" s="17">
        <v>25</v>
      </c>
      <c r="I1261" s="31">
        <f t="shared" si="126"/>
        <v>25000</v>
      </c>
      <c r="J1261" s="31">
        <f t="shared" si="127"/>
        <v>1750.0000000000002</v>
      </c>
      <c r="K1261" s="44">
        <f t="shared" si="128"/>
        <v>4.794520547945206</v>
      </c>
      <c r="L1261" s="3">
        <f t="shared" si="129"/>
        <v>354.79452054794524</v>
      </c>
      <c r="M1261" s="3">
        <f t="shared" si="130"/>
        <v>21.287671232876715</v>
      </c>
      <c r="N1261" s="67">
        <f t="shared" si="131"/>
        <v>333.50684931506851</v>
      </c>
      <c r="O1261" s="3"/>
      <c r="P1261" s="70" t="s">
        <v>18629</v>
      </c>
      <c r="Q1261" s="2" t="s">
        <v>283</v>
      </c>
      <c r="R1261" s="2" t="s">
        <v>7017</v>
      </c>
      <c r="T1261" t="s">
        <v>18666</v>
      </c>
      <c r="U1261" t="s">
        <v>18652</v>
      </c>
      <c r="V1261" s="104">
        <v>45857</v>
      </c>
      <c r="X1261" s="97"/>
      <c r="Y1261" s="75">
        <v>333.51</v>
      </c>
    </row>
    <row r="1262" spans="1:25" x14ac:dyDescent="0.25">
      <c r="A1262" s="76">
        <v>1294</v>
      </c>
      <c r="B1262" s="2" t="s">
        <v>6462</v>
      </c>
      <c r="C1262" s="2" t="s">
        <v>766</v>
      </c>
      <c r="D1262" s="2" t="s">
        <v>6463</v>
      </c>
      <c r="E1262" s="2" t="s">
        <v>4099</v>
      </c>
      <c r="F1262" s="2" t="s">
        <v>6464</v>
      </c>
      <c r="G1262" s="2" t="s">
        <v>2380</v>
      </c>
      <c r="H1262" s="17">
        <v>25</v>
      </c>
      <c r="I1262" s="31">
        <f t="shared" si="126"/>
        <v>25000</v>
      </c>
      <c r="J1262" s="31">
        <f t="shared" si="127"/>
        <v>1750.0000000000002</v>
      </c>
      <c r="K1262" s="44">
        <f t="shared" si="128"/>
        <v>4.794520547945206</v>
      </c>
      <c r="L1262" s="3">
        <f t="shared" si="129"/>
        <v>354.79452054794524</v>
      </c>
      <c r="M1262" s="3">
        <f t="shared" si="130"/>
        <v>21.287671232876715</v>
      </c>
      <c r="N1262" s="67">
        <f t="shared" si="131"/>
        <v>333.50684931506851</v>
      </c>
      <c r="O1262" s="3"/>
      <c r="P1262" s="70" t="s">
        <v>18629</v>
      </c>
      <c r="Q1262" s="2" t="s">
        <v>283</v>
      </c>
      <c r="R1262" s="2" t="s">
        <v>6465</v>
      </c>
      <c r="T1262" t="s">
        <v>18666</v>
      </c>
      <c r="U1262" t="s">
        <v>18652</v>
      </c>
      <c r="V1262" s="104">
        <v>45857</v>
      </c>
      <c r="X1262" s="97"/>
      <c r="Y1262" s="75">
        <v>333.51</v>
      </c>
    </row>
    <row r="1263" spans="1:25" x14ac:dyDescent="0.25">
      <c r="A1263" s="76">
        <v>1295</v>
      </c>
      <c r="B1263" s="2" t="s">
        <v>16379</v>
      </c>
      <c r="C1263" s="2" t="s">
        <v>16380</v>
      </c>
      <c r="D1263" s="2" t="s">
        <v>16381</v>
      </c>
      <c r="E1263" s="2" t="s">
        <v>16382</v>
      </c>
      <c r="F1263" s="2" t="s">
        <v>16383</v>
      </c>
      <c r="G1263" s="2" t="s">
        <v>282</v>
      </c>
      <c r="H1263" s="17">
        <v>25</v>
      </c>
      <c r="I1263" s="31">
        <f t="shared" si="126"/>
        <v>25000</v>
      </c>
      <c r="J1263" s="31">
        <f t="shared" si="127"/>
        <v>1750.0000000000002</v>
      </c>
      <c r="K1263" s="44">
        <f t="shared" si="128"/>
        <v>4.794520547945206</v>
      </c>
      <c r="L1263" s="3">
        <f t="shared" si="129"/>
        <v>354.79452054794524</v>
      </c>
      <c r="M1263" s="3">
        <f t="shared" si="130"/>
        <v>21.287671232876715</v>
      </c>
      <c r="N1263" s="67">
        <f t="shared" si="131"/>
        <v>333.50684931506851</v>
      </c>
      <c r="O1263" s="3"/>
      <c r="P1263" s="70" t="s">
        <v>18629</v>
      </c>
      <c r="Q1263" s="2" t="s">
        <v>283</v>
      </c>
      <c r="R1263" s="2" t="s">
        <v>16384</v>
      </c>
      <c r="T1263" t="s">
        <v>18666</v>
      </c>
      <c r="U1263" t="s">
        <v>18652</v>
      </c>
      <c r="V1263" s="104">
        <v>45857</v>
      </c>
      <c r="X1263" s="97"/>
      <c r="Y1263" s="75">
        <v>333.51</v>
      </c>
    </row>
    <row r="1264" spans="1:25" x14ac:dyDescent="0.25">
      <c r="A1264" s="76">
        <v>1296</v>
      </c>
      <c r="B1264" s="2" t="s">
        <v>538</v>
      </c>
      <c r="C1264" s="2" t="s">
        <v>539</v>
      </c>
      <c r="D1264" s="2" t="s">
        <v>540</v>
      </c>
      <c r="E1264" s="2" t="s">
        <v>541</v>
      </c>
      <c r="F1264" s="2" t="s">
        <v>542</v>
      </c>
      <c r="G1264" s="2" t="s">
        <v>543</v>
      </c>
      <c r="H1264" s="17">
        <v>25</v>
      </c>
      <c r="I1264" s="31">
        <f t="shared" si="126"/>
        <v>25000</v>
      </c>
      <c r="J1264" s="31">
        <f t="shared" si="127"/>
        <v>1750.0000000000002</v>
      </c>
      <c r="K1264" s="44">
        <f t="shared" si="128"/>
        <v>4.794520547945206</v>
      </c>
      <c r="L1264" s="3">
        <f t="shared" si="129"/>
        <v>354.79452054794524</v>
      </c>
      <c r="M1264" s="3">
        <f t="shared" si="130"/>
        <v>21.287671232876715</v>
      </c>
      <c r="N1264" s="67">
        <f t="shared" si="131"/>
        <v>333.50684931506851</v>
      </c>
      <c r="O1264" s="3"/>
      <c r="P1264" s="70" t="s">
        <v>18629</v>
      </c>
      <c r="Q1264" s="2" t="s">
        <v>283</v>
      </c>
      <c r="R1264" s="2" t="s">
        <v>544</v>
      </c>
      <c r="T1264" t="s">
        <v>18666</v>
      </c>
      <c r="U1264" t="s">
        <v>18652</v>
      </c>
      <c r="V1264" s="104">
        <v>45857</v>
      </c>
      <c r="X1264" s="97"/>
      <c r="Y1264" s="75">
        <v>333.51</v>
      </c>
    </row>
    <row r="1265" spans="1:25" x14ac:dyDescent="0.25">
      <c r="A1265" s="76">
        <v>1297</v>
      </c>
      <c r="B1265" s="2" t="s">
        <v>14223</v>
      </c>
      <c r="C1265" s="2" t="s">
        <v>14224</v>
      </c>
      <c r="D1265" s="2" t="s">
        <v>5442</v>
      </c>
      <c r="E1265" s="2" t="s">
        <v>14225</v>
      </c>
      <c r="F1265" s="2" t="s">
        <v>14226</v>
      </c>
      <c r="G1265" s="2" t="s">
        <v>1570</v>
      </c>
      <c r="H1265" s="17">
        <v>25</v>
      </c>
      <c r="I1265" s="31">
        <f t="shared" si="126"/>
        <v>25000</v>
      </c>
      <c r="J1265" s="31">
        <f t="shared" si="127"/>
        <v>1750.0000000000002</v>
      </c>
      <c r="K1265" s="44">
        <f t="shared" si="128"/>
        <v>4.794520547945206</v>
      </c>
      <c r="L1265" s="3">
        <f t="shared" si="129"/>
        <v>354.79452054794524</v>
      </c>
      <c r="M1265" s="3">
        <f t="shared" si="130"/>
        <v>21.287671232876715</v>
      </c>
      <c r="N1265" s="67">
        <f t="shared" si="131"/>
        <v>333.50684931506851</v>
      </c>
      <c r="O1265" s="3"/>
      <c r="P1265" s="70" t="s">
        <v>18629</v>
      </c>
      <c r="Q1265" s="2" t="s">
        <v>283</v>
      </c>
      <c r="R1265" s="2" t="s">
        <v>14227</v>
      </c>
      <c r="T1265" t="s">
        <v>18666</v>
      </c>
      <c r="U1265" t="s">
        <v>18652</v>
      </c>
      <c r="V1265" s="104">
        <v>45857</v>
      </c>
      <c r="X1265" s="97"/>
      <c r="Y1265" s="75">
        <v>333.51</v>
      </c>
    </row>
    <row r="1266" spans="1:25" x14ac:dyDescent="0.25">
      <c r="A1266" s="76">
        <v>1298</v>
      </c>
      <c r="B1266" s="2" t="s">
        <v>14298</v>
      </c>
      <c r="C1266" s="2" t="s">
        <v>14299</v>
      </c>
      <c r="D1266" s="2" t="s">
        <v>14300</v>
      </c>
      <c r="E1266" s="2" t="s">
        <v>14301</v>
      </c>
      <c r="F1266" s="2" t="s">
        <v>14302</v>
      </c>
      <c r="G1266" s="2" t="s">
        <v>643</v>
      </c>
      <c r="H1266" s="17">
        <v>30</v>
      </c>
      <c r="I1266" s="31">
        <f t="shared" si="126"/>
        <v>30000</v>
      </c>
      <c r="J1266" s="31">
        <f t="shared" si="127"/>
        <v>2100</v>
      </c>
      <c r="K1266" s="44">
        <f t="shared" si="128"/>
        <v>5.7534246575342465</v>
      </c>
      <c r="L1266" s="3">
        <f t="shared" si="129"/>
        <v>425.75342465753425</v>
      </c>
      <c r="M1266" s="3">
        <f t="shared" si="130"/>
        <v>25.545205479452054</v>
      </c>
      <c r="N1266" s="67">
        <f t="shared" si="131"/>
        <v>400.20821917808217</v>
      </c>
      <c r="O1266" s="3"/>
      <c r="P1266" s="70" t="s">
        <v>18629</v>
      </c>
      <c r="Q1266" s="2" t="s">
        <v>283</v>
      </c>
      <c r="R1266" s="2" t="s">
        <v>14303</v>
      </c>
      <c r="T1266" t="s">
        <v>18666</v>
      </c>
      <c r="U1266" t="s">
        <v>18652</v>
      </c>
      <c r="V1266" s="104">
        <v>45857</v>
      </c>
      <c r="X1266" s="97"/>
      <c r="Y1266" s="75">
        <v>400.21</v>
      </c>
    </row>
    <row r="1267" spans="1:25" x14ac:dyDescent="0.25">
      <c r="A1267" s="76">
        <v>1299</v>
      </c>
      <c r="B1267" s="2" t="s">
        <v>11707</v>
      </c>
      <c r="C1267" s="2" t="s">
        <v>11708</v>
      </c>
      <c r="D1267" s="2" t="s">
        <v>11709</v>
      </c>
      <c r="E1267" s="2" t="s">
        <v>11710</v>
      </c>
      <c r="F1267" s="2" t="s">
        <v>11711</v>
      </c>
      <c r="G1267" s="2" t="s">
        <v>2137</v>
      </c>
      <c r="H1267" s="17">
        <v>25</v>
      </c>
      <c r="I1267" s="31">
        <f t="shared" si="126"/>
        <v>25000</v>
      </c>
      <c r="J1267" s="31">
        <f t="shared" si="127"/>
        <v>1750.0000000000002</v>
      </c>
      <c r="K1267" s="44">
        <f t="shared" si="128"/>
        <v>4.794520547945206</v>
      </c>
      <c r="L1267" s="3">
        <f t="shared" si="129"/>
        <v>354.79452054794524</v>
      </c>
      <c r="M1267" s="3">
        <f t="shared" si="130"/>
        <v>21.287671232876715</v>
      </c>
      <c r="N1267" s="67">
        <f t="shared" si="131"/>
        <v>333.50684931506851</v>
      </c>
      <c r="O1267" s="3"/>
      <c r="P1267" s="70" t="s">
        <v>18629</v>
      </c>
      <c r="Q1267" s="2" t="s">
        <v>283</v>
      </c>
      <c r="R1267" s="2" t="s">
        <v>11712</v>
      </c>
      <c r="T1267" t="s">
        <v>18666</v>
      </c>
      <c r="U1267" t="s">
        <v>18652</v>
      </c>
      <c r="V1267" s="104">
        <v>45857</v>
      </c>
      <c r="X1267" s="97"/>
      <c r="Y1267" s="75">
        <v>333.51</v>
      </c>
    </row>
    <row r="1268" spans="1:25" x14ac:dyDescent="0.25">
      <c r="A1268" s="76">
        <v>1300</v>
      </c>
      <c r="B1268" s="2" t="s">
        <v>14517</v>
      </c>
      <c r="C1268" s="2" t="s">
        <v>14518</v>
      </c>
      <c r="D1268" s="2" t="s">
        <v>14519</v>
      </c>
      <c r="E1268" s="2" t="s">
        <v>14520</v>
      </c>
      <c r="F1268" s="2" t="s">
        <v>14521</v>
      </c>
      <c r="G1268" s="2" t="s">
        <v>750</v>
      </c>
      <c r="H1268" s="17">
        <v>50</v>
      </c>
      <c r="I1268" s="31">
        <f t="shared" si="126"/>
        <v>50000</v>
      </c>
      <c r="J1268" s="31">
        <f t="shared" si="127"/>
        <v>3500.0000000000005</v>
      </c>
      <c r="K1268" s="44">
        <f t="shared" si="128"/>
        <v>9.589041095890412</v>
      </c>
      <c r="L1268" s="3">
        <f t="shared" si="129"/>
        <v>709.58904109589048</v>
      </c>
      <c r="M1268" s="3">
        <f t="shared" si="130"/>
        <v>42.57534246575343</v>
      </c>
      <c r="N1268" s="67">
        <f t="shared" si="131"/>
        <v>667.01369863013701</v>
      </c>
      <c r="O1268" s="3"/>
      <c r="P1268" s="70" t="s">
        <v>18629</v>
      </c>
      <c r="Q1268" s="2" t="s">
        <v>283</v>
      </c>
      <c r="R1268" s="2" t="s">
        <v>14522</v>
      </c>
      <c r="T1268" t="s">
        <v>18666</v>
      </c>
      <c r="U1268" t="s">
        <v>18652</v>
      </c>
      <c r="V1268" s="104">
        <v>45857</v>
      </c>
      <c r="X1268" s="97"/>
      <c r="Y1268" s="75">
        <v>667.02</v>
      </c>
    </row>
    <row r="1269" spans="1:25" x14ac:dyDescent="0.25">
      <c r="A1269" s="76">
        <v>1301</v>
      </c>
      <c r="B1269" s="2" t="s">
        <v>2879</v>
      </c>
      <c r="C1269" s="2" t="s">
        <v>2880</v>
      </c>
      <c r="D1269" s="2" t="s">
        <v>2881</v>
      </c>
      <c r="E1269" s="2" t="s">
        <v>2882</v>
      </c>
      <c r="F1269" s="2" t="s">
        <v>2883</v>
      </c>
      <c r="G1269" s="2" t="s">
        <v>31</v>
      </c>
      <c r="H1269" s="17">
        <v>50</v>
      </c>
      <c r="I1269" s="31">
        <f t="shared" si="126"/>
        <v>50000</v>
      </c>
      <c r="J1269" s="31">
        <f t="shared" si="127"/>
        <v>3500.0000000000005</v>
      </c>
      <c r="K1269" s="44">
        <f t="shared" si="128"/>
        <v>9.589041095890412</v>
      </c>
      <c r="L1269" s="3">
        <f t="shared" si="129"/>
        <v>709.58904109589048</v>
      </c>
      <c r="M1269" s="3">
        <f t="shared" si="130"/>
        <v>42.57534246575343</v>
      </c>
      <c r="N1269" s="67">
        <f t="shared" si="131"/>
        <v>667.01369863013701</v>
      </c>
      <c r="O1269" s="3"/>
      <c r="P1269" s="70" t="s">
        <v>18629</v>
      </c>
      <c r="Q1269" s="2" t="s">
        <v>283</v>
      </c>
      <c r="R1269" s="2" t="s">
        <v>2884</v>
      </c>
      <c r="T1269" t="s">
        <v>18666</v>
      </c>
      <c r="U1269" t="s">
        <v>18652</v>
      </c>
      <c r="V1269" s="104">
        <v>45857</v>
      </c>
      <c r="X1269" s="97"/>
      <c r="Y1269" s="75">
        <v>667.02</v>
      </c>
    </row>
    <row r="1270" spans="1:25" x14ac:dyDescent="0.25">
      <c r="A1270" s="76">
        <v>1302</v>
      </c>
      <c r="B1270" s="2" t="s">
        <v>17874</v>
      </c>
      <c r="C1270" s="2" t="s">
        <v>17875</v>
      </c>
      <c r="D1270" s="2" t="s">
        <v>7443</v>
      </c>
      <c r="E1270" s="2" t="s">
        <v>7444</v>
      </c>
      <c r="F1270" s="2" t="s">
        <v>17876</v>
      </c>
      <c r="G1270" s="2" t="s">
        <v>2571</v>
      </c>
      <c r="H1270" s="17">
        <v>25</v>
      </c>
      <c r="I1270" s="31">
        <f t="shared" si="126"/>
        <v>25000</v>
      </c>
      <c r="J1270" s="31">
        <f t="shared" si="127"/>
        <v>1750.0000000000002</v>
      </c>
      <c r="K1270" s="44">
        <f t="shared" si="128"/>
        <v>4.794520547945206</v>
      </c>
      <c r="L1270" s="3">
        <f t="shared" si="129"/>
        <v>354.79452054794524</v>
      </c>
      <c r="M1270" s="3">
        <f t="shared" si="130"/>
        <v>21.287671232876715</v>
      </c>
      <c r="N1270" s="67">
        <f t="shared" si="131"/>
        <v>333.50684931506851</v>
      </c>
      <c r="O1270" s="3"/>
      <c r="P1270" s="70" t="s">
        <v>18629</v>
      </c>
      <c r="Q1270" s="2" t="s">
        <v>283</v>
      </c>
      <c r="R1270" s="2" t="s">
        <v>17877</v>
      </c>
      <c r="T1270" t="s">
        <v>18666</v>
      </c>
      <c r="U1270" t="s">
        <v>18652</v>
      </c>
      <c r="V1270" s="104">
        <v>45857</v>
      </c>
      <c r="X1270" s="97"/>
      <c r="Y1270" s="75">
        <v>333.51</v>
      </c>
    </row>
    <row r="1271" spans="1:25" x14ac:dyDescent="0.25">
      <c r="A1271" s="76">
        <v>1303</v>
      </c>
      <c r="B1271" s="2" t="s">
        <v>4624</v>
      </c>
      <c r="C1271" s="2" t="s">
        <v>4625</v>
      </c>
      <c r="D1271" s="2" t="s">
        <v>4626</v>
      </c>
      <c r="E1271" s="2" t="s">
        <v>4627</v>
      </c>
      <c r="F1271" s="2" t="s">
        <v>4628</v>
      </c>
      <c r="G1271" s="2" t="s">
        <v>1570</v>
      </c>
      <c r="H1271" s="17">
        <v>25</v>
      </c>
      <c r="I1271" s="31">
        <f t="shared" si="126"/>
        <v>25000</v>
      </c>
      <c r="J1271" s="31">
        <f t="shared" si="127"/>
        <v>1750.0000000000002</v>
      </c>
      <c r="K1271" s="44">
        <f t="shared" si="128"/>
        <v>4.794520547945206</v>
      </c>
      <c r="L1271" s="3">
        <f t="shared" si="129"/>
        <v>354.79452054794524</v>
      </c>
      <c r="M1271" s="3">
        <f t="shared" si="130"/>
        <v>21.287671232876715</v>
      </c>
      <c r="N1271" s="67">
        <f t="shared" si="131"/>
        <v>333.50684931506851</v>
      </c>
      <c r="O1271" s="3"/>
      <c r="P1271" s="70" t="s">
        <v>18629</v>
      </c>
      <c r="Q1271" s="2" t="s">
        <v>283</v>
      </c>
      <c r="R1271" s="2" t="s">
        <v>4629</v>
      </c>
      <c r="T1271" t="s">
        <v>18666</v>
      </c>
      <c r="U1271" t="s">
        <v>18652</v>
      </c>
      <c r="V1271" s="104">
        <v>45857</v>
      </c>
      <c r="X1271" s="97"/>
      <c r="Y1271" s="75">
        <v>333.51</v>
      </c>
    </row>
    <row r="1272" spans="1:25" x14ac:dyDescent="0.25">
      <c r="A1272" s="76">
        <v>1304</v>
      </c>
      <c r="B1272" s="2" t="s">
        <v>16150</v>
      </c>
      <c r="C1272" s="2" t="s">
        <v>16151</v>
      </c>
      <c r="D1272" s="2" t="s">
        <v>16152</v>
      </c>
      <c r="E1272" s="2" t="s">
        <v>16153</v>
      </c>
      <c r="F1272" s="2" t="s">
        <v>16154</v>
      </c>
      <c r="G1272" s="2" t="s">
        <v>61</v>
      </c>
      <c r="H1272" s="17">
        <v>25</v>
      </c>
      <c r="I1272" s="31">
        <f t="shared" si="126"/>
        <v>25000</v>
      </c>
      <c r="J1272" s="31">
        <f t="shared" si="127"/>
        <v>1750.0000000000002</v>
      </c>
      <c r="K1272" s="44">
        <f t="shared" si="128"/>
        <v>4.794520547945206</v>
      </c>
      <c r="L1272" s="3">
        <f t="shared" si="129"/>
        <v>354.79452054794524</v>
      </c>
      <c r="M1272" s="3">
        <f t="shared" si="130"/>
        <v>21.287671232876715</v>
      </c>
      <c r="N1272" s="67">
        <f t="shared" si="131"/>
        <v>333.50684931506851</v>
      </c>
      <c r="O1272" s="3"/>
      <c r="P1272" s="70" t="s">
        <v>18629</v>
      </c>
      <c r="Q1272" s="2" t="s">
        <v>283</v>
      </c>
      <c r="R1272" s="2" t="s">
        <v>16155</v>
      </c>
      <c r="T1272" t="s">
        <v>18666</v>
      </c>
      <c r="U1272" t="s">
        <v>18652</v>
      </c>
      <c r="V1272" s="104">
        <v>45857</v>
      </c>
      <c r="X1272" s="97"/>
      <c r="Y1272" s="75">
        <v>333.51</v>
      </c>
    </row>
    <row r="1273" spans="1:25" x14ac:dyDescent="0.25">
      <c r="A1273" s="76">
        <v>1305</v>
      </c>
      <c r="B1273" s="2" t="s">
        <v>6207</v>
      </c>
      <c r="C1273" s="2" t="s">
        <v>6208</v>
      </c>
      <c r="D1273" s="2" t="s">
        <v>6209</v>
      </c>
      <c r="E1273" s="2" t="s">
        <v>6210</v>
      </c>
      <c r="F1273" s="2" t="s">
        <v>6211</v>
      </c>
      <c r="G1273" s="2" t="s">
        <v>412</v>
      </c>
      <c r="H1273" s="17">
        <v>25</v>
      </c>
      <c r="I1273" s="31">
        <f t="shared" si="126"/>
        <v>25000</v>
      </c>
      <c r="J1273" s="31">
        <f t="shared" si="127"/>
        <v>1750.0000000000002</v>
      </c>
      <c r="K1273" s="44">
        <f t="shared" si="128"/>
        <v>4.794520547945206</v>
      </c>
      <c r="L1273" s="3">
        <f t="shared" si="129"/>
        <v>354.79452054794524</v>
      </c>
      <c r="M1273" s="3">
        <f t="shared" si="130"/>
        <v>21.287671232876715</v>
      </c>
      <c r="N1273" s="67">
        <f t="shared" si="131"/>
        <v>333.50684931506851</v>
      </c>
      <c r="O1273" s="3"/>
      <c r="P1273" s="70" t="s">
        <v>18629</v>
      </c>
      <c r="Q1273" s="2" t="s">
        <v>283</v>
      </c>
      <c r="R1273" s="2" t="s">
        <v>6212</v>
      </c>
      <c r="T1273" t="s">
        <v>18666</v>
      </c>
      <c r="U1273" t="s">
        <v>18652</v>
      </c>
      <c r="V1273" s="104">
        <v>45857</v>
      </c>
      <c r="X1273" s="97"/>
      <c r="Y1273" s="75">
        <v>333.51</v>
      </c>
    </row>
    <row r="1274" spans="1:25" x14ac:dyDescent="0.25">
      <c r="A1274" s="76">
        <v>1306</v>
      </c>
      <c r="B1274" s="2" t="s">
        <v>13175</v>
      </c>
      <c r="C1274" s="2" t="s">
        <v>13176</v>
      </c>
      <c r="D1274" s="2" t="s">
        <v>13177</v>
      </c>
      <c r="E1274" s="2" t="s">
        <v>13178</v>
      </c>
      <c r="F1274" s="2" t="s">
        <v>13179</v>
      </c>
      <c r="G1274" s="2" t="s">
        <v>151</v>
      </c>
      <c r="H1274" s="17">
        <v>25</v>
      </c>
      <c r="I1274" s="31">
        <f t="shared" si="126"/>
        <v>25000</v>
      </c>
      <c r="J1274" s="31">
        <f t="shared" si="127"/>
        <v>1750.0000000000002</v>
      </c>
      <c r="K1274" s="44">
        <f t="shared" si="128"/>
        <v>4.794520547945206</v>
      </c>
      <c r="L1274" s="3">
        <f t="shared" si="129"/>
        <v>354.79452054794524</v>
      </c>
      <c r="M1274" s="3">
        <f t="shared" si="130"/>
        <v>21.287671232876715</v>
      </c>
      <c r="N1274" s="67">
        <f t="shared" si="131"/>
        <v>333.50684931506851</v>
      </c>
      <c r="O1274" s="3"/>
      <c r="P1274" s="70" t="s">
        <v>18629</v>
      </c>
      <c r="Q1274" s="2" t="s">
        <v>283</v>
      </c>
      <c r="R1274" s="2" t="s">
        <v>13180</v>
      </c>
      <c r="T1274" t="s">
        <v>18666</v>
      </c>
      <c r="U1274" t="s">
        <v>18652</v>
      </c>
      <c r="V1274" s="104">
        <v>45857</v>
      </c>
      <c r="X1274" s="97"/>
      <c r="Y1274" s="75">
        <v>333.51</v>
      </c>
    </row>
    <row r="1275" spans="1:25" x14ac:dyDescent="0.25">
      <c r="A1275" s="76">
        <v>1307</v>
      </c>
      <c r="B1275" s="2" t="s">
        <v>8374</v>
      </c>
      <c r="C1275" s="2" t="s">
        <v>8375</v>
      </c>
      <c r="D1275" s="2" t="s">
        <v>8376</v>
      </c>
      <c r="E1275" s="2" t="s">
        <v>8377</v>
      </c>
      <c r="F1275" s="2" t="s">
        <v>8378</v>
      </c>
      <c r="G1275" s="2" t="s">
        <v>247</v>
      </c>
      <c r="H1275" s="17">
        <v>30</v>
      </c>
      <c r="I1275" s="31">
        <f t="shared" si="126"/>
        <v>30000</v>
      </c>
      <c r="J1275" s="31">
        <f t="shared" si="127"/>
        <v>2100</v>
      </c>
      <c r="K1275" s="44">
        <f t="shared" si="128"/>
        <v>5.7534246575342465</v>
      </c>
      <c r="L1275" s="3">
        <f t="shared" si="129"/>
        <v>425.75342465753425</v>
      </c>
      <c r="M1275" s="3">
        <f t="shared" si="130"/>
        <v>25.545205479452054</v>
      </c>
      <c r="N1275" s="67">
        <f t="shared" si="131"/>
        <v>400.20821917808217</v>
      </c>
      <c r="O1275" s="3"/>
      <c r="P1275" s="70" t="s">
        <v>18629</v>
      </c>
      <c r="Q1275" s="2" t="s">
        <v>283</v>
      </c>
      <c r="R1275" s="2" t="s">
        <v>8379</v>
      </c>
      <c r="T1275" t="s">
        <v>18666</v>
      </c>
      <c r="U1275" t="s">
        <v>18652</v>
      </c>
      <c r="V1275" s="104">
        <v>45857</v>
      </c>
      <c r="X1275" s="97"/>
      <c r="Y1275" s="75">
        <v>400.21</v>
      </c>
    </row>
    <row r="1276" spans="1:25" x14ac:dyDescent="0.25">
      <c r="A1276" s="76">
        <v>1308</v>
      </c>
      <c r="B1276" s="2" t="s">
        <v>8026</v>
      </c>
      <c r="C1276" s="2" t="s">
        <v>8027</v>
      </c>
      <c r="D1276" s="2" t="s">
        <v>8028</v>
      </c>
      <c r="E1276" s="2" t="s">
        <v>8029</v>
      </c>
      <c r="F1276" s="2" t="s">
        <v>8030</v>
      </c>
      <c r="G1276" s="2" t="s">
        <v>643</v>
      </c>
      <c r="H1276" s="17">
        <v>25</v>
      </c>
      <c r="I1276" s="31">
        <f t="shared" si="126"/>
        <v>25000</v>
      </c>
      <c r="J1276" s="31">
        <f t="shared" si="127"/>
        <v>1750.0000000000002</v>
      </c>
      <c r="K1276" s="44">
        <f t="shared" si="128"/>
        <v>4.794520547945206</v>
      </c>
      <c r="L1276" s="3">
        <f t="shared" si="129"/>
        <v>354.79452054794524</v>
      </c>
      <c r="M1276" s="3">
        <f t="shared" si="130"/>
        <v>21.287671232876715</v>
      </c>
      <c r="N1276" s="67">
        <f t="shared" si="131"/>
        <v>333.50684931506851</v>
      </c>
      <c r="O1276" s="3"/>
      <c r="P1276" s="70" t="s">
        <v>18629</v>
      </c>
      <c r="Q1276" s="2" t="s">
        <v>283</v>
      </c>
      <c r="R1276" s="2" t="s">
        <v>8031</v>
      </c>
      <c r="T1276" t="s">
        <v>18666</v>
      </c>
      <c r="U1276" t="s">
        <v>18652</v>
      </c>
      <c r="V1276" s="104">
        <v>45857</v>
      </c>
      <c r="X1276" s="97"/>
      <c r="Y1276" s="75">
        <v>333.51</v>
      </c>
    </row>
    <row r="1277" spans="1:25" x14ac:dyDescent="0.25">
      <c r="A1277" s="76">
        <v>1309</v>
      </c>
      <c r="B1277" s="2" t="s">
        <v>15497</v>
      </c>
      <c r="C1277" s="2" t="s">
        <v>15498</v>
      </c>
      <c r="D1277" s="2" t="s">
        <v>15499</v>
      </c>
      <c r="E1277" s="2" t="s">
        <v>15500</v>
      </c>
      <c r="F1277" s="2" t="s">
        <v>15501</v>
      </c>
      <c r="G1277" s="2" t="s">
        <v>31</v>
      </c>
      <c r="H1277" s="17">
        <v>100</v>
      </c>
      <c r="I1277" s="31">
        <f t="shared" si="126"/>
        <v>100000</v>
      </c>
      <c r="J1277" s="31">
        <f t="shared" si="127"/>
        <v>7000.0000000000009</v>
      </c>
      <c r="K1277" s="44">
        <f t="shared" si="128"/>
        <v>19.178082191780824</v>
      </c>
      <c r="L1277" s="3">
        <f t="shared" si="129"/>
        <v>1419.178082191781</v>
      </c>
      <c r="M1277" s="3">
        <f t="shared" si="130"/>
        <v>85.150684931506859</v>
      </c>
      <c r="N1277" s="67">
        <f t="shared" si="131"/>
        <v>1334.027397260274</v>
      </c>
      <c r="O1277" s="3"/>
      <c r="P1277" s="70" t="s">
        <v>18629</v>
      </c>
      <c r="Q1277" s="2" t="s">
        <v>283</v>
      </c>
      <c r="R1277" s="2" t="s">
        <v>15502</v>
      </c>
      <c r="T1277" t="s">
        <v>18666</v>
      </c>
      <c r="U1277" t="s">
        <v>18652</v>
      </c>
      <c r="V1277" s="104">
        <v>45857</v>
      </c>
      <c r="X1277" s="97"/>
      <c r="Y1277" s="75">
        <v>1334.03</v>
      </c>
    </row>
    <row r="1278" spans="1:25" x14ac:dyDescent="0.25">
      <c r="A1278" s="76">
        <v>1310</v>
      </c>
      <c r="B1278" s="2" t="s">
        <v>8696</v>
      </c>
      <c r="C1278" s="2" t="s">
        <v>8697</v>
      </c>
      <c r="D1278" s="2" t="s">
        <v>8245</v>
      </c>
      <c r="E1278" s="2" t="s">
        <v>8698</v>
      </c>
      <c r="F1278" s="2" t="s">
        <v>8699</v>
      </c>
      <c r="G1278" s="2" t="s">
        <v>31</v>
      </c>
      <c r="H1278" s="17">
        <v>25</v>
      </c>
      <c r="I1278" s="31">
        <f t="shared" si="126"/>
        <v>25000</v>
      </c>
      <c r="J1278" s="31">
        <f t="shared" si="127"/>
        <v>1750.0000000000002</v>
      </c>
      <c r="K1278" s="44">
        <f t="shared" si="128"/>
        <v>4.794520547945206</v>
      </c>
      <c r="L1278" s="3">
        <f t="shared" si="129"/>
        <v>354.79452054794524</v>
      </c>
      <c r="M1278" s="3">
        <f t="shared" si="130"/>
        <v>21.287671232876715</v>
      </c>
      <c r="N1278" s="67">
        <f t="shared" si="131"/>
        <v>333.50684931506851</v>
      </c>
      <c r="O1278" s="3"/>
      <c r="P1278" s="70" t="s">
        <v>18629</v>
      </c>
      <c r="Q1278" s="2" t="s">
        <v>283</v>
      </c>
      <c r="R1278" s="2" t="s">
        <v>8700</v>
      </c>
      <c r="T1278" t="s">
        <v>18666</v>
      </c>
      <c r="U1278" t="s">
        <v>18652</v>
      </c>
      <c r="V1278" s="104">
        <v>45857</v>
      </c>
      <c r="X1278" s="97"/>
      <c r="Y1278" s="75">
        <v>333.51</v>
      </c>
    </row>
    <row r="1279" spans="1:25" x14ac:dyDescent="0.25">
      <c r="A1279" s="76">
        <v>1311</v>
      </c>
      <c r="B1279" s="2" t="s">
        <v>7531</v>
      </c>
      <c r="C1279" s="2" t="s">
        <v>7532</v>
      </c>
      <c r="D1279" s="2" t="s">
        <v>7533</v>
      </c>
      <c r="E1279" s="2" t="s">
        <v>7534</v>
      </c>
      <c r="F1279" s="2" t="s">
        <v>7535</v>
      </c>
      <c r="G1279" s="2" t="s">
        <v>54</v>
      </c>
      <c r="H1279" s="17">
        <v>25</v>
      </c>
      <c r="I1279" s="31">
        <f t="shared" si="126"/>
        <v>25000</v>
      </c>
      <c r="J1279" s="31">
        <f t="shared" si="127"/>
        <v>1750.0000000000002</v>
      </c>
      <c r="K1279" s="44">
        <f t="shared" si="128"/>
        <v>4.794520547945206</v>
      </c>
      <c r="L1279" s="3">
        <f t="shared" si="129"/>
        <v>354.79452054794524</v>
      </c>
      <c r="M1279" s="3">
        <f t="shared" si="130"/>
        <v>21.287671232876715</v>
      </c>
      <c r="N1279" s="67">
        <f t="shared" si="131"/>
        <v>333.50684931506851</v>
      </c>
      <c r="O1279" s="3"/>
      <c r="P1279" s="70" t="s">
        <v>18629</v>
      </c>
      <c r="Q1279" s="2" t="s">
        <v>283</v>
      </c>
      <c r="R1279" s="2" t="s">
        <v>7536</v>
      </c>
      <c r="T1279" t="s">
        <v>18666</v>
      </c>
      <c r="U1279" t="s">
        <v>18652</v>
      </c>
      <c r="V1279" s="104">
        <v>45857</v>
      </c>
      <c r="X1279" s="97"/>
      <c r="Y1279" s="75">
        <v>333.51</v>
      </c>
    </row>
    <row r="1280" spans="1:25" x14ac:dyDescent="0.25">
      <c r="A1280" s="76">
        <v>1312</v>
      </c>
      <c r="B1280" s="2" t="s">
        <v>4959</v>
      </c>
      <c r="C1280" s="2" t="s">
        <v>4960</v>
      </c>
      <c r="D1280" s="2" t="s">
        <v>4961</v>
      </c>
      <c r="E1280" s="2" t="s">
        <v>4962</v>
      </c>
      <c r="F1280" s="2" t="s">
        <v>4963</v>
      </c>
      <c r="G1280" s="2" t="s">
        <v>510</v>
      </c>
      <c r="H1280" s="17">
        <v>100</v>
      </c>
      <c r="I1280" s="31">
        <f t="shared" si="126"/>
        <v>100000</v>
      </c>
      <c r="J1280" s="31">
        <f t="shared" si="127"/>
        <v>7000.0000000000009</v>
      </c>
      <c r="K1280" s="44">
        <f t="shared" si="128"/>
        <v>19.178082191780824</v>
      </c>
      <c r="L1280" s="3">
        <f t="shared" si="129"/>
        <v>1419.178082191781</v>
      </c>
      <c r="M1280" s="3">
        <f t="shared" si="130"/>
        <v>85.150684931506859</v>
      </c>
      <c r="N1280" s="67">
        <f t="shared" si="131"/>
        <v>1334.027397260274</v>
      </c>
      <c r="O1280" s="3"/>
      <c r="P1280" s="70" t="s">
        <v>18629</v>
      </c>
      <c r="Q1280" s="2" t="s">
        <v>283</v>
      </c>
      <c r="R1280" s="2" t="s">
        <v>4964</v>
      </c>
      <c r="T1280" t="s">
        <v>18666</v>
      </c>
      <c r="U1280" t="s">
        <v>18652</v>
      </c>
      <c r="V1280" s="104">
        <v>45857</v>
      </c>
      <c r="X1280" s="97"/>
      <c r="Y1280" s="75">
        <v>1334.03</v>
      </c>
    </row>
    <row r="1281" spans="1:25" x14ac:dyDescent="0.25">
      <c r="A1281" s="76">
        <v>1313</v>
      </c>
      <c r="B1281" s="2" t="s">
        <v>2188</v>
      </c>
      <c r="C1281" s="2" t="s">
        <v>2189</v>
      </c>
      <c r="D1281" s="2" t="s">
        <v>2190</v>
      </c>
      <c r="E1281" s="2" t="s">
        <v>2191</v>
      </c>
      <c r="F1281" s="2" t="s">
        <v>2192</v>
      </c>
      <c r="G1281" s="2" t="s">
        <v>876</v>
      </c>
      <c r="H1281" s="17">
        <v>25</v>
      </c>
      <c r="I1281" s="31">
        <f t="shared" si="126"/>
        <v>25000</v>
      </c>
      <c r="J1281" s="31">
        <f t="shared" si="127"/>
        <v>1750.0000000000002</v>
      </c>
      <c r="K1281" s="44">
        <f t="shared" si="128"/>
        <v>4.794520547945206</v>
      </c>
      <c r="L1281" s="3">
        <f t="shared" si="129"/>
        <v>354.79452054794524</v>
      </c>
      <c r="M1281" s="3">
        <f t="shared" si="130"/>
        <v>21.287671232876715</v>
      </c>
      <c r="N1281" s="67">
        <f t="shared" si="131"/>
        <v>333.50684931506851</v>
      </c>
      <c r="O1281" s="3"/>
      <c r="P1281" s="70" t="s">
        <v>18629</v>
      </c>
      <c r="Q1281" s="2" t="s">
        <v>283</v>
      </c>
      <c r="R1281" s="2" t="s">
        <v>2193</v>
      </c>
      <c r="T1281" t="s">
        <v>18666</v>
      </c>
      <c r="U1281" t="s">
        <v>18652</v>
      </c>
      <c r="V1281" s="104">
        <v>45857</v>
      </c>
      <c r="X1281" s="97"/>
      <c r="Y1281" s="75">
        <v>333.51</v>
      </c>
    </row>
    <row r="1282" spans="1:25" x14ac:dyDescent="0.25">
      <c r="A1282" s="76">
        <v>1314</v>
      </c>
      <c r="B1282" s="2" t="s">
        <v>1025</v>
      </c>
      <c r="C1282" s="2" t="s">
        <v>1026</v>
      </c>
      <c r="D1282" s="2" t="s">
        <v>1027</v>
      </c>
      <c r="E1282" s="2" t="s">
        <v>1028</v>
      </c>
      <c r="F1282" s="2" t="s">
        <v>1029</v>
      </c>
      <c r="G1282" s="2" t="s">
        <v>74</v>
      </c>
      <c r="H1282" s="17">
        <v>25</v>
      </c>
      <c r="I1282" s="31">
        <f t="shared" si="126"/>
        <v>25000</v>
      </c>
      <c r="J1282" s="31">
        <f t="shared" si="127"/>
        <v>1750.0000000000002</v>
      </c>
      <c r="K1282" s="44">
        <f t="shared" si="128"/>
        <v>4.794520547945206</v>
      </c>
      <c r="L1282" s="3">
        <f t="shared" si="129"/>
        <v>354.79452054794524</v>
      </c>
      <c r="M1282" s="3">
        <f t="shared" si="130"/>
        <v>21.287671232876715</v>
      </c>
      <c r="N1282" s="67">
        <f t="shared" si="131"/>
        <v>333.50684931506851</v>
      </c>
      <c r="O1282" s="3"/>
      <c r="P1282" s="70" t="s">
        <v>18629</v>
      </c>
      <c r="Q1282" s="2" t="s">
        <v>283</v>
      </c>
      <c r="R1282" s="2" t="s">
        <v>1030</v>
      </c>
      <c r="T1282" t="s">
        <v>18666</v>
      </c>
      <c r="U1282" t="s">
        <v>18652</v>
      </c>
      <c r="V1282" s="104">
        <v>45857</v>
      </c>
      <c r="X1282" s="97"/>
      <c r="Y1282" s="75">
        <v>333.51</v>
      </c>
    </row>
    <row r="1283" spans="1:25" x14ac:dyDescent="0.25">
      <c r="A1283" s="76">
        <v>1315</v>
      </c>
      <c r="B1283" s="2" t="s">
        <v>4600</v>
      </c>
      <c r="C1283" s="2" t="s">
        <v>4601</v>
      </c>
      <c r="D1283" s="2" t="s">
        <v>4602</v>
      </c>
      <c r="E1283" s="2" t="s">
        <v>4603</v>
      </c>
      <c r="F1283" s="2" t="s">
        <v>4604</v>
      </c>
      <c r="G1283" s="2" t="s">
        <v>510</v>
      </c>
      <c r="H1283" s="17">
        <v>25</v>
      </c>
      <c r="I1283" s="31">
        <f t="shared" si="126"/>
        <v>25000</v>
      </c>
      <c r="J1283" s="31">
        <f t="shared" si="127"/>
        <v>1750.0000000000002</v>
      </c>
      <c r="K1283" s="44">
        <f t="shared" si="128"/>
        <v>4.794520547945206</v>
      </c>
      <c r="L1283" s="3">
        <f t="shared" si="129"/>
        <v>354.79452054794524</v>
      </c>
      <c r="M1283" s="3">
        <f t="shared" si="130"/>
        <v>21.287671232876715</v>
      </c>
      <c r="N1283" s="67">
        <f t="shared" si="131"/>
        <v>333.50684931506851</v>
      </c>
      <c r="O1283" s="3"/>
      <c r="P1283" s="70" t="s">
        <v>18629</v>
      </c>
      <c r="Q1283" s="2" t="s">
        <v>283</v>
      </c>
      <c r="R1283" s="2" t="s">
        <v>4605</v>
      </c>
      <c r="T1283" t="s">
        <v>18666</v>
      </c>
      <c r="U1283" t="s">
        <v>18652</v>
      </c>
      <c r="V1283" s="104">
        <v>45857</v>
      </c>
      <c r="X1283" s="97"/>
      <c r="Y1283" s="75">
        <v>333.51</v>
      </c>
    </row>
    <row r="1284" spans="1:25" x14ac:dyDescent="0.25">
      <c r="A1284" s="76">
        <v>1316</v>
      </c>
      <c r="B1284" s="2" t="s">
        <v>3249</v>
      </c>
      <c r="C1284" s="2" t="s">
        <v>3250</v>
      </c>
      <c r="D1284" s="2" t="s">
        <v>3251</v>
      </c>
      <c r="E1284" s="2" t="s">
        <v>3252</v>
      </c>
      <c r="F1284" s="2" t="s">
        <v>1466</v>
      </c>
      <c r="G1284" s="2" t="s">
        <v>2571</v>
      </c>
      <c r="H1284" s="17">
        <v>25</v>
      </c>
      <c r="I1284" s="31">
        <f t="shared" si="126"/>
        <v>25000</v>
      </c>
      <c r="J1284" s="31">
        <f t="shared" si="127"/>
        <v>1750.0000000000002</v>
      </c>
      <c r="K1284" s="44">
        <f t="shared" si="128"/>
        <v>4.794520547945206</v>
      </c>
      <c r="L1284" s="3">
        <f t="shared" si="129"/>
        <v>354.79452054794524</v>
      </c>
      <c r="M1284" s="3">
        <f t="shared" si="130"/>
        <v>21.287671232876715</v>
      </c>
      <c r="N1284" s="67">
        <f t="shared" si="131"/>
        <v>333.50684931506851</v>
      </c>
      <c r="O1284" s="3"/>
      <c r="P1284" s="70" t="s">
        <v>18629</v>
      </c>
      <c r="Q1284" s="2" t="s">
        <v>283</v>
      </c>
      <c r="R1284" s="2" t="s">
        <v>3253</v>
      </c>
      <c r="T1284" t="s">
        <v>18666</v>
      </c>
      <c r="U1284" t="s">
        <v>18652</v>
      </c>
      <c r="V1284" s="104">
        <v>45857</v>
      </c>
      <c r="X1284" s="97"/>
      <c r="Y1284" s="75">
        <v>333.51</v>
      </c>
    </row>
    <row r="1285" spans="1:25" x14ac:dyDescent="0.25">
      <c r="A1285" s="76">
        <v>1317</v>
      </c>
      <c r="B1285" s="2" t="s">
        <v>7309</v>
      </c>
      <c r="C1285" s="2" t="s">
        <v>7310</v>
      </c>
      <c r="D1285" s="2" t="s">
        <v>3251</v>
      </c>
      <c r="E1285" s="2" t="s">
        <v>3252</v>
      </c>
      <c r="F1285" s="2" t="s">
        <v>7311</v>
      </c>
      <c r="G1285" s="2" t="s">
        <v>381</v>
      </c>
      <c r="H1285" s="17">
        <v>25</v>
      </c>
      <c r="I1285" s="31">
        <f t="shared" si="126"/>
        <v>25000</v>
      </c>
      <c r="J1285" s="31">
        <f t="shared" si="127"/>
        <v>1750.0000000000002</v>
      </c>
      <c r="K1285" s="44">
        <f t="shared" si="128"/>
        <v>4.794520547945206</v>
      </c>
      <c r="L1285" s="3">
        <f t="shared" si="129"/>
        <v>354.79452054794524</v>
      </c>
      <c r="M1285" s="3">
        <f t="shared" si="130"/>
        <v>21.287671232876715</v>
      </c>
      <c r="N1285" s="67">
        <f t="shared" si="131"/>
        <v>333.50684931506851</v>
      </c>
      <c r="O1285" s="3"/>
      <c r="P1285" s="70" t="s">
        <v>18629</v>
      </c>
      <c r="Q1285" s="2" t="s">
        <v>283</v>
      </c>
      <c r="R1285" s="2" t="s">
        <v>7312</v>
      </c>
      <c r="T1285" t="s">
        <v>18666</v>
      </c>
      <c r="U1285" t="s">
        <v>18652</v>
      </c>
      <c r="V1285" s="104">
        <v>45857</v>
      </c>
      <c r="X1285" s="97"/>
      <c r="Y1285" s="75">
        <v>333.51</v>
      </c>
    </row>
    <row r="1286" spans="1:25" x14ac:dyDescent="0.25">
      <c r="A1286" s="76">
        <v>1318</v>
      </c>
      <c r="B1286" s="2" t="s">
        <v>17649</v>
      </c>
      <c r="C1286" s="2" t="s">
        <v>17650</v>
      </c>
      <c r="D1286" s="2" t="s">
        <v>17651</v>
      </c>
      <c r="E1286" s="2" t="s">
        <v>17652</v>
      </c>
      <c r="F1286" s="2" t="s">
        <v>17653</v>
      </c>
      <c r="G1286" s="2" t="s">
        <v>193</v>
      </c>
      <c r="H1286" s="17">
        <v>25</v>
      </c>
      <c r="I1286" s="31">
        <f t="shared" si="126"/>
        <v>25000</v>
      </c>
      <c r="J1286" s="31">
        <f t="shared" si="127"/>
        <v>1750.0000000000002</v>
      </c>
      <c r="K1286" s="44">
        <f t="shared" si="128"/>
        <v>4.794520547945206</v>
      </c>
      <c r="L1286" s="3">
        <f t="shared" si="129"/>
        <v>354.79452054794524</v>
      </c>
      <c r="M1286" s="3">
        <f t="shared" si="130"/>
        <v>21.287671232876715</v>
      </c>
      <c r="N1286" s="67">
        <f t="shared" si="131"/>
        <v>333.50684931506851</v>
      </c>
      <c r="O1286" s="3"/>
      <c r="P1286" s="70" t="s">
        <v>18629</v>
      </c>
      <c r="Q1286" s="2" t="s">
        <v>283</v>
      </c>
      <c r="R1286" s="2" t="s">
        <v>17654</v>
      </c>
      <c r="T1286" t="s">
        <v>18666</v>
      </c>
      <c r="U1286" t="s">
        <v>18652</v>
      </c>
      <c r="V1286" s="104">
        <v>45857</v>
      </c>
      <c r="X1286" s="97"/>
      <c r="Y1286" s="75">
        <v>333.51</v>
      </c>
    </row>
    <row r="1287" spans="1:25" x14ac:dyDescent="0.25">
      <c r="A1287" s="76">
        <v>1319</v>
      </c>
      <c r="B1287" s="2" t="s">
        <v>1166</v>
      </c>
      <c r="C1287" s="2" t="s">
        <v>1167</v>
      </c>
      <c r="D1287" s="2" t="s">
        <v>1168</v>
      </c>
      <c r="E1287" s="2" t="s">
        <v>1169</v>
      </c>
      <c r="F1287" s="2" t="s">
        <v>1170</v>
      </c>
      <c r="G1287" s="2" t="s">
        <v>381</v>
      </c>
      <c r="H1287" s="17">
        <v>25</v>
      </c>
      <c r="I1287" s="31">
        <f t="shared" si="126"/>
        <v>25000</v>
      </c>
      <c r="J1287" s="31">
        <f t="shared" si="127"/>
        <v>1750.0000000000002</v>
      </c>
      <c r="K1287" s="44">
        <f t="shared" si="128"/>
        <v>4.794520547945206</v>
      </c>
      <c r="L1287" s="3">
        <f t="shared" si="129"/>
        <v>354.79452054794524</v>
      </c>
      <c r="M1287" s="3">
        <f t="shared" si="130"/>
        <v>21.287671232876715</v>
      </c>
      <c r="N1287" s="67">
        <f t="shared" si="131"/>
        <v>333.50684931506851</v>
      </c>
      <c r="O1287" s="3"/>
      <c r="P1287" s="70" t="s">
        <v>18629</v>
      </c>
      <c r="Q1287" s="2" t="s">
        <v>283</v>
      </c>
      <c r="R1287" s="2" t="s">
        <v>1171</v>
      </c>
      <c r="T1287" t="s">
        <v>18666</v>
      </c>
      <c r="U1287" t="s">
        <v>18652</v>
      </c>
      <c r="V1287" s="104">
        <v>45857</v>
      </c>
      <c r="X1287" s="97"/>
      <c r="Y1287" s="75">
        <v>333.51</v>
      </c>
    </row>
    <row r="1288" spans="1:25" x14ac:dyDescent="0.25">
      <c r="A1288" s="76">
        <v>1320</v>
      </c>
      <c r="B1288" s="2" t="s">
        <v>12248</v>
      </c>
      <c r="C1288" s="2" t="s">
        <v>12249</v>
      </c>
      <c r="D1288" s="2" t="s">
        <v>12250</v>
      </c>
      <c r="E1288" s="2" t="s">
        <v>12251</v>
      </c>
      <c r="F1288" s="2" t="s">
        <v>12252</v>
      </c>
      <c r="G1288" s="2" t="s">
        <v>193</v>
      </c>
      <c r="H1288" s="17">
        <v>25</v>
      </c>
      <c r="I1288" s="31">
        <f t="shared" si="126"/>
        <v>25000</v>
      </c>
      <c r="J1288" s="31">
        <f t="shared" si="127"/>
        <v>1750.0000000000002</v>
      </c>
      <c r="K1288" s="44">
        <f t="shared" si="128"/>
        <v>4.794520547945206</v>
      </c>
      <c r="L1288" s="3">
        <f t="shared" si="129"/>
        <v>354.79452054794524</v>
      </c>
      <c r="M1288" s="3">
        <f t="shared" si="130"/>
        <v>21.287671232876715</v>
      </c>
      <c r="N1288" s="67">
        <f t="shared" si="131"/>
        <v>333.50684931506851</v>
      </c>
      <c r="O1288" s="3"/>
      <c r="P1288" s="70" t="s">
        <v>18629</v>
      </c>
      <c r="Q1288" s="2" t="s">
        <v>283</v>
      </c>
      <c r="R1288" s="2" t="s">
        <v>12253</v>
      </c>
      <c r="T1288" t="s">
        <v>18666</v>
      </c>
      <c r="U1288" t="s">
        <v>18652</v>
      </c>
      <c r="V1288" s="104">
        <v>45857</v>
      </c>
      <c r="X1288" s="97"/>
      <c r="Y1288" s="75">
        <v>333.51</v>
      </c>
    </row>
    <row r="1289" spans="1:25" x14ac:dyDescent="0.25">
      <c r="A1289" s="76">
        <v>1321</v>
      </c>
      <c r="B1289" s="2" t="s">
        <v>3365</v>
      </c>
      <c r="C1289" s="2" t="s">
        <v>3366</v>
      </c>
      <c r="D1289" s="2" t="s">
        <v>3367</v>
      </c>
      <c r="E1289" s="2" t="s">
        <v>3368</v>
      </c>
      <c r="F1289" s="2" t="s">
        <v>3369</v>
      </c>
      <c r="G1289" s="2" t="s">
        <v>39</v>
      </c>
      <c r="H1289" s="17">
        <v>25</v>
      </c>
      <c r="I1289" s="31">
        <f t="shared" si="126"/>
        <v>25000</v>
      </c>
      <c r="J1289" s="31">
        <f t="shared" si="127"/>
        <v>1750.0000000000002</v>
      </c>
      <c r="K1289" s="44">
        <f t="shared" si="128"/>
        <v>4.794520547945206</v>
      </c>
      <c r="L1289" s="3">
        <f t="shared" si="129"/>
        <v>354.79452054794524</v>
      </c>
      <c r="M1289" s="3">
        <f t="shared" si="130"/>
        <v>21.287671232876715</v>
      </c>
      <c r="N1289" s="67">
        <f t="shared" si="131"/>
        <v>333.50684931506851</v>
      </c>
      <c r="O1289" s="3"/>
      <c r="P1289" s="70" t="s">
        <v>18629</v>
      </c>
      <c r="Q1289" s="2" t="s">
        <v>283</v>
      </c>
      <c r="R1289" s="2" t="s">
        <v>3370</v>
      </c>
      <c r="T1289" t="s">
        <v>18666</v>
      </c>
      <c r="U1289" t="s">
        <v>18652</v>
      </c>
      <c r="V1289" s="104">
        <v>45857</v>
      </c>
      <c r="X1289" s="97"/>
      <c r="Y1289" s="75">
        <v>333.51</v>
      </c>
    </row>
    <row r="1290" spans="1:25" x14ac:dyDescent="0.25">
      <c r="A1290" s="76">
        <v>1322</v>
      </c>
      <c r="B1290" s="2" t="s">
        <v>12603</v>
      </c>
      <c r="C1290" s="2" t="s">
        <v>12604</v>
      </c>
      <c r="D1290" s="2" t="s">
        <v>12605</v>
      </c>
      <c r="E1290" s="2" t="s">
        <v>12606</v>
      </c>
      <c r="F1290" s="2" t="s">
        <v>12607</v>
      </c>
      <c r="G1290" s="2" t="s">
        <v>750</v>
      </c>
      <c r="H1290" s="17">
        <v>25</v>
      </c>
      <c r="I1290" s="31">
        <f t="shared" si="126"/>
        <v>25000</v>
      </c>
      <c r="J1290" s="31">
        <f t="shared" si="127"/>
        <v>1750.0000000000002</v>
      </c>
      <c r="K1290" s="44">
        <f t="shared" si="128"/>
        <v>4.794520547945206</v>
      </c>
      <c r="L1290" s="3">
        <f t="shared" si="129"/>
        <v>354.79452054794524</v>
      </c>
      <c r="M1290" s="3">
        <f t="shared" si="130"/>
        <v>21.287671232876715</v>
      </c>
      <c r="N1290" s="67">
        <f t="shared" si="131"/>
        <v>333.50684931506851</v>
      </c>
      <c r="O1290" s="3"/>
      <c r="P1290" s="70" t="s">
        <v>18629</v>
      </c>
      <c r="Q1290" s="2" t="s">
        <v>283</v>
      </c>
      <c r="R1290" s="2" t="s">
        <v>12608</v>
      </c>
      <c r="T1290" t="s">
        <v>18666</v>
      </c>
      <c r="U1290" t="s">
        <v>18652</v>
      </c>
      <c r="V1290" s="104">
        <v>45857</v>
      </c>
      <c r="X1290" s="97"/>
      <c r="Y1290" s="75">
        <v>333.51</v>
      </c>
    </row>
    <row r="1291" spans="1:25" x14ac:dyDescent="0.25">
      <c r="A1291" s="76">
        <v>1323</v>
      </c>
      <c r="B1291" s="2" t="s">
        <v>11442</v>
      </c>
      <c r="C1291" s="2" t="s">
        <v>11443</v>
      </c>
      <c r="D1291" s="2" t="s">
        <v>11444</v>
      </c>
      <c r="E1291" s="2" t="s">
        <v>11445</v>
      </c>
      <c r="F1291" s="2" t="s">
        <v>11446</v>
      </c>
      <c r="G1291" s="2" t="s">
        <v>381</v>
      </c>
      <c r="H1291" s="17">
        <v>25</v>
      </c>
      <c r="I1291" s="31">
        <f t="shared" si="126"/>
        <v>25000</v>
      </c>
      <c r="J1291" s="31">
        <f t="shared" si="127"/>
        <v>1750.0000000000002</v>
      </c>
      <c r="K1291" s="44">
        <f t="shared" si="128"/>
        <v>4.794520547945206</v>
      </c>
      <c r="L1291" s="3">
        <f t="shared" si="129"/>
        <v>354.79452054794524</v>
      </c>
      <c r="M1291" s="3">
        <f t="shared" si="130"/>
        <v>21.287671232876715</v>
      </c>
      <c r="N1291" s="67">
        <f t="shared" si="131"/>
        <v>333.50684931506851</v>
      </c>
      <c r="O1291" s="3"/>
      <c r="P1291" s="70" t="s">
        <v>18629</v>
      </c>
      <c r="Q1291" s="2" t="s">
        <v>283</v>
      </c>
      <c r="R1291" s="2" t="s">
        <v>11447</v>
      </c>
      <c r="T1291" t="s">
        <v>18666</v>
      </c>
      <c r="U1291" t="s">
        <v>18652</v>
      </c>
      <c r="V1291" s="104">
        <v>45857</v>
      </c>
      <c r="X1291" s="97"/>
      <c r="Y1291" s="75">
        <v>333.51</v>
      </c>
    </row>
    <row r="1292" spans="1:25" x14ac:dyDescent="0.25">
      <c r="A1292" s="76">
        <v>1324</v>
      </c>
      <c r="B1292" s="2" t="s">
        <v>6960</v>
      </c>
      <c r="C1292" s="2" t="s">
        <v>6961</v>
      </c>
      <c r="D1292" s="2" t="s">
        <v>6962</v>
      </c>
      <c r="E1292" s="2" t="s">
        <v>6963</v>
      </c>
      <c r="F1292" s="2" t="s">
        <v>6964</v>
      </c>
      <c r="G1292" s="2" t="s">
        <v>31</v>
      </c>
      <c r="H1292" s="17">
        <v>25</v>
      </c>
      <c r="I1292" s="31">
        <f t="shared" si="126"/>
        <v>25000</v>
      </c>
      <c r="J1292" s="31">
        <f t="shared" si="127"/>
        <v>1750.0000000000002</v>
      </c>
      <c r="K1292" s="44">
        <f t="shared" si="128"/>
        <v>4.794520547945206</v>
      </c>
      <c r="L1292" s="3">
        <f t="shared" si="129"/>
        <v>354.79452054794524</v>
      </c>
      <c r="M1292" s="3">
        <f t="shared" si="130"/>
        <v>21.287671232876715</v>
      </c>
      <c r="N1292" s="67">
        <f t="shared" si="131"/>
        <v>333.50684931506851</v>
      </c>
      <c r="O1292" s="3"/>
      <c r="P1292" s="70" t="s">
        <v>18629</v>
      </c>
      <c r="Q1292" s="2" t="s">
        <v>283</v>
      </c>
      <c r="R1292" s="2" t="s">
        <v>6965</v>
      </c>
      <c r="T1292" t="s">
        <v>18666</v>
      </c>
      <c r="U1292" t="s">
        <v>18652</v>
      </c>
      <c r="V1292" s="104">
        <v>45857</v>
      </c>
      <c r="X1292" s="97"/>
      <c r="Y1292" s="75">
        <v>333.51</v>
      </c>
    </row>
    <row r="1293" spans="1:25" x14ac:dyDescent="0.25">
      <c r="A1293" s="76">
        <v>1325</v>
      </c>
      <c r="B1293" s="2" t="s">
        <v>8055</v>
      </c>
      <c r="C1293" s="2" t="s">
        <v>8056</v>
      </c>
      <c r="D1293" s="2" t="s">
        <v>641</v>
      </c>
      <c r="E1293" s="2" t="s">
        <v>8057</v>
      </c>
      <c r="F1293" s="2" t="s">
        <v>8058</v>
      </c>
      <c r="G1293" s="2" t="s">
        <v>618</v>
      </c>
      <c r="H1293" s="17">
        <v>25</v>
      </c>
      <c r="I1293" s="31">
        <f t="shared" si="126"/>
        <v>25000</v>
      </c>
      <c r="J1293" s="31">
        <f t="shared" si="127"/>
        <v>1750.0000000000002</v>
      </c>
      <c r="K1293" s="44">
        <f t="shared" si="128"/>
        <v>4.794520547945206</v>
      </c>
      <c r="L1293" s="3">
        <f t="shared" si="129"/>
        <v>354.79452054794524</v>
      </c>
      <c r="M1293" s="3">
        <f t="shared" si="130"/>
        <v>21.287671232876715</v>
      </c>
      <c r="N1293" s="67">
        <f t="shared" si="131"/>
        <v>333.50684931506851</v>
      </c>
      <c r="O1293" s="3"/>
      <c r="P1293" s="70" t="s">
        <v>18629</v>
      </c>
      <c r="Q1293" s="2" t="s">
        <v>283</v>
      </c>
      <c r="R1293" s="2" t="s">
        <v>8059</v>
      </c>
      <c r="T1293" t="s">
        <v>18666</v>
      </c>
      <c r="U1293" t="s">
        <v>18652</v>
      </c>
      <c r="V1293" s="104">
        <v>45857</v>
      </c>
      <c r="X1293" s="97"/>
      <c r="Y1293" s="75">
        <v>333.51</v>
      </c>
    </row>
    <row r="1294" spans="1:25" x14ac:dyDescent="0.25">
      <c r="A1294" s="76">
        <v>1326</v>
      </c>
      <c r="B1294" s="2" t="s">
        <v>414</v>
      </c>
      <c r="C1294" s="2" t="s">
        <v>415</v>
      </c>
      <c r="D1294" s="2" t="s">
        <v>416</v>
      </c>
      <c r="E1294" s="2" t="s">
        <v>417</v>
      </c>
      <c r="F1294" s="2" t="s">
        <v>418</v>
      </c>
      <c r="G1294" s="2" t="s">
        <v>193</v>
      </c>
      <c r="H1294" s="17">
        <v>25</v>
      </c>
      <c r="I1294" s="31">
        <f t="shared" si="126"/>
        <v>25000</v>
      </c>
      <c r="J1294" s="31">
        <f t="shared" si="127"/>
        <v>1750.0000000000002</v>
      </c>
      <c r="K1294" s="44">
        <f t="shared" si="128"/>
        <v>4.794520547945206</v>
      </c>
      <c r="L1294" s="3">
        <f t="shared" si="129"/>
        <v>354.79452054794524</v>
      </c>
      <c r="M1294" s="3">
        <f t="shared" si="130"/>
        <v>21.287671232876715</v>
      </c>
      <c r="N1294" s="67">
        <f t="shared" si="131"/>
        <v>333.50684931506851</v>
      </c>
      <c r="O1294" s="3"/>
      <c r="P1294" s="70" t="s">
        <v>18629</v>
      </c>
      <c r="Q1294" s="2" t="s">
        <v>283</v>
      </c>
      <c r="R1294" s="2" t="s">
        <v>419</v>
      </c>
      <c r="T1294" t="s">
        <v>18666</v>
      </c>
      <c r="U1294" t="s">
        <v>18652</v>
      </c>
      <c r="V1294" s="104">
        <v>45857</v>
      </c>
      <c r="X1294" s="97"/>
      <c r="Y1294" s="75">
        <v>333.51</v>
      </c>
    </row>
    <row r="1295" spans="1:25" x14ac:dyDescent="0.25">
      <c r="A1295" s="76">
        <v>1327</v>
      </c>
      <c r="B1295" s="2" t="s">
        <v>8242</v>
      </c>
      <c r="C1295" s="2" t="s">
        <v>8243</v>
      </c>
      <c r="D1295" s="2" t="s">
        <v>8244</v>
      </c>
      <c r="E1295" s="2" t="s">
        <v>8245</v>
      </c>
      <c r="F1295" s="2" t="s">
        <v>8246</v>
      </c>
      <c r="G1295" s="2" t="s">
        <v>31</v>
      </c>
      <c r="H1295" s="17">
        <v>25</v>
      </c>
      <c r="I1295" s="31">
        <f t="shared" si="126"/>
        <v>25000</v>
      </c>
      <c r="J1295" s="31">
        <f t="shared" si="127"/>
        <v>1750.0000000000002</v>
      </c>
      <c r="K1295" s="44">
        <f t="shared" si="128"/>
        <v>4.794520547945206</v>
      </c>
      <c r="L1295" s="3">
        <f t="shared" si="129"/>
        <v>354.79452054794524</v>
      </c>
      <c r="M1295" s="3">
        <f t="shared" si="130"/>
        <v>21.287671232876715</v>
      </c>
      <c r="N1295" s="67">
        <f t="shared" si="131"/>
        <v>333.50684931506851</v>
      </c>
      <c r="O1295" s="3"/>
      <c r="P1295" s="70" t="s">
        <v>18629</v>
      </c>
      <c r="Q1295" s="2" t="s">
        <v>283</v>
      </c>
      <c r="R1295" s="2" t="s">
        <v>8247</v>
      </c>
      <c r="T1295" t="s">
        <v>18666</v>
      </c>
      <c r="U1295" t="s">
        <v>18652</v>
      </c>
      <c r="V1295" s="104">
        <v>45857</v>
      </c>
      <c r="X1295" s="97"/>
      <c r="Y1295" s="75">
        <v>333.51</v>
      </c>
    </row>
    <row r="1296" spans="1:25" x14ac:dyDescent="0.25">
      <c r="A1296" s="76">
        <v>1328</v>
      </c>
      <c r="B1296" s="2" t="s">
        <v>17460</v>
      </c>
      <c r="C1296" s="2" t="s">
        <v>17461</v>
      </c>
      <c r="D1296" s="2" t="s">
        <v>17462</v>
      </c>
      <c r="E1296" s="2" t="s">
        <v>17463</v>
      </c>
      <c r="F1296" s="2" t="s">
        <v>17464</v>
      </c>
      <c r="G1296" s="2" t="s">
        <v>193</v>
      </c>
      <c r="H1296" s="17">
        <v>25</v>
      </c>
      <c r="I1296" s="31">
        <f t="shared" si="126"/>
        <v>25000</v>
      </c>
      <c r="J1296" s="31">
        <f t="shared" si="127"/>
        <v>1750.0000000000002</v>
      </c>
      <c r="K1296" s="44">
        <f t="shared" si="128"/>
        <v>4.794520547945206</v>
      </c>
      <c r="L1296" s="3">
        <f t="shared" si="129"/>
        <v>354.79452054794524</v>
      </c>
      <c r="M1296" s="3">
        <f t="shared" si="130"/>
        <v>21.287671232876715</v>
      </c>
      <c r="N1296" s="67">
        <f t="shared" si="131"/>
        <v>333.50684931506851</v>
      </c>
      <c r="O1296" s="3"/>
      <c r="P1296" s="70" t="s">
        <v>18629</v>
      </c>
      <c r="Q1296" s="2" t="s">
        <v>283</v>
      </c>
      <c r="R1296" s="2" t="s">
        <v>17465</v>
      </c>
      <c r="T1296" t="s">
        <v>18666</v>
      </c>
      <c r="U1296" t="s">
        <v>18652</v>
      </c>
      <c r="V1296" s="104">
        <v>45857</v>
      </c>
      <c r="X1296" s="97"/>
      <c r="Y1296" s="75">
        <v>333.51</v>
      </c>
    </row>
    <row r="1297" spans="1:25" x14ac:dyDescent="0.25">
      <c r="A1297" s="76">
        <v>1329</v>
      </c>
      <c r="B1297" s="2" t="s">
        <v>16558</v>
      </c>
      <c r="C1297" s="2" t="s">
        <v>16559</v>
      </c>
      <c r="D1297" s="2" t="s">
        <v>16560</v>
      </c>
      <c r="E1297" s="2" t="s">
        <v>16561</v>
      </c>
      <c r="F1297" s="2" t="s">
        <v>16562</v>
      </c>
      <c r="G1297" s="2" t="s">
        <v>31</v>
      </c>
      <c r="H1297" s="17">
        <v>25</v>
      </c>
      <c r="I1297" s="31">
        <f t="shared" si="126"/>
        <v>25000</v>
      </c>
      <c r="J1297" s="31">
        <f t="shared" si="127"/>
        <v>1750.0000000000002</v>
      </c>
      <c r="K1297" s="44">
        <f t="shared" si="128"/>
        <v>4.794520547945206</v>
      </c>
      <c r="L1297" s="3">
        <f t="shared" si="129"/>
        <v>354.79452054794524</v>
      </c>
      <c r="M1297" s="3">
        <f t="shared" si="130"/>
        <v>21.287671232876715</v>
      </c>
      <c r="N1297" s="67">
        <f t="shared" si="131"/>
        <v>333.50684931506851</v>
      </c>
      <c r="O1297" s="3"/>
      <c r="P1297" s="70" t="s">
        <v>18629</v>
      </c>
      <c r="Q1297" s="2" t="s">
        <v>283</v>
      </c>
      <c r="R1297" s="2" t="s">
        <v>16563</v>
      </c>
      <c r="T1297" t="s">
        <v>18666</v>
      </c>
      <c r="U1297" t="s">
        <v>18652</v>
      </c>
      <c r="V1297" s="104">
        <v>45857</v>
      </c>
      <c r="X1297" s="97"/>
      <c r="Y1297" s="75">
        <v>333.51</v>
      </c>
    </row>
    <row r="1298" spans="1:25" x14ac:dyDescent="0.25">
      <c r="A1298" s="76">
        <v>1330</v>
      </c>
      <c r="B1298" s="2" t="s">
        <v>16276</v>
      </c>
      <c r="C1298" s="2" t="s">
        <v>16277</v>
      </c>
      <c r="D1298" s="2" t="s">
        <v>16278</v>
      </c>
      <c r="E1298" s="2" t="s">
        <v>16279</v>
      </c>
      <c r="F1298" s="2" t="s">
        <v>16280</v>
      </c>
      <c r="G1298" s="2" t="s">
        <v>218</v>
      </c>
      <c r="H1298" s="17">
        <v>40</v>
      </c>
      <c r="I1298" s="31">
        <f t="shared" ref="I1298:I1361" si="132">H1298*1000</f>
        <v>40000</v>
      </c>
      <c r="J1298" s="31">
        <f t="shared" ref="J1298:J1361" si="133">I1298*7%</f>
        <v>2800.0000000000005</v>
      </c>
      <c r="K1298" s="44">
        <f t="shared" ref="K1298:K1361" si="134">J1298/365</f>
        <v>7.6712328767123301</v>
      </c>
      <c r="L1298" s="3">
        <f t="shared" ref="L1298:L1361" si="135">K1298*74</f>
        <v>567.67123287671245</v>
      </c>
      <c r="M1298" s="3">
        <f t="shared" ref="M1298:M1361" si="136">L1298*6%</f>
        <v>34.060273972602744</v>
      </c>
      <c r="N1298" s="67">
        <f t="shared" ref="N1298:N1361" si="137">L1298-M1298</f>
        <v>533.61095890410968</v>
      </c>
      <c r="O1298" s="3"/>
      <c r="P1298" s="70" t="s">
        <v>18629</v>
      </c>
      <c r="Q1298" s="2" t="s">
        <v>283</v>
      </c>
      <c r="R1298" s="2" t="s">
        <v>16281</v>
      </c>
      <c r="T1298" t="s">
        <v>18666</v>
      </c>
      <c r="U1298" t="s">
        <v>18652</v>
      </c>
      <c r="V1298" s="104">
        <v>45857</v>
      </c>
      <c r="X1298" s="97"/>
      <c r="Y1298" s="75">
        <v>533.62</v>
      </c>
    </row>
    <row r="1299" spans="1:25" x14ac:dyDescent="0.25">
      <c r="A1299" s="76">
        <v>1331</v>
      </c>
      <c r="B1299" s="2" t="s">
        <v>17990</v>
      </c>
      <c r="C1299" s="2" t="s">
        <v>12730</v>
      </c>
      <c r="D1299" s="2" t="s">
        <v>17991</v>
      </c>
      <c r="E1299" s="2" t="s">
        <v>17992</v>
      </c>
      <c r="F1299" s="2" t="s">
        <v>17993</v>
      </c>
      <c r="G1299" s="2" t="s">
        <v>123</v>
      </c>
      <c r="H1299" s="17">
        <v>25</v>
      </c>
      <c r="I1299" s="31">
        <f t="shared" si="132"/>
        <v>25000</v>
      </c>
      <c r="J1299" s="31">
        <f t="shared" si="133"/>
        <v>1750.0000000000002</v>
      </c>
      <c r="K1299" s="44">
        <f t="shared" si="134"/>
        <v>4.794520547945206</v>
      </c>
      <c r="L1299" s="3">
        <f t="shared" si="135"/>
        <v>354.79452054794524</v>
      </c>
      <c r="M1299" s="3">
        <f t="shared" si="136"/>
        <v>21.287671232876715</v>
      </c>
      <c r="N1299" s="67">
        <f t="shared" si="137"/>
        <v>333.50684931506851</v>
      </c>
      <c r="O1299" s="3"/>
      <c r="P1299" s="70" t="s">
        <v>18629</v>
      </c>
      <c r="Q1299" s="2" t="s">
        <v>283</v>
      </c>
      <c r="R1299" s="2" t="s">
        <v>17994</v>
      </c>
      <c r="T1299" t="s">
        <v>18666</v>
      </c>
      <c r="U1299" t="s">
        <v>18652</v>
      </c>
      <c r="V1299" s="104">
        <v>45857</v>
      </c>
      <c r="X1299" s="97"/>
      <c r="Y1299" s="75">
        <v>333.51</v>
      </c>
    </row>
    <row r="1300" spans="1:25" x14ac:dyDescent="0.25">
      <c r="A1300" s="76">
        <v>1332</v>
      </c>
      <c r="B1300" s="2" t="s">
        <v>3690</v>
      </c>
      <c r="C1300" s="2" t="s">
        <v>3691</v>
      </c>
      <c r="D1300" s="2" t="s">
        <v>3169</v>
      </c>
      <c r="E1300" s="2" t="s">
        <v>3692</v>
      </c>
      <c r="F1300" s="2" t="s">
        <v>3693</v>
      </c>
      <c r="G1300" s="2" t="s">
        <v>218</v>
      </c>
      <c r="H1300" s="17">
        <v>25</v>
      </c>
      <c r="I1300" s="31">
        <f t="shared" si="132"/>
        <v>25000</v>
      </c>
      <c r="J1300" s="31">
        <f t="shared" si="133"/>
        <v>1750.0000000000002</v>
      </c>
      <c r="K1300" s="44">
        <f t="shared" si="134"/>
        <v>4.794520547945206</v>
      </c>
      <c r="L1300" s="3">
        <f t="shared" si="135"/>
        <v>354.79452054794524</v>
      </c>
      <c r="M1300" s="3">
        <f t="shared" si="136"/>
        <v>21.287671232876715</v>
      </c>
      <c r="N1300" s="67">
        <f t="shared" si="137"/>
        <v>333.50684931506851</v>
      </c>
      <c r="O1300" s="3"/>
      <c r="P1300" s="70" t="s">
        <v>18629</v>
      </c>
      <c r="Q1300" s="2" t="s">
        <v>283</v>
      </c>
      <c r="R1300" s="2" t="s">
        <v>3694</v>
      </c>
      <c r="T1300" t="s">
        <v>18666</v>
      </c>
      <c r="U1300" t="s">
        <v>18652</v>
      </c>
      <c r="V1300" s="104">
        <v>45857</v>
      </c>
      <c r="X1300" s="97"/>
      <c r="Y1300" s="75">
        <v>333.51</v>
      </c>
    </row>
    <row r="1301" spans="1:25" x14ac:dyDescent="0.25">
      <c r="A1301" s="76">
        <v>1333</v>
      </c>
      <c r="B1301" s="2" t="s">
        <v>13692</v>
      </c>
      <c r="C1301" s="2" t="s">
        <v>2073</v>
      </c>
      <c r="D1301" s="2" t="s">
        <v>13693</v>
      </c>
      <c r="E1301" s="2" t="s">
        <v>301</v>
      </c>
      <c r="F1301" s="2" t="s">
        <v>13694</v>
      </c>
      <c r="G1301" s="2" t="s">
        <v>643</v>
      </c>
      <c r="H1301" s="17">
        <v>25</v>
      </c>
      <c r="I1301" s="31">
        <f t="shared" si="132"/>
        <v>25000</v>
      </c>
      <c r="J1301" s="31">
        <f t="shared" si="133"/>
        <v>1750.0000000000002</v>
      </c>
      <c r="K1301" s="44">
        <f t="shared" si="134"/>
        <v>4.794520547945206</v>
      </c>
      <c r="L1301" s="3">
        <f t="shared" si="135"/>
        <v>354.79452054794524</v>
      </c>
      <c r="M1301" s="3">
        <f t="shared" si="136"/>
        <v>21.287671232876715</v>
      </c>
      <c r="N1301" s="67">
        <f t="shared" si="137"/>
        <v>333.50684931506851</v>
      </c>
      <c r="O1301" s="3"/>
      <c r="P1301" s="70" t="s">
        <v>18629</v>
      </c>
      <c r="Q1301" s="2" t="s">
        <v>283</v>
      </c>
      <c r="R1301" s="2" t="s">
        <v>13695</v>
      </c>
      <c r="T1301" t="s">
        <v>18666</v>
      </c>
      <c r="U1301" t="s">
        <v>18652</v>
      </c>
      <c r="V1301" s="104">
        <v>45857</v>
      </c>
      <c r="X1301" s="97"/>
      <c r="Y1301" s="75">
        <v>333.51</v>
      </c>
    </row>
    <row r="1302" spans="1:25" x14ac:dyDescent="0.25">
      <c r="A1302" s="76">
        <v>1334</v>
      </c>
      <c r="B1302" s="2" t="s">
        <v>15174</v>
      </c>
      <c r="C1302" s="2" t="s">
        <v>15175</v>
      </c>
      <c r="D1302" s="2" t="s">
        <v>15176</v>
      </c>
      <c r="E1302" s="2" t="s">
        <v>15177</v>
      </c>
      <c r="F1302" s="2" t="s">
        <v>15178</v>
      </c>
      <c r="G1302" s="2" t="s">
        <v>381</v>
      </c>
      <c r="H1302" s="17">
        <v>25</v>
      </c>
      <c r="I1302" s="31">
        <f t="shared" si="132"/>
        <v>25000</v>
      </c>
      <c r="J1302" s="31">
        <f t="shared" si="133"/>
        <v>1750.0000000000002</v>
      </c>
      <c r="K1302" s="44">
        <f t="shared" si="134"/>
        <v>4.794520547945206</v>
      </c>
      <c r="L1302" s="3">
        <f t="shared" si="135"/>
        <v>354.79452054794524</v>
      </c>
      <c r="M1302" s="3">
        <f t="shared" si="136"/>
        <v>21.287671232876715</v>
      </c>
      <c r="N1302" s="67">
        <f t="shared" si="137"/>
        <v>333.50684931506851</v>
      </c>
      <c r="O1302" s="3"/>
      <c r="P1302" s="70" t="s">
        <v>18629</v>
      </c>
      <c r="Q1302" s="2" t="s">
        <v>283</v>
      </c>
      <c r="R1302" s="2" t="s">
        <v>15179</v>
      </c>
      <c r="T1302" t="s">
        <v>18666</v>
      </c>
      <c r="U1302" t="s">
        <v>18652</v>
      </c>
      <c r="V1302" s="104">
        <v>45857</v>
      </c>
      <c r="X1302" s="97"/>
      <c r="Y1302" s="75">
        <v>333.51</v>
      </c>
    </row>
    <row r="1303" spans="1:25" x14ac:dyDescent="0.25">
      <c r="A1303" s="76">
        <v>1335</v>
      </c>
      <c r="B1303" s="2" t="s">
        <v>11225</v>
      </c>
      <c r="C1303" s="2" t="s">
        <v>11226</v>
      </c>
      <c r="D1303" s="2" t="s">
        <v>11227</v>
      </c>
      <c r="E1303" s="2" t="s">
        <v>11228</v>
      </c>
      <c r="F1303" s="2" t="s">
        <v>11229</v>
      </c>
      <c r="G1303" s="2" t="s">
        <v>599</v>
      </c>
      <c r="H1303" s="17">
        <v>25</v>
      </c>
      <c r="I1303" s="31">
        <f t="shared" si="132"/>
        <v>25000</v>
      </c>
      <c r="J1303" s="31">
        <f t="shared" si="133"/>
        <v>1750.0000000000002</v>
      </c>
      <c r="K1303" s="44">
        <f t="shared" si="134"/>
        <v>4.794520547945206</v>
      </c>
      <c r="L1303" s="3">
        <f t="shared" si="135"/>
        <v>354.79452054794524</v>
      </c>
      <c r="M1303" s="3">
        <f t="shared" si="136"/>
        <v>21.287671232876715</v>
      </c>
      <c r="N1303" s="67">
        <f t="shared" si="137"/>
        <v>333.50684931506851</v>
      </c>
      <c r="O1303" s="3"/>
      <c r="P1303" s="70" t="s">
        <v>18629</v>
      </c>
      <c r="Q1303" s="2" t="s">
        <v>283</v>
      </c>
      <c r="R1303" s="2" t="s">
        <v>11230</v>
      </c>
      <c r="T1303" t="s">
        <v>18666</v>
      </c>
      <c r="U1303" t="s">
        <v>18652</v>
      </c>
      <c r="V1303" s="104">
        <v>45857</v>
      </c>
      <c r="X1303" s="97"/>
      <c r="Y1303" s="75">
        <v>333.51</v>
      </c>
    </row>
    <row r="1304" spans="1:25" x14ac:dyDescent="0.25">
      <c r="A1304" s="76">
        <v>1336</v>
      </c>
      <c r="B1304" s="2" t="s">
        <v>10786</v>
      </c>
      <c r="C1304" s="2" t="s">
        <v>10787</v>
      </c>
      <c r="D1304" s="2" t="s">
        <v>10788</v>
      </c>
      <c r="E1304" s="2" t="s">
        <v>10789</v>
      </c>
      <c r="F1304" s="2" t="s">
        <v>10790</v>
      </c>
      <c r="G1304" s="2" t="s">
        <v>750</v>
      </c>
      <c r="H1304" s="17">
        <v>25</v>
      </c>
      <c r="I1304" s="31">
        <f t="shared" si="132"/>
        <v>25000</v>
      </c>
      <c r="J1304" s="31">
        <f t="shared" si="133"/>
        <v>1750.0000000000002</v>
      </c>
      <c r="K1304" s="44">
        <f t="shared" si="134"/>
        <v>4.794520547945206</v>
      </c>
      <c r="L1304" s="3">
        <f t="shared" si="135"/>
        <v>354.79452054794524</v>
      </c>
      <c r="M1304" s="3">
        <f t="shared" si="136"/>
        <v>21.287671232876715</v>
      </c>
      <c r="N1304" s="67">
        <f t="shared" si="137"/>
        <v>333.50684931506851</v>
      </c>
      <c r="O1304" s="3"/>
      <c r="P1304" s="70" t="s">
        <v>18629</v>
      </c>
      <c r="Q1304" s="2" t="s">
        <v>283</v>
      </c>
      <c r="R1304" s="2" t="s">
        <v>10791</v>
      </c>
      <c r="T1304" t="s">
        <v>18666</v>
      </c>
      <c r="U1304" t="s">
        <v>18652</v>
      </c>
      <c r="V1304" s="104">
        <v>45857</v>
      </c>
      <c r="X1304" s="97"/>
      <c r="Y1304" s="75">
        <v>333.51</v>
      </c>
    </row>
    <row r="1305" spans="1:25" x14ac:dyDescent="0.25">
      <c r="A1305" s="76">
        <v>1337</v>
      </c>
      <c r="B1305" s="2" t="s">
        <v>4016</v>
      </c>
      <c r="C1305" s="2" t="s">
        <v>4017</v>
      </c>
      <c r="D1305" s="2" t="s">
        <v>4018</v>
      </c>
      <c r="E1305" s="2" t="s">
        <v>4019</v>
      </c>
      <c r="F1305" s="2" t="s">
        <v>4020</v>
      </c>
      <c r="G1305" s="2" t="s">
        <v>381</v>
      </c>
      <c r="H1305" s="17">
        <v>100</v>
      </c>
      <c r="I1305" s="31">
        <f t="shared" si="132"/>
        <v>100000</v>
      </c>
      <c r="J1305" s="31">
        <f t="shared" si="133"/>
        <v>7000.0000000000009</v>
      </c>
      <c r="K1305" s="44">
        <f t="shared" si="134"/>
        <v>19.178082191780824</v>
      </c>
      <c r="L1305" s="3">
        <f t="shared" si="135"/>
        <v>1419.178082191781</v>
      </c>
      <c r="M1305" s="3">
        <f t="shared" si="136"/>
        <v>85.150684931506859</v>
      </c>
      <c r="N1305" s="67">
        <f t="shared" si="137"/>
        <v>1334.027397260274</v>
      </c>
      <c r="O1305" s="3"/>
      <c r="P1305" s="70" t="s">
        <v>18629</v>
      </c>
      <c r="Q1305" s="2" t="s">
        <v>283</v>
      </c>
      <c r="R1305" s="2" t="s">
        <v>4021</v>
      </c>
      <c r="T1305" t="s">
        <v>18666</v>
      </c>
      <c r="U1305" t="s">
        <v>18652</v>
      </c>
      <c r="V1305" s="104">
        <v>45857</v>
      </c>
      <c r="X1305" s="97"/>
      <c r="Y1305" s="75">
        <v>1334.03</v>
      </c>
    </row>
    <row r="1306" spans="1:25" x14ac:dyDescent="0.25">
      <c r="A1306" s="76">
        <v>1338</v>
      </c>
      <c r="B1306" s="2" t="s">
        <v>12027</v>
      </c>
      <c r="C1306" s="2" t="s">
        <v>12028</v>
      </c>
      <c r="D1306" s="2" t="s">
        <v>12029</v>
      </c>
      <c r="E1306" s="2" t="s">
        <v>12030</v>
      </c>
      <c r="F1306" s="2" t="s">
        <v>12031</v>
      </c>
      <c r="G1306" s="2" t="s">
        <v>381</v>
      </c>
      <c r="H1306" s="17">
        <v>25</v>
      </c>
      <c r="I1306" s="31">
        <f t="shared" si="132"/>
        <v>25000</v>
      </c>
      <c r="J1306" s="31">
        <f t="shared" si="133"/>
        <v>1750.0000000000002</v>
      </c>
      <c r="K1306" s="44">
        <f t="shared" si="134"/>
        <v>4.794520547945206</v>
      </c>
      <c r="L1306" s="3">
        <f t="shared" si="135"/>
        <v>354.79452054794524</v>
      </c>
      <c r="M1306" s="3">
        <f t="shared" si="136"/>
        <v>21.287671232876715</v>
      </c>
      <c r="N1306" s="67">
        <f t="shared" si="137"/>
        <v>333.50684931506851</v>
      </c>
      <c r="O1306" s="3"/>
      <c r="P1306" s="70" t="s">
        <v>18629</v>
      </c>
      <c r="Q1306" s="2" t="s">
        <v>283</v>
      </c>
      <c r="R1306" s="2" t="s">
        <v>12032</v>
      </c>
      <c r="T1306" t="s">
        <v>18666</v>
      </c>
      <c r="U1306" t="s">
        <v>18652</v>
      </c>
      <c r="V1306" s="104">
        <v>45857</v>
      </c>
      <c r="X1306" s="97"/>
      <c r="Y1306" s="75">
        <v>333.51</v>
      </c>
    </row>
    <row r="1307" spans="1:25" x14ac:dyDescent="0.25">
      <c r="A1307" s="76">
        <v>1339</v>
      </c>
      <c r="B1307" s="2" t="s">
        <v>14876</v>
      </c>
      <c r="C1307" s="2" t="s">
        <v>14877</v>
      </c>
      <c r="D1307" s="2" t="s">
        <v>14878</v>
      </c>
      <c r="E1307" s="2" t="s">
        <v>14879</v>
      </c>
      <c r="F1307" s="2" t="s">
        <v>14880</v>
      </c>
      <c r="G1307" s="2" t="s">
        <v>2380</v>
      </c>
      <c r="H1307" s="17">
        <v>25</v>
      </c>
      <c r="I1307" s="31">
        <f t="shared" si="132"/>
        <v>25000</v>
      </c>
      <c r="J1307" s="31">
        <f t="shared" si="133"/>
        <v>1750.0000000000002</v>
      </c>
      <c r="K1307" s="44">
        <f t="shared" si="134"/>
        <v>4.794520547945206</v>
      </c>
      <c r="L1307" s="3">
        <f t="shared" si="135"/>
        <v>354.79452054794524</v>
      </c>
      <c r="M1307" s="3">
        <f t="shared" si="136"/>
        <v>21.287671232876715</v>
      </c>
      <c r="N1307" s="67">
        <f t="shared" si="137"/>
        <v>333.50684931506851</v>
      </c>
      <c r="O1307" s="3"/>
      <c r="P1307" s="70" t="s">
        <v>18629</v>
      </c>
      <c r="Q1307" s="2" t="s">
        <v>283</v>
      </c>
      <c r="R1307" s="2" t="s">
        <v>14881</v>
      </c>
      <c r="T1307" t="s">
        <v>18666</v>
      </c>
      <c r="U1307" t="s">
        <v>18652</v>
      </c>
      <c r="V1307" s="104">
        <v>45857</v>
      </c>
      <c r="X1307" s="97"/>
      <c r="Y1307" s="75">
        <v>333.51</v>
      </c>
    </row>
    <row r="1308" spans="1:25" x14ac:dyDescent="0.25">
      <c r="A1308" s="76">
        <v>1340</v>
      </c>
      <c r="B1308" s="2" t="s">
        <v>3449</v>
      </c>
      <c r="C1308" s="2" t="s">
        <v>3450</v>
      </c>
      <c r="D1308" s="2" t="s">
        <v>3451</v>
      </c>
      <c r="E1308" s="2" t="s">
        <v>3452</v>
      </c>
      <c r="F1308" s="2" t="s">
        <v>3453</v>
      </c>
      <c r="G1308" s="2" t="s">
        <v>166</v>
      </c>
      <c r="H1308" s="17">
        <v>25</v>
      </c>
      <c r="I1308" s="31">
        <f t="shared" si="132"/>
        <v>25000</v>
      </c>
      <c r="J1308" s="31">
        <f t="shared" si="133"/>
        <v>1750.0000000000002</v>
      </c>
      <c r="K1308" s="44">
        <f t="shared" si="134"/>
        <v>4.794520547945206</v>
      </c>
      <c r="L1308" s="3">
        <f t="shared" si="135"/>
        <v>354.79452054794524</v>
      </c>
      <c r="M1308" s="3">
        <f t="shared" si="136"/>
        <v>21.287671232876715</v>
      </c>
      <c r="N1308" s="67">
        <f t="shared" si="137"/>
        <v>333.50684931506851</v>
      </c>
      <c r="O1308" s="3"/>
      <c r="P1308" s="70" t="s">
        <v>18629</v>
      </c>
      <c r="Q1308" s="2" t="s">
        <v>283</v>
      </c>
      <c r="R1308" s="2" t="s">
        <v>3454</v>
      </c>
      <c r="T1308" t="s">
        <v>18666</v>
      </c>
      <c r="U1308" t="s">
        <v>18652</v>
      </c>
      <c r="V1308" s="104">
        <v>45857</v>
      </c>
      <c r="X1308" s="97"/>
      <c r="Y1308" s="75">
        <v>333.51</v>
      </c>
    </row>
    <row r="1309" spans="1:25" x14ac:dyDescent="0.25">
      <c r="A1309" s="76">
        <v>1341</v>
      </c>
      <c r="B1309" s="2" t="s">
        <v>10703</v>
      </c>
      <c r="C1309" s="2" t="s">
        <v>10704</v>
      </c>
      <c r="D1309" s="2" t="s">
        <v>10705</v>
      </c>
      <c r="E1309" s="2" t="s">
        <v>10706</v>
      </c>
      <c r="F1309" s="2" t="s">
        <v>10707</v>
      </c>
      <c r="G1309" s="2" t="s">
        <v>381</v>
      </c>
      <c r="H1309" s="17">
        <v>25</v>
      </c>
      <c r="I1309" s="31">
        <f t="shared" si="132"/>
        <v>25000</v>
      </c>
      <c r="J1309" s="31">
        <f t="shared" si="133"/>
        <v>1750.0000000000002</v>
      </c>
      <c r="K1309" s="44">
        <f t="shared" si="134"/>
        <v>4.794520547945206</v>
      </c>
      <c r="L1309" s="3">
        <f t="shared" si="135"/>
        <v>354.79452054794524</v>
      </c>
      <c r="M1309" s="3">
        <f t="shared" si="136"/>
        <v>21.287671232876715</v>
      </c>
      <c r="N1309" s="67">
        <f t="shared" si="137"/>
        <v>333.50684931506851</v>
      </c>
      <c r="O1309" s="3"/>
      <c r="P1309" s="70" t="s">
        <v>18629</v>
      </c>
      <c r="Q1309" s="2" t="s">
        <v>283</v>
      </c>
      <c r="R1309" s="2" t="s">
        <v>10708</v>
      </c>
      <c r="T1309" t="s">
        <v>18666</v>
      </c>
      <c r="U1309" t="s">
        <v>18652</v>
      </c>
      <c r="V1309" s="104">
        <v>45857</v>
      </c>
      <c r="X1309" s="97"/>
      <c r="Y1309" s="75">
        <v>333.51</v>
      </c>
    </row>
    <row r="1310" spans="1:25" x14ac:dyDescent="0.25">
      <c r="A1310" s="76">
        <v>1342</v>
      </c>
      <c r="B1310" s="2" t="s">
        <v>14199</v>
      </c>
      <c r="C1310" s="2" t="s">
        <v>14200</v>
      </c>
      <c r="D1310" s="2" t="s">
        <v>14201</v>
      </c>
      <c r="E1310" s="2" t="s">
        <v>14202</v>
      </c>
      <c r="F1310" s="2" t="s">
        <v>14203</v>
      </c>
      <c r="G1310" s="2" t="s">
        <v>247</v>
      </c>
      <c r="H1310" s="17">
        <v>25</v>
      </c>
      <c r="I1310" s="31">
        <f t="shared" si="132"/>
        <v>25000</v>
      </c>
      <c r="J1310" s="31">
        <f t="shared" si="133"/>
        <v>1750.0000000000002</v>
      </c>
      <c r="K1310" s="44">
        <f t="shared" si="134"/>
        <v>4.794520547945206</v>
      </c>
      <c r="L1310" s="3">
        <f t="shared" si="135"/>
        <v>354.79452054794524</v>
      </c>
      <c r="M1310" s="3">
        <f t="shared" si="136"/>
        <v>21.287671232876715</v>
      </c>
      <c r="N1310" s="67">
        <f t="shared" si="137"/>
        <v>333.50684931506851</v>
      </c>
      <c r="O1310" s="3"/>
      <c r="P1310" s="70" t="s">
        <v>18629</v>
      </c>
      <c r="Q1310" s="2" t="s">
        <v>283</v>
      </c>
      <c r="R1310" s="2" t="s">
        <v>14204</v>
      </c>
      <c r="T1310" t="s">
        <v>18666</v>
      </c>
      <c r="U1310" t="s">
        <v>18652</v>
      </c>
      <c r="V1310" s="104">
        <v>45857</v>
      </c>
      <c r="X1310" s="97"/>
      <c r="Y1310" s="75">
        <v>333.51</v>
      </c>
    </row>
    <row r="1311" spans="1:25" x14ac:dyDescent="0.25">
      <c r="A1311" s="76">
        <v>1343</v>
      </c>
      <c r="B1311" s="2" t="s">
        <v>4652</v>
      </c>
      <c r="C1311" s="2" t="s">
        <v>4653</v>
      </c>
      <c r="D1311" s="2" t="s">
        <v>4654</v>
      </c>
      <c r="E1311" s="2" t="s">
        <v>4655</v>
      </c>
      <c r="F1311" s="2" t="s">
        <v>4656</v>
      </c>
      <c r="G1311" s="2" t="s">
        <v>247</v>
      </c>
      <c r="H1311" s="17">
        <v>25</v>
      </c>
      <c r="I1311" s="31">
        <f t="shared" si="132"/>
        <v>25000</v>
      </c>
      <c r="J1311" s="31">
        <f t="shared" si="133"/>
        <v>1750.0000000000002</v>
      </c>
      <c r="K1311" s="44">
        <f t="shared" si="134"/>
        <v>4.794520547945206</v>
      </c>
      <c r="L1311" s="3">
        <f t="shared" si="135"/>
        <v>354.79452054794524</v>
      </c>
      <c r="M1311" s="3">
        <f t="shared" si="136"/>
        <v>21.287671232876715</v>
      </c>
      <c r="N1311" s="67">
        <f t="shared" si="137"/>
        <v>333.50684931506851</v>
      </c>
      <c r="O1311" s="3"/>
      <c r="P1311" s="70" t="s">
        <v>18629</v>
      </c>
      <c r="Q1311" s="2" t="s">
        <v>283</v>
      </c>
      <c r="R1311" s="2" t="s">
        <v>4657</v>
      </c>
      <c r="T1311" t="s">
        <v>18666</v>
      </c>
      <c r="U1311" t="s">
        <v>18652</v>
      </c>
      <c r="V1311" s="104">
        <v>45857</v>
      </c>
      <c r="X1311" s="97"/>
      <c r="Y1311" s="75">
        <v>333.51</v>
      </c>
    </row>
    <row r="1312" spans="1:25" x14ac:dyDescent="0.25">
      <c r="A1312" s="76">
        <v>1344</v>
      </c>
      <c r="B1312" s="2" t="s">
        <v>16200</v>
      </c>
      <c r="C1312" s="2" t="s">
        <v>16201</v>
      </c>
      <c r="D1312" s="2" t="s">
        <v>16202</v>
      </c>
      <c r="E1312" s="2" t="s">
        <v>16203</v>
      </c>
      <c r="F1312" s="2" t="s">
        <v>16204</v>
      </c>
      <c r="G1312" s="2" t="s">
        <v>2380</v>
      </c>
      <c r="H1312" s="17">
        <v>25</v>
      </c>
      <c r="I1312" s="31">
        <f t="shared" si="132"/>
        <v>25000</v>
      </c>
      <c r="J1312" s="31">
        <f t="shared" si="133"/>
        <v>1750.0000000000002</v>
      </c>
      <c r="K1312" s="44">
        <f t="shared" si="134"/>
        <v>4.794520547945206</v>
      </c>
      <c r="L1312" s="3">
        <f t="shared" si="135"/>
        <v>354.79452054794524</v>
      </c>
      <c r="M1312" s="3">
        <f t="shared" si="136"/>
        <v>21.287671232876715</v>
      </c>
      <c r="N1312" s="67">
        <f t="shared" si="137"/>
        <v>333.50684931506851</v>
      </c>
      <c r="O1312" s="3"/>
      <c r="P1312" s="70" t="s">
        <v>18629</v>
      </c>
      <c r="Q1312" s="2" t="s">
        <v>283</v>
      </c>
      <c r="R1312" s="2" t="s">
        <v>16205</v>
      </c>
      <c r="T1312" t="s">
        <v>18666</v>
      </c>
      <c r="U1312" t="s">
        <v>18652</v>
      </c>
      <c r="V1312" s="104">
        <v>45857</v>
      </c>
      <c r="X1312" s="97"/>
      <c r="Y1312" s="75">
        <v>333.51</v>
      </c>
    </row>
    <row r="1313" spans="1:25" x14ac:dyDescent="0.25">
      <c r="A1313" s="76">
        <v>1345</v>
      </c>
      <c r="B1313" s="2" t="s">
        <v>10916</v>
      </c>
      <c r="C1313" s="2" t="s">
        <v>10917</v>
      </c>
      <c r="D1313" s="2" t="s">
        <v>10918</v>
      </c>
      <c r="E1313" s="2" t="s">
        <v>10919</v>
      </c>
      <c r="F1313" s="2" t="s">
        <v>10920</v>
      </c>
      <c r="G1313" s="2" t="s">
        <v>2571</v>
      </c>
      <c r="H1313" s="17">
        <v>25</v>
      </c>
      <c r="I1313" s="31">
        <f t="shared" si="132"/>
        <v>25000</v>
      </c>
      <c r="J1313" s="31">
        <f t="shared" si="133"/>
        <v>1750.0000000000002</v>
      </c>
      <c r="K1313" s="44">
        <f t="shared" si="134"/>
        <v>4.794520547945206</v>
      </c>
      <c r="L1313" s="3">
        <f t="shared" si="135"/>
        <v>354.79452054794524</v>
      </c>
      <c r="M1313" s="3">
        <f t="shared" si="136"/>
        <v>21.287671232876715</v>
      </c>
      <c r="N1313" s="67">
        <f t="shared" si="137"/>
        <v>333.50684931506851</v>
      </c>
      <c r="O1313" s="3"/>
      <c r="P1313" s="70" t="s">
        <v>18629</v>
      </c>
      <c r="Q1313" s="2" t="s">
        <v>283</v>
      </c>
      <c r="R1313" s="2" t="s">
        <v>10921</v>
      </c>
      <c r="T1313" t="s">
        <v>18666</v>
      </c>
      <c r="U1313" t="s">
        <v>18652</v>
      </c>
      <c r="V1313" s="104">
        <v>45857</v>
      </c>
      <c r="X1313" s="97"/>
      <c r="Y1313" s="75">
        <v>333.51</v>
      </c>
    </row>
    <row r="1314" spans="1:25" x14ac:dyDescent="0.25">
      <c r="A1314" s="76">
        <v>1346</v>
      </c>
      <c r="B1314" s="2" t="s">
        <v>7215</v>
      </c>
      <c r="C1314" s="2" t="s">
        <v>7216</v>
      </c>
      <c r="D1314" s="2" t="s">
        <v>7217</v>
      </c>
      <c r="E1314" s="2" t="s">
        <v>7218</v>
      </c>
      <c r="F1314" s="2" t="s">
        <v>7219</v>
      </c>
      <c r="G1314" s="2" t="s">
        <v>750</v>
      </c>
      <c r="H1314" s="17">
        <v>25</v>
      </c>
      <c r="I1314" s="31">
        <f t="shared" si="132"/>
        <v>25000</v>
      </c>
      <c r="J1314" s="31">
        <f t="shared" si="133"/>
        <v>1750.0000000000002</v>
      </c>
      <c r="K1314" s="44">
        <f t="shared" si="134"/>
        <v>4.794520547945206</v>
      </c>
      <c r="L1314" s="3">
        <f t="shared" si="135"/>
        <v>354.79452054794524</v>
      </c>
      <c r="M1314" s="3">
        <f t="shared" si="136"/>
        <v>21.287671232876715</v>
      </c>
      <c r="N1314" s="67">
        <f t="shared" si="137"/>
        <v>333.50684931506851</v>
      </c>
      <c r="O1314" s="3"/>
      <c r="P1314" s="70" t="s">
        <v>18629</v>
      </c>
      <c r="Q1314" s="2" t="s">
        <v>283</v>
      </c>
      <c r="R1314" s="2" t="s">
        <v>7220</v>
      </c>
      <c r="T1314" t="s">
        <v>18666</v>
      </c>
      <c r="U1314" t="s">
        <v>18652</v>
      </c>
      <c r="V1314" s="104">
        <v>45857</v>
      </c>
      <c r="X1314" s="97"/>
      <c r="Y1314" s="75">
        <v>333.51</v>
      </c>
    </row>
    <row r="1315" spans="1:25" x14ac:dyDescent="0.25">
      <c r="A1315" s="76">
        <v>1347</v>
      </c>
      <c r="B1315" s="2" t="s">
        <v>7984</v>
      </c>
      <c r="C1315" s="2" t="s">
        <v>7985</v>
      </c>
      <c r="D1315" s="2" t="s">
        <v>7986</v>
      </c>
      <c r="E1315" s="2" t="s">
        <v>7987</v>
      </c>
      <c r="F1315" s="2" t="s">
        <v>7988</v>
      </c>
      <c r="G1315" s="2" t="s">
        <v>750</v>
      </c>
      <c r="H1315" s="17">
        <v>25</v>
      </c>
      <c r="I1315" s="31">
        <f t="shared" si="132"/>
        <v>25000</v>
      </c>
      <c r="J1315" s="31">
        <f t="shared" si="133"/>
        <v>1750.0000000000002</v>
      </c>
      <c r="K1315" s="44">
        <f t="shared" si="134"/>
        <v>4.794520547945206</v>
      </c>
      <c r="L1315" s="3">
        <f t="shared" si="135"/>
        <v>354.79452054794524</v>
      </c>
      <c r="M1315" s="3">
        <f t="shared" si="136"/>
        <v>21.287671232876715</v>
      </c>
      <c r="N1315" s="67">
        <f t="shared" si="137"/>
        <v>333.50684931506851</v>
      </c>
      <c r="O1315" s="3"/>
      <c r="P1315" s="70" t="s">
        <v>18629</v>
      </c>
      <c r="Q1315" s="2" t="s">
        <v>283</v>
      </c>
      <c r="R1315" s="2" t="s">
        <v>7989</v>
      </c>
      <c r="T1315" t="s">
        <v>18666</v>
      </c>
      <c r="U1315" t="s">
        <v>18652</v>
      </c>
      <c r="V1315" s="104">
        <v>45857</v>
      </c>
      <c r="X1315" s="97"/>
      <c r="Y1315" s="75">
        <v>333.51</v>
      </c>
    </row>
    <row r="1316" spans="1:25" x14ac:dyDescent="0.25">
      <c r="A1316" s="76">
        <v>1348</v>
      </c>
      <c r="B1316" s="2" t="s">
        <v>8072</v>
      </c>
      <c r="C1316" s="2" t="s">
        <v>8073</v>
      </c>
      <c r="D1316" s="2" t="s">
        <v>8074</v>
      </c>
      <c r="E1316" s="2" t="s">
        <v>8075</v>
      </c>
      <c r="F1316" s="2" t="s">
        <v>8076</v>
      </c>
      <c r="G1316" s="2" t="s">
        <v>1570</v>
      </c>
      <c r="H1316" s="17">
        <v>25</v>
      </c>
      <c r="I1316" s="31">
        <f t="shared" si="132"/>
        <v>25000</v>
      </c>
      <c r="J1316" s="31">
        <f t="shared" si="133"/>
        <v>1750.0000000000002</v>
      </c>
      <c r="K1316" s="44">
        <f t="shared" si="134"/>
        <v>4.794520547945206</v>
      </c>
      <c r="L1316" s="3">
        <f t="shared" si="135"/>
        <v>354.79452054794524</v>
      </c>
      <c r="M1316" s="3">
        <f t="shared" si="136"/>
        <v>21.287671232876715</v>
      </c>
      <c r="N1316" s="67">
        <f t="shared" si="137"/>
        <v>333.50684931506851</v>
      </c>
      <c r="O1316" s="3"/>
      <c r="P1316" s="70" t="s">
        <v>18629</v>
      </c>
      <c r="Q1316" s="2" t="s">
        <v>283</v>
      </c>
      <c r="R1316" s="2" t="s">
        <v>8077</v>
      </c>
      <c r="T1316" t="s">
        <v>18666</v>
      </c>
      <c r="U1316" t="s">
        <v>18652</v>
      </c>
      <c r="V1316" s="104">
        <v>45857</v>
      </c>
      <c r="X1316" s="97"/>
      <c r="Y1316" s="75">
        <v>333.51</v>
      </c>
    </row>
    <row r="1317" spans="1:25" x14ac:dyDescent="0.25">
      <c r="A1317" s="76">
        <v>1349</v>
      </c>
      <c r="B1317" s="2" t="s">
        <v>6219</v>
      </c>
      <c r="C1317" s="2" t="s">
        <v>6220</v>
      </c>
      <c r="D1317" s="2" t="s">
        <v>6210</v>
      </c>
      <c r="E1317" s="2" t="s">
        <v>6221</v>
      </c>
      <c r="F1317" s="2" t="s">
        <v>6222</v>
      </c>
      <c r="G1317" s="2" t="s">
        <v>412</v>
      </c>
      <c r="H1317" s="17">
        <v>25</v>
      </c>
      <c r="I1317" s="31">
        <f t="shared" si="132"/>
        <v>25000</v>
      </c>
      <c r="J1317" s="31">
        <f t="shared" si="133"/>
        <v>1750.0000000000002</v>
      </c>
      <c r="K1317" s="44">
        <f t="shared" si="134"/>
        <v>4.794520547945206</v>
      </c>
      <c r="L1317" s="3">
        <f t="shared" si="135"/>
        <v>354.79452054794524</v>
      </c>
      <c r="M1317" s="3">
        <f t="shared" si="136"/>
        <v>21.287671232876715</v>
      </c>
      <c r="N1317" s="67">
        <f t="shared" si="137"/>
        <v>333.50684931506851</v>
      </c>
      <c r="O1317" s="3"/>
      <c r="P1317" s="70" t="s">
        <v>18629</v>
      </c>
      <c r="Q1317" s="2" t="s">
        <v>283</v>
      </c>
      <c r="R1317" s="2" t="s">
        <v>6223</v>
      </c>
      <c r="T1317" t="s">
        <v>18666</v>
      </c>
      <c r="U1317" t="s">
        <v>18652</v>
      </c>
      <c r="V1317" s="104">
        <v>45857</v>
      </c>
      <c r="X1317" s="97"/>
      <c r="Y1317" s="75">
        <v>333.51</v>
      </c>
    </row>
    <row r="1318" spans="1:25" x14ac:dyDescent="0.25">
      <c r="A1318" s="76">
        <v>1350</v>
      </c>
      <c r="B1318" s="2" t="s">
        <v>12051</v>
      </c>
      <c r="C1318" s="2" t="s">
        <v>12052</v>
      </c>
      <c r="D1318" s="2" t="s">
        <v>12053</v>
      </c>
      <c r="E1318" s="2" t="s">
        <v>12054</v>
      </c>
      <c r="F1318" s="2" t="s">
        <v>12055</v>
      </c>
      <c r="G1318" s="2" t="s">
        <v>158</v>
      </c>
      <c r="H1318" s="17">
        <v>200</v>
      </c>
      <c r="I1318" s="31">
        <f t="shared" si="132"/>
        <v>200000</v>
      </c>
      <c r="J1318" s="31">
        <f t="shared" si="133"/>
        <v>14000.000000000002</v>
      </c>
      <c r="K1318" s="44">
        <f t="shared" si="134"/>
        <v>38.356164383561648</v>
      </c>
      <c r="L1318" s="3">
        <f t="shared" si="135"/>
        <v>2838.3561643835619</v>
      </c>
      <c r="M1318" s="3">
        <f t="shared" si="136"/>
        <v>170.30136986301372</v>
      </c>
      <c r="N1318" s="67">
        <f t="shared" si="137"/>
        <v>2668.0547945205481</v>
      </c>
      <c r="O1318" s="3"/>
      <c r="P1318" s="70" t="s">
        <v>18629</v>
      </c>
      <c r="Q1318" s="2" t="s">
        <v>283</v>
      </c>
      <c r="R1318" s="2" t="s">
        <v>12056</v>
      </c>
      <c r="T1318" t="s">
        <v>18666</v>
      </c>
      <c r="U1318" t="s">
        <v>18652</v>
      </c>
      <c r="V1318" s="104">
        <v>45857</v>
      </c>
      <c r="X1318" s="97"/>
      <c r="Y1318" s="75">
        <v>2668.0600000000004</v>
      </c>
    </row>
    <row r="1319" spans="1:25" x14ac:dyDescent="0.25">
      <c r="A1319" s="76">
        <v>1351</v>
      </c>
      <c r="B1319" s="2" t="s">
        <v>10709</v>
      </c>
      <c r="C1319" s="2" t="s">
        <v>10710</v>
      </c>
      <c r="D1319" s="2" t="s">
        <v>10711</v>
      </c>
      <c r="E1319" s="2" t="s">
        <v>10712</v>
      </c>
      <c r="F1319" s="2" t="s">
        <v>10713</v>
      </c>
      <c r="G1319" s="2" t="s">
        <v>31</v>
      </c>
      <c r="H1319" s="17">
        <v>25</v>
      </c>
      <c r="I1319" s="31">
        <f t="shared" si="132"/>
        <v>25000</v>
      </c>
      <c r="J1319" s="31">
        <f t="shared" si="133"/>
        <v>1750.0000000000002</v>
      </c>
      <c r="K1319" s="44">
        <f t="shared" si="134"/>
        <v>4.794520547945206</v>
      </c>
      <c r="L1319" s="3">
        <f t="shared" si="135"/>
        <v>354.79452054794524</v>
      </c>
      <c r="M1319" s="3">
        <f t="shared" si="136"/>
        <v>21.287671232876715</v>
      </c>
      <c r="N1319" s="67">
        <f t="shared" si="137"/>
        <v>333.50684931506851</v>
      </c>
      <c r="O1319" s="3"/>
      <c r="P1319" s="70" t="s">
        <v>18629</v>
      </c>
      <c r="Q1319" s="2" t="s">
        <v>283</v>
      </c>
      <c r="R1319" s="2" t="s">
        <v>10714</v>
      </c>
      <c r="T1319" t="s">
        <v>18666</v>
      </c>
      <c r="U1319" t="s">
        <v>18652</v>
      </c>
      <c r="V1319" s="104">
        <v>45857</v>
      </c>
      <c r="X1319" s="97"/>
      <c r="Y1319" s="75">
        <v>333.51</v>
      </c>
    </row>
    <row r="1320" spans="1:25" x14ac:dyDescent="0.25">
      <c r="A1320" s="76">
        <v>1352</v>
      </c>
      <c r="B1320" s="2" t="s">
        <v>285</v>
      </c>
      <c r="C1320" s="2" t="s">
        <v>286</v>
      </c>
      <c r="D1320" s="2" t="s">
        <v>287</v>
      </c>
      <c r="E1320" s="2" t="s">
        <v>288</v>
      </c>
      <c r="F1320" s="2" t="s">
        <v>289</v>
      </c>
      <c r="G1320" s="2" t="s">
        <v>31</v>
      </c>
      <c r="H1320" s="17">
        <v>25</v>
      </c>
      <c r="I1320" s="31">
        <f t="shared" si="132"/>
        <v>25000</v>
      </c>
      <c r="J1320" s="31">
        <f t="shared" si="133"/>
        <v>1750.0000000000002</v>
      </c>
      <c r="K1320" s="44">
        <f t="shared" si="134"/>
        <v>4.794520547945206</v>
      </c>
      <c r="L1320" s="3">
        <f t="shared" si="135"/>
        <v>354.79452054794524</v>
      </c>
      <c r="M1320" s="3">
        <f t="shared" si="136"/>
        <v>21.287671232876715</v>
      </c>
      <c r="N1320" s="67">
        <f t="shared" si="137"/>
        <v>333.50684931506851</v>
      </c>
      <c r="O1320" s="3"/>
      <c r="P1320" s="70" t="s">
        <v>18629</v>
      </c>
      <c r="Q1320" s="2" t="s">
        <v>283</v>
      </c>
      <c r="R1320" s="2" t="s">
        <v>290</v>
      </c>
      <c r="T1320" t="s">
        <v>18666</v>
      </c>
      <c r="U1320" t="s">
        <v>18652</v>
      </c>
      <c r="V1320" s="104">
        <v>45857</v>
      </c>
      <c r="X1320" s="97"/>
      <c r="Y1320" s="75">
        <v>333.51</v>
      </c>
    </row>
    <row r="1321" spans="1:25" x14ac:dyDescent="0.25">
      <c r="A1321" s="76">
        <v>1353</v>
      </c>
      <c r="B1321" s="2" t="s">
        <v>14025</v>
      </c>
      <c r="C1321" s="2" t="s">
        <v>14026</v>
      </c>
      <c r="D1321" s="2" t="s">
        <v>14027</v>
      </c>
      <c r="E1321" s="2" t="s">
        <v>14028</v>
      </c>
      <c r="F1321" s="2" t="s">
        <v>14029</v>
      </c>
      <c r="G1321" s="2" t="s">
        <v>31</v>
      </c>
      <c r="H1321" s="17">
        <v>25</v>
      </c>
      <c r="I1321" s="31">
        <f t="shared" si="132"/>
        <v>25000</v>
      </c>
      <c r="J1321" s="31">
        <f t="shared" si="133"/>
        <v>1750.0000000000002</v>
      </c>
      <c r="K1321" s="44">
        <f t="shared" si="134"/>
        <v>4.794520547945206</v>
      </c>
      <c r="L1321" s="3">
        <f t="shared" si="135"/>
        <v>354.79452054794524</v>
      </c>
      <c r="M1321" s="3">
        <f t="shared" si="136"/>
        <v>21.287671232876715</v>
      </c>
      <c r="N1321" s="67">
        <f t="shared" si="137"/>
        <v>333.50684931506851</v>
      </c>
      <c r="O1321" s="3"/>
      <c r="P1321" s="70" t="s">
        <v>18629</v>
      </c>
      <c r="Q1321" s="2" t="s">
        <v>283</v>
      </c>
      <c r="R1321" s="2" t="s">
        <v>14030</v>
      </c>
      <c r="T1321" t="s">
        <v>18666</v>
      </c>
      <c r="U1321" t="s">
        <v>18652</v>
      </c>
      <c r="V1321" s="104">
        <v>45857</v>
      </c>
      <c r="X1321" s="97"/>
      <c r="Y1321" s="75">
        <v>333.51</v>
      </c>
    </row>
    <row r="1322" spans="1:25" x14ac:dyDescent="0.25">
      <c r="A1322" s="76">
        <v>1354</v>
      </c>
      <c r="B1322" s="2" t="s">
        <v>2585</v>
      </c>
      <c r="C1322" s="2" t="s">
        <v>2586</v>
      </c>
      <c r="D1322" s="2" t="s">
        <v>2587</v>
      </c>
      <c r="E1322" s="2" t="s">
        <v>2588</v>
      </c>
      <c r="F1322" s="2" t="s">
        <v>2589</v>
      </c>
      <c r="G1322" s="2" t="s">
        <v>835</v>
      </c>
      <c r="H1322" s="17">
        <v>25</v>
      </c>
      <c r="I1322" s="31">
        <f t="shared" si="132"/>
        <v>25000</v>
      </c>
      <c r="J1322" s="31">
        <f t="shared" si="133"/>
        <v>1750.0000000000002</v>
      </c>
      <c r="K1322" s="44">
        <f t="shared" si="134"/>
        <v>4.794520547945206</v>
      </c>
      <c r="L1322" s="3">
        <f t="shared" si="135"/>
        <v>354.79452054794524</v>
      </c>
      <c r="M1322" s="3">
        <f t="shared" si="136"/>
        <v>21.287671232876715</v>
      </c>
      <c r="N1322" s="67">
        <f t="shared" si="137"/>
        <v>333.50684931506851</v>
      </c>
      <c r="O1322" s="3"/>
      <c r="P1322" s="70" t="s">
        <v>18629</v>
      </c>
      <c r="Q1322" s="2" t="s">
        <v>283</v>
      </c>
      <c r="R1322" s="2" t="s">
        <v>2590</v>
      </c>
      <c r="T1322" t="s">
        <v>18666</v>
      </c>
      <c r="U1322" t="s">
        <v>18652</v>
      </c>
      <c r="V1322" s="104">
        <v>45857</v>
      </c>
      <c r="X1322" s="97"/>
      <c r="Y1322" s="75">
        <v>333.51</v>
      </c>
    </row>
    <row r="1323" spans="1:25" x14ac:dyDescent="0.25">
      <c r="A1323" s="76">
        <v>1355</v>
      </c>
      <c r="B1323" s="2" t="s">
        <v>15802</v>
      </c>
      <c r="C1323" s="2" t="s">
        <v>15803</v>
      </c>
      <c r="D1323" s="2" t="s">
        <v>14372</v>
      </c>
      <c r="E1323" s="2" t="s">
        <v>15804</v>
      </c>
      <c r="F1323" s="2" t="s">
        <v>15805</v>
      </c>
      <c r="G1323" s="2" t="s">
        <v>268</v>
      </c>
      <c r="H1323" s="17">
        <v>100</v>
      </c>
      <c r="I1323" s="31">
        <f t="shared" si="132"/>
        <v>100000</v>
      </c>
      <c r="J1323" s="31">
        <f t="shared" si="133"/>
        <v>7000.0000000000009</v>
      </c>
      <c r="K1323" s="44">
        <f t="shared" si="134"/>
        <v>19.178082191780824</v>
      </c>
      <c r="L1323" s="3">
        <f t="shared" si="135"/>
        <v>1419.178082191781</v>
      </c>
      <c r="M1323" s="3">
        <f t="shared" si="136"/>
        <v>85.150684931506859</v>
      </c>
      <c r="N1323" s="67">
        <f t="shared" si="137"/>
        <v>1334.027397260274</v>
      </c>
      <c r="O1323" s="3"/>
      <c r="P1323" s="70" t="s">
        <v>18629</v>
      </c>
      <c r="Q1323" s="2" t="s">
        <v>283</v>
      </c>
      <c r="R1323" s="2" t="s">
        <v>15806</v>
      </c>
      <c r="T1323" t="s">
        <v>18666</v>
      </c>
      <c r="U1323" t="s">
        <v>18652</v>
      </c>
      <c r="V1323" s="104">
        <v>45857</v>
      </c>
      <c r="X1323" s="97"/>
      <c r="Y1323" s="75">
        <v>1334.03</v>
      </c>
    </row>
    <row r="1324" spans="1:25" x14ac:dyDescent="0.25">
      <c r="A1324" s="76">
        <v>1356</v>
      </c>
      <c r="B1324" s="2" t="s">
        <v>607</v>
      </c>
      <c r="C1324" s="2" t="s">
        <v>608</v>
      </c>
      <c r="D1324" s="2" t="s">
        <v>609</v>
      </c>
      <c r="E1324" s="2" t="s">
        <v>610</v>
      </c>
      <c r="F1324" s="2" t="s">
        <v>611</v>
      </c>
      <c r="G1324" s="2" t="s">
        <v>31</v>
      </c>
      <c r="H1324" s="17">
        <v>25</v>
      </c>
      <c r="I1324" s="31">
        <f t="shared" si="132"/>
        <v>25000</v>
      </c>
      <c r="J1324" s="31">
        <f t="shared" si="133"/>
        <v>1750.0000000000002</v>
      </c>
      <c r="K1324" s="44">
        <f t="shared" si="134"/>
        <v>4.794520547945206</v>
      </c>
      <c r="L1324" s="3">
        <f t="shared" si="135"/>
        <v>354.79452054794524</v>
      </c>
      <c r="M1324" s="3">
        <f t="shared" si="136"/>
        <v>21.287671232876715</v>
      </c>
      <c r="N1324" s="67">
        <f t="shared" si="137"/>
        <v>333.50684931506851</v>
      </c>
      <c r="O1324" s="3"/>
      <c r="P1324" s="70" t="s">
        <v>18629</v>
      </c>
      <c r="Q1324" s="2" t="s">
        <v>283</v>
      </c>
      <c r="R1324" s="2" t="s">
        <v>612</v>
      </c>
      <c r="T1324" t="s">
        <v>18666</v>
      </c>
      <c r="U1324" t="s">
        <v>18652</v>
      </c>
      <c r="V1324" s="104">
        <v>45857</v>
      </c>
      <c r="X1324" s="97"/>
      <c r="Y1324" s="75">
        <v>333.51</v>
      </c>
    </row>
    <row r="1325" spans="1:25" x14ac:dyDescent="0.25">
      <c r="A1325" s="76">
        <v>1357</v>
      </c>
      <c r="B1325" s="2" t="s">
        <v>8741</v>
      </c>
      <c r="C1325" s="2" t="s">
        <v>8742</v>
      </c>
      <c r="D1325" s="2" t="s">
        <v>8743</v>
      </c>
      <c r="E1325" s="2" t="s">
        <v>8744</v>
      </c>
      <c r="F1325" s="2" t="s">
        <v>8745</v>
      </c>
      <c r="G1325" s="2" t="s">
        <v>1017</v>
      </c>
      <c r="H1325" s="17">
        <v>25</v>
      </c>
      <c r="I1325" s="31">
        <f t="shared" si="132"/>
        <v>25000</v>
      </c>
      <c r="J1325" s="31">
        <f t="shared" si="133"/>
        <v>1750.0000000000002</v>
      </c>
      <c r="K1325" s="44">
        <f t="shared" si="134"/>
        <v>4.794520547945206</v>
      </c>
      <c r="L1325" s="3">
        <f t="shared" si="135"/>
        <v>354.79452054794524</v>
      </c>
      <c r="M1325" s="3">
        <f t="shared" si="136"/>
        <v>21.287671232876715</v>
      </c>
      <c r="N1325" s="67">
        <f t="shared" si="137"/>
        <v>333.50684931506851</v>
      </c>
      <c r="O1325" s="3"/>
      <c r="P1325" s="70" t="s">
        <v>18629</v>
      </c>
      <c r="Q1325" s="2" t="s">
        <v>283</v>
      </c>
      <c r="R1325" s="2" t="s">
        <v>8746</v>
      </c>
      <c r="T1325" t="s">
        <v>18666</v>
      </c>
      <c r="U1325" t="s">
        <v>18652</v>
      </c>
      <c r="V1325" s="104">
        <v>45857</v>
      </c>
      <c r="X1325" s="97"/>
      <c r="Y1325" s="75">
        <v>333.51</v>
      </c>
    </row>
    <row r="1326" spans="1:25" x14ac:dyDescent="0.25">
      <c r="A1326" s="76">
        <v>1358</v>
      </c>
      <c r="B1326" s="2" t="s">
        <v>1012</v>
      </c>
      <c r="C1326" s="2" t="s">
        <v>1013</v>
      </c>
      <c r="D1326" s="2" t="s">
        <v>1014</v>
      </c>
      <c r="E1326" s="2" t="s">
        <v>1015</v>
      </c>
      <c r="F1326" s="2" t="s">
        <v>1016</v>
      </c>
      <c r="G1326" s="2" t="s">
        <v>1017</v>
      </c>
      <c r="H1326" s="17">
        <v>25</v>
      </c>
      <c r="I1326" s="31">
        <f t="shared" si="132"/>
        <v>25000</v>
      </c>
      <c r="J1326" s="31">
        <f t="shared" si="133"/>
        <v>1750.0000000000002</v>
      </c>
      <c r="K1326" s="44">
        <f t="shared" si="134"/>
        <v>4.794520547945206</v>
      </c>
      <c r="L1326" s="3">
        <f t="shared" si="135"/>
        <v>354.79452054794524</v>
      </c>
      <c r="M1326" s="3">
        <f t="shared" si="136"/>
        <v>21.287671232876715</v>
      </c>
      <c r="N1326" s="67">
        <f t="shared" si="137"/>
        <v>333.50684931506851</v>
      </c>
      <c r="O1326" s="3"/>
      <c r="P1326" s="70" t="s">
        <v>18629</v>
      </c>
      <c r="Q1326" s="2" t="s">
        <v>283</v>
      </c>
      <c r="R1326" s="2" t="s">
        <v>1018</v>
      </c>
      <c r="T1326" t="s">
        <v>18666</v>
      </c>
      <c r="U1326" t="s">
        <v>18652</v>
      </c>
      <c r="V1326" s="104">
        <v>45857</v>
      </c>
      <c r="X1326" s="97"/>
      <c r="Y1326" s="75">
        <v>333.51</v>
      </c>
    </row>
    <row r="1327" spans="1:25" x14ac:dyDescent="0.25">
      <c r="A1327" s="76">
        <v>1359</v>
      </c>
      <c r="B1327" s="2" t="s">
        <v>4204</v>
      </c>
      <c r="C1327" s="2" t="s">
        <v>4205</v>
      </c>
      <c r="D1327" s="2" t="s">
        <v>4206</v>
      </c>
      <c r="E1327" s="2" t="s">
        <v>4207</v>
      </c>
      <c r="F1327" s="2" t="s">
        <v>4208</v>
      </c>
      <c r="G1327" s="2" t="s">
        <v>876</v>
      </c>
      <c r="H1327" s="17">
        <v>25</v>
      </c>
      <c r="I1327" s="31">
        <f t="shared" si="132"/>
        <v>25000</v>
      </c>
      <c r="J1327" s="31">
        <f t="shared" si="133"/>
        <v>1750.0000000000002</v>
      </c>
      <c r="K1327" s="44">
        <f t="shared" si="134"/>
        <v>4.794520547945206</v>
      </c>
      <c r="L1327" s="3">
        <f t="shared" si="135"/>
        <v>354.79452054794524</v>
      </c>
      <c r="M1327" s="3">
        <f t="shared" si="136"/>
        <v>21.287671232876715</v>
      </c>
      <c r="N1327" s="67">
        <f t="shared" si="137"/>
        <v>333.50684931506851</v>
      </c>
      <c r="O1327" s="3"/>
      <c r="P1327" s="70" t="s">
        <v>18629</v>
      </c>
      <c r="Q1327" s="2" t="s">
        <v>283</v>
      </c>
      <c r="R1327" s="2" t="s">
        <v>4209</v>
      </c>
      <c r="T1327" t="s">
        <v>18666</v>
      </c>
      <c r="U1327" t="s">
        <v>18652</v>
      </c>
      <c r="V1327" s="104">
        <v>45857</v>
      </c>
      <c r="X1327" s="97"/>
      <c r="Y1327" s="75">
        <v>333.51</v>
      </c>
    </row>
    <row r="1328" spans="1:25" x14ac:dyDescent="0.25">
      <c r="A1328" s="76">
        <v>1360</v>
      </c>
      <c r="B1328" s="2" t="s">
        <v>15515</v>
      </c>
      <c r="C1328" s="2" t="s">
        <v>15516</v>
      </c>
      <c r="D1328" s="2" t="s">
        <v>3355</v>
      </c>
      <c r="E1328" s="2" t="s">
        <v>15517</v>
      </c>
      <c r="F1328" s="2" t="s">
        <v>15518</v>
      </c>
      <c r="G1328" s="2" t="s">
        <v>412</v>
      </c>
      <c r="H1328" s="17">
        <v>100</v>
      </c>
      <c r="I1328" s="31">
        <f t="shared" si="132"/>
        <v>100000</v>
      </c>
      <c r="J1328" s="31">
        <f t="shared" si="133"/>
        <v>7000.0000000000009</v>
      </c>
      <c r="K1328" s="44">
        <f t="shared" si="134"/>
        <v>19.178082191780824</v>
      </c>
      <c r="L1328" s="3">
        <f t="shared" si="135"/>
        <v>1419.178082191781</v>
      </c>
      <c r="M1328" s="3">
        <f t="shared" si="136"/>
        <v>85.150684931506859</v>
      </c>
      <c r="N1328" s="67">
        <f t="shared" si="137"/>
        <v>1334.027397260274</v>
      </c>
      <c r="O1328" s="3"/>
      <c r="P1328" s="70" t="s">
        <v>18629</v>
      </c>
      <c r="Q1328" s="2" t="s">
        <v>283</v>
      </c>
      <c r="R1328" s="2" t="s">
        <v>15519</v>
      </c>
      <c r="T1328" t="s">
        <v>18666</v>
      </c>
      <c r="U1328" t="s">
        <v>18652</v>
      </c>
      <c r="V1328" s="104">
        <v>45857</v>
      </c>
      <c r="X1328" s="97"/>
      <c r="Y1328" s="75">
        <v>1334.03</v>
      </c>
    </row>
    <row r="1329" spans="1:25" x14ac:dyDescent="0.25">
      <c r="A1329" s="76">
        <v>1361</v>
      </c>
      <c r="B1329" s="2" t="s">
        <v>11778</v>
      </c>
      <c r="C1329" s="2" t="s">
        <v>11779</v>
      </c>
      <c r="D1329" s="2" t="s">
        <v>11780</v>
      </c>
      <c r="E1329" s="2" t="s">
        <v>11781</v>
      </c>
      <c r="F1329" s="2" t="s">
        <v>11782</v>
      </c>
      <c r="G1329" s="2" t="s">
        <v>381</v>
      </c>
      <c r="H1329" s="17">
        <v>100</v>
      </c>
      <c r="I1329" s="31">
        <f t="shared" si="132"/>
        <v>100000</v>
      </c>
      <c r="J1329" s="31">
        <f t="shared" si="133"/>
        <v>7000.0000000000009</v>
      </c>
      <c r="K1329" s="44">
        <f t="shared" si="134"/>
        <v>19.178082191780824</v>
      </c>
      <c r="L1329" s="3">
        <f t="shared" si="135"/>
        <v>1419.178082191781</v>
      </c>
      <c r="M1329" s="3">
        <f t="shared" si="136"/>
        <v>85.150684931506859</v>
      </c>
      <c r="N1329" s="67">
        <f t="shared" si="137"/>
        <v>1334.027397260274</v>
      </c>
      <c r="O1329" s="3"/>
      <c r="P1329" s="70" t="s">
        <v>18629</v>
      </c>
      <c r="Q1329" s="2" t="s">
        <v>283</v>
      </c>
      <c r="R1329" s="2" t="s">
        <v>11783</v>
      </c>
      <c r="T1329" t="s">
        <v>18666</v>
      </c>
      <c r="U1329" t="s">
        <v>18652</v>
      </c>
      <c r="V1329" s="104">
        <v>45857</v>
      </c>
      <c r="X1329" s="97"/>
      <c r="Y1329" s="75">
        <v>1334.03</v>
      </c>
    </row>
    <row r="1330" spans="1:25" x14ac:dyDescent="0.25">
      <c r="A1330" s="76">
        <v>1362</v>
      </c>
      <c r="B1330" s="2" t="s">
        <v>1172</v>
      </c>
      <c r="C1330" s="2" t="s">
        <v>1173</v>
      </c>
      <c r="D1330" s="2" t="s">
        <v>1174</v>
      </c>
      <c r="E1330" s="2" t="s">
        <v>1175</v>
      </c>
      <c r="F1330" s="2" t="s">
        <v>1176</v>
      </c>
      <c r="G1330" s="2" t="s">
        <v>144</v>
      </c>
      <c r="H1330" s="17">
        <v>25</v>
      </c>
      <c r="I1330" s="31">
        <f t="shared" si="132"/>
        <v>25000</v>
      </c>
      <c r="J1330" s="31">
        <f t="shared" si="133"/>
        <v>1750.0000000000002</v>
      </c>
      <c r="K1330" s="44">
        <f t="shared" si="134"/>
        <v>4.794520547945206</v>
      </c>
      <c r="L1330" s="3">
        <f t="shared" si="135"/>
        <v>354.79452054794524</v>
      </c>
      <c r="M1330" s="3">
        <f t="shared" si="136"/>
        <v>21.287671232876715</v>
      </c>
      <c r="N1330" s="67">
        <f t="shared" si="137"/>
        <v>333.50684931506851</v>
      </c>
      <c r="O1330" s="3"/>
      <c r="P1330" s="70" t="s">
        <v>18629</v>
      </c>
      <c r="Q1330" s="2" t="s">
        <v>283</v>
      </c>
      <c r="R1330" s="2" t="s">
        <v>1177</v>
      </c>
      <c r="T1330" t="s">
        <v>18666</v>
      </c>
      <c r="U1330" t="s">
        <v>18652</v>
      </c>
      <c r="V1330" s="104">
        <v>45857</v>
      </c>
      <c r="X1330" s="97"/>
      <c r="Y1330" s="75">
        <v>333.51</v>
      </c>
    </row>
    <row r="1331" spans="1:25" x14ac:dyDescent="0.25">
      <c r="A1331" s="76">
        <v>1363</v>
      </c>
      <c r="B1331" s="2" t="s">
        <v>9097</v>
      </c>
      <c r="C1331" s="2" t="s">
        <v>9098</v>
      </c>
      <c r="D1331" s="2" t="s">
        <v>9099</v>
      </c>
      <c r="E1331" s="2" t="s">
        <v>9100</v>
      </c>
      <c r="F1331" s="2" t="s">
        <v>9101</v>
      </c>
      <c r="G1331" s="2" t="s">
        <v>743</v>
      </c>
      <c r="H1331" s="17">
        <v>25</v>
      </c>
      <c r="I1331" s="31">
        <f t="shared" si="132"/>
        <v>25000</v>
      </c>
      <c r="J1331" s="31">
        <f t="shared" si="133"/>
        <v>1750.0000000000002</v>
      </c>
      <c r="K1331" s="44">
        <f t="shared" si="134"/>
        <v>4.794520547945206</v>
      </c>
      <c r="L1331" s="3">
        <f t="shared" si="135"/>
        <v>354.79452054794524</v>
      </c>
      <c r="M1331" s="3">
        <f t="shared" si="136"/>
        <v>21.287671232876715</v>
      </c>
      <c r="N1331" s="67">
        <f t="shared" si="137"/>
        <v>333.50684931506851</v>
      </c>
      <c r="O1331" s="3"/>
      <c r="P1331" s="70" t="s">
        <v>18629</v>
      </c>
      <c r="Q1331" s="2" t="s">
        <v>283</v>
      </c>
      <c r="R1331" s="2" t="s">
        <v>9102</v>
      </c>
      <c r="T1331" t="s">
        <v>18666</v>
      </c>
      <c r="U1331" t="s">
        <v>18652</v>
      </c>
      <c r="V1331" s="104">
        <v>45857</v>
      </c>
      <c r="X1331" s="97"/>
      <c r="Y1331" s="75">
        <v>333.51</v>
      </c>
    </row>
    <row r="1332" spans="1:25" x14ac:dyDescent="0.25">
      <c r="A1332" s="76">
        <v>1364</v>
      </c>
      <c r="B1332" s="2" t="s">
        <v>10910</v>
      </c>
      <c r="C1332" s="2" t="s">
        <v>10911</v>
      </c>
      <c r="D1332" s="2" t="s">
        <v>10912</v>
      </c>
      <c r="E1332" s="2" t="s">
        <v>10913</v>
      </c>
      <c r="F1332" s="2" t="s">
        <v>10914</v>
      </c>
      <c r="G1332" s="2" t="s">
        <v>599</v>
      </c>
      <c r="H1332" s="17">
        <v>25</v>
      </c>
      <c r="I1332" s="31">
        <f t="shared" si="132"/>
        <v>25000</v>
      </c>
      <c r="J1332" s="31">
        <f t="shared" si="133"/>
        <v>1750.0000000000002</v>
      </c>
      <c r="K1332" s="44">
        <f t="shared" si="134"/>
        <v>4.794520547945206</v>
      </c>
      <c r="L1332" s="3">
        <f t="shared" si="135"/>
        <v>354.79452054794524</v>
      </c>
      <c r="M1332" s="3">
        <f t="shared" si="136"/>
        <v>21.287671232876715</v>
      </c>
      <c r="N1332" s="67">
        <f t="shared" si="137"/>
        <v>333.50684931506851</v>
      </c>
      <c r="O1332" s="3"/>
      <c r="P1332" s="70" t="s">
        <v>18629</v>
      </c>
      <c r="Q1332" s="2" t="s">
        <v>283</v>
      </c>
      <c r="R1332" s="2" t="s">
        <v>10915</v>
      </c>
      <c r="T1332" t="s">
        <v>18666</v>
      </c>
      <c r="U1332" t="s">
        <v>18652</v>
      </c>
      <c r="V1332" s="104">
        <v>45857</v>
      </c>
      <c r="X1332" s="97"/>
      <c r="Y1332" s="75">
        <v>333.51</v>
      </c>
    </row>
    <row r="1333" spans="1:25" x14ac:dyDescent="0.25">
      <c r="A1333" s="76">
        <v>1365</v>
      </c>
      <c r="B1333" s="2" t="s">
        <v>10598</v>
      </c>
      <c r="C1333" s="2" t="s">
        <v>10599</v>
      </c>
      <c r="D1333" s="2" t="s">
        <v>10600</v>
      </c>
      <c r="E1333" s="2" t="s">
        <v>10601</v>
      </c>
      <c r="F1333" s="2" t="s">
        <v>10602</v>
      </c>
      <c r="G1333" s="2" t="s">
        <v>743</v>
      </c>
      <c r="H1333" s="17">
        <v>25</v>
      </c>
      <c r="I1333" s="31">
        <f t="shared" si="132"/>
        <v>25000</v>
      </c>
      <c r="J1333" s="31">
        <f t="shared" si="133"/>
        <v>1750.0000000000002</v>
      </c>
      <c r="K1333" s="44">
        <f t="shared" si="134"/>
        <v>4.794520547945206</v>
      </c>
      <c r="L1333" s="3">
        <f t="shared" si="135"/>
        <v>354.79452054794524</v>
      </c>
      <c r="M1333" s="3">
        <f t="shared" si="136"/>
        <v>21.287671232876715</v>
      </c>
      <c r="N1333" s="67">
        <f t="shared" si="137"/>
        <v>333.50684931506851</v>
      </c>
      <c r="O1333" s="3"/>
      <c r="P1333" s="70" t="s">
        <v>18629</v>
      </c>
      <c r="Q1333" s="2" t="s">
        <v>283</v>
      </c>
      <c r="R1333" s="2" t="s">
        <v>10603</v>
      </c>
      <c r="T1333" t="s">
        <v>18666</v>
      </c>
      <c r="U1333" t="s">
        <v>18652</v>
      </c>
      <c r="V1333" s="104">
        <v>45857</v>
      </c>
      <c r="X1333" s="97"/>
      <c r="Y1333" s="75">
        <v>333.51</v>
      </c>
    </row>
    <row r="1334" spans="1:25" x14ac:dyDescent="0.25">
      <c r="A1334" s="76">
        <v>1366</v>
      </c>
      <c r="B1334" s="2" t="s">
        <v>3536</v>
      </c>
      <c r="C1334" s="2" t="s">
        <v>3537</v>
      </c>
      <c r="D1334" s="2" t="s">
        <v>3538</v>
      </c>
      <c r="E1334" s="2" t="s">
        <v>3539</v>
      </c>
      <c r="F1334" s="2" t="s">
        <v>3540</v>
      </c>
      <c r="G1334" s="2" t="s">
        <v>1823</v>
      </c>
      <c r="H1334" s="17">
        <v>25</v>
      </c>
      <c r="I1334" s="31">
        <f t="shared" si="132"/>
        <v>25000</v>
      </c>
      <c r="J1334" s="31">
        <f t="shared" si="133"/>
        <v>1750.0000000000002</v>
      </c>
      <c r="K1334" s="44">
        <f t="shared" si="134"/>
        <v>4.794520547945206</v>
      </c>
      <c r="L1334" s="3">
        <f t="shared" si="135"/>
        <v>354.79452054794524</v>
      </c>
      <c r="M1334" s="3">
        <f t="shared" si="136"/>
        <v>21.287671232876715</v>
      </c>
      <c r="N1334" s="67">
        <f t="shared" si="137"/>
        <v>333.50684931506851</v>
      </c>
      <c r="O1334" s="3"/>
      <c r="P1334" s="70" t="s">
        <v>18629</v>
      </c>
      <c r="Q1334" s="2" t="s">
        <v>283</v>
      </c>
      <c r="R1334" s="2" t="s">
        <v>3541</v>
      </c>
      <c r="T1334" t="s">
        <v>18666</v>
      </c>
      <c r="U1334" t="s">
        <v>18652</v>
      </c>
      <c r="V1334" s="104">
        <v>45857</v>
      </c>
      <c r="X1334" s="97"/>
      <c r="Y1334" s="75">
        <v>333.51</v>
      </c>
    </row>
    <row r="1335" spans="1:25" x14ac:dyDescent="0.25">
      <c r="A1335" s="76">
        <v>1367</v>
      </c>
      <c r="B1335" s="2" t="s">
        <v>9810</v>
      </c>
      <c r="C1335" s="2" t="s">
        <v>9811</v>
      </c>
      <c r="D1335" s="2" t="s">
        <v>9812</v>
      </c>
      <c r="E1335" s="2" t="s">
        <v>9813</v>
      </c>
      <c r="F1335" s="2" t="s">
        <v>9814</v>
      </c>
      <c r="G1335" s="2" t="s">
        <v>680</v>
      </c>
      <c r="H1335" s="17">
        <v>25</v>
      </c>
      <c r="I1335" s="31">
        <f t="shared" si="132"/>
        <v>25000</v>
      </c>
      <c r="J1335" s="31">
        <f t="shared" si="133"/>
        <v>1750.0000000000002</v>
      </c>
      <c r="K1335" s="44">
        <f t="shared" si="134"/>
        <v>4.794520547945206</v>
      </c>
      <c r="L1335" s="3">
        <f t="shared" si="135"/>
        <v>354.79452054794524</v>
      </c>
      <c r="M1335" s="3">
        <f t="shared" si="136"/>
        <v>21.287671232876715</v>
      </c>
      <c r="N1335" s="67">
        <f t="shared" si="137"/>
        <v>333.50684931506851</v>
      </c>
      <c r="O1335" s="3"/>
      <c r="P1335" s="70" t="s">
        <v>18629</v>
      </c>
      <c r="Q1335" s="2" t="s">
        <v>283</v>
      </c>
      <c r="R1335" s="2" t="s">
        <v>9815</v>
      </c>
      <c r="T1335" t="s">
        <v>18666</v>
      </c>
      <c r="U1335" t="s">
        <v>18652</v>
      </c>
      <c r="V1335" s="104">
        <v>45857</v>
      </c>
      <c r="X1335" s="97"/>
      <c r="Y1335" s="75">
        <v>333.51</v>
      </c>
    </row>
    <row r="1336" spans="1:25" x14ac:dyDescent="0.25">
      <c r="A1336" s="76">
        <v>1368</v>
      </c>
      <c r="B1336" s="2" t="s">
        <v>8266</v>
      </c>
      <c r="C1336" s="2" t="s">
        <v>8267</v>
      </c>
      <c r="D1336" s="2" t="s">
        <v>8268</v>
      </c>
      <c r="E1336" s="2" t="s">
        <v>8269</v>
      </c>
      <c r="F1336" s="2" t="s">
        <v>8270</v>
      </c>
      <c r="G1336" s="2" t="s">
        <v>31</v>
      </c>
      <c r="H1336" s="17">
        <v>25</v>
      </c>
      <c r="I1336" s="31">
        <f t="shared" si="132"/>
        <v>25000</v>
      </c>
      <c r="J1336" s="31">
        <f t="shared" si="133"/>
        <v>1750.0000000000002</v>
      </c>
      <c r="K1336" s="44">
        <f t="shared" si="134"/>
        <v>4.794520547945206</v>
      </c>
      <c r="L1336" s="3">
        <f t="shared" si="135"/>
        <v>354.79452054794524</v>
      </c>
      <c r="M1336" s="3">
        <f t="shared" si="136"/>
        <v>21.287671232876715</v>
      </c>
      <c r="N1336" s="67">
        <f t="shared" si="137"/>
        <v>333.50684931506851</v>
      </c>
      <c r="O1336" s="3"/>
      <c r="P1336" s="70" t="s">
        <v>18629</v>
      </c>
      <c r="Q1336" s="2" t="s">
        <v>283</v>
      </c>
      <c r="R1336" s="2" t="s">
        <v>8271</v>
      </c>
      <c r="T1336" t="s">
        <v>18666</v>
      </c>
      <c r="U1336" t="s">
        <v>18652</v>
      </c>
      <c r="V1336" s="104">
        <v>45857</v>
      </c>
      <c r="X1336" s="97"/>
      <c r="Y1336" s="75">
        <v>333.51</v>
      </c>
    </row>
    <row r="1337" spans="1:25" x14ac:dyDescent="0.25">
      <c r="A1337" s="76">
        <v>1369</v>
      </c>
      <c r="B1337" s="2" t="s">
        <v>16950</v>
      </c>
      <c r="C1337" s="2" t="s">
        <v>16951</v>
      </c>
      <c r="D1337" s="2" t="s">
        <v>16952</v>
      </c>
      <c r="E1337" s="2" t="s">
        <v>16953</v>
      </c>
      <c r="F1337" s="2" t="s">
        <v>16954</v>
      </c>
      <c r="G1337" s="2" t="s">
        <v>186</v>
      </c>
      <c r="H1337" s="17">
        <v>25</v>
      </c>
      <c r="I1337" s="31">
        <f t="shared" si="132"/>
        <v>25000</v>
      </c>
      <c r="J1337" s="31">
        <f t="shared" si="133"/>
        <v>1750.0000000000002</v>
      </c>
      <c r="K1337" s="44">
        <f t="shared" si="134"/>
        <v>4.794520547945206</v>
      </c>
      <c r="L1337" s="3">
        <f t="shared" si="135"/>
        <v>354.79452054794524</v>
      </c>
      <c r="M1337" s="3">
        <f t="shared" si="136"/>
        <v>21.287671232876715</v>
      </c>
      <c r="N1337" s="67">
        <f t="shared" si="137"/>
        <v>333.50684931506851</v>
      </c>
      <c r="O1337" s="3"/>
      <c r="P1337" s="70" t="s">
        <v>18629</v>
      </c>
      <c r="Q1337" s="2" t="s">
        <v>283</v>
      </c>
      <c r="R1337" s="2" t="s">
        <v>16955</v>
      </c>
      <c r="T1337" t="s">
        <v>18666</v>
      </c>
      <c r="U1337" t="s">
        <v>18652</v>
      </c>
      <c r="V1337" s="104">
        <v>45857</v>
      </c>
      <c r="X1337" s="97"/>
      <c r="Y1337" s="75">
        <v>333.51</v>
      </c>
    </row>
    <row r="1338" spans="1:25" x14ac:dyDescent="0.25">
      <c r="A1338" s="76">
        <v>1370</v>
      </c>
      <c r="B1338" s="2" t="s">
        <v>5678</v>
      </c>
      <c r="C1338" s="2" t="s">
        <v>5679</v>
      </c>
      <c r="D1338" s="2" t="s">
        <v>5680</v>
      </c>
      <c r="E1338" s="2" t="s">
        <v>4146</v>
      </c>
      <c r="F1338" s="2" t="s">
        <v>5681</v>
      </c>
      <c r="G1338" s="2" t="s">
        <v>31</v>
      </c>
      <c r="H1338" s="17">
        <v>100</v>
      </c>
      <c r="I1338" s="31">
        <f t="shared" si="132"/>
        <v>100000</v>
      </c>
      <c r="J1338" s="31">
        <f t="shared" si="133"/>
        <v>7000.0000000000009</v>
      </c>
      <c r="K1338" s="44">
        <f t="shared" si="134"/>
        <v>19.178082191780824</v>
      </c>
      <c r="L1338" s="3">
        <f t="shared" si="135"/>
        <v>1419.178082191781</v>
      </c>
      <c r="M1338" s="3">
        <f t="shared" si="136"/>
        <v>85.150684931506859</v>
      </c>
      <c r="N1338" s="67">
        <f t="shared" si="137"/>
        <v>1334.027397260274</v>
      </c>
      <c r="O1338" s="3"/>
      <c r="P1338" s="70" t="s">
        <v>18629</v>
      </c>
      <c r="Q1338" s="2" t="s">
        <v>283</v>
      </c>
      <c r="R1338" s="2" t="s">
        <v>5682</v>
      </c>
      <c r="T1338" t="s">
        <v>18666</v>
      </c>
      <c r="U1338" t="s">
        <v>18652</v>
      </c>
      <c r="V1338" s="104">
        <v>45857</v>
      </c>
      <c r="X1338" s="97"/>
      <c r="Y1338" s="75">
        <v>1334.03</v>
      </c>
    </row>
    <row r="1339" spans="1:25" x14ac:dyDescent="0.25">
      <c r="A1339" s="76">
        <v>1371</v>
      </c>
      <c r="B1339" s="2" t="s">
        <v>6378</v>
      </c>
      <c r="C1339" s="2" t="s">
        <v>6379</v>
      </c>
      <c r="D1339" s="2" t="s">
        <v>6380</v>
      </c>
      <c r="E1339" s="2" t="s">
        <v>6381</v>
      </c>
      <c r="F1339" s="2" t="s">
        <v>6382</v>
      </c>
      <c r="G1339" s="2" t="s">
        <v>186</v>
      </c>
      <c r="H1339" s="17">
        <v>25</v>
      </c>
      <c r="I1339" s="31">
        <f t="shared" si="132"/>
        <v>25000</v>
      </c>
      <c r="J1339" s="31">
        <f t="shared" si="133"/>
        <v>1750.0000000000002</v>
      </c>
      <c r="K1339" s="44">
        <f t="shared" si="134"/>
        <v>4.794520547945206</v>
      </c>
      <c r="L1339" s="3">
        <f t="shared" si="135"/>
        <v>354.79452054794524</v>
      </c>
      <c r="M1339" s="3">
        <f t="shared" si="136"/>
        <v>21.287671232876715</v>
      </c>
      <c r="N1339" s="67">
        <f t="shared" si="137"/>
        <v>333.50684931506851</v>
      </c>
      <c r="O1339" s="3"/>
      <c r="P1339" s="70" t="s">
        <v>18629</v>
      </c>
      <c r="Q1339" s="2" t="s">
        <v>283</v>
      </c>
      <c r="R1339" s="2" t="s">
        <v>6383</v>
      </c>
      <c r="T1339" t="s">
        <v>18666</v>
      </c>
      <c r="U1339" t="s">
        <v>18652</v>
      </c>
      <c r="V1339" s="104">
        <v>45857</v>
      </c>
      <c r="X1339" s="97"/>
      <c r="Y1339" s="75">
        <v>333.51</v>
      </c>
    </row>
    <row r="1340" spans="1:25" x14ac:dyDescent="0.25">
      <c r="A1340" s="76">
        <v>1372</v>
      </c>
      <c r="B1340" s="2" t="s">
        <v>3608</v>
      </c>
      <c r="C1340" s="2" t="s">
        <v>3609</v>
      </c>
      <c r="D1340" s="2" t="s">
        <v>3610</v>
      </c>
      <c r="E1340" s="2" t="s">
        <v>3611</v>
      </c>
      <c r="F1340" s="2" t="s">
        <v>3612</v>
      </c>
      <c r="G1340" s="2" t="s">
        <v>580</v>
      </c>
      <c r="H1340" s="17">
        <v>25</v>
      </c>
      <c r="I1340" s="31">
        <f t="shared" si="132"/>
        <v>25000</v>
      </c>
      <c r="J1340" s="31">
        <f t="shared" si="133"/>
        <v>1750.0000000000002</v>
      </c>
      <c r="K1340" s="44">
        <f t="shared" si="134"/>
        <v>4.794520547945206</v>
      </c>
      <c r="L1340" s="3">
        <f t="shared" si="135"/>
        <v>354.79452054794524</v>
      </c>
      <c r="M1340" s="3">
        <f t="shared" si="136"/>
        <v>21.287671232876715</v>
      </c>
      <c r="N1340" s="67">
        <f t="shared" si="137"/>
        <v>333.50684931506851</v>
      </c>
      <c r="O1340" s="3"/>
      <c r="P1340" s="70" t="s">
        <v>18629</v>
      </c>
      <c r="Q1340" s="2" t="s">
        <v>283</v>
      </c>
      <c r="R1340" s="2" t="s">
        <v>3613</v>
      </c>
      <c r="T1340" t="s">
        <v>18666</v>
      </c>
      <c r="U1340" t="s">
        <v>18652</v>
      </c>
      <c r="V1340" s="104">
        <v>45857</v>
      </c>
      <c r="X1340" s="97"/>
      <c r="Y1340" s="75">
        <v>333.51</v>
      </c>
    </row>
    <row r="1341" spans="1:25" x14ac:dyDescent="0.25">
      <c r="A1341" s="76">
        <v>1373</v>
      </c>
      <c r="B1341" s="2" t="s">
        <v>1596</v>
      </c>
      <c r="C1341" s="2" t="s">
        <v>1597</v>
      </c>
      <c r="D1341" s="2" t="s">
        <v>1598</v>
      </c>
      <c r="E1341" s="2" t="s">
        <v>1599</v>
      </c>
      <c r="F1341" s="2" t="s">
        <v>1600</v>
      </c>
      <c r="G1341" s="2" t="s">
        <v>261</v>
      </c>
      <c r="H1341" s="17">
        <v>25</v>
      </c>
      <c r="I1341" s="31">
        <f t="shared" si="132"/>
        <v>25000</v>
      </c>
      <c r="J1341" s="31">
        <f t="shared" si="133"/>
        <v>1750.0000000000002</v>
      </c>
      <c r="K1341" s="44">
        <f t="shared" si="134"/>
        <v>4.794520547945206</v>
      </c>
      <c r="L1341" s="3">
        <f t="shared" si="135"/>
        <v>354.79452054794524</v>
      </c>
      <c r="M1341" s="3">
        <f t="shared" si="136"/>
        <v>21.287671232876715</v>
      </c>
      <c r="N1341" s="67">
        <f t="shared" si="137"/>
        <v>333.50684931506851</v>
      </c>
      <c r="O1341" s="3"/>
      <c r="P1341" s="70" t="s">
        <v>18629</v>
      </c>
      <c r="Q1341" s="2" t="s">
        <v>283</v>
      </c>
      <c r="R1341" s="2" t="s">
        <v>1601</v>
      </c>
      <c r="T1341" t="s">
        <v>18666</v>
      </c>
      <c r="U1341" t="s">
        <v>18652</v>
      </c>
      <c r="V1341" s="104">
        <v>45857</v>
      </c>
      <c r="X1341" s="97"/>
      <c r="Y1341" s="75">
        <v>333.51</v>
      </c>
    </row>
    <row r="1342" spans="1:25" x14ac:dyDescent="0.25">
      <c r="A1342" s="76">
        <v>1374</v>
      </c>
      <c r="B1342" s="2" t="s">
        <v>1184</v>
      </c>
      <c r="C1342" s="2" t="s">
        <v>1185</v>
      </c>
      <c r="D1342" s="2" t="s">
        <v>1186</v>
      </c>
      <c r="E1342" s="2" t="s">
        <v>1187</v>
      </c>
      <c r="F1342" s="2" t="s">
        <v>1188</v>
      </c>
      <c r="G1342" s="2" t="s">
        <v>123</v>
      </c>
      <c r="H1342" s="17">
        <v>25</v>
      </c>
      <c r="I1342" s="31">
        <f t="shared" si="132"/>
        <v>25000</v>
      </c>
      <c r="J1342" s="31">
        <f t="shared" si="133"/>
        <v>1750.0000000000002</v>
      </c>
      <c r="K1342" s="44">
        <f t="shared" si="134"/>
        <v>4.794520547945206</v>
      </c>
      <c r="L1342" s="3">
        <f t="shared" si="135"/>
        <v>354.79452054794524</v>
      </c>
      <c r="M1342" s="3">
        <f t="shared" si="136"/>
        <v>21.287671232876715</v>
      </c>
      <c r="N1342" s="67">
        <f t="shared" si="137"/>
        <v>333.50684931506851</v>
      </c>
      <c r="O1342" s="3"/>
      <c r="P1342" s="70" t="s">
        <v>18629</v>
      </c>
      <c r="Q1342" s="2" t="s">
        <v>283</v>
      </c>
      <c r="R1342" s="2" t="s">
        <v>1189</v>
      </c>
      <c r="T1342" t="s">
        <v>18666</v>
      </c>
      <c r="U1342" t="s">
        <v>18652</v>
      </c>
      <c r="V1342" s="104">
        <v>45857</v>
      </c>
      <c r="X1342" s="97"/>
      <c r="Y1342" s="75">
        <v>333.51</v>
      </c>
    </row>
    <row r="1343" spans="1:25" x14ac:dyDescent="0.25">
      <c r="A1343" s="76">
        <v>1375</v>
      </c>
      <c r="B1343" s="2" t="s">
        <v>6678</v>
      </c>
      <c r="C1343" s="2" t="s">
        <v>6679</v>
      </c>
      <c r="D1343" s="2" t="s">
        <v>6680</v>
      </c>
      <c r="E1343" s="2" t="s">
        <v>6681</v>
      </c>
      <c r="F1343" s="2" t="s">
        <v>6682</v>
      </c>
      <c r="G1343" s="2" t="s">
        <v>2380</v>
      </c>
      <c r="H1343" s="17">
        <v>25</v>
      </c>
      <c r="I1343" s="31">
        <f t="shared" si="132"/>
        <v>25000</v>
      </c>
      <c r="J1343" s="31">
        <f t="shared" si="133"/>
        <v>1750.0000000000002</v>
      </c>
      <c r="K1343" s="44">
        <f t="shared" si="134"/>
        <v>4.794520547945206</v>
      </c>
      <c r="L1343" s="3">
        <f t="shared" si="135"/>
        <v>354.79452054794524</v>
      </c>
      <c r="M1343" s="3">
        <f t="shared" si="136"/>
        <v>21.287671232876715</v>
      </c>
      <c r="N1343" s="67">
        <f t="shared" si="137"/>
        <v>333.50684931506851</v>
      </c>
      <c r="O1343" s="3"/>
      <c r="P1343" s="70" t="s">
        <v>18629</v>
      </c>
      <c r="Q1343" s="2" t="s">
        <v>283</v>
      </c>
      <c r="R1343" s="2" t="s">
        <v>6683</v>
      </c>
      <c r="T1343" t="s">
        <v>18666</v>
      </c>
      <c r="U1343" t="s">
        <v>18652</v>
      </c>
      <c r="V1343" s="104">
        <v>45857</v>
      </c>
      <c r="X1343" s="97"/>
      <c r="Y1343" s="75">
        <v>333.51</v>
      </c>
    </row>
    <row r="1344" spans="1:25" x14ac:dyDescent="0.25">
      <c r="A1344" s="76">
        <v>1376</v>
      </c>
      <c r="B1344" s="2" t="s">
        <v>8107</v>
      </c>
      <c r="C1344" s="2" t="s">
        <v>8108</v>
      </c>
      <c r="D1344" s="2" t="s">
        <v>8109</v>
      </c>
      <c r="E1344" s="2" t="s">
        <v>8110</v>
      </c>
      <c r="F1344" s="2" t="s">
        <v>8111</v>
      </c>
      <c r="G1344" s="2" t="s">
        <v>123</v>
      </c>
      <c r="H1344" s="17">
        <v>50</v>
      </c>
      <c r="I1344" s="31">
        <f t="shared" si="132"/>
        <v>50000</v>
      </c>
      <c r="J1344" s="31">
        <f t="shared" si="133"/>
        <v>3500.0000000000005</v>
      </c>
      <c r="K1344" s="44">
        <f t="shared" si="134"/>
        <v>9.589041095890412</v>
      </c>
      <c r="L1344" s="3">
        <f t="shared" si="135"/>
        <v>709.58904109589048</v>
      </c>
      <c r="M1344" s="3">
        <f t="shared" si="136"/>
        <v>42.57534246575343</v>
      </c>
      <c r="N1344" s="67">
        <f t="shared" si="137"/>
        <v>667.01369863013701</v>
      </c>
      <c r="O1344" s="3"/>
      <c r="P1344" s="70" t="s">
        <v>18629</v>
      </c>
      <c r="Q1344" s="2" t="s">
        <v>283</v>
      </c>
      <c r="R1344" s="2" t="s">
        <v>8112</v>
      </c>
      <c r="T1344" t="s">
        <v>18666</v>
      </c>
      <c r="U1344" t="s">
        <v>18652</v>
      </c>
      <c r="V1344" s="104">
        <v>45857</v>
      </c>
      <c r="X1344" s="97"/>
      <c r="Y1344" s="75">
        <v>667.02</v>
      </c>
    </row>
    <row r="1345" spans="1:25" x14ac:dyDescent="0.25">
      <c r="A1345" s="76">
        <v>1377</v>
      </c>
      <c r="B1345" s="2" t="s">
        <v>6585</v>
      </c>
      <c r="C1345" s="2" t="s">
        <v>6586</v>
      </c>
      <c r="D1345" s="2" t="s">
        <v>6587</v>
      </c>
      <c r="E1345" s="2" t="s">
        <v>6588</v>
      </c>
      <c r="F1345" s="2" t="s">
        <v>6589</v>
      </c>
      <c r="G1345" s="2" t="s">
        <v>381</v>
      </c>
      <c r="H1345" s="17">
        <v>25</v>
      </c>
      <c r="I1345" s="31">
        <f t="shared" si="132"/>
        <v>25000</v>
      </c>
      <c r="J1345" s="31">
        <f t="shared" si="133"/>
        <v>1750.0000000000002</v>
      </c>
      <c r="K1345" s="44">
        <f t="shared" si="134"/>
        <v>4.794520547945206</v>
      </c>
      <c r="L1345" s="3">
        <f t="shared" si="135"/>
        <v>354.79452054794524</v>
      </c>
      <c r="M1345" s="3">
        <f t="shared" si="136"/>
        <v>21.287671232876715</v>
      </c>
      <c r="N1345" s="67">
        <f t="shared" si="137"/>
        <v>333.50684931506851</v>
      </c>
      <c r="O1345" s="3"/>
      <c r="P1345" s="70" t="s">
        <v>18629</v>
      </c>
      <c r="Q1345" s="2" t="s">
        <v>283</v>
      </c>
      <c r="R1345" s="2" t="s">
        <v>6590</v>
      </c>
      <c r="T1345" t="s">
        <v>18666</v>
      </c>
      <c r="U1345" t="s">
        <v>18652</v>
      </c>
      <c r="V1345" s="104">
        <v>45857</v>
      </c>
      <c r="X1345" s="97"/>
      <c r="Y1345" s="75">
        <v>333.51</v>
      </c>
    </row>
    <row r="1346" spans="1:25" x14ac:dyDescent="0.25">
      <c r="A1346" s="76">
        <v>1378</v>
      </c>
      <c r="B1346" s="2" t="s">
        <v>17984</v>
      </c>
      <c r="C1346" s="2" t="s">
        <v>17985</v>
      </c>
      <c r="D1346" s="2" t="s">
        <v>17986</v>
      </c>
      <c r="E1346" s="2" t="s">
        <v>17987</v>
      </c>
      <c r="F1346" s="2" t="s">
        <v>17988</v>
      </c>
      <c r="G1346" s="2" t="s">
        <v>599</v>
      </c>
      <c r="H1346" s="17">
        <v>25</v>
      </c>
      <c r="I1346" s="31">
        <f t="shared" si="132"/>
        <v>25000</v>
      </c>
      <c r="J1346" s="31">
        <f t="shared" si="133"/>
        <v>1750.0000000000002</v>
      </c>
      <c r="K1346" s="44">
        <f t="shared" si="134"/>
        <v>4.794520547945206</v>
      </c>
      <c r="L1346" s="3">
        <f t="shared" si="135"/>
        <v>354.79452054794524</v>
      </c>
      <c r="M1346" s="3">
        <f t="shared" si="136"/>
        <v>21.287671232876715</v>
      </c>
      <c r="N1346" s="67">
        <f t="shared" si="137"/>
        <v>333.50684931506851</v>
      </c>
      <c r="O1346" s="3"/>
      <c r="P1346" s="70" t="s">
        <v>18629</v>
      </c>
      <c r="Q1346" s="2" t="s">
        <v>283</v>
      </c>
      <c r="R1346" s="2" t="s">
        <v>17989</v>
      </c>
      <c r="T1346" t="s">
        <v>18666</v>
      </c>
      <c r="U1346" t="s">
        <v>18652</v>
      </c>
      <c r="V1346" s="104">
        <v>45857</v>
      </c>
      <c r="X1346" s="97"/>
      <c r="Y1346" s="75">
        <v>333.51</v>
      </c>
    </row>
    <row r="1347" spans="1:25" x14ac:dyDescent="0.25">
      <c r="A1347" s="76">
        <v>1379</v>
      </c>
      <c r="B1347" s="2" t="s">
        <v>12890</v>
      </c>
      <c r="C1347" s="2" t="s">
        <v>12891</v>
      </c>
      <c r="D1347" s="2" t="s">
        <v>12892</v>
      </c>
      <c r="E1347" s="2" t="s">
        <v>12893</v>
      </c>
      <c r="F1347" s="2" t="s">
        <v>12894</v>
      </c>
      <c r="G1347" s="2" t="s">
        <v>1017</v>
      </c>
      <c r="H1347" s="17">
        <v>50</v>
      </c>
      <c r="I1347" s="31">
        <f t="shared" si="132"/>
        <v>50000</v>
      </c>
      <c r="J1347" s="31">
        <f t="shared" si="133"/>
        <v>3500.0000000000005</v>
      </c>
      <c r="K1347" s="44">
        <f t="shared" si="134"/>
        <v>9.589041095890412</v>
      </c>
      <c r="L1347" s="3">
        <f t="shared" si="135"/>
        <v>709.58904109589048</v>
      </c>
      <c r="M1347" s="3">
        <f t="shared" si="136"/>
        <v>42.57534246575343</v>
      </c>
      <c r="N1347" s="67">
        <f t="shared" si="137"/>
        <v>667.01369863013701</v>
      </c>
      <c r="O1347" s="3"/>
      <c r="P1347" s="70" t="s">
        <v>18629</v>
      </c>
      <c r="Q1347" s="2" t="s">
        <v>283</v>
      </c>
      <c r="R1347" s="2" t="s">
        <v>12895</v>
      </c>
      <c r="T1347" t="s">
        <v>18666</v>
      </c>
      <c r="U1347" t="s">
        <v>18652</v>
      </c>
      <c r="V1347" s="104">
        <v>45857</v>
      </c>
      <c r="X1347" s="97"/>
      <c r="Y1347" s="75">
        <v>667.02</v>
      </c>
    </row>
    <row r="1348" spans="1:25" x14ac:dyDescent="0.25">
      <c r="A1348" s="76">
        <v>1380</v>
      </c>
      <c r="B1348" s="2" t="s">
        <v>13474</v>
      </c>
      <c r="C1348" s="2" t="s">
        <v>13475</v>
      </c>
      <c r="D1348" s="2" t="s">
        <v>13476</v>
      </c>
      <c r="E1348" s="2" t="s">
        <v>13477</v>
      </c>
      <c r="F1348" s="2" t="s">
        <v>13478</v>
      </c>
      <c r="G1348" s="2" t="s">
        <v>158</v>
      </c>
      <c r="H1348" s="17">
        <v>100</v>
      </c>
      <c r="I1348" s="31">
        <f t="shared" si="132"/>
        <v>100000</v>
      </c>
      <c r="J1348" s="31">
        <f t="shared" si="133"/>
        <v>7000.0000000000009</v>
      </c>
      <c r="K1348" s="44">
        <f t="shared" si="134"/>
        <v>19.178082191780824</v>
      </c>
      <c r="L1348" s="3">
        <f t="shared" si="135"/>
        <v>1419.178082191781</v>
      </c>
      <c r="M1348" s="3">
        <f t="shared" si="136"/>
        <v>85.150684931506859</v>
      </c>
      <c r="N1348" s="67">
        <f t="shared" si="137"/>
        <v>1334.027397260274</v>
      </c>
      <c r="O1348" s="3"/>
      <c r="P1348" s="70" t="s">
        <v>18629</v>
      </c>
      <c r="Q1348" s="2" t="s">
        <v>283</v>
      </c>
      <c r="R1348" s="2" t="s">
        <v>13479</v>
      </c>
      <c r="T1348" t="s">
        <v>18666</v>
      </c>
      <c r="U1348" t="s">
        <v>18652</v>
      </c>
      <c r="V1348" s="104">
        <v>45857</v>
      </c>
      <c r="X1348" s="97"/>
      <c r="Y1348" s="75">
        <v>1334.03</v>
      </c>
    </row>
    <row r="1349" spans="1:25" x14ac:dyDescent="0.25">
      <c r="A1349" s="76">
        <v>1381</v>
      </c>
      <c r="B1349" s="2" t="s">
        <v>2375</v>
      </c>
      <c r="C1349" s="2" t="s">
        <v>2376</v>
      </c>
      <c r="D1349" s="2" t="s">
        <v>2377</v>
      </c>
      <c r="E1349" s="2" t="s">
        <v>2378</v>
      </c>
      <c r="F1349" s="2" t="s">
        <v>2379</v>
      </c>
      <c r="G1349" s="2" t="s">
        <v>2380</v>
      </c>
      <c r="H1349" s="17">
        <v>200</v>
      </c>
      <c r="I1349" s="31">
        <f t="shared" si="132"/>
        <v>200000</v>
      </c>
      <c r="J1349" s="31">
        <f t="shared" si="133"/>
        <v>14000.000000000002</v>
      </c>
      <c r="K1349" s="44">
        <f t="shared" si="134"/>
        <v>38.356164383561648</v>
      </c>
      <c r="L1349" s="3">
        <f t="shared" si="135"/>
        <v>2838.3561643835619</v>
      </c>
      <c r="M1349" s="3">
        <f t="shared" si="136"/>
        <v>170.30136986301372</v>
      </c>
      <c r="N1349" s="67">
        <f t="shared" si="137"/>
        <v>2668.0547945205481</v>
      </c>
      <c r="O1349" s="3"/>
      <c r="P1349" s="70" t="s">
        <v>18629</v>
      </c>
      <c r="Q1349" s="2" t="s">
        <v>283</v>
      </c>
      <c r="R1349" s="2" t="s">
        <v>2381</v>
      </c>
      <c r="T1349" t="s">
        <v>18666</v>
      </c>
      <c r="U1349" t="s">
        <v>18652</v>
      </c>
      <c r="V1349" s="104">
        <v>45857</v>
      </c>
      <c r="X1349" s="97"/>
      <c r="Y1349" s="75">
        <v>2668.0600000000004</v>
      </c>
    </row>
    <row r="1350" spans="1:25" x14ac:dyDescent="0.25">
      <c r="A1350" s="76">
        <v>1382</v>
      </c>
      <c r="B1350" s="2" t="s">
        <v>2705</v>
      </c>
      <c r="C1350" s="2" t="s">
        <v>2706</v>
      </c>
      <c r="D1350" s="2" t="s">
        <v>2707</v>
      </c>
      <c r="E1350" s="2" t="s">
        <v>2708</v>
      </c>
      <c r="F1350" s="2" t="s">
        <v>2709</v>
      </c>
      <c r="G1350" s="2" t="s">
        <v>1570</v>
      </c>
      <c r="H1350" s="17">
        <v>25</v>
      </c>
      <c r="I1350" s="31">
        <f t="shared" si="132"/>
        <v>25000</v>
      </c>
      <c r="J1350" s="31">
        <f t="shared" si="133"/>
        <v>1750.0000000000002</v>
      </c>
      <c r="K1350" s="44">
        <f t="shared" si="134"/>
        <v>4.794520547945206</v>
      </c>
      <c r="L1350" s="3">
        <f t="shared" si="135"/>
        <v>354.79452054794524</v>
      </c>
      <c r="M1350" s="3">
        <f t="shared" si="136"/>
        <v>21.287671232876715</v>
      </c>
      <c r="N1350" s="67">
        <f t="shared" si="137"/>
        <v>333.50684931506851</v>
      </c>
      <c r="O1350" s="3"/>
      <c r="P1350" s="70" t="s">
        <v>18629</v>
      </c>
      <c r="Q1350" s="2" t="s">
        <v>283</v>
      </c>
      <c r="R1350" s="2" t="s">
        <v>2710</v>
      </c>
      <c r="T1350" t="s">
        <v>18666</v>
      </c>
      <c r="U1350" t="s">
        <v>18652</v>
      </c>
      <c r="V1350" s="104">
        <v>45857</v>
      </c>
      <c r="X1350" s="97"/>
      <c r="Y1350" s="75">
        <v>333.51</v>
      </c>
    </row>
    <row r="1351" spans="1:25" x14ac:dyDescent="0.25">
      <c r="A1351" s="76">
        <v>1383</v>
      </c>
      <c r="B1351" s="2" t="s">
        <v>11991</v>
      </c>
      <c r="C1351" s="2" t="s">
        <v>11992</v>
      </c>
      <c r="D1351" s="2" t="s">
        <v>11993</v>
      </c>
      <c r="E1351" s="2" t="s">
        <v>11994</v>
      </c>
      <c r="F1351" s="2" t="s">
        <v>11995</v>
      </c>
      <c r="G1351" s="2" t="s">
        <v>31</v>
      </c>
      <c r="H1351" s="17">
        <v>25</v>
      </c>
      <c r="I1351" s="31">
        <f t="shared" si="132"/>
        <v>25000</v>
      </c>
      <c r="J1351" s="31">
        <f t="shared" si="133"/>
        <v>1750.0000000000002</v>
      </c>
      <c r="K1351" s="44">
        <f t="shared" si="134"/>
        <v>4.794520547945206</v>
      </c>
      <c r="L1351" s="3">
        <f t="shared" si="135"/>
        <v>354.79452054794524</v>
      </c>
      <c r="M1351" s="3">
        <f t="shared" si="136"/>
        <v>21.287671232876715</v>
      </c>
      <c r="N1351" s="67">
        <f t="shared" si="137"/>
        <v>333.50684931506851</v>
      </c>
      <c r="O1351" s="3"/>
      <c r="P1351" s="70" t="s">
        <v>18629</v>
      </c>
      <c r="Q1351" s="2" t="s">
        <v>283</v>
      </c>
      <c r="R1351" s="2" t="s">
        <v>11996</v>
      </c>
      <c r="T1351" t="s">
        <v>18666</v>
      </c>
      <c r="U1351" t="s">
        <v>18652</v>
      </c>
      <c r="V1351" s="104">
        <v>45857</v>
      </c>
      <c r="X1351" s="97"/>
      <c r="Y1351" s="75">
        <v>333.51</v>
      </c>
    </row>
    <row r="1352" spans="1:25" x14ac:dyDescent="0.25">
      <c r="A1352" s="76">
        <v>1384</v>
      </c>
      <c r="B1352" s="2" t="s">
        <v>5155</v>
      </c>
      <c r="C1352" s="2" t="s">
        <v>5156</v>
      </c>
      <c r="D1352" s="2" t="s">
        <v>5157</v>
      </c>
      <c r="E1352" s="2" t="s">
        <v>5144</v>
      </c>
      <c r="F1352" s="2" t="s">
        <v>5158</v>
      </c>
      <c r="G1352" s="2" t="s">
        <v>247</v>
      </c>
      <c r="H1352" s="17">
        <v>25</v>
      </c>
      <c r="I1352" s="31">
        <f t="shared" si="132"/>
        <v>25000</v>
      </c>
      <c r="J1352" s="31">
        <f t="shared" si="133"/>
        <v>1750.0000000000002</v>
      </c>
      <c r="K1352" s="44">
        <f t="shared" si="134"/>
        <v>4.794520547945206</v>
      </c>
      <c r="L1352" s="3">
        <f t="shared" si="135"/>
        <v>354.79452054794524</v>
      </c>
      <c r="M1352" s="3">
        <f t="shared" si="136"/>
        <v>21.287671232876715</v>
      </c>
      <c r="N1352" s="67">
        <f t="shared" si="137"/>
        <v>333.50684931506851</v>
      </c>
      <c r="O1352" s="3"/>
      <c r="P1352" s="70" t="s">
        <v>18629</v>
      </c>
      <c r="Q1352" s="2" t="s">
        <v>283</v>
      </c>
      <c r="R1352" s="2" t="s">
        <v>5159</v>
      </c>
      <c r="T1352" t="s">
        <v>18666</v>
      </c>
      <c r="U1352" t="s">
        <v>18652</v>
      </c>
      <c r="V1352" s="104">
        <v>45857</v>
      </c>
      <c r="X1352" s="97"/>
      <c r="Y1352" s="75">
        <v>333.51</v>
      </c>
    </row>
    <row r="1353" spans="1:25" x14ac:dyDescent="0.25">
      <c r="A1353" s="76">
        <v>1385</v>
      </c>
      <c r="B1353" s="2" t="s">
        <v>10813</v>
      </c>
      <c r="C1353" s="2" t="s">
        <v>10814</v>
      </c>
      <c r="D1353" s="2" t="s">
        <v>10815</v>
      </c>
      <c r="E1353" s="2" t="s">
        <v>10816</v>
      </c>
      <c r="F1353" s="2" t="s">
        <v>10817</v>
      </c>
      <c r="G1353" s="2" t="s">
        <v>750</v>
      </c>
      <c r="H1353" s="17">
        <v>500</v>
      </c>
      <c r="I1353" s="31">
        <f t="shared" si="132"/>
        <v>500000</v>
      </c>
      <c r="J1353" s="31">
        <f t="shared" si="133"/>
        <v>35000</v>
      </c>
      <c r="K1353" s="44">
        <f t="shared" si="134"/>
        <v>95.890410958904113</v>
      </c>
      <c r="L1353" s="3">
        <f t="shared" si="135"/>
        <v>7095.8904109589039</v>
      </c>
      <c r="M1353" s="3">
        <f t="shared" si="136"/>
        <v>425.7534246575342</v>
      </c>
      <c r="N1353" s="67">
        <f t="shared" si="137"/>
        <v>6670.1369863013697</v>
      </c>
      <c r="O1353" s="3"/>
      <c r="P1353" s="70" t="s">
        <v>18629</v>
      </c>
      <c r="Q1353" s="2" t="s">
        <v>283</v>
      </c>
      <c r="R1353" s="2" t="s">
        <v>10818</v>
      </c>
      <c r="T1353" t="s">
        <v>18666</v>
      </c>
      <c r="U1353" t="s">
        <v>18652</v>
      </c>
      <c r="V1353" s="104">
        <v>45857</v>
      </c>
      <c r="X1353" s="97"/>
      <c r="Y1353" s="75">
        <v>6670.14</v>
      </c>
    </row>
    <row r="1354" spans="1:25" x14ac:dyDescent="0.25">
      <c r="A1354" s="76">
        <v>1386</v>
      </c>
      <c r="B1354" s="2" t="s">
        <v>13966</v>
      </c>
      <c r="C1354" s="2" t="s">
        <v>13967</v>
      </c>
      <c r="D1354" s="2" t="s">
        <v>13968</v>
      </c>
      <c r="E1354" s="2" t="s">
        <v>13969</v>
      </c>
      <c r="F1354" s="2" t="s">
        <v>13970</v>
      </c>
      <c r="G1354" s="2" t="s">
        <v>166</v>
      </c>
      <c r="H1354" s="17">
        <v>25</v>
      </c>
      <c r="I1354" s="31">
        <f t="shared" si="132"/>
        <v>25000</v>
      </c>
      <c r="J1354" s="31">
        <f t="shared" si="133"/>
        <v>1750.0000000000002</v>
      </c>
      <c r="K1354" s="44">
        <f t="shared" si="134"/>
        <v>4.794520547945206</v>
      </c>
      <c r="L1354" s="3">
        <f t="shared" si="135"/>
        <v>354.79452054794524</v>
      </c>
      <c r="M1354" s="3">
        <f t="shared" si="136"/>
        <v>21.287671232876715</v>
      </c>
      <c r="N1354" s="67">
        <f t="shared" si="137"/>
        <v>333.50684931506851</v>
      </c>
      <c r="O1354" s="3"/>
      <c r="P1354" s="70" t="s">
        <v>18629</v>
      </c>
      <c r="Q1354" s="2" t="s">
        <v>283</v>
      </c>
      <c r="R1354" s="2" t="s">
        <v>13971</v>
      </c>
      <c r="T1354" t="s">
        <v>18666</v>
      </c>
      <c r="U1354" t="s">
        <v>18652</v>
      </c>
      <c r="V1354" s="104">
        <v>45857</v>
      </c>
      <c r="X1354" s="97"/>
      <c r="Y1354" s="75">
        <v>333.51</v>
      </c>
    </row>
    <row r="1355" spans="1:25" x14ac:dyDescent="0.25">
      <c r="A1355" s="76">
        <v>1387</v>
      </c>
      <c r="B1355" s="2" t="s">
        <v>782</v>
      </c>
      <c r="C1355" s="2" t="s">
        <v>783</v>
      </c>
      <c r="D1355" s="2" t="s">
        <v>784</v>
      </c>
      <c r="E1355" s="2" t="s">
        <v>785</v>
      </c>
      <c r="F1355" s="2" t="s">
        <v>786</v>
      </c>
      <c r="G1355" s="2" t="s">
        <v>31</v>
      </c>
      <c r="H1355" s="17">
        <v>25</v>
      </c>
      <c r="I1355" s="31">
        <f t="shared" si="132"/>
        <v>25000</v>
      </c>
      <c r="J1355" s="31">
        <f t="shared" si="133"/>
        <v>1750.0000000000002</v>
      </c>
      <c r="K1355" s="44">
        <f t="shared" si="134"/>
        <v>4.794520547945206</v>
      </c>
      <c r="L1355" s="3">
        <f t="shared" si="135"/>
        <v>354.79452054794524</v>
      </c>
      <c r="M1355" s="3">
        <f t="shared" si="136"/>
        <v>21.287671232876715</v>
      </c>
      <c r="N1355" s="67">
        <f t="shared" si="137"/>
        <v>333.50684931506851</v>
      </c>
      <c r="O1355" s="3"/>
      <c r="P1355" s="70" t="s">
        <v>18629</v>
      </c>
      <c r="Q1355" s="2" t="s">
        <v>283</v>
      </c>
      <c r="R1355" s="2" t="s">
        <v>787</v>
      </c>
      <c r="T1355" t="s">
        <v>18666</v>
      </c>
      <c r="U1355" t="s">
        <v>18652</v>
      </c>
      <c r="V1355" s="104">
        <v>45857</v>
      </c>
      <c r="X1355" s="97"/>
      <c r="Y1355" s="75">
        <v>333.51</v>
      </c>
    </row>
    <row r="1356" spans="1:25" x14ac:dyDescent="0.25">
      <c r="A1356" s="76">
        <v>1388</v>
      </c>
      <c r="B1356" s="2" t="s">
        <v>12756</v>
      </c>
      <c r="C1356" s="2" t="s">
        <v>12757</v>
      </c>
      <c r="D1356" s="2" t="s">
        <v>12758</v>
      </c>
      <c r="E1356" s="2" t="s">
        <v>12759</v>
      </c>
      <c r="F1356" s="2" t="s">
        <v>12760</v>
      </c>
      <c r="G1356" s="2" t="s">
        <v>39</v>
      </c>
      <c r="H1356" s="17">
        <v>25</v>
      </c>
      <c r="I1356" s="31">
        <f t="shared" si="132"/>
        <v>25000</v>
      </c>
      <c r="J1356" s="31">
        <f t="shared" si="133"/>
        <v>1750.0000000000002</v>
      </c>
      <c r="K1356" s="44">
        <f t="shared" si="134"/>
        <v>4.794520547945206</v>
      </c>
      <c r="L1356" s="3">
        <f t="shared" si="135"/>
        <v>354.79452054794524</v>
      </c>
      <c r="M1356" s="3">
        <f t="shared" si="136"/>
        <v>21.287671232876715</v>
      </c>
      <c r="N1356" s="67">
        <f t="shared" si="137"/>
        <v>333.50684931506851</v>
      </c>
      <c r="O1356" s="3"/>
      <c r="P1356" s="70" t="s">
        <v>18629</v>
      </c>
      <c r="Q1356" s="2" t="s">
        <v>283</v>
      </c>
      <c r="R1356" s="2" t="s">
        <v>12761</v>
      </c>
      <c r="T1356" t="s">
        <v>18666</v>
      </c>
      <c r="U1356" t="s">
        <v>18652</v>
      </c>
      <c r="V1356" s="104">
        <v>45857</v>
      </c>
      <c r="X1356" s="97"/>
      <c r="Y1356" s="75">
        <v>333.51</v>
      </c>
    </row>
    <row r="1357" spans="1:25" x14ac:dyDescent="0.25">
      <c r="A1357" s="76">
        <v>1389</v>
      </c>
      <c r="B1357" s="2" t="s">
        <v>4264</v>
      </c>
      <c r="C1357" s="2" t="s">
        <v>4261</v>
      </c>
      <c r="D1357" s="2" t="s">
        <v>4265</v>
      </c>
      <c r="E1357" s="2" t="s">
        <v>4259</v>
      </c>
      <c r="F1357" s="2" t="s">
        <v>4266</v>
      </c>
      <c r="G1357" s="2" t="s">
        <v>31</v>
      </c>
      <c r="H1357" s="17">
        <v>25</v>
      </c>
      <c r="I1357" s="31">
        <f t="shared" si="132"/>
        <v>25000</v>
      </c>
      <c r="J1357" s="31">
        <f t="shared" si="133"/>
        <v>1750.0000000000002</v>
      </c>
      <c r="K1357" s="44">
        <f t="shared" si="134"/>
        <v>4.794520547945206</v>
      </c>
      <c r="L1357" s="3">
        <f t="shared" si="135"/>
        <v>354.79452054794524</v>
      </c>
      <c r="M1357" s="3">
        <f t="shared" si="136"/>
        <v>21.287671232876715</v>
      </c>
      <c r="N1357" s="67">
        <f t="shared" si="137"/>
        <v>333.50684931506851</v>
      </c>
      <c r="O1357" s="3"/>
      <c r="P1357" s="70" t="s">
        <v>18629</v>
      </c>
      <c r="Q1357" s="2" t="s">
        <v>283</v>
      </c>
      <c r="R1357" s="2" t="s">
        <v>4267</v>
      </c>
      <c r="T1357" t="s">
        <v>18666</v>
      </c>
      <c r="U1357" t="s">
        <v>18652</v>
      </c>
      <c r="V1357" s="104">
        <v>45857</v>
      </c>
      <c r="X1357" s="97"/>
      <c r="Y1357" s="75">
        <v>333.51</v>
      </c>
    </row>
    <row r="1358" spans="1:25" x14ac:dyDescent="0.25">
      <c r="A1358" s="76">
        <v>1390</v>
      </c>
      <c r="B1358" s="2" t="s">
        <v>15380</v>
      </c>
      <c r="C1358" s="2" t="s">
        <v>15381</v>
      </c>
      <c r="D1358" s="2" t="s">
        <v>15382</v>
      </c>
      <c r="E1358" s="2" t="s">
        <v>15383</v>
      </c>
      <c r="F1358" s="2" t="s">
        <v>15384</v>
      </c>
      <c r="G1358" s="2" t="s">
        <v>31</v>
      </c>
      <c r="H1358" s="17">
        <v>25</v>
      </c>
      <c r="I1358" s="31">
        <f t="shared" si="132"/>
        <v>25000</v>
      </c>
      <c r="J1358" s="31">
        <f t="shared" si="133"/>
        <v>1750.0000000000002</v>
      </c>
      <c r="K1358" s="44">
        <f t="shared" si="134"/>
        <v>4.794520547945206</v>
      </c>
      <c r="L1358" s="3">
        <f t="shared" si="135"/>
        <v>354.79452054794524</v>
      </c>
      <c r="M1358" s="3">
        <f t="shared" si="136"/>
        <v>21.287671232876715</v>
      </c>
      <c r="N1358" s="67">
        <f t="shared" si="137"/>
        <v>333.50684931506851</v>
      </c>
      <c r="O1358" s="3"/>
      <c r="P1358" s="70" t="s">
        <v>18629</v>
      </c>
      <c r="Q1358" s="2" t="s">
        <v>283</v>
      </c>
      <c r="R1358" s="2" t="s">
        <v>15385</v>
      </c>
      <c r="T1358" t="s">
        <v>18666</v>
      </c>
      <c r="U1358" t="s">
        <v>18652</v>
      </c>
      <c r="V1358" s="104">
        <v>45857</v>
      </c>
      <c r="X1358" s="97"/>
      <c r="Y1358" s="75">
        <v>333.51</v>
      </c>
    </row>
    <row r="1359" spans="1:25" x14ac:dyDescent="0.25">
      <c r="A1359" s="76">
        <v>1391</v>
      </c>
      <c r="B1359" s="2" t="s">
        <v>5256</v>
      </c>
      <c r="C1359" s="2" t="s">
        <v>5257</v>
      </c>
      <c r="D1359" s="2" t="s">
        <v>5258</v>
      </c>
      <c r="E1359" s="2" t="s">
        <v>5259</v>
      </c>
      <c r="F1359" s="2" t="s">
        <v>5260</v>
      </c>
      <c r="G1359" s="2" t="s">
        <v>1136</v>
      </c>
      <c r="H1359" s="17">
        <v>25</v>
      </c>
      <c r="I1359" s="31">
        <f t="shared" si="132"/>
        <v>25000</v>
      </c>
      <c r="J1359" s="31">
        <f t="shared" si="133"/>
        <v>1750.0000000000002</v>
      </c>
      <c r="K1359" s="44">
        <f t="shared" si="134"/>
        <v>4.794520547945206</v>
      </c>
      <c r="L1359" s="3">
        <f t="shared" si="135"/>
        <v>354.79452054794524</v>
      </c>
      <c r="M1359" s="3">
        <f t="shared" si="136"/>
        <v>21.287671232876715</v>
      </c>
      <c r="N1359" s="67">
        <f t="shared" si="137"/>
        <v>333.50684931506851</v>
      </c>
      <c r="O1359" s="3"/>
      <c r="P1359" s="70" t="s">
        <v>18629</v>
      </c>
      <c r="Q1359" s="2" t="s">
        <v>283</v>
      </c>
      <c r="R1359" s="2" t="s">
        <v>5261</v>
      </c>
      <c r="T1359" t="s">
        <v>18666</v>
      </c>
      <c r="U1359" t="s">
        <v>18652</v>
      </c>
      <c r="V1359" s="104">
        <v>45857</v>
      </c>
      <c r="X1359" s="97"/>
      <c r="Y1359" s="75">
        <v>333.51</v>
      </c>
    </row>
    <row r="1360" spans="1:25" x14ac:dyDescent="0.25">
      <c r="A1360" s="76">
        <v>1392</v>
      </c>
      <c r="B1360" s="2" t="s">
        <v>3754</v>
      </c>
      <c r="C1360" s="2" t="s">
        <v>3755</v>
      </c>
      <c r="D1360" s="2" t="s">
        <v>3756</v>
      </c>
      <c r="E1360" s="2" t="s">
        <v>3757</v>
      </c>
      <c r="F1360" s="2" t="s">
        <v>3758</v>
      </c>
      <c r="G1360" s="2" t="s">
        <v>186</v>
      </c>
      <c r="H1360" s="17">
        <v>25</v>
      </c>
      <c r="I1360" s="31">
        <f t="shared" si="132"/>
        <v>25000</v>
      </c>
      <c r="J1360" s="31">
        <f t="shared" si="133"/>
        <v>1750.0000000000002</v>
      </c>
      <c r="K1360" s="44">
        <f t="shared" si="134"/>
        <v>4.794520547945206</v>
      </c>
      <c r="L1360" s="3">
        <f t="shared" si="135"/>
        <v>354.79452054794524</v>
      </c>
      <c r="M1360" s="3">
        <f t="shared" si="136"/>
        <v>21.287671232876715</v>
      </c>
      <c r="N1360" s="67">
        <f t="shared" si="137"/>
        <v>333.50684931506851</v>
      </c>
      <c r="O1360" s="3"/>
      <c r="P1360" s="70" t="s">
        <v>18629</v>
      </c>
      <c r="Q1360" s="2" t="s">
        <v>283</v>
      </c>
      <c r="R1360" s="2" t="s">
        <v>3759</v>
      </c>
      <c r="T1360" t="s">
        <v>18666</v>
      </c>
      <c r="U1360" t="s">
        <v>18652</v>
      </c>
      <c r="V1360" s="104">
        <v>45857</v>
      </c>
      <c r="X1360" s="97"/>
      <c r="Y1360" s="75">
        <v>333.51</v>
      </c>
    </row>
    <row r="1361" spans="1:25" x14ac:dyDescent="0.25">
      <c r="A1361" s="76">
        <v>1393</v>
      </c>
      <c r="B1361" s="2" t="s">
        <v>12111</v>
      </c>
      <c r="C1361" s="2" t="s">
        <v>12112</v>
      </c>
      <c r="D1361" s="2" t="s">
        <v>12113</v>
      </c>
      <c r="E1361" s="2" t="s">
        <v>12114</v>
      </c>
      <c r="F1361" s="2" t="s">
        <v>12115</v>
      </c>
      <c r="G1361" s="2" t="s">
        <v>328</v>
      </c>
      <c r="H1361" s="17">
        <v>25</v>
      </c>
      <c r="I1361" s="31">
        <f t="shared" si="132"/>
        <v>25000</v>
      </c>
      <c r="J1361" s="31">
        <f t="shared" si="133"/>
        <v>1750.0000000000002</v>
      </c>
      <c r="K1361" s="44">
        <f t="shared" si="134"/>
        <v>4.794520547945206</v>
      </c>
      <c r="L1361" s="3">
        <f t="shared" si="135"/>
        <v>354.79452054794524</v>
      </c>
      <c r="M1361" s="3">
        <f t="shared" si="136"/>
        <v>21.287671232876715</v>
      </c>
      <c r="N1361" s="67">
        <f t="shared" si="137"/>
        <v>333.50684931506851</v>
      </c>
      <c r="O1361" s="3"/>
      <c r="P1361" s="70" t="s">
        <v>18629</v>
      </c>
      <c r="Q1361" s="2" t="s">
        <v>283</v>
      </c>
      <c r="R1361" s="2" t="s">
        <v>12116</v>
      </c>
      <c r="T1361" t="s">
        <v>18666</v>
      </c>
      <c r="U1361" t="s">
        <v>18652</v>
      </c>
      <c r="V1361" s="104">
        <v>45857</v>
      </c>
      <c r="X1361" s="97"/>
      <c r="Y1361" s="75">
        <v>333.51</v>
      </c>
    </row>
    <row r="1362" spans="1:25" x14ac:dyDescent="0.25">
      <c r="A1362" s="76">
        <v>1394</v>
      </c>
      <c r="B1362" s="2" t="s">
        <v>15073</v>
      </c>
      <c r="C1362" s="2" t="s">
        <v>15074</v>
      </c>
      <c r="D1362" s="2" t="s">
        <v>15075</v>
      </c>
      <c r="E1362" s="2" t="s">
        <v>15076</v>
      </c>
      <c r="F1362" s="2" t="s">
        <v>15077</v>
      </c>
      <c r="G1362" s="2" t="s">
        <v>144</v>
      </c>
      <c r="H1362" s="17">
        <v>25</v>
      </c>
      <c r="I1362" s="31">
        <f t="shared" ref="I1362:I1425" si="138">H1362*1000</f>
        <v>25000</v>
      </c>
      <c r="J1362" s="31">
        <f t="shared" ref="J1362:J1425" si="139">I1362*7%</f>
        <v>1750.0000000000002</v>
      </c>
      <c r="K1362" s="44">
        <f t="shared" ref="K1362:K1425" si="140">J1362/365</f>
        <v>4.794520547945206</v>
      </c>
      <c r="L1362" s="3">
        <f t="shared" ref="L1362:L1425" si="141">K1362*74</f>
        <v>354.79452054794524</v>
      </c>
      <c r="M1362" s="3">
        <f t="shared" ref="M1362:M1425" si="142">L1362*6%</f>
        <v>21.287671232876715</v>
      </c>
      <c r="N1362" s="67">
        <f t="shared" ref="N1362:N1425" si="143">L1362-M1362</f>
        <v>333.50684931506851</v>
      </c>
      <c r="O1362" s="3"/>
      <c r="P1362" s="70" t="s">
        <v>18629</v>
      </c>
      <c r="Q1362" s="2" t="s">
        <v>283</v>
      </c>
      <c r="R1362" s="2" t="s">
        <v>15078</v>
      </c>
      <c r="T1362" t="s">
        <v>18666</v>
      </c>
      <c r="U1362" t="s">
        <v>18652</v>
      </c>
      <c r="V1362" s="104">
        <v>45857</v>
      </c>
      <c r="X1362" s="97"/>
      <c r="Y1362" s="75">
        <v>333.51</v>
      </c>
    </row>
    <row r="1363" spans="1:25" x14ac:dyDescent="0.25">
      <c r="A1363" s="76">
        <v>1395</v>
      </c>
      <c r="B1363" s="2" t="s">
        <v>1057</v>
      </c>
      <c r="C1363" s="2" t="s">
        <v>1058</v>
      </c>
      <c r="D1363" s="2" t="s">
        <v>1059</v>
      </c>
      <c r="E1363" s="2" t="s">
        <v>1060</v>
      </c>
      <c r="F1363" s="2" t="s">
        <v>1061</v>
      </c>
      <c r="G1363" s="2" t="s">
        <v>166</v>
      </c>
      <c r="H1363" s="17">
        <v>50</v>
      </c>
      <c r="I1363" s="31">
        <f t="shared" si="138"/>
        <v>50000</v>
      </c>
      <c r="J1363" s="31">
        <f t="shared" si="139"/>
        <v>3500.0000000000005</v>
      </c>
      <c r="K1363" s="44">
        <f t="shared" si="140"/>
        <v>9.589041095890412</v>
      </c>
      <c r="L1363" s="3">
        <f t="shared" si="141"/>
        <v>709.58904109589048</v>
      </c>
      <c r="M1363" s="3">
        <f t="shared" si="142"/>
        <v>42.57534246575343</v>
      </c>
      <c r="N1363" s="67">
        <f t="shared" si="143"/>
        <v>667.01369863013701</v>
      </c>
      <c r="O1363" s="3"/>
      <c r="P1363" s="70" t="s">
        <v>18629</v>
      </c>
      <c r="Q1363" s="2" t="s">
        <v>283</v>
      </c>
      <c r="R1363" s="2" t="s">
        <v>1062</v>
      </c>
      <c r="T1363" t="s">
        <v>18666</v>
      </c>
      <c r="U1363" t="s">
        <v>18652</v>
      </c>
      <c r="V1363" s="104">
        <v>45857</v>
      </c>
      <c r="X1363" s="97"/>
      <c r="Y1363" s="75">
        <v>667.02</v>
      </c>
    </row>
    <row r="1364" spans="1:25" x14ac:dyDescent="0.25">
      <c r="A1364" s="76">
        <v>1396</v>
      </c>
      <c r="B1364" s="2" t="s">
        <v>1878</v>
      </c>
      <c r="C1364" s="2" t="s">
        <v>1879</v>
      </c>
      <c r="D1364" s="2" t="s">
        <v>1880</v>
      </c>
      <c r="E1364" s="2" t="s">
        <v>1881</v>
      </c>
      <c r="F1364" s="2" t="s">
        <v>1882</v>
      </c>
      <c r="G1364" s="2" t="s">
        <v>144</v>
      </c>
      <c r="H1364" s="17">
        <v>200</v>
      </c>
      <c r="I1364" s="31">
        <f t="shared" si="138"/>
        <v>200000</v>
      </c>
      <c r="J1364" s="31">
        <f t="shared" si="139"/>
        <v>14000.000000000002</v>
      </c>
      <c r="K1364" s="44">
        <f t="shared" si="140"/>
        <v>38.356164383561648</v>
      </c>
      <c r="L1364" s="3">
        <f t="shared" si="141"/>
        <v>2838.3561643835619</v>
      </c>
      <c r="M1364" s="3">
        <f t="shared" si="142"/>
        <v>170.30136986301372</v>
      </c>
      <c r="N1364" s="67">
        <f t="shared" si="143"/>
        <v>2668.0547945205481</v>
      </c>
      <c r="O1364" s="3"/>
      <c r="P1364" s="70" t="s">
        <v>18629</v>
      </c>
      <c r="Q1364" s="2" t="s">
        <v>283</v>
      </c>
      <c r="R1364" s="2" t="s">
        <v>1883</v>
      </c>
      <c r="T1364" t="s">
        <v>18666</v>
      </c>
      <c r="U1364" t="s">
        <v>18652</v>
      </c>
      <c r="V1364" s="104">
        <v>45857</v>
      </c>
      <c r="X1364" s="97"/>
      <c r="Y1364" s="75">
        <v>2668.0600000000004</v>
      </c>
    </row>
    <row r="1365" spans="1:25" x14ac:dyDescent="0.25">
      <c r="A1365" s="76">
        <v>1397</v>
      </c>
      <c r="B1365" s="2" t="s">
        <v>726</v>
      </c>
      <c r="C1365" s="2" t="s">
        <v>727</v>
      </c>
      <c r="D1365" s="2" t="s">
        <v>728</v>
      </c>
      <c r="E1365" s="2" t="s">
        <v>729</v>
      </c>
      <c r="F1365" s="2" t="s">
        <v>730</v>
      </c>
      <c r="G1365" s="2" t="s">
        <v>186</v>
      </c>
      <c r="H1365" s="17">
        <v>25</v>
      </c>
      <c r="I1365" s="31">
        <f t="shared" si="138"/>
        <v>25000</v>
      </c>
      <c r="J1365" s="31">
        <f t="shared" si="139"/>
        <v>1750.0000000000002</v>
      </c>
      <c r="K1365" s="44">
        <f t="shared" si="140"/>
        <v>4.794520547945206</v>
      </c>
      <c r="L1365" s="3">
        <f t="shared" si="141"/>
        <v>354.79452054794524</v>
      </c>
      <c r="M1365" s="3">
        <f t="shared" si="142"/>
        <v>21.287671232876715</v>
      </c>
      <c r="N1365" s="67">
        <f t="shared" si="143"/>
        <v>333.50684931506851</v>
      </c>
      <c r="O1365" s="3"/>
      <c r="P1365" s="70" t="s">
        <v>18629</v>
      </c>
      <c r="Q1365" s="2" t="s">
        <v>283</v>
      </c>
      <c r="R1365" s="2" t="s">
        <v>731</v>
      </c>
      <c r="T1365" t="s">
        <v>18666</v>
      </c>
      <c r="U1365" t="s">
        <v>18652</v>
      </c>
      <c r="V1365" s="104">
        <v>45857</v>
      </c>
      <c r="X1365" s="97"/>
      <c r="Y1365" s="75">
        <v>333.51</v>
      </c>
    </row>
    <row r="1366" spans="1:25" x14ac:dyDescent="0.25">
      <c r="A1366" s="76">
        <v>1398</v>
      </c>
      <c r="B1366" s="2" t="s">
        <v>5599</v>
      </c>
      <c r="C1366" s="2" t="s">
        <v>5600</v>
      </c>
      <c r="D1366" s="2" t="s">
        <v>5601</v>
      </c>
      <c r="E1366" s="2" t="s">
        <v>5602</v>
      </c>
      <c r="F1366" s="2" t="s">
        <v>5603</v>
      </c>
      <c r="G1366" s="2" t="s">
        <v>23</v>
      </c>
      <c r="H1366" s="17">
        <v>25</v>
      </c>
      <c r="I1366" s="31">
        <f t="shared" si="138"/>
        <v>25000</v>
      </c>
      <c r="J1366" s="31">
        <f t="shared" si="139"/>
        <v>1750.0000000000002</v>
      </c>
      <c r="K1366" s="44">
        <f t="shared" si="140"/>
        <v>4.794520547945206</v>
      </c>
      <c r="L1366" s="3">
        <f t="shared" si="141"/>
        <v>354.79452054794524</v>
      </c>
      <c r="M1366" s="3">
        <f t="shared" si="142"/>
        <v>21.287671232876715</v>
      </c>
      <c r="N1366" s="67">
        <f t="shared" si="143"/>
        <v>333.50684931506851</v>
      </c>
      <c r="O1366" s="3"/>
      <c r="P1366" s="70" t="s">
        <v>18629</v>
      </c>
      <c r="Q1366" s="2" t="s">
        <v>283</v>
      </c>
      <c r="R1366" s="2" t="s">
        <v>5604</v>
      </c>
      <c r="T1366" t="s">
        <v>18666</v>
      </c>
      <c r="U1366" t="s">
        <v>18652</v>
      </c>
      <c r="V1366" s="104">
        <v>45857</v>
      </c>
      <c r="X1366" s="97"/>
      <c r="Y1366" s="75">
        <v>333.51</v>
      </c>
    </row>
    <row r="1367" spans="1:25" x14ac:dyDescent="0.25">
      <c r="A1367" s="76">
        <v>1399</v>
      </c>
      <c r="B1367" s="2" t="s">
        <v>12762</v>
      </c>
      <c r="C1367" s="2" t="s">
        <v>12763</v>
      </c>
      <c r="D1367" s="2" t="s">
        <v>12764</v>
      </c>
      <c r="E1367" s="2" t="s">
        <v>12765</v>
      </c>
      <c r="F1367" s="2" t="s">
        <v>12766</v>
      </c>
      <c r="G1367" s="2" t="s">
        <v>158</v>
      </c>
      <c r="H1367" s="17">
        <v>200</v>
      </c>
      <c r="I1367" s="31">
        <f t="shared" si="138"/>
        <v>200000</v>
      </c>
      <c r="J1367" s="31">
        <f t="shared" si="139"/>
        <v>14000.000000000002</v>
      </c>
      <c r="K1367" s="44">
        <f t="shared" si="140"/>
        <v>38.356164383561648</v>
      </c>
      <c r="L1367" s="3">
        <f t="shared" si="141"/>
        <v>2838.3561643835619</v>
      </c>
      <c r="M1367" s="3">
        <f t="shared" si="142"/>
        <v>170.30136986301372</v>
      </c>
      <c r="N1367" s="67">
        <f t="shared" si="143"/>
        <v>2668.0547945205481</v>
      </c>
      <c r="O1367" s="3"/>
      <c r="P1367" s="70" t="s">
        <v>18629</v>
      </c>
      <c r="Q1367" s="2" t="s">
        <v>283</v>
      </c>
      <c r="R1367" s="2" t="s">
        <v>12767</v>
      </c>
      <c r="T1367" t="s">
        <v>18666</v>
      </c>
      <c r="U1367" t="s">
        <v>18652</v>
      </c>
      <c r="V1367" s="104">
        <v>45857</v>
      </c>
      <c r="X1367" s="97"/>
      <c r="Y1367" s="75">
        <v>2668.0600000000004</v>
      </c>
    </row>
    <row r="1368" spans="1:25" x14ac:dyDescent="0.25">
      <c r="A1368" s="76">
        <v>1400</v>
      </c>
      <c r="B1368" s="2" t="s">
        <v>4258</v>
      </c>
      <c r="C1368" s="2" t="s">
        <v>4259</v>
      </c>
      <c r="D1368" s="2" t="s">
        <v>4260</v>
      </c>
      <c r="E1368" s="2" t="s">
        <v>4261</v>
      </c>
      <c r="F1368" s="2" t="s">
        <v>4262</v>
      </c>
      <c r="G1368" s="2" t="s">
        <v>31</v>
      </c>
      <c r="H1368" s="17">
        <v>25</v>
      </c>
      <c r="I1368" s="31">
        <f t="shared" si="138"/>
        <v>25000</v>
      </c>
      <c r="J1368" s="31">
        <f t="shared" si="139"/>
        <v>1750.0000000000002</v>
      </c>
      <c r="K1368" s="44">
        <f t="shared" si="140"/>
        <v>4.794520547945206</v>
      </c>
      <c r="L1368" s="3">
        <f t="shared" si="141"/>
        <v>354.79452054794524</v>
      </c>
      <c r="M1368" s="3">
        <f t="shared" si="142"/>
        <v>21.287671232876715</v>
      </c>
      <c r="N1368" s="67">
        <f t="shared" si="143"/>
        <v>333.50684931506851</v>
      </c>
      <c r="O1368" s="3"/>
      <c r="P1368" s="70" t="s">
        <v>18629</v>
      </c>
      <c r="Q1368" s="2" t="s">
        <v>283</v>
      </c>
      <c r="R1368" s="2" t="s">
        <v>4263</v>
      </c>
      <c r="T1368" t="s">
        <v>18666</v>
      </c>
      <c r="U1368" t="s">
        <v>18652</v>
      </c>
      <c r="V1368" s="104">
        <v>45857</v>
      </c>
      <c r="X1368" s="97"/>
      <c r="Y1368" s="75">
        <v>333.51</v>
      </c>
    </row>
    <row r="1369" spans="1:25" x14ac:dyDescent="0.25">
      <c r="A1369" s="76">
        <v>1401</v>
      </c>
      <c r="B1369" s="2" t="s">
        <v>13001</v>
      </c>
      <c r="C1369" s="2" t="s">
        <v>13002</v>
      </c>
      <c r="D1369" s="2" t="s">
        <v>13003</v>
      </c>
      <c r="E1369" s="2" t="s">
        <v>13004</v>
      </c>
      <c r="F1369" s="2" t="s">
        <v>13005</v>
      </c>
      <c r="G1369" s="2" t="s">
        <v>412</v>
      </c>
      <c r="H1369" s="17">
        <v>25</v>
      </c>
      <c r="I1369" s="31">
        <f t="shared" si="138"/>
        <v>25000</v>
      </c>
      <c r="J1369" s="31">
        <f t="shared" si="139"/>
        <v>1750.0000000000002</v>
      </c>
      <c r="K1369" s="44">
        <f t="shared" si="140"/>
        <v>4.794520547945206</v>
      </c>
      <c r="L1369" s="3">
        <f t="shared" si="141"/>
        <v>354.79452054794524</v>
      </c>
      <c r="M1369" s="3">
        <f t="shared" si="142"/>
        <v>21.287671232876715</v>
      </c>
      <c r="N1369" s="67">
        <f t="shared" si="143"/>
        <v>333.50684931506851</v>
      </c>
      <c r="O1369" s="3"/>
      <c r="P1369" s="70" t="s">
        <v>18629</v>
      </c>
      <c r="Q1369" s="2" t="s">
        <v>283</v>
      </c>
      <c r="R1369" s="2" t="s">
        <v>13006</v>
      </c>
      <c r="T1369" t="s">
        <v>18666</v>
      </c>
      <c r="U1369" t="s">
        <v>18652</v>
      </c>
      <c r="V1369" s="104">
        <v>45857</v>
      </c>
      <c r="X1369" s="97"/>
      <c r="Y1369" s="75">
        <v>333.51</v>
      </c>
    </row>
    <row r="1370" spans="1:25" x14ac:dyDescent="0.25">
      <c r="A1370" s="76">
        <v>1402</v>
      </c>
      <c r="B1370" s="2" t="s">
        <v>17416</v>
      </c>
      <c r="C1370" s="2" t="s">
        <v>17417</v>
      </c>
      <c r="D1370" s="2" t="s">
        <v>7316</v>
      </c>
      <c r="E1370" s="2" t="s">
        <v>13080</v>
      </c>
      <c r="F1370" s="2" t="s">
        <v>17418</v>
      </c>
      <c r="G1370" s="2" t="s">
        <v>31</v>
      </c>
      <c r="H1370" s="17">
        <v>500</v>
      </c>
      <c r="I1370" s="31">
        <f t="shared" si="138"/>
        <v>500000</v>
      </c>
      <c r="J1370" s="31">
        <f t="shared" si="139"/>
        <v>35000</v>
      </c>
      <c r="K1370" s="44">
        <f t="shared" si="140"/>
        <v>95.890410958904113</v>
      </c>
      <c r="L1370" s="3">
        <f t="shared" si="141"/>
        <v>7095.8904109589039</v>
      </c>
      <c r="M1370" s="3">
        <f t="shared" si="142"/>
        <v>425.7534246575342</v>
      </c>
      <c r="N1370" s="67">
        <f t="shared" si="143"/>
        <v>6670.1369863013697</v>
      </c>
      <c r="O1370" s="3"/>
      <c r="P1370" s="70" t="s">
        <v>18629</v>
      </c>
      <c r="Q1370" s="2" t="s">
        <v>283</v>
      </c>
      <c r="R1370" s="2" t="s">
        <v>17419</v>
      </c>
      <c r="T1370" t="s">
        <v>18666</v>
      </c>
      <c r="U1370" t="s">
        <v>18652</v>
      </c>
      <c r="V1370" s="104">
        <v>45857</v>
      </c>
      <c r="X1370" s="97"/>
      <c r="Y1370" s="75">
        <v>6670.14</v>
      </c>
    </row>
    <row r="1371" spans="1:25" x14ac:dyDescent="0.25">
      <c r="A1371" s="76">
        <v>1403</v>
      </c>
      <c r="B1371" s="2" t="s">
        <v>994</v>
      </c>
      <c r="C1371" s="2" t="s">
        <v>995</v>
      </c>
      <c r="D1371" s="2" t="s">
        <v>996</v>
      </c>
      <c r="E1371" s="2" t="s">
        <v>997</v>
      </c>
      <c r="F1371" s="2" t="s">
        <v>998</v>
      </c>
      <c r="G1371" s="2" t="s">
        <v>750</v>
      </c>
      <c r="H1371" s="17">
        <v>50</v>
      </c>
      <c r="I1371" s="31">
        <f t="shared" si="138"/>
        <v>50000</v>
      </c>
      <c r="J1371" s="31">
        <f t="shared" si="139"/>
        <v>3500.0000000000005</v>
      </c>
      <c r="K1371" s="44">
        <f t="shared" si="140"/>
        <v>9.589041095890412</v>
      </c>
      <c r="L1371" s="3">
        <f t="shared" si="141"/>
        <v>709.58904109589048</v>
      </c>
      <c r="M1371" s="3">
        <f t="shared" si="142"/>
        <v>42.57534246575343</v>
      </c>
      <c r="N1371" s="67">
        <f t="shared" si="143"/>
        <v>667.01369863013701</v>
      </c>
      <c r="O1371" s="3"/>
      <c r="P1371" s="70" t="s">
        <v>18629</v>
      </c>
      <c r="Q1371" s="2" t="s">
        <v>283</v>
      </c>
      <c r="R1371" s="2" t="s">
        <v>999</v>
      </c>
      <c r="T1371" t="s">
        <v>18666</v>
      </c>
      <c r="U1371" t="s">
        <v>18652</v>
      </c>
      <c r="V1371" s="104">
        <v>45857</v>
      </c>
      <c r="X1371" s="97"/>
      <c r="Y1371" s="75">
        <v>667.02</v>
      </c>
    </row>
    <row r="1372" spans="1:25" x14ac:dyDescent="0.25">
      <c r="A1372" s="76">
        <v>1404</v>
      </c>
      <c r="B1372" s="2" t="s">
        <v>4063</v>
      </c>
      <c r="C1372" s="2" t="s">
        <v>4064</v>
      </c>
      <c r="D1372" s="2" t="s">
        <v>4065</v>
      </c>
      <c r="E1372" s="2" t="s">
        <v>4066</v>
      </c>
      <c r="F1372" s="2" t="s">
        <v>4067</v>
      </c>
      <c r="G1372" s="2" t="s">
        <v>39</v>
      </c>
      <c r="H1372" s="17">
        <v>25</v>
      </c>
      <c r="I1372" s="31">
        <f t="shared" si="138"/>
        <v>25000</v>
      </c>
      <c r="J1372" s="31">
        <f t="shared" si="139"/>
        <v>1750.0000000000002</v>
      </c>
      <c r="K1372" s="44">
        <f t="shared" si="140"/>
        <v>4.794520547945206</v>
      </c>
      <c r="L1372" s="3">
        <f t="shared" si="141"/>
        <v>354.79452054794524</v>
      </c>
      <c r="M1372" s="3">
        <f t="shared" si="142"/>
        <v>21.287671232876715</v>
      </c>
      <c r="N1372" s="67">
        <f t="shared" si="143"/>
        <v>333.50684931506851</v>
      </c>
      <c r="O1372" s="3"/>
      <c r="P1372" s="70" t="s">
        <v>18629</v>
      </c>
      <c r="Q1372" s="2" t="s">
        <v>283</v>
      </c>
      <c r="R1372" s="2" t="s">
        <v>4068</v>
      </c>
      <c r="T1372" t="s">
        <v>18666</v>
      </c>
      <c r="U1372" t="s">
        <v>18652</v>
      </c>
      <c r="V1372" s="104">
        <v>45857</v>
      </c>
      <c r="X1372" s="97"/>
      <c r="Y1372" s="75">
        <v>333.51</v>
      </c>
    </row>
    <row r="1373" spans="1:25" x14ac:dyDescent="0.25">
      <c r="A1373" s="76">
        <v>1405</v>
      </c>
      <c r="B1373" s="2" t="s">
        <v>6213</v>
      </c>
      <c r="C1373" s="2" t="s">
        <v>6214</v>
      </c>
      <c r="D1373" s="2" t="s">
        <v>6215</v>
      </c>
      <c r="E1373" s="2" t="s">
        <v>6216</v>
      </c>
      <c r="F1373" s="2" t="s">
        <v>6217</v>
      </c>
      <c r="G1373" s="2" t="s">
        <v>750</v>
      </c>
      <c r="H1373" s="17">
        <v>25</v>
      </c>
      <c r="I1373" s="31">
        <f t="shared" si="138"/>
        <v>25000</v>
      </c>
      <c r="J1373" s="31">
        <f t="shared" si="139"/>
        <v>1750.0000000000002</v>
      </c>
      <c r="K1373" s="44">
        <f t="shared" si="140"/>
        <v>4.794520547945206</v>
      </c>
      <c r="L1373" s="3">
        <f t="shared" si="141"/>
        <v>354.79452054794524</v>
      </c>
      <c r="M1373" s="3">
        <f t="shared" si="142"/>
        <v>21.287671232876715</v>
      </c>
      <c r="N1373" s="67">
        <f t="shared" si="143"/>
        <v>333.50684931506851</v>
      </c>
      <c r="O1373" s="3"/>
      <c r="P1373" s="70" t="s">
        <v>18629</v>
      </c>
      <c r="Q1373" s="2" t="s">
        <v>283</v>
      </c>
      <c r="R1373" s="2" t="s">
        <v>6218</v>
      </c>
      <c r="T1373" t="s">
        <v>18666</v>
      </c>
      <c r="U1373" t="s">
        <v>18652</v>
      </c>
      <c r="V1373" s="104">
        <v>45857</v>
      </c>
      <c r="X1373" s="97"/>
      <c r="Y1373" s="75">
        <v>333.51</v>
      </c>
    </row>
    <row r="1374" spans="1:25" x14ac:dyDescent="0.25">
      <c r="A1374" s="76">
        <v>1406</v>
      </c>
      <c r="B1374" s="2" t="s">
        <v>2943</v>
      </c>
      <c r="C1374" s="2" t="s">
        <v>2944</v>
      </c>
      <c r="D1374" s="2" t="s">
        <v>2945</v>
      </c>
      <c r="E1374" s="2" t="s">
        <v>2946</v>
      </c>
      <c r="F1374" s="2" t="s">
        <v>2947</v>
      </c>
      <c r="G1374" s="2" t="s">
        <v>412</v>
      </c>
      <c r="H1374" s="17">
        <v>100</v>
      </c>
      <c r="I1374" s="31">
        <f t="shared" si="138"/>
        <v>100000</v>
      </c>
      <c r="J1374" s="31">
        <f t="shared" si="139"/>
        <v>7000.0000000000009</v>
      </c>
      <c r="K1374" s="44">
        <f t="shared" si="140"/>
        <v>19.178082191780824</v>
      </c>
      <c r="L1374" s="3">
        <f t="shared" si="141"/>
        <v>1419.178082191781</v>
      </c>
      <c r="M1374" s="3">
        <f t="shared" si="142"/>
        <v>85.150684931506859</v>
      </c>
      <c r="N1374" s="67">
        <f t="shared" si="143"/>
        <v>1334.027397260274</v>
      </c>
      <c r="O1374" s="3"/>
      <c r="P1374" s="70" t="s">
        <v>18629</v>
      </c>
      <c r="Q1374" s="2" t="s">
        <v>283</v>
      </c>
      <c r="R1374" s="2" t="s">
        <v>2948</v>
      </c>
      <c r="T1374" t="s">
        <v>18666</v>
      </c>
      <c r="U1374" t="s">
        <v>18652</v>
      </c>
      <c r="V1374" s="104">
        <v>45857</v>
      </c>
      <c r="X1374" s="97"/>
      <c r="Y1374" s="75">
        <v>1334.03</v>
      </c>
    </row>
    <row r="1375" spans="1:25" x14ac:dyDescent="0.25">
      <c r="A1375" s="76">
        <v>1407</v>
      </c>
      <c r="B1375" s="2" t="s">
        <v>14031</v>
      </c>
      <c r="C1375" s="2" t="s">
        <v>14032</v>
      </c>
      <c r="D1375" s="2" t="s">
        <v>14033</v>
      </c>
      <c r="E1375" s="2" t="s">
        <v>14034</v>
      </c>
      <c r="F1375" s="2" t="s">
        <v>14035</v>
      </c>
      <c r="G1375" s="2" t="s">
        <v>166</v>
      </c>
      <c r="H1375" s="17">
        <v>30</v>
      </c>
      <c r="I1375" s="31">
        <f t="shared" si="138"/>
        <v>30000</v>
      </c>
      <c r="J1375" s="31">
        <f t="shared" si="139"/>
        <v>2100</v>
      </c>
      <c r="K1375" s="44">
        <f t="shared" si="140"/>
        <v>5.7534246575342465</v>
      </c>
      <c r="L1375" s="3">
        <f t="shared" si="141"/>
        <v>425.75342465753425</v>
      </c>
      <c r="M1375" s="3">
        <f t="shared" si="142"/>
        <v>25.545205479452054</v>
      </c>
      <c r="N1375" s="67">
        <f t="shared" si="143"/>
        <v>400.20821917808217</v>
      </c>
      <c r="O1375" s="3"/>
      <c r="P1375" s="70" t="s">
        <v>18629</v>
      </c>
      <c r="Q1375" s="2" t="s">
        <v>283</v>
      </c>
      <c r="R1375" s="2" t="s">
        <v>14036</v>
      </c>
      <c r="T1375" t="s">
        <v>18666</v>
      </c>
      <c r="U1375" t="s">
        <v>18652</v>
      </c>
      <c r="V1375" s="104">
        <v>45857</v>
      </c>
      <c r="X1375" s="97"/>
      <c r="Y1375" s="75">
        <v>400.21</v>
      </c>
    </row>
    <row r="1376" spans="1:25" x14ac:dyDescent="0.25">
      <c r="A1376" s="76">
        <v>1408</v>
      </c>
      <c r="B1376" s="2" t="s">
        <v>15642</v>
      </c>
      <c r="C1376" s="2" t="s">
        <v>14043</v>
      </c>
      <c r="D1376" s="2" t="s">
        <v>15643</v>
      </c>
      <c r="E1376" s="2" t="s">
        <v>9614</v>
      </c>
      <c r="F1376" s="2" t="s">
        <v>15644</v>
      </c>
      <c r="G1376" s="2" t="s">
        <v>1017</v>
      </c>
      <c r="H1376" s="17">
        <v>25</v>
      </c>
      <c r="I1376" s="31">
        <f t="shared" si="138"/>
        <v>25000</v>
      </c>
      <c r="J1376" s="31">
        <f t="shared" si="139"/>
        <v>1750.0000000000002</v>
      </c>
      <c r="K1376" s="44">
        <f t="shared" si="140"/>
        <v>4.794520547945206</v>
      </c>
      <c r="L1376" s="3">
        <f t="shared" si="141"/>
        <v>354.79452054794524</v>
      </c>
      <c r="M1376" s="3">
        <f t="shared" si="142"/>
        <v>21.287671232876715</v>
      </c>
      <c r="N1376" s="67">
        <f t="shared" si="143"/>
        <v>333.50684931506851</v>
      </c>
      <c r="O1376" s="3"/>
      <c r="P1376" s="70" t="s">
        <v>18629</v>
      </c>
      <c r="Q1376" s="2" t="s">
        <v>283</v>
      </c>
      <c r="R1376" s="2" t="s">
        <v>15645</v>
      </c>
      <c r="T1376" t="s">
        <v>18666</v>
      </c>
      <c r="U1376" t="s">
        <v>18652</v>
      </c>
      <c r="V1376" s="104">
        <v>45857</v>
      </c>
      <c r="X1376" s="97"/>
      <c r="Y1376" s="75">
        <v>333.51</v>
      </c>
    </row>
    <row r="1377" spans="1:25" x14ac:dyDescent="0.25">
      <c r="A1377" s="76">
        <v>1409</v>
      </c>
      <c r="B1377" s="2" t="s">
        <v>5143</v>
      </c>
      <c r="C1377" s="2" t="s">
        <v>5144</v>
      </c>
      <c r="D1377" s="2" t="s">
        <v>5145</v>
      </c>
      <c r="E1377" s="2" t="s">
        <v>5146</v>
      </c>
      <c r="F1377" s="2" t="s">
        <v>5147</v>
      </c>
      <c r="G1377" s="2" t="s">
        <v>247</v>
      </c>
      <c r="H1377" s="17">
        <v>25</v>
      </c>
      <c r="I1377" s="31">
        <f t="shared" si="138"/>
        <v>25000</v>
      </c>
      <c r="J1377" s="31">
        <f t="shared" si="139"/>
        <v>1750.0000000000002</v>
      </c>
      <c r="K1377" s="44">
        <f t="shared" si="140"/>
        <v>4.794520547945206</v>
      </c>
      <c r="L1377" s="3">
        <f t="shared" si="141"/>
        <v>354.79452054794524</v>
      </c>
      <c r="M1377" s="3">
        <f t="shared" si="142"/>
        <v>21.287671232876715</v>
      </c>
      <c r="N1377" s="67">
        <f t="shared" si="143"/>
        <v>333.50684931506851</v>
      </c>
      <c r="O1377" s="3"/>
      <c r="P1377" s="70" t="s">
        <v>18629</v>
      </c>
      <c r="Q1377" s="2" t="s">
        <v>283</v>
      </c>
      <c r="R1377" s="2" t="s">
        <v>5148</v>
      </c>
      <c r="T1377" t="s">
        <v>18666</v>
      </c>
      <c r="U1377" t="s">
        <v>18652</v>
      </c>
      <c r="V1377" s="104">
        <v>45857</v>
      </c>
      <c r="X1377" s="97"/>
      <c r="Y1377" s="75">
        <v>333.51</v>
      </c>
    </row>
    <row r="1378" spans="1:25" x14ac:dyDescent="0.25">
      <c r="A1378" s="76">
        <v>1410</v>
      </c>
      <c r="B1378" s="2" t="s">
        <v>5887</v>
      </c>
      <c r="C1378" s="2" t="s">
        <v>5888</v>
      </c>
      <c r="D1378" s="2" t="s">
        <v>5889</v>
      </c>
      <c r="E1378" s="2" t="s">
        <v>5890</v>
      </c>
      <c r="F1378" s="2" t="s">
        <v>5891</v>
      </c>
      <c r="G1378" s="2" t="s">
        <v>750</v>
      </c>
      <c r="H1378" s="17">
        <v>25</v>
      </c>
      <c r="I1378" s="31">
        <f t="shared" si="138"/>
        <v>25000</v>
      </c>
      <c r="J1378" s="31">
        <f t="shared" si="139"/>
        <v>1750.0000000000002</v>
      </c>
      <c r="K1378" s="44">
        <f t="shared" si="140"/>
        <v>4.794520547945206</v>
      </c>
      <c r="L1378" s="3">
        <f t="shared" si="141"/>
        <v>354.79452054794524</v>
      </c>
      <c r="M1378" s="3">
        <f t="shared" si="142"/>
        <v>21.287671232876715</v>
      </c>
      <c r="N1378" s="67">
        <f t="shared" si="143"/>
        <v>333.50684931506851</v>
      </c>
      <c r="O1378" s="3"/>
      <c r="P1378" s="70" t="s">
        <v>18629</v>
      </c>
      <c r="Q1378" s="2" t="s">
        <v>283</v>
      </c>
      <c r="R1378" s="2" t="s">
        <v>5892</v>
      </c>
      <c r="T1378" t="s">
        <v>18666</v>
      </c>
      <c r="U1378" t="s">
        <v>18652</v>
      </c>
      <c r="V1378" s="104">
        <v>45857</v>
      </c>
      <c r="X1378" s="97"/>
      <c r="Y1378" s="75">
        <v>333.51</v>
      </c>
    </row>
    <row r="1379" spans="1:25" x14ac:dyDescent="0.25">
      <c r="A1379" s="76">
        <v>1411</v>
      </c>
      <c r="B1379" s="2" t="s">
        <v>6543</v>
      </c>
      <c r="C1379" s="2" t="s">
        <v>6544</v>
      </c>
      <c r="D1379" s="2" t="s">
        <v>6545</v>
      </c>
      <c r="E1379" s="2" t="s">
        <v>6546</v>
      </c>
      <c r="F1379" s="2" t="s">
        <v>6547</v>
      </c>
      <c r="G1379" s="2" t="s">
        <v>144</v>
      </c>
      <c r="H1379" s="17">
        <v>25</v>
      </c>
      <c r="I1379" s="31">
        <f t="shared" si="138"/>
        <v>25000</v>
      </c>
      <c r="J1379" s="31">
        <f t="shared" si="139"/>
        <v>1750.0000000000002</v>
      </c>
      <c r="K1379" s="44">
        <f t="shared" si="140"/>
        <v>4.794520547945206</v>
      </c>
      <c r="L1379" s="3">
        <f t="shared" si="141"/>
        <v>354.79452054794524</v>
      </c>
      <c r="M1379" s="3">
        <f t="shared" si="142"/>
        <v>21.287671232876715</v>
      </c>
      <c r="N1379" s="67">
        <f t="shared" si="143"/>
        <v>333.50684931506851</v>
      </c>
      <c r="O1379" s="3"/>
      <c r="P1379" s="70" t="s">
        <v>18629</v>
      </c>
      <c r="Q1379" s="2" t="s">
        <v>283</v>
      </c>
      <c r="R1379" s="2" t="s">
        <v>6548</v>
      </c>
      <c r="T1379" t="s">
        <v>18666</v>
      </c>
      <c r="U1379" t="s">
        <v>18652</v>
      </c>
      <c r="V1379" s="104">
        <v>45857</v>
      </c>
      <c r="X1379" s="97"/>
      <c r="Y1379" s="75">
        <v>333.51</v>
      </c>
    </row>
    <row r="1380" spans="1:25" x14ac:dyDescent="0.25">
      <c r="A1380" s="76">
        <v>1412</v>
      </c>
      <c r="B1380" s="2" t="s">
        <v>9352</v>
      </c>
      <c r="C1380" s="2" t="s">
        <v>9353</v>
      </c>
      <c r="D1380" s="2" t="s">
        <v>9354</v>
      </c>
      <c r="E1380" s="2" t="s">
        <v>9355</v>
      </c>
      <c r="F1380" s="2" t="s">
        <v>9356</v>
      </c>
      <c r="G1380" s="2" t="s">
        <v>296</v>
      </c>
      <c r="H1380" s="17">
        <v>70</v>
      </c>
      <c r="I1380" s="31">
        <f t="shared" si="138"/>
        <v>70000</v>
      </c>
      <c r="J1380" s="31">
        <f t="shared" si="139"/>
        <v>4900.0000000000009</v>
      </c>
      <c r="K1380" s="44">
        <f t="shared" si="140"/>
        <v>13.424657534246577</v>
      </c>
      <c r="L1380" s="3">
        <f t="shared" si="141"/>
        <v>993.42465753424676</v>
      </c>
      <c r="M1380" s="3">
        <f t="shared" si="142"/>
        <v>59.605479452054801</v>
      </c>
      <c r="N1380" s="67">
        <f t="shared" si="143"/>
        <v>933.81917808219191</v>
      </c>
      <c r="O1380" s="3"/>
      <c r="P1380" s="70" t="s">
        <v>18629</v>
      </c>
      <c r="Q1380" s="2" t="s">
        <v>283</v>
      </c>
      <c r="R1380" s="2" t="s">
        <v>9357</v>
      </c>
      <c r="T1380" t="s">
        <v>18666</v>
      </c>
      <c r="U1380" t="s">
        <v>18652</v>
      </c>
      <c r="V1380" s="104">
        <v>45857</v>
      </c>
      <c r="X1380" s="97"/>
      <c r="Y1380" s="75">
        <v>933.81999999999994</v>
      </c>
    </row>
    <row r="1381" spans="1:25" x14ac:dyDescent="0.25">
      <c r="A1381" s="76">
        <v>1413</v>
      </c>
      <c r="B1381" s="2" t="s">
        <v>7377</v>
      </c>
      <c r="C1381" s="2" t="s">
        <v>7378</v>
      </c>
      <c r="D1381" s="2" t="s">
        <v>7379</v>
      </c>
      <c r="E1381" s="2" t="s">
        <v>7380</v>
      </c>
      <c r="F1381" s="2" t="s">
        <v>7381</v>
      </c>
      <c r="G1381" s="2" t="s">
        <v>247</v>
      </c>
      <c r="H1381" s="17">
        <v>25</v>
      </c>
      <c r="I1381" s="31">
        <f t="shared" si="138"/>
        <v>25000</v>
      </c>
      <c r="J1381" s="31">
        <f t="shared" si="139"/>
        <v>1750.0000000000002</v>
      </c>
      <c r="K1381" s="44">
        <f t="shared" si="140"/>
        <v>4.794520547945206</v>
      </c>
      <c r="L1381" s="3">
        <f t="shared" si="141"/>
        <v>354.79452054794524</v>
      </c>
      <c r="M1381" s="3">
        <f t="shared" si="142"/>
        <v>21.287671232876715</v>
      </c>
      <c r="N1381" s="67">
        <f t="shared" si="143"/>
        <v>333.50684931506851</v>
      </c>
      <c r="O1381" s="3"/>
      <c r="P1381" s="70" t="s">
        <v>18629</v>
      </c>
      <c r="Q1381" s="2" t="s">
        <v>283</v>
      </c>
      <c r="R1381" s="2" t="s">
        <v>7382</v>
      </c>
      <c r="T1381" t="s">
        <v>18666</v>
      </c>
      <c r="U1381" t="s">
        <v>18652</v>
      </c>
      <c r="V1381" s="104">
        <v>45857</v>
      </c>
      <c r="X1381" s="97"/>
      <c r="Y1381" s="75">
        <v>333.51</v>
      </c>
    </row>
    <row r="1382" spans="1:25" x14ac:dyDescent="0.25">
      <c r="A1382" s="76">
        <v>1414</v>
      </c>
      <c r="B1382" s="2" t="s">
        <v>4470</v>
      </c>
      <c r="C1382" s="2" t="s">
        <v>4471</v>
      </c>
      <c r="D1382" s="2" t="s">
        <v>4472</v>
      </c>
      <c r="E1382" s="2" t="s">
        <v>4473</v>
      </c>
      <c r="F1382" s="2" t="s">
        <v>4474</v>
      </c>
      <c r="G1382" s="2" t="s">
        <v>381</v>
      </c>
      <c r="H1382" s="17">
        <v>100</v>
      </c>
      <c r="I1382" s="31">
        <f t="shared" si="138"/>
        <v>100000</v>
      </c>
      <c r="J1382" s="31">
        <f t="shared" si="139"/>
        <v>7000.0000000000009</v>
      </c>
      <c r="K1382" s="44">
        <f t="shared" si="140"/>
        <v>19.178082191780824</v>
      </c>
      <c r="L1382" s="3">
        <f t="shared" si="141"/>
        <v>1419.178082191781</v>
      </c>
      <c r="M1382" s="3">
        <f t="shared" si="142"/>
        <v>85.150684931506859</v>
      </c>
      <c r="N1382" s="67">
        <f t="shared" si="143"/>
        <v>1334.027397260274</v>
      </c>
      <c r="O1382" s="3"/>
      <c r="P1382" s="70" t="s">
        <v>18629</v>
      </c>
      <c r="Q1382" s="2" t="s">
        <v>283</v>
      </c>
      <c r="R1382" s="2" t="s">
        <v>4475</v>
      </c>
      <c r="T1382" t="s">
        <v>18666</v>
      </c>
      <c r="U1382" t="s">
        <v>18652</v>
      </c>
      <c r="V1382" s="104">
        <v>45857</v>
      </c>
      <c r="X1382" s="97"/>
      <c r="Y1382" s="75">
        <v>1334.03</v>
      </c>
    </row>
    <row r="1383" spans="1:25" x14ac:dyDescent="0.25">
      <c r="A1383" s="76">
        <v>1415</v>
      </c>
      <c r="B1383" s="2" t="s">
        <v>1711</v>
      </c>
      <c r="C1383" s="2" t="s">
        <v>1712</v>
      </c>
      <c r="D1383" s="2" t="s">
        <v>1713</v>
      </c>
      <c r="E1383" s="2" t="s">
        <v>1714</v>
      </c>
      <c r="F1383" s="2" t="s">
        <v>1715</v>
      </c>
      <c r="G1383" s="2" t="s">
        <v>412</v>
      </c>
      <c r="H1383" s="17">
        <v>25</v>
      </c>
      <c r="I1383" s="31">
        <f t="shared" si="138"/>
        <v>25000</v>
      </c>
      <c r="J1383" s="31">
        <f t="shared" si="139"/>
        <v>1750.0000000000002</v>
      </c>
      <c r="K1383" s="44">
        <f t="shared" si="140"/>
        <v>4.794520547945206</v>
      </c>
      <c r="L1383" s="3">
        <f t="shared" si="141"/>
        <v>354.79452054794524</v>
      </c>
      <c r="M1383" s="3">
        <f t="shared" si="142"/>
        <v>21.287671232876715</v>
      </c>
      <c r="N1383" s="67">
        <f t="shared" si="143"/>
        <v>333.50684931506851</v>
      </c>
      <c r="O1383" s="3"/>
      <c r="P1383" s="70" t="s">
        <v>18629</v>
      </c>
      <c r="Q1383" s="2" t="s">
        <v>283</v>
      </c>
      <c r="R1383" s="2" t="s">
        <v>1716</v>
      </c>
      <c r="T1383" t="s">
        <v>18666</v>
      </c>
      <c r="U1383" t="s">
        <v>18652</v>
      </c>
      <c r="V1383" s="104">
        <v>45857</v>
      </c>
      <c r="X1383" s="97"/>
      <c r="Y1383" s="75">
        <v>333.51</v>
      </c>
    </row>
    <row r="1384" spans="1:25" x14ac:dyDescent="0.25">
      <c r="A1384" s="76">
        <v>1416</v>
      </c>
      <c r="B1384" s="2" t="s">
        <v>5422</v>
      </c>
      <c r="C1384" s="2" t="s">
        <v>5423</v>
      </c>
      <c r="D1384" s="2" t="s">
        <v>5424</v>
      </c>
      <c r="E1384" s="2" t="s">
        <v>5425</v>
      </c>
      <c r="F1384" s="2" t="s">
        <v>5426</v>
      </c>
      <c r="G1384" s="2" t="s">
        <v>186</v>
      </c>
      <c r="H1384" s="17">
        <v>25</v>
      </c>
      <c r="I1384" s="31">
        <f t="shared" si="138"/>
        <v>25000</v>
      </c>
      <c r="J1384" s="31">
        <f t="shared" si="139"/>
        <v>1750.0000000000002</v>
      </c>
      <c r="K1384" s="44">
        <f t="shared" si="140"/>
        <v>4.794520547945206</v>
      </c>
      <c r="L1384" s="3">
        <f t="shared" si="141"/>
        <v>354.79452054794524</v>
      </c>
      <c r="M1384" s="3">
        <f t="shared" si="142"/>
        <v>21.287671232876715</v>
      </c>
      <c r="N1384" s="67">
        <f t="shared" si="143"/>
        <v>333.50684931506851</v>
      </c>
      <c r="O1384" s="3"/>
      <c r="P1384" s="70" t="s">
        <v>18629</v>
      </c>
      <c r="Q1384" s="2" t="s">
        <v>283</v>
      </c>
      <c r="R1384" s="2" t="s">
        <v>5427</v>
      </c>
      <c r="T1384" t="s">
        <v>18666</v>
      </c>
      <c r="U1384" t="s">
        <v>18652</v>
      </c>
      <c r="V1384" s="104">
        <v>45857</v>
      </c>
      <c r="X1384" s="97"/>
      <c r="Y1384" s="75">
        <v>333.51</v>
      </c>
    </row>
    <row r="1385" spans="1:25" x14ac:dyDescent="0.25">
      <c r="A1385" s="76">
        <v>1417</v>
      </c>
      <c r="B1385" s="2" t="s">
        <v>6065</v>
      </c>
      <c r="C1385" s="2" t="s">
        <v>6066</v>
      </c>
      <c r="D1385" s="2" t="s">
        <v>6067</v>
      </c>
      <c r="E1385" s="2" t="s">
        <v>6068</v>
      </c>
      <c r="F1385" s="2" t="s">
        <v>6069</v>
      </c>
      <c r="G1385" s="2" t="s">
        <v>876</v>
      </c>
      <c r="H1385" s="17">
        <v>25</v>
      </c>
      <c r="I1385" s="31">
        <f t="shared" si="138"/>
        <v>25000</v>
      </c>
      <c r="J1385" s="31">
        <f t="shared" si="139"/>
        <v>1750.0000000000002</v>
      </c>
      <c r="K1385" s="44">
        <f t="shared" si="140"/>
        <v>4.794520547945206</v>
      </c>
      <c r="L1385" s="3">
        <f t="shared" si="141"/>
        <v>354.79452054794524</v>
      </c>
      <c r="M1385" s="3">
        <f t="shared" si="142"/>
        <v>21.287671232876715</v>
      </c>
      <c r="N1385" s="67">
        <f t="shared" si="143"/>
        <v>333.50684931506851</v>
      </c>
      <c r="O1385" s="3"/>
      <c r="P1385" s="70" t="s">
        <v>18629</v>
      </c>
      <c r="Q1385" s="2" t="s">
        <v>283</v>
      </c>
      <c r="R1385" s="2" t="s">
        <v>6070</v>
      </c>
      <c r="T1385" t="s">
        <v>18666</v>
      </c>
      <c r="U1385" t="s">
        <v>18652</v>
      </c>
      <c r="V1385" s="104">
        <v>45857</v>
      </c>
      <c r="X1385" s="97"/>
      <c r="Y1385" s="75">
        <v>333.51</v>
      </c>
    </row>
    <row r="1386" spans="1:25" x14ac:dyDescent="0.25">
      <c r="A1386" s="76">
        <v>1418</v>
      </c>
      <c r="B1386" s="2" t="s">
        <v>12381</v>
      </c>
      <c r="C1386" s="2" t="s">
        <v>12382</v>
      </c>
      <c r="D1386" s="2" t="s">
        <v>12383</v>
      </c>
      <c r="E1386" s="2" t="s">
        <v>12384</v>
      </c>
      <c r="F1386" s="2" t="s">
        <v>12385</v>
      </c>
      <c r="G1386" s="2" t="s">
        <v>166</v>
      </c>
      <c r="H1386" s="17">
        <v>25</v>
      </c>
      <c r="I1386" s="31">
        <f t="shared" si="138"/>
        <v>25000</v>
      </c>
      <c r="J1386" s="31">
        <f t="shared" si="139"/>
        <v>1750.0000000000002</v>
      </c>
      <c r="K1386" s="44">
        <f t="shared" si="140"/>
        <v>4.794520547945206</v>
      </c>
      <c r="L1386" s="3">
        <f t="shared" si="141"/>
        <v>354.79452054794524</v>
      </c>
      <c r="M1386" s="3">
        <f t="shared" si="142"/>
        <v>21.287671232876715</v>
      </c>
      <c r="N1386" s="67">
        <f t="shared" si="143"/>
        <v>333.50684931506851</v>
      </c>
      <c r="O1386" s="3"/>
      <c r="P1386" s="70" t="s">
        <v>18630</v>
      </c>
      <c r="Q1386" s="2" t="s">
        <v>3441</v>
      </c>
      <c r="R1386" s="2" t="s">
        <v>12386</v>
      </c>
      <c r="T1386" t="s">
        <v>18666</v>
      </c>
      <c r="U1386" t="s">
        <v>18652</v>
      </c>
      <c r="V1386" s="104">
        <v>45857</v>
      </c>
      <c r="X1386" s="97"/>
      <c r="Y1386" s="75">
        <v>333.51</v>
      </c>
    </row>
    <row r="1387" spans="1:25" x14ac:dyDescent="0.25">
      <c r="A1387" s="76">
        <v>1419</v>
      </c>
      <c r="B1387" s="2" t="s">
        <v>14846</v>
      </c>
      <c r="C1387" s="2" t="s">
        <v>14847</v>
      </c>
      <c r="D1387" s="2" t="s">
        <v>14848</v>
      </c>
      <c r="E1387" s="2" t="s">
        <v>14849</v>
      </c>
      <c r="F1387" s="2" t="s">
        <v>14850</v>
      </c>
      <c r="G1387" s="2" t="s">
        <v>247</v>
      </c>
      <c r="H1387" s="17">
        <v>25</v>
      </c>
      <c r="I1387" s="31">
        <f t="shared" si="138"/>
        <v>25000</v>
      </c>
      <c r="J1387" s="31">
        <f t="shared" si="139"/>
        <v>1750.0000000000002</v>
      </c>
      <c r="K1387" s="44">
        <f t="shared" si="140"/>
        <v>4.794520547945206</v>
      </c>
      <c r="L1387" s="3">
        <f t="shared" si="141"/>
        <v>354.79452054794524</v>
      </c>
      <c r="M1387" s="3">
        <f t="shared" si="142"/>
        <v>21.287671232876715</v>
      </c>
      <c r="N1387" s="67">
        <f t="shared" si="143"/>
        <v>333.50684931506851</v>
      </c>
      <c r="O1387" s="3"/>
      <c r="P1387" s="70" t="s">
        <v>18630</v>
      </c>
      <c r="Q1387" s="2" t="s">
        <v>3441</v>
      </c>
      <c r="R1387" s="2" t="s">
        <v>14851</v>
      </c>
      <c r="T1387" t="s">
        <v>18666</v>
      </c>
      <c r="U1387" t="s">
        <v>18652</v>
      </c>
      <c r="V1387" s="104">
        <v>45857</v>
      </c>
      <c r="X1387" s="97"/>
      <c r="Y1387" s="75">
        <v>333.51</v>
      </c>
    </row>
    <row r="1388" spans="1:25" x14ac:dyDescent="0.25">
      <c r="A1388" s="76">
        <v>1420</v>
      </c>
      <c r="B1388" s="2" t="s">
        <v>10153</v>
      </c>
      <c r="C1388" s="2" t="s">
        <v>10154</v>
      </c>
      <c r="D1388" s="2" t="s">
        <v>10155</v>
      </c>
      <c r="E1388" s="2" t="s">
        <v>10156</v>
      </c>
      <c r="F1388" s="2" t="s">
        <v>10157</v>
      </c>
      <c r="G1388" s="2" t="s">
        <v>799</v>
      </c>
      <c r="H1388" s="17">
        <v>25</v>
      </c>
      <c r="I1388" s="31">
        <f t="shared" si="138"/>
        <v>25000</v>
      </c>
      <c r="J1388" s="31">
        <f t="shared" si="139"/>
        <v>1750.0000000000002</v>
      </c>
      <c r="K1388" s="44">
        <f t="shared" si="140"/>
        <v>4.794520547945206</v>
      </c>
      <c r="L1388" s="3">
        <f t="shared" si="141"/>
        <v>354.79452054794524</v>
      </c>
      <c r="M1388" s="3">
        <f t="shared" si="142"/>
        <v>21.287671232876715</v>
      </c>
      <c r="N1388" s="67">
        <f t="shared" si="143"/>
        <v>333.50684931506851</v>
      </c>
      <c r="O1388" s="3"/>
      <c r="P1388" s="70" t="s">
        <v>18630</v>
      </c>
      <c r="Q1388" s="2" t="s">
        <v>3441</v>
      </c>
      <c r="R1388" s="2" t="s">
        <v>10158</v>
      </c>
      <c r="T1388" t="s">
        <v>18666</v>
      </c>
      <c r="U1388" t="s">
        <v>18652</v>
      </c>
      <c r="V1388" s="104">
        <v>45857</v>
      </c>
      <c r="X1388" s="97"/>
      <c r="Y1388" s="75">
        <v>333.51</v>
      </c>
    </row>
    <row r="1389" spans="1:25" x14ac:dyDescent="0.25">
      <c r="A1389" s="76">
        <v>1421</v>
      </c>
      <c r="B1389" s="2" t="s">
        <v>16312</v>
      </c>
      <c r="C1389" s="2" t="s">
        <v>16313</v>
      </c>
      <c r="D1389" s="2" t="s">
        <v>16314</v>
      </c>
      <c r="E1389" s="2" t="s">
        <v>16296</v>
      </c>
      <c r="F1389" s="2" t="s">
        <v>16315</v>
      </c>
      <c r="G1389" s="2" t="s">
        <v>362</v>
      </c>
      <c r="H1389" s="17">
        <v>25</v>
      </c>
      <c r="I1389" s="31">
        <f t="shared" si="138"/>
        <v>25000</v>
      </c>
      <c r="J1389" s="31">
        <f t="shared" si="139"/>
        <v>1750.0000000000002</v>
      </c>
      <c r="K1389" s="44">
        <f t="shared" si="140"/>
        <v>4.794520547945206</v>
      </c>
      <c r="L1389" s="3">
        <f t="shared" si="141"/>
        <v>354.79452054794524</v>
      </c>
      <c r="M1389" s="3">
        <f t="shared" si="142"/>
        <v>21.287671232876715</v>
      </c>
      <c r="N1389" s="67">
        <f t="shared" si="143"/>
        <v>333.50684931506851</v>
      </c>
      <c r="O1389" s="3"/>
      <c r="P1389" s="70" t="s">
        <v>18630</v>
      </c>
      <c r="Q1389" s="2" t="s">
        <v>3441</v>
      </c>
      <c r="R1389" s="2" t="s">
        <v>16316</v>
      </c>
      <c r="T1389" t="s">
        <v>18666</v>
      </c>
      <c r="U1389" t="s">
        <v>18652</v>
      </c>
      <c r="V1389" s="104">
        <v>45857</v>
      </c>
      <c r="X1389" s="97"/>
      <c r="Y1389" s="75">
        <v>333.51</v>
      </c>
    </row>
    <row r="1390" spans="1:25" x14ac:dyDescent="0.25">
      <c r="A1390" s="76">
        <v>1422</v>
      </c>
      <c r="B1390" s="2" t="s">
        <v>16327</v>
      </c>
      <c r="C1390" s="2" t="s">
        <v>16328</v>
      </c>
      <c r="D1390" s="2" t="s">
        <v>16314</v>
      </c>
      <c r="E1390" s="2" t="s">
        <v>16296</v>
      </c>
      <c r="F1390" s="2" t="s">
        <v>16329</v>
      </c>
      <c r="G1390" s="2" t="s">
        <v>362</v>
      </c>
      <c r="H1390" s="17">
        <v>25</v>
      </c>
      <c r="I1390" s="31">
        <f t="shared" si="138"/>
        <v>25000</v>
      </c>
      <c r="J1390" s="31">
        <f t="shared" si="139"/>
        <v>1750.0000000000002</v>
      </c>
      <c r="K1390" s="44">
        <f t="shared" si="140"/>
        <v>4.794520547945206</v>
      </c>
      <c r="L1390" s="3">
        <f t="shared" si="141"/>
        <v>354.79452054794524</v>
      </c>
      <c r="M1390" s="3">
        <f t="shared" si="142"/>
        <v>21.287671232876715</v>
      </c>
      <c r="N1390" s="67">
        <f t="shared" si="143"/>
        <v>333.50684931506851</v>
      </c>
      <c r="O1390" s="3"/>
      <c r="P1390" s="70" t="s">
        <v>18630</v>
      </c>
      <c r="Q1390" s="2" t="s">
        <v>3441</v>
      </c>
      <c r="R1390" s="2" t="s">
        <v>16330</v>
      </c>
      <c r="T1390" t="s">
        <v>18666</v>
      </c>
      <c r="U1390" t="s">
        <v>18652</v>
      </c>
      <c r="V1390" s="104">
        <v>45857</v>
      </c>
      <c r="X1390" s="97"/>
      <c r="Y1390" s="75">
        <v>333.51</v>
      </c>
    </row>
    <row r="1391" spans="1:25" x14ac:dyDescent="0.25">
      <c r="A1391" s="76">
        <v>1423</v>
      </c>
      <c r="B1391" s="2" t="s">
        <v>3437</v>
      </c>
      <c r="C1391" s="2" t="s">
        <v>3438</v>
      </c>
      <c r="D1391" s="2" t="s">
        <v>3439</v>
      </c>
      <c r="E1391" s="2" t="s">
        <v>245</v>
      </c>
      <c r="F1391" s="2" t="s">
        <v>3440</v>
      </c>
      <c r="G1391" s="2" t="s">
        <v>618</v>
      </c>
      <c r="H1391" s="17">
        <v>25</v>
      </c>
      <c r="I1391" s="31">
        <f t="shared" si="138"/>
        <v>25000</v>
      </c>
      <c r="J1391" s="31">
        <f t="shared" si="139"/>
        <v>1750.0000000000002</v>
      </c>
      <c r="K1391" s="44">
        <f t="shared" si="140"/>
        <v>4.794520547945206</v>
      </c>
      <c r="L1391" s="3">
        <f t="shared" si="141"/>
        <v>354.79452054794524</v>
      </c>
      <c r="M1391" s="3">
        <f t="shared" si="142"/>
        <v>21.287671232876715</v>
      </c>
      <c r="N1391" s="67">
        <f t="shared" si="143"/>
        <v>333.50684931506851</v>
      </c>
      <c r="O1391" s="3"/>
      <c r="P1391" s="70" t="s">
        <v>18630</v>
      </c>
      <c r="Q1391" s="2" t="s">
        <v>3441</v>
      </c>
      <c r="R1391" s="2" t="s">
        <v>3442</v>
      </c>
      <c r="T1391" t="s">
        <v>18666</v>
      </c>
      <c r="U1391" t="s">
        <v>18652</v>
      </c>
      <c r="V1391" s="104">
        <v>45857</v>
      </c>
      <c r="X1391" s="97"/>
      <c r="Y1391" s="75">
        <v>333.51</v>
      </c>
    </row>
    <row r="1392" spans="1:25" x14ac:dyDescent="0.25">
      <c r="A1392" s="76">
        <v>1424</v>
      </c>
      <c r="B1392" s="2" t="s">
        <v>6900</v>
      </c>
      <c r="C1392" s="2" t="s">
        <v>6901</v>
      </c>
      <c r="D1392" s="2" t="s">
        <v>6902</v>
      </c>
      <c r="E1392" s="2" t="s">
        <v>6903</v>
      </c>
      <c r="F1392" s="2" t="s">
        <v>6904</v>
      </c>
      <c r="G1392" s="2" t="s">
        <v>31</v>
      </c>
      <c r="H1392" s="17">
        <v>200</v>
      </c>
      <c r="I1392" s="31">
        <f t="shared" si="138"/>
        <v>200000</v>
      </c>
      <c r="J1392" s="31">
        <f t="shared" si="139"/>
        <v>14000.000000000002</v>
      </c>
      <c r="K1392" s="44">
        <f t="shared" si="140"/>
        <v>38.356164383561648</v>
      </c>
      <c r="L1392" s="3">
        <f t="shared" si="141"/>
        <v>2838.3561643835619</v>
      </c>
      <c r="M1392" s="3">
        <f t="shared" si="142"/>
        <v>170.30136986301372</v>
      </c>
      <c r="N1392" s="67">
        <f t="shared" si="143"/>
        <v>2668.0547945205481</v>
      </c>
      <c r="O1392" s="3"/>
      <c r="P1392" s="70" t="s">
        <v>18630</v>
      </c>
      <c r="Q1392" s="2" t="s">
        <v>3441</v>
      </c>
      <c r="R1392" s="2" t="s">
        <v>6905</v>
      </c>
      <c r="T1392" t="s">
        <v>18666</v>
      </c>
      <c r="U1392" t="s">
        <v>18652</v>
      </c>
      <c r="V1392" s="104">
        <v>45857</v>
      </c>
      <c r="X1392" s="97"/>
      <c r="Y1392" s="75">
        <v>2668.0600000000004</v>
      </c>
    </row>
    <row r="1393" spans="1:25" x14ac:dyDescent="0.25">
      <c r="A1393" s="76">
        <v>1425</v>
      </c>
      <c r="B1393" s="2" t="s">
        <v>13593</v>
      </c>
      <c r="C1393" s="2" t="s">
        <v>13594</v>
      </c>
      <c r="D1393" s="2" t="s">
        <v>13595</v>
      </c>
      <c r="E1393" s="2" t="s">
        <v>13596</v>
      </c>
      <c r="F1393" s="2" t="s">
        <v>13597</v>
      </c>
      <c r="G1393" s="2" t="s">
        <v>151</v>
      </c>
      <c r="H1393" s="17">
        <v>25</v>
      </c>
      <c r="I1393" s="31">
        <f t="shared" si="138"/>
        <v>25000</v>
      </c>
      <c r="J1393" s="31">
        <f t="shared" si="139"/>
        <v>1750.0000000000002</v>
      </c>
      <c r="K1393" s="44">
        <f t="shared" si="140"/>
        <v>4.794520547945206</v>
      </c>
      <c r="L1393" s="3">
        <f t="shared" si="141"/>
        <v>354.79452054794524</v>
      </c>
      <c r="M1393" s="3">
        <f t="shared" si="142"/>
        <v>21.287671232876715</v>
      </c>
      <c r="N1393" s="67">
        <f t="shared" si="143"/>
        <v>333.50684931506851</v>
      </c>
      <c r="O1393" s="3"/>
      <c r="P1393" s="70" t="s">
        <v>18630</v>
      </c>
      <c r="Q1393" s="2" t="s">
        <v>3441</v>
      </c>
      <c r="R1393" s="2" t="s">
        <v>13598</v>
      </c>
      <c r="T1393" t="s">
        <v>18666</v>
      </c>
      <c r="U1393" t="s">
        <v>18652</v>
      </c>
      <c r="V1393" s="104">
        <v>45857</v>
      </c>
      <c r="X1393" s="97"/>
      <c r="Y1393" s="75">
        <v>333.51</v>
      </c>
    </row>
    <row r="1394" spans="1:25" x14ac:dyDescent="0.25">
      <c r="A1394" s="76">
        <v>1426</v>
      </c>
      <c r="B1394" s="2" t="s">
        <v>16331</v>
      </c>
      <c r="C1394" s="2" t="s">
        <v>16332</v>
      </c>
      <c r="D1394" s="2" t="s">
        <v>16333</v>
      </c>
      <c r="E1394" s="2" t="s">
        <v>16334</v>
      </c>
      <c r="F1394" s="2" t="s">
        <v>16335</v>
      </c>
      <c r="G1394" s="2" t="s">
        <v>362</v>
      </c>
      <c r="H1394" s="17">
        <v>25</v>
      </c>
      <c r="I1394" s="31">
        <f t="shared" si="138"/>
        <v>25000</v>
      </c>
      <c r="J1394" s="31">
        <f t="shared" si="139"/>
        <v>1750.0000000000002</v>
      </c>
      <c r="K1394" s="44">
        <f t="shared" si="140"/>
        <v>4.794520547945206</v>
      </c>
      <c r="L1394" s="3">
        <f t="shared" si="141"/>
        <v>354.79452054794524</v>
      </c>
      <c r="M1394" s="3">
        <f t="shared" si="142"/>
        <v>21.287671232876715</v>
      </c>
      <c r="N1394" s="67">
        <f t="shared" si="143"/>
        <v>333.50684931506851</v>
      </c>
      <c r="O1394" s="3"/>
      <c r="P1394" s="70" t="s">
        <v>18630</v>
      </c>
      <c r="Q1394" s="2" t="s">
        <v>3441</v>
      </c>
      <c r="R1394" s="2" t="s">
        <v>16336</v>
      </c>
      <c r="T1394" t="s">
        <v>18666</v>
      </c>
      <c r="U1394" t="s">
        <v>18652</v>
      </c>
      <c r="V1394" s="104">
        <v>45857</v>
      </c>
      <c r="X1394" s="97"/>
      <c r="Y1394" s="75">
        <v>333.51</v>
      </c>
    </row>
    <row r="1395" spans="1:25" x14ac:dyDescent="0.25">
      <c r="A1395" s="76">
        <v>1427</v>
      </c>
      <c r="B1395" s="2" t="s">
        <v>16413</v>
      </c>
      <c r="C1395" s="2" t="s">
        <v>16414</v>
      </c>
      <c r="D1395" s="2" t="s">
        <v>16296</v>
      </c>
      <c r="E1395" s="2" t="s">
        <v>16415</v>
      </c>
      <c r="F1395" s="2" t="s">
        <v>16416</v>
      </c>
      <c r="G1395" s="2" t="s">
        <v>362</v>
      </c>
      <c r="H1395" s="17">
        <v>25</v>
      </c>
      <c r="I1395" s="31">
        <f t="shared" si="138"/>
        <v>25000</v>
      </c>
      <c r="J1395" s="31">
        <f t="shared" si="139"/>
        <v>1750.0000000000002</v>
      </c>
      <c r="K1395" s="44">
        <f t="shared" si="140"/>
        <v>4.794520547945206</v>
      </c>
      <c r="L1395" s="3">
        <f t="shared" si="141"/>
        <v>354.79452054794524</v>
      </c>
      <c r="M1395" s="3">
        <f t="shared" si="142"/>
        <v>21.287671232876715</v>
      </c>
      <c r="N1395" s="67">
        <f t="shared" si="143"/>
        <v>333.50684931506851</v>
      </c>
      <c r="O1395" s="3"/>
      <c r="P1395" s="70" t="s">
        <v>18630</v>
      </c>
      <c r="Q1395" s="2" t="s">
        <v>3441</v>
      </c>
      <c r="R1395" s="2" t="s">
        <v>16417</v>
      </c>
      <c r="T1395" t="s">
        <v>18666</v>
      </c>
      <c r="U1395" t="s">
        <v>18652</v>
      </c>
      <c r="V1395" s="104">
        <v>45857</v>
      </c>
      <c r="X1395" s="97"/>
      <c r="Y1395" s="75">
        <v>333.51</v>
      </c>
    </row>
    <row r="1396" spans="1:25" x14ac:dyDescent="0.25">
      <c r="A1396" s="76">
        <v>1428</v>
      </c>
      <c r="B1396" s="2" t="s">
        <v>16294</v>
      </c>
      <c r="C1396" s="2" t="s">
        <v>16295</v>
      </c>
      <c r="D1396" s="2" t="s">
        <v>16296</v>
      </c>
      <c r="E1396" s="2" t="s">
        <v>16297</v>
      </c>
      <c r="F1396" s="2" t="s">
        <v>16298</v>
      </c>
      <c r="G1396" s="2" t="s">
        <v>362</v>
      </c>
      <c r="H1396" s="17">
        <v>25</v>
      </c>
      <c r="I1396" s="31">
        <f t="shared" si="138"/>
        <v>25000</v>
      </c>
      <c r="J1396" s="31">
        <f t="shared" si="139"/>
        <v>1750.0000000000002</v>
      </c>
      <c r="K1396" s="44">
        <f t="shared" si="140"/>
        <v>4.794520547945206</v>
      </c>
      <c r="L1396" s="3">
        <f t="shared" si="141"/>
        <v>354.79452054794524</v>
      </c>
      <c r="M1396" s="3">
        <f t="shared" si="142"/>
        <v>21.287671232876715</v>
      </c>
      <c r="N1396" s="67">
        <f t="shared" si="143"/>
        <v>333.50684931506851</v>
      </c>
      <c r="O1396" s="3"/>
      <c r="P1396" s="70" t="s">
        <v>18630</v>
      </c>
      <c r="Q1396" s="2" t="s">
        <v>3441</v>
      </c>
      <c r="R1396" s="2" t="s">
        <v>16299</v>
      </c>
      <c r="T1396" t="s">
        <v>18666</v>
      </c>
      <c r="U1396" t="s">
        <v>18652</v>
      </c>
      <c r="V1396" s="104">
        <v>45857</v>
      </c>
      <c r="X1396" s="97"/>
      <c r="Y1396" s="75">
        <v>333.51</v>
      </c>
    </row>
    <row r="1397" spans="1:25" x14ac:dyDescent="0.25">
      <c r="A1397" s="76">
        <v>1429</v>
      </c>
      <c r="B1397" s="2" t="s">
        <v>14835</v>
      </c>
      <c r="C1397" s="2" t="s">
        <v>14836</v>
      </c>
      <c r="D1397" s="2" t="s">
        <v>7093</v>
      </c>
      <c r="E1397" s="2" t="s">
        <v>14837</v>
      </c>
      <c r="F1397" s="2" t="s">
        <v>14838</v>
      </c>
      <c r="G1397" s="2" t="s">
        <v>362</v>
      </c>
      <c r="H1397" s="17">
        <v>25</v>
      </c>
      <c r="I1397" s="31">
        <f t="shared" si="138"/>
        <v>25000</v>
      </c>
      <c r="J1397" s="31">
        <f t="shared" si="139"/>
        <v>1750.0000000000002</v>
      </c>
      <c r="K1397" s="44">
        <f t="shared" si="140"/>
        <v>4.794520547945206</v>
      </c>
      <c r="L1397" s="3">
        <f t="shared" si="141"/>
        <v>354.79452054794524</v>
      </c>
      <c r="M1397" s="3">
        <f t="shared" si="142"/>
        <v>21.287671232876715</v>
      </c>
      <c r="N1397" s="67">
        <f t="shared" si="143"/>
        <v>333.50684931506851</v>
      </c>
      <c r="O1397" s="3"/>
      <c r="P1397" s="70" t="s">
        <v>18630</v>
      </c>
      <c r="Q1397" s="2" t="s">
        <v>3441</v>
      </c>
      <c r="R1397" s="2" t="s">
        <v>14839</v>
      </c>
      <c r="T1397" t="s">
        <v>18666</v>
      </c>
      <c r="U1397" t="s">
        <v>18652</v>
      </c>
      <c r="V1397" s="104">
        <v>45857</v>
      </c>
      <c r="X1397" s="97"/>
      <c r="Y1397" s="75">
        <v>333.51</v>
      </c>
    </row>
    <row r="1398" spans="1:25" x14ac:dyDescent="0.25">
      <c r="A1398" s="76">
        <v>1430</v>
      </c>
      <c r="B1398" s="2" t="s">
        <v>2985</v>
      </c>
      <c r="C1398" s="2" t="s">
        <v>2986</v>
      </c>
      <c r="D1398" s="2" t="s">
        <v>2987</v>
      </c>
      <c r="E1398" s="2" t="s">
        <v>2988</v>
      </c>
      <c r="F1398" s="2" t="s">
        <v>2989</v>
      </c>
      <c r="G1398" s="2" t="s">
        <v>101</v>
      </c>
      <c r="H1398" s="17">
        <v>25</v>
      </c>
      <c r="I1398" s="31">
        <f t="shared" si="138"/>
        <v>25000</v>
      </c>
      <c r="J1398" s="31">
        <f t="shared" si="139"/>
        <v>1750.0000000000002</v>
      </c>
      <c r="K1398" s="44">
        <f t="shared" si="140"/>
        <v>4.794520547945206</v>
      </c>
      <c r="L1398" s="3">
        <f t="shared" si="141"/>
        <v>354.79452054794524</v>
      </c>
      <c r="M1398" s="3">
        <f t="shared" si="142"/>
        <v>21.287671232876715</v>
      </c>
      <c r="N1398" s="67">
        <f t="shared" si="143"/>
        <v>333.50684931506851</v>
      </c>
      <c r="O1398" s="3"/>
      <c r="P1398" s="70" t="s">
        <v>18631</v>
      </c>
      <c r="Q1398" s="2" t="s">
        <v>329</v>
      </c>
      <c r="R1398" s="2" t="s">
        <v>2990</v>
      </c>
      <c r="T1398" t="s">
        <v>18666</v>
      </c>
      <c r="U1398" t="s">
        <v>18652</v>
      </c>
      <c r="V1398" s="104">
        <v>45857</v>
      </c>
      <c r="X1398" s="97"/>
      <c r="Y1398" s="75">
        <v>333.51</v>
      </c>
    </row>
    <row r="1399" spans="1:25" x14ac:dyDescent="0.25">
      <c r="A1399" s="76">
        <v>1431</v>
      </c>
      <c r="B1399" s="2" t="s">
        <v>7543</v>
      </c>
      <c r="C1399" s="2" t="s">
        <v>7544</v>
      </c>
      <c r="D1399" s="2" t="s">
        <v>7545</v>
      </c>
      <c r="E1399" s="2" t="s">
        <v>7546</v>
      </c>
      <c r="F1399" s="2" t="s">
        <v>7547</v>
      </c>
      <c r="G1399" s="2" t="s">
        <v>31</v>
      </c>
      <c r="H1399" s="17">
        <v>50</v>
      </c>
      <c r="I1399" s="31">
        <f t="shared" si="138"/>
        <v>50000</v>
      </c>
      <c r="J1399" s="31">
        <f t="shared" si="139"/>
        <v>3500.0000000000005</v>
      </c>
      <c r="K1399" s="44">
        <f t="shared" si="140"/>
        <v>9.589041095890412</v>
      </c>
      <c r="L1399" s="3">
        <f t="shared" si="141"/>
        <v>709.58904109589048</v>
      </c>
      <c r="M1399" s="3">
        <f t="shared" si="142"/>
        <v>42.57534246575343</v>
      </c>
      <c r="N1399" s="67">
        <f t="shared" si="143"/>
        <v>667.01369863013701</v>
      </c>
      <c r="O1399" s="3"/>
      <c r="P1399" s="70" t="s">
        <v>18631</v>
      </c>
      <c r="Q1399" s="2" t="s">
        <v>329</v>
      </c>
      <c r="R1399" s="2" t="s">
        <v>7548</v>
      </c>
      <c r="T1399" t="s">
        <v>18666</v>
      </c>
      <c r="U1399" t="s">
        <v>18652</v>
      </c>
      <c r="V1399" s="104">
        <v>45857</v>
      </c>
      <c r="X1399" s="97"/>
      <c r="Y1399" s="75">
        <v>667.02</v>
      </c>
    </row>
    <row r="1400" spans="1:25" x14ac:dyDescent="0.25">
      <c r="A1400" s="76">
        <v>1432</v>
      </c>
      <c r="B1400" s="2" t="s">
        <v>17890</v>
      </c>
      <c r="C1400" s="2" t="s">
        <v>17891</v>
      </c>
      <c r="D1400" s="2" t="s">
        <v>17892</v>
      </c>
      <c r="E1400" s="2" t="s">
        <v>17893</v>
      </c>
      <c r="F1400" s="2" t="s">
        <v>17894</v>
      </c>
      <c r="G1400" s="2" t="s">
        <v>31</v>
      </c>
      <c r="H1400" s="17">
        <v>50</v>
      </c>
      <c r="I1400" s="31">
        <f t="shared" si="138"/>
        <v>50000</v>
      </c>
      <c r="J1400" s="31">
        <f t="shared" si="139"/>
        <v>3500.0000000000005</v>
      </c>
      <c r="K1400" s="44">
        <f t="shared" si="140"/>
        <v>9.589041095890412</v>
      </c>
      <c r="L1400" s="3">
        <f t="shared" si="141"/>
        <v>709.58904109589048</v>
      </c>
      <c r="M1400" s="3">
        <f t="shared" si="142"/>
        <v>42.57534246575343</v>
      </c>
      <c r="N1400" s="67">
        <f t="shared" si="143"/>
        <v>667.01369863013701</v>
      </c>
      <c r="O1400" s="3"/>
      <c r="P1400" s="70" t="s">
        <v>18631</v>
      </c>
      <c r="Q1400" s="2" t="s">
        <v>329</v>
      </c>
      <c r="R1400" s="2" t="s">
        <v>17895</v>
      </c>
      <c r="T1400" t="s">
        <v>18666</v>
      </c>
      <c r="U1400" t="s">
        <v>18652</v>
      </c>
      <c r="V1400" s="104">
        <v>45857</v>
      </c>
      <c r="X1400" s="97"/>
      <c r="Y1400" s="75">
        <v>667.02</v>
      </c>
    </row>
    <row r="1401" spans="1:25" x14ac:dyDescent="0.25">
      <c r="A1401" s="76">
        <v>1433</v>
      </c>
      <c r="B1401" s="2" t="s">
        <v>8719</v>
      </c>
      <c r="C1401" s="2" t="s">
        <v>8720</v>
      </c>
      <c r="D1401" s="2" t="s">
        <v>8721</v>
      </c>
      <c r="E1401" s="2" t="s">
        <v>8722</v>
      </c>
      <c r="F1401" s="2" t="s">
        <v>8723</v>
      </c>
      <c r="G1401" s="2" t="s">
        <v>39</v>
      </c>
      <c r="H1401" s="17">
        <v>25</v>
      </c>
      <c r="I1401" s="31">
        <f t="shared" si="138"/>
        <v>25000</v>
      </c>
      <c r="J1401" s="31">
        <f t="shared" si="139"/>
        <v>1750.0000000000002</v>
      </c>
      <c r="K1401" s="44">
        <f t="shared" si="140"/>
        <v>4.794520547945206</v>
      </c>
      <c r="L1401" s="3">
        <f t="shared" si="141"/>
        <v>354.79452054794524</v>
      </c>
      <c r="M1401" s="3">
        <f t="shared" si="142"/>
        <v>21.287671232876715</v>
      </c>
      <c r="N1401" s="67">
        <f t="shared" si="143"/>
        <v>333.50684931506851</v>
      </c>
      <c r="O1401" s="3"/>
      <c r="P1401" s="70" t="s">
        <v>18631</v>
      </c>
      <c r="Q1401" s="2" t="s">
        <v>329</v>
      </c>
      <c r="R1401" s="2" t="s">
        <v>8724</v>
      </c>
      <c r="T1401" t="s">
        <v>18666</v>
      </c>
      <c r="U1401" t="s">
        <v>18652</v>
      </c>
      <c r="V1401" s="104">
        <v>45857</v>
      </c>
      <c r="X1401" s="97"/>
      <c r="Y1401" s="75">
        <v>333.51</v>
      </c>
    </row>
    <row r="1402" spans="1:25" x14ac:dyDescent="0.25">
      <c r="A1402" s="76">
        <v>1434</v>
      </c>
      <c r="B1402" s="2" t="s">
        <v>8673</v>
      </c>
      <c r="C1402" s="2" t="s">
        <v>8674</v>
      </c>
      <c r="D1402" s="2" t="s">
        <v>8675</v>
      </c>
      <c r="E1402" s="2" t="s">
        <v>4705</v>
      </c>
      <c r="F1402" s="2" t="s">
        <v>8676</v>
      </c>
      <c r="G1402" s="2" t="s">
        <v>166</v>
      </c>
      <c r="H1402" s="17">
        <v>100</v>
      </c>
      <c r="I1402" s="31">
        <f t="shared" si="138"/>
        <v>100000</v>
      </c>
      <c r="J1402" s="31">
        <f t="shared" si="139"/>
        <v>7000.0000000000009</v>
      </c>
      <c r="K1402" s="44">
        <f t="shared" si="140"/>
        <v>19.178082191780824</v>
      </c>
      <c r="L1402" s="3">
        <f t="shared" si="141"/>
        <v>1419.178082191781</v>
      </c>
      <c r="M1402" s="3">
        <f t="shared" si="142"/>
        <v>85.150684931506859</v>
      </c>
      <c r="N1402" s="67">
        <f t="shared" si="143"/>
        <v>1334.027397260274</v>
      </c>
      <c r="O1402" s="3"/>
      <c r="P1402" s="70" t="s">
        <v>18631</v>
      </c>
      <c r="Q1402" s="2" t="s">
        <v>329</v>
      </c>
      <c r="R1402" s="2" t="s">
        <v>8677</v>
      </c>
      <c r="T1402" t="s">
        <v>18666</v>
      </c>
      <c r="U1402" t="s">
        <v>18652</v>
      </c>
      <c r="V1402" s="104">
        <v>45857</v>
      </c>
      <c r="X1402" s="97"/>
      <c r="Y1402" s="75">
        <v>1334.03</v>
      </c>
    </row>
    <row r="1403" spans="1:25" x14ac:dyDescent="0.25">
      <c r="A1403" s="76">
        <v>1435</v>
      </c>
      <c r="B1403" s="2" t="s">
        <v>6597</v>
      </c>
      <c r="C1403" s="2" t="s">
        <v>6598</v>
      </c>
      <c r="D1403" s="2" t="s">
        <v>4751</v>
      </c>
      <c r="E1403" s="2" t="s">
        <v>6599</v>
      </c>
      <c r="F1403" s="2" t="s">
        <v>6600</v>
      </c>
      <c r="G1403" s="2" t="s">
        <v>743</v>
      </c>
      <c r="H1403" s="17">
        <v>100</v>
      </c>
      <c r="I1403" s="31">
        <f t="shared" si="138"/>
        <v>100000</v>
      </c>
      <c r="J1403" s="31">
        <f t="shared" si="139"/>
        <v>7000.0000000000009</v>
      </c>
      <c r="K1403" s="44">
        <f t="shared" si="140"/>
        <v>19.178082191780824</v>
      </c>
      <c r="L1403" s="3">
        <f t="shared" si="141"/>
        <v>1419.178082191781</v>
      </c>
      <c r="M1403" s="3">
        <f t="shared" si="142"/>
        <v>85.150684931506859</v>
      </c>
      <c r="N1403" s="67">
        <f t="shared" si="143"/>
        <v>1334.027397260274</v>
      </c>
      <c r="O1403" s="3"/>
      <c r="P1403" s="70" t="s">
        <v>18631</v>
      </c>
      <c r="Q1403" s="2" t="s">
        <v>329</v>
      </c>
      <c r="R1403" s="2" t="s">
        <v>6601</v>
      </c>
      <c r="T1403" t="s">
        <v>18666</v>
      </c>
      <c r="U1403" t="s">
        <v>18652</v>
      </c>
      <c r="V1403" s="104">
        <v>45857</v>
      </c>
      <c r="X1403" s="97"/>
      <c r="Y1403" s="75">
        <v>1334.03</v>
      </c>
    </row>
    <row r="1404" spans="1:25" x14ac:dyDescent="0.25">
      <c r="A1404" s="76">
        <v>1436</v>
      </c>
      <c r="B1404" s="2" t="s">
        <v>10042</v>
      </c>
      <c r="C1404" s="2" t="s">
        <v>10043</v>
      </c>
      <c r="D1404" s="2" t="s">
        <v>10044</v>
      </c>
      <c r="E1404" s="2" t="s">
        <v>10045</v>
      </c>
      <c r="F1404" s="2" t="s">
        <v>10046</v>
      </c>
      <c r="G1404" s="2" t="s">
        <v>186</v>
      </c>
      <c r="H1404" s="17">
        <v>30</v>
      </c>
      <c r="I1404" s="31">
        <f t="shared" si="138"/>
        <v>30000</v>
      </c>
      <c r="J1404" s="31">
        <f t="shared" si="139"/>
        <v>2100</v>
      </c>
      <c r="K1404" s="44">
        <f t="shared" si="140"/>
        <v>5.7534246575342465</v>
      </c>
      <c r="L1404" s="3">
        <f t="shared" si="141"/>
        <v>425.75342465753425</v>
      </c>
      <c r="M1404" s="3">
        <f t="shared" si="142"/>
        <v>25.545205479452054</v>
      </c>
      <c r="N1404" s="67">
        <f t="shared" si="143"/>
        <v>400.20821917808217</v>
      </c>
      <c r="O1404" s="3"/>
      <c r="P1404" s="70" t="s">
        <v>18631</v>
      </c>
      <c r="Q1404" s="2" t="s">
        <v>329</v>
      </c>
      <c r="R1404" s="2" t="s">
        <v>10047</v>
      </c>
      <c r="T1404" t="s">
        <v>18666</v>
      </c>
      <c r="U1404" t="s">
        <v>18652</v>
      </c>
      <c r="V1404" s="104">
        <v>45857</v>
      </c>
      <c r="X1404" s="97"/>
      <c r="Y1404" s="75">
        <v>400.21</v>
      </c>
    </row>
    <row r="1405" spans="1:25" x14ac:dyDescent="0.25">
      <c r="A1405" s="76">
        <v>1437</v>
      </c>
      <c r="B1405" s="2" t="s">
        <v>6419</v>
      </c>
      <c r="C1405" s="2" t="s">
        <v>6420</v>
      </c>
      <c r="D1405" s="2" t="s">
        <v>6421</v>
      </c>
      <c r="E1405" s="2" t="s">
        <v>6422</v>
      </c>
      <c r="F1405" s="2" t="s">
        <v>6423</v>
      </c>
      <c r="G1405" s="2" t="s">
        <v>328</v>
      </c>
      <c r="H1405" s="17">
        <v>25</v>
      </c>
      <c r="I1405" s="31">
        <f t="shared" si="138"/>
        <v>25000</v>
      </c>
      <c r="J1405" s="31">
        <f t="shared" si="139"/>
        <v>1750.0000000000002</v>
      </c>
      <c r="K1405" s="44">
        <f t="shared" si="140"/>
        <v>4.794520547945206</v>
      </c>
      <c r="L1405" s="3">
        <f t="shared" si="141"/>
        <v>354.79452054794524</v>
      </c>
      <c r="M1405" s="3">
        <f t="shared" si="142"/>
        <v>21.287671232876715</v>
      </c>
      <c r="N1405" s="67">
        <f t="shared" si="143"/>
        <v>333.50684931506851</v>
      </c>
      <c r="O1405" s="3"/>
      <c r="P1405" s="70" t="s">
        <v>18631</v>
      </c>
      <c r="Q1405" s="2" t="s">
        <v>329</v>
      </c>
      <c r="R1405" s="2" t="s">
        <v>6424</v>
      </c>
      <c r="T1405" t="s">
        <v>18666</v>
      </c>
      <c r="U1405" t="s">
        <v>18652</v>
      </c>
      <c r="V1405" s="104">
        <v>45857</v>
      </c>
      <c r="X1405" s="97"/>
      <c r="Y1405" s="75">
        <v>333.51</v>
      </c>
    </row>
    <row r="1406" spans="1:25" x14ac:dyDescent="0.25">
      <c r="A1406" s="76">
        <v>1438</v>
      </c>
      <c r="B1406" s="2" t="s">
        <v>11661</v>
      </c>
      <c r="C1406" s="2" t="s">
        <v>11662</v>
      </c>
      <c r="D1406" s="2" t="s">
        <v>11663</v>
      </c>
      <c r="E1406" s="2" t="s">
        <v>11664</v>
      </c>
      <c r="F1406" s="2" t="s">
        <v>11665</v>
      </c>
      <c r="G1406" s="2" t="s">
        <v>743</v>
      </c>
      <c r="H1406" s="17">
        <v>25</v>
      </c>
      <c r="I1406" s="31">
        <f t="shared" si="138"/>
        <v>25000</v>
      </c>
      <c r="J1406" s="31">
        <f t="shared" si="139"/>
        <v>1750.0000000000002</v>
      </c>
      <c r="K1406" s="44">
        <f t="shared" si="140"/>
        <v>4.794520547945206</v>
      </c>
      <c r="L1406" s="3">
        <f t="shared" si="141"/>
        <v>354.79452054794524</v>
      </c>
      <c r="M1406" s="3">
        <f t="shared" si="142"/>
        <v>21.287671232876715</v>
      </c>
      <c r="N1406" s="67">
        <f t="shared" si="143"/>
        <v>333.50684931506851</v>
      </c>
      <c r="O1406" s="3"/>
      <c r="P1406" s="70" t="s">
        <v>18631</v>
      </c>
      <c r="Q1406" s="2" t="s">
        <v>329</v>
      </c>
      <c r="R1406" s="2" t="s">
        <v>11666</v>
      </c>
      <c r="T1406" t="s">
        <v>18666</v>
      </c>
      <c r="U1406" t="s">
        <v>18652</v>
      </c>
      <c r="V1406" s="104">
        <v>45857</v>
      </c>
      <c r="X1406" s="97"/>
      <c r="Y1406" s="75">
        <v>333.51</v>
      </c>
    </row>
    <row r="1407" spans="1:25" x14ac:dyDescent="0.25">
      <c r="A1407" s="76">
        <v>1439</v>
      </c>
      <c r="B1407" s="2" t="s">
        <v>14975</v>
      </c>
      <c r="C1407" s="2" t="s">
        <v>14976</v>
      </c>
      <c r="D1407" s="2" t="s">
        <v>14977</v>
      </c>
      <c r="E1407" s="2" t="s">
        <v>14978</v>
      </c>
      <c r="F1407" s="2" t="s">
        <v>14979</v>
      </c>
      <c r="G1407" s="2" t="s">
        <v>247</v>
      </c>
      <c r="H1407" s="17">
        <v>25</v>
      </c>
      <c r="I1407" s="31">
        <f t="shared" si="138"/>
        <v>25000</v>
      </c>
      <c r="J1407" s="31">
        <f t="shared" si="139"/>
        <v>1750.0000000000002</v>
      </c>
      <c r="K1407" s="44">
        <f t="shared" si="140"/>
        <v>4.794520547945206</v>
      </c>
      <c r="L1407" s="3">
        <f t="shared" si="141"/>
        <v>354.79452054794524</v>
      </c>
      <c r="M1407" s="3">
        <f t="shared" si="142"/>
        <v>21.287671232876715</v>
      </c>
      <c r="N1407" s="67">
        <f t="shared" si="143"/>
        <v>333.50684931506851</v>
      </c>
      <c r="O1407" s="3"/>
      <c r="P1407" s="70" t="s">
        <v>18631</v>
      </c>
      <c r="Q1407" s="2" t="s">
        <v>329</v>
      </c>
      <c r="R1407" s="2" t="s">
        <v>14980</v>
      </c>
      <c r="T1407" t="s">
        <v>18666</v>
      </c>
      <c r="U1407" t="s">
        <v>18652</v>
      </c>
      <c r="V1407" s="104">
        <v>45857</v>
      </c>
      <c r="X1407" s="97"/>
      <c r="Y1407" s="75">
        <v>333.51</v>
      </c>
    </row>
    <row r="1408" spans="1:25" x14ac:dyDescent="0.25">
      <c r="A1408" s="76">
        <v>1440</v>
      </c>
      <c r="B1408" s="2" t="s">
        <v>323</v>
      </c>
      <c r="C1408" s="2" t="s">
        <v>324</v>
      </c>
      <c r="D1408" s="2" t="s">
        <v>325</v>
      </c>
      <c r="E1408" s="2" t="s">
        <v>326</v>
      </c>
      <c r="F1408" s="2" t="s">
        <v>327</v>
      </c>
      <c r="G1408" s="2" t="s">
        <v>328</v>
      </c>
      <c r="H1408" s="17">
        <v>100</v>
      </c>
      <c r="I1408" s="31">
        <f t="shared" si="138"/>
        <v>100000</v>
      </c>
      <c r="J1408" s="31">
        <f t="shared" si="139"/>
        <v>7000.0000000000009</v>
      </c>
      <c r="K1408" s="44">
        <f t="shared" si="140"/>
        <v>19.178082191780824</v>
      </c>
      <c r="L1408" s="3">
        <f t="shared" si="141"/>
        <v>1419.178082191781</v>
      </c>
      <c r="M1408" s="3">
        <f t="shared" si="142"/>
        <v>85.150684931506859</v>
      </c>
      <c r="N1408" s="67">
        <f t="shared" si="143"/>
        <v>1334.027397260274</v>
      </c>
      <c r="O1408" s="3"/>
      <c r="P1408" s="70" t="s">
        <v>18631</v>
      </c>
      <c r="Q1408" s="2" t="s">
        <v>329</v>
      </c>
      <c r="R1408" s="2" t="s">
        <v>330</v>
      </c>
      <c r="T1408" t="s">
        <v>18666</v>
      </c>
      <c r="U1408" t="s">
        <v>18652</v>
      </c>
      <c r="V1408" s="104">
        <v>45857</v>
      </c>
      <c r="X1408" s="97"/>
      <c r="Y1408" s="75">
        <v>1334.03</v>
      </c>
    </row>
    <row r="1409" spans="1:25" x14ac:dyDescent="0.25">
      <c r="A1409" s="76">
        <v>1441</v>
      </c>
      <c r="B1409" s="2" t="s">
        <v>15479</v>
      </c>
      <c r="C1409" s="2" t="s">
        <v>15480</v>
      </c>
      <c r="D1409" s="2" t="s">
        <v>15481</v>
      </c>
      <c r="E1409" s="2" t="s">
        <v>15482</v>
      </c>
      <c r="F1409" s="2" t="s">
        <v>15483</v>
      </c>
      <c r="G1409" s="2" t="s">
        <v>381</v>
      </c>
      <c r="H1409" s="17">
        <v>100</v>
      </c>
      <c r="I1409" s="31">
        <f t="shared" si="138"/>
        <v>100000</v>
      </c>
      <c r="J1409" s="31">
        <f t="shared" si="139"/>
        <v>7000.0000000000009</v>
      </c>
      <c r="K1409" s="44">
        <f t="shared" si="140"/>
        <v>19.178082191780824</v>
      </c>
      <c r="L1409" s="3">
        <f t="shared" si="141"/>
        <v>1419.178082191781</v>
      </c>
      <c r="M1409" s="3">
        <f t="shared" si="142"/>
        <v>85.150684931506859</v>
      </c>
      <c r="N1409" s="67">
        <f t="shared" si="143"/>
        <v>1334.027397260274</v>
      </c>
      <c r="O1409" s="3"/>
      <c r="P1409" s="70" t="s">
        <v>18631</v>
      </c>
      <c r="Q1409" s="2" t="s">
        <v>329</v>
      </c>
      <c r="R1409" s="2" t="s">
        <v>15484</v>
      </c>
      <c r="T1409" t="s">
        <v>18666</v>
      </c>
      <c r="U1409" t="s">
        <v>18652</v>
      </c>
      <c r="V1409" s="104">
        <v>45857</v>
      </c>
      <c r="X1409" s="97"/>
      <c r="Y1409" s="75">
        <v>1334.03</v>
      </c>
    </row>
    <row r="1410" spans="1:25" x14ac:dyDescent="0.25">
      <c r="A1410" s="76">
        <v>1442</v>
      </c>
      <c r="B1410" s="2" t="s">
        <v>14613</v>
      </c>
      <c r="C1410" s="2" t="s">
        <v>14614</v>
      </c>
      <c r="D1410" s="2" t="s">
        <v>14615</v>
      </c>
      <c r="E1410" s="2" t="s">
        <v>14616</v>
      </c>
      <c r="F1410" s="2" t="s">
        <v>14617</v>
      </c>
      <c r="G1410" s="2" t="s">
        <v>1055</v>
      </c>
      <c r="H1410" s="17">
        <v>25</v>
      </c>
      <c r="I1410" s="31">
        <f t="shared" si="138"/>
        <v>25000</v>
      </c>
      <c r="J1410" s="31">
        <f t="shared" si="139"/>
        <v>1750.0000000000002</v>
      </c>
      <c r="K1410" s="44">
        <f t="shared" si="140"/>
        <v>4.794520547945206</v>
      </c>
      <c r="L1410" s="3">
        <f t="shared" si="141"/>
        <v>354.79452054794524</v>
      </c>
      <c r="M1410" s="3">
        <f t="shared" si="142"/>
        <v>21.287671232876715</v>
      </c>
      <c r="N1410" s="67">
        <f t="shared" si="143"/>
        <v>333.50684931506851</v>
      </c>
      <c r="O1410" s="3"/>
      <c r="P1410" s="70" t="s">
        <v>18631</v>
      </c>
      <c r="Q1410" s="2" t="s">
        <v>329</v>
      </c>
      <c r="R1410" s="2" t="s">
        <v>14618</v>
      </c>
      <c r="T1410" t="s">
        <v>18666</v>
      </c>
      <c r="U1410" t="s">
        <v>18652</v>
      </c>
      <c r="V1410" s="104">
        <v>45857</v>
      </c>
      <c r="X1410" s="97"/>
      <c r="Y1410" s="75">
        <v>333.51</v>
      </c>
    </row>
    <row r="1411" spans="1:25" x14ac:dyDescent="0.25">
      <c r="A1411" s="76">
        <v>1443</v>
      </c>
      <c r="B1411" s="2" t="s">
        <v>16026</v>
      </c>
      <c r="C1411" s="2" t="s">
        <v>16027</v>
      </c>
      <c r="D1411" s="2" t="s">
        <v>16028</v>
      </c>
      <c r="E1411" s="2" t="s">
        <v>16029</v>
      </c>
      <c r="F1411" s="2" t="s">
        <v>16030</v>
      </c>
      <c r="G1411" s="2" t="s">
        <v>381</v>
      </c>
      <c r="H1411" s="17">
        <v>25</v>
      </c>
      <c r="I1411" s="31">
        <f t="shared" si="138"/>
        <v>25000</v>
      </c>
      <c r="J1411" s="31">
        <f t="shared" si="139"/>
        <v>1750.0000000000002</v>
      </c>
      <c r="K1411" s="44">
        <f t="shared" si="140"/>
        <v>4.794520547945206</v>
      </c>
      <c r="L1411" s="3">
        <f t="shared" si="141"/>
        <v>354.79452054794524</v>
      </c>
      <c r="M1411" s="3">
        <f t="shared" si="142"/>
        <v>21.287671232876715</v>
      </c>
      <c r="N1411" s="67">
        <f t="shared" si="143"/>
        <v>333.50684931506851</v>
      </c>
      <c r="O1411" s="3"/>
      <c r="P1411" s="70" t="s">
        <v>18631</v>
      </c>
      <c r="Q1411" s="2" t="s">
        <v>329</v>
      </c>
      <c r="R1411" s="2" t="s">
        <v>16031</v>
      </c>
      <c r="T1411" t="s">
        <v>18666</v>
      </c>
      <c r="U1411" t="s">
        <v>18652</v>
      </c>
      <c r="V1411" s="104">
        <v>45857</v>
      </c>
      <c r="X1411" s="97"/>
      <c r="Y1411" s="75">
        <v>333.51</v>
      </c>
    </row>
    <row r="1412" spans="1:25" x14ac:dyDescent="0.25">
      <c r="A1412" s="76">
        <v>1444</v>
      </c>
      <c r="B1412" s="2" t="s">
        <v>14936</v>
      </c>
      <c r="C1412" s="2" t="s">
        <v>14937</v>
      </c>
      <c r="D1412" s="2" t="s">
        <v>14194</v>
      </c>
      <c r="E1412" s="2" t="s">
        <v>1867</v>
      </c>
      <c r="F1412" s="2" t="s">
        <v>14938</v>
      </c>
      <c r="G1412" s="2" t="s">
        <v>247</v>
      </c>
      <c r="H1412" s="17">
        <v>50</v>
      </c>
      <c r="I1412" s="31">
        <f t="shared" si="138"/>
        <v>50000</v>
      </c>
      <c r="J1412" s="31">
        <f t="shared" si="139"/>
        <v>3500.0000000000005</v>
      </c>
      <c r="K1412" s="44">
        <f t="shared" si="140"/>
        <v>9.589041095890412</v>
      </c>
      <c r="L1412" s="3">
        <f t="shared" si="141"/>
        <v>709.58904109589048</v>
      </c>
      <c r="M1412" s="3">
        <f t="shared" si="142"/>
        <v>42.57534246575343</v>
      </c>
      <c r="N1412" s="67">
        <f t="shared" si="143"/>
        <v>667.01369863013701</v>
      </c>
      <c r="O1412" s="3"/>
      <c r="P1412" s="70" t="s">
        <v>18631</v>
      </c>
      <c r="Q1412" s="2" t="s">
        <v>329</v>
      </c>
      <c r="R1412" s="2" t="s">
        <v>14939</v>
      </c>
      <c r="T1412" t="s">
        <v>18666</v>
      </c>
      <c r="U1412" t="s">
        <v>18652</v>
      </c>
      <c r="V1412" s="104">
        <v>45857</v>
      </c>
      <c r="X1412" s="97"/>
      <c r="Y1412" s="75">
        <v>667.02</v>
      </c>
    </row>
    <row r="1413" spans="1:25" x14ac:dyDescent="0.25">
      <c r="A1413" s="76">
        <v>1445</v>
      </c>
      <c r="B1413" s="2" t="s">
        <v>16288</v>
      </c>
      <c r="C1413" s="2" t="s">
        <v>16289</v>
      </c>
      <c r="D1413" s="2" t="s">
        <v>16290</v>
      </c>
      <c r="E1413" s="2" t="s">
        <v>16291</v>
      </c>
      <c r="F1413" s="2" t="s">
        <v>16292</v>
      </c>
      <c r="G1413" s="2" t="s">
        <v>296</v>
      </c>
      <c r="H1413" s="17">
        <v>25</v>
      </c>
      <c r="I1413" s="31">
        <f t="shared" si="138"/>
        <v>25000</v>
      </c>
      <c r="J1413" s="31">
        <f t="shared" si="139"/>
        <v>1750.0000000000002</v>
      </c>
      <c r="K1413" s="44">
        <f t="shared" si="140"/>
        <v>4.794520547945206</v>
      </c>
      <c r="L1413" s="3">
        <f t="shared" si="141"/>
        <v>354.79452054794524</v>
      </c>
      <c r="M1413" s="3">
        <f t="shared" si="142"/>
        <v>21.287671232876715</v>
      </c>
      <c r="N1413" s="67">
        <f t="shared" si="143"/>
        <v>333.50684931506851</v>
      </c>
      <c r="O1413" s="3"/>
      <c r="P1413" s="70" t="s">
        <v>18631</v>
      </c>
      <c r="Q1413" s="2" t="s">
        <v>329</v>
      </c>
      <c r="R1413" s="2" t="s">
        <v>16293</v>
      </c>
      <c r="T1413" t="s">
        <v>18666</v>
      </c>
      <c r="U1413" t="s">
        <v>18652</v>
      </c>
      <c r="V1413" s="104">
        <v>45857</v>
      </c>
      <c r="X1413" s="97"/>
      <c r="Y1413" s="75">
        <v>333.51</v>
      </c>
    </row>
    <row r="1414" spans="1:25" x14ac:dyDescent="0.25">
      <c r="A1414" s="76">
        <v>1446</v>
      </c>
      <c r="B1414" s="2" t="s">
        <v>15565</v>
      </c>
      <c r="C1414" s="2" t="s">
        <v>15566</v>
      </c>
      <c r="D1414" s="2" t="s">
        <v>15567</v>
      </c>
      <c r="E1414" s="2" t="s">
        <v>15568</v>
      </c>
      <c r="F1414" s="2" t="s">
        <v>15569</v>
      </c>
      <c r="G1414" s="2" t="s">
        <v>381</v>
      </c>
      <c r="H1414" s="17">
        <v>25</v>
      </c>
      <c r="I1414" s="31">
        <f t="shared" si="138"/>
        <v>25000</v>
      </c>
      <c r="J1414" s="31">
        <f t="shared" si="139"/>
        <v>1750.0000000000002</v>
      </c>
      <c r="K1414" s="44">
        <f t="shared" si="140"/>
        <v>4.794520547945206</v>
      </c>
      <c r="L1414" s="3">
        <f t="shared" si="141"/>
        <v>354.79452054794524</v>
      </c>
      <c r="M1414" s="3">
        <f t="shared" si="142"/>
        <v>21.287671232876715</v>
      </c>
      <c r="N1414" s="67">
        <f t="shared" si="143"/>
        <v>333.50684931506851</v>
      </c>
      <c r="O1414" s="3"/>
      <c r="P1414" s="70" t="s">
        <v>18631</v>
      </c>
      <c r="Q1414" s="2" t="s">
        <v>329</v>
      </c>
      <c r="R1414" s="2" t="s">
        <v>15570</v>
      </c>
      <c r="T1414" t="s">
        <v>18666</v>
      </c>
      <c r="U1414" t="s">
        <v>18652</v>
      </c>
      <c r="V1414" s="104">
        <v>45857</v>
      </c>
      <c r="X1414" s="97"/>
      <c r="Y1414" s="75">
        <v>333.51</v>
      </c>
    </row>
    <row r="1415" spans="1:25" x14ac:dyDescent="0.25">
      <c r="A1415" s="76">
        <v>1447</v>
      </c>
      <c r="B1415" s="2" t="s">
        <v>2152</v>
      </c>
      <c r="C1415" s="2" t="s">
        <v>2153</v>
      </c>
      <c r="D1415" s="2" t="s">
        <v>2154</v>
      </c>
      <c r="E1415" s="2" t="s">
        <v>2155</v>
      </c>
      <c r="F1415" s="2" t="s">
        <v>2156</v>
      </c>
      <c r="G1415" s="2" t="s">
        <v>31</v>
      </c>
      <c r="H1415" s="17">
        <v>25</v>
      </c>
      <c r="I1415" s="31">
        <f t="shared" si="138"/>
        <v>25000</v>
      </c>
      <c r="J1415" s="31">
        <f t="shared" si="139"/>
        <v>1750.0000000000002</v>
      </c>
      <c r="K1415" s="44">
        <f t="shared" si="140"/>
        <v>4.794520547945206</v>
      </c>
      <c r="L1415" s="3">
        <f t="shared" si="141"/>
        <v>354.79452054794524</v>
      </c>
      <c r="M1415" s="3">
        <f t="shared" si="142"/>
        <v>21.287671232876715</v>
      </c>
      <c r="N1415" s="67">
        <f t="shared" si="143"/>
        <v>333.50684931506851</v>
      </c>
      <c r="O1415" s="3"/>
      <c r="P1415" s="70" t="s">
        <v>18631</v>
      </c>
      <c r="Q1415" s="2" t="s">
        <v>329</v>
      </c>
      <c r="R1415" s="2" t="s">
        <v>2157</v>
      </c>
      <c r="T1415" t="s">
        <v>18666</v>
      </c>
      <c r="U1415" t="s">
        <v>18652</v>
      </c>
      <c r="V1415" s="104">
        <v>45857</v>
      </c>
      <c r="X1415" s="97"/>
      <c r="Y1415" s="75">
        <v>333.51</v>
      </c>
    </row>
    <row r="1416" spans="1:25" x14ac:dyDescent="0.25">
      <c r="A1416" s="76">
        <v>1448</v>
      </c>
      <c r="B1416" s="2" t="s">
        <v>13564</v>
      </c>
      <c r="C1416" s="2" t="s">
        <v>13565</v>
      </c>
      <c r="D1416" s="2" t="s">
        <v>13566</v>
      </c>
      <c r="E1416" s="2" t="s">
        <v>13567</v>
      </c>
      <c r="F1416" s="2" t="s">
        <v>13568</v>
      </c>
      <c r="G1416" s="2" t="s">
        <v>193</v>
      </c>
      <c r="H1416" s="17">
        <v>25</v>
      </c>
      <c r="I1416" s="31">
        <f t="shared" si="138"/>
        <v>25000</v>
      </c>
      <c r="J1416" s="31">
        <f t="shared" si="139"/>
        <v>1750.0000000000002</v>
      </c>
      <c r="K1416" s="44">
        <f t="shared" si="140"/>
        <v>4.794520547945206</v>
      </c>
      <c r="L1416" s="3">
        <f t="shared" si="141"/>
        <v>354.79452054794524</v>
      </c>
      <c r="M1416" s="3">
        <f t="shared" si="142"/>
        <v>21.287671232876715</v>
      </c>
      <c r="N1416" s="67">
        <f t="shared" si="143"/>
        <v>333.50684931506851</v>
      </c>
      <c r="O1416" s="3"/>
      <c r="P1416" s="70" t="s">
        <v>18631</v>
      </c>
      <c r="Q1416" s="2" t="s">
        <v>329</v>
      </c>
      <c r="R1416" s="2" t="s">
        <v>13569</v>
      </c>
      <c r="T1416" t="s">
        <v>18666</v>
      </c>
      <c r="U1416" t="s">
        <v>18652</v>
      </c>
      <c r="V1416" s="104">
        <v>45857</v>
      </c>
      <c r="X1416" s="97"/>
      <c r="Y1416" s="75">
        <v>333.51</v>
      </c>
    </row>
    <row r="1417" spans="1:25" x14ac:dyDescent="0.25">
      <c r="A1417" s="76">
        <v>1449</v>
      </c>
      <c r="B1417" s="2" t="s">
        <v>10207</v>
      </c>
      <c r="C1417" s="2" t="s">
        <v>10208</v>
      </c>
      <c r="D1417" s="2" t="s">
        <v>10209</v>
      </c>
      <c r="E1417" s="2" t="s">
        <v>10210</v>
      </c>
      <c r="F1417" s="2" t="s">
        <v>10211</v>
      </c>
      <c r="G1417" s="2" t="s">
        <v>158</v>
      </c>
      <c r="H1417" s="17">
        <v>25</v>
      </c>
      <c r="I1417" s="31">
        <f t="shared" si="138"/>
        <v>25000</v>
      </c>
      <c r="J1417" s="31">
        <f t="shared" si="139"/>
        <v>1750.0000000000002</v>
      </c>
      <c r="K1417" s="44">
        <f t="shared" si="140"/>
        <v>4.794520547945206</v>
      </c>
      <c r="L1417" s="3">
        <f t="shared" si="141"/>
        <v>354.79452054794524</v>
      </c>
      <c r="M1417" s="3">
        <f t="shared" si="142"/>
        <v>21.287671232876715</v>
      </c>
      <c r="N1417" s="67">
        <f t="shared" si="143"/>
        <v>333.50684931506851</v>
      </c>
      <c r="O1417" s="3"/>
      <c r="P1417" s="70" t="s">
        <v>18631</v>
      </c>
      <c r="Q1417" s="2" t="s">
        <v>329</v>
      </c>
      <c r="R1417" s="2" t="s">
        <v>10212</v>
      </c>
      <c r="T1417" t="s">
        <v>18666</v>
      </c>
      <c r="U1417" t="s">
        <v>18652</v>
      </c>
      <c r="V1417" s="104">
        <v>45857</v>
      </c>
      <c r="X1417" s="97"/>
      <c r="Y1417" s="75">
        <v>333.51</v>
      </c>
    </row>
    <row r="1418" spans="1:25" x14ac:dyDescent="0.25">
      <c r="A1418" s="76">
        <v>1450</v>
      </c>
      <c r="B1418" s="2" t="s">
        <v>1298</v>
      </c>
      <c r="C1418" s="2" t="s">
        <v>1299</v>
      </c>
      <c r="D1418" s="2" t="s">
        <v>1300</v>
      </c>
      <c r="E1418" s="2" t="s">
        <v>1301</v>
      </c>
      <c r="F1418" s="2" t="s">
        <v>1302</v>
      </c>
      <c r="G1418" s="2" t="s">
        <v>296</v>
      </c>
      <c r="H1418" s="17">
        <v>30</v>
      </c>
      <c r="I1418" s="31">
        <f t="shared" si="138"/>
        <v>30000</v>
      </c>
      <c r="J1418" s="31">
        <f t="shared" si="139"/>
        <v>2100</v>
      </c>
      <c r="K1418" s="44">
        <f t="shared" si="140"/>
        <v>5.7534246575342465</v>
      </c>
      <c r="L1418" s="3">
        <f t="shared" si="141"/>
        <v>425.75342465753425</v>
      </c>
      <c r="M1418" s="3">
        <f t="shared" si="142"/>
        <v>25.545205479452054</v>
      </c>
      <c r="N1418" s="67">
        <f t="shared" si="143"/>
        <v>400.20821917808217</v>
      </c>
      <c r="O1418" s="3"/>
      <c r="P1418" s="70" t="s">
        <v>18631</v>
      </c>
      <c r="Q1418" s="2" t="s">
        <v>329</v>
      </c>
      <c r="R1418" s="2" t="s">
        <v>1303</v>
      </c>
      <c r="T1418" t="s">
        <v>18666</v>
      </c>
      <c r="U1418" t="s">
        <v>18652</v>
      </c>
      <c r="V1418" s="104">
        <v>45857</v>
      </c>
      <c r="X1418" s="97"/>
      <c r="Y1418" s="75">
        <v>400.21</v>
      </c>
    </row>
    <row r="1419" spans="1:25" x14ac:dyDescent="0.25">
      <c r="A1419" s="76">
        <v>1451</v>
      </c>
      <c r="B1419" s="2" t="s">
        <v>3015</v>
      </c>
      <c r="C1419" s="2" t="s">
        <v>3016</v>
      </c>
      <c r="D1419" s="2" t="s">
        <v>3017</v>
      </c>
      <c r="E1419" s="2" t="s">
        <v>3018</v>
      </c>
      <c r="F1419" s="2" t="s">
        <v>3019</v>
      </c>
      <c r="G1419" s="2" t="s">
        <v>1315</v>
      </c>
      <c r="H1419" s="17">
        <v>25</v>
      </c>
      <c r="I1419" s="31">
        <f t="shared" si="138"/>
        <v>25000</v>
      </c>
      <c r="J1419" s="31">
        <f t="shared" si="139"/>
        <v>1750.0000000000002</v>
      </c>
      <c r="K1419" s="44">
        <f t="shared" si="140"/>
        <v>4.794520547945206</v>
      </c>
      <c r="L1419" s="3">
        <f t="shared" si="141"/>
        <v>354.79452054794524</v>
      </c>
      <c r="M1419" s="3">
        <f t="shared" si="142"/>
        <v>21.287671232876715</v>
      </c>
      <c r="N1419" s="67">
        <f t="shared" si="143"/>
        <v>333.50684931506851</v>
      </c>
      <c r="O1419" s="3"/>
      <c r="P1419" s="70" t="s">
        <v>18631</v>
      </c>
      <c r="Q1419" s="2" t="s">
        <v>329</v>
      </c>
      <c r="R1419" s="2" t="s">
        <v>3020</v>
      </c>
      <c r="T1419" t="s">
        <v>18666</v>
      </c>
      <c r="U1419" t="s">
        <v>18652</v>
      </c>
      <c r="V1419" s="104">
        <v>45857</v>
      </c>
      <c r="X1419" s="97"/>
      <c r="Y1419" s="75">
        <v>333.51</v>
      </c>
    </row>
    <row r="1420" spans="1:25" x14ac:dyDescent="0.25">
      <c r="A1420" s="76">
        <v>1452</v>
      </c>
      <c r="B1420" s="2" t="s">
        <v>5015</v>
      </c>
      <c r="C1420" s="2" t="s">
        <v>5016</v>
      </c>
      <c r="D1420" s="2" t="s">
        <v>5017</v>
      </c>
      <c r="E1420" s="2" t="s">
        <v>5018</v>
      </c>
      <c r="F1420" s="2" t="s">
        <v>5019</v>
      </c>
      <c r="G1420" s="2" t="s">
        <v>282</v>
      </c>
      <c r="H1420" s="17">
        <v>500</v>
      </c>
      <c r="I1420" s="31">
        <f t="shared" si="138"/>
        <v>500000</v>
      </c>
      <c r="J1420" s="31">
        <f t="shared" si="139"/>
        <v>35000</v>
      </c>
      <c r="K1420" s="44">
        <f t="shared" si="140"/>
        <v>95.890410958904113</v>
      </c>
      <c r="L1420" s="3">
        <f t="shared" si="141"/>
        <v>7095.8904109589039</v>
      </c>
      <c r="M1420" s="3">
        <f t="shared" si="142"/>
        <v>425.7534246575342</v>
      </c>
      <c r="N1420" s="67">
        <f t="shared" si="143"/>
        <v>6670.1369863013697</v>
      </c>
      <c r="O1420" s="3"/>
      <c r="P1420" s="70" t="s">
        <v>18631</v>
      </c>
      <c r="Q1420" s="2" t="s">
        <v>329</v>
      </c>
      <c r="R1420" s="2" t="s">
        <v>5020</v>
      </c>
      <c r="T1420" t="s">
        <v>18666</v>
      </c>
      <c r="U1420" t="s">
        <v>18652</v>
      </c>
      <c r="V1420" s="104">
        <v>45857</v>
      </c>
      <c r="X1420" s="97"/>
      <c r="Y1420" s="75">
        <v>6670.14</v>
      </c>
    </row>
    <row r="1421" spans="1:25" x14ac:dyDescent="0.25">
      <c r="A1421" s="76">
        <v>1453</v>
      </c>
      <c r="B1421" s="2" t="s">
        <v>7849</v>
      </c>
      <c r="C1421" s="2" t="s">
        <v>7850</v>
      </c>
      <c r="D1421" s="2" t="s">
        <v>7851</v>
      </c>
      <c r="E1421" s="2" t="s">
        <v>7852</v>
      </c>
      <c r="F1421" s="2" t="s">
        <v>7853</v>
      </c>
      <c r="G1421" s="2" t="s">
        <v>166</v>
      </c>
      <c r="H1421" s="17">
        <v>100</v>
      </c>
      <c r="I1421" s="31">
        <f t="shared" si="138"/>
        <v>100000</v>
      </c>
      <c r="J1421" s="31">
        <f t="shared" si="139"/>
        <v>7000.0000000000009</v>
      </c>
      <c r="K1421" s="44">
        <f t="shared" si="140"/>
        <v>19.178082191780824</v>
      </c>
      <c r="L1421" s="3">
        <f t="shared" si="141"/>
        <v>1419.178082191781</v>
      </c>
      <c r="M1421" s="3">
        <f t="shared" si="142"/>
        <v>85.150684931506859</v>
      </c>
      <c r="N1421" s="67">
        <f t="shared" si="143"/>
        <v>1334.027397260274</v>
      </c>
      <c r="O1421" s="3"/>
      <c r="P1421" s="70" t="s">
        <v>18631</v>
      </c>
      <c r="Q1421" s="2" t="s">
        <v>329</v>
      </c>
      <c r="R1421" s="2" t="s">
        <v>7854</v>
      </c>
      <c r="T1421" t="s">
        <v>18666</v>
      </c>
      <c r="U1421" t="s">
        <v>18652</v>
      </c>
      <c r="V1421" s="104">
        <v>45857</v>
      </c>
      <c r="X1421" s="97"/>
      <c r="Y1421" s="75">
        <v>1334.03</v>
      </c>
    </row>
    <row r="1422" spans="1:25" x14ac:dyDescent="0.25">
      <c r="A1422" s="76">
        <v>1454</v>
      </c>
      <c r="B1422" s="2" t="s">
        <v>13438</v>
      </c>
      <c r="C1422" s="2" t="s">
        <v>13439</v>
      </c>
      <c r="D1422" s="2" t="s">
        <v>13440</v>
      </c>
      <c r="E1422" s="2" t="s">
        <v>13441</v>
      </c>
      <c r="F1422" s="2" t="s">
        <v>13442</v>
      </c>
      <c r="G1422" s="2" t="s">
        <v>5013</v>
      </c>
      <c r="H1422" s="17">
        <v>25</v>
      </c>
      <c r="I1422" s="31">
        <f t="shared" si="138"/>
        <v>25000</v>
      </c>
      <c r="J1422" s="31">
        <f t="shared" si="139"/>
        <v>1750.0000000000002</v>
      </c>
      <c r="K1422" s="44">
        <f t="shared" si="140"/>
        <v>4.794520547945206</v>
      </c>
      <c r="L1422" s="3">
        <f t="shared" si="141"/>
        <v>354.79452054794524</v>
      </c>
      <c r="M1422" s="3">
        <f t="shared" si="142"/>
        <v>21.287671232876715</v>
      </c>
      <c r="N1422" s="67">
        <f t="shared" si="143"/>
        <v>333.50684931506851</v>
      </c>
      <c r="O1422" s="3"/>
      <c r="P1422" s="70" t="s">
        <v>18631</v>
      </c>
      <c r="Q1422" s="2" t="s">
        <v>329</v>
      </c>
      <c r="R1422" s="2" t="s">
        <v>13443</v>
      </c>
      <c r="T1422" t="s">
        <v>18666</v>
      </c>
      <c r="U1422" t="s">
        <v>18652</v>
      </c>
      <c r="V1422" s="104">
        <v>45857</v>
      </c>
      <c r="X1422" s="97"/>
      <c r="Y1422" s="75">
        <v>333.51</v>
      </c>
    </row>
    <row r="1423" spans="1:25" x14ac:dyDescent="0.25">
      <c r="A1423" s="76">
        <v>1455</v>
      </c>
      <c r="B1423" s="2" t="s">
        <v>9770</v>
      </c>
      <c r="C1423" s="2" t="s">
        <v>9771</v>
      </c>
      <c r="D1423" s="2" t="s">
        <v>9772</v>
      </c>
      <c r="E1423" s="2" t="s">
        <v>3833</v>
      </c>
      <c r="F1423" s="2" t="s">
        <v>9773</v>
      </c>
      <c r="G1423" s="2" t="s">
        <v>412</v>
      </c>
      <c r="H1423" s="17">
        <v>100</v>
      </c>
      <c r="I1423" s="31">
        <f t="shared" si="138"/>
        <v>100000</v>
      </c>
      <c r="J1423" s="31">
        <f t="shared" si="139"/>
        <v>7000.0000000000009</v>
      </c>
      <c r="K1423" s="44">
        <f t="shared" si="140"/>
        <v>19.178082191780824</v>
      </c>
      <c r="L1423" s="3">
        <f t="shared" si="141"/>
        <v>1419.178082191781</v>
      </c>
      <c r="M1423" s="3">
        <f t="shared" si="142"/>
        <v>85.150684931506859</v>
      </c>
      <c r="N1423" s="67">
        <f t="shared" si="143"/>
        <v>1334.027397260274</v>
      </c>
      <c r="O1423" s="3"/>
      <c r="P1423" s="70" t="s">
        <v>18631</v>
      </c>
      <c r="Q1423" s="2" t="s">
        <v>329</v>
      </c>
      <c r="R1423" s="2" t="s">
        <v>9774</v>
      </c>
      <c r="T1423" t="s">
        <v>18666</v>
      </c>
      <c r="U1423" t="s">
        <v>18652</v>
      </c>
      <c r="V1423" s="104">
        <v>45857</v>
      </c>
      <c r="X1423" s="97"/>
      <c r="Y1423" s="75">
        <v>1334.03</v>
      </c>
    </row>
    <row r="1424" spans="1:25" x14ac:dyDescent="0.25">
      <c r="A1424" s="76">
        <v>1456</v>
      </c>
      <c r="B1424" s="2" t="s">
        <v>663</v>
      </c>
      <c r="C1424" s="2" t="s">
        <v>664</v>
      </c>
      <c r="D1424" s="2" t="s">
        <v>665</v>
      </c>
      <c r="E1424" s="2" t="s">
        <v>666</v>
      </c>
      <c r="F1424" s="2" t="s">
        <v>667</v>
      </c>
      <c r="G1424" s="2" t="s">
        <v>517</v>
      </c>
      <c r="H1424" s="17">
        <v>50</v>
      </c>
      <c r="I1424" s="31">
        <f t="shared" si="138"/>
        <v>50000</v>
      </c>
      <c r="J1424" s="31">
        <f t="shared" si="139"/>
        <v>3500.0000000000005</v>
      </c>
      <c r="K1424" s="44">
        <f t="shared" si="140"/>
        <v>9.589041095890412</v>
      </c>
      <c r="L1424" s="3">
        <f t="shared" si="141"/>
        <v>709.58904109589048</v>
      </c>
      <c r="M1424" s="3">
        <f t="shared" si="142"/>
        <v>42.57534246575343</v>
      </c>
      <c r="N1424" s="67">
        <f t="shared" si="143"/>
        <v>667.01369863013701</v>
      </c>
      <c r="O1424" s="3"/>
      <c r="P1424" s="70" t="s">
        <v>18631</v>
      </c>
      <c r="Q1424" s="2" t="s">
        <v>329</v>
      </c>
      <c r="R1424" s="2" t="s">
        <v>668</v>
      </c>
      <c r="T1424" t="s">
        <v>18666</v>
      </c>
      <c r="U1424" t="s">
        <v>18652</v>
      </c>
      <c r="V1424" s="104">
        <v>45857</v>
      </c>
      <c r="X1424" s="97"/>
      <c r="Y1424" s="75">
        <v>667.02</v>
      </c>
    </row>
    <row r="1425" spans="1:25" x14ac:dyDescent="0.25">
      <c r="A1425" s="76">
        <v>1457</v>
      </c>
      <c r="B1425" s="2" t="s">
        <v>1659</v>
      </c>
      <c r="C1425" s="2" t="s">
        <v>1660</v>
      </c>
      <c r="D1425" s="2" t="s">
        <v>1661</v>
      </c>
      <c r="E1425" s="2" t="s">
        <v>1662</v>
      </c>
      <c r="F1425" s="2" t="s">
        <v>1663</v>
      </c>
      <c r="G1425" s="2" t="s">
        <v>61</v>
      </c>
      <c r="H1425" s="17">
        <v>25</v>
      </c>
      <c r="I1425" s="31">
        <f t="shared" si="138"/>
        <v>25000</v>
      </c>
      <c r="J1425" s="31">
        <f t="shared" si="139"/>
        <v>1750.0000000000002</v>
      </c>
      <c r="K1425" s="44">
        <f t="shared" si="140"/>
        <v>4.794520547945206</v>
      </c>
      <c r="L1425" s="3">
        <f t="shared" si="141"/>
        <v>354.79452054794524</v>
      </c>
      <c r="M1425" s="3">
        <f t="shared" si="142"/>
        <v>21.287671232876715</v>
      </c>
      <c r="N1425" s="67">
        <f t="shared" si="143"/>
        <v>333.50684931506851</v>
      </c>
      <c r="O1425" s="3"/>
      <c r="P1425" s="70" t="s">
        <v>18631</v>
      </c>
      <c r="Q1425" s="2" t="s">
        <v>329</v>
      </c>
      <c r="R1425" s="2" t="s">
        <v>1664</v>
      </c>
      <c r="T1425" t="s">
        <v>18666</v>
      </c>
      <c r="U1425" t="s">
        <v>18652</v>
      </c>
      <c r="V1425" s="104">
        <v>45857</v>
      </c>
      <c r="X1425" s="97"/>
      <c r="Y1425" s="75">
        <v>333.51</v>
      </c>
    </row>
    <row r="1426" spans="1:25" x14ac:dyDescent="0.25">
      <c r="A1426" s="76">
        <v>1458</v>
      </c>
      <c r="B1426" s="2" t="s">
        <v>14993</v>
      </c>
      <c r="C1426" s="2" t="s">
        <v>14994</v>
      </c>
      <c r="D1426" s="2" t="s">
        <v>14995</v>
      </c>
      <c r="E1426" s="2" t="s">
        <v>14996</v>
      </c>
      <c r="F1426" s="2" t="s">
        <v>14997</v>
      </c>
      <c r="G1426" s="2" t="s">
        <v>247</v>
      </c>
      <c r="H1426" s="17">
        <v>50</v>
      </c>
      <c r="I1426" s="31">
        <f t="shared" ref="I1426:I1489" si="144">H1426*1000</f>
        <v>50000</v>
      </c>
      <c r="J1426" s="31">
        <f t="shared" ref="J1426:J1489" si="145">I1426*7%</f>
        <v>3500.0000000000005</v>
      </c>
      <c r="K1426" s="44">
        <f t="shared" ref="K1426:K1489" si="146">J1426/365</f>
        <v>9.589041095890412</v>
      </c>
      <c r="L1426" s="3">
        <f t="shared" ref="L1426:L1489" si="147">K1426*74</f>
        <v>709.58904109589048</v>
      </c>
      <c r="M1426" s="3">
        <f t="shared" ref="M1426:M1489" si="148">L1426*6%</f>
        <v>42.57534246575343</v>
      </c>
      <c r="N1426" s="67">
        <f t="shared" ref="N1426:N1489" si="149">L1426-M1426</f>
        <v>667.01369863013701</v>
      </c>
      <c r="O1426" s="3"/>
      <c r="P1426" s="70" t="s">
        <v>18631</v>
      </c>
      <c r="Q1426" s="2" t="s">
        <v>329</v>
      </c>
      <c r="R1426" s="2" t="s">
        <v>14998</v>
      </c>
      <c r="T1426" t="s">
        <v>18666</v>
      </c>
      <c r="U1426" t="s">
        <v>18652</v>
      </c>
      <c r="V1426" s="104">
        <v>45857</v>
      </c>
      <c r="X1426" s="97"/>
      <c r="Y1426" s="75">
        <v>667.02</v>
      </c>
    </row>
    <row r="1427" spans="1:25" x14ac:dyDescent="0.25">
      <c r="A1427" s="76">
        <v>1459</v>
      </c>
      <c r="B1427" s="2" t="s">
        <v>2210</v>
      </c>
      <c r="C1427" s="2" t="s">
        <v>2211</v>
      </c>
      <c r="D1427" s="2" t="s">
        <v>2212</v>
      </c>
      <c r="E1427" s="2" t="s">
        <v>2213</v>
      </c>
      <c r="F1427" s="2" t="s">
        <v>2214</v>
      </c>
      <c r="G1427" s="2" t="s">
        <v>31</v>
      </c>
      <c r="H1427" s="17">
        <v>25</v>
      </c>
      <c r="I1427" s="31">
        <f t="shared" si="144"/>
        <v>25000</v>
      </c>
      <c r="J1427" s="31">
        <f t="shared" si="145"/>
        <v>1750.0000000000002</v>
      </c>
      <c r="K1427" s="44">
        <f t="shared" si="146"/>
        <v>4.794520547945206</v>
      </c>
      <c r="L1427" s="3">
        <f t="shared" si="147"/>
        <v>354.79452054794524</v>
      </c>
      <c r="M1427" s="3">
        <f t="shared" si="148"/>
        <v>21.287671232876715</v>
      </c>
      <c r="N1427" s="67">
        <f t="shared" si="149"/>
        <v>333.50684931506851</v>
      </c>
      <c r="O1427" s="3"/>
      <c r="P1427" s="70" t="s">
        <v>18631</v>
      </c>
      <c r="Q1427" s="2" t="s">
        <v>329</v>
      </c>
      <c r="R1427" s="2" t="s">
        <v>2215</v>
      </c>
      <c r="T1427" t="s">
        <v>18666</v>
      </c>
      <c r="U1427" t="s">
        <v>18652</v>
      </c>
      <c r="V1427" s="104">
        <v>45857</v>
      </c>
      <c r="X1427" s="97"/>
      <c r="Y1427" s="75">
        <v>333.51</v>
      </c>
    </row>
    <row r="1428" spans="1:25" x14ac:dyDescent="0.25">
      <c r="A1428" s="76">
        <v>1460</v>
      </c>
      <c r="B1428" s="2" t="s">
        <v>2240</v>
      </c>
      <c r="C1428" s="2" t="s">
        <v>2241</v>
      </c>
      <c r="D1428" s="2" t="s">
        <v>2212</v>
      </c>
      <c r="E1428" s="2" t="s">
        <v>2213</v>
      </c>
      <c r="F1428" s="2" t="s">
        <v>2242</v>
      </c>
      <c r="G1428" s="2" t="s">
        <v>31</v>
      </c>
      <c r="H1428" s="17">
        <v>25</v>
      </c>
      <c r="I1428" s="31">
        <f t="shared" si="144"/>
        <v>25000</v>
      </c>
      <c r="J1428" s="31">
        <f t="shared" si="145"/>
        <v>1750.0000000000002</v>
      </c>
      <c r="K1428" s="44">
        <f t="shared" si="146"/>
        <v>4.794520547945206</v>
      </c>
      <c r="L1428" s="3">
        <f t="shared" si="147"/>
        <v>354.79452054794524</v>
      </c>
      <c r="M1428" s="3">
        <f t="shared" si="148"/>
        <v>21.287671232876715</v>
      </c>
      <c r="N1428" s="67">
        <f t="shared" si="149"/>
        <v>333.50684931506851</v>
      </c>
      <c r="O1428" s="3"/>
      <c r="P1428" s="70" t="s">
        <v>18631</v>
      </c>
      <c r="Q1428" s="2" t="s">
        <v>329</v>
      </c>
      <c r="R1428" s="2" t="s">
        <v>2243</v>
      </c>
      <c r="T1428" t="s">
        <v>18666</v>
      </c>
      <c r="U1428" t="s">
        <v>18652</v>
      </c>
      <c r="V1428" s="104">
        <v>45857</v>
      </c>
      <c r="X1428" s="97"/>
      <c r="Y1428" s="75">
        <v>333.51</v>
      </c>
    </row>
    <row r="1429" spans="1:25" x14ac:dyDescent="0.25">
      <c r="A1429" s="76">
        <v>1461</v>
      </c>
      <c r="B1429" s="2" t="s">
        <v>9540</v>
      </c>
      <c r="C1429" s="2" t="s">
        <v>9541</v>
      </c>
      <c r="D1429" s="2" t="s">
        <v>9542</v>
      </c>
      <c r="E1429" s="2" t="s">
        <v>9543</v>
      </c>
      <c r="F1429" s="2" t="s">
        <v>9544</v>
      </c>
      <c r="G1429" s="2" t="s">
        <v>835</v>
      </c>
      <c r="H1429" s="17">
        <v>25</v>
      </c>
      <c r="I1429" s="31">
        <f t="shared" si="144"/>
        <v>25000</v>
      </c>
      <c r="J1429" s="31">
        <f t="shared" si="145"/>
        <v>1750.0000000000002</v>
      </c>
      <c r="K1429" s="44">
        <f t="shared" si="146"/>
        <v>4.794520547945206</v>
      </c>
      <c r="L1429" s="3">
        <f t="shared" si="147"/>
        <v>354.79452054794524</v>
      </c>
      <c r="M1429" s="3">
        <f t="shared" si="148"/>
        <v>21.287671232876715</v>
      </c>
      <c r="N1429" s="67">
        <f t="shared" si="149"/>
        <v>333.50684931506851</v>
      </c>
      <c r="O1429" s="3"/>
      <c r="P1429" s="70" t="s">
        <v>18631</v>
      </c>
      <c r="Q1429" s="2" t="s">
        <v>329</v>
      </c>
      <c r="R1429" s="2" t="s">
        <v>9545</v>
      </c>
      <c r="T1429" t="s">
        <v>18666</v>
      </c>
      <c r="U1429" t="s">
        <v>18652</v>
      </c>
      <c r="V1429" s="104">
        <v>45857</v>
      </c>
      <c r="X1429" s="97"/>
      <c r="Y1429" s="75">
        <v>333.51</v>
      </c>
    </row>
    <row r="1430" spans="1:25" x14ac:dyDescent="0.25">
      <c r="A1430" s="76">
        <v>1462</v>
      </c>
      <c r="B1430" s="2" t="s">
        <v>732</v>
      </c>
      <c r="C1430" s="2" t="s">
        <v>733</v>
      </c>
      <c r="D1430" s="2" t="s">
        <v>734</v>
      </c>
      <c r="E1430" s="2" t="s">
        <v>735</v>
      </c>
      <c r="F1430" s="2" t="s">
        <v>736</v>
      </c>
      <c r="G1430" s="2" t="s">
        <v>23</v>
      </c>
      <c r="H1430" s="17">
        <v>100</v>
      </c>
      <c r="I1430" s="31">
        <f t="shared" si="144"/>
        <v>100000</v>
      </c>
      <c r="J1430" s="31">
        <f t="shared" si="145"/>
        <v>7000.0000000000009</v>
      </c>
      <c r="K1430" s="44">
        <f t="shared" si="146"/>
        <v>19.178082191780824</v>
      </c>
      <c r="L1430" s="3">
        <f t="shared" si="147"/>
        <v>1419.178082191781</v>
      </c>
      <c r="M1430" s="3">
        <f t="shared" si="148"/>
        <v>85.150684931506859</v>
      </c>
      <c r="N1430" s="67">
        <f t="shared" si="149"/>
        <v>1334.027397260274</v>
      </c>
      <c r="O1430" s="3"/>
      <c r="P1430" s="70" t="s">
        <v>18631</v>
      </c>
      <c r="Q1430" s="2" t="s">
        <v>329</v>
      </c>
      <c r="R1430" s="2" t="s">
        <v>737</v>
      </c>
      <c r="T1430" t="s">
        <v>18666</v>
      </c>
      <c r="U1430" t="s">
        <v>18652</v>
      </c>
      <c r="V1430" s="104">
        <v>45857</v>
      </c>
      <c r="X1430" s="97"/>
      <c r="Y1430" s="75">
        <v>1334.03</v>
      </c>
    </row>
    <row r="1431" spans="1:25" x14ac:dyDescent="0.25">
      <c r="A1431" s="76">
        <v>1463</v>
      </c>
      <c r="B1431" s="2" t="s">
        <v>2500</v>
      </c>
      <c r="C1431" s="2" t="s">
        <v>2501</v>
      </c>
      <c r="D1431" s="2" t="s">
        <v>2502</v>
      </c>
      <c r="E1431" s="2" t="s">
        <v>2503</v>
      </c>
      <c r="F1431" s="2" t="s">
        <v>2504</v>
      </c>
      <c r="G1431" s="2" t="s">
        <v>151</v>
      </c>
      <c r="H1431" s="17">
        <v>25</v>
      </c>
      <c r="I1431" s="31">
        <f t="shared" si="144"/>
        <v>25000</v>
      </c>
      <c r="J1431" s="31">
        <f t="shared" si="145"/>
        <v>1750.0000000000002</v>
      </c>
      <c r="K1431" s="44">
        <f t="shared" si="146"/>
        <v>4.794520547945206</v>
      </c>
      <c r="L1431" s="3">
        <f t="shared" si="147"/>
        <v>354.79452054794524</v>
      </c>
      <c r="M1431" s="3">
        <f t="shared" si="148"/>
        <v>21.287671232876715</v>
      </c>
      <c r="N1431" s="67">
        <f t="shared" si="149"/>
        <v>333.50684931506851</v>
      </c>
      <c r="O1431" s="3"/>
      <c r="P1431" s="70" t="s">
        <v>18631</v>
      </c>
      <c r="Q1431" s="2" t="s">
        <v>329</v>
      </c>
      <c r="R1431" s="2" t="s">
        <v>2505</v>
      </c>
      <c r="T1431" t="s">
        <v>18666</v>
      </c>
      <c r="U1431" t="s">
        <v>18652</v>
      </c>
      <c r="V1431" s="104">
        <v>45857</v>
      </c>
      <c r="X1431" s="97"/>
      <c r="Y1431" s="75">
        <v>333.51</v>
      </c>
    </row>
    <row r="1432" spans="1:25" x14ac:dyDescent="0.25">
      <c r="A1432" s="76">
        <v>1464</v>
      </c>
      <c r="B1432" s="2" t="s">
        <v>13885</v>
      </c>
      <c r="C1432" s="2" t="s">
        <v>13886</v>
      </c>
      <c r="D1432" s="2" t="s">
        <v>13887</v>
      </c>
      <c r="E1432" s="2" t="s">
        <v>13888</v>
      </c>
      <c r="F1432" s="2" t="s">
        <v>13889</v>
      </c>
      <c r="G1432" s="2" t="s">
        <v>61</v>
      </c>
      <c r="H1432" s="17">
        <v>100</v>
      </c>
      <c r="I1432" s="31">
        <f t="shared" si="144"/>
        <v>100000</v>
      </c>
      <c r="J1432" s="31">
        <f t="shared" si="145"/>
        <v>7000.0000000000009</v>
      </c>
      <c r="K1432" s="44">
        <f t="shared" si="146"/>
        <v>19.178082191780824</v>
      </c>
      <c r="L1432" s="3">
        <f t="shared" si="147"/>
        <v>1419.178082191781</v>
      </c>
      <c r="M1432" s="3">
        <f t="shared" si="148"/>
        <v>85.150684931506859</v>
      </c>
      <c r="N1432" s="67">
        <f t="shared" si="149"/>
        <v>1334.027397260274</v>
      </c>
      <c r="O1432" s="3"/>
      <c r="P1432" s="70" t="s">
        <v>18631</v>
      </c>
      <c r="Q1432" s="2" t="s">
        <v>329</v>
      </c>
      <c r="R1432" s="2" t="s">
        <v>13890</v>
      </c>
      <c r="T1432" t="s">
        <v>18666</v>
      </c>
      <c r="U1432" t="s">
        <v>18652</v>
      </c>
      <c r="V1432" s="104">
        <v>45857</v>
      </c>
      <c r="X1432" s="97"/>
      <c r="Y1432" s="75">
        <v>1334.03</v>
      </c>
    </row>
    <row r="1433" spans="1:25" x14ac:dyDescent="0.25">
      <c r="A1433" s="76">
        <v>1465</v>
      </c>
      <c r="B1433" s="2" t="s">
        <v>9143</v>
      </c>
      <c r="C1433" s="2" t="s">
        <v>9144</v>
      </c>
      <c r="D1433" s="2" t="s">
        <v>9122</v>
      </c>
      <c r="E1433" s="2" t="s">
        <v>9123</v>
      </c>
      <c r="F1433" s="2" t="s">
        <v>9145</v>
      </c>
      <c r="G1433" s="2" t="s">
        <v>296</v>
      </c>
      <c r="H1433" s="17">
        <v>50</v>
      </c>
      <c r="I1433" s="31">
        <f t="shared" si="144"/>
        <v>50000</v>
      </c>
      <c r="J1433" s="31">
        <f t="shared" si="145"/>
        <v>3500.0000000000005</v>
      </c>
      <c r="K1433" s="44">
        <f t="shared" si="146"/>
        <v>9.589041095890412</v>
      </c>
      <c r="L1433" s="3">
        <f t="shared" si="147"/>
        <v>709.58904109589048</v>
      </c>
      <c r="M1433" s="3">
        <f t="shared" si="148"/>
        <v>42.57534246575343</v>
      </c>
      <c r="N1433" s="67">
        <f t="shared" si="149"/>
        <v>667.01369863013701</v>
      </c>
      <c r="O1433" s="3"/>
      <c r="P1433" s="70" t="s">
        <v>18631</v>
      </c>
      <c r="Q1433" s="2" t="s">
        <v>329</v>
      </c>
      <c r="R1433" s="2" t="s">
        <v>9146</v>
      </c>
      <c r="T1433" t="s">
        <v>18666</v>
      </c>
      <c r="U1433" t="s">
        <v>18652</v>
      </c>
      <c r="V1433" s="104">
        <v>45857</v>
      </c>
      <c r="X1433" s="97"/>
      <c r="Y1433" s="75">
        <v>667.02</v>
      </c>
    </row>
    <row r="1434" spans="1:25" x14ac:dyDescent="0.25">
      <c r="A1434" s="76">
        <v>1466</v>
      </c>
      <c r="B1434" s="2" t="s">
        <v>9153</v>
      </c>
      <c r="C1434" s="2" t="s">
        <v>9154</v>
      </c>
      <c r="D1434" s="2" t="s">
        <v>9122</v>
      </c>
      <c r="E1434" s="2" t="s">
        <v>9155</v>
      </c>
      <c r="F1434" s="2" t="s">
        <v>9156</v>
      </c>
      <c r="G1434" s="2" t="s">
        <v>296</v>
      </c>
      <c r="H1434" s="17">
        <v>50</v>
      </c>
      <c r="I1434" s="31">
        <f t="shared" si="144"/>
        <v>50000</v>
      </c>
      <c r="J1434" s="31">
        <f t="shared" si="145"/>
        <v>3500.0000000000005</v>
      </c>
      <c r="K1434" s="44">
        <f t="shared" si="146"/>
        <v>9.589041095890412</v>
      </c>
      <c r="L1434" s="3">
        <f t="shared" si="147"/>
        <v>709.58904109589048</v>
      </c>
      <c r="M1434" s="3">
        <f t="shared" si="148"/>
        <v>42.57534246575343</v>
      </c>
      <c r="N1434" s="67">
        <f t="shared" si="149"/>
        <v>667.01369863013701</v>
      </c>
      <c r="O1434" s="3"/>
      <c r="P1434" s="70" t="s">
        <v>18631</v>
      </c>
      <c r="Q1434" s="2" t="s">
        <v>329</v>
      </c>
      <c r="R1434" s="2" t="s">
        <v>9157</v>
      </c>
      <c r="T1434" t="s">
        <v>18666</v>
      </c>
      <c r="U1434" t="s">
        <v>18652</v>
      </c>
      <c r="V1434" s="104">
        <v>45857</v>
      </c>
      <c r="X1434" s="97"/>
      <c r="Y1434" s="75">
        <v>667.02</v>
      </c>
    </row>
    <row r="1435" spans="1:25" x14ac:dyDescent="0.25">
      <c r="A1435" s="76">
        <v>1467</v>
      </c>
      <c r="B1435" s="2" t="s">
        <v>18377</v>
      </c>
      <c r="C1435" s="2" t="s">
        <v>18378</v>
      </c>
      <c r="D1435" s="2" t="s">
        <v>18379</v>
      </c>
      <c r="E1435" s="2" t="s">
        <v>18380</v>
      </c>
      <c r="F1435" s="2" t="s">
        <v>18381</v>
      </c>
      <c r="G1435" s="2" t="s">
        <v>2571</v>
      </c>
      <c r="H1435" s="17">
        <v>25</v>
      </c>
      <c r="I1435" s="31">
        <f t="shared" si="144"/>
        <v>25000</v>
      </c>
      <c r="J1435" s="31">
        <f t="shared" si="145"/>
        <v>1750.0000000000002</v>
      </c>
      <c r="K1435" s="44">
        <f t="shared" si="146"/>
        <v>4.794520547945206</v>
      </c>
      <c r="L1435" s="3">
        <f t="shared" si="147"/>
        <v>354.79452054794524</v>
      </c>
      <c r="M1435" s="3">
        <f t="shared" si="148"/>
        <v>21.287671232876715</v>
      </c>
      <c r="N1435" s="67">
        <f t="shared" si="149"/>
        <v>333.50684931506851</v>
      </c>
      <c r="O1435" s="3"/>
      <c r="P1435" s="70" t="s">
        <v>18631</v>
      </c>
      <c r="Q1435" s="2" t="s">
        <v>329</v>
      </c>
      <c r="R1435" s="2" t="s">
        <v>18382</v>
      </c>
      <c r="T1435" t="s">
        <v>18666</v>
      </c>
      <c r="U1435" t="s">
        <v>18652</v>
      </c>
      <c r="V1435" s="104">
        <v>45857</v>
      </c>
      <c r="X1435" s="97"/>
      <c r="Y1435" s="75">
        <v>333.51</v>
      </c>
    </row>
    <row r="1436" spans="1:25" x14ac:dyDescent="0.25">
      <c r="A1436" s="76">
        <v>1468</v>
      </c>
      <c r="B1436" s="2" t="s">
        <v>11460</v>
      </c>
      <c r="C1436" s="2" t="s">
        <v>11461</v>
      </c>
      <c r="D1436" s="2" t="s">
        <v>11462</v>
      </c>
      <c r="E1436" s="2" t="s">
        <v>11463</v>
      </c>
      <c r="F1436" s="2" t="s">
        <v>11464</v>
      </c>
      <c r="G1436" s="2" t="s">
        <v>39</v>
      </c>
      <c r="H1436" s="17">
        <v>25</v>
      </c>
      <c r="I1436" s="31">
        <f t="shared" si="144"/>
        <v>25000</v>
      </c>
      <c r="J1436" s="31">
        <f t="shared" si="145"/>
        <v>1750.0000000000002</v>
      </c>
      <c r="K1436" s="44">
        <f t="shared" si="146"/>
        <v>4.794520547945206</v>
      </c>
      <c r="L1436" s="3">
        <f t="shared" si="147"/>
        <v>354.79452054794524</v>
      </c>
      <c r="M1436" s="3">
        <f t="shared" si="148"/>
        <v>21.287671232876715</v>
      </c>
      <c r="N1436" s="67">
        <f t="shared" si="149"/>
        <v>333.50684931506851</v>
      </c>
      <c r="O1436" s="3"/>
      <c r="P1436" s="70" t="s">
        <v>18631</v>
      </c>
      <c r="Q1436" s="2" t="s">
        <v>329</v>
      </c>
      <c r="R1436" s="2" t="s">
        <v>11465</v>
      </c>
      <c r="T1436" t="s">
        <v>18666</v>
      </c>
      <c r="U1436" t="s">
        <v>18652</v>
      </c>
      <c r="V1436" s="104">
        <v>45857</v>
      </c>
      <c r="X1436" s="97"/>
      <c r="Y1436" s="75">
        <v>333.51</v>
      </c>
    </row>
    <row r="1437" spans="1:25" x14ac:dyDescent="0.25">
      <c r="A1437" s="76">
        <v>1469</v>
      </c>
      <c r="B1437" s="2" t="s">
        <v>11667</v>
      </c>
      <c r="C1437" s="2" t="s">
        <v>11668</v>
      </c>
      <c r="D1437" s="2" t="s">
        <v>11669</v>
      </c>
      <c r="E1437" s="2" t="s">
        <v>11670</v>
      </c>
      <c r="F1437" s="2" t="s">
        <v>11671</v>
      </c>
      <c r="G1437" s="2" t="s">
        <v>1315</v>
      </c>
      <c r="H1437" s="17">
        <v>100</v>
      </c>
      <c r="I1437" s="31">
        <f t="shared" si="144"/>
        <v>100000</v>
      </c>
      <c r="J1437" s="31">
        <f t="shared" si="145"/>
        <v>7000.0000000000009</v>
      </c>
      <c r="K1437" s="44">
        <f t="shared" si="146"/>
        <v>19.178082191780824</v>
      </c>
      <c r="L1437" s="3">
        <f t="shared" si="147"/>
        <v>1419.178082191781</v>
      </c>
      <c r="M1437" s="3">
        <f t="shared" si="148"/>
        <v>85.150684931506859</v>
      </c>
      <c r="N1437" s="67">
        <f t="shared" si="149"/>
        <v>1334.027397260274</v>
      </c>
      <c r="O1437" s="3"/>
      <c r="P1437" s="70" t="s">
        <v>18631</v>
      </c>
      <c r="Q1437" s="2" t="s">
        <v>329</v>
      </c>
      <c r="R1437" s="2" t="s">
        <v>11672</v>
      </c>
      <c r="T1437" t="s">
        <v>18666</v>
      </c>
      <c r="U1437" t="s">
        <v>18652</v>
      </c>
      <c r="V1437" s="104">
        <v>45857</v>
      </c>
      <c r="X1437" s="97"/>
      <c r="Y1437" s="75">
        <v>1334.03</v>
      </c>
    </row>
    <row r="1438" spans="1:25" x14ac:dyDescent="0.25">
      <c r="A1438" s="76">
        <v>1470</v>
      </c>
      <c r="B1438" s="2" t="s">
        <v>8690</v>
      </c>
      <c r="C1438" s="2" t="s">
        <v>8691</v>
      </c>
      <c r="D1438" s="2" t="s">
        <v>8692</v>
      </c>
      <c r="E1438" s="2" t="s">
        <v>8693</v>
      </c>
      <c r="F1438" s="2" t="s">
        <v>8694</v>
      </c>
      <c r="G1438" s="2" t="s">
        <v>743</v>
      </c>
      <c r="H1438" s="17">
        <v>25</v>
      </c>
      <c r="I1438" s="31">
        <f t="shared" si="144"/>
        <v>25000</v>
      </c>
      <c r="J1438" s="31">
        <f t="shared" si="145"/>
        <v>1750.0000000000002</v>
      </c>
      <c r="K1438" s="44">
        <f t="shared" si="146"/>
        <v>4.794520547945206</v>
      </c>
      <c r="L1438" s="3">
        <f t="shared" si="147"/>
        <v>354.79452054794524</v>
      </c>
      <c r="M1438" s="3">
        <f t="shared" si="148"/>
        <v>21.287671232876715</v>
      </c>
      <c r="N1438" s="67">
        <f t="shared" si="149"/>
        <v>333.50684931506851</v>
      </c>
      <c r="O1438" s="3"/>
      <c r="P1438" s="70" t="s">
        <v>18631</v>
      </c>
      <c r="Q1438" s="2" t="s">
        <v>329</v>
      </c>
      <c r="R1438" s="2" t="s">
        <v>8695</v>
      </c>
      <c r="T1438" t="s">
        <v>18666</v>
      </c>
      <c r="U1438" t="s">
        <v>18652</v>
      </c>
      <c r="V1438" s="104">
        <v>45857</v>
      </c>
      <c r="X1438" s="97"/>
      <c r="Y1438" s="75">
        <v>333.51</v>
      </c>
    </row>
    <row r="1439" spans="1:25" x14ac:dyDescent="0.25">
      <c r="A1439" s="76">
        <v>1471</v>
      </c>
      <c r="B1439" s="2" t="s">
        <v>9856</v>
      </c>
      <c r="C1439" s="2" t="s">
        <v>9857</v>
      </c>
      <c r="D1439" s="2" t="s">
        <v>9858</v>
      </c>
      <c r="E1439" s="2" t="s">
        <v>9859</v>
      </c>
      <c r="F1439" s="2" t="s">
        <v>9860</v>
      </c>
      <c r="G1439" s="2" t="s">
        <v>254</v>
      </c>
      <c r="H1439" s="17">
        <v>25</v>
      </c>
      <c r="I1439" s="31">
        <f t="shared" si="144"/>
        <v>25000</v>
      </c>
      <c r="J1439" s="31">
        <f t="shared" si="145"/>
        <v>1750.0000000000002</v>
      </c>
      <c r="K1439" s="44">
        <f t="shared" si="146"/>
        <v>4.794520547945206</v>
      </c>
      <c r="L1439" s="3">
        <f t="shared" si="147"/>
        <v>354.79452054794524</v>
      </c>
      <c r="M1439" s="3">
        <f t="shared" si="148"/>
        <v>21.287671232876715</v>
      </c>
      <c r="N1439" s="67">
        <f t="shared" si="149"/>
        <v>333.50684931506851</v>
      </c>
      <c r="O1439" s="3"/>
      <c r="P1439" s="70" t="s">
        <v>18631</v>
      </c>
      <c r="Q1439" s="2" t="s">
        <v>329</v>
      </c>
      <c r="R1439" s="2" t="s">
        <v>9861</v>
      </c>
      <c r="T1439" t="s">
        <v>18666</v>
      </c>
      <c r="U1439" t="s">
        <v>18652</v>
      </c>
      <c r="V1439" s="104">
        <v>45857</v>
      </c>
      <c r="X1439" s="97"/>
      <c r="Y1439" s="75">
        <v>333.51</v>
      </c>
    </row>
    <row r="1440" spans="1:25" x14ac:dyDescent="0.25">
      <c r="A1440" s="76">
        <v>1472</v>
      </c>
      <c r="B1440" s="2" t="s">
        <v>16113</v>
      </c>
      <c r="C1440" s="2" t="s">
        <v>16114</v>
      </c>
      <c r="D1440" s="2" t="s">
        <v>16115</v>
      </c>
      <c r="E1440" s="2" t="s">
        <v>16116</v>
      </c>
      <c r="F1440" s="2" t="s">
        <v>16117</v>
      </c>
      <c r="G1440" s="2" t="s">
        <v>31</v>
      </c>
      <c r="H1440" s="17">
        <v>25</v>
      </c>
      <c r="I1440" s="31">
        <f t="shared" si="144"/>
        <v>25000</v>
      </c>
      <c r="J1440" s="31">
        <f t="shared" si="145"/>
        <v>1750.0000000000002</v>
      </c>
      <c r="K1440" s="44">
        <f t="shared" si="146"/>
        <v>4.794520547945206</v>
      </c>
      <c r="L1440" s="3">
        <f t="shared" si="147"/>
        <v>354.79452054794524</v>
      </c>
      <c r="M1440" s="3">
        <f t="shared" si="148"/>
        <v>21.287671232876715</v>
      </c>
      <c r="N1440" s="67">
        <f t="shared" si="149"/>
        <v>333.50684931506851</v>
      </c>
      <c r="O1440" s="3"/>
      <c r="P1440" s="70" t="s">
        <v>18631</v>
      </c>
      <c r="Q1440" s="2" t="s">
        <v>329</v>
      </c>
      <c r="R1440" s="2" t="s">
        <v>16118</v>
      </c>
      <c r="T1440" t="s">
        <v>18666</v>
      </c>
      <c r="U1440" t="s">
        <v>18652</v>
      </c>
      <c r="V1440" s="104">
        <v>45857</v>
      </c>
      <c r="X1440" s="97"/>
      <c r="Y1440" s="75">
        <v>333.51</v>
      </c>
    </row>
    <row r="1441" spans="1:25" x14ac:dyDescent="0.25">
      <c r="A1441" s="76">
        <v>1473</v>
      </c>
      <c r="B1441" s="2" t="s">
        <v>5551</v>
      </c>
      <c r="C1441" s="2" t="s">
        <v>5552</v>
      </c>
      <c r="D1441" s="2" t="s">
        <v>5553</v>
      </c>
      <c r="E1441" s="2" t="s">
        <v>5554</v>
      </c>
      <c r="F1441" s="2" t="s">
        <v>5555</v>
      </c>
      <c r="G1441" s="2" t="s">
        <v>151</v>
      </c>
      <c r="H1441" s="17">
        <v>25</v>
      </c>
      <c r="I1441" s="31">
        <f t="shared" si="144"/>
        <v>25000</v>
      </c>
      <c r="J1441" s="31">
        <f t="shared" si="145"/>
        <v>1750.0000000000002</v>
      </c>
      <c r="K1441" s="44">
        <f t="shared" si="146"/>
        <v>4.794520547945206</v>
      </c>
      <c r="L1441" s="3">
        <f t="shared" si="147"/>
        <v>354.79452054794524</v>
      </c>
      <c r="M1441" s="3">
        <f t="shared" si="148"/>
        <v>21.287671232876715</v>
      </c>
      <c r="N1441" s="67">
        <f t="shared" si="149"/>
        <v>333.50684931506851</v>
      </c>
      <c r="O1441" s="3"/>
      <c r="P1441" s="70" t="s">
        <v>18631</v>
      </c>
      <c r="Q1441" s="2" t="s">
        <v>329</v>
      </c>
      <c r="R1441" s="2" t="s">
        <v>5556</v>
      </c>
      <c r="T1441" t="s">
        <v>18666</v>
      </c>
      <c r="U1441" t="s">
        <v>18652</v>
      </c>
      <c r="V1441" s="104">
        <v>45857</v>
      </c>
      <c r="X1441" s="97"/>
      <c r="Y1441" s="75">
        <v>333.51</v>
      </c>
    </row>
    <row r="1442" spans="1:25" x14ac:dyDescent="0.25">
      <c r="A1442" s="76">
        <v>1474</v>
      </c>
      <c r="B1442" s="2" t="s">
        <v>3707</v>
      </c>
      <c r="C1442" s="2" t="s">
        <v>3708</v>
      </c>
      <c r="D1442" s="2" t="s">
        <v>3709</v>
      </c>
      <c r="E1442" s="2" t="s">
        <v>3710</v>
      </c>
      <c r="F1442" s="2" t="s">
        <v>3711</v>
      </c>
      <c r="G1442" s="2" t="s">
        <v>328</v>
      </c>
      <c r="H1442" s="17">
        <v>400</v>
      </c>
      <c r="I1442" s="31">
        <f t="shared" si="144"/>
        <v>400000</v>
      </c>
      <c r="J1442" s="31">
        <f t="shared" si="145"/>
        <v>28000.000000000004</v>
      </c>
      <c r="K1442" s="44">
        <f t="shared" si="146"/>
        <v>76.712328767123296</v>
      </c>
      <c r="L1442" s="3">
        <f t="shared" si="147"/>
        <v>5676.7123287671238</v>
      </c>
      <c r="M1442" s="3">
        <f t="shared" si="148"/>
        <v>340.60273972602744</v>
      </c>
      <c r="N1442" s="67">
        <f t="shared" si="149"/>
        <v>5336.1095890410961</v>
      </c>
      <c r="O1442" s="3"/>
      <c r="P1442" s="70" t="s">
        <v>18631</v>
      </c>
      <c r="Q1442" s="2" t="s">
        <v>329</v>
      </c>
      <c r="R1442" s="2" t="s">
        <v>3712</v>
      </c>
      <c r="T1442" t="s">
        <v>18666</v>
      </c>
      <c r="U1442" t="s">
        <v>18652</v>
      </c>
      <c r="V1442" s="104">
        <v>45857</v>
      </c>
      <c r="X1442" s="97"/>
      <c r="Y1442" s="75">
        <v>5336.1100000000006</v>
      </c>
    </row>
    <row r="1443" spans="1:25" x14ac:dyDescent="0.25">
      <c r="A1443" s="76">
        <v>1475</v>
      </c>
      <c r="B1443" s="2" t="s">
        <v>13346</v>
      </c>
      <c r="C1443" s="2" t="s">
        <v>13347</v>
      </c>
      <c r="D1443" s="2" t="s">
        <v>13348</v>
      </c>
      <c r="E1443" s="2" t="s">
        <v>13349</v>
      </c>
      <c r="F1443" s="2" t="s">
        <v>2295</v>
      </c>
      <c r="G1443" s="2" t="s">
        <v>31</v>
      </c>
      <c r="H1443" s="17">
        <v>25</v>
      </c>
      <c r="I1443" s="31">
        <f t="shared" si="144"/>
        <v>25000</v>
      </c>
      <c r="J1443" s="31">
        <f t="shared" si="145"/>
        <v>1750.0000000000002</v>
      </c>
      <c r="K1443" s="44">
        <f t="shared" si="146"/>
        <v>4.794520547945206</v>
      </c>
      <c r="L1443" s="3">
        <f t="shared" si="147"/>
        <v>354.79452054794524</v>
      </c>
      <c r="M1443" s="3">
        <f t="shared" si="148"/>
        <v>21.287671232876715</v>
      </c>
      <c r="N1443" s="67">
        <f t="shared" si="149"/>
        <v>333.50684931506851</v>
      </c>
      <c r="O1443" s="3"/>
      <c r="P1443" s="70" t="s">
        <v>18631</v>
      </c>
      <c r="Q1443" s="2" t="s">
        <v>329</v>
      </c>
      <c r="R1443" s="2" t="s">
        <v>13350</v>
      </c>
      <c r="T1443" t="s">
        <v>18666</v>
      </c>
      <c r="U1443" t="s">
        <v>18652</v>
      </c>
      <c r="V1443" s="104">
        <v>45857</v>
      </c>
      <c r="X1443" s="97"/>
      <c r="Y1443" s="75">
        <v>333.51</v>
      </c>
    </row>
    <row r="1444" spans="1:25" x14ac:dyDescent="0.25">
      <c r="A1444" s="76">
        <v>1476</v>
      </c>
      <c r="B1444" s="2" t="s">
        <v>1087</v>
      </c>
      <c r="C1444" s="2" t="s">
        <v>1088</v>
      </c>
      <c r="D1444" s="2" t="s">
        <v>1089</v>
      </c>
      <c r="E1444" s="2" t="s">
        <v>1090</v>
      </c>
      <c r="F1444" s="2" t="s">
        <v>1091</v>
      </c>
      <c r="G1444" s="2" t="s">
        <v>718</v>
      </c>
      <c r="H1444" s="17">
        <v>50</v>
      </c>
      <c r="I1444" s="31">
        <f t="shared" si="144"/>
        <v>50000</v>
      </c>
      <c r="J1444" s="31">
        <f t="shared" si="145"/>
        <v>3500.0000000000005</v>
      </c>
      <c r="K1444" s="44">
        <f t="shared" si="146"/>
        <v>9.589041095890412</v>
      </c>
      <c r="L1444" s="3">
        <f t="shared" si="147"/>
        <v>709.58904109589048</v>
      </c>
      <c r="M1444" s="3">
        <f t="shared" si="148"/>
        <v>42.57534246575343</v>
      </c>
      <c r="N1444" s="67">
        <f t="shared" si="149"/>
        <v>667.01369863013701</v>
      </c>
      <c r="O1444" s="3"/>
      <c r="P1444" s="70" t="s">
        <v>18631</v>
      </c>
      <c r="Q1444" s="2" t="s">
        <v>329</v>
      </c>
      <c r="R1444" s="2" t="s">
        <v>1092</v>
      </c>
      <c r="T1444" t="s">
        <v>18666</v>
      </c>
      <c r="U1444" t="s">
        <v>18652</v>
      </c>
      <c r="V1444" s="104">
        <v>45857</v>
      </c>
      <c r="X1444" s="97"/>
      <c r="Y1444" s="75">
        <v>667.02</v>
      </c>
    </row>
    <row r="1445" spans="1:25" x14ac:dyDescent="0.25">
      <c r="A1445" s="76">
        <v>1477</v>
      </c>
      <c r="B1445" s="2" t="s">
        <v>4040</v>
      </c>
      <c r="C1445" s="2" t="s">
        <v>4041</v>
      </c>
      <c r="D1445" s="2" t="s">
        <v>4042</v>
      </c>
      <c r="E1445" s="2" t="s">
        <v>4043</v>
      </c>
      <c r="F1445" s="2" t="s">
        <v>4044</v>
      </c>
      <c r="G1445" s="2" t="s">
        <v>31</v>
      </c>
      <c r="H1445" s="17">
        <v>25</v>
      </c>
      <c r="I1445" s="31">
        <f t="shared" si="144"/>
        <v>25000</v>
      </c>
      <c r="J1445" s="31">
        <f t="shared" si="145"/>
        <v>1750.0000000000002</v>
      </c>
      <c r="K1445" s="44">
        <f t="shared" si="146"/>
        <v>4.794520547945206</v>
      </c>
      <c r="L1445" s="3">
        <f t="shared" si="147"/>
        <v>354.79452054794524</v>
      </c>
      <c r="M1445" s="3">
        <f t="shared" si="148"/>
        <v>21.287671232876715</v>
      </c>
      <c r="N1445" s="67">
        <f t="shared" si="149"/>
        <v>333.50684931506851</v>
      </c>
      <c r="O1445" s="3"/>
      <c r="P1445" s="70" t="s">
        <v>18631</v>
      </c>
      <c r="Q1445" s="2" t="s">
        <v>329</v>
      </c>
      <c r="R1445" s="2" t="s">
        <v>4045</v>
      </c>
      <c r="T1445" t="s">
        <v>18666</v>
      </c>
      <c r="U1445" t="s">
        <v>18652</v>
      </c>
      <c r="V1445" s="104">
        <v>45857</v>
      </c>
      <c r="X1445" s="97"/>
      <c r="Y1445" s="75">
        <v>333.51</v>
      </c>
    </row>
    <row r="1446" spans="1:25" x14ac:dyDescent="0.25">
      <c r="A1446" s="76">
        <v>1478</v>
      </c>
      <c r="B1446" s="2" t="s">
        <v>14460</v>
      </c>
      <c r="C1446" s="2" t="s">
        <v>14461</v>
      </c>
      <c r="D1446" s="2" t="s">
        <v>14462</v>
      </c>
      <c r="E1446" s="2" t="s">
        <v>14463</v>
      </c>
      <c r="F1446" s="2" t="s">
        <v>14464</v>
      </c>
      <c r="G1446" s="2" t="s">
        <v>296</v>
      </c>
      <c r="H1446" s="17">
        <v>25</v>
      </c>
      <c r="I1446" s="31">
        <f t="shared" si="144"/>
        <v>25000</v>
      </c>
      <c r="J1446" s="31">
        <f t="shared" si="145"/>
        <v>1750.0000000000002</v>
      </c>
      <c r="K1446" s="44">
        <f t="shared" si="146"/>
        <v>4.794520547945206</v>
      </c>
      <c r="L1446" s="3">
        <f t="shared" si="147"/>
        <v>354.79452054794524</v>
      </c>
      <c r="M1446" s="3">
        <f t="shared" si="148"/>
        <v>21.287671232876715</v>
      </c>
      <c r="N1446" s="67">
        <f t="shared" si="149"/>
        <v>333.50684931506851</v>
      </c>
      <c r="O1446" s="3"/>
      <c r="P1446" s="70" t="s">
        <v>18631</v>
      </c>
      <c r="Q1446" s="2" t="s">
        <v>329</v>
      </c>
      <c r="R1446" s="2" t="s">
        <v>14465</v>
      </c>
      <c r="T1446" t="s">
        <v>18666</v>
      </c>
      <c r="U1446" t="s">
        <v>18652</v>
      </c>
      <c r="V1446" s="104">
        <v>45857</v>
      </c>
      <c r="X1446" s="97"/>
      <c r="Y1446" s="75">
        <v>333.51</v>
      </c>
    </row>
    <row r="1447" spans="1:25" x14ac:dyDescent="0.25">
      <c r="A1447" s="76">
        <v>1479</v>
      </c>
      <c r="B1447" s="2" t="s">
        <v>3051</v>
      </c>
      <c r="C1447" s="2" t="s">
        <v>3052</v>
      </c>
      <c r="D1447" s="2" t="s">
        <v>3053</v>
      </c>
      <c r="E1447" s="2" t="s">
        <v>3054</v>
      </c>
      <c r="F1447" s="2" t="s">
        <v>3055</v>
      </c>
      <c r="G1447" s="2" t="s">
        <v>101</v>
      </c>
      <c r="H1447" s="17">
        <v>25</v>
      </c>
      <c r="I1447" s="31">
        <f t="shared" si="144"/>
        <v>25000</v>
      </c>
      <c r="J1447" s="31">
        <f t="shared" si="145"/>
        <v>1750.0000000000002</v>
      </c>
      <c r="K1447" s="44">
        <f t="shared" si="146"/>
        <v>4.794520547945206</v>
      </c>
      <c r="L1447" s="3">
        <f t="shared" si="147"/>
        <v>354.79452054794524</v>
      </c>
      <c r="M1447" s="3">
        <f t="shared" si="148"/>
        <v>21.287671232876715</v>
      </c>
      <c r="N1447" s="67">
        <f t="shared" si="149"/>
        <v>333.50684931506851</v>
      </c>
      <c r="O1447" s="3"/>
      <c r="P1447" s="70" t="s">
        <v>18631</v>
      </c>
      <c r="Q1447" s="2" t="s">
        <v>329</v>
      </c>
      <c r="R1447" s="2" t="s">
        <v>3056</v>
      </c>
      <c r="T1447" t="s">
        <v>18666</v>
      </c>
      <c r="U1447" t="s">
        <v>18652</v>
      </c>
      <c r="V1447" s="104">
        <v>45857</v>
      </c>
      <c r="X1447" s="97"/>
      <c r="Y1447" s="75">
        <v>333.51</v>
      </c>
    </row>
    <row r="1448" spans="1:25" x14ac:dyDescent="0.25">
      <c r="A1448" s="76">
        <v>1480</v>
      </c>
      <c r="B1448" s="2" t="s">
        <v>11466</v>
      </c>
      <c r="C1448" s="2" t="s">
        <v>1785</v>
      </c>
      <c r="D1448" s="2" t="s">
        <v>11467</v>
      </c>
      <c r="E1448" s="2" t="s">
        <v>11468</v>
      </c>
      <c r="F1448" s="2" t="s">
        <v>11469</v>
      </c>
      <c r="G1448" s="2" t="s">
        <v>23</v>
      </c>
      <c r="H1448" s="17">
        <v>25</v>
      </c>
      <c r="I1448" s="31">
        <f t="shared" si="144"/>
        <v>25000</v>
      </c>
      <c r="J1448" s="31">
        <f t="shared" si="145"/>
        <v>1750.0000000000002</v>
      </c>
      <c r="K1448" s="44">
        <f t="shared" si="146"/>
        <v>4.794520547945206</v>
      </c>
      <c r="L1448" s="3">
        <f t="shared" si="147"/>
        <v>354.79452054794524</v>
      </c>
      <c r="M1448" s="3">
        <f t="shared" si="148"/>
        <v>21.287671232876715</v>
      </c>
      <c r="N1448" s="67">
        <f t="shared" si="149"/>
        <v>333.50684931506851</v>
      </c>
      <c r="O1448" s="3"/>
      <c r="P1448" s="70" t="s">
        <v>18631</v>
      </c>
      <c r="Q1448" s="2" t="s">
        <v>329</v>
      </c>
      <c r="R1448" s="2" t="s">
        <v>11470</v>
      </c>
      <c r="T1448" t="s">
        <v>18666</v>
      </c>
      <c r="U1448" t="s">
        <v>18652</v>
      </c>
      <c r="V1448" s="104">
        <v>45857</v>
      </c>
      <c r="X1448" s="97"/>
      <c r="Y1448" s="75">
        <v>333.51</v>
      </c>
    </row>
    <row r="1449" spans="1:25" x14ac:dyDescent="0.25">
      <c r="A1449" s="76">
        <v>1481</v>
      </c>
      <c r="B1449" s="2" t="s">
        <v>13875</v>
      </c>
      <c r="C1449" s="2" t="s">
        <v>13876</v>
      </c>
      <c r="D1449" s="2" t="s">
        <v>13877</v>
      </c>
      <c r="E1449" s="2" t="s">
        <v>13878</v>
      </c>
      <c r="F1449" s="2" t="s">
        <v>13879</v>
      </c>
      <c r="G1449" s="2" t="s">
        <v>799</v>
      </c>
      <c r="H1449" s="17">
        <v>25</v>
      </c>
      <c r="I1449" s="31">
        <f t="shared" si="144"/>
        <v>25000</v>
      </c>
      <c r="J1449" s="31">
        <f t="shared" si="145"/>
        <v>1750.0000000000002</v>
      </c>
      <c r="K1449" s="44">
        <f t="shared" si="146"/>
        <v>4.794520547945206</v>
      </c>
      <c r="L1449" s="3">
        <f t="shared" si="147"/>
        <v>354.79452054794524</v>
      </c>
      <c r="M1449" s="3">
        <f t="shared" si="148"/>
        <v>21.287671232876715</v>
      </c>
      <c r="N1449" s="67">
        <f t="shared" si="149"/>
        <v>333.50684931506851</v>
      </c>
      <c r="O1449" s="3"/>
      <c r="P1449" s="70" t="s">
        <v>18631</v>
      </c>
      <c r="Q1449" s="2" t="s">
        <v>329</v>
      </c>
      <c r="R1449" s="2" t="s">
        <v>13880</v>
      </c>
      <c r="T1449" t="s">
        <v>18666</v>
      </c>
      <c r="U1449" t="s">
        <v>18652</v>
      </c>
      <c r="V1449" s="104">
        <v>45857</v>
      </c>
      <c r="X1449" s="97"/>
      <c r="Y1449" s="75">
        <v>333.51</v>
      </c>
    </row>
    <row r="1450" spans="1:25" x14ac:dyDescent="0.25">
      <c r="A1450" s="76">
        <v>1482</v>
      </c>
      <c r="B1450" s="2" t="s">
        <v>11673</v>
      </c>
      <c r="C1450" s="2" t="s">
        <v>11674</v>
      </c>
      <c r="D1450" s="2" t="s">
        <v>11675</v>
      </c>
      <c r="E1450" s="2" t="s">
        <v>11676</v>
      </c>
      <c r="F1450" s="2" t="s">
        <v>11677</v>
      </c>
      <c r="G1450" s="2" t="s">
        <v>381</v>
      </c>
      <c r="H1450" s="17">
        <v>100</v>
      </c>
      <c r="I1450" s="31">
        <f t="shared" si="144"/>
        <v>100000</v>
      </c>
      <c r="J1450" s="31">
        <f t="shared" si="145"/>
        <v>7000.0000000000009</v>
      </c>
      <c r="K1450" s="44">
        <f t="shared" si="146"/>
        <v>19.178082191780824</v>
      </c>
      <c r="L1450" s="3">
        <f t="shared" si="147"/>
        <v>1419.178082191781</v>
      </c>
      <c r="M1450" s="3">
        <f t="shared" si="148"/>
        <v>85.150684931506859</v>
      </c>
      <c r="N1450" s="67">
        <f t="shared" si="149"/>
        <v>1334.027397260274</v>
      </c>
      <c r="O1450" s="3"/>
      <c r="P1450" s="70" t="s">
        <v>18631</v>
      </c>
      <c r="Q1450" s="2" t="s">
        <v>329</v>
      </c>
      <c r="R1450" s="2" t="s">
        <v>11678</v>
      </c>
      <c r="T1450" t="s">
        <v>18666</v>
      </c>
      <c r="U1450" t="s">
        <v>18652</v>
      </c>
      <c r="V1450" s="104">
        <v>45857</v>
      </c>
      <c r="X1450" s="97"/>
      <c r="Y1450" s="75">
        <v>1334.03</v>
      </c>
    </row>
    <row r="1451" spans="1:25" x14ac:dyDescent="0.25">
      <c r="A1451" s="76">
        <v>1483</v>
      </c>
      <c r="B1451" s="2" t="s">
        <v>17207</v>
      </c>
      <c r="C1451" s="2" t="s">
        <v>17208</v>
      </c>
      <c r="D1451" s="2" t="s">
        <v>17209</v>
      </c>
      <c r="E1451" s="2" t="s">
        <v>17210</v>
      </c>
      <c r="F1451" s="2" t="s">
        <v>17211</v>
      </c>
      <c r="G1451" s="2" t="s">
        <v>328</v>
      </c>
      <c r="H1451" s="17">
        <v>25</v>
      </c>
      <c r="I1451" s="31">
        <f t="shared" si="144"/>
        <v>25000</v>
      </c>
      <c r="J1451" s="31">
        <f t="shared" si="145"/>
        <v>1750.0000000000002</v>
      </c>
      <c r="K1451" s="44">
        <f t="shared" si="146"/>
        <v>4.794520547945206</v>
      </c>
      <c r="L1451" s="3">
        <f t="shared" si="147"/>
        <v>354.79452054794524</v>
      </c>
      <c r="M1451" s="3">
        <f t="shared" si="148"/>
        <v>21.287671232876715</v>
      </c>
      <c r="N1451" s="67">
        <f t="shared" si="149"/>
        <v>333.50684931506851</v>
      </c>
      <c r="O1451" s="3"/>
      <c r="P1451" s="70" t="s">
        <v>18631</v>
      </c>
      <c r="Q1451" s="2" t="s">
        <v>329</v>
      </c>
      <c r="R1451" s="2" t="s">
        <v>17212</v>
      </c>
      <c r="T1451" t="s">
        <v>18666</v>
      </c>
      <c r="U1451" t="s">
        <v>18652</v>
      </c>
      <c r="V1451" s="104">
        <v>45857</v>
      </c>
      <c r="X1451" s="97"/>
      <c r="Y1451" s="75">
        <v>333.51</v>
      </c>
    </row>
    <row r="1452" spans="1:25" x14ac:dyDescent="0.25">
      <c r="A1452" s="76">
        <v>1484</v>
      </c>
      <c r="B1452" s="2" t="s">
        <v>1623</v>
      </c>
      <c r="C1452" s="2" t="s">
        <v>1624</v>
      </c>
      <c r="D1452" s="2" t="s">
        <v>1625</v>
      </c>
      <c r="E1452" s="2" t="s">
        <v>1626</v>
      </c>
      <c r="F1452" s="2" t="s">
        <v>1627</v>
      </c>
      <c r="G1452" s="2" t="s">
        <v>876</v>
      </c>
      <c r="H1452" s="17">
        <v>100</v>
      </c>
      <c r="I1452" s="31">
        <f t="shared" si="144"/>
        <v>100000</v>
      </c>
      <c r="J1452" s="31">
        <f t="shared" si="145"/>
        <v>7000.0000000000009</v>
      </c>
      <c r="K1452" s="44">
        <f t="shared" si="146"/>
        <v>19.178082191780824</v>
      </c>
      <c r="L1452" s="3">
        <f t="shared" si="147"/>
        <v>1419.178082191781</v>
      </c>
      <c r="M1452" s="3">
        <f t="shared" si="148"/>
        <v>85.150684931506859</v>
      </c>
      <c r="N1452" s="67">
        <f t="shared" si="149"/>
        <v>1334.027397260274</v>
      </c>
      <c r="O1452" s="3"/>
      <c r="P1452" s="70" t="s">
        <v>18631</v>
      </c>
      <c r="Q1452" s="2" t="s">
        <v>329</v>
      </c>
      <c r="R1452" s="2" t="s">
        <v>1628</v>
      </c>
      <c r="T1452" t="s">
        <v>18666</v>
      </c>
      <c r="U1452" t="s">
        <v>18652</v>
      </c>
      <c r="V1452" s="104">
        <v>45857</v>
      </c>
      <c r="X1452" s="97"/>
      <c r="Y1452" s="75">
        <v>1334.03</v>
      </c>
    </row>
    <row r="1453" spans="1:25" x14ac:dyDescent="0.25">
      <c r="A1453" s="76">
        <v>1485</v>
      </c>
      <c r="B1453" s="2" t="s">
        <v>2973</v>
      </c>
      <c r="C1453" s="2" t="s">
        <v>2974</v>
      </c>
      <c r="D1453" s="2" t="s">
        <v>2975</v>
      </c>
      <c r="E1453" s="2" t="s">
        <v>2976</v>
      </c>
      <c r="F1453" s="2" t="s">
        <v>2977</v>
      </c>
      <c r="G1453" s="2" t="s">
        <v>296</v>
      </c>
      <c r="H1453" s="17">
        <v>25</v>
      </c>
      <c r="I1453" s="31">
        <f t="shared" si="144"/>
        <v>25000</v>
      </c>
      <c r="J1453" s="31">
        <f t="shared" si="145"/>
        <v>1750.0000000000002</v>
      </c>
      <c r="K1453" s="44">
        <f t="shared" si="146"/>
        <v>4.794520547945206</v>
      </c>
      <c r="L1453" s="3">
        <f t="shared" si="147"/>
        <v>354.79452054794524</v>
      </c>
      <c r="M1453" s="3">
        <f t="shared" si="148"/>
        <v>21.287671232876715</v>
      </c>
      <c r="N1453" s="67">
        <f t="shared" si="149"/>
        <v>333.50684931506851</v>
      </c>
      <c r="O1453" s="3"/>
      <c r="P1453" s="70" t="s">
        <v>18631</v>
      </c>
      <c r="Q1453" s="2" t="s">
        <v>329</v>
      </c>
      <c r="R1453" s="2" t="s">
        <v>2978</v>
      </c>
      <c r="T1453" t="s">
        <v>18666</v>
      </c>
      <c r="U1453" t="s">
        <v>18652</v>
      </c>
      <c r="V1453" s="104">
        <v>45857</v>
      </c>
      <c r="X1453" s="97"/>
      <c r="Y1453" s="75">
        <v>333.51</v>
      </c>
    </row>
    <row r="1454" spans="1:25" x14ac:dyDescent="0.25">
      <c r="A1454" s="76">
        <v>1486</v>
      </c>
      <c r="B1454" s="2" t="s">
        <v>8980</v>
      </c>
      <c r="C1454" s="2" t="s">
        <v>8981</v>
      </c>
      <c r="D1454" s="2" t="s">
        <v>8982</v>
      </c>
      <c r="E1454" s="2" t="s">
        <v>8983</v>
      </c>
      <c r="F1454" s="2" t="s">
        <v>8984</v>
      </c>
      <c r="G1454" s="2" t="s">
        <v>362</v>
      </c>
      <c r="H1454" s="17">
        <v>25</v>
      </c>
      <c r="I1454" s="31">
        <f t="shared" si="144"/>
        <v>25000</v>
      </c>
      <c r="J1454" s="31">
        <f t="shared" si="145"/>
        <v>1750.0000000000002</v>
      </c>
      <c r="K1454" s="44">
        <f t="shared" si="146"/>
        <v>4.794520547945206</v>
      </c>
      <c r="L1454" s="3">
        <f t="shared" si="147"/>
        <v>354.79452054794524</v>
      </c>
      <c r="M1454" s="3">
        <f t="shared" si="148"/>
        <v>21.287671232876715</v>
      </c>
      <c r="N1454" s="67">
        <f t="shared" si="149"/>
        <v>333.50684931506851</v>
      </c>
      <c r="O1454" s="3"/>
      <c r="P1454" s="70" t="s">
        <v>18631</v>
      </c>
      <c r="Q1454" s="2" t="s">
        <v>329</v>
      </c>
      <c r="R1454" s="2" t="s">
        <v>8985</v>
      </c>
      <c r="T1454" t="s">
        <v>18666</v>
      </c>
      <c r="U1454" t="s">
        <v>18652</v>
      </c>
      <c r="V1454" s="104">
        <v>45857</v>
      </c>
      <c r="X1454" s="97"/>
      <c r="Y1454" s="75">
        <v>333.51</v>
      </c>
    </row>
    <row r="1455" spans="1:25" x14ac:dyDescent="0.25">
      <c r="A1455" s="76">
        <v>1487</v>
      </c>
      <c r="B1455" s="2" t="s">
        <v>6608</v>
      </c>
      <c r="C1455" s="2" t="s">
        <v>6609</v>
      </c>
      <c r="D1455" s="2" t="s">
        <v>6610</v>
      </c>
      <c r="E1455" s="2" t="s">
        <v>6611</v>
      </c>
      <c r="F1455" s="2" t="s">
        <v>6612</v>
      </c>
      <c r="G1455" s="2" t="s">
        <v>296</v>
      </c>
      <c r="H1455" s="17">
        <v>30</v>
      </c>
      <c r="I1455" s="31">
        <f t="shared" si="144"/>
        <v>30000</v>
      </c>
      <c r="J1455" s="31">
        <f t="shared" si="145"/>
        <v>2100</v>
      </c>
      <c r="K1455" s="44">
        <f t="shared" si="146"/>
        <v>5.7534246575342465</v>
      </c>
      <c r="L1455" s="3">
        <f t="shared" si="147"/>
        <v>425.75342465753425</v>
      </c>
      <c r="M1455" s="3">
        <f t="shared" si="148"/>
        <v>25.545205479452054</v>
      </c>
      <c r="N1455" s="67">
        <f t="shared" si="149"/>
        <v>400.20821917808217</v>
      </c>
      <c r="O1455" s="3"/>
      <c r="P1455" s="70" t="s">
        <v>18631</v>
      </c>
      <c r="Q1455" s="2" t="s">
        <v>329</v>
      </c>
      <c r="R1455" s="2" t="s">
        <v>6613</v>
      </c>
      <c r="T1455" t="s">
        <v>18666</v>
      </c>
      <c r="U1455" t="s">
        <v>18652</v>
      </c>
      <c r="V1455" s="104">
        <v>45857</v>
      </c>
      <c r="X1455" s="97"/>
      <c r="Y1455" s="75">
        <v>400.21</v>
      </c>
    </row>
    <row r="1456" spans="1:25" x14ac:dyDescent="0.25">
      <c r="A1456" s="76">
        <v>1488</v>
      </c>
      <c r="B1456" s="2" t="s">
        <v>13714</v>
      </c>
      <c r="C1456" s="2" t="s">
        <v>13715</v>
      </c>
      <c r="D1456" s="2" t="s">
        <v>4341</v>
      </c>
      <c r="E1456" s="2" t="s">
        <v>5334</v>
      </c>
      <c r="F1456" s="2" t="s">
        <v>13716</v>
      </c>
      <c r="G1456" s="2" t="s">
        <v>31</v>
      </c>
      <c r="H1456" s="17">
        <v>500</v>
      </c>
      <c r="I1456" s="31">
        <f t="shared" si="144"/>
        <v>500000</v>
      </c>
      <c r="J1456" s="31">
        <f t="shared" si="145"/>
        <v>35000</v>
      </c>
      <c r="K1456" s="44">
        <f t="shared" si="146"/>
        <v>95.890410958904113</v>
      </c>
      <c r="L1456" s="3">
        <f t="shared" si="147"/>
        <v>7095.8904109589039</v>
      </c>
      <c r="M1456" s="3">
        <f t="shared" si="148"/>
        <v>425.7534246575342</v>
      </c>
      <c r="N1456" s="67">
        <f t="shared" si="149"/>
        <v>6670.1369863013697</v>
      </c>
      <c r="O1456" s="3"/>
      <c r="P1456" s="70" t="s">
        <v>18631</v>
      </c>
      <c r="Q1456" s="2" t="s">
        <v>329</v>
      </c>
      <c r="R1456" s="2" t="s">
        <v>13717</v>
      </c>
      <c r="T1456" t="s">
        <v>18666</v>
      </c>
      <c r="U1456" t="s">
        <v>18652</v>
      </c>
      <c r="V1456" s="104">
        <v>45857</v>
      </c>
      <c r="X1456" s="97"/>
      <c r="Y1456" s="75">
        <v>6670.14</v>
      </c>
    </row>
    <row r="1457" spans="1:25" x14ac:dyDescent="0.25">
      <c r="A1457" s="76">
        <v>1489</v>
      </c>
      <c r="B1457" s="2" t="s">
        <v>4151</v>
      </c>
      <c r="C1457" s="2" t="s">
        <v>4152</v>
      </c>
      <c r="D1457" s="2" t="s">
        <v>4153</v>
      </c>
      <c r="E1457" s="2" t="s">
        <v>4154</v>
      </c>
      <c r="F1457" s="2" t="s">
        <v>4155</v>
      </c>
      <c r="G1457" s="2" t="s">
        <v>412</v>
      </c>
      <c r="H1457" s="17">
        <v>25</v>
      </c>
      <c r="I1457" s="31">
        <f t="shared" si="144"/>
        <v>25000</v>
      </c>
      <c r="J1457" s="31">
        <f t="shared" si="145"/>
        <v>1750.0000000000002</v>
      </c>
      <c r="K1457" s="44">
        <f t="shared" si="146"/>
        <v>4.794520547945206</v>
      </c>
      <c r="L1457" s="3">
        <f t="shared" si="147"/>
        <v>354.79452054794524</v>
      </c>
      <c r="M1457" s="3">
        <f t="shared" si="148"/>
        <v>21.287671232876715</v>
      </c>
      <c r="N1457" s="67">
        <f t="shared" si="149"/>
        <v>333.50684931506851</v>
      </c>
      <c r="O1457" s="3"/>
      <c r="P1457" s="70" t="s">
        <v>18631</v>
      </c>
      <c r="Q1457" s="2" t="s">
        <v>329</v>
      </c>
      <c r="R1457" s="2" t="s">
        <v>4156</v>
      </c>
      <c r="T1457" t="s">
        <v>18666</v>
      </c>
      <c r="U1457" t="s">
        <v>18652</v>
      </c>
      <c r="V1457" s="104">
        <v>45857</v>
      </c>
      <c r="X1457" s="97"/>
      <c r="Y1457" s="75">
        <v>333.51</v>
      </c>
    </row>
    <row r="1458" spans="1:25" x14ac:dyDescent="0.25">
      <c r="A1458" s="76">
        <v>1490</v>
      </c>
      <c r="B1458" s="2" t="s">
        <v>6806</v>
      </c>
      <c r="C1458" s="2" t="s">
        <v>6807</v>
      </c>
      <c r="D1458" s="2" t="s">
        <v>4395</v>
      </c>
      <c r="E1458" s="2" t="s">
        <v>6808</v>
      </c>
      <c r="F1458" s="2" t="s">
        <v>6809</v>
      </c>
      <c r="G1458" s="2" t="s">
        <v>296</v>
      </c>
      <c r="H1458" s="17">
        <v>25</v>
      </c>
      <c r="I1458" s="31">
        <f t="shared" si="144"/>
        <v>25000</v>
      </c>
      <c r="J1458" s="31">
        <f t="shared" si="145"/>
        <v>1750.0000000000002</v>
      </c>
      <c r="K1458" s="44">
        <f t="shared" si="146"/>
        <v>4.794520547945206</v>
      </c>
      <c r="L1458" s="3">
        <f t="shared" si="147"/>
        <v>354.79452054794524</v>
      </c>
      <c r="M1458" s="3">
        <f t="shared" si="148"/>
        <v>21.287671232876715</v>
      </c>
      <c r="N1458" s="67">
        <f t="shared" si="149"/>
        <v>333.50684931506851</v>
      </c>
      <c r="O1458" s="3"/>
      <c r="P1458" s="70" t="s">
        <v>18631</v>
      </c>
      <c r="Q1458" s="2" t="s">
        <v>329</v>
      </c>
      <c r="R1458" s="2" t="s">
        <v>6810</v>
      </c>
      <c r="T1458" t="s">
        <v>18666</v>
      </c>
      <c r="U1458" t="s">
        <v>18652</v>
      </c>
      <c r="V1458" s="104">
        <v>45857</v>
      </c>
      <c r="X1458" s="97"/>
      <c r="Y1458" s="75">
        <v>333.51</v>
      </c>
    </row>
    <row r="1459" spans="1:25" x14ac:dyDescent="0.25">
      <c r="A1459" s="76">
        <v>1491</v>
      </c>
      <c r="B1459" s="2" t="s">
        <v>3518</v>
      </c>
      <c r="C1459" s="2" t="s">
        <v>3519</v>
      </c>
      <c r="D1459" s="2" t="s">
        <v>3520</v>
      </c>
      <c r="E1459" s="2" t="s">
        <v>3521</v>
      </c>
      <c r="F1459" s="2" t="s">
        <v>3522</v>
      </c>
      <c r="G1459" s="2" t="s">
        <v>144</v>
      </c>
      <c r="H1459" s="17">
        <v>25</v>
      </c>
      <c r="I1459" s="31">
        <f t="shared" si="144"/>
        <v>25000</v>
      </c>
      <c r="J1459" s="31">
        <f t="shared" si="145"/>
        <v>1750.0000000000002</v>
      </c>
      <c r="K1459" s="44">
        <f t="shared" si="146"/>
        <v>4.794520547945206</v>
      </c>
      <c r="L1459" s="3">
        <f t="shared" si="147"/>
        <v>354.79452054794524</v>
      </c>
      <c r="M1459" s="3">
        <f t="shared" si="148"/>
        <v>21.287671232876715</v>
      </c>
      <c r="N1459" s="67">
        <f t="shared" si="149"/>
        <v>333.50684931506851</v>
      </c>
      <c r="O1459" s="3"/>
      <c r="P1459" s="70" t="s">
        <v>18631</v>
      </c>
      <c r="Q1459" s="2" t="s">
        <v>329</v>
      </c>
      <c r="R1459" s="2" t="s">
        <v>3523</v>
      </c>
      <c r="T1459" t="s">
        <v>18666</v>
      </c>
      <c r="U1459" t="s">
        <v>18652</v>
      </c>
      <c r="V1459" s="104">
        <v>45857</v>
      </c>
      <c r="X1459" s="97"/>
      <c r="Y1459" s="75">
        <v>333.51</v>
      </c>
    </row>
    <row r="1460" spans="1:25" x14ac:dyDescent="0.25">
      <c r="A1460" s="76">
        <v>1492</v>
      </c>
      <c r="B1460" s="2" t="s">
        <v>532</v>
      </c>
      <c r="C1460" s="2" t="s">
        <v>533</v>
      </c>
      <c r="D1460" s="2" t="s">
        <v>534</v>
      </c>
      <c r="E1460" s="2" t="s">
        <v>535</v>
      </c>
      <c r="F1460" s="2" t="s">
        <v>536</v>
      </c>
      <c r="G1460" s="2" t="s">
        <v>226</v>
      </c>
      <c r="H1460" s="17">
        <v>1000</v>
      </c>
      <c r="I1460" s="31">
        <f t="shared" si="144"/>
        <v>1000000</v>
      </c>
      <c r="J1460" s="31">
        <f t="shared" si="145"/>
        <v>70000</v>
      </c>
      <c r="K1460" s="44">
        <f t="shared" si="146"/>
        <v>191.78082191780823</v>
      </c>
      <c r="L1460" s="3">
        <f t="shared" si="147"/>
        <v>14191.780821917808</v>
      </c>
      <c r="M1460" s="3">
        <f t="shared" si="148"/>
        <v>851.50684931506839</v>
      </c>
      <c r="N1460" s="67">
        <f t="shared" si="149"/>
        <v>13340.273972602739</v>
      </c>
      <c r="O1460" s="3"/>
      <c r="P1460" s="70" t="s">
        <v>18631</v>
      </c>
      <c r="Q1460" s="2" t="s">
        <v>329</v>
      </c>
      <c r="R1460" s="2" t="s">
        <v>537</v>
      </c>
      <c r="T1460" t="s">
        <v>18666</v>
      </c>
      <c r="U1460" t="s">
        <v>18652</v>
      </c>
      <c r="V1460" s="104">
        <v>45857</v>
      </c>
      <c r="X1460" s="97"/>
      <c r="Y1460" s="75">
        <v>13340.28</v>
      </c>
    </row>
    <row r="1461" spans="1:25" x14ac:dyDescent="0.25">
      <c r="A1461" s="76">
        <v>1493</v>
      </c>
      <c r="B1461" s="2" t="s">
        <v>12146</v>
      </c>
      <c r="C1461" s="2" t="s">
        <v>12147</v>
      </c>
      <c r="D1461" s="2" t="s">
        <v>12148</v>
      </c>
      <c r="E1461" s="2" t="s">
        <v>12149</v>
      </c>
      <c r="F1461" s="2" t="s">
        <v>12150</v>
      </c>
      <c r="G1461" s="2" t="s">
        <v>524</v>
      </c>
      <c r="H1461" s="17">
        <v>25</v>
      </c>
      <c r="I1461" s="31">
        <f t="shared" si="144"/>
        <v>25000</v>
      </c>
      <c r="J1461" s="31">
        <f t="shared" si="145"/>
        <v>1750.0000000000002</v>
      </c>
      <c r="K1461" s="44">
        <f t="shared" si="146"/>
        <v>4.794520547945206</v>
      </c>
      <c r="L1461" s="3">
        <f t="shared" si="147"/>
        <v>354.79452054794524</v>
      </c>
      <c r="M1461" s="3">
        <f t="shared" si="148"/>
        <v>21.287671232876715</v>
      </c>
      <c r="N1461" s="67">
        <f t="shared" si="149"/>
        <v>333.50684931506851</v>
      </c>
      <c r="O1461" s="3"/>
      <c r="P1461" s="70" t="s">
        <v>18631</v>
      </c>
      <c r="Q1461" s="2" t="s">
        <v>329</v>
      </c>
      <c r="R1461" s="2" t="s">
        <v>12151</v>
      </c>
      <c r="T1461" t="s">
        <v>18666</v>
      </c>
      <c r="U1461" t="s">
        <v>18652</v>
      </c>
      <c r="V1461" s="104">
        <v>45857</v>
      </c>
      <c r="X1461" s="97"/>
      <c r="Y1461" s="75">
        <v>333.51</v>
      </c>
    </row>
    <row r="1462" spans="1:25" x14ac:dyDescent="0.25">
      <c r="A1462" s="76">
        <v>1494</v>
      </c>
      <c r="B1462" s="2" t="s">
        <v>3431</v>
      </c>
      <c r="C1462" s="2" t="s">
        <v>3432</v>
      </c>
      <c r="D1462" s="2" t="s">
        <v>3433</v>
      </c>
      <c r="E1462" s="2" t="s">
        <v>3434</v>
      </c>
      <c r="F1462" s="2" t="s">
        <v>3435</v>
      </c>
      <c r="G1462" s="2" t="s">
        <v>328</v>
      </c>
      <c r="H1462" s="17">
        <v>25</v>
      </c>
      <c r="I1462" s="31">
        <f t="shared" si="144"/>
        <v>25000</v>
      </c>
      <c r="J1462" s="31">
        <f t="shared" si="145"/>
        <v>1750.0000000000002</v>
      </c>
      <c r="K1462" s="44">
        <f t="shared" si="146"/>
        <v>4.794520547945206</v>
      </c>
      <c r="L1462" s="3">
        <f t="shared" si="147"/>
        <v>354.79452054794524</v>
      </c>
      <c r="M1462" s="3">
        <f t="shared" si="148"/>
        <v>21.287671232876715</v>
      </c>
      <c r="N1462" s="67">
        <f t="shared" si="149"/>
        <v>333.50684931506851</v>
      </c>
      <c r="O1462" s="3"/>
      <c r="P1462" s="70" t="s">
        <v>18631</v>
      </c>
      <c r="Q1462" s="2" t="s">
        <v>329</v>
      </c>
      <c r="R1462" s="2" t="s">
        <v>3436</v>
      </c>
      <c r="T1462" t="s">
        <v>18666</v>
      </c>
      <c r="U1462" t="s">
        <v>18652</v>
      </c>
      <c r="V1462" s="104">
        <v>45857</v>
      </c>
      <c r="X1462" s="97"/>
      <c r="Y1462" s="75">
        <v>333.51</v>
      </c>
    </row>
    <row r="1463" spans="1:25" x14ac:dyDescent="0.25">
      <c r="A1463" s="76">
        <v>1495</v>
      </c>
      <c r="B1463" s="2" t="s">
        <v>11365</v>
      </c>
      <c r="C1463" s="2" t="s">
        <v>11366</v>
      </c>
      <c r="D1463" s="2" t="s">
        <v>11367</v>
      </c>
      <c r="E1463" s="2" t="s">
        <v>11368</v>
      </c>
      <c r="F1463" s="2" t="s">
        <v>11369</v>
      </c>
      <c r="G1463" s="2" t="s">
        <v>381</v>
      </c>
      <c r="H1463" s="17">
        <v>25</v>
      </c>
      <c r="I1463" s="31">
        <f t="shared" si="144"/>
        <v>25000</v>
      </c>
      <c r="J1463" s="31">
        <f t="shared" si="145"/>
        <v>1750.0000000000002</v>
      </c>
      <c r="K1463" s="44">
        <f t="shared" si="146"/>
        <v>4.794520547945206</v>
      </c>
      <c r="L1463" s="3">
        <f t="shared" si="147"/>
        <v>354.79452054794524</v>
      </c>
      <c r="M1463" s="3">
        <f t="shared" si="148"/>
        <v>21.287671232876715</v>
      </c>
      <c r="N1463" s="67">
        <f t="shared" si="149"/>
        <v>333.50684931506851</v>
      </c>
      <c r="O1463" s="3"/>
      <c r="P1463" s="70" t="s">
        <v>18631</v>
      </c>
      <c r="Q1463" s="2" t="s">
        <v>329</v>
      </c>
      <c r="R1463" s="2" t="s">
        <v>11370</v>
      </c>
      <c r="T1463" t="s">
        <v>18666</v>
      </c>
      <c r="U1463" t="s">
        <v>18652</v>
      </c>
      <c r="V1463" s="104">
        <v>45857</v>
      </c>
      <c r="X1463" s="97"/>
      <c r="Y1463" s="75">
        <v>333.51</v>
      </c>
    </row>
    <row r="1464" spans="1:25" x14ac:dyDescent="0.25">
      <c r="A1464" s="76">
        <v>1496</v>
      </c>
      <c r="B1464" s="2" t="s">
        <v>5084</v>
      </c>
      <c r="C1464" s="2" t="s">
        <v>5085</v>
      </c>
      <c r="D1464" s="2" t="s">
        <v>5086</v>
      </c>
      <c r="E1464" s="2" t="s">
        <v>5087</v>
      </c>
      <c r="F1464" s="2" t="s">
        <v>5088</v>
      </c>
      <c r="G1464" s="2" t="s">
        <v>4575</v>
      </c>
      <c r="H1464" s="17">
        <v>25</v>
      </c>
      <c r="I1464" s="31">
        <f t="shared" si="144"/>
        <v>25000</v>
      </c>
      <c r="J1464" s="31">
        <f t="shared" si="145"/>
        <v>1750.0000000000002</v>
      </c>
      <c r="K1464" s="44">
        <f t="shared" si="146"/>
        <v>4.794520547945206</v>
      </c>
      <c r="L1464" s="3">
        <f t="shared" si="147"/>
        <v>354.79452054794524</v>
      </c>
      <c r="M1464" s="3">
        <f t="shared" si="148"/>
        <v>21.287671232876715</v>
      </c>
      <c r="N1464" s="67">
        <f t="shared" si="149"/>
        <v>333.50684931506851</v>
      </c>
      <c r="O1464" s="3"/>
      <c r="P1464" s="70" t="s">
        <v>18631</v>
      </c>
      <c r="Q1464" s="2" t="s">
        <v>329</v>
      </c>
      <c r="R1464" s="2" t="s">
        <v>5089</v>
      </c>
      <c r="T1464" t="s">
        <v>18666</v>
      </c>
      <c r="U1464" t="s">
        <v>18652</v>
      </c>
      <c r="V1464" s="104">
        <v>45857</v>
      </c>
      <c r="X1464" s="97"/>
      <c r="Y1464" s="75">
        <v>333.51</v>
      </c>
    </row>
    <row r="1465" spans="1:25" x14ac:dyDescent="0.25">
      <c r="A1465" s="76">
        <v>1497</v>
      </c>
      <c r="B1465" s="2" t="s">
        <v>11643</v>
      </c>
      <c r="C1465" s="2" t="s">
        <v>11644</v>
      </c>
      <c r="D1465" s="2" t="s">
        <v>11645</v>
      </c>
      <c r="E1465" s="2" t="s">
        <v>11646</v>
      </c>
      <c r="F1465" s="2" t="s">
        <v>11647</v>
      </c>
      <c r="G1465" s="2" t="s">
        <v>296</v>
      </c>
      <c r="H1465" s="17">
        <v>30</v>
      </c>
      <c r="I1465" s="31">
        <f t="shared" si="144"/>
        <v>30000</v>
      </c>
      <c r="J1465" s="31">
        <f t="shared" si="145"/>
        <v>2100</v>
      </c>
      <c r="K1465" s="44">
        <f t="shared" si="146"/>
        <v>5.7534246575342465</v>
      </c>
      <c r="L1465" s="3">
        <f t="shared" si="147"/>
        <v>425.75342465753425</v>
      </c>
      <c r="M1465" s="3">
        <f t="shared" si="148"/>
        <v>25.545205479452054</v>
      </c>
      <c r="N1465" s="67">
        <f t="shared" si="149"/>
        <v>400.20821917808217</v>
      </c>
      <c r="O1465" s="3"/>
      <c r="P1465" s="70" t="s">
        <v>18631</v>
      </c>
      <c r="Q1465" s="2" t="s">
        <v>329</v>
      </c>
      <c r="R1465" s="2" t="s">
        <v>11648</v>
      </c>
      <c r="T1465" t="s">
        <v>18666</v>
      </c>
      <c r="U1465" t="s">
        <v>18652</v>
      </c>
      <c r="V1465" s="104">
        <v>45857</v>
      </c>
      <c r="X1465" s="97"/>
      <c r="Y1465" s="75">
        <v>400.21</v>
      </c>
    </row>
    <row r="1466" spans="1:25" x14ac:dyDescent="0.25">
      <c r="A1466" s="76">
        <v>1498</v>
      </c>
      <c r="B1466" s="2" t="s">
        <v>10243</v>
      </c>
      <c r="C1466" s="2" t="s">
        <v>10244</v>
      </c>
      <c r="D1466" s="2" t="s">
        <v>10245</v>
      </c>
      <c r="E1466" s="2" t="s">
        <v>10246</v>
      </c>
      <c r="F1466" s="2" t="s">
        <v>10247</v>
      </c>
      <c r="G1466" s="2" t="s">
        <v>268</v>
      </c>
      <c r="H1466" s="17">
        <v>25</v>
      </c>
      <c r="I1466" s="31">
        <f t="shared" si="144"/>
        <v>25000</v>
      </c>
      <c r="J1466" s="31">
        <f t="shared" si="145"/>
        <v>1750.0000000000002</v>
      </c>
      <c r="K1466" s="44">
        <f t="shared" si="146"/>
        <v>4.794520547945206</v>
      </c>
      <c r="L1466" s="3">
        <f t="shared" si="147"/>
        <v>354.79452054794524</v>
      </c>
      <c r="M1466" s="3">
        <f t="shared" si="148"/>
        <v>21.287671232876715</v>
      </c>
      <c r="N1466" s="67">
        <f t="shared" si="149"/>
        <v>333.50684931506851</v>
      </c>
      <c r="O1466" s="3"/>
      <c r="P1466" s="70" t="s">
        <v>18631</v>
      </c>
      <c r="Q1466" s="2" t="s">
        <v>329</v>
      </c>
      <c r="R1466" s="2" t="s">
        <v>10248</v>
      </c>
      <c r="T1466" t="s">
        <v>18666</v>
      </c>
      <c r="U1466" t="s">
        <v>18652</v>
      </c>
      <c r="V1466" s="104">
        <v>45857</v>
      </c>
      <c r="X1466" s="97"/>
      <c r="Y1466" s="75">
        <v>333.51</v>
      </c>
    </row>
    <row r="1467" spans="1:25" x14ac:dyDescent="0.25">
      <c r="A1467" s="76">
        <v>1499</v>
      </c>
      <c r="B1467" s="2" t="s">
        <v>4109</v>
      </c>
      <c r="C1467" s="2" t="s">
        <v>4110</v>
      </c>
      <c r="D1467" s="2" t="s">
        <v>4111</v>
      </c>
      <c r="E1467" s="2" t="s">
        <v>4112</v>
      </c>
      <c r="F1467" s="2" t="s">
        <v>4113</v>
      </c>
      <c r="G1467" s="2" t="s">
        <v>275</v>
      </c>
      <c r="H1467" s="17">
        <v>50</v>
      </c>
      <c r="I1467" s="31">
        <f t="shared" si="144"/>
        <v>50000</v>
      </c>
      <c r="J1467" s="31">
        <f t="shared" si="145"/>
        <v>3500.0000000000005</v>
      </c>
      <c r="K1467" s="44">
        <f t="shared" si="146"/>
        <v>9.589041095890412</v>
      </c>
      <c r="L1467" s="3">
        <f t="shared" si="147"/>
        <v>709.58904109589048</v>
      </c>
      <c r="M1467" s="3">
        <f t="shared" si="148"/>
        <v>42.57534246575343</v>
      </c>
      <c r="N1467" s="67">
        <f t="shared" si="149"/>
        <v>667.01369863013701</v>
      </c>
      <c r="O1467" s="3"/>
      <c r="P1467" s="70" t="s">
        <v>18631</v>
      </c>
      <c r="Q1467" s="2" t="s">
        <v>329</v>
      </c>
      <c r="R1467" s="2" t="s">
        <v>4114</v>
      </c>
      <c r="T1467" t="s">
        <v>18666</v>
      </c>
      <c r="U1467" t="s">
        <v>18652</v>
      </c>
      <c r="V1467" s="104">
        <v>45857</v>
      </c>
      <c r="X1467" s="97"/>
      <c r="Y1467" s="75">
        <v>667.02</v>
      </c>
    </row>
    <row r="1468" spans="1:25" x14ac:dyDescent="0.25">
      <c r="A1468" s="76">
        <v>1500</v>
      </c>
      <c r="B1468" s="2" t="s">
        <v>12873</v>
      </c>
      <c r="C1468" s="2" t="s">
        <v>12874</v>
      </c>
      <c r="D1468" s="2" t="s">
        <v>12875</v>
      </c>
      <c r="E1468" s="2" t="s">
        <v>12876</v>
      </c>
      <c r="F1468" s="2" t="s">
        <v>12877</v>
      </c>
      <c r="G1468" s="2" t="s">
        <v>226</v>
      </c>
      <c r="H1468" s="17">
        <v>30</v>
      </c>
      <c r="I1468" s="31">
        <f t="shared" si="144"/>
        <v>30000</v>
      </c>
      <c r="J1468" s="31">
        <f t="shared" si="145"/>
        <v>2100</v>
      </c>
      <c r="K1468" s="44">
        <f t="shared" si="146"/>
        <v>5.7534246575342465</v>
      </c>
      <c r="L1468" s="3">
        <f t="shared" si="147"/>
        <v>425.75342465753425</v>
      </c>
      <c r="M1468" s="3">
        <f t="shared" si="148"/>
        <v>25.545205479452054</v>
      </c>
      <c r="N1468" s="67">
        <f t="shared" si="149"/>
        <v>400.20821917808217</v>
      </c>
      <c r="O1468" s="3"/>
      <c r="P1468" s="70" t="s">
        <v>18631</v>
      </c>
      <c r="Q1468" s="2" t="s">
        <v>329</v>
      </c>
      <c r="R1468" s="2" t="s">
        <v>12878</v>
      </c>
      <c r="T1468" t="s">
        <v>18666</v>
      </c>
      <c r="U1468" t="s">
        <v>18652</v>
      </c>
      <c r="V1468" s="104">
        <v>45857</v>
      </c>
      <c r="X1468" s="97"/>
      <c r="Y1468" s="75">
        <v>400.21</v>
      </c>
    </row>
    <row r="1469" spans="1:25" x14ac:dyDescent="0.25">
      <c r="A1469" s="76">
        <v>1501</v>
      </c>
      <c r="B1469" s="2" t="s">
        <v>14858</v>
      </c>
      <c r="C1469" s="2" t="s">
        <v>14859</v>
      </c>
      <c r="D1469" s="2" t="s">
        <v>14860</v>
      </c>
      <c r="E1469" s="2" t="s">
        <v>14861</v>
      </c>
      <c r="F1469" s="2" t="s">
        <v>14862</v>
      </c>
      <c r="G1469" s="2" t="s">
        <v>328</v>
      </c>
      <c r="H1469" s="17">
        <v>161</v>
      </c>
      <c r="I1469" s="31">
        <f t="shared" si="144"/>
        <v>161000</v>
      </c>
      <c r="J1469" s="31">
        <f t="shared" si="145"/>
        <v>11270.000000000002</v>
      </c>
      <c r="K1469" s="44">
        <f t="shared" si="146"/>
        <v>30.876712328767127</v>
      </c>
      <c r="L1469" s="3">
        <f t="shared" si="147"/>
        <v>2284.8767123287676</v>
      </c>
      <c r="M1469" s="3">
        <f t="shared" si="148"/>
        <v>137.09260273972606</v>
      </c>
      <c r="N1469" s="67">
        <f t="shared" si="149"/>
        <v>2147.7841095890417</v>
      </c>
      <c r="O1469" s="3"/>
      <c r="P1469" s="70" t="s">
        <v>18631</v>
      </c>
      <c r="Q1469" s="2" t="s">
        <v>329</v>
      </c>
      <c r="R1469" s="2" t="s">
        <v>14863</v>
      </c>
      <c r="T1469" t="s">
        <v>18666</v>
      </c>
      <c r="U1469" t="s">
        <v>18652</v>
      </c>
      <c r="V1469" s="104">
        <v>45857</v>
      </c>
      <c r="X1469" s="97"/>
      <c r="Y1469" s="75">
        <v>2147.7900000000004</v>
      </c>
    </row>
    <row r="1470" spans="1:25" x14ac:dyDescent="0.25">
      <c r="A1470" s="76">
        <v>1502</v>
      </c>
      <c r="B1470" s="2" t="s">
        <v>12496</v>
      </c>
      <c r="C1470" s="2" t="s">
        <v>12497</v>
      </c>
      <c r="D1470" s="2" t="s">
        <v>12498</v>
      </c>
      <c r="E1470" s="2" t="s">
        <v>12499</v>
      </c>
      <c r="F1470" s="2" t="s">
        <v>12500</v>
      </c>
      <c r="G1470" s="2" t="s">
        <v>876</v>
      </c>
      <c r="H1470" s="17">
        <v>50</v>
      </c>
      <c r="I1470" s="31">
        <f t="shared" si="144"/>
        <v>50000</v>
      </c>
      <c r="J1470" s="31">
        <f t="shared" si="145"/>
        <v>3500.0000000000005</v>
      </c>
      <c r="K1470" s="44">
        <f t="shared" si="146"/>
        <v>9.589041095890412</v>
      </c>
      <c r="L1470" s="3">
        <f t="shared" si="147"/>
        <v>709.58904109589048</v>
      </c>
      <c r="M1470" s="3">
        <f t="shared" si="148"/>
        <v>42.57534246575343</v>
      </c>
      <c r="N1470" s="67">
        <f t="shared" si="149"/>
        <v>667.01369863013701</v>
      </c>
      <c r="O1470" s="3"/>
      <c r="P1470" s="70" t="s">
        <v>18631</v>
      </c>
      <c r="Q1470" s="2" t="s">
        <v>329</v>
      </c>
      <c r="R1470" s="2" t="s">
        <v>12501</v>
      </c>
      <c r="T1470" t="s">
        <v>18666</v>
      </c>
      <c r="U1470" t="s">
        <v>18652</v>
      </c>
      <c r="V1470" s="104">
        <v>45857</v>
      </c>
      <c r="X1470" s="97"/>
      <c r="Y1470" s="75">
        <v>667.02</v>
      </c>
    </row>
    <row r="1471" spans="1:25" x14ac:dyDescent="0.25">
      <c r="A1471" s="76">
        <v>1503</v>
      </c>
      <c r="B1471" s="2" t="s">
        <v>2512</v>
      </c>
      <c r="C1471" s="2" t="s">
        <v>2513</v>
      </c>
      <c r="D1471" s="2" t="s">
        <v>2514</v>
      </c>
      <c r="E1471" s="2" t="s">
        <v>2515</v>
      </c>
      <c r="F1471" s="2" t="s">
        <v>2516</v>
      </c>
      <c r="G1471" s="2" t="s">
        <v>144</v>
      </c>
      <c r="H1471" s="17">
        <v>25</v>
      </c>
      <c r="I1471" s="31">
        <f t="shared" si="144"/>
        <v>25000</v>
      </c>
      <c r="J1471" s="31">
        <f t="shared" si="145"/>
        <v>1750.0000000000002</v>
      </c>
      <c r="K1471" s="44">
        <f t="shared" si="146"/>
        <v>4.794520547945206</v>
      </c>
      <c r="L1471" s="3">
        <f t="shared" si="147"/>
        <v>354.79452054794524</v>
      </c>
      <c r="M1471" s="3">
        <f t="shared" si="148"/>
        <v>21.287671232876715</v>
      </c>
      <c r="N1471" s="67">
        <f t="shared" si="149"/>
        <v>333.50684931506851</v>
      </c>
      <c r="O1471" s="3"/>
      <c r="P1471" s="70" t="s">
        <v>18631</v>
      </c>
      <c r="Q1471" s="2" t="s">
        <v>329</v>
      </c>
      <c r="R1471" s="2" t="s">
        <v>2517</v>
      </c>
      <c r="T1471" t="s">
        <v>18666</v>
      </c>
      <c r="U1471" t="s">
        <v>18652</v>
      </c>
      <c r="V1471" s="104">
        <v>45857</v>
      </c>
      <c r="X1471" s="97"/>
      <c r="Y1471" s="75">
        <v>333.51</v>
      </c>
    </row>
    <row r="1472" spans="1:25" x14ac:dyDescent="0.25">
      <c r="A1472" s="76">
        <v>1504</v>
      </c>
      <c r="B1472" s="2" t="s">
        <v>5114</v>
      </c>
      <c r="C1472" s="2" t="s">
        <v>5115</v>
      </c>
      <c r="D1472" s="2" t="s">
        <v>5116</v>
      </c>
      <c r="E1472" s="2" t="s">
        <v>5117</v>
      </c>
      <c r="F1472" s="2" t="s">
        <v>5118</v>
      </c>
      <c r="G1472" s="2" t="s">
        <v>876</v>
      </c>
      <c r="H1472" s="17">
        <v>25</v>
      </c>
      <c r="I1472" s="31">
        <f t="shared" si="144"/>
        <v>25000</v>
      </c>
      <c r="J1472" s="31">
        <f t="shared" si="145"/>
        <v>1750.0000000000002</v>
      </c>
      <c r="K1472" s="44">
        <f t="shared" si="146"/>
        <v>4.794520547945206</v>
      </c>
      <c r="L1472" s="3">
        <f t="shared" si="147"/>
        <v>354.79452054794524</v>
      </c>
      <c r="M1472" s="3">
        <f t="shared" si="148"/>
        <v>21.287671232876715</v>
      </c>
      <c r="N1472" s="67">
        <f t="shared" si="149"/>
        <v>333.50684931506851</v>
      </c>
      <c r="O1472" s="3"/>
      <c r="P1472" s="70" t="s">
        <v>18631</v>
      </c>
      <c r="Q1472" s="2" t="s">
        <v>329</v>
      </c>
      <c r="R1472" s="2" t="s">
        <v>5119</v>
      </c>
      <c r="T1472" t="s">
        <v>18666</v>
      </c>
      <c r="U1472" t="s">
        <v>18652</v>
      </c>
      <c r="V1472" s="104">
        <v>45857</v>
      </c>
      <c r="X1472" s="97"/>
      <c r="Y1472" s="75">
        <v>333.51</v>
      </c>
    </row>
    <row r="1473" spans="1:25" x14ac:dyDescent="0.25">
      <c r="A1473" s="76">
        <v>1505</v>
      </c>
      <c r="B1473" s="2" t="s">
        <v>3885</v>
      </c>
      <c r="C1473" s="2" t="s">
        <v>3886</v>
      </c>
      <c r="D1473" s="2" t="s">
        <v>3887</v>
      </c>
      <c r="E1473" s="2" t="s">
        <v>3888</v>
      </c>
      <c r="F1473" s="2" t="s">
        <v>3889</v>
      </c>
      <c r="G1473" s="2" t="s">
        <v>240</v>
      </c>
      <c r="H1473" s="17">
        <v>25</v>
      </c>
      <c r="I1473" s="31">
        <f t="shared" si="144"/>
        <v>25000</v>
      </c>
      <c r="J1473" s="31">
        <f t="shared" si="145"/>
        <v>1750.0000000000002</v>
      </c>
      <c r="K1473" s="44">
        <f t="shared" si="146"/>
        <v>4.794520547945206</v>
      </c>
      <c r="L1473" s="3">
        <f t="shared" si="147"/>
        <v>354.79452054794524</v>
      </c>
      <c r="M1473" s="3">
        <f t="shared" si="148"/>
        <v>21.287671232876715</v>
      </c>
      <c r="N1473" s="67">
        <f t="shared" si="149"/>
        <v>333.50684931506851</v>
      </c>
      <c r="O1473" s="3"/>
      <c r="P1473" s="70" t="s">
        <v>18631</v>
      </c>
      <c r="Q1473" s="2" t="s">
        <v>329</v>
      </c>
      <c r="R1473" s="2" t="s">
        <v>3890</v>
      </c>
      <c r="T1473" t="s">
        <v>18666</v>
      </c>
      <c r="U1473" t="s">
        <v>18652</v>
      </c>
      <c r="V1473" s="104">
        <v>45857</v>
      </c>
      <c r="X1473" s="97"/>
      <c r="Y1473" s="75">
        <v>333.51</v>
      </c>
    </row>
    <row r="1474" spans="1:25" x14ac:dyDescent="0.25">
      <c r="A1474" s="76">
        <v>1506</v>
      </c>
      <c r="B1474" s="2" t="s">
        <v>7948</v>
      </c>
      <c r="C1474" s="2" t="s">
        <v>7949</v>
      </c>
      <c r="D1474" s="2" t="s">
        <v>7950</v>
      </c>
      <c r="E1474" s="2" t="s">
        <v>7951</v>
      </c>
      <c r="F1474" s="2" t="s">
        <v>7952</v>
      </c>
      <c r="G1474" s="2" t="s">
        <v>296</v>
      </c>
      <c r="H1474" s="17">
        <v>25</v>
      </c>
      <c r="I1474" s="31">
        <f t="shared" si="144"/>
        <v>25000</v>
      </c>
      <c r="J1474" s="31">
        <f t="shared" si="145"/>
        <v>1750.0000000000002</v>
      </c>
      <c r="K1474" s="44">
        <f t="shared" si="146"/>
        <v>4.794520547945206</v>
      </c>
      <c r="L1474" s="3">
        <f t="shared" si="147"/>
        <v>354.79452054794524</v>
      </c>
      <c r="M1474" s="3">
        <f t="shared" si="148"/>
        <v>21.287671232876715</v>
      </c>
      <c r="N1474" s="67">
        <f t="shared" si="149"/>
        <v>333.50684931506851</v>
      </c>
      <c r="O1474" s="3"/>
      <c r="P1474" s="70" t="s">
        <v>18631</v>
      </c>
      <c r="Q1474" s="2" t="s">
        <v>329</v>
      </c>
      <c r="R1474" s="2" t="s">
        <v>7953</v>
      </c>
      <c r="T1474" t="s">
        <v>18666</v>
      </c>
      <c r="U1474" t="s">
        <v>18652</v>
      </c>
      <c r="V1474" s="104">
        <v>45857</v>
      </c>
      <c r="X1474" s="97"/>
      <c r="Y1474" s="75">
        <v>333.51</v>
      </c>
    </row>
    <row r="1475" spans="1:25" x14ac:dyDescent="0.25">
      <c r="A1475" s="76">
        <v>1507</v>
      </c>
      <c r="B1475" s="2" t="s">
        <v>3678</v>
      </c>
      <c r="C1475" s="2" t="s">
        <v>3679</v>
      </c>
      <c r="D1475" s="2" t="s">
        <v>3680</v>
      </c>
      <c r="E1475" s="2" t="s">
        <v>3681</v>
      </c>
      <c r="F1475" s="2" t="s">
        <v>3682</v>
      </c>
      <c r="G1475" s="2" t="s">
        <v>39</v>
      </c>
      <c r="H1475" s="17">
        <v>25</v>
      </c>
      <c r="I1475" s="31">
        <f t="shared" si="144"/>
        <v>25000</v>
      </c>
      <c r="J1475" s="31">
        <f t="shared" si="145"/>
        <v>1750.0000000000002</v>
      </c>
      <c r="K1475" s="44">
        <f t="shared" si="146"/>
        <v>4.794520547945206</v>
      </c>
      <c r="L1475" s="3">
        <f t="shared" si="147"/>
        <v>354.79452054794524</v>
      </c>
      <c r="M1475" s="3">
        <f t="shared" si="148"/>
        <v>21.287671232876715</v>
      </c>
      <c r="N1475" s="67">
        <f t="shared" si="149"/>
        <v>333.50684931506851</v>
      </c>
      <c r="O1475" s="3"/>
      <c r="P1475" s="70" t="s">
        <v>18631</v>
      </c>
      <c r="Q1475" s="2" t="s">
        <v>329</v>
      </c>
      <c r="R1475" s="2" t="s">
        <v>3683</v>
      </c>
      <c r="T1475" t="s">
        <v>18666</v>
      </c>
      <c r="U1475" t="s">
        <v>18652</v>
      </c>
      <c r="V1475" s="104">
        <v>45857</v>
      </c>
      <c r="X1475" s="97"/>
      <c r="Y1475" s="75">
        <v>333.51</v>
      </c>
    </row>
    <row r="1476" spans="1:25" x14ac:dyDescent="0.25">
      <c r="A1476" s="76">
        <v>1508</v>
      </c>
      <c r="B1476" s="2" t="s">
        <v>7966</v>
      </c>
      <c r="C1476" s="2" t="s">
        <v>7967</v>
      </c>
      <c r="D1476" s="2" t="s">
        <v>7968</v>
      </c>
      <c r="E1476" s="2" t="s">
        <v>7969</v>
      </c>
      <c r="F1476" s="2" t="s">
        <v>7970</v>
      </c>
      <c r="G1476" s="2" t="s">
        <v>23</v>
      </c>
      <c r="H1476" s="17">
        <v>25</v>
      </c>
      <c r="I1476" s="31">
        <f t="shared" si="144"/>
        <v>25000</v>
      </c>
      <c r="J1476" s="31">
        <f t="shared" si="145"/>
        <v>1750.0000000000002</v>
      </c>
      <c r="K1476" s="44">
        <f t="shared" si="146"/>
        <v>4.794520547945206</v>
      </c>
      <c r="L1476" s="3">
        <f t="shared" si="147"/>
        <v>354.79452054794524</v>
      </c>
      <c r="M1476" s="3">
        <f t="shared" si="148"/>
        <v>21.287671232876715</v>
      </c>
      <c r="N1476" s="67">
        <f t="shared" si="149"/>
        <v>333.50684931506851</v>
      </c>
      <c r="O1476" s="3"/>
      <c r="P1476" s="70" t="s">
        <v>18631</v>
      </c>
      <c r="Q1476" s="2" t="s">
        <v>329</v>
      </c>
      <c r="R1476" s="2" t="s">
        <v>7971</v>
      </c>
      <c r="T1476" t="s">
        <v>18666</v>
      </c>
      <c r="U1476" t="s">
        <v>18652</v>
      </c>
      <c r="V1476" s="104">
        <v>45857</v>
      </c>
      <c r="X1476" s="97"/>
      <c r="Y1476" s="75">
        <v>333.51</v>
      </c>
    </row>
    <row r="1477" spans="1:25" x14ac:dyDescent="0.25">
      <c r="A1477" s="76">
        <v>1509</v>
      </c>
      <c r="B1477" s="2" t="s">
        <v>3584</v>
      </c>
      <c r="C1477" s="2" t="s">
        <v>3585</v>
      </c>
      <c r="D1477" s="2" t="s">
        <v>3586</v>
      </c>
      <c r="E1477" s="2" t="s">
        <v>3587</v>
      </c>
      <c r="F1477" s="2" t="s">
        <v>3588</v>
      </c>
      <c r="G1477" s="2" t="s">
        <v>412</v>
      </c>
      <c r="H1477" s="17">
        <v>25</v>
      </c>
      <c r="I1477" s="31">
        <f t="shared" si="144"/>
        <v>25000</v>
      </c>
      <c r="J1477" s="31">
        <f t="shared" si="145"/>
        <v>1750.0000000000002</v>
      </c>
      <c r="K1477" s="44">
        <f t="shared" si="146"/>
        <v>4.794520547945206</v>
      </c>
      <c r="L1477" s="3">
        <f t="shared" si="147"/>
        <v>354.79452054794524</v>
      </c>
      <c r="M1477" s="3">
        <f t="shared" si="148"/>
        <v>21.287671232876715</v>
      </c>
      <c r="N1477" s="67">
        <f t="shared" si="149"/>
        <v>333.50684931506851</v>
      </c>
      <c r="O1477" s="3"/>
      <c r="P1477" s="70" t="s">
        <v>18631</v>
      </c>
      <c r="Q1477" s="2" t="s">
        <v>329</v>
      </c>
      <c r="R1477" s="2" t="s">
        <v>3589</v>
      </c>
      <c r="T1477" t="s">
        <v>18666</v>
      </c>
      <c r="U1477" t="s">
        <v>18652</v>
      </c>
      <c r="V1477" s="104">
        <v>45857</v>
      </c>
      <c r="X1477" s="97"/>
      <c r="Y1477" s="75">
        <v>333.51</v>
      </c>
    </row>
    <row r="1478" spans="1:25" x14ac:dyDescent="0.25">
      <c r="A1478" s="76">
        <v>1510</v>
      </c>
      <c r="B1478" s="2" t="s">
        <v>2792</v>
      </c>
      <c r="C1478" s="2" t="s">
        <v>2793</v>
      </c>
      <c r="D1478" s="2" t="s">
        <v>2794</v>
      </c>
      <c r="E1478" s="2" t="s">
        <v>2795</v>
      </c>
      <c r="F1478" s="2" t="s">
        <v>2796</v>
      </c>
      <c r="G1478" s="2" t="s">
        <v>362</v>
      </c>
      <c r="H1478" s="17">
        <v>25</v>
      </c>
      <c r="I1478" s="31">
        <f t="shared" si="144"/>
        <v>25000</v>
      </c>
      <c r="J1478" s="31">
        <f t="shared" si="145"/>
        <v>1750.0000000000002</v>
      </c>
      <c r="K1478" s="44">
        <f t="shared" si="146"/>
        <v>4.794520547945206</v>
      </c>
      <c r="L1478" s="3">
        <f t="shared" si="147"/>
        <v>354.79452054794524</v>
      </c>
      <c r="M1478" s="3">
        <f t="shared" si="148"/>
        <v>21.287671232876715</v>
      </c>
      <c r="N1478" s="67">
        <f t="shared" si="149"/>
        <v>333.50684931506851</v>
      </c>
      <c r="O1478" s="3"/>
      <c r="P1478" s="70" t="s">
        <v>18631</v>
      </c>
      <c r="Q1478" s="2" t="s">
        <v>329</v>
      </c>
      <c r="R1478" s="2" t="s">
        <v>2797</v>
      </c>
      <c r="T1478" t="s">
        <v>18666</v>
      </c>
      <c r="U1478" t="s">
        <v>18652</v>
      </c>
      <c r="V1478" s="104">
        <v>45857</v>
      </c>
      <c r="X1478" s="97"/>
      <c r="Y1478" s="75">
        <v>333.51</v>
      </c>
    </row>
    <row r="1479" spans="1:25" x14ac:dyDescent="0.25">
      <c r="A1479" s="76">
        <v>1511</v>
      </c>
      <c r="B1479" s="2" t="s">
        <v>6431</v>
      </c>
      <c r="C1479" s="2" t="s">
        <v>6432</v>
      </c>
      <c r="D1479" s="2" t="s">
        <v>6433</v>
      </c>
      <c r="E1479" s="2" t="s">
        <v>6434</v>
      </c>
      <c r="F1479" s="2" t="s">
        <v>6435</v>
      </c>
      <c r="G1479" s="2" t="s">
        <v>166</v>
      </c>
      <c r="H1479" s="17">
        <v>25</v>
      </c>
      <c r="I1479" s="31">
        <f t="shared" si="144"/>
        <v>25000</v>
      </c>
      <c r="J1479" s="31">
        <f t="shared" si="145"/>
        <v>1750.0000000000002</v>
      </c>
      <c r="K1479" s="44">
        <f t="shared" si="146"/>
        <v>4.794520547945206</v>
      </c>
      <c r="L1479" s="3">
        <f t="shared" si="147"/>
        <v>354.79452054794524</v>
      </c>
      <c r="M1479" s="3">
        <f t="shared" si="148"/>
        <v>21.287671232876715</v>
      </c>
      <c r="N1479" s="67">
        <f t="shared" si="149"/>
        <v>333.50684931506851</v>
      </c>
      <c r="O1479" s="3"/>
      <c r="P1479" s="70" t="s">
        <v>18631</v>
      </c>
      <c r="Q1479" s="2" t="s">
        <v>329</v>
      </c>
      <c r="R1479" s="2" t="s">
        <v>6436</v>
      </c>
      <c r="T1479" t="s">
        <v>18666</v>
      </c>
      <c r="U1479" t="s">
        <v>18652</v>
      </c>
      <c r="V1479" s="104">
        <v>45857</v>
      </c>
      <c r="X1479" s="97"/>
      <c r="Y1479" s="75">
        <v>333.51</v>
      </c>
    </row>
    <row r="1480" spans="1:25" x14ac:dyDescent="0.25">
      <c r="A1480" s="76">
        <v>1512</v>
      </c>
      <c r="B1480" s="2" t="s">
        <v>16246</v>
      </c>
      <c r="C1480" s="2" t="s">
        <v>16247</v>
      </c>
      <c r="D1480" s="2" t="s">
        <v>16248</v>
      </c>
      <c r="E1480" s="2" t="s">
        <v>16249</v>
      </c>
      <c r="F1480" s="2" t="s">
        <v>16250</v>
      </c>
      <c r="G1480" s="2" t="s">
        <v>328</v>
      </c>
      <c r="H1480" s="17">
        <v>25</v>
      </c>
      <c r="I1480" s="31">
        <f t="shared" si="144"/>
        <v>25000</v>
      </c>
      <c r="J1480" s="31">
        <f t="shared" si="145"/>
        <v>1750.0000000000002</v>
      </c>
      <c r="K1480" s="44">
        <f t="shared" si="146"/>
        <v>4.794520547945206</v>
      </c>
      <c r="L1480" s="3">
        <f t="shared" si="147"/>
        <v>354.79452054794524</v>
      </c>
      <c r="M1480" s="3">
        <f t="shared" si="148"/>
        <v>21.287671232876715</v>
      </c>
      <c r="N1480" s="67">
        <f t="shared" si="149"/>
        <v>333.50684931506851</v>
      </c>
      <c r="O1480" s="3"/>
      <c r="P1480" s="70" t="s">
        <v>18631</v>
      </c>
      <c r="Q1480" s="2" t="s">
        <v>329</v>
      </c>
      <c r="R1480" s="2" t="s">
        <v>16251</v>
      </c>
      <c r="T1480" t="s">
        <v>18666</v>
      </c>
      <c r="U1480" t="s">
        <v>18652</v>
      </c>
      <c r="V1480" s="104">
        <v>45857</v>
      </c>
      <c r="X1480" s="97"/>
      <c r="Y1480" s="75">
        <v>333.51</v>
      </c>
    </row>
    <row r="1481" spans="1:25" x14ac:dyDescent="0.25">
      <c r="A1481" s="76">
        <v>1513</v>
      </c>
      <c r="B1481" s="2" t="s">
        <v>7719</v>
      </c>
      <c r="C1481" s="2" t="s">
        <v>7720</v>
      </c>
      <c r="D1481" s="2" t="s">
        <v>7721</v>
      </c>
      <c r="E1481" s="2" t="s">
        <v>7722</v>
      </c>
      <c r="F1481" s="2" t="s">
        <v>7723</v>
      </c>
      <c r="G1481" s="2" t="s">
        <v>1315</v>
      </c>
      <c r="H1481" s="17">
        <v>30</v>
      </c>
      <c r="I1481" s="31">
        <f t="shared" si="144"/>
        <v>30000</v>
      </c>
      <c r="J1481" s="31">
        <f t="shared" si="145"/>
        <v>2100</v>
      </c>
      <c r="K1481" s="44">
        <f t="shared" si="146"/>
        <v>5.7534246575342465</v>
      </c>
      <c r="L1481" s="3">
        <f t="shared" si="147"/>
        <v>425.75342465753425</v>
      </c>
      <c r="M1481" s="3">
        <f t="shared" si="148"/>
        <v>25.545205479452054</v>
      </c>
      <c r="N1481" s="67">
        <f t="shared" si="149"/>
        <v>400.20821917808217</v>
      </c>
      <c r="O1481" s="3"/>
      <c r="P1481" s="70" t="s">
        <v>18631</v>
      </c>
      <c r="Q1481" s="2" t="s">
        <v>329</v>
      </c>
      <c r="R1481" s="2" t="s">
        <v>7724</v>
      </c>
      <c r="T1481" t="s">
        <v>18666</v>
      </c>
      <c r="U1481" t="s">
        <v>18652</v>
      </c>
      <c r="V1481" s="104">
        <v>45857</v>
      </c>
      <c r="X1481" s="97"/>
      <c r="Y1481" s="75">
        <v>400.21</v>
      </c>
    </row>
    <row r="1482" spans="1:25" x14ac:dyDescent="0.25">
      <c r="A1482" s="76">
        <v>1514</v>
      </c>
      <c r="B1482" s="2" t="s">
        <v>15485</v>
      </c>
      <c r="C1482" s="2" t="s">
        <v>15486</v>
      </c>
      <c r="D1482" s="2" t="s">
        <v>15487</v>
      </c>
      <c r="E1482" s="2" t="s">
        <v>15488</v>
      </c>
      <c r="F1482" s="2" t="s">
        <v>15489</v>
      </c>
      <c r="G1482" s="2" t="s">
        <v>23</v>
      </c>
      <c r="H1482" s="17">
        <v>100</v>
      </c>
      <c r="I1482" s="31">
        <f t="shared" si="144"/>
        <v>100000</v>
      </c>
      <c r="J1482" s="31">
        <f t="shared" si="145"/>
        <v>7000.0000000000009</v>
      </c>
      <c r="K1482" s="44">
        <f t="shared" si="146"/>
        <v>19.178082191780824</v>
      </c>
      <c r="L1482" s="3">
        <f t="shared" si="147"/>
        <v>1419.178082191781</v>
      </c>
      <c r="M1482" s="3">
        <f t="shared" si="148"/>
        <v>85.150684931506859</v>
      </c>
      <c r="N1482" s="67">
        <f t="shared" si="149"/>
        <v>1334.027397260274</v>
      </c>
      <c r="O1482" s="3"/>
      <c r="P1482" s="70" t="s">
        <v>18631</v>
      </c>
      <c r="Q1482" s="2" t="s">
        <v>329</v>
      </c>
      <c r="R1482" s="2" t="s">
        <v>15490</v>
      </c>
      <c r="T1482" t="s">
        <v>18666</v>
      </c>
      <c r="U1482" t="s">
        <v>18652</v>
      </c>
      <c r="V1482" s="104">
        <v>45857</v>
      </c>
      <c r="X1482" s="97"/>
      <c r="Y1482" s="75">
        <v>1334.03</v>
      </c>
    </row>
    <row r="1483" spans="1:25" x14ac:dyDescent="0.25">
      <c r="A1483" s="76">
        <v>1515</v>
      </c>
      <c r="B1483" s="2" t="s">
        <v>2458</v>
      </c>
      <c r="C1483" s="2" t="s">
        <v>2459</v>
      </c>
      <c r="D1483" s="2" t="s">
        <v>2460</v>
      </c>
      <c r="E1483" s="2" t="s">
        <v>2461</v>
      </c>
      <c r="F1483" s="2" t="s">
        <v>2462</v>
      </c>
      <c r="G1483" s="2" t="s">
        <v>296</v>
      </c>
      <c r="H1483" s="17">
        <v>25</v>
      </c>
      <c r="I1483" s="31">
        <f t="shared" si="144"/>
        <v>25000</v>
      </c>
      <c r="J1483" s="31">
        <f t="shared" si="145"/>
        <v>1750.0000000000002</v>
      </c>
      <c r="K1483" s="44">
        <f t="shared" si="146"/>
        <v>4.794520547945206</v>
      </c>
      <c r="L1483" s="3">
        <f t="shared" si="147"/>
        <v>354.79452054794524</v>
      </c>
      <c r="M1483" s="3">
        <f t="shared" si="148"/>
        <v>21.287671232876715</v>
      </c>
      <c r="N1483" s="67">
        <f t="shared" si="149"/>
        <v>333.50684931506851</v>
      </c>
      <c r="O1483" s="3"/>
      <c r="P1483" s="70" t="s">
        <v>18631</v>
      </c>
      <c r="Q1483" s="2" t="s">
        <v>329</v>
      </c>
      <c r="R1483" s="2" t="s">
        <v>2463</v>
      </c>
      <c r="T1483" t="s">
        <v>18666</v>
      </c>
      <c r="U1483" t="s">
        <v>18652</v>
      </c>
      <c r="V1483" s="104">
        <v>45857</v>
      </c>
      <c r="X1483" s="97"/>
      <c r="Y1483" s="75">
        <v>333.51</v>
      </c>
    </row>
    <row r="1484" spans="1:25" x14ac:dyDescent="0.25">
      <c r="A1484" s="76">
        <v>1516</v>
      </c>
      <c r="B1484" s="2" t="s">
        <v>15750</v>
      </c>
      <c r="C1484" s="2" t="s">
        <v>15751</v>
      </c>
      <c r="D1484" s="2" t="s">
        <v>15752</v>
      </c>
      <c r="E1484" s="2" t="s">
        <v>15753</v>
      </c>
      <c r="F1484" s="2" t="s">
        <v>15754</v>
      </c>
      <c r="G1484" s="2" t="s">
        <v>835</v>
      </c>
      <c r="H1484" s="17">
        <v>25</v>
      </c>
      <c r="I1484" s="31">
        <f t="shared" si="144"/>
        <v>25000</v>
      </c>
      <c r="J1484" s="31">
        <f t="shared" si="145"/>
        <v>1750.0000000000002</v>
      </c>
      <c r="K1484" s="44">
        <f t="shared" si="146"/>
        <v>4.794520547945206</v>
      </c>
      <c r="L1484" s="3">
        <f t="shared" si="147"/>
        <v>354.79452054794524</v>
      </c>
      <c r="M1484" s="3">
        <f t="shared" si="148"/>
        <v>21.287671232876715</v>
      </c>
      <c r="N1484" s="67">
        <f t="shared" si="149"/>
        <v>333.50684931506851</v>
      </c>
      <c r="O1484" s="3"/>
      <c r="P1484" s="70" t="s">
        <v>18631</v>
      </c>
      <c r="Q1484" s="2" t="s">
        <v>329</v>
      </c>
      <c r="R1484" s="2" t="s">
        <v>15755</v>
      </c>
      <c r="T1484" t="s">
        <v>18666</v>
      </c>
      <c r="U1484" t="s">
        <v>18652</v>
      </c>
      <c r="V1484" s="104">
        <v>45857</v>
      </c>
      <c r="X1484" s="97"/>
      <c r="Y1484" s="75">
        <v>333.51</v>
      </c>
    </row>
    <row r="1485" spans="1:25" x14ac:dyDescent="0.25">
      <c r="A1485" s="76">
        <v>1517</v>
      </c>
      <c r="B1485" s="2" t="s">
        <v>4895</v>
      </c>
      <c r="C1485" s="2" t="s">
        <v>4896</v>
      </c>
      <c r="D1485" s="2" t="s">
        <v>4897</v>
      </c>
      <c r="E1485" s="2" t="s">
        <v>4898</v>
      </c>
      <c r="F1485" s="2" t="s">
        <v>4899</v>
      </c>
      <c r="G1485" s="2" t="s">
        <v>1104</v>
      </c>
      <c r="H1485" s="17">
        <v>25</v>
      </c>
      <c r="I1485" s="31">
        <f t="shared" si="144"/>
        <v>25000</v>
      </c>
      <c r="J1485" s="31">
        <f t="shared" si="145"/>
        <v>1750.0000000000002</v>
      </c>
      <c r="K1485" s="44">
        <f t="shared" si="146"/>
        <v>4.794520547945206</v>
      </c>
      <c r="L1485" s="3">
        <f t="shared" si="147"/>
        <v>354.79452054794524</v>
      </c>
      <c r="M1485" s="3">
        <f t="shared" si="148"/>
        <v>21.287671232876715</v>
      </c>
      <c r="N1485" s="67">
        <f t="shared" si="149"/>
        <v>333.50684931506851</v>
      </c>
      <c r="O1485" s="3"/>
      <c r="P1485" s="70" t="s">
        <v>18631</v>
      </c>
      <c r="Q1485" s="2" t="s">
        <v>329</v>
      </c>
      <c r="R1485" s="2" t="s">
        <v>4900</v>
      </c>
      <c r="T1485" t="s">
        <v>18666</v>
      </c>
      <c r="U1485" t="s">
        <v>18652</v>
      </c>
      <c r="V1485" s="104">
        <v>45857</v>
      </c>
      <c r="X1485" s="97"/>
      <c r="Y1485" s="75">
        <v>333.51</v>
      </c>
    </row>
    <row r="1486" spans="1:25" x14ac:dyDescent="0.25">
      <c r="A1486" s="76">
        <v>1518</v>
      </c>
      <c r="B1486" s="2" t="s">
        <v>6672</v>
      </c>
      <c r="C1486" s="2" t="s">
        <v>6673</v>
      </c>
      <c r="D1486" s="2" t="s">
        <v>6674</v>
      </c>
      <c r="E1486" s="2" t="s">
        <v>6675</v>
      </c>
      <c r="F1486" s="2" t="s">
        <v>6676</v>
      </c>
      <c r="G1486" s="2" t="s">
        <v>328</v>
      </c>
      <c r="H1486" s="17">
        <v>200</v>
      </c>
      <c r="I1486" s="31">
        <f t="shared" si="144"/>
        <v>200000</v>
      </c>
      <c r="J1486" s="31">
        <f t="shared" si="145"/>
        <v>14000.000000000002</v>
      </c>
      <c r="K1486" s="44">
        <f t="shared" si="146"/>
        <v>38.356164383561648</v>
      </c>
      <c r="L1486" s="3">
        <f t="shared" si="147"/>
        <v>2838.3561643835619</v>
      </c>
      <c r="M1486" s="3">
        <f t="shared" si="148"/>
        <v>170.30136986301372</v>
      </c>
      <c r="N1486" s="67">
        <f t="shared" si="149"/>
        <v>2668.0547945205481</v>
      </c>
      <c r="O1486" s="3"/>
      <c r="P1486" s="70" t="s">
        <v>18631</v>
      </c>
      <c r="Q1486" s="2" t="s">
        <v>329</v>
      </c>
      <c r="R1486" s="2" t="s">
        <v>6677</v>
      </c>
      <c r="T1486" t="s">
        <v>18666</v>
      </c>
      <c r="U1486" t="s">
        <v>18652</v>
      </c>
      <c r="V1486" s="104">
        <v>45857</v>
      </c>
      <c r="X1486" s="97"/>
      <c r="Y1486" s="75">
        <v>2668.0600000000004</v>
      </c>
    </row>
    <row r="1487" spans="1:25" x14ac:dyDescent="0.25">
      <c r="A1487" s="76">
        <v>1519</v>
      </c>
      <c r="B1487" s="2" t="s">
        <v>10535</v>
      </c>
      <c r="C1487" s="2" t="s">
        <v>10536</v>
      </c>
      <c r="D1487" s="2" t="s">
        <v>10537</v>
      </c>
      <c r="E1487" s="2" t="s">
        <v>10538</v>
      </c>
      <c r="F1487" s="2" t="s">
        <v>10539</v>
      </c>
      <c r="G1487" s="2" t="s">
        <v>939</v>
      </c>
      <c r="H1487" s="17">
        <v>25</v>
      </c>
      <c r="I1487" s="31">
        <f t="shared" si="144"/>
        <v>25000</v>
      </c>
      <c r="J1487" s="31">
        <f t="shared" si="145"/>
        <v>1750.0000000000002</v>
      </c>
      <c r="K1487" s="44">
        <f t="shared" si="146"/>
        <v>4.794520547945206</v>
      </c>
      <c r="L1487" s="3">
        <f t="shared" si="147"/>
        <v>354.79452054794524</v>
      </c>
      <c r="M1487" s="3">
        <f t="shared" si="148"/>
        <v>21.287671232876715</v>
      </c>
      <c r="N1487" s="67">
        <f t="shared" si="149"/>
        <v>333.50684931506851</v>
      </c>
      <c r="O1487" s="3"/>
      <c r="P1487" s="70" t="s">
        <v>18631</v>
      </c>
      <c r="Q1487" s="2" t="s">
        <v>329</v>
      </c>
      <c r="R1487" s="2" t="s">
        <v>10540</v>
      </c>
      <c r="T1487" t="s">
        <v>18666</v>
      </c>
      <c r="U1487" t="s">
        <v>18652</v>
      </c>
      <c r="V1487" s="104">
        <v>45857</v>
      </c>
      <c r="X1487" s="97"/>
      <c r="Y1487" s="75">
        <v>333.51</v>
      </c>
    </row>
    <row r="1488" spans="1:25" x14ac:dyDescent="0.25">
      <c r="A1488" s="76">
        <v>1520</v>
      </c>
      <c r="B1488" s="2" t="s">
        <v>11557</v>
      </c>
      <c r="C1488" s="2" t="s">
        <v>11558</v>
      </c>
      <c r="D1488" s="2" t="s">
        <v>11559</v>
      </c>
      <c r="E1488" s="2" t="s">
        <v>11560</v>
      </c>
      <c r="F1488" s="2" t="s">
        <v>11561</v>
      </c>
      <c r="G1488" s="2" t="s">
        <v>261</v>
      </c>
      <c r="H1488" s="17">
        <v>25</v>
      </c>
      <c r="I1488" s="31">
        <f t="shared" si="144"/>
        <v>25000</v>
      </c>
      <c r="J1488" s="31">
        <f t="shared" si="145"/>
        <v>1750.0000000000002</v>
      </c>
      <c r="K1488" s="44">
        <f t="shared" si="146"/>
        <v>4.794520547945206</v>
      </c>
      <c r="L1488" s="3">
        <f t="shared" si="147"/>
        <v>354.79452054794524</v>
      </c>
      <c r="M1488" s="3">
        <f t="shared" si="148"/>
        <v>21.287671232876715</v>
      </c>
      <c r="N1488" s="67">
        <f t="shared" si="149"/>
        <v>333.50684931506851</v>
      </c>
      <c r="O1488" s="3"/>
      <c r="P1488" s="70" t="s">
        <v>18631</v>
      </c>
      <c r="Q1488" s="2" t="s">
        <v>329</v>
      </c>
      <c r="R1488" s="2" t="s">
        <v>11562</v>
      </c>
      <c r="T1488" t="s">
        <v>18666</v>
      </c>
      <c r="U1488" t="s">
        <v>18652</v>
      </c>
      <c r="V1488" s="104">
        <v>45857</v>
      </c>
      <c r="X1488" s="97"/>
      <c r="Y1488" s="75">
        <v>333.51</v>
      </c>
    </row>
    <row r="1489" spans="1:25" x14ac:dyDescent="0.25">
      <c r="A1489" s="76">
        <v>1521</v>
      </c>
      <c r="B1489" s="2" t="s">
        <v>9469</v>
      </c>
      <c r="C1489" s="2" t="s">
        <v>9470</v>
      </c>
      <c r="D1489" s="2" t="s">
        <v>9471</v>
      </c>
      <c r="E1489" s="2" t="s">
        <v>9472</v>
      </c>
      <c r="F1489" s="2" t="s">
        <v>9473</v>
      </c>
      <c r="G1489" s="2" t="s">
        <v>31</v>
      </c>
      <c r="H1489" s="17">
        <v>25</v>
      </c>
      <c r="I1489" s="31">
        <f t="shared" si="144"/>
        <v>25000</v>
      </c>
      <c r="J1489" s="31">
        <f t="shared" si="145"/>
        <v>1750.0000000000002</v>
      </c>
      <c r="K1489" s="44">
        <f t="shared" si="146"/>
        <v>4.794520547945206</v>
      </c>
      <c r="L1489" s="3">
        <f t="shared" si="147"/>
        <v>354.79452054794524</v>
      </c>
      <c r="M1489" s="3">
        <f t="shared" si="148"/>
        <v>21.287671232876715</v>
      </c>
      <c r="N1489" s="67">
        <f t="shared" si="149"/>
        <v>333.50684931506851</v>
      </c>
      <c r="O1489" s="3"/>
      <c r="P1489" s="70" t="s">
        <v>18631</v>
      </c>
      <c r="Q1489" s="2" t="s">
        <v>329</v>
      </c>
      <c r="R1489" s="2" t="s">
        <v>9474</v>
      </c>
      <c r="T1489" t="s">
        <v>18666</v>
      </c>
      <c r="U1489" t="s">
        <v>18652</v>
      </c>
      <c r="V1489" s="104">
        <v>45857</v>
      </c>
      <c r="X1489" s="97"/>
      <c r="Y1489" s="75">
        <v>333.51</v>
      </c>
    </row>
    <row r="1490" spans="1:25" x14ac:dyDescent="0.25">
      <c r="A1490" s="76">
        <v>1522</v>
      </c>
      <c r="B1490" s="2" t="s">
        <v>10628</v>
      </c>
      <c r="C1490" s="2" t="s">
        <v>10629</v>
      </c>
      <c r="D1490" s="2" t="s">
        <v>10630</v>
      </c>
      <c r="E1490" s="2" t="s">
        <v>10631</v>
      </c>
      <c r="F1490" s="2" t="s">
        <v>10632</v>
      </c>
      <c r="G1490" s="2" t="s">
        <v>233</v>
      </c>
      <c r="H1490" s="17">
        <v>50</v>
      </c>
      <c r="I1490" s="31">
        <f t="shared" ref="I1490:I1553" si="150">H1490*1000</f>
        <v>50000</v>
      </c>
      <c r="J1490" s="31">
        <f t="shared" ref="J1490:J1553" si="151">I1490*7%</f>
        <v>3500.0000000000005</v>
      </c>
      <c r="K1490" s="44">
        <f t="shared" ref="K1490:K1553" si="152">J1490/365</f>
        <v>9.589041095890412</v>
      </c>
      <c r="L1490" s="3">
        <f t="shared" ref="L1490:L1553" si="153">K1490*74</f>
        <v>709.58904109589048</v>
      </c>
      <c r="M1490" s="3">
        <f t="shared" ref="M1490:M1553" si="154">L1490*6%</f>
        <v>42.57534246575343</v>
      </c>
      <c r="N1490" s="67">
        <f t="shared" ref="N1490:N1553" si="155">L1490-M1490</f>
        <v>667.01369863013701</v>
      </c>
      <c r="O1490" s="3"/>
      <c r="P1490" s="70" t="s">
        <v>18631</v>
      </c>
      <c r="Q1490" s="2" t="s">
        <v>329</v>
      </c>
      <c r="R1490" s="2" t="s">
        <v>10633</v>
      </c>
      <c r="T1490" t="s">
        <v>18666</v>
      </c>
      <c r="U1490" t="s">
        <v>18652</v>
      </c>
      <c r="V1490" s="104">
        <v>45857</v>
      </c>
      <c r="X1490" s="97"/>
      <c r="Y1490" s="75">
        <v>667.02</v>
      </c>
    </row>
    <row r="1491" spans="1:25" x14ac:dyDescent="0.25">
      <c r="A1491" s="76">
        <v>1523</v>
      </c>
      <c r="B1491" s="2" t="s">
        <v>17036</v>
      </c>
      <c r="C1491" s="2" t="s">
        <v>17037</v>
      </c>
      <c r="D1491" s="2" t="s">
        <v>9221</v>
      </c>
      <c r="E1491" s="2" t="s">
        <v>17038</v>
      </c>
      <c r="F1491" s="2" t="s">
        <v>17039</v>
      </c>
      <c r="G1491" s="2" t="s">
        <v>39</v>
      </c>
      <c r="H1491" s="17">
        <v>25</v>
      </c>
      <c r="I1491" s="31">
        <f t="shared" si="150"/>
        <v>25000</v>
      </c>
      <c r="J1491" s="31">
        <f t="shared" si="151"/>
        <v>1750.0000000000002</v>
      </c>
      <c r="K1491" s="44">
        <f t="shared" si="152"/>
        <v>4.794520547945206</v>
      </c>
      <c r="L1491" s="3">
        <f t="shared" si="153"/>
        <v>354.79452054794524</v>
      </c>
      <c r="M1491" s="3">
        <f t="shared" si="154"/>
        <v>21.287671232876715</v>
      </c>
      <c r="N1491" s="67">
        <f t="shared" si="155"/>
        <v>333.50684931506851</v>
      </c>
      <c r="O1491" s="3"/>
      <c r="P1491" s="70" t="s">
        <v>18631</v>
      </c>
      <c r="Q1491" s="2" t="s">
        <v>329</v>
      </c>
      <c r="R1491" s="2" t="s">
        <v>17040</v>
      </c>
      <c r="T1491" t="s">
        <v>18666</v>
      </c>
      <c r="U1491" t="s">
        <v>18652</v>
      </c>
      <c r="V1491" s="104">
        <v>45857</v>
      </c>
      <c r="X1491" s="97"/>
      <c r="Y1491" s="75">
        <v>333.51</v>
      </c>
    </row>
    <row r="1492" spans="1:25" x14ac:dyDescent="0.25">
      <c r="A1492" s="76">
        <v>1524</v>
      </c>
      <c r="B1492" s="2" t="s">
        <v>10840</v>
      </c>
      <c r="C1492" s="2" t="s">
        <v>10841</v>
      </c>
      <c r="D1492" s="2" t="s">
        <v>10842</v>
      </c>
      <c r="E1492" s="2" t="s">
        <v>10843</v>
      </c>
      <c r="F1492" s="2" t="s">
        <v>10844</v>
      </c>
      <c r="G1492" s="2" t="s">
        <v>233</v>
      </c>
      <c r="H1492" s="17">
        <v>100</v>
      </c>
      <c r="I1492" s="31">
        <f t="shared" si="150"/>
        <v>100000</v>
      </c>
      <c r="J1492" s="31">
        <f t="shared" si="151"/>
        <v>7000.0000000000009</v>
      </c>
      <c r="K1492" s="44">
        <f t="shared" si="152"/>
        <v>19.178082191780824</v>
      </c>
      <c r="L1492" s="3">
        <f t="shared" si="153"/>
        <v>1419.178082191781</v>
      </c>
      <c r="M1492" s="3">
        <f t="shared" si="154"/>
        <v>85.150684931506859</v>
      </c>
      <c r="N1492" s="67">
        <f t="shared" si="155"/>
        <v>1334.027397260274</v>
      </c>
      <c r="O1492" s="3"/>
      <c r="P1492" s="70" t="s">
        <v>18631</v>
      </c>
      <c r="Q1492" s="2" t="s">
        <v>329</v>
      </c>
      <c r="R1492" s="2" t="s">
        <v>10845</v>
      </c>
      <c r="T1492" t="s">
        <v>18666</v>
      </c>
      <c r="U1492" t="s">
        <v>18652</v>
      </c>
      <c r="V1492" s="104">
        <v>45857</v>
      </c>
      <c r="X1492" s="97"/>
      <c r="Y1492" s="75">
        <v>1334.03</v>
      </c>
    </row>
    <row r="1493" spans="1:25" x14ac:dyDescent="0.25">
      <c r="A1493" s="76">
        <v>1525</v>
      </c>
      <c r="B1493" s="2" t="s">
        <v>12798</v>
      </c>
      <c r="C1493" s="2" t="s">
        <v>6627</v>
      </c>
      <c r="D1493" s="2" t="s">
        <v>12799</v>
      </c>
      <c r="E1493" s="2" t="s">
        <v>12800</v>
      </c>
      <c r="F1493" s="2" t="s">
        <v>12801</v>
      </c>
      <c r="G1493" s="2" t="s">
        <v>750</v>
      </c>
      <c r="H1493" s="17">
        <v>25</v>
      </c>
      <c r="I1493" s="31">
        <f t="shared" si="150"/>
        <v>25000</v>
      </c>
      <c r="J1493" s="31">
        <f t="shared" si="151"/>
        <v>1750.0000000000002</v>
      </c>
      <c r="K1493" s="44">
        <f t="shared" si="152"/>
        <v>4.794520547945206</v>
      </c>
      <c r="L1493" s="3">
        <f t="shared" si="153"/>
        <v>354.79452054794524</v>
      </c>
      <c r="M1493" s="3">
        <f t="shared" si="154"/>
        <v>21.287671232876715</v>
      </c>
      <c r="N1493" s="67">
        <f t="shared" si="155"/>
        <v>333.50684931506851</v>
      </c>
      <c r="O1493" s="3"/>
      <c r="P1493" s="70" t="s">
        <v>18631</v>
      </c>
      <c r="Q1493" s="2" t="s">
        <v>329</v>
      </c>
      <c r="R1493" s="2" t="s">
        <v>12802</v>
      </c>
      <c r="T1493" t="s">
        <v>18666</v>
      </c>
      <c r="U1493" t="s">
        <v>18652</v>
      </c>
      <c r="V1493" s="104">
        <v>45857</v>
      </c>
      <c r="X1493" s="97"/>
      <c r="Y1493" s="75">
        <v>333.51</v>
      </c>
    </row>
    <row r="1494" spans="1:25" x14ac:dyDescent="0.25">
      <c r="A1494" s="76">
        <v>1526</v>
      </c>
      <c r="B1494" s="2" t="s">
        <v>4139</v>
      </c>
      <c r="C1494" s="2" t="s">
        <v>4140</v>
      </c>
      <c r="D1494" s="2" t="s">
        <v>4141</v>
      </c>
      <c r="E1494" s="2" t="s">
        <v>4142</v>
      </c>
      <c r="F1494" s="2" t="s">
        <v>4143</v>
      </c>
      <c r="G1494" s="2" t="s">
        <v>1823</v>
      </c>
      <c r="H1494" s="17">
        <v>40</v>
      </c>
      <c r="I1494" s="31">
        <f t="shared" si="150"/>
        <v>40000</v>
      </c>
      <c r="J1494" s="31">
        <f t="shared" si="151"/>
        <v>2800.0000000000005</v>
      </c>
      <c r="K1494" s="44">
        <f t="shared" si="152"/>
        <v>7.6712328767123301</v>
      </c>
      <c r="L1494" s="3">
        <f t="shared" si="153"/>
        <v>567.67123287671245</v>
      </c>
      <c r="M1494" s="3">
        <f t="shared" si="154"/>
        <v>34.060273972602744</v>
      </c>
      <c r="N1494" s="67">
        <f t="shared" si="155"/>
        <v>533.61095890410968</v>
      </c>
      <c r="O1494" s="3"/>
      <c r="P1494" s="70" t="s">
        <v>18631</v>
      </c>
      <c r="Q1494" s="2" t="s">
        <v>329</v>
      </c>
      <c r="R1494" s="2" t="s">
        <v>4144</v>
      </c>
      <c r="T1494" t="s">
        <v>18666</v>
      </c>
      <c r="U1494" t="s">
        <v>18652</v>
      </c>
      <c r="V1494" s="104">
        <v>45857</v>
      </c>
      <c r="X1494" s="97"/>
      <c r="Y1494" s="75">
        <v>533.62</v>
      </c>
    </row>
    <row r="1495" spans="1:25" x14ac:dyDescent="0.25">
      <c r="A1495" s="76">
        <v>1527</v>
      </c>
      <c r="B1495" s="2" t="s">
        <v>2694</v>
      </c>
      <c r="C1495" s="2" t="s">
        <v>2695</v>
      </c>
      <c r="D1495" s="2" t="s">
        <v>2696</v>
      </c>
      <c r="E1495" s="2" t="s">
        <v>2697</v>
      </c>
      <c r="F1495" s="2" t="s">
        <v>2698</v>
      </c>
      <c r="G1495" s="2" t="s">
        <v>247</v>
      </c>
      <c r="H1495" s="17">
        <v>25</v>
      </c>
      <c r="I1495" s="31">
        <f t="shared" si="150"/>
        <v>25000</v>
      </c>
      <c r="J1495" s="31">
        <f t="shared" si="151"/>
        <v>1750.0000000000002</v>
      </c>
      <c r="K1495" s="44">
        <f t="shared" si="152"/>
        <v>4.794520547945206</v>
      </c>
      <c r="L1495" s="3">
        <f t="shared" si="153"/>
        <v>354.79452054794524</v>
      </c>
      <c r="M1495" s="3">
        <f t="shared" si="154"/>
        <v>21.287671232876715</v>
      </c>
      <c r="N1495" s="67">
        <f t="shared" si="155"/>
        <v>333.50684931506851</v>
      </c>
      <c r="O1495" s="3"/>
      <c r="P1495" s="70" t="s">
        <v>18631</v>
      </c>
      <c r="Q1495" s="2" t="s">
        <v>329</v>
      </c>
      <c r="R1495" s="2" t="s">
        <v>2699</v>
      </c>
      <c r="T1495" t="s">
        <v>18666</v>
      </c>
      <c r="U1495" t="s">
        <v>18652</v>
      </c>
      <c r="V1495" s="104">
        <v>45857</v>
      </c>
      <c r="X1495" s="97"/>
      <c r="Y1495" s="75">
        <v>333.51</v>
      </c>
    </row>
    <row r="1496" spans="1:25" x14ac:dyDescent="0.25">
      <c r="A1496" s="76">
        <v>1528</v>
      </c>
      <c r="B1496" s="2" t="s">
        <v>2303</v>
      </c>
      <c r="C1496" s="2" t="s">
        <v>2304</v>
      </c>
      <c r="D1496" s="2" t="s">
        <v>2305</v>
      </c>
      <c r="E1496" s="2" t="s">
        <v>2306</v>
      </c>
      <c r="F1496" s="2" t="s">
        <v>2307</v>
      </c>
      <c r="G1496" s="2" t="s">
        <v>381</v>
      </c>
      <c r="H1496" s="17">
        <v>25</v>
      </c>
      <c r="I1496" s="31">
        <f t="shared" si="150"/>
        <v>25000</v>
      </c>
      <c r="J1496" s="31">
        <f t="shared" si="151"/>
        <v>1750.0000000000002</v>
      </c>
      <c r="K1496" s="44">
        <f t="shared" si="152"/>
        <v>4.794520547945206</v>
      </c>
      <c r="L1496" s="3">
        <f t="shared" si="153"/>
        <v>354.79452054794524</v>
      </c>
      <c r="M1496" s="3">
        <f t="shared" si="154"/>
        <v>21.287671232876715</v>
      </c>
      <c r="N1496" s="67">
        <f t="shared" si="155"/>
        <v>333.50684931506851</v>
      </c>
      <c r="O1496" s="3"/>
      <c r="P1496" s="70" t="s">
        <v>18631</v>
      </c>
      <c r="Q1496" s="2" t="s">
        <v>329</v>
      </c>
      <c r="R1496" s="2" t="s">
        <v>2308</v>
      </c>
      <c r="T1496" t="s">
        <v>18666</v>
      </c>
      <c r="U1496" t="s">
        <v>18652</v>
      </c>
      <c r="V1496" s="104">
        <v>45857</v>
      </c>
      <c r="X1496" s="97"/>
      <c r="Y1496" s="75">
        <v>333.51</v>
      </c>
    </row>
    <row r="1497" spans="1:25" x14ac:dyDescent="0.25">
      <c r="A1497" s="76">
        <v>1529</v>
      </c>
      <c r="B1497" s="2" t="s">
        <v>5160</v>
      </c>
      <c r="C1497" s="2" t="s">
        <v>5161</v>
      </c>
      <c r="D1497" s="2" t="s">
        <v>5162</v>
      </c>
      <c r="E1497" s="2" t="s">
        <v>5163</v>
      </c>
      <c r="F1497" s="2" t="s">
        <v>5164</v>
      </c>
      <c r="G1497" s="2" t="s">
        <v>61</v>
      </c>
      <c r="H1497" s="17">
        <v>25</v>
      </c>
      <c r="I1497" s="31">
        <f t="shared" si="150"/>
        <v>25000</v>
      </c>
      <c r="J1497" s="31">
        <f t="shared" si="151"/>
        <v>1750.0000000000002</v>
      </c>
      <c r="K1497" s="44">
        <f t="shared" si="152"/>
        <v>4.794520547945206</v>
      </c>
      <c r="L1497" s="3">
        <f t="shared" si="153"/>
        <v>354.79452054794524</v>
      </c>
      <c r="M1497" s="3">
        <f t="shared" si="154"/>
        <v>21.287671232876715</v>
      </c>
      <c r="N1497" s="67">
        <f t="shared" si="155"/>
        <v>333.50684931506851</v>
      </c>
      <c r="O1497" s="3"/>
      <c r="P1497" s="70" t="s">
        <v>18631</v>
      </c>
      <c r="Q1497" s="2" t="s">
        <v>329</v>
      </c>
      <c r="R1497" s="2" t="s">
        <v>5165</v>
      </c>
      <c r="T1497" t="s">
        <v>18666</v>
      </c>
      <c r="U1497" t="s">
        <v>18652</v>
      </c>
      <c r="V1497" s="104">
        <v>45857</v>
      </c>
      <c r="X1497" s="97"/>
      <c r="Y1497" s="75">
        <v>333.51</v>
      </c>
    </row>
    <row r="1498" spans="1:25" x14ac:dyDescent="0.25">
      <c r="A1498" s="76">
        <v>1530</v>
      </c>
      <c r="B1498" s="2" t="s">
        <v>1268</v>
      </c>
      <c r="C1498" s="2" t="s">
        <v>1269</v>
      </c>
      <c r="D1498" s="2" t="s">
        <v>1270</v>
      </c>
      <c r="E1498" s="2" t="s">
        <v>1271</v>
      </c>
      <c r="F1498" s="2" t="s">
        <v>1272</v>
      </c>
      <c r="G1498" s="2" t="s">
        <v>296</v>
      </c>
      <c r="H1498" s="17">
        <v>500</v>
      </c>
      <c r="I1498" s="31">
        <f t="shared" si="150"/>
        <v>500000</v>
      </c>
      <c r="J1498" s="31">
        <f t="shared" si="151"/>
        <v>35000</v>
      </c>
      <c r="K1498" s="44">
        <f t="shared" si="152"/>
        <v>95.890410958904113</v>
      </c>
      <c r="L1498" s="3">
        <f t="shared" si="153"/>
        <v>7095.8904109589039</v>
      </c>
      <c r="M1498" s="3">
        <f t="shared" si="154"/>
        <v>425.7534246575342</v>
      </c>
      <c r="N1498" s="67">
        <f t="shared" si="155"/>
        <v>6670.1369863013697</v>
      </c>
      <c r="O1498" s="3"/>
      <c r="P1498" s="70" t="s">
        <v>18631</v>
      </c>
      <c r="Q1498" s="2" t="s">
        <v>329</v>
      </c>
      <c r="R1498" s="2" t="s">
        <v>1273</v>
      </c>
      <c r="T1498" t="s">
        <v>18666</v>
      </c>
      <c r="U1498" t="s">
        <v>18652</v>
      </c>
      <c r="V1498" s="104">
        <v>45857</v>
      </c>
      <c r="X1498" s="97"/>
      <c r="Y1498" s="75">
        <v>6670.14</v>
      </c>
    </row>
    <row r="1499" spans="1:25" x14ac:dyDescent="0.25">
      <c r="A1499" s="76">
        <v>1531</v>
      </c>
      <c r="B1499" s="2" t="s">
        <v>7647</v>
      </c>
      <c r="C1499" s="2" t="s">
        <v>7648</v>
      </c>
      <c r="D1499" s="2" t="s">
        <v>7649</v>
      </c>
      <c r="E1499" s="2" t="s">
        <v>7650</v>
      </c>
      <c r="F1499" s="2" t="s">
        <v>7651</v>
      </c>
      <c r="G1499" s="2" t="s">
        <v>31</v>
      </c>
      <c r="H1499" s="17">
        <v>3000</v>
      </c>
      <c r="I1499" s="31">
        <f t="shared" si="150"/>
        <v>3000000</v>
      </c>
      <c r="J1499" s="31">
        <f t="shared" si="151"/>
        <v>210000.00000000003</v>
      </c>
      <c r="K1499" s="44">
        <f t="shared" si="152"/>
        <v>575.34246575342479</v>
      </c>
      <c r="L1499" s="3">
        <f t="shared" si="153"/>
        <v>42575.342465753434</v>
      </c>
      <c r="M1499" s="3">
        <f t="shared" si="154"/>
        <v>2554.5205479452061</v>
      </c>
      <c r="N1499" s="67">
        <f t="shared" si="155"/>
        <v>40020.821917808229</v>
      </c>
      <c r="O1499" s="3"/>
      <c r="P1499" s="70" t="s">
        <v>18631</v>
      </c>
      <c r="Q1499" s="2" t="s">
        <v>329</v>
      </c>
      <c r="R1499" s="2" t="s">
        <v>7652</v>
      </c>
      <c r="T1499" t="s">
        <v>18666</v>
      </c>
      <c r="U1499" t="s">
        <v>18652</v>
      </c>
      <c r="V1499" s="104">
        <v>45857</v>
      </c>
      <c r="X1499" s="97"/>
      <c r="Y1499" s="75">
        <v>40020.83</v>
      </c>
    </row>
    <row r="1500" spans="1:25" x14ac:dyDescent="0.25">
      <c r="A1500" s="76">
        <v>1532</v>
      </c>
      <c r="B1500" s="2" t="s">
        <v>10329</v>
      </c>
      <c r="C1500" s="2" t="s">
        <v>10330</v>
      </c>
      <c r="D1500" s="2" t="s">
        <v>10331</v>
      </c>
      <c r="E1500" s="2" t="s">
        <v>10332</v>
      </c>
      <c r="F1500" s="2" t="s">
        <v>10333</v>
      </c>
      <c r="G1500" s="2" t="s">
        <v>61</v>
      </c>
      <c r="H1500" s="17">
        <v>25</v>
      </c>
      <c r="I1500" s="31">
        <f t="shared" si="150"/>
        <v>25000</v>
      </c>
      <c r="J1500" s="31">
        <f t="shared" si="151"/>
        <v>1750.0000000000002</v>
      </c>
      <c r="K1500" s="44">
        <f t="shared" si="152"/>
        <v>4.794520547945206</v>
      </c>
      <c r="L1500" s="3">
        <f t="shared" si="153"/>
        <v>354.79452054794524</v>
      </c>
      <c r="M1500" s="3">
        <f t="shared" si="154"/>
        <v>21.287671232876715</v>
      </c>
      <c r="N1500" s="67">
        <f t="shared" si="155"/>
        <v>333.50684931506851</v>
      </c>
      <c r="O1500" s="3"/>
      <c r="P1500" s="70" t="s">
        <v>18631</v>
      </c>
      <c r="Q1500" s="2" t="s">
        <v>329</v>
      </c>
      <c r="R1500" s="2" t="s">
        <v>10334</v>
      </c>
      <c r="T1500" t="s">
        <v>18666</v>
      </c>
      <c r="U1500" t="s">
        <v>18652</v>
      </c>
      <c r="V1500" s="104">
        <v>45857</v>
      </c>
      <c r="X1500" s="97"/>
      <c r="Y1500" s="75">
        <v>333.51</v>
      </c>
    </row>
    <row r="1501" spans="1:25" x14ac:dyDescent="0.25">
      <c r="A1501" s="76">
        <v>1533</v>
      </c>
      <c r="B1501" s="2" t="s">
        <v>10323</v>
      </c>
      <c r="C1501" s="2" t="s">
        <v>10324</v>
      </c>
      <c r="D1501" s="2" t="s">
        <v>10325</v>
      </c>
      <c r="E1501" s="2" t="s">
        <v>10326</v>
      </c>
      <c r="F1501" s="2" t="s">
        <v>10327</v>
      </c>
      <c r="G1501" s="2" t="s">
        <v>61</v>
      </c>
      <c r="H1501" s="17">
        <v>25</v>
      </c>
      <c r="I1501" s="31">
        <f t="shared" si="150"/>
        <v>25000</v>
      </c>
      <c r="J1501" s="31">
        <f t="shared" si="151"/>
        <v>1750.0000000000002</v>
      </c>
      <c r="K1501" s="44">
        <f t="shared" si="152"/>
        <v>4.794520547945206</v>
      </c>
      <c r="L1501" s="3">
        <f t="shared" si="153"/>
        <v>354.79452054794524</v>
      </c>
      <c r="M1501" s="3">
        <f t="shared" si="154"/>
        <v>21.287671232876715</v>
      </c>
      <c r="N1501" s="67">
        <f t="shared" si="155"/>
        <v>333.50684931506851</v>
      </c>
      <c r="O1501" s="3"/>
      <c r="P1501" s="70" t="s">
        <v>18631</v>
      </c>
      <c r="Q1501" s="2" t="s">
        <v>329</v>
      </c>
      <c r="R1501" s="2" t="s">
        <v>10328</v>
      </c>
      <c r="T1501" t="s">
        <v>18666</v>
      </c>
      <c r="U1501" t="s">
        <v>18652</v>
      </c>
      <c r="V1501" s="104">
        <v>45857</v>
      </c>
      <c r="X1501" s="97"/>
      <c r="Y1501" s="75">
        <v>333.51</v>
      </c>
    </row>
    <row r="1502" spans="1:25" x14ac:dyDescent="0.25">
      <c r="A1502" s="76">
        <v>1534</v>
      </c>
      <c r="B1502" s="2" t="s">
        <v>12924</v>
      </c>
      <c r="C1502" s="2" t="s">
        <v>12925</v>
      </c>
      <c r="D1502" s="2" t="s">
        <v>12926</v>
      </c>
      <c r="E1502" s="2" t="s">
        <v>12927</v>
      </c>
      <c r="F1502" s="2" t="s">
        <v>12928</v>
      </c>
      <c r="G1502" s="2" t="s">
        <v>193</v>
      </c>
      <c r="H1502" s="17">
        <v>25</v>
      </c>
      <c r="I1502" s="31">
        <f t="shared" si="150"/>
        <v>25000</v>
      </c>
      <c r="J1502" s="31">
        <f t="shared" si="151"/>
        <v>1750.0000000000002</v>
      </c>
      <c r="K1502" s="44">
        <f t="shared" si="152"/>
        <v>4.794520547945206</v>
      </c>
      <c r="L1502" s="3">
        <f t="shared" si="153"/>
        <v>354.79452054794524</v>
      </c>
      <c r="M1502" s="3">
        <f t="shared" si="154"/>
        <v>21.287671232876715</v>
      </c>
      <c r="N1502" s="67">
        <f t="shared" si="155"/>
        <v>333.50684931506851</v>
      </c>
      <c r="O1502" s="3"/>
      <c r="P1502" s="70" t="s">
        <v>18631</v>
      </c>
      <c r="Q1502" s="2" t="s">
        <v>329</v>
      </c>
      <c r="R1502" s="2" t="s">
        <v>12929</v>
      </c>
      <c r="T1502" t="s">
        <v>18666</v>
      </c>
      <c r="U1502" t="s">
        <v>18652</v>
      </c>
      <c r="V1502" s="104">
        <v>45857</v>
      </c>
      <c r="X1502" s="97"/>
      <c r="Y1502" s="75">
        <v>333.51</v>
      </c>
    </row>
    <row r="1503" spans="1:25" x14ac:dyDescent="0.25">
      <c r="A1503" s="76">
        <v>1535</v>
      </c>
      <c r="B1503" s="2" t="s">
        <v>14418</v>
      </c>
      <c r="C1503" s="2" t="s">
        <v>14419</v>
      </c>
      <c r="D1503" s="2" t="s">
        <v>14420</v>
      </c>
      <c r="E1503" s="2" t="s">
        <v>14421</v>
      </c>
      <c r="F1503" s="2" t="s">
        <v>14422</v>
      </c>
      <c r="G1503" s="2" t="s">
        <v>362</v>
      </c>
      <c r="H1503" s="17">
        <v>100</v>
      </c>
      <c r="I1503" s="31">
        <f t="shared" si="150"/>
        <v>100000</v>
      </c>
      <c r="J1503" s="31">
        <f t="shared" si="151"/>
        <v>7000.0000000000009</v>
      </c>
      <c r="K1503" s="44">
        <f t="shared" si="152"/>
        <v>19.178082191780824</v>
      </c>
      <c r="L1503" s="3">
        <f t="shared" si="153"/>
        <v>1419.178082191781</v>
      </c>
      <c r="M1503" s="3">
        <f t="shared" si="154"/>
        <v>85.150684931506859</v>
      </c>
      <c r="N1503" s="67">
        <f t="shared" si="155"/>
        <v>1334.027397260274</v>
      </c>
      <c r="O1503" s="3"/>
      <c r="P1503" s="70" t="s">
        <v>18632</v>
      </c>
      <c r="Q1503" s="2" t="s">
        <v>1889</v>
      </c>
      <c r="R1503" s="2" t="s">
        <v>14423</v>
      </c>
      <c r="T1503" t="s">
        <v>18666</v>
      </c>
      <c r="U1503" t="s">
        <v>18652</v>
      </c>
      <c r="V1503" s="104">
        <v>45857</v>
      </c>
      <c r="X1503" s="97"/>
      <c r="Y1503" s="75">
        <v>1334.03</v>
      </c>
    </row>
    <row r="1504" spans="1:25" x14ac:dyDescent="0.25">
      <c r="A1504" s="76">
        <v>1536</v>
      </c>
      <c r="B1504" s="2" t="s">
        <v>6118</v>
      </c>
      <c r="C1504" s="2" t="s">
        <v>6119</v>
      </c>
      <c r="D1504" s="2" t="s">
        <v>6120</v>
      </c>
      <c r="E1504" s="2" t="s">
        <v>6121</v>
      </c>
      <c r="F1504" s="2" t="s">
        <v>6122</v>
      </c>
      <c r="G1504" s="2" t="s">
        <v>381</v>
      </c>
      <c r="H1504" s="17">
        <v>100</v>
      </c>
      <c r="I1504" s="31">
        <f t="shared" si="150"/>
        <v>100000</v>
      </c>
      <c r="J1504" s="31">
        <f t="shared" si="151"/>
        <v>7000.0000000000009</v>
      </c>
      <c r="K1504" s="44">
        <f t="shared" si="152"/>
        <v>19.178082191780824</v>
      </c>
      <c r="L1504" s="3">
        <f t="shared" si="153"/>
        <v>1419.178082191781</v>
      </c>
      <c r="M1504" s="3">
        <f t="shared" si="154"/>
        <v>85.150684931506859</v>
      </c>
      <c r="N1504" s="67">
        <f t="shared" si="155"/>
        <v>1334.027397260274</v>
      </c>
      <c r="O1504" s="3"/>
      <c r="P1504" s="70" t="s">
        <v>18632</v>
      </c>
      <c r="Q1504" s="2" t="s">
        <v>1889</v>
      </c>
      <c r="R1504" s="2" t="s">
        <v>6123</v>
      </c>
      <c r="T1504" t="s">
        <v>18666</v>
      </c>
      <c r="U1504" t="s">
        <v>18652</v>
      </c>
      <c r="V1504" s="104">
        <v>45857</v>
      </c>
      <c r="X1504" s="97"/>
      <c r="Y1504" s="75">
        <v>1334.03</v>
      </c>
    </row>
    <row r="1505" spans="1:25" x14ac:dyDescent="0.25">
      <c r="A1505" s="76">
        <v>1537</v>
      </c>
      <c r="B1505" s="2" t="s">
        <v>8136</v>
      </c>
      <c r="C1505" s="2" t="s">
        <v>8137</v>
      </c>
      <c r="D1505" s="2" t="s">
        <v>8138</v>
      </c>
      <c r="E1505" s="2" t="s">
        <v>8139</v>
      </c>
      <c r="F1505" s="2" t="s">
        <v>8140</v>
      </c>
      <c r="G1505" s="2" t="s">
        <v>31</v>
      </c>
      <c r="H1505" s="17">
        <v>25</v>
      </c>
      <c r="I1505" s="31">
        <f t="shared" si="150"/>
        <v>25000</v>
      </c>
      <c r="J1505" s="31">
        <f t="shared" si="151"/>
        <v>1750.0000000000002</v>
      </c>
      <c r="K1505" s="44">
        <f t="shared" si="152"/>
        <v>4.794520547945206</v>
      </c>
      <c r="L1505" s="3">
        <f t="shared" si="153"/>
        <v>354.79452054794524</v>
      </c>
      <c r="M1505" s="3">
        <f t="shared" si="154"/>
        <v>21.287671232876715</v>
      </c>
      <c r="N1505" s="67">
        <f t="shared" si="155"/>
        <v>333.50684931506851</v>
      </c>
      <c r="O1505" s="3"/>
      <c r="P1505" s="70" t="s">
        <v>18632</v>
      </c>
      <c r="Q1505" s="2" t="s">
        <v>1889</v>
      </c>
      <c r="R1505" s="2" t="s">
        <v>8141</v>
      </c>
      <c r="T1505" t="s">
        <v>18666</v>
      </c>
      <c r="U1505" t="s">
        <v>18652</v>
      </c>
      <c r="V1505" s="104">
        <v>45857</v>
      </c>
      <c r="X1505" s="97"/>
      <c r="Y1505" s="75">
        <v>333.51</v>
      </c>
    </row>
    <row r="1506" spans="1:25" x14ac:dyDescent="0.25">
      <c r="A1506" s="76">
        <v>1538</v>
      </c>
      <c r="B1506" s="2" t="s">
        <v>10231</v>
      </c>
      <c r="C1506" s="2" t="s">
        <v>10232</v>
      </c>
      <c r="D1506" s="2" t="s">
        <v>10233</v>
      </c>
      <c r="E1506" s="2" t="s">
        <v>10234</v>
      </c>
      <c r="F1506" s="2" t="s">
        <v>10235</v>
      </c>
      <c r="G1506" s="2" t="s">
        <v>381</v>
      </c>
      <c r="H1506" s="17">
        <v>25</v>
      </c>
      <c r="I1506" s="31">
        <f t="shared" si="150"/>
        <v>25000</v>
      </c>
      <c r="J1506" s="31">
        <f t="shared" si="151"/>
        <v>1750.0000000000002</v>
      </c>
      <c r="K1506" s="44">
        <f t="shared" si="152"/>
        <v>4.794520547945206</v>
      </c>
      <c r="L1506" s="3">
        <f t="shared" si="153"/>
        <v>354.79452054794524</v>
      </c>
      <c r="M1506" s="3">
        <f t="shared" si="154"/>
        <v>21.287671232876715</v>
      </c>
      <c r="N1506" s="67">
        <f t="shared" si="155"/>
        <v>333.50684931506851</v>
      </c>
      <c r="O1506" s="3"/>
      <c r="P1506" s="70" t="s">
        <v>18632</v>
      </c>
      <c r="Q1506" s="2" t="s">
        <v>1889</v>
      </c>
      <c r="R1506" s="2" t="s">
        <v>10236</v>
      </c>
      <c r="T1506" t="s">
        <v>18666</v>
      </c>
      <c r="U1506" t="s">
        <v>18652</v>
      </c>
      <c r="V1506" s="104">
        <v>45857</v>
      </c>
      <c r="X1506" s="97"/>
      <c r="Y1506" s="75">
        <v>333.51</v>
      </c>
    </row>
    <row r="1507" spans="1:25" x14ac:dyDescent="0.25">
      <c r="A1507" s="76">
        <v>1539</v>
      </c>
      <c r="B1507" s="2" t="s">
        <v>17611</v>
      </c>
      <c r="C1507" s="2" t="s">
        <v>17612</v>
      </c>
      <c r="D1507" s="2" t="s">
        <v>17613</v>
      </c>
      <c r="E1507" s="2" t="s">
        <v>17614</v>
      </c>
      <c r="F1507" s="2" t="s">
        <v>17615</v>
      </c>
      <c r="G1507" s="2" t="s">
        <v>362</v>
      </c>
      <c r="H1507" s="17">
        <v>50</v>
      </c>
      <c r="I1507" s="31">
        <f t="shared" si="150"/>
        <v>50000</v>
      </c>
      <c r="J1507" s="31">
        <f t="shared" si="151"/>
        <v>3500.0000000000005</v>
      </c>
      <c r="K1507" s="44">
        <f t="shared" si="152"/>
        <v>9.589041095890412</v>
      </c>
      <c r="L1507" s="3">
        <f t="shared" si="153"/>
        <v>709.58904109589048</v>
      </c>
      <c r="M1507" s="3">
        <f t="shared" si="154"/>
        <v>42.57534246575343</v>
      </c>
      <c r="N1507" s="67">
        <f t="shared" si="155"/>
        <v>667.01369863013701</v>
      </c>
      <c r="O1507" s="3"/>
      <c r="P1507" s="70" t="s">
        <v>18632</v>
      </c>
      <c r="Q1507" s="2" t="s">
        <v>1889</v>
      </c>
      <c r="R1507" s="2" t="s">
        <v>17616</v>
      </c>
      <c r="T1507" t="s">
        <v>18666</v>
      </c>
      <c r="U1507" t="s">
        <v>18652</v>
      </c>
      <c r="V1507" s="104">
        <v>45857</v>
      </c>
      <c r="X1507" s="97"/>
      <c r="Y1507" s="75">
        <v>667.02</v>
      </c>
    </row>
    <row r="1508" spans="1:25" x14ac:dyDescent="0.25">
      <c r="A1508" s="76">
        <v>1540</v>
      </c>
      <c r="B1508" s="2" t="s">
        <v>1884</v>
      </c>
      <c r="C1508" s="2" t="s">
        <v>1885</v>
      </c>
      <c r="D1508" s="2" t="s">
        <v>1886</v>
      </c>
      <c r="E1508" s="2" t="s">
        <v>1887</v>
      </c>
      <c r="F1508" s="2" t="s">
        <v>1888</v>
      </c>
      <c r="G1508" s="2" t="s">
        <v>31</v>
      </c>
      <c r="H1508" s="17">
        <v>25</v>
      </c>
      <c r="I1508" s="31">
        <f t="shared" si="150"/>
        <v>25000</v>
      </c>
      <c r="J1508" s="31">
        <f t="shared" si="151"/>
        <v>1750.0000000000002</v>
      </c>
      <c r="K1508" s="44">
        <f t="shared" si="152"/>
        <v>4.794520547945206</v>
      </c>
      <c r="L1508" s="3">
        <f t="shared" si="153"/>
        <v>354.79452054794524</v>
      </c>
      <c r="M1508" s="3">
        <f t="shared" si="154"/>
        <v>21.287671232876715</v>
      </c>
      <c r="N1508" s="67">
        <f t="shared" si="155"/>
        <v>333.50684931506851</v>
      </c>
      <c r="O1508" s="3"/>
      <c r="P1508" s="70" t="s">
        <v>18632</v>
      </c>
      <c r="Q1508" s="2" t="s">
        <v>1889</v>
      </c>
      <c r="R1508" s="2" t="s">
        <v>1890</v>
      </c>
      <c r="T1508" t="s">
        <v>18666</v>
      </c>
      <c r="U1508" t="s">
        <v>18652</v>
      </c>
      <c r="V1508" s="104">
        <v>45857</v>
      </c>
      <c r="X1508" s="97"/>
      <c r="Y1508" s="75">
        <v>333.51</v>
      </c>
    </row>
    <row r="1509" spans="1:25" x14ac:dyDescent="0.25">
      <c r="A1509" s="76">
        <v>1541</v>
      </c>
      <c r="B1509" s="2" t="s">
        <v>11172</v>
      </c>
      <c r="C1509" s="2" t="s">
        <v>11173</v>
      </c>
      <c r="D1509" s="2" t="s">
        <v>11174</v>
      </c>
      <c r="E1509" s="2" t="s">
        <v>11175</v>
      </c>
      <c r="F1509" s="2" t="s">
        <v>11176</v>
      </c>
      <c r="G1509" s="2" t="s">
        <v>328</v>
      </c>
      <c r="H1509" s="17">
        <v>25</v>
      </c>
      <c r="I1509" s="31">
        <f t="shared" si="150"/>
        <v>25000</v>
      </c>
      <c r="J1509" s="31">
        <f t="shared" si="151"/>
        <v>1750.0000000000002</v>
      </c>
      <c r="K1509" s="44">
        <f t="shared" si="152"/>
        <v>4.794520547945206</v>
      </c>
      <c r="L1509" s="3">
        <f t="shared" si="153"/>
        <v>354.79452054794524</v>
      </c>
      <c r="M1509" s="3">
        <f t="shared" si="154"/>
        <v>21.287671232876715</v>
      </c>
      <c r="N1509" s="67">
        <f t="shared" si="155"/>
        <v>333.50684931506851</v>
      </c>
      <c r="O1509" s="3"/>
      <c r="P1509" s="70" t="s">
        <v>18633</v>
      </c>
      <c r="Q1509" s="2" t="s">
        <v>11177</v>
      </c>
      <c r="R1509" s="2" t="s">
        <v>11178</v>
      </c>
      <c r="T1509" t="s">
        <v>18666</v>
      </c>
      <c r="U1509" t="s">
        <v>18652</v>
      </c>
      <c r="V1509" s="104">
        <v>45857</v>
      </c>
      <c r="X1509" s="97"/>
      <c r="Y1509" s="75">
        <v>333.51</v>
      </c>
    </row>
    <row r="1510" spans="1:25" x14ac:dyDescent="0.25">
      <c r="A1510" s="76">
        <v>1542</v>
      </c>
      <c r="B1510" s="2" t="s">
        <v>18240</v>
      </c>
      <c r="C1510" s="2" t="s">
        <v>18241</v>
      </c>
      <c r="D1510" s="2" t="s">
        <v>18242</v>
      </c>
      <c r="E1510" s="2" t="s">
        <v>18243</v>
      </c>
      <c r="F1510" s="2" t="s">
        <v>11995</v>
      </c>
      <c r="G1510" s="2" t="s">
        <v>510</v>
      </c>
      <c r="H1510" s="17">
        <v>183</v>
      </c>
      <c r="I1510" s="31">
        <f t="shared" si="150"/>
        <v>183000</v>
      </c>
      <c r="J1510" s="31">
        <f t="shared" si="151"/>
        <v>12810.000000000002</v>
      </c>
      <c r="K1510" s="44">
        <f t="shared" si="152"/>
        <v>35.095890410958908</v>
      </c>
      <c r="L1510" s="3">
        <f t="shared" si="153"/>
        <v>2597.0958904109593</v>
      </c>
      <c r="M1510" s="3">
        <f t="shared" si="154"/>
        <v>155.82575342465756</v>
      </c>
      <c r="N1510" s="67">
        <f t="shared" si="155"/>
        <v>2441.2701369863016</v>
      </c>
      <c r="O1510" s="3"/>
      <c r="P1510" s="70" t="s">
        <v>18633</v>
      </c>
      <c r="Q1510" s="2" t="s">
        <v>11177</v>
      </c>
      <c r="R1510" s="2" t="s">
        <v>18244</v>
      </c>
      <c r="T1510" t="s">
        <v>18666</v>
      </c>
      <c r="U1510" t="s">
        <v>18652</v>
      </c>
      <c r="V1510" s="104">
        <v>45857</v>
      </c>
      <c r="X1510" s="97"/>
      <c r="Y1510" s="75">
        <v>2441.2800000000002</v>
      </c>
    </row>
    <row r="1511" spans="1:25" x14ac:dyDescent="0.25">
      <c r="A1511" s="76">
        <v>1543</v>
      </c>
      <c r="B1511" s="2" t="s">
        <v>3483</v>
      </c>
      <c r="C1511" s="2" t="s">
        <v>3484</v>
      </c>
      <c r="D1511" s="2" t="s">
        <v>3485</v>
      </c>
      <c r="E1511" s="2" t="s">
        <v>3486</v>
      </c>
      <c r="F1511" s="2" t="s">
        <v>3487</v>
      </c>
      <c r="G1511" s="2" t="s">
        <v>328</v>
      </c>
      <c r="H1511" s="17">
        <v>25</v>
      </c>
      <c r="I1511" s="31">
        <f t="shared" si="150"/>
        <v>25000</v>
      </c>
      <c r="J1511" s="31">
        <f t="shared" si="151"/>
        <v>1750.0000000000002</v>
      </c>
      <c r="K1511" s="44">
        <f t="shared" si="152"/>
        <v>4.794520547945206</v>
      </c>
      <c r="L1511" s="3">
        <f t="shared" si="153"/>
        <v>354.79452054794524</v>
      </c>
      <c r="M1511" s="3">
        <f t="shared" si="154"/>
        <v>21.287671232876715</v>
      </c>
      <c r="N1511" s="67">
        <f t="shared" si="155"/>
        <v>333.50684931506851</v>
      </c>
      <c r="O1511" s="3"/>
      <c r="P1511" s="70" t="s">
        <v>18634</v>
      </c>
      <c r="Q1511" s="2" t="s">
        <v>895</v>
      </c>
      <c r="R1511" s="2" t="s">
        <v>3488</v>
      </c>
      <c r="T1511" t="s">
        <v>18666</v>
      </c>
      <c r="U1511" t="s">
        <v>18652</v>
      </c>
      <c r="V1511" s="104">
        <v>45857</v>
      </c>
      <c r="X1511" s="97"/>
      <c r="Y1511" s="75">
        <v>333.51</v>
      </c>
    </row>
    <row r="1512" spans="1:25" x14ac:dyDescent="0.25">
      <c r="A1512" s="76">
        <v>1544</v>
      </c>
      <c r="B1512" s="2" t="s">
        <v>7815</v>
      </c>
      <c r="C1512" s="2" t="s">
        <v>7816</v>
      </c>
      <c r="D1512" s="2" t="s">
        <v>7817</v>
      </c>
      <c r="E1512" s="2" t="s">
        <v>7818</v>
      </c>
      <c r="F1512" s="2" t="s">
        <v>7819</v>
      </c>
      <c r="G1512" s="2" t="s">
        <v>718</v>
      </c>
      <c r="H1512" s="17">
        <v>25</v>
      </c>
      <c r="I1512" s="31">
        <f t="shared" si="150"/>
        <v>25000</v>
      </c>
      <c r="J1512" s="31">
        <f t="shared" si="151"/>
        <v>1750.0000000000002</v>
      </c>
      <c r="K1512" s="44">
        <f t="shared" si="152"/>
        <v>4.794520547945206</v>
      </c>
      <c r="L1512" s="3">
        <f t="shared" si="153"/>
        <v>354.79452054794524</v>
      </c>
      <c r="M1512" s="3">
        <f t="shared" si="154"/>
        <v>21.287671232876715</v>
      </c>
      <c r="N1512" s="67">
        <f t="shared" si="155"/>
        <v>333.50684931506851</v>
      </c>
      <c r="O1512" s="3"/>
      <c r="P1512" s="70" t="s">
        <v>18634</v>
      </c>
      <c r="Q1512" s="2" t="s">
        <v>895</v>
      </c>
      <c r="R1512" s="2" t="s">
        <v>7820</v>
      </c>
      <c r="T1512" t="s">
        <v>18666</v>
      </c>
      <c r="U1512" t="s">
        <v>18652</v>
      </c>
      <c r="V1512" s="104">
        <v>45857</v>
      </c>
      <c r="X1512" s="97"/>
      <c r="Y1512" s="75">
        <v>333.51</v>
      </c>
    </row>
    <row r="1513" spans="1:25" x14ac:dyDescent="0.25">
      <c r="A1513" s="76">
        <v>1545</v>
      </c>
      <c r="B1513" s="2" t="s">
        <v>10685</v>
      </c>
      <c r="C1513" s="2" t="s">
        <v>10686</v>
      </c>
      <c r="D1513" s="2" t="s">
        <v>10687</v>
      </c>
      <c r="E1513" s="2" t="s">
        <v>10688</v>
      </c>
      <c r="F1513" s="2" t="s">
        <v>10689</v>
      </c>
      <c r="G1513" s="2" t="s">
        <v>1315</v>
      </c>
      <c r="H1513" s="17">
        <v>100</v>
      </c>
      <c r="I1513" s="31">
        <f t="shared" si="150"/>
        <v>100000</v>
      </c>
      <c r="J1513" s="31">
        <f t="shared" si="151"/>
        <v>7000.0000000000009</v>
      </c>
      <c r="K1513" s="44">
        <f t="shared" si="152"/>
        <v>19.178082191780824</v>
      </c>
      <c r="L1513" s="3">
        <f t="shared" si="153"/>
        <v>1419.178082191781</v>
      </c>
      <c r="M1513" s="3">
        <f t="shared" si="154"/>
        <v>85.150684931506859</v>
      </c>
      <c r="N1513" s="67">
        <f t="shared" si="155"/>
        <v>1334.027397260274</v>
      </c>
      <c r="O1513" s="3"/>
      <c r="P1513" s="70" t="s">
        <v>18634</v>
      </c>
      <c r="Q1513" s="2" t="s">
        <v>895</v>
      </c>
      <c r="R1513" s="2" t="s">
        <v>10690</v>
      </c>
      <c r="T1513" t="s">
        <v>18666</v>
      </c>
      <c r="U1513" t="s">
        <v>18652</v>
      </c>
      <c r="V1513" s="104">
        <v>45857</v>
      </c>
      <c r="X1513" s="97"/>
      <c r="Y1513" s="75">
        <v>1334.03</v>
      </c>
    </row>
    <row r="1514" spans="1:25" x14ac:dyDescent="0.25">
      <c r="A1514" s="76">
        <v>1546</v>
      </c>
      <c r="B1514" s="2" t="s">
        <v>6449</v>
      </c>
      <c r="C1514" s="2" t="s">
        <v>6450</v>
      </c>
      <c r="D1514" s="2" t="s">
        <v>6451</v>
      </c>
      <c r="E1514" s="2" t="s">
        <v>6452</v>
      </c>
      <c r="F1514" s="2" t="s">
        <v>6453</v>
      </c>
      <c r="G1514" s="2" t="s">
        <v>835</v>
      </c>
      <c r="H1514" s="17">
        <v>25</v>
      </c>
      <c r="I1514" s="31">
        <f t="shared" si="150"/>
        <v>25000</v>
      </c>
      <c r="J1514" s="31">
        <f t="shared" si="151"/>
        <v>1750.0000000000002</v>
      </c>
      <c r="K1514" s="44">
        <f t="shared" si="152"/>
        <v>4.794520547945206</v>
      </c>
      <c r="L1514" s="3">
        <f t="shared" si="153"/>
        <v>354.79452054794524</v>
      </c>
      <c r="M1514" s="3">
        <f t="shared" si="154"/>
        <v>21.287671232876715</v>
      </c>
      <c r="N1514" s="67">
        <f t="shared" si="155"/>
        <v>333.50684931506851</v>
      </c>
      <c r="O1514" s="3"/>
      <c r="P1514" s="70" t="s">
        <v>18634</v>
      </c>
      <c r="Q1514" s="2" t="s">
        <v>895</v>
      </c>
      <c r="R1514" s="2" t="s">
        <v>6454</v>
      </c>
      <c r="T1514" t="s">
        <v>18666</v>
      </c>
      <c r="U1514" t="s">
        <v>18652</v>
      </c>
      <c r="V1514" s="104">
        <v>45857</v>
      </c>
      <c r="X1514" s="97"/>
      <c r="Y1514" s="75">
        <v>333.51</v>
      </c>
    </row>
    <row r="1515" spans="1:25" x14ac:dyDescent="0.25">
      <c r="A1515" s="76">
        <v>1547</v>
      </c>
      <c r="B1515" s="2" t="s">
        <v>11477</v>
      </c>
      <c r="C1515" s="2" t="s">
        <v>11478</v>
      </c>
      <c r="D1515" s="2" t="s">
        <v>11479</v>
      </c>
      <c r="E1515" s="2" t="s">
        <v>11480</v>
      </c>
      <c r="F1515" s="2" t="s">
        <v>11481</v>
      </c>
      <c r="G1515" s="2" t="s">
        <v>39</v>
      </c>
      <c r="H1515" s="17">
        <v>25</v>
      </c>
      <c r="I1515" s="31">
        <f t="shared" si="150"/>
        <v>25000</v>
      </c>
      <c r="J1515" s="31">
        <f t="shared" si="151"/>
        <v>1750.0000000000002</v>
      </c>
      <c r="K1515" s="44">
        <f t="shared" si="152"/>
        <v>4.794520547945206</v>
      </c>
      <c r="L1515" s="3">
        <f t="shared" si="153"/>
        <v>354.79452054794524</v>
      </c>
      <c r="M1515" s="3">
        <f t="shared" si="154"/>
        <v>21.287671232876715</v>
      </c>
      <c r="N1515" s="67">
        <f t="shared" si="155"/>
        <v>333.50684931506851</v>
      </c>
      <c r="O1515" s="3"/>
      <c r="P1515" s="70" t="s">
        <v>18634</v>
      </c>
      <c r="Q1515" s="2" t="s">
        <v>895</v>
      </c>
      <c r="R1515" s="2" t="s">
        <v>11482</v>
      </c>
      <c r="T1515" t="s">
        <v>18666</v>
      </c>
      <c r="U1515" t="s">
        <v>18652</v>
      </c>
      <c r="V1515" s="104">
        <v>45857</v>
      </c>
      <c r="X1515" s="97"/>
      <c r="Y1515" s="75">
        <v>333.51</v>
      </c>
    </row>
    <row r="1516" spans="1:25" x14ac:dyDescent="0.25">
      <c r="A1516" s="76">
        <v>1548</v>
      </c>
      <c r="B1516" s="2" t="s">
        <v>10266</v>
      </c>
      <c r="C1516" s="2" t="s">
        <v>10267</v>
      </c>
      <c r="D1516" s="2" t="s">
        <v>10268</v>
      </c>
      <c r="E1516" s="2" t="s">
        <v>10269</v>
      </c>
      <c r="F1516" s="2" t="s">
        <v>10270</v>
      </c>
      <c r="G1516" s="2" t="s">
        <v>524</v>
      </c>
      <c r="H1516" s="17">
        <v>25</v>
      </c>
      <c r="I1516" s="31">
        <f t="shared" si="150"/>
        <v>25000</v>
      </c>
      <c r="J1516" s="31">
        <f t="shared" si="151"/>
        <v>1750.0000000000002</v>
      </c>
      <c r="K1516" s="44">
        <f t="shared" si="152"/>
        <v>4.794520547945206</v>
      </c>
      <c r="L1516" s="3">
        <f t="shared" si="153"/>
        <v>354.79452054794524</v>
      </c>
      <c r="M1516" s="3">
        <f t="shared" si="154"/>
        <v>21.287671232876715</v>
      </c>
      <c r="N1516" s="67">
        <f t="shared" si="155"/>
        <v>333.50684931506851</v>
      </c>
      <c r="O1516" s="3"/>
      <c r="P1516" s="70" t="s">
        <v>18634</v>
      </c>
      <c r="Q1516" s="2" t="s">
        <v>895</v>
      </c>
      <c r="R1516" s="2" t="s">
        <v>10271</v>
      </c>
      <c r="T1516" t="s">
        <v>18666</v>
      </c>
      <c r="U1516" t="s">
        <v>18652</v>
      </c>
      <c r="V1516" s="104">
        <v>45857</v>
      </c>
      <c r="X1516" s="97"/>
      <c r="Y1516" s="75">
        <v>333.51</v>
      </c>
    </row>
    <row r="1517" spans="1:25" x14ac:dyDescent="0.25">
      <c r="A1517" s="76">
        <v>1549</v>
      </c>
      <c r="B1517" s="2" t="s">
        <v>7131</v>
      </c>
      <c r="C1517" s="2" t="s">
        <v>7132</v>
      </c>
      <c r="D1517" s="2" t="s">
        <v>7133</v>
      </c>
      <c r="E1517" s="2" t="s">
        <v>7134</v>
      </c>
      <c r="F1517" s="2" t="s">
        <v>7135</v>
      </c>
      <c r="G1517" s="2" t="s">
        <v>510</v>
      </c>
      <c r="H1517" s="17">
        <v>25</v>
      </c>
      <c r="I1517" s="31">
        <f t="shared" si="150"/>
        <v>25000</v>
      </c>
      <c r="J1517" s="31">
        <f t="shared" si="151"/>
        <v>1750.0000000000002</v>
      </c>
      <c r="K1517" s="44">
        <f t="shared" si="152"/>
        <v>4.794520547945206</v>
      </c>
      <c r="L1517" s="3">
        <f t="shared" si="153"/>
        <v>354.79452054794524</v>
      </c>
      <c r="M1517" s="3">
        <f t="shared" si="154"/>
        <v>21.287671232876715</v>
      </c>
      <c r="N1517" s="67">
        <f t="shared" si="155"/>
        <v>333.50684931506851</v>
      </c>
      <c r="O1517" s="3"/>
      <c r="P1517" s="70" t="s">
        <v>18634</v>
      </c>
      <c r="Q1517" s="2" t="s">
        <v>895</v>
      </c>
      <c r="R1517" s="2" t="s">
        <v>7136</v>
      </c>
      <c r="T1517" t="s">
        <v>18666</v>
      </c>
      <c r="U1517" t="s">
        <v>18652</v>
      </c>
      <c r="V1517" s="104">
        <v>45857</v>
      </c>
      <c r="X1517" s="97"/>
      <c r="Y1517" s="75">
        <v>333.51</v>
      </c>
    </row>
    <row r="1518" spans="1:25" x14ac:dyDescent="0.25">
      <c r="A1518" s="76">
        <v>1550</v>
      </c>
      <c r="B1518" s="2" t="s">
        <v>890</v>
      </c>
      <c r="C1518" s="2" t="s">
        <v>891</v>
      </c>
      <c r="D1518" s="2" t="s">
        <v>892</v>
      </c>
      <c r="E1518" s="2" t="s">
        <v>893</v>
      </c>
      <c r="F1518" s="2" t="s">
        <v>894</v>
      </c>
      <c r="G1518" s="2" t="s">
        <v>31</v>
      </c>
      <c r="H1518" s="17">
        <v>50</v>
      </c>
      <c r="I1518" s="31">
        <f t="shared" si="150"/>
        <v>50000</v>
      </c>
      <c r="J1518" s="31">
        <f t="shared" si="151"/>
        <v>3500.0000000000005</v>
      </c>
      <c r="K1518" s="44">
        <f t="shared" si="152"/>
        <v>9.589041095890412</v>
      </c>
      <c r="L1518" s="3">
        <f t="shared" si="153"/>
        <v>709.58904109589048</v>
      </c>
      <c r="M1518" s="3">
        <f t="shared" si="154"/>
        <v>42.57534246575343</v>
      </c>
      <c r="N1518" s="67">
        <f t="shared" si="155"/>
        <v>667.01369863013701</v>
      </c>
      <c r="O1518" s="3"/>
      <c r="P1518" s="70" t="s">
        <v>18634</v>
      </c>
      <c r="Q1518" s="2" t="s">
        <v>895</v>
      </c>
      <c r="R1518" s="2" t="s">
        <v>896</v>
      </c>
      <c r="T1518" t="s">
        <v>18666</v>
      </c>
      <c r="U1518" t="s">
        <v>18652</v>
      </c>
      <c r="V1518" s="104">
        <v>45857</v>
      </c>
      <c r="X1518" s="97"/>
      <c r="Y1518" s="75">
        <v>667.02</v>
      </c>
    </row>
    <row r="1519" spans="1:25" x14ac:dyDescent="0.25">
      <c r="A1519" s="76">
        <v>1551</v>
      </c>
      <c r="B1519" s="2" t="s">
        <v>4022</v>
      </c>
      <c r="C1519" s="2" t="s">
        <v>4023</v>
      </c>
      <c r="D1519" s="2" t="s">
        <v>4024</v>
      </c>
      <c r="E1519" s="2" t="s">
        <v>4025</v>
      </c>
      <c r="F1519" s="2" t="s">
        <v>4026</v>
      </c>
      <c r="G1519" s="2" t="s">
        <v>2571</v>
      </c>
      <c r="H1519" s="17">
        <v>25</v>
      </c>
      <c r="I1519" s="31">
        <f t="shared" si="150"/>
        <v>25000</v>
      </c>
      <c r="J1519" s="31">
        <f t="shared" si="151"/>
        <v>1750.0000000000002</v>
      </c>
      <c r="K1519" s="44">
        <f t="shared" si="152"/>
        <v>4.794520547945206</v>
      </c>
      <c r="L1519" s="3">
        <f t="shared" si="153"/>
        <v>354.79452054794524</v>
      </c>
      <c r="M1519" s="3">
        <f t="shared" si="154"/>
        <v>21.287671232876715</v>
      </c>
      <c r="N1519" s="67">
        <f t="shared" si="155"/>
        <v>333.50684931506851</v>
      </c>
      <c r="O1519" s="3"/>
      <c r="P1519" s="70" t="s">
        <v>18634</v>
      </c>
      <c r="Q1519" s="2" t="s">
        <v>895</v>
      </c>
      <c r="R1519" s="2" t="s">
        <v>4027</v>
      </c>
      <c r="T1519" t="s">
        <v>18666</v>
      </c>
      <c r="U1519" t="s">
        <v>18652</v>
      </c>
      <c r="V1519" s="104">
        <v>45857</v>
      </c>
      <c r="X1519" s="97"/>
      <c r="Y1519" s="75">
        <v>333.51</v>
      </c>
    </row>
    <row r="1520" spans="1:25" x14ac:dyDescent="0.25">
      <c r="A1520" s="76">
        <v>1552</v>
      </c>
      <c r="B1520" s="2" t="s">
        <v>9647</v>
      </c>
      <c r="C1520" s="2" t="s">
        <v>8785</v>
      </c>
      <c r="D1520" s="2" t="s">
        <v>9648</v>
      </c>
      <c r="E1520" s="2" t="s">
        <v>9649</v>
      </c>
      <c r="F1520" s="2" t="s">
        <v>9650</v>
      </c>
      <c r="G1520" s="2" t="s">
        <v>743</v>
      </c>
      <c r="H1520" s="17">
        <v>25</v>
      </c>
      <c r="I1520" s="31">
        <f t="shared" si="150"/>
        <v>25000</v>
      </c>
      <c r="J1520" s="31">
        <f t="shared" si="151"/>
        <v>1750.0000000000002</v>
      </c>
      <c r="K1520" s="44">
        <f t="shared" si="152"/>
        <v>4.794520547945206</v>
      </c>
      <c r="L1520" s="3">
        <f t="shared" si="153"/>
        <v>354.79452054794524</v>
      </c>
      <c r="M1520" s="3">
        <f t="shared" si="154"/>
        <v>21.287671232876715</v>
      </c>
      <c r="N1520" s="67">
        <f t="shared" si="155"/>
        <v>333.50684931506851</v>
      </c>
      <c r="O1520" s="3"/>
      <c r="P1520" s="70" t="s">
        <v>18634</v>
      </c>
      <c r="Q1520" s="2" t="s">
        <v>895</v>
      </c>
      <c r="R1520" s="2" t="s">
        <v>9651</v>
      </c>
      <c r="T1520" t="s">
        <v>18666</v>
      </c>
      <c r="U1520" t="s">
        <v>18652</v>
      </c>
      <c r="V1520" s="104">
        <v>45857</v>
      </c>
      <c r="X1520" s="97"/>
      <c r="Y1520" s="75">
        <v>333.51</v>
      </c>
    </row>
    <row r="1521" spans="1:25" x14ac:dyDescent="0.25">
      <c r="A1521" s="76">
        <v>1553</v>
      </c>
      <c r="B1521" s="2" t="s">
        <v>9522</v>
      </c>
      <c r="C1521" s="2" t="s">
        <v>9523</v>
      </c>
      <c r="D1521" s="2" t="s">
        <v>9524</v>
      </c>
      <c r="E1521" s="2" t="s">
        <v>9525</v>
      </c>
      <c r="F1521" s="2" t="s">
        <v>9526</v>
      </c>
      <c r="G1521" s="2" t="s">
        <v>524</v>
      </c>
      <c r="H1521" s="17">
        <v>50</v>
      </c>
      <c r="I1521" s="31">
        <f t="shared" si="150"/>
        <v>50000</v>
      </c>
      <c r="J1521" s="31">
        <f t="shared" si="151"/>
        <v>3500.0000000000005</v>
      </c>
      <c r="K1521" s="44">
        <f t="shared" si="152"/>
        <v>9.589041095890412</v>
      </c>
      <c r="L1521" s="3">
        <f t="shared" si="153"/>
        <v>709.58904109589048</v>
      </c>
      <c r="M1521" s="3">
        <f t="shared" si="154"/>
        <v>42.57534246575343</v>
      </c>
      <c r="N1521" s="67">
        <f t="shared" si="155"/>
        <v>667.01369863013701</v>
      </c>
      <c r="O1521" s="3"/>
      <c r="P1521" s="70" t="s">
        <v>18634</v>
      </c>
      <c r="Q1521" s="2" t="s">
        <v>895</v>
      </c>
      <c r="R1521" s="2" t="s">
        <v>9527</v>
      </c>
      <c r="T1521" t="s">
        <v>18666</v>
      </c>
      <c r="U1521" t="s">
        <v>18652</v>
      </c>
      <c r="V1521" s="104">
        <v>45857</v>
      </c>
      <c r="X1521" s="97"/>
      <c r="Y1521" s="75">
        <v>667.02</v>
      </c>
    </row>
    <row r="1522" spans="1:25" x14ac:dyDescent="0.25">
      <c r="A1522" s="76">
        <v>1554</v>
      </c>
      <c r="B1522" s="2" t="s">
        <v>3213</v>
      </c>
      <c r="C1522" s="2" t="s">
        <v>3214</v>
      </c>
      <c r="D1522" s="2" t="s">
        <v>3215</v>
      </c>
      <c r="E1522" s="2" t="s">
        <v>3216</v>
      </c>
      <c r="F1522" s="2" t="s">
        <v>3217</v>
      </c>
      <c r="G1522" s="2" t="s">
        <v>876</v>
      </c>
      <c r="H1522" s="17">
        <v>25</v>
      </c>
      <c r="I1522" s="31">
        <f t="shared" si="150"/>
        <v>25000</v>
      </c>
      <c r="J1522" s="31">
        <f t="shared" si="151"/>
        <v>1750.0000000000002</v>
      </c>
      <c r="K1522" s="44">
        <f t="shared" si="152"/>
        <v>4.794520547945206</v>
      </c>
      <c r="L1522" s="3">
        <f t="shared" si="153"/>
        <v>354.79452054794524</v>
      </c>
      <c r="M1522" s="3">
        <f t="shared" si="154"/>
        <v>21.287671232876715</v>
      </c>
      <c r="N1522" s="67">
        <f t="shared" si="155"/>
        <v>333.50684931506851</v>
      </c>
      <c r="O1522" s="3"/>
      <c r="P1522" s="70" t="s">
        <v>18634</v>
      </c>
      <c r="Q1522" s="2" t="s">
        <v>895</v>
      </c>
      <c r="R1522" s="2" t="s">
        <v>3218</v>
      </c>
      <c r="T1522" t="s">
        <v>18666</v>
      </c>
      <c r="U1522" t="s">
        <v>18652</v>
      </c>
      <c r="V1522" s="104">
        <v>45857</v>
      </c>
      <c r="X1522" s="97"/>
      <c r="Y1522" s="75">
        <v>333.51</v>
      </c>
    </row>
    <row r="1523" spans="1:25" x14ac:dyDescent="0.25">
      <c r="A1523" s="76">
        <v>1555</v>
      </c>
      <c r="B1523" s="2" t="s">
        <v>14775</v>
      </c>
      <c r="C1523" s="2" t="s">
        <v>14776</v>
      </c>
      <c r="D1523" s="2" t="s">
        <v>14777</v>
      </c>
      <c r="E1523" s="2" t="s">
        <v>14778</v>
      </c>
      <c r="F1523" s="2" t="s">
        <v>14779</v>
      </c>
      <c r="G1523" s="2" t="s">
        <v>261</v>
      </c>
      <c r="H1523" s="17">
        <v>25</v>
      </c>
      <c r="I1523" s="31">
        <f t="shared" si="150"/>
        <v>25000</v>
      </c>
      <c r="J1523" s="31">
        <f t="shared" si="151"/>
        <v>1750.0000000000002</v>
      </c>
      <c r="K1523" s="44">
        <f t="shared" si="152"/>
        <v>4.794520547945206</v>
      </c>
      <c r="L1523" s="3">
        <f t="shared" si="153"/>
        <v>354.79452054794524</v>
      </c>
      <c r="M1523" s="3">
        <f t="shared" si="154"/>
        <v>21.287671232876715</v>
      </c>
      <c r="N1523" s="67">
        <f t="shared" si="155"/>
        <v>333.50684931506851</v>
      </c>
      <c r="O1523" s="3"/>
      <c r="P1523" s="70" t="s">
        <v>18634</v>
      </c>
      <c r="Q1523" s="2" t="s">
        <v>895</v>
      </c>
      <c r="R1523" s="2" t="s">
        <v>14780</v>
      </c>
      <c r="T1523" t="s">
        <v>18666</v>
      </c>
      <c r="U1523" t="s">
        <v>18652</v>
      </c>
      <c r="V1523" s="104">
        <v>45857</v>
      </c>
      <c r="X1523" s="97"/>
      <c r="Y1523" s="75">
        <v>333.51</v>
      </c>
    </row>
    <row r="1524" spans="1:25" x14ac:dyDescent="0.25">
      <c r="A1524" s="76">
        <v>1556</v>
      </c>
      <c r="B1524" s="2" t="s">
        <v>9340</v>
      </c>
      <c r="C1524" s="2" t="s">
        <v>9341</v>
      </c>
      <c r="D1524" s="2" t="s">
        <v>9342</v>
      </c>
      <c r="E1524" s="2" t="s">
        <v>9343</v>
      </c>
      <c r="F1524" s="2" t="s">
        <v>9344</v>
      </c>
      <c r="G1524" s="2" t="s">
        <v>296</v>
      </c>
      <c r="H1524" s="17">
        <v>150</v>
      </c>
      <c r="I1524" s="31">
        <f t="shared" si="150"/>
        <v>150000</v>
      </c>
      <c r="J1524" s="31">
        <f t="shared" si="151"/>
        <v>10500.000000000002</v>
      </c>
      <c r="K1524" s="44">
        <f t="shared" si="152"/>
        <v>28.767123287671239</v>
      </c>
      <c r="L1524" s="3">
        <f t="shared" si="153"/>
        <v>2128.7671232876719</v>
      </c>
      <c r="M1524" s="3">
        <f t="shared" si="154"/>
        <v>127.72602739726031</v>
      </c>
      <c r="N1524" s="67">
        <f t="shared" si="155"/>
        <v>2001.0410958904115</v>
      </c>
      <c r="O1524" s="3"/>
      <c r="P1524" s="70" t="s">
        <v>18634</v>
      </c>
      <c r="Q1524" s="2" t="s">
        <v>895</v>
      </c>
      <c r="R1524" s="2" t="s">
        <v>9345</v>
      </c>
      <c r="T1524" t="s">
        <v>18666</v>
      </c>
      <c r="U1524" t="s">
        <v>18652</v>
      </c>
      <c r="V1524" s="104">
        <v>45857</v>
      </c>
      <c r="X1524" s="97"/>
      <c r="Y1524" s="75">
        <v>2001.05</v>
      </c>
    </row>
    <row r="1525" spans="1:25" x14ac:dyDescent="0.25">
      <c r="A1525" s="76">
        <v>1557</v>
      </c>
      <c r="B1525" s="2" t="s">
        <v>3347</v>
      </c>
      <c r="C1525" s="2" t="s">
        <v>3348</v>
      </c>
      <c r="D1525" s="2" t="s">
        <v>3349</v>
      </c>
      <c r="E1525" s="2" t="s">
        <v>3350</v>
      </c>
      <c r="F1525" s="2" t="s">
        <v>3351</v>
      </c>
      <c r="G1525" s="2" t="s">
        <v>23</v>
      </c>
      <c r="H1525" s="17">
        <v>25</v>
      </c>
      <c r="I1525" s="31">
        <f t="shared" si="150"/>
        <v>25000</v>
      </c>
      <c r="J1525" s="31">
        <f t="shared" si="151"/>
        <v>1750.0000000000002</v>
      </c>
      <c r="K1525" s="44">
        <f t="shared" si="152"/>
        <v>4.794520547945206</v>
      </c>
      <c r="L1525" s="3">
        <f t="shared" si="153"/>
        <v>354.79452054794524</v>
      </c>
      <c r="M1525" s="3">
        <f t="shared" si="154"/>
        <v>21.287671232876715</v>
      </c>
      <c r="N1525" s="67">
        <f t="shared" si="155"/>
        <v>333.50684931506851</v>
      </c>
      <c r="O1525" s="3"/>
      <c r="P1525" s="70" t="s">
        <v>18634</v>
      </c>
      <c r="Q1525" s="2" t="s">
        <v>895</v>
      </c>
      <c r="R1525" s="2" t="s">
        <v>3352</v>
      </c>
      <c r="T1525" t="s">
        <v>18666</v>
      </c>
      <c r="U1525" t="s">
        <v>18652</v>
      </c>
      <c r="V1525" s="104">
        <v>45857</v>
      </c>
      <c r="X1525" s="97"/>
      <c r="Y1525" s="75">
        <v>333.51</v>
      </c>
    </row>
    <row r="1526" spans="1:25" x14ac:dyDescent="0.25">
      <c r="A1526" s="76">
        <v>1558</v>
      </c>
      <c r="B1526" s="2" t="s">
        <v>8078</v>
      </c>
      <c r="C1526" s="2" t="s">
        <v>8079</v>
      </c>
      <c r="D1526" s="2" t="s">
        <v>8080</v>
      </c>
      <c r="E1526" s="2" t="s">
        <v>5376</v>
      </c>
      <c r="F1526" s="2" t="s">
        <v>8081</v>
      </c>
      <c r="G1526" s="2" t="s">
        <v>247</v>
      </c>
      <c r="H1526" s="17">
        <v>25</v>
      </c>
      <c r="I1526" s="31">
        <f t="shared" si="150"/>
        <v>25000</v>
      </c>
      <c r="J1526" s="31">
        <f t="shared" si="151"/>
        <v>1750.0000000000002</v>
      </c>
      <c r="K1526" s="44">
        <f t="shared" si="152"/>
        <v>4.794520547945206</v>
      </c>
      <c r="L1526" s="3">
        <f t="shared" si="153"/>
        <v>354.79452054794524</v>
      </c>
      <c r="M1526" s="3">
        <f t="shared" si="154"/>
        <v>21.287671232876715</v>
      </c>
      <c r="N1526" s="67">
        <f t="shared" si="155"/>
        <v>333.50684931506851</v>
      </c>
      <c r="O1526" s="3"/>
      <c r="P1526" s="70" t="s">
        <v>18634</v>
      </c>
      <c r="Q1526" s="2" t="s">
        <v>895</v>
      </c>
      <c r="R1526" s="2" t="s">
        <v>8082</v>
      </c>
      <c r="T1526" t="s">
        <v>18666</v>
      </c>
      <c r="U1526" t="s">
        <v>18652</v>
      </c>
      <c r="V1526" s="104">
        <v>45857</v>
      </c>
      <c r="X1526" s="97"/>
      <c r="Y1526" s="75">
        <v>333.51</v>
      </c>
    </row>
    <row r="1527" spans="1:25" x14ac:dyDescent="0.25">
      <c r="A1527" s="76">
        <v>1559</v>
      </c>
      <c r="B1527" s="2" t="s">
        <v>5545</v>
      </c>
      <c r="C1527" s="2" t="s">
        <v>5546</v>
      </c>
      <c r="D1527" s="2" t="s">
        <v>5547</v>
      </c>
      <c r="E1527" s="2" t="s">
        <v>5548</v>
      </c>
      <c r="F1527" s="2" t="s">
        <v>5549</v>
      </c>
      <c r="G1527" s="2" t="s">
        <v>328</v>
      </c>
      <c r="H1527" s="17">
        <v>30</v>
      </c>
      <c r="I1527" s="31">
        <f t="shared" si="150"/>
        <v>30000</v>
      </c>
      <c r="J1527" s="31">
        <f t="shared" si="151"/>
        <v>2100</v>
      </c>
      <c r="K1527" s="44">
        <f t="shared" si="152"/>
        <v>5.7534246575342465</v>
      </c>
      <c r="L1527" s="3">
        <f t="shared" si="153"/>
        <v>425.75342465753425</v>
      </c>
      <c r="M1527" s="3">
        <f t="shared" si="154"/>
        <v>25.545205479452054</v>
      </c>
      <c r="N1527" s="67">
        <f t="shared" si="155"/>
        <v>400.20821917808217</v>
      </c>
      <c r="O1527" s="3"/>
      <c r="P1527" s="70" t="s">
        <v>18634</v>
      </c>
      <c r="Q1527" s="2" t="s">
        <v>895</v>
      </c>
      <c r="R1527" s="2" t="s">
        <v>5550</v>
      </c>
      <c r="T1527" t="s">
        <v>18666</v>
      </c>
      <c r="U1527" t="s">
        <v>18652</v>
      </c>
      <c r="V1527" s="104">
        <v>45857</v>
      </c>
      <c r="X1527" s="97"/>
      <c r="Y1527" s="75">
        <v>400.21</v>
      </c>
    </row>
    <row r="1528" spans="1:25" x14ac:dyDescent="0.25">
      <c r="A1528" s="76">
        <v>1560</v>
      </c>
      <c r="B1528" s="2" t="s">
        <v>16973</v>
      </c>
      <c r="C1528" s="2" t="s">
        <v>16974</v>
      </c>
      <c r="D1528" s="2" t="s">
        <v>16975</v>
      </c>
      <c r="E1528" s="2" t="s">
        <v>16976</v>
      </c>
      <c r="F1528" s="2" t="s">
        <v>16977</v>
      </c>
      <c r="G1528" s="2" t="s">
        <v>328</v>
      </c>
      <c r="H1528" s="17">
        <v>25</v>
      </c>
      <c r="I1528" s="31">
        <f t="shared" si="150"/>
        <v>25000</v>
      </c>
      <c r="J1528" s="31">
        <f t="shared" si="151"/>
        <v>1750.0000000000002</v>
      </c>
      <c r="K1528" s="44">
        <f t="shared" si="152"/>
        <v>4.794520547945206</v>
      </c>
      <c r="L1528" s="3">
        <f t="shared" si="153"/>
        <v>354.79452054794524</v>
      </c>
      <c r="M1528" s="3">
        <f t="shared" si="154"/>
        <v>21.287671232876715</v>
      </c>
      <c r="N1528" s="67">
        <f t="shared" si="155"/>
        <v>333.50684931506851</v>
      </c>
      <c r="O1528" s="3"/>
      <c r="P1528" s="70" t="s">
        <v>18634</v>
      </c>
      <c r="Q1528" s="2" t="s">
        <v>895</v>
      </c>
      <c r="R1528" s="2" t="s">
        <v>16978</v>
      </c>
      <c r="T1528" t="s">
        <v>18666</v>
      </c>
      <c r="U1528" t="s">
        <v>18652</v>
      </c>
      <c r="V1528" s="104">
        <v>45857</v>
      </c>
      <c r="X1528" s="97"/>
      <c r="Y1528" s="75">
        <v>333.51</v>
      </c>
    </row>
    <row r="1529" spans="1:25" x14ac:dyDescent="0.25">
      <c r="A1529" s="76">
        <v>1561</v>
      </c>
      <c r="B1529" s="2" t="s">
        <v>4398</v>
      </c>
      <c r="C1529" s="2" t="s">
        <v>4399</v>
      </c>
      <c r="D1529" s="2" t="s">
        <v>4400</v>
      </c>
      <c r="E1529" s="2" t="s">
        <v>4401</v>
      </c>
      <c r="F1529" s="2" t="s">
        <v>4402</v>
      </c>
      <c r="G1529" s="2" t="s">
        <v>158</v>
      </c>
      <c r="H1529" s="17">
        <v>100</v>
      </c>
      <c r="I1529" s="31">
        <f t="shared" si="150"/>
        <v>100000</v>
      </c>
      <c r="J1529" s="31">
        <f t="shared" si="151"/>
        <v>7000.0000000000009</v>
      </c>
      <c r="K1529" s="44">
        <f t="shared" si="152"/>
        <v>19.178082191780824</v>
      </c>
      <c r="L1529" s="3">
        <f t="shared" si="153"/>
        <v>1419.178082191781</v>
      </c>
      <c r="M1529" s="3">
        <f t="shared" si="154"/>
        <v>85.150684931506859</v>
      </c>
      <c r="N1529" s="67">
        <f t="shared" si="155"/>
        <v>1334.027397260274</v>
      </c>
      <c r="O1529" s="3"/>
      <c r="P1529" s="70" t="s">
        <v>18634</v>
      </c>
      <c r="Q1529" s="2" t="s">
        <v>895</v>
      </c>
      <c r="R1529" s="2" t="s">
        <v>4403</v>
      </c>
      <c r="T1529" t="s">
        <v>18666</v>
      </c>
      <c r="U1529" t="s">
        <v>18652</v>
      </c>
      <c r="V1529" s="104">
        <v>45857</v>
      </c>
      <c r="X1529" s="97"/>
      <c r="Y1529" s="75">
        <v>1334.03</v>
      </c>
    </row>
    <row r="1530" spans="1:25" x14ac:dyDescent="0.25">
      <c r="A1530" s="76">
        <v>1562</v>
      </c>
      <c r="B1530" s="2" t="s">
        <v>3524</v>
      </c>
      <c r="C1530" s="2" t="s">
        <v>3525</v>
      </c>
      <c r="D1530" s="2" t="s">
        <v>3526</v>
      </c>
      <c r="E1530" s="2" t="s">
        <v>3527</v>
      </c>
      <c r="F1530" s="2" t="s">
        <v>3528</v>
      </c>
      <c r="G1530" s="2" t="s">
        <v>328</v>
      </c>
      <c r="H1530" s="17">
        <v>25</v>
      </c>
      <c r="I1530" s="31">
        <f t="shared" si="150"/>
        <v>25000</v>
      </c>
      <c r="J1530" s="31">
        <f t="shared" si="151"/>
        <v>1750.0000000000002</v>
      </c>
      <c r="K1530" s="44">
        <f t="shared" si="152"/>
        <v>4.794520547945206</v>
      </c>
      <c r="L1530" s="3">
        <f t="shared" si="153"/>
        <v>354.79452054794524</v>
      </c>
      <c r="M1530" s="3">
        <f t="shared" si="154"/>
        <v>21.287671232876715</v>
      </c>
      <c r="N1530" s="67">
        <f t="shared" si="155"/>
        <v>333.50684931506851</v>
      </c>
      <c r="O1530" s="3"/>
      <c r="P1530" s="70" t="s">
        <v>18634</v>
      </c>
      <c r="Q1530" s="2" t="s">
        <v>895</v>
      </c>
      <c r="R1530" s="2" t="s">
        <v>3529</v>
      </c>
      <c r="T1530" t="s">
        <v>18666</v>
      </c>
      <c r="U1530" t="s">
        <v>18652</v>
      </c>
      <c r="V1530" s="104">
        <v>45857</v>
      </c>
      <c r="X1530" s="97"/>
      <c r="Y1530" s="75">
        <v>333.51</v>
      </c>
    </row>
    <row r="1531" spans="1:25" x14ac:dyDescent="0.25">
      <c r="A1531" s="76">
        <v>1563</v>
      </c>
      <c r="B1531" s="2" t="s">
        <v>2632</v>
      </c>
      <c r="C1531" s="2" t="s">
        <v>2633</v>
      </c>
      <c r="D1531" s="2" t="s">
        <v>2634</v>
      </c>
      <c r="E1531" s="2" t="s">
        <v>2635</v>
      </c>
      <c r="F1531" s="2" t="s">
        <v>2636</v>
      </c>
      <c r="G1531" s="2" t="s">
        <v>275</v>
      </c>
      <c r="H1531" s="17">
        <v>25</v>
      </c>
      <c r="I1531" s="31">
        <f t="shared" si="150"/>
        <v>25000</v>
      </c>
      <c r="J1531" s="31">
        <f t="shared" si="151"/>
        <v>1750.0000000000002</v>
      </c>
      <c r="K1531" s="44">
        <f t="shared" si="152"/>
        <v>4.794520547945206</v>
      </c>
      <c r="L1531" s="3">
        <f t="shared" si="153"/>
        <v>354.79452054794524</v>
      </c>
      <c r="M1531" s="3">
        <f t="shared" si="154"/>
        <v>21.287671232876715</v>
      </c>
      <c r="N1531" s="67">
        <f t="shared" si="155"/>
        <v>333.50684931506851</v>
      </c>
      <c r="O1531" s="3"/>
      <c r="P1531" s="70" t="s">
        <v>18634</v>
      </c>
      <c r="Q1531" s="2" t="s">
        <v>895</v>
      </c>
      <c r="R1531" s="2" t="s">
        <v>2637</v>
      </c>
      <c r="T1531" t="s">
        <v>18666</v>
      </c>
      <c r="U1531" t="s">
        <v>18652</v>
      </c>
      <c r="V1531" s="104">
        <v>45857</v>
      </c>
      <c r="X1531" s="97"/>
      <c r="Y1531" s="75">
        <v>333.51</v>
      </c>
    </row>
    <row r="1532" spans="1:25" x14ac:dyDescent="0.25">
      <c r="A1532" s="76">
        <v>1564</v>
      </c>
      <c r="B1532" s="2" t="s">
        <v>13536</v>
      </c>
      <c r="C1532" s="2" t="s">
        <v>1269</v>
      </c>
      <c r="D1532" s="2" t="s">
        <v>13537</v>
      </c>
      <c r="E1532" s="2" t="s">
        <v>13538</v>
      </c>
      <c r="F1532" s="2" t="s">
        <v>13539</v>
      </c>
      <c r="G1532" s="2" t="s">
        <v>328</v>
      </c>
      <c r="H1532" s="17">
        <v>25</v>
      </c>
      <c r="I1532" s="31">
        <f t="shared" si="150"/>
        <v>25000</v>
      </c>
      <c r="J1532" s="31">
        <f t="shared" si="151"/>
        <v>1750.0000000000002</v>
      </c>
      <c r="K1532" s="44">
        <f t="shared" si="152"/>
        <v>4.794520547945206</v>
      </c>
      <c r="L1532" s="3">
        <f t="shared" si="153"/>
        <v>354.79452054794524</v>
      </c>
      <c r="M1532" s="3">
        <f t="shared" si="154"/>
        <v>21.287671232876715</v>
      </c>
      <c r="N1532" s="67">
        <f t="shared" si="155"/>
        <v>333.50684931506851</v>
      </c>
      <c r="O1532" s="3"/>
      <c r="P1532" s="70" t="s">
        <v>18634</v>
      </c>
      <c r="Q1532" s="2" t="s">
        <v>895</v>
      </c>
      <c r="R1532" s="2" t="s">
        <v>13540</v>
      </c>
      <c r="T1532" t="s">
        <v>18666</v>
      </c>
      <c r="U1532" t="s">
        <v>18652</v>
      </c>
      <c r="V1532" s="104">
        <v>45857</v>
      </c>
      <c r="X1532" s="97"/>
      <c r="Y1532" s="75">
        <v>333.51</v>
      </c>
    </row>
    <row r="1533" spans="1:25" x14ac:dyDescent="0.25">
      <c r="A1533" s="76">
        <v>1565</v>
      </c>
      <c r="B1533" s="2" t="s">
        <v>15996</v>
      </c>
      <c r="C1533" s="2" t="s">
        <v>15997</v>
      </c>
      <c r="D1533" s="2" t="s">
        <v>15998</v>
      </c>
      <c r="E1533" s="2" t="s">
        <v>15999</v>
      </c>
      <c r="F1533" s="2" t="s">
        <v>16000</v>
      </c>
      <c r="G1533" s="2" t="s">
        <v>247</v>
      </c>
      <c r="H1533" s="17">
        <v>25</v>
      </c>
      <c r="I1533" s="31">
        <f t="shared" si="150"/>
        <v>25000</v>
      </c>
      <c r="J1533" s="31">
        <f t="shared" si="151"/>
        <v>1750.0000000000002</v>
      </c>
      <c r="K1533" s="44">
        <f t="shared" si="152"/>
        <v>4.794520547945206</v>
      </c>
      <c r="L1533" s="3">
        <f t="shared" si="153"/>
        <v>354.79452054794524</v>
      </c>
      <c r="M1533" s="3">
        <f t="shared" si="154"/>
        <v>21.287671232876715</v>
      </c>
      <c r="N1533" s="67">
        <f t="shared" si="155"/>
        <v>333.50684931506851</v>
      </c>
      <c r="O1533" s="3"/>
      <c r="P1533" s="70" t="s">
        <v>18634</v>
      </c>
      <c r="Q1533" s="2" t="s">
        <v>895</v>
      </c>
      <c r="R1533" s="2" t="s">
        <v>16001</v>
      </c>
      <c r="T1533" t="s">
        <v>18666</v>
      </c>
      <c r="U1533" t="s">
        <v>18652</v>
      </c>
      <c r="V1533" s="104">
        <v>45857</v>
      </c>
      <c r="X1533" s="97"/>
      <c r="Y1533" s="75">
        <v>333.51</v>
      </c>
    </row>
    <row r="1534" spans="1:25" x14ac:dyDescent="0.25">
      <c r="A1534" s="76">
        <v>1566</v>
      </c>
      <c r="B1534" s="2" t="s">
        <v>17973</v>
      </c>
      <c r="C1534" s="2" t="s">
        <v>17974</v>
      </c>
      <c r="D1534" s="2" t="s">
        <v>17975</v>
      </c>
      <c r="E1534" s="2" t="s">
        <v>17976</v>
      </c>
      <c r="F1534" s="2" t="s">
        <v>1691</v>
      </c>
      <c r="G1534" s="2" t="s">
        <v>31</v>
      </c>
      <c r="H1534" s="17">
        <v>500</v>
      </c>
      <c r="I1534" s="31">
        <f t="shared" si="150"/>
        <v>500000</v>
      </c>
      <c r="J1534" s="31">
        <f t="shared" si="151"/>
        <v>35000</v>
      </c>
      <c r="K1534" s="44">
        <f t="shared" si="152"/>
        <v>95.890410958904113</v>
      </c>
      <c r="L1534" s="3">
        <f t="shared" si="153"/>
        <v>7095.8904109589039</v>
      </c>
      <c r="M1534" s="3">
        <f t="shared" si="154"/>
        <v>425.7534246575342</v>
      </c>
      <c r="N1534" s="67">
        <f t="shared" si="155"/>
        <v>6670.1369863013697</v>
      </c>
      <c r="O1534" s="3"/>
      <c r="P1534" s="70" t="s">
        <v>18634</v>
      </c>
      <c r="Q1534" s="2" t="s">
        <v>895</v>
      </c>
      <c r="R1534" s="2" t="s">
        <v>17977</v>
      </c>
      <c r="T1534" t="s">
        <v>18666</v>
      </c>
      <c r="U1534" t="s">
        <v>18652</v>
      </c>
      <c r="V1534" s="104">
        <v>45857</v>
      </c>
      <c r="X1534" s="97"/>
      <c r="Y1534" s="75">
        <v>6670.14</v>
      </c>
    </row>
    <row r="1535" spans="1:25" x14ac:dyDescent="0.25">
      <c r="A1535" s="76">
        <v>1567</v>
      </c>
      <c r="B1535" s="2" t="s">
        <v>16008</v>
      </c>
      <c r="C1535" s="2" t="s">
        <v>16009</v>
      </c>
      <c r="D1535" s="2" t="s">
        <v>16010</v>
      </c>
      <c r="E1535" s="2" t="s">
        <v>16011</v>
      </c>
      <c r="F1535" s="2" t="s">
        <v>16012</v>
      </c>
      <c r="G1535" s="2" t="s">
        <v>750</v>
      </c>
      <c r="H1535" s="17">
        <v>300</v>
      </c>
      <c r="I1535" s="31">
        <f t="shared" si="150"/>
        <v>300000</v>
      </c>
      <c r="J1535" s="31">
        <f t="shared" si="151"/>
        <v>21000.000000000004</v>
      </c>
      <c r="K1535" s="44">
        <f t="shared" si="152"/>
        <v>57.534246575342479</v>
      </c>
      <c r="L1535" s="3">
        <f t="shared" si="153"/>
        <v>4257.5342465753438</v>
      </c>
      <c r="M1535" s="3">
        <f t="shared" si="154"/>
        <v>255.45205479452062</v>
      </c>
      <c r="N1535" s="67">
        <f t="shared" si="155"/>
        <v>4002.082191780823</v>
      </c>
      <c r="O1535" s="3"/>
      <c r="P1535" s="70" t="s">
        <v>18634</v>
      </c>
      <c r="Q1535" s="2" t="s">
        <v>895</v>
      </c>
      <c r="R1535" s="2" t="s">
        <v>16013</v>
      </c>
      <c r="T1535" t="s">
        <v>18666</v>
      </c>
      <c r="U1535" t="s">
        <v>18652</v>
      </c>
      <c r="V1535" s="104">
        <v>45857</v>
      </c>
      <c r="X1535" s="97"/>
      <c r="Y1535" s="75">
        <v>4002.09</v>
      </c>
    </row>
    <row r="1536" spans="1:25" x14ac:dyDescent="0.25">
      <c r="A1536" s="76">
        <v>1568</v>
      </c>
      <c r="B1536" s="2" t="s">
        <v>14769</v>
      </c>
      <c r="C1536" s="2" t="s">
        <v>14770</v>
      </c>
      <c r="D1536" s="2" t="s">
        <v>14771</v>
      </c>
      <c r="E1536" s="2" t="s">
        <v>14772</v>
      </c>
      <c r="F1536" s="2" t="s">
        <v>14773</v>
      </c>
      <c r="G1536" s="2" t="s">
        <v>261</v>
      </c>
      <c r="H1536" s="17">
        <v>25</v>
      </c>
      <c r="I1536" s="31">
        <f t="shared" si="150"/>
        <v>25000</v>
      </c>
      <c r="J1536" s="31">
        <f t="shared" si="151"/>
        <v>1750.0000000000002</v>
      </c>
      <c r="K1536" s="44">
        <f t="shared" si="152"/>
        <v>4.794520547945206</v>
      </c>
      <c r="L1536" s="3">
        <f t="shared" si="153"/>
        <v>354.79452054794524</v>
      </c>
      <c r="M1536" s="3">
        <f t="shared" si="154"/>
        <v>21.287671232876715</v>
      </c>
      <c r="N1536" s="67">
        <f t="shared" si="155"/>
        <v>333.50684931506851</v>
      </c>
      <c r="O1536" s="3"/>
      <c r="P1536" s="70" t="s">
        <v>18634</v>
      </c>
      <c r="Q1536" s="2" t="s">
        <v>895</v>
      </c>
      <c r="R1536" s="2" t="s">
        <v>14774</v>
      </c>
      <c r="T1536" t="s">
        <v>18666</v>
      </c>
      <c r="U1536" t="s">
        <v>18652</v>
      </c>
      <c r="V1536" s="104">
        <v>45857</v>
      </c>
      <c r="X1536" s="97"/>
      <c r="Y1536" s="75">
        <v>333.51</v>
      </c>
    </row>
    <row r="1537" spans="1:25" x14ac:dyDescent="0.25">
      <c r="A1537" s="76">
        <v>1569</v>
      </c>
      <c r="B1537" s="2" t="s">
        <v>5695</v>
      </c>
      <c r="C1537" s="2" t="s">
        <v>5696</v>
      </c>
      <c r="D1537" s="2" t="s">
        <v>5697</v>
      </c>
      <c r="E1537" s="2" t="s">
        <v>5698</v>
      </c>
      <c r="F1537" s="2" t="s">
        <v>5699</v>
      </c>
      <c r="G1537" s="2" t="s">
        <v>2680</v>
      </c>
      <c r="H1537" s="17">
        <v>25</v>
      </c>
      <c r="I1537" s="31">
        <f t="shared" si="150"/>
        <v>25000</v>
      </c>
      <c r="J1537" s="31">
        <f t="shared" si="151"/>
        <v>1750.0000000000002</v>
      </c>
      <c r="K1537" s="44">
        <f t="shared" si="152"/>
        <v>4.794520547945206</v>
      </c>
      <c r="L1537" s="3">
        <f t="shared" si="153"/>
        <v>354.79452054794524</v>
      </c>
      <c r="M1537" s="3">
        <f t="shared" si="154"/>
        <v>21.287671232876715</v>
      </c>
      <c r="N1537" s="67">
        <f t="shared" si="155"/>
        <v>333.50684931506851</v>
      </c>
      <c r="O1537" s="3"/>
      <c r="P1537" s="70" t="s">
        <v>18634</v>
      </c>
      <c r="Q1537" s="2" t="s">
        <v>895</v>
      </c>
      <c r="R1537" s="2" t="s">
        <v>5700</v>
      </c>
      <c r="T1537" t="s">
        <v>18666</v>
      </c>
      <c r="U1537" t="s">
        <v>18652</v>
      </c>
      <c r="V1537" s="104">
        <v>45857</v>
      </c>
      <c r="X1537" s="97"/>
      <c r="Y1537" s="75">
        <v>333.51</v>
      </c>
    </row>
    <row r="1538" spans="1:25" x14ac:dyDescent="0.25">
      <c r="A1538" s="76">
        <v>1570</v>
      </c>
      <c r="B1538" s="2" t="s">
        <v>6106</v>
      </c>
      <c r="C1538" s="2" t="s">
        <v>6107</v>
      </c>
      <c r="D1538" s="2" t="s">
        <v>6108</v>
      </c>
      <c r="E1538" s="2" t="s">
        <v>6109</v>
      </c>
      <c r="F1538" s="2" t="s">
        <v>6110</v>
      </c>
      <c r="G1538" s="2" t="s">
        <v>296</v>
      </c>
      <c r="H1538" s="17">
        <v>50</v>
      </c>
      <c r="I1538" s="31">
        <f t="shared" si="150"/>
        <v>50000</v>
      </c>
      <c r="J1538" s="31">
        <f t="shared" si="151"/>
        <v>3500.0000000000005</v>
      </c>
      <c r="K1538" s="44">
        <f t="shared" si="152"/>
        <v>9.589041095890412</v>
      </c>
      <c r="L1538" s="3">
        <f t="shared" si="153"/>
        <v>709.58904109589048</v>
      </c>
      <c r="M1538" s="3">
        <f t="shared" si="154"/>
        <v>42.57534246575343</v>
      </c>
      <c r="N1538" s="67">
        <f t="shared" si="155"/>
        <v>667.01369863013701</v>
      </c>
      <c r="O1538" s="3"/>
      <c r="P1538" s="70" t="s">
        <v>18634</v>
      </c>
      <c r="Q1538" s="2" t="s">
        <v>895</v>
      </c>
      <c r="R1538" s="2" t="s">
        <v>6111</v>
      </c>
      <c r="T1538" t="s">
        <v>18666</v>
      </c>
      <c r="U1538" t="s">
        <v>18652</v>
      </c>
      <c r="V1538" s="104">
        <v>45857</v>
      </c>
      <c r="X1538" s="97"/>
      <c r="Y1538" s="75">
        <v>667.02</v>
      </c>
    </row>
    <row r="1539" spans="1:25" x14ac:dyDescent="0.25">
      <c r="A1539" s="76">
        <v>1571</v>
      </c>
      <c r="B1539" s="2" t="s">
        <v>5475</v>
      </c>
      <c r="C1539" s="2" t="s">
        <v>5476</v>
      </c>
      <c r="D1539" s="2" t="s">
        <v>5477</v>
      </c>
      <c r="E1539" s="2" t="s">
        <v>4395</v>
      </c>
      <c r="F1539" s="2" t="s">
        <v>5478</v>
      </c>
      <c r="G1539" s="2" t="s">
        <v>23</v>
      </c>
      <c r="H1539" s="17">
        <v>25</v>
      </c>
      <c r="I1539" s="31">
        <f t="shared" si="150"/>
        <v>25000</v>
      </c>
      <c r="J1539" s="31">
        <f t="shared" si="151"/>
        <v>1750.0000000000002</v>
      </c>
      <c r="K1539" s="44">
        <f t="shared" si="152"/>
        <v>4.794520547945206</v>
      </c>
      <c r="L1539" s="3">
        <f t="shared" si="153"/>
        <v>354.79452054794524</v>
      </c>
      <c r="M1539" s="3">
        <f t="shared" si="154"/>
        <v>21.287671232876715</v>
      </c>
      <c r="N1539" s="67">
        <f t="shared" si="155"/>
        <v>333.50684931506851</v>
      </c>
      <c r="O1539" s="3"/>
      <c r="P1539" s="70" t="s">
        <v>18634</v>
      </c>
      <c r="Q1539" s="2" t="s">
        <v>895</v>
      </c>
      <c r="R1539" s="2" t="s">
        <v>5479</v>
      </c>
      <c r="T1539" t="s">
        <v>18666</v>
      </c>
      <c r="U1539" t="s">
        <v>18652</v>
      </c>
      <c r="V1539" s="104">
        <v>45857</v>
      </c>
      <c r="X1539" s="97"/>
      <c r="Y1539" s="75">
        <v>333.51</v>
      </c>
    </row>
    <row r="1540" spans="1:25" x14ac:dyDescent="0.25">
      <c r="A1540" s="76">
        <v>1572</v>
      </c>
      <c r="B1540" s="2" t="s">
        <v>13151</v>
      </c>
      <c r="C1540" s="2" t="s">
        <v>13152</v>
      </c>
      <c r="D1540" s="2" t="s">
        <v>13153</v>
      </c>
      <c r="E1540" s="2" t="s">
        <v>13154</v>
      </c>
      <c r="F1540" s="2" t="s">
        <v>13155</v>
      </c>
      <c r="G1540" s="2" t="s">
        <v>226</v>
      </c>
      <c r="H1540" s="17">
        <v>25</v>
      </c>
      <c r="I1540" s="31">
        <f t="shared" si="150"/>
        <v>25000</v>
      </c>
      <c r="J1540" s="31">
        <f t="shared" si="151"/>
        <v>1750.0000000000002</v>
      </c>
      <c r="K1540" s="44">
        <f t="shared" si="152"/>
        <v>4.794520547945206</v>
      </c>
      <c r="L1540" s="3">
        <f t="shared" si="153"/>
        <v>354.79452054794524</v>
      </c>
      <c r="M1540" s="3">
        <f t="shared" si="154"/>
        <v>21.287671232876715</v>
      </c>
      <c r="N1540" s="67">
        <f t="shared" si="155"/>
        <v>333.50684931506851</v>
      </c>
      <c r="O1540" s="3"/>
      <c r="P1540" s="70" t="s">
        <v>18605</v>
      </c>
      <c r="Q1540" s="2" t="s">
        <v>47</v>
      </c>
      <c r="R1540" s="2" t="s">
        <v>13156</v>
      </c>
      <c r="T1540" t="s">
        <v>18666</v>
      </c>
      <c r="U1540" t="s">
        <v>18652</v>
      </c>
      <c r="V1540" s="104">
        <v>45857</v>
      </c>
      <c r="X1540" s="97"/>
      <c r="Y1540" s="75">
        <v>333.51</v>
      </c>
    </row>
    <row r="1541" spans="1:25" x14ac:dyDescent="0.25">
      <c r="A1541" s="76">
        <v>1573</v>
      </c>
      <c r="B1541" s="2" t="s">
        <v>10453</v>
      </c>
      <c r="C1541" s="2" t="s">
        <v>10454</v>
      </c>
      <c r="D1541" s="2" t="s">
        <v>10455</v>
      </c>
      <c r="E1541" s="2" t="s">
        <v>10456</v>
      </c>
      <c r="F1541" s="2" t="s">
        <v>10457</v>
      </c>
      <c r="G1541" s="2" t="s">
        <v>39</v>
      </c>
      <c r="H1541" s="17">
        <v>25</v>
      </c>
      <c r="I1541" s="31">
        <f t="shared" si="150"/>
        <v>25000</v>
      </c>
      <c r="J1541" s="31">
        <f t="shared" si="151"/>
        <v>1750.0000000000002</v>
      </c>
      <c r="K1541" s="44">
        <f t="shared" si="152"/>
        <v>4.794520547945206</v>
      </c>
      <c r="L1541" s="3">
        <f t="shared" si="153"/>
        <v>354.79452054794524</v>
      </c>
      <c r="M1541" s="3">
        <f t="shared" si="154"/>
        <v>21.287671232876715</v>
      </c>
      <c r="N1541" s="67">
        <f t="shared" si="155"/>
        <v>333.50684931506851</v>
      </c>
      <c r="O1541" s="3"/>
      <c r="P1541" s="70" t="s">
        <v>18605</v>
      </c>
      <c r="Q1541" s="2" t="s">
        <v>47</v>
      </c>
      <c r="R1541" s="2" t="s">
        <v>10458</v>
      </c>
      <c r="T1541" t="s">
        <v>18666</v>
      </c>
      <c r="U1541" t="s">
        <v>18652</v>
      </c>
      <c r="V1541" s="104">
        <v>45857</v>
      </c>
      <c r="X1541" s="97"/>
      <c r="Y1541" s="75">
        <v>333.51</v>
      </c>
    </row>
    <row r="1542" spans="1:25" x14ac:dyDescent="0.25">
      <c r="A1542" s="76">
        <v>1574</v>
      </c>
      <c r="B1542" s="2" t="s">
        <v>9434</v>
      </c>
      <c r="C1542" s="2" t="s">
        <v>9435</v>
      </c>
      <c r="D1542" s="2" t="s">
        <v>9436</v>
      </c>
      <c r="E1542" s="2" t="s">
        <v>9437</v>
      </c>
      <c r="F1542" s="2" t="s">
        <v>9438</v>
      </c>
      <c r="G1542" s="2" t="s">
        <v>282</v>
      </c>
      <c r="H1542" s="17">
        <v>40</v>
      </c>
      <c r="I1542" s="31">
        <f t="shared" si="150"/>
        <v>40000</v>
      </c>
      <c r="J1542" s="31">
        <f t="shared" si="151"/>
        <v>2800.0000000000005</v>
      </c>
      <c r="K1542" s="44">
        <f t="shared" si="152"/>
        <v>7.6712328767123301</v>
      </c>
      <c r="L1542" s="3">
        <f t="shared" si="153"/>
        <v>567.67123287671245</v>
      </c>
      <c r="M1542" s="3">
        <f t="shared" si="154"/>
        <v>34.060273972602744</v>
      </c>
      <c r="N1542" s="67">
        <f t="shared" si="155"/>
        <v>533.61095890410968</v>
      </c>
      <c r="O1542" s="3"/>
      <c r="P1542" s="70" t="s">
        <v>18605</v>
      </c>
      <c r="Q1542" s="2" t="s">
        <v>47</v>
      </c>
      <c r="R1542" s="2" t="s">
        <v>9439</v>
      </c>
      <c r="T1542" t="s">
        <v>18666</v>
      </c>
      <c r="U1542" t="s">
        <v>18652</v>
      </c>
      <c r="V1542" s="104">
        <v>45857</v>
      </c>
      <c r="X1542" s="97"/>
      <c r="Y1542" s="75">
        <v>533.62</v>
      </c>
    </row>
    <row r="1543" spans="1:25" x14ac:dyDescent="0.25">
      <c r="A1543" s="76">
        <v>1575</v>
      </c>
      <c r="B1543" s="2" t="s">
        <v>1665</v>
      </c>
      <c r="C1543" s="2" t="s">
        <v>1666</v>
      </c>
      <c r="D1543" s="2" t="s">
        <v>1667</v>
      </c>
      <c r="E1543" s="2" t="s">
        <v>1668</v>
      </c>
      <c r="F1543" s="2" t="s">
        <v>1669</v>
      </c>
      <c r="G1543" s="2" t="s">
        <v>23</v>
      </c>
      <c r="H1543" s="17">
        <v>25</v>
      </c>
      <c r="I1543" s="31">
        <f t="shared" si="150"/>
        <v>25000</v>
      </c>
      <c r="J1543" s="31">
        <f t="shared" si="151"/>
        <v>1750.0000000000002</v>
      </c>
      <c r="K1543" s="44">
        <f t="shared" si="152"/>
        <v>4.794520547945206</v>
      </c>
      <c r="L1543" s="3">
        <f t="shared" si="153"/>
        <v>354.79452054794524</v>
      </c>
      <c r="M1543" s="3">
        <f t="shared" si="154"/>
        <v>21.287671232876715</v>
      </c>
      <c r="N1543" s="67">
        <f t="shared" si="155"/>
        <v>333.50684931506851</v>
      </c>
      <c r="O1543" s="3"/>
      <c r="P1543" s="70" t="s">
        <v>18605</v>
      </c>
      <c r="Q1543" s="2" t="s">
        <v>47</v>
      </c>
      <c r="R1543" s="2" t="s">
        <v>1670</v>
      </c>
      <c r="T1543" t="s">
        <v>18666</v>
      </c>
      <c r="U1543" t="s">
        <v>18652</v>
      </c>
      <c r="V1543" s="104">
        <v>45857</v>
      </c>
      <c r="X1543" s="97"/>
      <c r="Y1543" s="75">
        <v>333.51</v>
      </c>
    </row>
    <row r="1544" spans="1:25" x14ac:dyDescent="0.25">
      <c r="A1544" s="76">
        <v>1576</v>
      </c>
      <c r="B1544" s="2" t="s">
        <v>15652</v>
      </c>
      <c r="C1544" s="2" t="s">
        <v>15653</v>
      </c>
      <c r="D1544" s="2" t="s">
        <v>15654</v>
      </c>
      <c r="E1544" s="2" t="s">
        <v>15655</v>
      </c>
      <c r="F1544" s="2" t="s">
        <v>15656</v>
      </c>
      <c r="G1544" s="2" t="s">
        <v>31</v>
      </c>
      <c r="H1544" s="17">
        <v>25</v>
      </c>
      <c r="I1544" s="31">
        <f t="shared" si="150"/>
        <v>25000</v>
      </c>
      <c r="J1544" s="31">
        <f t="shared" si="151"/>
        <v>1750.0000000000002</v>
      </c>
      <c r="K1544" s="44">
        <f t="shared" si="152"/>
        <v>4.794520547945206</v>
      </c>
      <c r="L1544" s="3">
        <f t="shared" si="153"/>
        <v>354.79452054794524</v>
      </c>
      <c r="M1544" s="3">
        <f t="shared" si="154"/>
        <v>21.287671232876715</v>
      </c>
      <c r="N1544" s="67">
        <f t="shared" si="155"/>
        <v>333.50684931506851</v>
      </c>
      <c r="O1544" s="3"/>
      <c r="P1544" s="70" t="s">
        <v>18605</v>
      </c>
      <c r="Q1544" s="2" t="s">
        <v>47</v>
      </c>
      <c r="R1544" s="2" t="s">
        <v>15657</v>
      </c>
      <c r="T1544" t="s">
        <v>18666</v>
      </c>
      <c r="U1544" t="s">
        <v>18652</v>
      </c>
      <c r="V1544" s="104">
        <v>45857</v>
      </c>
      <c r="X1544" s="97"/>
      <c r="Y1544" s="75">
        <v>333.51</v>
      </c>
    </row>
    <row r="1545" spans="1:25" x14ac:dyDescent="0.25">
      <c r="A1545" s="76">
        <v>1577</v>
      </c>
      <c r="B1545" s="2" t="s">
        <v>4818</v>
      </c>
      <c r="C1545" s="2" t="s">
        <v>4819</v>
      </c>
      <c r="D1545" s="2" t="s">
        <v>4820</v>
      </c>
      <c r="E1545" s="2" t="s">
        <v>4821</v>
      </c>
      <c r="F1545" s="2" t="s">
        <v>4822</v>
      </c>
      <c r="G1545" s="2" t="s">
        <v>166</v>
      </c>
      <c r="H1545" s="17">
        <v>25</v>
      </c>
      <c r="I1545" s="31">
        <f t="shared" si="150"/>
        <v>25000</v>
      </c>
      <c r="J1545" s="31">
        <f t="shared" si="151"/>
        <v>1750.0000000000002</v>
      </c>
      <c r="K1545" s="44">
        <f t="shared" si="152"/>
        <v>4.794520547945206</v>
      </c>
      <c r="L1545" s="3">
        <f t="shared" si="153"/>
        <v>354.79452054794524</v>
      </c>
      <c r="M1545" s="3">
        <f t="shared" si="154"/>
        <v>21.287671232876715</v>
      </c>
      <c r="N1545" s="67">
        <f t="shared" si="155"/>
        <v>333.50684931506851</v>
      </c>
      <c r="O1545" s="3"/>
      <c r="P1545" s="70" t="s">
        <v>18605</v>
      </c>
      <c r="Q1545" s="2" t="s">
        <v>47</v>
      </c>
      <c r="R1545" s="2" t="s">
        <v>4823</v>
      </c>
      <c r="T1545" t="s">
        <v>18666</v>
      </c>
      <c r="U1545" t="s">
        <v>18652</v>
      </c>
      <c r="V1545" s="104">
        <v>45857</v>
      </c>
      <c r="X1545" s="97"/>
      <c r="Y1545" s="75">
        <v>333.51</v>
      </c>
    </row>
    <row r="1546" spans="1:25" x14ac:dyDescent="0.25">
      <c r="A1546" s="76">
        <v>1578</v>
      </c>
      <c r="B1546" s="2" t="s">
        <v>837</v>
      </c>
      <c r="C1546" s="2" t="s">
        <v>838</v>
      </c>
      <c r="D1546" s="2" t="s">
        <v>839</v>
      </c>
      <c r="E1546" s="2" t="s">
        <v>840</v>
      </c>
      <c r="F1546" s="2" t="s">
        <v>841</v>
      </c>
      <c r="G1546" s="2" t="s">
        <v>31</v>
      </c>
      <c r="H1546" s="17">
        <v>25</v>
      </c>
      <c r="I1546" s="31">
        <f t="shared" si="150"/>
        <v>25000</v>
      </c>
      <c r="J1546" s="31">
        <f t="shared" si="151"/>
        <v>1750.0000000000002</v>
      </c>
      <c r="K1546" s="44">
        <f t="shared" si="152"/>
        <v>4.794520547945206</v>
      </c>
      <c r="L1546" s="3">
        <f t="shared" si="153"/>
        <v>354.79452054794524</v>
      </c>
      <c r="M1546" s="3">
        <f t="shared" si="154"/>
        <v>21.287671232876715</v>
      </c>
      <c r="N1546" s="67">
        <f t="shared" si="155"/>
        <v>333.50684931506851</v>
      </c>
      <c r="O1546" s="3"/>
      <c r="P1546" s="70" t="s">
        <v>18605</v>
      </c>
      <c r="Q1546" s="2" t="s">
        <v>47</v>
      </c>
      <c r="R1546" s="2" t="s">
        <v>842</v>
      </c>
      <c r="T1546" t="s">
        <v>18666</v>
      </c>
      <c r="U1546" t="s">
        <v>18652</v>
      </c>
      <c r="V1546" s="104">
        <v>45857</v>
      </c>
      <c r="X1546" s="97"/>
      <c r="Y1546" s="75">
        <v>333.51</v>
      </c>
    </row>
    <row r="1547" spans="1:25" x14ac:dyDescent="0.25">
      <c r="A1547" s="76">
        <v>1579</v>
      </c>
      <c r="B1547" s="2" t="s">
        <v>12393</v>
      </c>
      <c r="C1547" s="2" t="s">
        <v>12394</v>
      </c>
      <c r="D1547" s="2" t="s">
        <v>12395</v>
      </c>
      <c r="E1547" s="2" t="s">
        <v>12396</v>
      </c>
      <c r="F1547" s="2" t="s">
        <v>12397</v>
      </c>
      <c r="G1547" s="2" t="s">
        <v>618</v>
      </c>
      <c r="H1547" s="17">
        <v>25</v>
      </c>
      <c r="I1547" s="31">
        <f t="shared" si="150"/>
        <v>25000</v>
      </c>
      <c r="J1547" s="31">
        <f t="shared" si="151"/>
        <v>1750.0000000000002</v>
      </c>
      <c r="K1547" s="44">
        <f t="shared" si="152"/>
        <v>4.794520547945206</v>
      </c>
      <c r="L1547" s="3">
        <f t="shared" si="153"/>
        <v>354.79452054794524</v>
      </c>
      <c r="M1547" s="3">
        <f t="shared" si="154"/>
        <v>21.287671232876715</v>
      </c>
      <c r="N1547" s="67">
        <f t="shared" si="155"/>
        <v>333.50684931506851</v>
      </c>
      <c r="O1547" s="3"/>
      <c r="P1547" s="70" t="s">
        <v>18605</v>
      </c>
      <c r="Q1547" s="2" t="s">
        <v>47</v>
      </c>
      <c r="R1547" s="2" t="s">
        <v>12398</v>
      </c>
      <c r="T1547" t="s">
        <v>18666</v>
      </c>
      <c r="U1547" t="s">
        <v>18652</v>
      </c>
      <c r="V1547" s="104">
        <v>45857</v>
      </c>
      <c r="X1547" s="97"/>
      <c r="Y1547" s="75">
        <v>333.51</v>
      </c>
    </row>
    <row r="1548" spans="1:25" x14ac:dyDescent="0.25">
      <c r="A1548" s="76">
        <v>1580</v>
      </c>
      <c r="B1548" s="2" t="s">
        <v>12451</v>
      </c>
      <c r="C1548" s="2" t="s">
        <v>12452</v>
      </c>
      <c r="D1548" s="2" t="s">
        <v>12395</v>
      </c>
      <c r="E1548" s="2" t="s">
        <v>12396</v>
      </c>
      <c r="F1548" s="2" t="s">
        <v>12453</v>
      </c>
      <c r="G1548" s="2" t="s">
        <v>618</v>
      </c>
      <c r="H1548" s="17">
        <v>25</v>
      </c>
      <c r="I1548" s="31">
        <f t="shared" si="150"/>
        <v>25000</v>
      </c>
      <c r="J1548" s="31">
        <f t="shared" si="151"/>
        <v>1750.0000000000002</v>
      </c>
      <c r="K1548" s="44">
        <f t="shared" si="152"/>
        <v>4.794520547945206</v>
      </c>
      <c r="L1548" s="3">
        <f t="shared" si="153"/>
        <v>354.79452054794524</v>
      </c>
      <c r="M1548" s="3">
        <f t="shared" si="154"/>
        <v>21.287671232876715</v>
      </c>
      <c r="N1548" s="67">
        <f t="shared" si="155"/>
        <v>333.50684931506851</v>
      </c>
      <c r="O1548" s="3"/>
      <c r="P1548" s="70" t="s">
        <v>18605</v>
      </c>
      <c r="Q1548" s="2" t="s">
        <v>47</v>
      </c>
      <c r="R1548" s="2" t="s">
        <v>12454</v>
      </c>
      <c r="T1548" t="s">
        <v>18666</v>
      </c>
      <c r="U1548" t="s">
        <v>18652</v>
      </c>
      <c r="V1548" s="104">
        <v>45857</v>
      </c>
      <c r="X1548" s="97"/>
      <c r="Y1548" s="75">
        <v>333.51</v>
      </c>
    </row>
    <row r="1549" spans="1:25" x14ac:dyDescent="0.25">
      <c r="A1549" s="76">
        <v>1581</v>
      </c>
      <c r="B1549" s="2" t="s">
        <v>1510</v>
      </c>
      <c r="C1549" s="2" t="s">
        <v>1511</v>
      </c>
      <c r="D1549" s="2" t="s">
        <v>1512</v>
      </c>
      <c r="E1549" s="2" t="s">
        <v>1513</v>
      </c>
      <c r="F1549" s="2" t="s">
        <v>1514</v>
      </c>
      <c r="G1549" s="2" t="s">
        <v>186</v>
      </c>
      <c r="H1549" s="17">
        <v>50</v>
      </c>
      <c r="I1549" s="31">
        <f t="shared" si="150"/>
        <v>50000</v>
      </c>
      <c r="J1549" s="31">
        <f t="shared" si="151"/>
        <v>3500.0000000000005</v>
      </c>
      <c r="K1549" s="44">
        <f t="shared" si="152"/>
        <v>9.589041095890412</v>
      </c>
      <c r="L1549" s="3">
        <f t="shared" si="153"/>
        <v>709.58904109589048</v>
      </c>
      <c r="M1549" s="3">
        <f t="shared" si="154"/>
        <v>42.57534246575343</v>
      </c>
      <c r="N1549" s="67">
        <f t="shared" si="155"/>
        <v>667.01369863013701</v>
      </c>
      <c r="O1549" s="3"/>
      <c r="P1549" s="70" t="s">
        <v>18605</v>
      </c>
      <c r="Q1549" s="2" t="s">
        <v>47</v>
      </c>
      <c r="R1549" s="2" t="s">
        <v>1515</v>
      </c>
      <c r="T1549" t="s">
        <v>18666</v>
      </c>
      <c r="U1549" t="s">
        <v>18652</v>
      </c>
      <c r="V1549" s="104">
        <v>45857</v>
      </c>
      <c r="X1549" s="97"/>
      <c r="Y1549" s="75">
        <v>667.02</v>
      </c>
    </row>
    <row r="1550" spans="1:25" x14ac:dyDescent="0.25">
      <c r="A1550" s="76">
        <v>1582</v>
      </c>
      <c r="B1550" s="2" t="s">
        <v>6788</v>
      </c>
      <c r="C1550" s="2" t="s">
        <v>6789</v>
      </c>
      <c r="D1550" s="2" t="s">
        <v>6790</v>
      </c>
      <c r="E1550" s="2" t="s">
        <v>6791</v>
      </c>
      <c r="F1550" s="2" t="s">
        <v>6792</v>
      </c>
      <c r="G1550" s="2" t="s">
        <v>1048</v>
      </c>
      <c r="H1550" s="17">
        <v>25</v>
      </c>
      <c r="I1550" s="31">
        <f t="shared" si="150"/>
        <v>25000</v>
      </c>
      <c r="J1550" s="31">
        <f t="shared" si="151"/>
        <v>1750.0000000000002</v>
      </c>
      <c r="K1550" s="44">
        <f t="shared" si="152"/>
        <v>4.794520547945206</v>
      </c>
      <c r="L1550" s="3">
        <f t="shared" si="153"/>
        <v>354.79452054794524</v>
      </c>
      <c r="M1550" s="3">
        <f t="shared" si="154"/>
        <v>21.287671232876715</v>
      </c>
      <c r="N1550" s="67">
        <f t="shared" si="155"/>
        <v>333.50684931506851</v>
      </c>
      <c r="O1550" s="3"/>
      <c r="P1550" s="70" t="s">
        <v>18605</v>
      </c>
      <c r="Q1550" s="2" t="s">
        <v>47</v>
      </c>
      <c r="R1550" s="2" t="s">
        <v>6793</v>
      </c>
      <c r="T1550" t="s">
        <v>18666</v>
      </c>
      <c r="U1550" t="s">
        <v>18652</v>
      </c>
      <c r="V1550" s="104">
        <v>45857</v>
      </c>
      <c r="X1550" s="97"/>
      <c r="Y1550" s="75">
        <v>333.51</v>
      </c>
    </row>
    <row r="1551" spans="1:25" x14ac:dyDescent="0.25">
      <c r="A1551" s="76">
        <v>1583</v>
      </c>
      <c r="B1551" s="2" t="s">
        <v>4085</v>
      </c>
      <c r="C1551" s="2" t="s">
        <v>4086</v>
      </c>
      <c r="D1551" s="2" t="s">
        <v>4087</v>
      </c>
      <c r="E1551" s="2" t="s">
        <v>4088</v>
      </c>
      <c r="F1551" s="2" t="s">
        <v>4089</v>
      </c>
      <c r="G1551" s="2" t="s">
        <v>218</v>
      </c>
      <c r="H1551" s="17">
        <v>100</v>
      </c>
      <c r="I1551" s="31">
        <f t="shared" si="150"/>
        <v>100000</v>
      </c>
      <c r="J1551" s="31">
        <f t="shared" si="151"/>
        <v>7000.0000000000009</v>
      </c>
      <c r="K1551" s="44">
        <f t="shared" si="152"/>
        <v>19.178082191780824</v>
      </c>
      <c r="L1551" s="3">
        <f t="shared" si="153"/>
        <v>1419.178082191781</v>
      </c>
      <c r="M1551" s="3">
        <f t="shared" si="154"/>
        <v>85.150684931506859</v>
      </c>
      <c r="N1551" s="67">
        <f t="shared" si="155"/>
        <v>1334.027397260274</v>
      </c>
      <c r="O1551" s="3"/>
      <c r="P1551" s="70" t="s">
        <v>18605</v>
      </c>
      <c r="Q1551" s="2" t="s">
        <v>47</v>
      </c>
      <c r="R1551" s="2" t="s">
        <v>4090</v>
      </c>
      <c r="T1551" t="s">
        <v>18666</v>
      </c>
      <c r="U1551" t="s">
        <v>18652</v>
      </c>
      <c r="V1551" s="104">
        <v>45857</v>
      </c>
      <c r="X1551" s="97"/>
      <c r="Y1551" s="75">
        <v>1334.03</v>
      </c>
    </row>
    <row r="1552" spans="1:25" x14ac:dyDescent="0.25">
      <c r="A1552" s="76">
        <v>1584</v>
      </c>
      <c r="B1552" s="2" t="s">
        <v>15192</v>
      </c>
      <c r="C1552" s="2" t="s">
        <v>15193</v>
      </c>
      <c r="D1552" s="2" t="s">
        <v>15194</v>
      </c>
      <c r="E1552" s="2" t="s">
        <v>15195</v>
      </c>
      <c r="F1552" s="2" t="s">
        <v>15196</v>
      </c>
      <c r="G1552" s="2" t="s">
        <v>31</v>
      </c>
      <c r="H1552" s="17">
        <v>50</v>
      </c>
      <c r="I1552" s="31">
        <f t="shared" si="150"/>
        <v>50000</v>
      </c>
      <c r="J1552" s="31">
        <f t="shared" si="151"/>
        <v>3500.0000000000005</v>
      </c>
      <c r="K1552" s="44">
        <f t="shared" si="152"/>
        <v>9.589041095890412</v>
      </c>
      <c r="L1552" s="3">
        <f t="shared" si="153"/>
        <v>709.58904109589048</v>
      </c>
      <c r="M1552" s="3">
        <f t="shared" si="154"/>
        <v>42.57534246575343</v>
      </c>
      <c r="N1552" s="67">
        <f t="shared" si="155"/>
        <v>667.01369863013701</v>
      </c>
      <c r="O1552" s="3"/>
      <c r="P1552" s="70" t="s">
        <v>18605</v>
      </c>
      <c r="Q1552" s="2" t="s">
        <v>47</v>
      </c>
      <c r="R1552" s="2" t="s">
        <v>15197</v>
      </c>
      <c r="T1552" t="s">
        <v>18666</v>
      </c>
      <c r="U1552" t="s">
        <v>18652</v>
      </c>
      <c r="V1552" s="104">
        <v>45857</v>
      </c>
      <c r="X1552" s="97"/>
      <c r="Y1552" s="75">
        <v>667.02</v>
      </c>
    </row>
    <row r="1553" spans="1:25" x14ac:dyDescent="0.25">
      <c r="A1553" s="76">
        <v>1585</v>
      </c>
      <c r="B1553" s="2" t="s">
        <v>11095</v>
      </c>
      <c r="C1553" s="2" t="s">
        <v>11096</v>
      </c>
      <c r="D1553" s="2" t="s">
        <v>11097</v>
      </c>
      <c r="E1553" s="2" t="s">
        <v>11098</v>
      </c>
      <c r="F1553" s="2" t="s">
        <v>11099</v>
      </c>
      <c r="G1553" s="2" t="s">
        <v>750</v>
      </c>
      <c r="H1553" s="17">
        <v>200</v>
      </c>
      <c r="I1553" s="31">
        <f t="shared" si="150"/>
        <v>200000</v>
      </c>
      <c r="J1553" s="31">
        <f t="shared" si="151"/>
        <v>14000.000000000002</v>
      </c>
      <c r="K1553" s="44">
        <f t="shared" si="152"/>
        <v>38.356164383561648</v>
      </c>
      <c r="L1553" s="3">
        <f t="shared" si="153"/>
        <v>2838.3561643835619</v>
      </c>
      <c r="M1553" s="3">
        <f t="shared" si="154"/>
        <v>170.30136986301372</v>
      </c>
      <c r="N1553" s="67">
        <f t="shared" si="155"/>
        <v>2668.0547945205481</v>
      </c>
      <c r="O1553" s="3"/>
      <c r="P1553" s="70" t="s">
        <v>18605</v>
      </c>
      <c r="Q1553" s="2" t="s">
        <v>47</v>
      </c>
      <c r="R1553" s="2" t="s">
        <v>11100</v>
      </c>
      <c r="T1553" t="s">
        <v>18666</v>
      </c>
      <c r="U1553" t="s">
        <v>18652</v>
      </c>
      <c r="V1553" s="104">
        <v>45857</v>
      </c>
      <c r="X1553" s="97"/>
      <c r="Y1553" s="75">
        <v>2668.0600000000004</v>
      </c>
    </row>
    <row r="1554" spans="1:25" x14ac:dyDescent="0.25">
      <c r="A1554" s="76">
        <v>1586</v>
      </c>
      <c r="B1554" s="2" t="s">
        <v>7907</v>
      </c>
      <c r="C1554" s="2" t="s">
        <v>7908</v>
      </c>
      <c r="D1554" s="2" t="s">
        <v>7909</v>
      </c>
      <c r="E1554" s="2" t="s">
        <v>7910</v>
      </c>
      <c r="F1554" s="2" t="s">
        <v>7911</v>
      </c>
      <c r="G1554" s="2" t="s">
        <v>226</v>
      </c>
      <c r="H1554" s="17">
        <v>200</v>
      </c>
      <c r="I1554" s="31">
        <f t="shared" ref="I1554:I1617" si="156">H1554*1000</f>
        <v>200000</v>
      </c>
      <c r="J1554" s="31">
        <f t="shared" ref="J1554:J1617" si="157">I1554*7%</f>
        <v>14000.000000000002</v>
      </c>
      <c r="K1554" s="44">
        <f t="shared" ref="K1554:K1617" si="158">J1554/365</f>
        <v>38.356164383561648</v>
      </c>
      <c r="L1554" s="3">
        <f t="shared" ref="L1554:L1617" si="159">K1554*74</f>
        <v>2838.3561643835619</v>
      </c>
      <c r="M1554" s="3">
        <f t="shared" ref="M1554:M1617" si="160">L1554*6%</f>
        <v>170.30136986301372</v>
      </c>
      <c r="N1554" s="67">
        <f t="shared" ref="N1554:N1617" si="161">L1554-M1554</f>
        <v>2668.0547945205481</v>
      </c>
      <c r="O1554" s="3"/>
      <c r="P1554" s="70" t="s">
        <v>18605</v>
      </c>
      <c r="Q1554" s="2" t="s">
        <v>47</v>
      </c>
      <c r="R1554" s="2" t="s">
        <v>7912</v>
      </c>
      <c r="T1554" t="s">
        <v>18666</v>
      </c>
      <c r="U1554" t="s">
        <v>18652</v>
      </c>
      <c r="V1554" s="104">
        <v>45857</v>
      </c>
      <c r="X1554" s="97"/>
      <c r="Y1554" s="75">
        <v>2668.0600000000004</v>
      </c>
    </row>
    <row r="1555" spans="1:25" x14ac:dyDescent="0.25">
      <c r="A1555" s="76">
        <v>1587</v>
      </c>
      <c r="B1555" s="2" t="s">
        <v>9516</v>
      </c>
      <c r="C1555" s="2" t="s">
        <v>9517</v>
      </c>
      <c r="D1555" s="2" t="s">
        <v>9518</v>
      </c>
      <c r="E1555" s="2" t="s">
        <v>9519</v>
      </c>
      <c r="F1555" s="2" t="s">
        <v>9520</v>
      </c>
      <c r="G1555" s="2" t="s">
        <v>173</v>
      </c>
      <c r="H1555" s="17">
        <v>25</v>
      </c>
      <c r="I1555" s="31">
        <f t="shared" si="156"/>
        <v>25000</v>
      </c>
      <c r="J1555" s="31">
        <f t="shared" si="157"/>
        <v>1750.0000000000002</v>
      </c>
      <c r="K1555" s="44">
        <f t="shared" si="158"/>
        <v>4.794520547945206</v>
      </c>
      <c r="L1555" s="3">
        <f t="shared" si="159"/>
        <v>354.79452054794524</v>
      </c>
      <c r="M1555" s="3">
        <f t="shared" si="160"/>
        <v>21.287671232876715</v>
      </c>
      <c r="N1555" s="67">
        <f t="shared" si="161"/>
        <v>333.50684931506851</v>
      </c>
      <c r="O1555" s="3"/>
      <c r="P1555" s="70" t="s">
        <v>18605</v>
      </c>
      <c r="Q1555" s="2" t="s">
        <v>47</v>
      </c>
      <c r="R1555" s="2" t="s">
        <v>9521</v>
      </c>
      <c r="T1555" t="s">
        <v>18666</v>
      </c>
      <c r="U1555" t="s">
        <v>18652</v>
      </c>
      <c r="V1555" s="104">
        <v>45857</v>
      </c>
      <c r="X1555" s="97"/>
      <c r="Y1555" s="75">
        <v>333.51</v>
      </c>
    </row>
    <row r="1556" spans="1:25" x14ac:dyDescent="0.25">
      <c r="A1556" s="76">
        <v>1588</v>
      </c>
      <c r="B1556" s="2" t="s">
        <v>17836</v>
      </c>
      <c r="C1556" s="2" t="s">
        <v>17837</v>
      </c>
      <c r="D1556" s="2" t="s">
        <v>17838</v>
      </c>
      <c r="E1556" s="2" t="s">
        <v>17839</v>
      </c>
      <c r="F1556" s="2" t="s">
        <v>17840</v>
      </c>
      <c r="G1556" s="2" t="s">
        <v>835</v>
      </c>
      <c r="H1556" s="17">
        <v>25</v>
      </c>
      <c r="I1556" s="31">
        <f t="shared" si="156"/>
        <v>25000</v>
      </c>
      <c r="J1556" s="31">
        <f t="shared" si="157"/>
        <v>1750.0000000000002</v>
      </c>
      <c r="K1556" s="44">
        <f t="shared" si="158"/>
        <v>4.794520547945206</v>
      </c>
      <c r="L1556" s="3">
        <f t="shared" si="159"/>
        <v>354.79452054794524</v>
      </c>
      <c r="M1556" s="3">
        <f t="shared" si="160"/>
        <v>21.287671232876715</v>
      </c>
      <c r="N1556" s="67">
        <f t="shared" si="161"/>
        <v>333.50684931506851</v>
      </c>
      <c r="O1556" s="3"/>
      <c r="P1556" s="70" t="s">
        <v>18605</v>
      </c>
      <c r="Q1556" s="2" t="s">
        <v>47</v>
      </c>
      <c r="R1556" s="2" t="s">
        <v>17841</v>
      </c>
      <c r="T1556" t="s">
        <v>18666</v>
      </c>
      <c r="U1556" t="s">
        <v>18652</v>
      </c>
      <c r="V1556" s="104">
        <v>45857</v>
      </c>
      <c r="X1556" s="97"/>
      <c r="Y1556" s="75">
        <v>333.51</v>
      </c>
    </row>
    <row r="1557" spans="1:25" x14ac:dyDescent="0.25">
      <c r="A1557" s="76">
        <v>1589</v>
      </c>
      <c r="B1557" s="2" t="s">
        <v>1578</v>
      </c>
      <c r="C1557" s="2" t="s">
        <v>1579</v>
      </c>
      <c r="D1557" s="2" t="s">
        <v>1580</v>
      </c>
      <c r="E1557" s="2" t="s">
        <v>1581</v>
      </c>
      <c r="F1557" s="2" t="s">
        <v>1582</v>
      </c>
      <c r="G1557" s="2" t="s">
        <v>296</v>
      </c>
      <c r="H1557" s="17">
        <v>25</v>
      </c>
      <c r="I1557" s="31">
        <f t="shared" si="156"/>
        <v>25000</v>
      </c>
      <c r="J1557" s="31">
        <f t="shared" si="157"/>
        <v>1750.0000000000002</v>
      </c>
      <c r="K1557" s="44">
        <f t="shared" si="158"/>
        <v>4.794520547945206</v>
      </c>
      <c r="L1557" s="3">
        <f t="shared" si="159"/>
        <v>354.79452054794524</v>
      </c>
      <c r="M1557" s="3">
        <f t="shared" si="160"/>
        <v>21.287671232876715</v>
      </c>
      <c r="N1557" s="67">
        <f t="shared" si="161"/>
        <v>333.50684931506851</v>
      </c>
      <c r="O1557" s="3"/>
      <c r="P1557" s="70" t="s">
        <v>18605</v>
      </c>
      <c r="Q1557" s="2" t="s">
        <v>47</v>
      </c>
      <c r="R1557" s="2" t="s">
        <v>1583</v>
      </c>
      <c r="T1557" t="s">
        <v>18666</v>
      </c>
      <c r="U1557" t="s">
        <v>18652</v>
      </c>
      <c r="V1557" s="104">
        <v>45857</v>
      </c>
      <c r="X1557" s="97"/>
      <c r="Y1557" s="75">
        <v>333.51</v>
      </c>
    </row>
    <row r="1558" spans="1:25" x14ac:dyDescent="0.25">
      <c r="A1558" s="76">
        <v>1590</v>
      </c>
      <c r="B1558" s="2" t="s">
        <v>1602</v>
      </c>
      <c r="C1558" s="2" t="s">
        <v>1603</v>
      </c>
      <c r="D1558" s="2" t="s">
        <v>1580</v>
      </c>
      <c r="E1558" s="2" t="s">
        <v>1581</v>
      </c>
      <c r="F1558" s="2" t="s">
        <v>1604</v>
      </c>
      <c r="G1558" s="2" t="s">
        <v>296</v>
      </c>
      <c r="H1558" s="17">
        <v>25</v>
      </c>
      <c r="I1558" s="31">
        <f t="shared" si="156"/>
        <v>25000</v>
      </c>
      <c r="J1558" s="31">
        <f t="shared" si="157"/>
        <v>1750.0000000000002</v>
      </c>
      <c r="K1558" s="44">
        <f t="shared" si="158"/>
        <v>4.794520547945206</v>
      </c>
      <c r="L1558" s="3">
        <f t="shared" si="159"/>
        <v>354.79452054794524</v>
      </c>
      <c r="M1558" s="3">
        <f t="shared" si="160"/>
        <v>21.287671232876715</v>
      </c>
      <c r="N1558" s="67">
        <f t="shared" si="161"/>
        <v>333.50684931506851</v>
      </c>
      <c r="O1558" s="3"/>
      <c r="P1558" s="70" t="s">
        <v>18605</v>
      </c>
      <c r="Q1558" s="2" t="s">
        <v>47</v>
      </c>
      <c r="R1558" s="2" t="s">
        <v>1605</v>
      </c>
      <c r="T1558" t="s">
        <v>18666</v>
      </c>
      <c r="U1558" t="s">
        <v>18652</v>
      </c>
      <c r="V1558" s="104">
        <v>45857</v>
      </c>
      <c r="X1558" s="97"/>
      <c r="Y1558" s="75">
        <v>333.51</v>
      </c>
    </row>
    <row r="1559" spans="1:25" x14ac:dyDescent="0.25">
      <c r="A1559" s="76">
        <v>1591</v>
      </c>
      <c r="B1559" s="2" t="s">
        <v>4830</v>
      </c>
      <c r="C1559" s="2" t="s">
        <v>4831</v>
      </c>
      <c r="D1559" s="2" t="s">
        <v>4832</v>
      </c>
      <c r="E1559" s="2" t="s">
        <v>4833</v>
      </c>
      <c r="F1559" s="2" t="s">
        <v>4834</v>
      </c>
      <c r="G1559" s="2" t="s">
        <v>23</v>
      </c>
      <c r="H1559" s="17">
        <v>25</v>
      </c>
      <c r="I1559" s="31">
        <f t="shared" si="156"/>
        <v>25000</v>
      </c>
      <c r="J1559" s="31">
        <f t="shared" si="157"/>
        <v>1750.0000000000002</v>
      </c>
      <c r="K1559" s="44">
        <f t="shared" si="158"/>
        <v>4.794520547945206</v>
      </c>
      <c r="L1559" s="3">
        <f t="shared" si="159"/>
        <v>354.79452054794524</v>
      </c>
      <c r="M1559" s="3">
        <f t="shared" si="160"/>
        <v>21.287671232876715</v>
      </c>
      <c r="N1559" s="67">
        <f t="shared" si="161"/>
        <v>333.50684931506851</v>
      </c>
      <c r="O1559" s="3"/>
      <c r="P1559" s="70" t="s">
        <v>18605</v>
      </c>
      <c r="Q1559" s="2" t="s">
        <v>47</v>
      </c>
      <c r="R1559" s="2" t="s">
        <v>4835</v>
      </c>
      <c r="T1559" t="s">
        <v>18666</v>
      </c>
      <c r="U1559" t="s">
        <v>18652</v>
      </c>
      <c r="V1559" s="104">
        <v>45857</v>
      </c>
      <c r="X1559" s="97"/>
      <c r="Y1559" s="75">
        <v>333.51</v>
      </c>
    </row>
    <row r="1560" spans="1:25" x14ac:dyDescent="0.25">
      <c r="A1560" s="76">
        <v>1592</v>
      </c>
      <c r="B1560" s="2" t="s">
        <v>4889</v>
      </c>
      <c r="C1560" s="2" t="s">
        <v>4890</v>
      </c>
      <c r="D1560" s="2" t="s">
        <v>4891</v>
      </c>
      <c r="E1560" s="2" t="s">
        <v>4892</v>
      </c>
      <c r="F1560" s="2" t="s">
        <v>4893</v>
      </c>
      <c r="G1560" s="2" t="s">
        <v>876</v>
      </c>
      <c r="H1560" s="17">
        <v>25</v>
      </c>
      <c r="I1560" s="31">
        <f t="shared" si="156"/>
        <v>25000</v>
      </c>
      <c r="J1560" s="31">
        <f t="shared" si="157"/>
        <v>1750.0000000000002</v>
      </c>
      <c r="K1560" s="44">
        <f t="shared" si="158"/>
        <v>4.794520547945206</v>
      </c>
      <c r="L1560" s="3">
        <f t="shared" si="159"/>
        <v>354.79452054794524</v>
      </c>
      <c r="M1560" s="3">
        <f t="shared" si="160"/>
        <v>21.287671232876715</v>
      </c>
      <c r="N1560" s="67">
        <f t="shared" si="161"/>
        <v>333.50684931506851</v>
      </c>
      <c r="O1560" s="3"/>
      <c r="P1560" s="70" t="s">
        <v>18605</v>
      </c>
      <c r="Q1560" s="2" t="s">
        <v>47</v>
      </c>
      <c r="R1560" s="2" t="s">
        <v>4894</v>
      </c>
      <c r="T1560" t="s">
        <v>18666</v>
      </c>
      <c r="U1560" t="s">
        <v>18652</v>
      </c>
      <c r="V1560" s="104">
        <v>45857</v>
      </c>
      <c r="X1560" s="97"/>
      <c r="Y1560" s="75">
        <v>333.51</v>
      </c>
    </row>
    <row r="1561" spans="1:25" x14ac:dyDescent="0.25">
      <c r="A1561" s="76">
        <v>1593</v>
      </c>
      <c r="B1561" s="2" t="s">
        <v>11347</v>
      </c>
      <c r="C1561" s="2" t="s">
        <v>11348</v>
      </c>
      <c r="D1561" s="2" t="s">
        <v>11349</v>
      </c>
      <c r="E1561" s="2" t="s">
        <v>11350</v>
      </c>
      <c r="F1561" s="2" t="s">
        <v>11351</v>
      </c>
      <c r="G1561" s="2" t="s">
        <v>2380</v>
      </c>
      <c r="H1561" s="17">
        <v>30</v>
      </c>
      <c r="I1561" s="31">
        <f t="shared" si="156"/>
        <v>30000</v>
      </c>
      <c r="J1561" s="31">
        <f t="shared" si="157"/>
        <v>2100</v>
      </c>
      <c r="K1561" s="44">
        <f t="shared" si="158"/>
        <v>5.7534246575342465</v>
      </c>
      <c r="L1561" s="3">
        <f t="shared" si="159"/>
        <v>425.75342465753425</v>
      </c>
      <c r="M1561" s="3">
        <f t="shared" si="160"/>
        <v>25.545205479452054</v>
      </c>
      <c r="N1561" s="67">
        <f t="shared" si="161"/>
        <v>400.20821917808217</v>
      </c>
      <c r="O1561" s="3"/>
      <c r="P1561" s="70" t="s">
        <v>18605</v>
      </c>
      <c r="Q1561" s="2" t="s">
        <v>47</v>
      </c>
      <c r="R1561" s="2" t="s">
        <v>11352</v>
      </c>
      <c r="T1561" t="s">
        <v>18666</v>
      </c>
      <c r="U1561" t="s">
        <v>18652</v>
      </c>
      <c r="V1561" s="104">
        <v>45857</v>
      </c>
      <c r="X1561" s="97"/>
      <c r="Y1561" s="75">
        <v>400.21</v>
      </c>
    </row>
    <row r="1562" spans="1:25" x14ac:dyDescent="0.25">
      <c r="A1562" s="76">
        <v>1594</v>
      </c>
      <c r="B1562" s="2" t="s">
        <v>5689</v>
      </c>
      <c r="C1562" s="2" t="s">
        <v>5690</v>
      </c>
      <c r="D1562" s="2" t="s">
        <v>5691</v>
      </c>
      <c r="E1562" s="2" t="s">
        <v>5692</v>
      </c>
      <c r="F1562" s="2" t="s">
        <v>5693</v>
      </c>
      <c r="G1562" s="2" t="s">
        <v>1055</v>
      </c>
      <c r="H1562" s="17">
        <v>25</v>
      </c>
      <c r="I1562" s="31">
        <f t="shared" si="156"/>
        <v>25000</v>
      </c>
      <c r="J1562" s="31">
        <f t="shared" si="157"/>
        <v>1750.0000000000002</v>
      </c>
      <c r="K1562" s="44">
        <f t="shared" si="158"/>
        <v>4.794520547945206</v>
      </c>
      <c r="L1562" s="3">
        <f t="shared" si="159"/>
        <v>354.79452054794524</v>
      </c>
      <c r="M1562" s="3">
        <f t="shared" si="160"/>
        <v>21.287671232876715</v>
      </c>
      <c r="N1562" s="67">
        <f t="shared" si="161"/>
        <v>333.50684931506851</v>
      </c>
      <c r="O1562" s="3"/>
      <c r="P1562" s="70" t="s">
        <v>18605</v>
      </c>
      <c r="Q1562" s="2" t="s">
        <v>47</v>
      </c>
      <c r="R1562" s="2" t="s">
        <v>5694</v>
      </c>
      <c r="T1562" t="s">
        <v>18666</v>
      </c>
      <c r="U1562" t="s">
        <v>18652</v>
      </c>
      <c r="V1562" s="104">
        <v>45857</v>
      </c>
      <c r="X1562" s="97"/>
      <c r="Y1562" s="75">
        <v>333.51</v>
      </c>
    </row>
    <row r="1563" spans="1:25" x14ac:dyDescent="0.25">
      <c r="A1563" s="76">
        <v>1595</v>
      </c>
      <c r="B1563" s="2" t="s">
        <v>7731</v>
      </c>
      <c r="C1563" s="2" t="s">
        <v>7732</v>
      </c>
      <c r="D1563" s="2" t="s">
        <v>7733</v>
      </c>
      <c r="E1563" s="2" t="s">
        <v>7734</v>
      </c>
      <c r="F1563" s="2" t="s">
        <v>7735</v>
      </c>
      <c r="G1563" s="2" t="s">
        <v>23</v>
      </c>
      <c r="H1563" s="17">
        <v>25</v>
      </c>
      <c r="I1563" s="31">
        <f t="shared" si="156"/>
        <v>25000</v>
      </c>
      <c r="J1563" s="31">
        <f t="shared" si="157"/>
        <v>1750.0000000000002</v>
      </c>
      <c r="K1563" s="44">
        <f t="shared" si="158"/>
        <v>4.794520547945206</v>
      </c>
      <c r="L1563" s="3">
        <f t="shared" si="159"/>
        <v>354.79452054794524</v>
      </c>
      <c r="M1563" s="3">
        <f t="shared" si="160"/>
        <v>21.287671232876715</v>
      </c>
      <c r="N1563" s="67">
        <f t="shared" si="161"/>
        <v>333.50684931506851</v>
      </c>
      <c r="O1563" s="3"/>
      <c r="P1563" s="70" t="s">
        <v>18605</v>
      </c>
      <c r="Q1563" s="2" t="s">
        <v>47</v>
      </c>
      <c r="R1563" s="2" t="s">
        <v>7736</v>
      </c>
      <c r="T1563" t="s">
        <v>18666</v>
      </c>
      <c r="U1563" t="s">
        <v>18652</v>
      </c>
      <c r="V1563" s="104">
        <v>45857</v>
      </c>
      <c r="X1563" s="97"/>
      <c r="Y1563" s="75">
        <v>333.51</v>
      </c>
    </row>
    <row r="1564" spans="1:25" x14ac:dyDescent="0.25">
      <c r="A1564" s="76">
        <v>1596</v>
      </c>
      <c r="B1564" s="2" t="s">
        <v>15232</v>
      </c>
      <c r="C1564" s="2" t="s">
        <v>15233</v>
      </c>
      <c r="D1564" s="2" t="s">
        <v>15234</v>
      </c>
      <c r="E1564" s="2" t="s">
        <v>15235</v>
      </c>
      <c r="F1564" s="2" t="s">
        <v>15236</v>
      </c>
      <c r="G1564" s="2" t="s">
        <v>31</v>
      </c>
      <c r="H1564" s="17">
        <v>25</v>
      </c>
      <c r="I1564" s="31">
        <f t="shared" si="156"/>
        <v>25000</v>
      </c>
      <c r="J1564" s="31">
        <f t="shared" si="157"/>
        <v>1750.0000000000002</v>
      </c>
      <c r="K1564" s="44">
        <f t="shared" si="158"/>
        <v>4.794520547945206</v>
      </c>
      <c r="L1564" s="3">
        <f t="shared" si="159"/>
        <v>354.79452054794524</v>
      </c>
      <c r="M1564" s="3">
        <f t="shared" si="160"/>
        <v>21.287671232876715</v>
      </c>
      <c r="N1564" s="67">
        <f t="shared" si="161"/>
        <v>333.50684931506851</v>
      </c>
      <c r="O1564" s="3"/>
      <c r="P1564" s="70" t="s">
        <v>18605</v>
      </c>
      <c r="Q1564" s="2" t="s">
        <v>47</v>
      </c>
      <c r="R1564" s="2" t="s">
        <v>15237</v>
      </c>
      <c r="T1564" t="s">
        <v>18666</v>
      </c>
      <c r="U1564" t="s">
        <v>18652</v>
      </c>
      <c r="V1564" s="104">
        <v>45857</v>
      </c>
      <c r="X1564" s="97"/>
      <c r="Y1564" s="75">
        <v>333.51</v>
      </c>
    </row>
    <row r="1565" spans="1:25" x14ac:dyDescent="0.25">
      <c r="A1565" s="76">
        <v>1597</v>
      </c>
      <c r="B1565" s="2" t="s">
        <v>18200</v>
      </c>
      <c r="C1565" s="2" t="s">
        <v>18201</v>
      </c>
      <c r="D1565" s="2" t="s">
        <v>18202</v>
      </c>
      <c r="E1565" s="2" t="s">
        <v>18203</v>
      </c>
      <c r="F1565" s="2" t="s">
        <v>18204</v>
      </c>
      <c r="G1565" s="2" t="s">
        <v>193</v>
      </c>
      <c r="H1565" s="17">
        <v>25</v>
      </c>
      <c r="I1565" s="31">
        <f t="shared" si="156"/>
        <v>25000</v>
      </c>
      <c r="J1565" s="31">
        <f t="shared" si="157"/>
        <v>1750.0000000000002</v>
      </c>
      <c r="K1565" s="44">
        <f t="shared" si="158"/>
        <v>4.794520547945206</v>
      </c>
      <c r="L1565" s="3">
        <f t="shared" si="159"/>
        <v>354.79452054794524</v>
      </c>
      <c r="M1565" s="3">
        <f t="shared" si="160"/>
        <v>21.287671232876715</v>
      </c>
      <c r="N1565" s="67">
        <f t="shared" si="161"/>
        <v>333.50684931506851</v>
      </c>
      <c r="O1565" s="3"/>
      <c r="P1565" s="70" t="s">
        <v>18605</v>
      </c>
      <c r="Q1565" s="2" t="s">
        <v>47</v>
      </c>
      <c r="R1565" s="2" t="s">
        <v>18205</v>
      </c>
      <c r="T1565" t="s">
        <v>18666</v>
      </c>
      <c r="U1565" t="s">
        <v>18652</v>
      </c>
      <c r="V1565" s="104">
        <v>45857</v>
      </c>
      <c r="X1565" s="97"/>
      <c r="Y1565" s="75">
        <v>333.51</v>
      </c>
    </row>
    <row r="1566" spans="1:25" x14ac:dyDescent="0.25">
      <c r="A1566" s="76">
        <v>1598</v>
      </c>
      <c r="B1566" s="2" t="s">
        <v>861</v>
      </c>
      <c r="C1566" s="2" t="s">
        <v>862</v>
      </c>
      <c r="D1566" s="2" t="s">
        <v>863</v>
      </c>
      <c r="E1566" s="2" t="s">
        <v>864</v>
      </c>
      <c r="F1566" s="2" t="s">
        <v>865</v>
      </c>
      <c r="G1566" s="2" t="s">
        <v>186</v>
      </c>
      <c r="H1566" s="17">
        <v>25</v>
      </c>
      <c r="I1566" s="31">
        <f t="shared" si="156"/>
        <v>25000</v>
      </c>
      <c r="J1566" s="31">
        <f t="shared" si="157"/>
        <v>1750.0000000000002</v>
      </c>
      <c r="K1566" s="44">
        <f t="shared" si="158"/>
        <v>4.794520547945206</v>
      </c>
      <c r="L1566" s="3">
        <f t="shared" si="159"/>
        <v>354.79452054794524</v>
      </c>
      <c r="M1566" s="3">
        <f t="shared" si="160"/>
        <v>21.287671232876715</v>
      </c>
      <c r="N1566" s="67">
        <f t="shared" si="161"/>
        <v>333.50684931506851</v>
      </c>
      <c r="O1566" s="3"/>
      <c r="P1566" s="70" t="s">
        <v>18605</v>
      </c>
      <c r="Q1566" s="2" t="s">
        <v>47</v>
      </c>
      <c r="R1566" s="2" t="s">
        <v>866</v>
      </c>
      <c r="T1566" t="s">
        <v>18666</v>
      </c>
      <c r="U1566" t="s">
        <v>18652</v>
      </c>
      <c r="V1566" s="104">
        <v>45857</v>
      </c>
      <c r="X1566" s="97"/>
      <c r="Y1566" s="75">
        <v>333.51</v>
      </c>
    </row>
    <row r="1567" spans="1:25" x14ac:dyDescent="0.25">
      <c r="A1567" s="76">
        <v>1599</v>
      </c>
      <c r="B1567" s="2" t="s">
        <v>7519</v>
      </c>
      <c r="C1567" s="2" t="s">
        <v>7520</v>
      </c>
      <c r="D1567" s="2" t="s">
        <v>7521</v>
      </c>
      <c r="E1567" s="2" t="s">
        <v>7522</v>
      </c>
      <c r="F1567" s="2" t="s">
        <v>7523</v>
      </c>
      <c r="G1567" s="2" t="s">
        <v>31</v>
      </c>
      <c r="H1567" s="17">
        <v>1000</v>
      </c>
      <c r="I1567" s="31">
        <f t="shared" si="156"/>
        <v>1000000</v>
      </c>
      <c r="J1567" s="31">
        <f t="shared" si="157"/>
        <v>70000</v>
      </c>
      <c r="K1567" s="44">
        <f t="shared" si="158"/>
        <v>191.78082191780823</v>
      </c>
      <c r="L1567" s="3">
        <f t="shared" si="159"/>
        <v>14191.780821917808</v>
      </c>
      <c r="M1567" s="3">
        <f t="shared" si="160"/>
        <v>851.50684931506839</v>
      </c>
      <c r="N1567" s="67">
        <f t="shared" si="161"/>
        <v>13340.273972602739</v>
      </c>
      <c r="O1567" s="3"/>
      <c r="P1567" s="70" t="s">
        <v>18605</v>
      </c>
      <c r="Q1567" s="2" t="s">
        <v>47</v>
      </c>
      <c r="R1567" s="2" t="s">
        <v>7524</v>
      </c>
      <c r="T1567" t="s">
        <v>18666</v>
      </c>
      <c r="U1567" t="s">
        <v>18652</v>
      </c>
      <c r="V1567" s="104">
        <v>45857</v>
      </c>
      <c r="X1567" s="97"/>
      <c r="Y1567" s="75">
        <v>13340.28</v>
      </c>
    </row>
    <row r="1568" spans="1:25" x14ac:dyDescent="0.25">
      <c r="A1568" s="76">
        <v>1600</v>
      </c>
      <c r="B1568" s="2" t="s">
        <v>3660</v>
      </c>
      <c r="C1568" s="2" t="s">
        <v>3661</v>
      </c>
      <c r="D1568" s="2" t="s">
        <v>3662</v>
      </c>
      <c r="E1568" s="2" t="s">
        <v>3663</v>
      </c>
      <c r="F1568" s="2" t="s">
        <v>3664</v>
      </c>
      <c r="G1568" s="2" t="s">
        <v>39</v>
      </c>
      <c r="H1568" s="17">
        <v>25</v>
      </c>
      <c r="I1568" s="31">
        <f t="shared" si="156"/>
        <v>25000</v>
      </c>
      <c r="J1568" s="31">
        <f t="shared" si="157"/>
        <v>1750.0000000000002</v>
      </c>
      <c r="K1568" s="44">
        <f t="shared" si="158"/>
        <v>4.794520547945206</v>
      </c>
      <c r="L1568" s="3">
        <f t="shared" si="159"/>
        <v>354.79452054794524</v>
      </c>
      <c r="M1568" s="3">
        <f t="shared" si="160"/>
        <v>21.287671232876715</v>
      </c>
      <c r="N1568" s="67">
        <f t="shared" si="161"/>
        <v>333.50684931506851</v>
      </c>
      <c r="O1568" s="3"/>
      <c r="P1568" s="70" t="s">
        <v>18605</v>
      </c>
      <c r="Q1568" s="2" t="s">
        <v>47</v>
      </c>
      <c r="R1568" s="2" t="s">
        <v>3665</v>
      </c>
      <c r="T1568" t="s">
        <v>18666</v>
      </c>
      <c r="U1568" t="s">
        <v>18652</v>
      </c>
      <c r="V1568" s="104">
        <v>45857</v>
      </c>
      <c r="X1568" s="97"/>
      <c r="Y1568" s="75">
        <v>333.51</v>
      </c>
    </row>
    <row r="1569" spans="1:25" x14ac:dyDescent="0.25">
      <c r="A1569" s="76">
        <v>1601</v>
      </c>
      <c r="B1569" s="2" t="s">
        <v>17074</v>
      </c>
      <c r="C1569" s="2" t="s">
        <v>17075</v>
      </c>
      <c r="D1569" s="2" t="s">
        <v>17076</v>
      </c>
      <c r="E1569" s="2" t="s">
        <v>17077</v>
      </c>
      <c r="F1569" s="2" t="s">
        <v>17078</v>
      </c>
      <c r="G1569" s="2" t="s">
        <v>261</v>
      </c>
      <c r="H1569" s="17">
        <v>100</v>
      </c>
      <c r="I1569" s="31">
        <f t="shared" si="156"/>
        <v>100000</v>
      </c>
      <c r="J1569" s="31">
        <f t="shared" si="157"/>
        <v>7000.0000000000009</v>
      </c>
      <c r="K1569" s="44">
        <f t="shared" si="158"/>
        <v>19.178082191780824</v>
      </c>
      <c r="L1569" s="3">
        <f t="shared" si="159"/>
        <v>1419.178082191781</v>
      </c>
      <c r="M1569" s="3">
        <f t="shared" si="160"/>
        <v>85.150684931506859</v>
      </c>
      <c r="N1569" s="67">
        <f t="shared" si="161"/>
        <v>1334.027397260274</v>
      </c>
      <c r="O1569" s="3"/>
      <c r="P1569" s="70" t="s">
        <v>18605</v>
      </c>
      <c r="Q1569" s="2" t="s">
        <v>47</v>
      </c>
      <c r="R1569" s="2" t="s">
        <v>17079</v>
      </c>
      <c r="T1569" t="s">
        <v>18666</v>
      </c>
      <c r="U1569" t="s">
        <v>18652</v>
      </c>
      <c r="V1569" s="104">
        <v>45857</v>
      </c>
      <c r="X1569" s="97"/>
      <c r="Y1569" s="75">
        <v>1334.03</v>
      </c>
    </row>
    <row r="1570" spans="1:25" x14ac:dyDescent="0.25">
      <c r="A1570" s="76">
        <v>1602</v>
      </c>
      <c r="B1570" s="2" t="s">
        <v>10359</v>
      </c>
      <c r="C1570" s="2" t="s">
        <v>10360</v>
      </c>
      <c r="D1570" s="2" t="s">
        <v>10361</v>
      </c>
      <c r="E1570" s="2" t="s">
        <v>10362</v>
      </c>
      <c r="F1570" s="2" t="s">
        <v>10363</v>
      </c>
      <c r="G1570" s="2" t="s">
        <v>31</v>
      </c>
      <c r="H1570" s="17">
        <v>1000</v>
      </c>
      <c r="I1570" s="31">
        <f t="shared" si="156"/>
        <v>1000000</v>
      </c>
      <c r="J1570" s="31">
        <f t="shared" si="157"/>
        <v>70000</v>
      </c>
      <c r="K1570" s="44">
        <f t="shared" si="158"/>
        <v>191.78082191780823</v>
      </c>
      <c r="L1570" s="3">
        <f t="shared" si="159"/>
        <v>14191.780821917808</v>
      </c>
      <c r="M1570" s="3">
        <f t="shared" si="160"/>
        <v>851.50684931506839</v>
      </c>
      <c r="N1570" s="67">
        <f t="shared" si="161"/>
        <v>13340.273972602739</v>
      </c>
      <c r="O1570" s="3"/>
      <c r="P1570" s="70" t="s">
        <v>18605</v>
      </c>
      <c r="Q1570" s="2" t="s">
        <v>47</v>
      </c>
      <c r="R1570" s="2" t="s">
        <v>10364</v>
      </c>
      <c r="T1570" t="s">
        <v>18666</v>
      </c>
      <c r="U1570" t="s">
        <v>18652</v>
      </c>
      <c r="V1570" s="104">
        <v>45857</v>
      </c>
      <c r="X1570" s="97"/>
      <c r="Y1570" s="75">
        <v>13340.28</v>
      </c>
    </row>
    <row r="1571" spans="1:25" x14ac:dyDescent="0.25">
      <c r="A1571" s="76">
        <v>1603</v>
      </c>
      <c r="B1571" s="2" t="s">
        <v>42</v>
      </c>
      <c r="C1571" s="2" t="s">
        <v>43</v>
      </c>
      <c r="D1571" s="2" t="s">
        <v>44</v>
      </c>
      <c r="E1571" s="2" t="s">
        <v>45</v>
      </c>
      <c r="F1571" s="2" t="s">
        <v>46</v>
      </c>
      <c r="G1571" s="2" t="s">
        <v>31</v>
      </c>
      <c r="H1571" s="17">
        <v>500</v>
      </c>
      <c r="I1571" s="31">
        <f t="shared" si="156"/>
        <v>500000</v>
      </c>
      <c r="J1571" s="31">
        <f t="shared" si="157"/>
        <v>35000</v>
      </c>
      <c r="K1571" s="44">
        <f t="shared" si="158"/>
        <v>95.890410958904113</v>
      </c>
      <c r="L1571" s="3">
        <f t="shared" si="159"/>
        <v>7095.8904109589039</v>
      </c>
      <c r="M1571" s="3">
        <f t="shared" si="160"/>
        <v>425.7534246575342</v>
      </c>
      <c r="N1571" s="67">
        <f t="shared" si="161"/>
        <v>6670.1369863013697</v>
      </c>
      <c r="O1571" s="3"/>
      <c r="P1571" s="70" t="s">
        <v>18605</v>
      </c>
      <c r="Q1571" s="2" t="s">
        <v>47</v>
      </c>
      <c r="R1571" s="2" t="s">
        <v>48</v>
      </c>
      <c r="T1571" t="s">
        <v>18666</v>
      </c>
      <c r="U1571" t="s">
        <v>18652</v>
      </c>
      <c r="V1571" s="104">
        <v>45857</v>
      </c>
      <c r="X1571" s="97"/>
      <c r="Y1571" s="75">
        <v>6670.14</v>
      </c>
    </row>
    <row r="1572" spans="1:25" x14ac:dyDescent="0.25">
      <c r="A1572" s="76">
        <v>1604</v>
      </c>
      <c r="B1572" s="2" t="s">
        <v>4733</v>
      </c>
      <c r="C1572" s="2" t="s">
        <v>4734</v>
      </c>
      <c r="D1572" s="2" t="s">
        <v>4735</v>
      </c>
      <c r="E1572" s="2" t="s">
        <v>4736</v>
      </c>
      <c r="F1572" s="2" t="s">
        <v>4737</v>
      </c>
      <c r="G1572" s="2" t="s">
        <v>31</v>
      </c>
      <c r="H1572" s="17">
        <v>75</v>
      </c>
      <c r="I1572" s="31">
        <f t="shared" si="156"/>
        <v>75000</v>
      </c>
      <c r="J1572" s="31">
        <f t="shared" si="157"/>
        <v>5250.0000000000009</v>
      </c>
      <c r="K1572" s="44">
        <f t="shared" si="158"/>
        <v>14.38356164383562</v>
      </c>
      <c r="L1572" s="3">
        <f t="shared" si="159"/>
        <v>1064.3835616438359</v>
      </c>
      <c r="M1572" s="3">
        <f t="shared" si="160"/>
        <v>63.863013698630155</v>
      </c>
      <c r="N1572" s="67">
        <f t="shared" si="161"/>
        <v>1000.5205479452057</v>
      </c>
      <c r="O1572" s="3"/>
      <c r="P1572" s="70" t="s">
        <v>18605</v>
      </c>
      <c r="Q1572" s="2" t="s">
        <v>47</v>
      </c>
      <c r="R1572" s="2" t="s">
        <v>4738</v>
      </c>
      <c r="T1572" t="s">
        <v>18666</v>
      </c>
      <c r="U1572" t="s">
        <v>18652</v>
      </c>
      <c r="V1572" s="104">
        <v>45857</v>
      </c>
      <c r="X1572" s="97"/>
      <c r="Y1572" s="75">
        <v>1000.53</v>
      </c>
    </row>
    <row r="1573" spans="1:25" x14ac:dyDescent="0.25">
      <c r="A1573" s="76">
        <v>1605</v>
      </c>
      <c r="B1573" s="2" t="s">
        <v>6413</v>
      </c>
      <c r="C1573" s="2" t="s">
        <v>6414</v>
      </c>
      <c r="D1573" s="2" t="s">
        <v>6415</v>
      </c>
      <c r="E1573" s="2" t="s">
        <v>6416</v>
      </c>
      <c r="F1573" s="2" t="s">
        <v>6417</v>
      </c>
      <c r="G1573" s="2" t="s">
        <v>23</v>
      </c>
      <c r="H1573" s="17">
        <v>25</v>
      </c>
      <c r="I1573" s="31">
        <f t="shared" si="156"/>
        <v>25000</v>
      </c>
      <c r="J1573" s="31">
        <f t="shared" si="157"/>
        <v>1750.0000000000002</v>
      </c>
      <c r="K1573" s="44">
        <f t="shared" si="158"/>
        <v>4.794520547945206</v>
      </c>
      <c r="L1573" s="3">
        <f t="shared" si="159"/>
        <v>354.79452054794524</v>
      </c>
      <c r="M1573" s="3">
        <f t="shared" si="160"/>
        <v>21.287671232876715</v>
      </c>
      <c r="N1573" s="67">
        <f t="shared" si="161"/>
        <v>333.50684931506851</v>
      </c>
      <c r="O1573" s="3"/>
      <c r="P1573" s="70" t="s">
        <v>18605</v>
      </c>
      <c r="Q1573" s="2" t="s">
        <v>47</v>
      </c>
      <c r="R1573" s="2" t="s">
        <v>6418</v>
      </c>
      <c r="T1573" t="s">
        <v>18666</v>
      </c>
      <c r="U1573" t="s">
        <v>18652</v>
      </c>
      <c r="V1573" s="104">
        <v>45857</v>
      </c>
      <c r="X1573" s="97"/>
      <c r="Y1573" s="75">
        <v>333.51</v>
      </c>
    </row>
    <row r="1574" spans="1:25" x14ac:dyDescent="0.25">
      <c r="A1574" s="76">
        <v>1606</v>
      </c>
      <c r="B1574" s="2" t="s">
        <v>18217</v>
      </c>
      <c r="C1574" s="2" t="s">
        <v>18218</v>
      </c>
      <c r="D1574" s="2" t="s">
        <v>18219</v>
      </c>
      <c r="E1574" s="2" t="s">
        <v>18220</v>
      </c>
      <c r="F1574" s="2" t="s">
        <v>18204</v>
      </c>
      <c r="G1574" s="2" t="s">
        <v>193</v>
      </c>
      <c r="H1574" s="17">
        <v>25</v>
      </c>
      <c r="I1574" s="31">
        <f t="shared" si="156"/>
        <v>25000</v>
      </c>
      <c r="J1574" s="31">
        <f t="shared" si="157"/>
        <v>1750.0000000000002</v>
      </c>
      <c r="K1574" s="44">
        <f t="shared" si="158"/>
        <v>4.794520547945206</v>
      </c>
      <c r="L1574" s="3">
        <f t="shared" si="159"/>
        <v>354.79452054794524</v>
      </c>
      <c r="M1574" s="3">
        <f t="shared" si="160"/>
        <v>21.287671232876715</v>
      </c>
      <c r="N1574" s="67">
        <f t="shared" si="161"/>
        <v>333.50684931506851</v>
      </c>
      <c r="O1574" s="3"/>
      <c r="P1574" s="70" t="s">
        <v>18605</v>
      </c>
      <c r="Q1574" s="2" t="s">
        <v>47</v>
      </c>
      <c r="R1574" s="2" t="s">
        <v>18221</v>
      </c>
      <c r="T1574" t="s">
        <v>18666</v>
      </c>
      <c r="U1574" t="s">
        <v>18652</v>
      </c>
      <c r="V1574" s="104">
        <v>45857</v>
      </c>
      <c r="X1574" s="97"/>
      <c r="Y1574" s="75">
        <v>333.51</v>
      </c>
    </row>
    <row r="1575" spans="1:25" x14ac:dyDescent="0.25">
      <c r="A1575" s="76">
        <v>1607</v>
      </c>
      <c r="B1575" s="2" t="s">
        <v>16101</v>
      </c>
      <c r="C1575" s="2" t="s">
        <v>16102</v>
      </c>
      <c r="D1575" s="2" t="s">
        <v>16103</v>
      </c>
      <c r="E1575" s="2" t="s">
        <v>16104</v>
      </c>
      <c r="F1575" s="2" t="s">
        <v>16105</v>
      </c>
      <c r="G1575" s="2" t="s">
        <v>2571</v>
      </c>
      <c r="H1575" s="17">
        <v>30</v>
      </c>
      <c r="I1575" s="31">
        <f t="shared" si="156"/>
        <v>30000</v>
      </c>
      <c r="J1575" s="31">
        <f t="shared" si="157"/>
        <v>2100</v>
      </c>
      <c r="K1575" s="44">
        <f t="shared" si="158"/>
        <v>5.7534246575342465</v>
      </c>
      <c r="L1575" s="3">
        <f t="shared" si="159"/>
        <v>425.75342465753425</v>
      </c>
      <c r="M1575" s="3">
        <f t="shared" si="160"/>
        <v>25.545205479452054</v>
      </c>
      <c r="N1575" s="67">
        <f t="shared" si="161"/>
        <v>400.20821917808217</v>
      </c>
      <c r="O1575" s="3"/>
      <c r="P1575" s="70" t="s">
        <v>18605</v>
      </c>
      <c r="Q1575" s="2" t="s">
        <v>47</v>
      </c>
      <c r="R1575" s="2" t="s">
        <v>16106</v>
      </c>
      <c r="T1575" t="s">
        <v>18666</v>
      </c>
      <c r="U1575" t="s">
        <v>18652</v>
      </c>
      <c r="V1575" s="104">
        <v>45857</v>
      </c>
      <c r="X1575" s="97"/>
      <c r="Y1575" s="75">
        <v>400.21</v>
      </c>
    </row>
    <row r="1576" spans="1:25" x14ac:dyDescent="0.25">
      <c r="A1576" s="76">
        <v>1608</v>
      </c>
      <c r="B1576" s="2" t="s">
        <v>17593</v>
      </c>
      <c r="C1576" s="2" t="s">
        <v>17594</v>
      </c>
      <c r="D1576" s="2" t="s">
        <v>17595</v>
      </c>
      <c r="E1576" s="2" t="s">
        <v>17596</v>
      </c>
      <c r="F1576" s="2" t="s">
        <v>17597</v>
      </c>
      <c r="G1576" s="2" t="s">
        <v>193</v>
      </c>
      <c r="H1576" s="17">
        <v>25</v>
      </c>
      <c r="I1576" s="31">
        <f t="shared" si="156"/>
        <v>25000</v>
      </c>
      <c r="J1576" s="31">
        <f t="shared" si="157"/>
        <v>1750.0000000000002</v>
      </c>
      <c r="K1576" s="44">
        <f t="shared" si="158"/>
        <v>4.794520547945206</v>
      </c>
      <c r="L1576" s="3">
        <f t="shared" si="159"/>
        <v>354.79452054794524</v>
      </c>
      <c r="M1576" s="3">
        <f t="shared" si="160"/>
        <v>21.287671232876715</v>
      </c>
      <c r="N1576" s="67">
        <f t="shared" si="161"/>
        <v>333.50684931506851</v>
      </c>
      <c r="O1576" s="3"/>
      <c r="P1576" s="70" t="s">
        <v>18605</v>
      </c>
      <c r="Q1576" s="2" t="s">
        <v>47</v>
      </c>
      <c r="R1576" s="2" t="s">
        <v>17598</v>
      </c>
      <c r="T1576" t="s">
        <v>18666</v>
      </c>
      <c r="U1576" t="s">
        <v>18652</v>
      </c>
      <c r="V1576" s="104">
        <v>45857</v>
      </c>
      <c r="X1576" s="97"/>
      <c r="Y1576" s="75">
        <v>333.51</v>
      </c>
    </row>
    <row r="1577" spans="1:25" x14ac:dyDescent="0.25">
      <c r="A1577" s="76">
        <v>1609</v>
      </c>
      <c r="B1577" s="2" t="s">
        <v>2722</v>
      </c>
      <c r="C1577" s="2" t="s">
        <v>2723</v>
      </c>
      <c r="D1577" s="2" t="s">
        <v>2724</v>
      </c>
      <c r="E1577" s="2" t="s">
        <v>2725</v>
      </c>
      <c r="F1577" s="2" t="s">
        <v>2726</v>
      </c>
      <c r="G1577" s="2" t="s">
        <v>158</v>
      </c>
      <c r="H1577" s="17">
        <v>25</v>
      </c>
      <c r="I1577" s="31">
        <f t="shared" si="156"/>
        <v>25000</v>
      </c>
      <c r="J1577" s="31">
        <f t="shared" si="157"/>
        <v>1750.0000000000002</v>
      </c>
      <c r="K1577" s="44">
        <f t="shared" si="158"/>
        <v>4.794520547945206</v>
      </c>
      <c r="L1577" s="3">
        <f t="shared" si="159"/>
        <v>354.79452054794524</v>
      </c>
      <c r="M1577" s="3">
        <f t="shared" si="160"/>
        <v>21.287671232876715</v>
      </c>
      <c r="N1577" s="67">
        <f t="shared" si="161"/>
        <v>333.50684931506851</v>
      </c>
      <c r="O1577" s="3"/>
      <c r="P1577" s="70" t="s">
        <v>18605</v>
      </c>
      <c r="Q1577" s="2" t="s">
        <v>47</v>
      </c>
      <c r="R1577" s="2" t="s">
        <v>2727</v>
      </c>
      <c r="T1577" t="s">
        <v>18666</v>
      </c>
      <c r="U1577" t="s">
        <v>18652</v>
      </c>
      <c r="V1577" s="104">
        <v>45857</v>
      </c>
      <c r="X1577" s="97"/>
      <c r="Y1577" s="75">
        <v>333.51</v>
      </c>
    </row>
    <row r="1578" spans="1:25" x14ac:dyDescent="0.25">
      <c r="A1578" s="76">
        <v>1610</v>
      </c>
      <c r="B1578" s="2" t="s">
        <v>7513</v>
      </c>
      <c r="C1578" s="2" t="s">
        <v>7514</v>
      </c>
      <c r="D1578" s="2" t="s">
        <v>7515</v>
      </c>
      <c r="E1578" s="2" t="s">
        <v>7516</v>
      </c>
      <c r="F1578" s="2" t="s">
        <v>7517</v>
      </c>
      <c r="G1578" s="2" t="s">
        <v>643</v>
      </c>
      <c r="H1578" s="17">
        <v>100</v>
      </c>
      <c r="I1578" s="31">
        <f t="shared" si="156"/>
        <v>100000</v>
      </c>
      <c r="J1578" s="31">
        <f t="shared" si="157"/>
        <v>7000.0000000000009</v>
      </c>
      <c r="K1578" s="44">
        <f t="shared" si="158"/>
        <v>19.178082191780824</v>
      </c>
      <c r="L1578" s="3">
        <f t="shared" si="159"/>
        <v>1419.178082191781</v>
      </c>
      <c r="M1578" s="3">
        <f t="shared" si="160"/>
        <v>85.150684931506859</v>
      </c>
      <c r="N1578" s="67">
        <f t="shared" si="161"/>
        <v>1334.027397260274</v>
      </c>
      <c r="O1578" s="3"/>
      <c r="P1578" s="70" t="s">
        <v>18605</v>
      </c>
      <c r="Q1578" s="2" t="s">
        <v>47</v>
      </c>
      <c r="R1578" s="2" t="s">
        <v>7518</v>
      </c>
      <c r="T1578" t="s">
        <v>18666</v>
      </c>
      <c r="U1578" t="s">
        <v>18652</v>
      </c>
      <c r="V1578" s="104">
        <v>45857</v>
      </c>
      <c r="X1578" s="97"/>
      <c r="Y1578" s="75">
        <v>1334.03</v>
      </c>
    </row>
    <row r="1579" spans="1:25" x14ac:dyDescent="0.25">
      <c r="A1579" s="76">
        <v>1611</v>
      </c>
      <c r="B1579" s="2" t="s">
        <v>4240</v>
      </c>
      <c r="C1579" s="2" t="s">
        <v>4241</v>
      </c>
      <c r="D1579" s="2" t="s">
        <v>4242</v>
      </c>
      <c r="E1579" s="2" t="s">
        <v>4243</v>
      </c>
      <c r="F1579" s="2" t="s">
        <v>4244</v>
      </c>
      <c r="G1579" s="2" t="s">
        <v>101</v>
      </c>
      <c r="H1579" s="17">
        <v>25</v>
      </c>
      <c r="I1579" s="31">
        <f t="shared" si="156"/>
        <v>25000</v>
      </c>
      <c r="J1579" s="31">
        <f t="shared" si="157"/>
        <v>1750.0000000000002</v>
      </c>
      <c r="K1579" s="44">
        <f t="shared" si="158"/>
        <v>4.794520547945206</v>
      </c>
      <c r="L1579" s="3">
        <f t="shared" si="159"/>
        <v>354.79452054794524</v>
      </c>
      <c r="M1579" s="3">
        <f t="shared" si="160"/>
        <v>21.287671232876715</v>
      </c>
      <c r="N1579" s="67">
        <f t="shared" si="161"/>
        <v>333.50684931506851</v>
      </c>
      <c r="O1579" s="3"/>
      <c r="P1579" s="70" t="s">
        <v>18605</v>
      </c>
      <c r="Q1579" s="2" t="s">
        <v>47</v>
      </c>
      <c r="R1579" s="2" t="s">
        <v>4245</v>
      </c>
      <c r="T1579" t="s">
        <v>18666</v>
      </c>
      <c r="U1579" t="s">
        <v>18652</v>
      </c>
      <c r="V1579" s="104">
        <v>45857</v>
      </c>
      <c r="X1579" s="97"/>
      <c r="Y1579" s="75">
        <v>333.51</v>
      </c>
    </row>
    <row r="1580" spans="1:25" x14ac:dyDescent="0.25">
      <c r="A1580" s="76">
        <v>1612</v>
      </c>
      <c r="B1580" s="2" t="s">
        <v>11766</v>
      </c>
      <c r="C1580" s="2" t="s">
        <v>11767</v>
      </c>
      <c r="D1580" s="2" t="s">
        <v>11768</v>
      </c>
      <c r="E1580" s="2" t="s">
        <v>11769</v>
      </c>
      <c r="F1580" s="2" t="s">
        <v>11770</v>
      </c>
      <c r="G1580" s="2" t="s">
        <v>23</v>
      </c>
      <c r="H1580" s="17">
        <v>50</v>
      </c>
      <c r="I1580" s="31">
        <f t="shared" si="156"/>
        <v>50000</v>
      </c>
      <c r="J1580" s="31">
        <f t="shared" si="157"/>
        <v>3500.0000000000005</v>
      </c>
      <c r="K1580" s="44">
        <f t="shared" si="158"/>
        <v>9.589041095890412</v>
      </c>
      <c r="L1580" s="3">
        <f t="shared" si="159"/>
        <v>709.58904109589048</v>
      </c>
      <c r="M1580" s="3">
        <f t="shared" si="160"/>
        <v>42.57534246575343</v>
      </c>
      <c r="N1580" s="67">
        <f t="shared" si="161"/>
        <v>667.01369863013701</v>
      </c>
      <c r="O1580" s="3"/>
      <c r="P1580" s="70" t="s">
        <v>18605</v>
      </c>
      <c r="Q1580" s="2" t="s">
        <v>47</v>
      </c>
      <c r="R1580" s="2" t="s">
        <v>11771</v>
      </c>
      <c r="T1580" t="s">
        <v>18666</v>
      </c>
      <c r="U1580" t="s">
        <v>18652</v>
      </c>
      <c r="V1580" s="104">
        <v>45857</v>
      </c>
      <c r="X1580" s="97"/>
      <c r="Y1580" s="75">
        <v>667.02</v>
      </c>
    </row>
    <row r="1581" spans="1:25" x14ac:dyDescent="0.25">
      <c r="A1581" s="76">
        <v>1613</v>
      </c>
      <c r="B1581" s="2" t="s">
        <v>10721</v>
      </c>
      <c r="C1581" s="2" t="s">
        <v>10722</v>
      </c>
      <c r="D1581" s="2" t="s">
        <v>10723</v>
      </c>
      <c r="E1581" s="2" t="s">
        <v>10724</v>
      </c>
      <c r="F1581" s="2" t="s">
        <v>10725</v>
      </c>
      <c r="G1581" s="2" t="s">
        <v>31</v>
      </c>
      <c r="H1581" s="17">
        <v>1000</v>
      </c>
      <c r="I1581" s="31">
        <f t="shared" si="156"/>
        <v>1000000</v>
      </c>
      <c r="J1581" s="31">
        <f t="shared" si="157"/>
        <v>70000</v>
      </c>
      <c r="K1581" s="44">
        <f t="shared" si="158"/>
        <v>191.78082191780823</v>
      </c>
      <c r="L1581" s="3">
        <f t="shared" si="159"/>
        <v>14191.780821917808</v>
      </c>
      <c r="M1581" s="3">
        <f t="shared" si="160"/>
        <v>851.50684931506839</v>
      </c>
      <c r="N1581" s="67">
        <f t="shared" si="161"/>
        <v>13340.273972602739</v>
      </c>
      <c r="O1581" s="3"/>
      <c r="P1581" s="70" t="s">
        <v>18605</v>
      </c>
      <c r="Q1581" s="2" t="s">
        <v>47</v>
      </c>
      <c r="R1581" s="2" t="s">
        <v>10726</v>
      </c>
      <c r="T1581" t="s">
        <v>18666</v>
      </c>
      <c r="U1581" t="s">
        <v>18652</v>
      </c>
      <c r="V1581" s="104">
        <v>45857</v>
      </c>
      <c r="X1581" s="97"/>
      <c r="Y1581" s="75">
        <v>13340.28</v>
      </c>
    </row>
    <row r="1582" spans="1:25" x14ac:dyDescent="0.25">
      <c r="A1582" s="76">
        <v>1614</v>
      </c>
      <c r="B1582" s="2" t="s">
        <v>4564</v>
      </c>
      <c r="C1582" s="2" t="s">
        <v>4565</v>
      </c>
      <c r="D1582" s="2" t="s">
        <v>4566</v>
      </c>
      <c r="E1582" s="2" t="s">
        <v>4567</v>
      </c>
      <c r="F1582" s="2" t="s">
        <v>4568</v>
      </c>
      <c r="G1582" s="2" t="s">
        <v>599</v>
      </c>
      <c r="H1582" s="17">
        <v>25</v>
      </c>
      <c r="I1582" s="31">
        <f t="shared" si="156"/>
        <v>25000</v>
      </c>
      <c r="J1582" s="31">
        <f t="shared" si="157"/>
        <v>1750.0000000000002</v>
      </c>
      <c r="K1582" s="44">
        <f t="shared" si="158"/>
        <v>4.794520547945206</v>
      </c>
      <c r="L1582" s="3">
        <f t="shared" si="159"/>
        <v>354.79452054794524</v>
      </c>
      <c r="M1582" s="3">
        <f t="shared" si="160"/>
        <v>21.287671232876715</v>
      </c>
      <c r="N1582" s="67">
        <f t="shared" si="161"/>
        <v>333.50684931506851</v>
      </c>
      <c r="O1582" s="3"/>
      <c r="P1582" s="70" t="s">
        <v>18605</v>
      </c>
      <c r="Q1582" s="2" t="s">
        <v>47</v>
      </c>
      <c r="R1582" s="2" t="s">
        <v>4569</v>
      </c>
      <c r="T1582" t="s">
        <v>18666</v>
      </c>
      <c r="U1582" t="s">
        <v>18652</v>
      </c>
      <c r="V1582" s="104">
        <v>45857</v>
      </c>
      <c r="X1582" s="97"/>
      <c r="Y1582" s="75">
        <v>333.51</v>
      </c>
    </row>
    <row r="1583" spans="1:25" x14ac:dyDescent="0.25">
      <c r="A1583" s="76">
        <v>1615</v>
      </c>
      <c r="B1583" s="2" t="s">
        <v>3419</v>
      </c>
      <c r="C1583" s="2" t="s">
        <v>3420</v>
      </c>
      <c r="D1583" s="2" t="s">
        <v>3421</v>
      </c>
      <c r="E1583" s="2" t="s">
        <v>3422</v>
      </c>
      <c r="F1583" s="2" t="s">
        <v>3423</v>
      </c>
      <c r="G1583" s="2" t="s">
        <v>2380</v>
      </c>
      <c r="H1583" s="17">
        <v>25</v>
      </c>
      <c r="I1583" s="31">
        <f t="shared" si="156"/>
        <v>25000</v>
      </c>
      <c r="J1583" s="31">
        <f t="shared" si="157"/>
        <v>1750.0000000000002</v>
      </c>
      <c r="K1583" s="44">
        <f t="shared" si="158"/>
        <v>4.794520547945206</v>
      </c>
      <c r="L1583" s="3">
        <f t="shared" si="159"/>
        <v>354.79452054794524</v>
      </c>
      <c r="M1583" s="3">
        <f t="shared" si="160"/>
        <v>21.287671232876715</v>
      </c>
      <c r="N1583" s="67">
        <f t="shared" si="161"/>
        <v>333.50684931506851</v>
      </c>
      <c r="O1583" s="3"/>
      <c r="P1583" s="70" t="s">
        <v>18605</v>
      </c>
      <c r="Q1583" s="2" t="s">
        <v>47</v>
      </c>
      <c r="R1583" s="2" t="s">
        <v>3424</v>
      </c>
      <c r="T1583" t="s">
        <v>18666</v>
      </c>
      <c r="U1583" t="s">
        <v>18652</v>
      </c>
      <c r="V1583" s="104">
        <v>45857</v>
      </c>
      <c r="X1583" s="97"/>
      <c r="Y1583" s="75">
        <v>333.51</v>
      </c>
    </row>
    <row r="1584" spans="1:25" x14ac:dyDescent="0.25">
      <c r="A1584" s="76">
        <v>1616</v>
      </c>
      <c r="B1584" s="2" t="s">
        <v>4552</v>
      </c>
      <c r="C1584" s="2" t="s">
        <v>4553</v>
      </c>
      <c r="D1584" s="2" t="s">
        <v>4554</v>
      </c>
      <c r="E1584" s="2" t="s">
        <v>4555</v>
      </c>
      <c r="F1584" s="2" t="s">
        <v>4556</v>
      </c>
      <c r="G1584" s="2" t="s">
        <v>643</v>
      </c>
      <c r="H1584" s="17">
        <v>25</v>
      </c>
      <c r="I1584" s="31">
        <f t="shared" si="156"/>
        <v>25000</v>
      </c>
      <c r="J1584" s="31">
        <f t="shared" si="157"/>
        <v>1750.0000000000002</v>
      </c>
      <c r="K1584" s="44">
        <f t="shared" si="158"/>
        <v>4.794520547945206</v>
      </c>
      <c r="L1584" s="3">
        <f t="shared" si="159"/>
        <v>354.79452054794524</v>
      </c>
      <c r="M1584" s="3">
        <f t="shared" si="160"/>
        <v>21.287671232876715</v>
      </c>
      <c r="N1584" s="67">
        <f t="shared" si="161"/>
        <v>333.50684931506851</v>
      </c>
      <c r="O1584" s="3"/>
      <c r="P1584" s="70" t="s">
        <v>18605</v>
      </c>
      <c r="Q1584" s="2" t="s">
        <v>47</v>
      </c>
      <c r="R1584" s="2" t="s">
        <v>4557</v>
      </c>
      <c r="T1584" t="s">
        <v>18666</v>
      </c>
      <c r="U1584" t="s">
        <v>18652</v>
      </c>
      <c r="V1584" s="104">
        <v>45857</v>
      </c>
      <c r="X1584" s="97"/>
      <c r="Y1584" s="75">
        <v>333.51</v>
      </c>
    </row>
    <row r="1585" spans="1:25" x14ac:dyDescent="0.25">
      <c r="A1585" s="76">
        <v>1617</v>
      </c>
      <c r="B1585" s="2" t="s">
        <v>13741</v>
      </c>
      <c r="C1585" s="2" t="s">
        <v>13742</v>
      </c>
      <c r="D1585" s="2" t="s">
        <v>13743</v>
      </c>
      <c r="E1585" s="2" t="s">
        <v>13744</v>
      </c>
      <c r="F1585" s="2" t="s">
        <v>13745</v>
      </c>
      <c r="G1585" s="2" t="s">
        <v>1055</v>
      </c>
      <c r="H1585" s="17">
        <v>25</v>
      </c>
      <c r="I1585" s="31">
        <f t="shared" si="156"/>
        <v>25000</v>
      </c>
      <c r="J1585" s="31">
        <f t="shared" si="157"/>
        <v>1750.0000000000002</v>
      </c>
      <c r="K1585" s="44">
        <f t="shared" si="158"/>
        <v>4.794520547945206</v>
      </c>
      <c r="L1585" s="3">
        <f t="shared" si="159"/>
        <v>354.79452054794524</v>
      </c>
      <c r="M1585" s="3">
        <f t="shared" si="160"/>
        <v>21.287671232876715</v>
      </c>
      <c r="N1585" s="67">
        <f t="shared" si="161"/>
        <v>333.50684931506851</v>
      </c>
      <c r="O1585" s="3"/>
      <c r="P1585" s="70" t="s">
        <v>18605</v>
      </c>
      <c r="Q1585" s="2" t="s">
        <v>47</v>
      </c>
      <c r="R1585" s="2" t="s">
        <v>13746</v>
      </c>
      <c r="T1585" t="s">
        <v>18666</v>
      </c>
      <c r="U1585" t="s">
        <v>18652</v>
      </c>
      <c r="V1585" s="104">
        <v>45857</v>
      </c>
      <c r="X1585" s="97"/>
      <c r="Y1585" s="75">
        <v>333.51</v>
      </c>
    </row>
    <row r="1586" spans="1:25" x14ac:dyDescent="0.25">
      <c r="A1586" s="76">
        <v>1618</v>
      </c>
      <c r="B1586" s="2" t="s">
        <v>2566</v>
      </c>
      <c r="C1586" s="2" t="s">
        <v>2567</v>
      </c>
      <c r="D1586" s="2" t="s">
        <v>2568</v>
      </c>
      <c r="E1586" s="2" t="s">
        <v>2569</v>
      </c>
      <c r="F1586" s="2" t="s">
        <v>2570</v>
      </c>
      <c r="G1586" s="2" t="s">
        <v>2571</v>
      </c>
      <c r="H1586" s="17">
        <v>28</v>
      </c>
      <c r="I1586" s="31">
        <f t="shared" si="156"/>
        <v>28000</v>
      </c>
      <c r="J1586" s="31">
        <f t="shared" si="157"/>
        <v>1960.0000000000002</v>
      </c>
      <c r="K1586" s="44">
        <f t="shared" si="158"/>
        <v>5.3698630136986312</v>
      </c>
      <c r="L1586" s="3">
        <f t="shared" si="159"/>
        <v>397.3698630136987</v>
      </c>
      <c r="M1586" s="3">
        <f t="shared" si="160"/>
        <v>23.842191780821921</v>
      </c>
      <c r="N1586" s="67">
        <f t="shared" si="161"/>
        <v>373.5276712328768</v>
      </c>
      <c r="O1586" s="3"/>
      <c r="P1586" s="70" t="s">
        <v>18605</v>
      </c>
      <c r="Q1586" s="2" t="s">
        <v>47</v>
      </c>
      <c r="R1586" s="2" t="s">
        <v>2572</v>
      </c>
      <c r="T1586" t="s">
        <v>18666</v>
      </c>
      <c r="U1586" t="s">
        <v>18652</v>
      </c>
      <c r="V1586" s="104">
        <v>45857</v>
      </c>
      <c r="X1586" s="97"/>
      <c r="Y1586" s="75">
        <v>373.53</v>
      </c>
    </row>
    <row r="1587" spans="1:25" x14ac:dyDescent="0.25">
      <c r="A1587" s="76">
        <v>1619</v>
      </c>
      <c r="B1587" s="2" t="s">
        <v>8759</v>
      </c>
      <c r="C1587" s="2" t="s">
        <v>8760</v>
      </c>
      <c r="D1587" s="2" t="s">
        <v>8761</v>
      </c>
      <c r="E1587" s="2" t="s">
        <v>8762</v>
      </c>
      <c r="F1587" s="2" t="s">
        <v>8763</v>
      </c>
      <c r="G1587" s="2" t="s">
        <v>31</v>
      </c>
      <c r="H1587" s="17">
        <v>175</v>
      </c>
      <c r="I1587" s="31">
        <f t="shared" si="156"/>
        <v>175000</v>
      </c>
      <c r="J1587" s="31">
        <f t="shared" si="157"/>
        <v>12250.000000000002</v>
      </c>
      <c r="K1587" s="44">
        <f t="shared" si="158"/>
        <v>33.561643835616444</v>
      </c>
      <c r="L1587" s="3">
        <f t="shared" si="159"/>
        <v>2483.5616438356169</v>
      </c>
      <c r="M1587" s="3">
        <f t="shared" si="160"/>
        <v>149.01369863013701</v>
      </c>
      <c r="N1587" s="67">
        <f t="shared" si="161"/>
        <v>2334.5479452054797</v>
      </c>
      <c r="O1587" s="3"/>
      <c r="P1587" s="70" t="s">
        <v>18605</v>
      </c>
      <c r="Q1587" s="2" t="s">
        <v>47</v>
      </c>
      <c r="R1587" s="2" t="s">
        <v>8764</v>
      </c>
      <c r="T1587" t="s">
        <v>18666</v>
      </c>
      <c r="U1587" t="s">
        <v>18652</v>
      </c>
      <c r="V1587" s="104">
        <v>45857</v>
      </c>
      <c r="X1587" s="97"/>
      <c r="Y1587" s="75">
        <v>2334.5500000000002</v>
      </c>
    </row>
    <row r="1588" spans="1:25" x14ac:dyDescent="0.25">
      <c r="A1588" s="76">
        <v>1620</v>
      </c>
      <c r="B1588" s="2" t="s">
        <v>10541</v>
      </c>
      <c r="C1588" s="2" t="s">
        <v>10542</v>
      </c>
      <c r="D1588" s="2" t="s">
        <v>10543</v>
      </c>
      <c r="E1588" s="2" t="s">
        <v>10544</v>
      </c>
      <c r="F1588" s="2" t="s">
        <v>10545</v>
      </c>
      <c r="G1588" s="2" t="s">
        <v>10199</v>
      </c>
      <c r="H1588" s="17">
        <v>100</v>
      </c>
      <c r="I1588" s="31">
        <f t="shared" si="156"/>
        <v>100000</v>
      </c>
      <c r="J1588" s="31">
        <f t="shared" si="157"/>
        <v>7000.0000000000009</v>
      </c>
      <c r="K1588" s="44">
        <f t="shared" si="158"/>
        <v>19.178082191780824</v>
      </c>
      <c r="L1588" s="3">
        <f t="shared" si="159"/>
        <v>1419.178082191781</v>
      </c>
      <c r="M1588" s="3">
        <f t="shared" si="160"/>
        <v>85.150684931506859</v>
      </c>
      <c r="N1588" s="67">
        <f t="shared" si="161"/>
        <v>1334.027397260274</v>
      </c>
      <c r="O1588" s="3"/>
      <c r="P1588" s="70" t="s">
        <v>18605</v>
      </c>
      <c r="Q1588" s="2" t="s">
        <v>47</v>
      </c>
      <c r="R1588" s="2" t="s">
        <v>10546</v>
      </c>
      <c r="T1588" t="s">
        <v>18666</v>
      </c>
      <c r="U1588" t="s">
        <v>18652</v>
      </c>
      <c r="V1588" s="104">
        <v>45857</v>
      </c>
      <c r="X1588" s="97"/>
      <c r="Y1588" s="75">
        <v>1334.03</v>
      </c>
    </row>
    <row r="1589" spans="1:25" x14ac:dyDescent="0.25">
      <c r="A1589" s="76">
        <v>1621</v>
      </c>
      <c r="B1589" s="2" t="s">
        <v>1395</v>
      </c>
      <c r="C1589" s="2" t="s">
        <v>1396</v>
      </c>
      <c r="D1589" s="2" t="s">
        <v>1397</v>
      </c>
      <c r="E1589" s="2" t="s">
        <v>1398</v>
      </c>
      <c r="F1589" s="2" t="s">
        <v>1399</v>
      </c>
      <c r="G1589" s="2" t="s">
        <v>381</v>
      </c>
      <c r="H1589" s="17">
        <v>280</v>
      </c>
      <c r="I1589" s="31">
        <f t="shared" si="156"/>
        <v>280000</v>
      </c>
      <c r="J1589" s="31">
        <f t="shared" si="157"/>
        <v>19600.000000000004</v>
      </c>
      <c r="K1589" s="44">
        <f t="shared" si="158"/>
        <v>53.69863013698631</v>
      </c>
      <c r="L1589" s="3">
        <f t="shared" si="159"/>
        <v>3973.698630136987</v>
      </c>
      <c r="M1589" s="3">
        <f t="shared" si="160"/>
        <v>238.42191780821921</v>
      </c>
      <c r="N1589" s="67">
        <f t="shared" si="161"/>
        <v>3735.2767123287676</v>
      </c>
      <c r="O1589" s="3"/>
      <c r="P1589" s="70" t="s">
        <v>18605</v>
      </c>
      <c r="Q1589" s="2" t="s">
        <v>47</v>
      </c>
      <c r="R1589" s="2" t="s">
        <v>1400</v>
      </c>
      <c r="T1589" t="s">
        <v>18666</v>
      </c>
      <c r="U1589" t="s">
        <v>18652</v>
      </c>
      <c r="V1589" s="104">
        <v>45857</v>
      </c>
      <c r="X1589" s="97"/>
      <c r="Y1589" s="75">
        <v>3735.28</v>
      </c>
    </row>
    <row r="1590" spans="1:25" x14ac:dyDescent="0.25">
      <c r="A1590" s="76">
        <v>1622</v>
      </c>
      <c r="B1590" s="2" t="s">
        <v>14037</v>
      </c>
      <c r="C1590" s="2" t="s">
        <v>14038</v>
      </c>
      <c r="D1590" s="2" t="s">
        <v>1867</v>
      </c>
      <c r="E1590" s="2" t="s">
        <v>14039</v>
      </c>
      <c r="F1590" s="2" t="s">
        <v>14040</v>
      </c>
      <c r="G1590" s="2" t="s">
        <v>618</v>
      </c>
      <c r="H1590" s="17">
        <v>110</v>
      </c>
      <c r="I1590" s="31">
        <f t="shared" si="156"/>
        <v>110000</v>
      </c>
      <c r="J1590" s="31">
        <f t="shared" si="157"/>
        <v>7700.0000000000009</v>
      </c>
      <c r="K1590" s="44">
        <f t="shared" si="158"/>
        <v>21.095890410958905</v>
      </c>
      <c r="L1590" s="3">
        <f t="shared" si="159"/>
        <v>1561.0958904109589</v>
      </c>
      <c r="M1590" s="3">
        <f t="shared" si="160"/>
        <v>93.665753424657524</v>
      </c>
      <c r="N1590" s="67">
        <f t="shared" si="161"/>
        <v>1467.4301369863012</v>
      </c>
      <c r="O1590" s="3"/>
      <c r="P1590" s="70" t="s">
        <v>18605</v>
      </c>
      <c r="Q1590" s="2" t="s">
        <v>47</v>
      </c>
      <c r="R1590" s="2" t="s">
        <v>14041</v>
      </c>
      <c r="T1590" t="s">
        <v>18666</v>
      </c>
      <c r="U1590" t="s">
        <v>18652</v>
      </c>
      <c r="V1590" s="104">
        <v>45857</v>
      </c>
      <c r="X1590" s="97"/>
      <c r="Y1590" s="75">
        <v>1467.44</v>
      </c>
    </row>
    <row r="1591" spans="1:25" x14ac:dyDescent="0.25">
      <c r="A1591" s="76">
        <v>1623</v>
      </c>
      <c r="B1591" s="2" t="s">
        <v>10898</v>
      </c>
      <c r="C1591" s="2" t="s">
        <v>10899</v>
      </c>
      <c r="D1591" s="2" t="s">
        <v>10900</v>
      </c>
      <c r="E1591" s="2" t="s">
        <v>10901</v>
      </c>
      <c r="F1591" s="2" t="s">
        <v>10902</v>
      </c>
      <c r="G1591" s="2" t="s">
        <v>39</v>
      </c>
      <c r="H1591" s="17">
        <v>25</v>
      </c>
      <c r="I1591" s="31">
        <f t="shared" si="156"/>
        <v>25000</v>
      </c>
      <c r="J1591" s="31">
        <f t="shared" si="157"/>
        <v>1750.0000000000002</v>
      </c>
      <c r="K1591" s="44">
        <f t="shared" si="158"/>
        <v>4.794520547945206</v>
      </c>
      <c r="L1591" s="3">
        <f t="shared" si="159"/>
        <v>354.79452054794524</v>
      </c>
      <c r="M1591" s="3">
        <f t="shared" si="160"/>
        <v>21.287671232876715</v>
      </c>
      <c r="N1591" s="67">
        <f t="shared" si="161"/>
        <v>333.50684931506851</v>
      </c>
      <c r="O1591" s="3"/>
      <c r="P1591" s="70" t="s">
        <v>18605</v>
      </c>
      <c r="Q1591" s="2" t="s">
        <v>47</v>
      </c>
      <c r="R1591" s="2" t="s">
        <v>10903</v>
      </c>
      <c r="T1591" t="s">
        <v>18666</v>
      </c>
      <c r="U1591" t="s">
        <v>18652</v>
      </c>
      <c r="V1591" s="104">
        <v>45857</v>
      </c>
      <c r="X1591" s="97"/>
      <c r="Y1591" s="75">
        <v>333.51</v>
      </c>
    </row>
    <row r="1592" spans="1:25" x14ac:dyDescent="0.25">
      <c r="A1592" s="76">
        <v>1624</v>
      </c>
      <c r="B1592" s="2" t="s">
        <v>14406</v>
      </c>
      <c r="C1592" s="2" t="s">
        <v>14407</v>
      </c>
      <c r="D1592" s="2" t="s">
        <v>14408</v>
      </c>
      <c r="E1592" s="2" t="s">
        <v>14409</v>
      </c>
      <c r="F1592" s="2" t="s">
        <v>14410</v>
      </c>
      <c r="G1592" s="2" t="s">
        <v>31</v>
      </c>
      <c r="H1592" s="17">
        <v>25</v>
      </c>
      <c r="I1592" s="31">
        <f t="shared" si="156"/>
        <v>25000</v>
      </c>
      <c r="J1592" s="31">
        <f t="shared" si="157"/>
        <v>1750.0000000000002</v>
      </c>
      <c r="K1592" s="44">
        <f t="shared" si="158"/>
        <v>4.794520547945206</v>
      </c>
      <c r="L1592" s="3">
        <f t="shared" si="159"/>
        <v>354.79452054794524</v>
      </c>
      <c r="M1592" s="3">
        <f t="shared" si="160"/>
        <v>21.287671232876715</v>
      </c>
      <c r="N1592" s="67">
        <f t="shared" si="161"/>
        <v>333.50684931506851</v>
      </c>
      <c r="O1592" s="3"/>
      <c r="P1592" s="70" t="s">
        <v>18605</v>
      </c>
      <c r="Q1592" s="2" t="s">
        <v>47</v>
      </c>
      <c r="R1592" s="2" t="s">
        <v>14411</v>
      </c>
      <c r="T1592" t="s">
        <v>18666</v>
      </c>
      <c r="U1592" t="s">
        <v>18652</v>
      </c>
      <c r="V1592" s="104">
        <v>45857</v>
      </c>
      <c r="X1592" s="97"/>
      <c r="Y1592" s="75">
        <v>333.51</v>
      </c>
    </row>
    <row r="1593" spans="1:25" x14ac:dyDescent="0.25">
      <c r="A1593" s="76">
        <v>1625</v>
      </c>
      <c r="B1593" s="2" t="s">
        <v>9927</v>
      </c>
      <c r="C1593" s="2" t="s">
        <v>9928</v>
      </c>
      <c r="D1593" s="2" t="s">
        <v>9929</v>
      </c>
      <c r="E1593" s="2" t="s">
        <v>9930</v>
      </c>
      <c r="F1593" s="2" t="s">
        <v>9931</v>
      </c>
      <c r="G1593" s="2" t="s">
        <v>1136</v>
      </c>
      <c r="H1593" s="17">
        <v>50</v>
      </c>
      <c r="I1593" s="31">
        <f t="shared" si="156"/>
        <v>50000</v>
      </c>
      <c r="J1593" s="31">
        <f t="shared" si="157"/>
        <v>3500.0000000000005</v>
      </c>
      <c r="K1593" s="44">
        <f t="shared" si="158"/>
        <v>9.589041095890412</v>
      </c>
      <c r="L1593" s="3">
        <f t="shared" si="159"/>
        <v>709.58904109589048</v>
      </c>
      <c r="M1593" s="3">
        <f t="shared" si="160"/>
        <v>42.57534246575343</v>
      </c>
      <c r="N1593" s="67">
        <f t="shared" si="161"/>
        <v>667.01369863013701</v>
      </c>
      <c r="O1593" s="3"/>
      <c r="P1593" s="70" t="s">
        <v>18605</v>
      </c>
      <c r="Q1593" s="2" t="s">
        <v>47</v>
      </c>
      <c r="R1593" s="2" t="s">
        <v>9932</v>
      </c>
      <c r="T1593" t="s">
        <v>18666</v>
      </c>
      <c r="U1593" t="s">
        <v>18652</v>
      </c>
      <c r="V1593" s="104">
        <v>45857</v>
      </c>
      <c r="X1593" s="97"/>
      <c r="Y1593" s="75">
        <v>667.02</v>
      </c>
    </row>
    <row r="1594" spans="1:25" x14ac:dyDescent="0.25">
      <c r="A1594" s="76">
        <v>1626</v>
      </c>
      <c r="B1594" s="2" t="s">
        <v>5038</v>
      </c>
      <c r="C1594" s="2" t="s">
        <v>5039</v>
      </c>
      <c r="D1594" s="2" t="s">
        <v>5040</v>
      </c>
      <c r="E1594" s="2" t="s">
        <v>5041</v>
      </c>
      <c r="F1594" s="2" t="s">
        <v>5042</v>
      </c>
      <c r="G1594" s="2" t="s">
        <v>23</v>
      </c>
      <c r="H1594" s="17">
        <v>25</v>
      </c>
      <c r="I1594" s="31">
        <f t="shared" si="156"/>
        <v>25000</v>
      </c>
      <c r="J1594" s="31">
        <f t="shared" si="157"/>
        <v>1750.0000000000002</v>
      </c>
      <c r="K1594" s="44">
        <f t="shared" si="158"/>
        <v>4.794520547945206</v>
      </c>
      <c r="L1594" s="3">
        <f t="shared" si="159"/>
        <v>354.79452054794524</v>
      </c>
      <c r="M1594" s="3">
        <f t="shared" si="160"/>
        <v>21.287671232876715</v>
      </c>
      <c r="N1594" s="67">
        <f t="shared" si="161"/>
        <v>333.50684931506851</v>
      </c>
      <c r="O1594" s="3"/>
      <c r="P1594" s="70" t="s">
        <v>18605</v>
      </c>
      <c r="Q1594" s="2" t="s">
        <v>47</v>
      </c>
      <c r="R1594" s="2" t="s">
        <v>5043</v>
      </c>
      <c r="T1594" t="s">
        <v>18666</v>
      </c>
      <c r="U1594" t="s">
        <v>18652</v>
      </c>
      <c r="V1594" s="104">
        <v>45857</v>
      </c>
      <c r="X1594" s="97"/>
      <c r="Y1594" s="75">
        <v>333.51</v>
      </c>
    </row>
    <row r="1595" spans="1:25" x14ac:dyDescent="0.25">
      <c r="A1595" s="76">
        <v>1627</v>
      </c>
      <c r="B1595" s="2" t="s">
        <v>14523</v>
      </c>
      <c r="C1595" s="2" t="s">
        <v>14524</v>
      </c>
      <c r="D1595" s="2" t="s">
        <v>14525</v>
      </c>
      <c r="E1595" s="2" t="s">
        <v>14526</v>
      </c>
      <c r="F1595" s="2" t="s">
        <v>14527</v>
      </c>
      <c r="G1595" s="2" t="s">
        <v>23</v>
      </c>
      <c r="H1595" s="17">
        <v>25</v>
      </c>
      <c r="I1595" s="31">
        <f t="shared" si="156"/>
        <v>25000</v>
      </c>
      <c r="J1595" s="31">
        <f t="shared" si="157"/>
        <v>1750.0000000000002</v>
      </c>
      <c r="K1595" s="44">
        <f t="shared" si="158"/>
        <v>4.794520547945206</v>
      </c>
      <c r="L1595" s="3">
        <f t="shared" si="159"/>
        <v>354.79452054794524</v>
      </c>
      <c r="M1595" s="3">
        <f t="shared" si="160"/>
        <v>21.287671232876715</v>
      </c>
      <c r="N1595" s="67">
        <f t="shared" si="161"/>
        <v>333.50684931506851</v>
      </c>
      <c r="O1595" s="3"/>
      <c r="P1595" s="70" t="s">
        <v>18605</v>
      </c>
      <c r="Q1595" s="2" t="s">
        <v>47</v>
      </c>
      <c r="R1595" s="2" t="s">
        <v>14528</v>
      </c>
      <c r="T1595" t="s">
        <v>18666</v>
      </c>
      <c r="U1595" t="s">
        <v>18652</v>
      </c>
      <c r="V1595" s="104">
        <v>45857</v>
      </c>
      <c r="X1595" s="97"/>
      <c r="Y1595" s="75">
        <v>333.51</v>
      </c>
    </row>
    <row r="1596" spans="1:25" x14ac:dyDescent="0.25">
      <c r="A1596" s="76">
        <v>1628</v>
      </c>
      <c r="B1596" s="2" t="s">
        <v>6136</v>
      </c>
      <c r="C1596" s="2" t="s">
        <v>6137</v>
      </c>
      <c r="D1596" s="2" t="s">
        <v>6138</v>
      </c>
      <c r="E1596" s="2" t="s">
        <v>6139</v>
      </c>
      <c r="F1596" s="2" t="s">
        <v>6140</v>
      </c>
      <c r="G1596" s="2" t="s">
        <v>173</v>
      </c>
      <c r="H1596" s="17">
        <v>200</v>
      </c>
      <c r="I1596" s="31">
        <f t="shared" si="156"/>
        <v>200000</v>
      </c>
      <c r="J1596" s="31">
        <f t="shared" si="157"/>
        <v>14000.000000000002</v>
      </c>
      <c r="K1596" s="44">
        <f t="shared" si="158"/>
        <v>38.356164383561648</v>
      </c>
      <c r="L1596" s="3">
        <f t="shared" si="159"/>
        <v>2838.3561643835619</v>
      </c>
      <c r="M1596" s="3">
        <f t="shared" si="160"/>
        <v>170.30136986301372</v>
      </c>
      <c r="N1596" s="67">
        <f t="shared" si="161"/>
        <v>2668.0547945205481</v>
      </c>
      <c r="O1596" s="3"/>
      <c r="P1596" s="70" t="s">
        <v>18605</v>
      </c>
      <c r="Q1596" s="2" t="s">
        <v>47</v>
      </c>
      <c r="R1596" s="2" t="s">
        <v>6141</v>
      </c>
      <c r="T1596" t="s">
        <v>18666</v>
      </c>
      <c r="U1596" t="s">
        <v>18652</v>
      </c>
      <c r="V1596" s="104">
        <v>45857</v>
      </c>
      <c r="X1596" s="97"/>
      <c r="Y1596" s="75">
        <v>2668.0600000000004</v>
      </c>
    </row>
    <row r="1597" spans="1:25" x14ac:dyDescent="0.25">
      <c r="A1597" s="76">
        <v>1629</v>
      </c>
      <c r="B1597" s="2" t="s">
        <v>12543</v>
      </c>
      <c r="C1597" s="2" t="s">
        <v>12544</v>
      </c>
      <c r="D1597" s="2" t="s">
        <v>12545</v>
      </c>
      <c r="E1597" s="2" t="s">
        <v>12546</v>
      </c>
      <c r="F1597" s="2" t="s">
        <v>12547</v>
      </c>
      <c r="G1597" s="2" t="s">
        <v>151</v>
      </c>
      <c r="H1597" s="17">
        <v>25</v>
      </c>
      <c r="I1597" s="31">
        <f t="shared" si="156"/>
        <v>25000</v>
      </c>
      <c r="J1597" s="31">
        <f t="shared" si="157"/>
        <v>1750.0000000000002</v>
      </c>
      <c r="K1597" s="44">
        <f t="shared" si="158"/>
        <v>4.794520547945206</v>
      </c>
      <c r="L1597" s="3">
        <f t="shared" si="159"/>
        <v>354.79452054794524</v>
      </c>
      <c r="M1597" s="3">
        <f t="shared" si="160"/>
        <v>21.287671232876715</v>
      </c>
      <c r="N1597" s="67">
        <f t="shared" si="161"/>
        <v>333.50684931506851</v>
      </c>
      <c r="O1597" s="3"/>
      <c r="P1597" s="70" t="s">
        <v>18605</v>
      </c>
      <c r="Q1597" s="2" t="s">
        <v>47</v>
      </c>
      <c r="R1597" s="2" t="s">
        <v>12548</v>
      </c>
      <c r="T1597" t="s">
        <v>18666</v>
      </c>
      <c r="U1597" t="s">
        <v>18652</v>
      </c>
      <c r="V1597" s="104">
        <v>45857</v>
      </c>
      <c r="X1597" s="97"/>
      <c r="Y1597" s="75">
        <v>333.51</v>
      </c>
    </row>
    <row r="1598" spans="1:25" x14ac:dyDescent="0.25">
      <c r="A1598" s="76">
        <v>1630</v>
      </c>
      <c r="B1598" s="2" t="s">
        <v>921</v>
      </c>
      <c r="C1598" s="2" t="s">
        <v>922</v>
      </c>
      <c r="D1598" s="2" t="s">
        <v>923</v>
      </c>
      <c r="E1598" s="2" t="s">
        <v>924</v>
      </c>
      <c r="F1598" s="2" t="s">
        <v>925</v>
      </c>
      <c r="G1598" s="2" t="s">
        <v>618</v>
      </c>
      <c r="H1598" s="17">
        <v>25</v>
      </c>
      <c r="I1598" s="31">
        <f t="shared" si="156"/>
        <v>25000</v>
      </c>
      <c r="J1598" s="31">
        <f t="shared" si="157"/>
        <v>1750.0000000000002</v>
      </c>
      <c r="K1598" s="44">
        <f t="shared" si="158"/>
        <v>4.794520547945206</v>
      </c>
      <c r="L1598" s="3">
        <f t="shared" si="159"/>
        <v>354.79452054794524</v>
      </c>
      <c r="M1598" s="3">
        <f t="shared" si="160"/>
        <v>21.287671232876715</v>
      </c>
      <c r="N1598" s="67">
        <f t="shared" si="161"/>
        <v>333.50684931506851</v>
      </c>
      <c r="O1598" s="3"/>
      <c r="P1598" s="70" t="s">
        <v>18605</v>
      </c>
      <c r="Q1598" s="2" t="s">
        <v>47</v>
      </c>
      <c r="R1598" s="2" t="s">
        <v>926</v>
      </c>
      <c r="T1598" t="s">
        <v>18666</v>
      </c>
      <c r="U1598" t="s">
        <v>18652</v>
      </c>
      <c r="V1598" s="104">
        <v>45857</v>
      </c>
      <c r="X1598" s="97"/>
      <c r="Y1598" s="75">
        <v>333.51</v>
      </c>
    </row>
    <row r="1599" spans="1:25" x14ac:dyDescent="0.25">
      <c r="A1599" s="76">
        <v>1631</v>
      </c>
      <c r="B1599" s="2" t="s">
        <v>10757</v>
      </c>
      <c r="C1599" s="2" t="s">
        <v>10758</v>
      </c>
      <c r="D1599" s="2" t="s">
        <v>10759</v>
      </c>
      <c r="E1599" s="2" t="s">
        <v>10760</v>
      </c>
      <c r="F1599" s="2" t="s">
        <v>10761</v>
      </c>
      <c r="G1599" s="2" t="s">
        <v>31</v>
      </c>
      <c r="H1599" s="17">
        <v>25</v>
      </c>
      <c r="I1599" s="31">
        <f t="shared" si="156"/>
        <v>25000</v>
      </c>
      <c r="J1599" s="31">
        <f t="shared" si="157"/>
        <v>1750.0000000000002</v>
      </c>
      <c r="K1599" s="44">
        <f t="shared" si="158"/>
        <v>4.794520547945206</v>
      </c>
      <c r="L1599" s="3">
        <f t="shared" si="159"/>
        <v>354.79452054794524</v>
      </c>
      <c r="M1599" s="3">
        <f t="shared" si="160"/>
        <v>21.287671232876715</v>
      </c>
      <c r="N1599" s="67">
        <f t="shared" si="161"/>
        <v>333.50684931506851</v>
      </c>
      <c r="O1599" s="3"/>
      <c r="P1599" s="70" t="s">
        <v>18605</v>
      </c>
      <c r="Q1599" s="2" t="s">
        <v>47</v>
      </c>
      <c r="R1599" s="2" t="s">
        <v>10762</v>
      </c>
      <c r="T1599" t="s">
        <v>18666</v>
      </c>
      <c r="U1599" t="s">
        <v>18652</v>
      </c>
      <c r="V1599" s="104">
        <v>45857</v>
      </c>
      <c r="X1599" s="97"/>
      <c r="Y1599" s="75">
        <v>333.51</v>
      </c>
    </row>
    <row r="1600" spans="1:25" x14ac:dyDescent="0.25">
      <c r="A1600" s="76">
        <v>1632</v>
      </c>
      <c r="B1600" s="2" t="s">
        <v>16716</v>
      </c>
      <c r="C1600" s="2" t="s">
        <v>16717</v>
      </c>
      <c r="D1600" s="2" t="s">
        <v>16718</v>
      </c>
      <c r="E1600" s="2" t="s">
        <v>16719</v>
      </c>
      <c r="F1600" s="2" t="s">
        <v>16720</v>
      </c>
      <c r="G1600" s="2" t="s">
        <v>193</v>
      </c>
      <c r="H1600" s="17">
        <v>25</v>
      </c>
      <c r="I1600" s="31">
        <f t="shared" si="156"/>
        <v>25000</v>
      </c>
      <c r="J1600" s="31">
        <f t="shared" si="157"/>
        <v>1750.0000000000002</v>
      </c>
      <c r="K1600" s="44">
        <f t="shared" si="158"/>
        <v>4.794520547945206</v>
      </c>
      <c r="L1600" s="3">
        <f t="shared" si="159"/>
        <v>354.79452054794524</v>
      </c>
      <c r="M1600" s="3">
        <f t="shared" si="160"/>
        <v>21.287671232876715</v>
      </c>
      <c r="N1600" s="67">
        <f t="shared" si="161"/>
        <v>333.50684931506851</v>
      </c>
      <c r="O1600" s="3"/>
      <c r="P1600" s="70" t="s">
        <v>18605</v>
      </c>
      <c r="Q1600" s="2" t="s">
        <v>47</v>
      </c>
      <c r="R1600" s="2" t="s">
        <v>16721</v>
      </c>
      <c r="T1600" t="s">
        <v>18666</v>
      </c>
      <c r="U1600" t="s">
        <v>18652</v>
      </c>
      <c r="V1600" s="104">
        <v>45857</v>
      </c>
      <c r="X1600" s="97"/>
      <c r="Y1600" s="75">
        <v>333.51</v>
      </c>
    </row>
    <row r="1601" spans="1:25" x14ac:dyDescent="0.25">
      <c r="A1601" s="76">
        <v>1633</v>
      </c>
      <c r="B1601" s="2" t="s">
        <v>3105</v>
      </c>
      <c r="C1601" s="2" t="s">
        <v>3106</v>
      </c>
      <c r="D1601" s="2" t="s">
        <v>3107</v>
      </c>
      <c r="E1601" s="2" t="s">
        <v>3108</v>
      </c>
      <c r="F1601" s="2" t="s">
        <v>3109</v>
      </c>
      <c r="G1601" s="2" t="s">
        <v>166</v>
      </c>
      <c r="H1601" s="17">
        <v>25</v>
      </c>
      <c r="I1601" s="31">
        <f t="shared" si="156"/>
        <v>25000</v>
      </c>
      <c r="J1601" s="31">
        <f t="shared" si="157"/>
        <v>1750.0000000000002</v>
      </c>
      <c r="K1601" s="44">
        <f t="shared" si="158"/>
        <v>4.794520547945206</v>
      </c>
      <c r="L1601" s="3">
        <f t="shared" si="159"/>
        <v>354.79452054794524</v>
      </c>
      <c r="M1601" s="3">
        <f t="shared" si="160"/>
        <v>21.287671232876715</v>
      </c>
      <c r="N1601" s="67">
        <f t="shared" si="161"/>
        <v>333.50684931506851</v>
      </c>
      <c r="O1601" s="3"/>
      <c r="P1601" s="70" t="s">
        <v>18605</v>
      </c>
      <c r="Q1601" s="2" t="s">
        <v>47</v>
      </c>
      <c r="R1601" s="2" t="s">
        <v>3110</v>
      </c>
      <c r="T1601" t="s">
        <v>18666</v>
      </c>
      <c r="U1601" t="s">
        <v>18652</v>
      </c>
      <c r="V1601" s="104">
        <v>45857</v>
      </c>
      <c r="X1601" s="97"/>
      <c r="Y1601" s="75">
        <v>333.51</v>
      </c>
    </row>
    <row r="1602" spans="1:25" x14ac:dyDescent="0.25">
      <c r="A1602" s="76">
        <v>1634</v>
      </c>
      <c r="B1602" s="2" t="s">
        <v>9073</v>
      </c>
      <c r="C1602" s="2" t="s">
        <v>9074</v>
      </c>
      <c r="D1602" s="2" t="s">
        <v>9075</v>
      </c>
      <c r="E1602" s="2" t="s">
        <v>9076</v>
      </c>
      <c r="F1602" s="2" t="s">
        <v>9077</v>
      </c>
      <c r="G1602" s="2" t="s">
        <v>39</v>
      </c>
      <c r="H1602" s="17">
        <v>25</v>
      </c>
      <c r="I1602" s="31">
        <f t="shared" si="156"/>
        <v>25000</v>
      </c>
      <c r="J1602" s="31">
        <f t="shared" si="157"/>
        <v>1750.0000000000002</v>
      </c>
      <c r="K1602" s="44">
        <f t="shared" si="158"/>
        <v>4.794520547945206</v>
      </c>
      <c r="L1602" s="3">
        <f t="shared" si="159"/>
        <v>354.79452054794524</v>
      </c>
      <c r="M1602" s="3">
        <f t="shared" si="160"/>
        <v>21.287671232876715</v>
      </c>
      <c r="N1602" s="67">
        <f t="shared" si="161"/>
        <v>333.50684931506851</v>
      </c>
      <c r="O1602" s="3"/>
      <c r="P1602" s="70" t="s">
        <v>18605</v>
      </c>
      <c r="Q1602" s="2" t="s">
        <v>47</v>
      </c>
      <c r="R1602" s="2" t="s">
        <v>9078</v>
      </c>
      <c r="T1602" t="s">
        <v>18666</v>
      </c>
      <c r="U1602" t="s">
        <v>18652</v>
      </c>
      <c r="V1602" s="104">
        <v>45857</v>
      </c>
      <c r="X1602" s="97"/>
      <c r="Y1602" s="75">
        <v>333.51</v>
      </c>
    </row>
    <row r="1603" spans="1:25" x14ac:dyDescent="0.25">
      <c r="A1603" s="76">
        <v>1635</v>
      </c>
      <c r="B1603" s="2" t="s">
        <v>7773</v>
      </c>
      <c r="C1603" s="2" t="s">
        <v>7774</v>
      </c>
      <c r="D1603" s="2" t="s">
        <v>7775</v>
      </c>
      <c r="E1603" s="2" t="s">
        <v>7776</v>
      </c>
      <c r="F1603" s="2" t="s">
        <v>7777</v>
      </c>
      <c r="G1603" s="2" t="s">
        <v>517</v>
      </c>
      <c r="H1603" s="17">
        <v>25</v>
      </c>
      <c r="I1603" s="31">
        <f t="shared" si="156"/>
        <v>25000</v>
      </c>
      <c r="J1603" s="31">
        <f t="shared" si="157"/>
        <v>1750.0000000000002</v>
      </c>
      <c r="K1603" s="44">
        <f t="shared" si="158"/>
        <v>4.794520547945206</v>
      </c>
      <c r="L1603" s="3">
        <f t="shared" si="159"/>
        <v>354.79452054794524</v>
      </c>
      <c r="M1603" s="3">
        <f t="shared" si="160"/>
        <v>21.287671232876715</v>
      </c>
      <c r="N1603" s="67">
        <f t="shared" si="161"/>
        <v>333.50684931506851</v>
      </c>
      <c r="O1603" s="3"/>
      <c r="P1603" s="70" t="s">
        <v>18605</v>
      </c>
      <c r="Q1603" s="2" t="s">
        <v>47</v>
      </c>
      <c r="R1603" s="2" t="s">
        <v>7778</v>
      </c>
      <c r="T1603" t="s">
        <v>18666</v>
      </c>
      <c r="U1603" t="s">
        <v>18652</v>
      </c>
      <c r="V1603" s="104">
        <v>45857</v>
      </c>
      <c r="X1603" s="97"/>
      <c r="Y1603" s="75">
        <v>333.51</v>
      </c>
    </row>
    <row r="1604" spans="1:25" x14ac:dyDescent="0.25">
      <c r="A1604" s="76">
        <v>1636</v>
      </c>
      <c r="B1604" s="2" t="s">
        <v>3141</v>
      </c>
      <c r="C1604" s="2" t="s">
        <v>3142</v>
      </c>
      <c r="D1604" s="2" t="s">
        <v>3143</v>
      </c>
      <c r="E1604" s="2" t="s">
        <v>3144</v>
      </c>
      <c r="F1604" s="2" t="s">
        <v>3145</v>
      </c>
      <c r="G1604" s="2" t="s">
        <v>1823</v>
      </c>
      <c r="H1604" s="17">
        <v>25</v>
      </c>
      <c r="I1604" s="31">
        <f t="shared" si="156"/>
        <v>25000</v>
      </c>
      <c r="J1604" s="31">
        <f t="shared" si="157"/>
        <v>1750.0000000000002</v>
      </c>
      <c r="K1604" s="44">
        <f t="shared" si="158"/>
        <v>4.794520547945206</v>
      </c>
      <c r="L1604" s="3">
        <f t="shared" si="159"/>
        <v>354.79452054794524</v>
      </c>
      <c r="M1604" s="3">
        <f t="shared" si="160"/>
        <v>21.287671232876715</v>
      </c>
      <c r="N1604" s="67">
        <f t="shared" si="161"/>
        <v>333.50684931506851</v>
      </c>
      <c r="O1604" s="3"/>
      <c r="P1604" s="70" t="s">
        <v>18605</v>
      </c>
      <c r="Q1604" s="2" t="s">
        <v>47</v>
      </c>
      <c r="R1604" s="2" t="s">
        <v>3146</v>
      </c>
      <c r="T1604" t="s">
        <v>18666</v>
      </c>
      <c r="U1604" t="s">
        <v>18652</v>
      </c>
      <c r="V1604" s="104">
        <v>45857</v>
      </c>
      <c r="X1604" s="97"/>
      <c r="Y1604" s="75">
        <v>333.51</v>
      </c>
    </row>
    <row r="1605" spans="1:25" x14ac:dyDescent="0.25">
      <c r="A1605" s="76">
        <v>1637</v>
      </c>
      <c r="B1605" s="2" t="s">
        <v>2200</v>
      </c>
      <c r="C1605" s="2" t="s">
        <v>2201</v>
      </c>
      <c r="D1605" s="2" t="s">
        <v>2202</v>
      </c>
      <c r="E1605" s="2" t="s">
        <v>2203</v>
      </c>
      <c r="F1605" s="2" t="s">
        <v>2204</v>
      </c>
      <c r="G1605" s="2" t="s">
        <v>74</v>
      </c>
      <c r="H1605" s="17">
        <v>25</v>
      </c>
      <c r="I1605" s="31">
        <f t="shared" si="156"/>
        <v>25000</v>
      </c>
      <c r="J1605" s="31">
        <f t="shared" si="157"/>
        <v>1750.0000000000002</v>
      </c>
      <c r="K1605" s="44">
        <f t="shared" si="158"/>
        <v>4.794520547945206</v>
      </c>
      <c r="L1605" s="3">
        <f t="shared" si="159"/>
        <v>354.79452054794524</v>
      </c>
      <c r="M1605" s="3">
        <f t="shared" si="160"/>
        <v>21.287671232876715</v>
      </c>
      <c r="N1605" s="67">
        <f t="shared" si="161"/>
        <v>333.50684931506851</v>
      </c>
      <c r="O1605" s="3"/>
      <c r="P1605" s="70" t="s">
        <v>18605</v>
      </c>
      <c r="Q1605" s="2" t="s">
        <v>47</v>
      </c>
      <c r="R1605" s="2" t="s">
        <v>2205</v>
      </c>
      <c r="T1605" t="s">
        <v>18666</v>
      </c>
      <c r="U1605" t="s">
        <v>18652</v>
      </c>
      <c r="V1605" s="104">
        <v>45857</v>
      </c>
      <c r="X1605" s="97"/>
      <c r="Y1605" s="75">
        <v>333.51</v>
      </c>
    </row>
    <row r="1606" spans="1:25" x14ac:dyDescent="0.25">
      <c r="A1606" s="76">
        <v>1638</v>
      </c>
      <c r="B1606" s="2" t="s">
        <v>6083</v>
      </c>
      <c r="C1606" s="2" t="s">
        <v>2299</v>
      </c>
      <c r="D1606" s="2" t="s">
        <v>6084</v>
      </c>
      <c r="E1606" s="2" t="s">
        <v>6085</v>
      </c>
      <c r="F1606" s="2" t="s">
        <v>6086</v>
      </c>
      <c r="G1606" s="2" t="s">
        <v>618</v>
      </c>
      <c r="H1606" s="17">
        <v>25</v>
      </c>
      <c r="I1606" s="31">
        <f t="shared" si="156"/>
        <v>25000</v>
      </c>
      <c r="J1606" s="31">
        <f t="shared" si="157"/>
        <v>1750.0000000000002</v>
      </c>
      <c r="K1606" s="44">
        <f t="shared" si="158"/>
        <v>4.794520547945206</v>
      </c>
      <c r="L1606" s="3">
        <f t="shared" si="159"/>
        <v>354.79452054794524</v>
      </c>
      <c r="M1606" s="3">
        <f t="shared" si="160"/>
        <v>21.287671232876715</v>
      </c>
      <c r="N1606" s="67">
        <f t="shared" si="161"/>
        <v>333.50684931506851</v>
      </c>
      <c r="O1606" s="3"/>
      <c r="P1606" s="70" t="s">
        <v>18605</v>
      </c>
      <c r="Q1606" s="2" t="s">
        <v>47</v>
      </c>
      <c r="R1606" s="2" t="s">
        <v>6087</v>
      </c>
      <c r="T1606" t="s">
        <v>18666</v>
      </c>
      <c r="U1606" t="s">
        <v>18652</v>
      </c>
      <c r="V1606" s="104">
        <v>45857</v>
      </c>
      <c r="X1606" s="97"/>
      <c r="Y1606" s="75">
        <v>333.51</v>
      </c>
    </row>
    <row r="1607" spans="1:25" x14ac:dyDescent="0.25">
      <c r="A1607" s="76">
        <v>1639</v>
      </c>
      <c r="B1607" s="2" t="s">
        <v>6012</v>
      </c>
      <c r="C1607" s="2" t="s">
        <v>6013</v>
      </c>
      <c r="D1607" s="2" t="s">
        <v>6014</v>
      </c>
      <c r="E1607" s="2" t="s">
        <v>3185</v>
      </c>
      <c r="F1607" s="2" t="s">
        <v>6015</v>
      </c>
      <c r="G1607" s="2" t="s">
        <v>5013</v>
      </c>
      <c r="H1607" s="17">
        <v>25</v>
      </c>
      <c r="I1607" s="31">
        <f t="shared" si="156"/>
        <v>25000</v>
      </c>
      <c r="J1607" s="31">
        <f t="shared" si="157"/>
        <v>1750.0000000000002</v>
      </c>
      <c r="K1607" s="44">
        <f t="shared" si="158"/>
        <v>4.794520547945206</v>
      </c>
      <c r="L1607" s="3">
        <f t="shared" si="159"/>
        <v>354.79452054794524</v>
      </c>
      <c r="M1607" s="3">
        <f t="shared" si="160"/>
        <v>21.287671232876715</v>
      </c>
      <c r="N1607" s="67">
        <f t="shared" si="161"/>
        <v>333.50684931506851</v>
      </c>
      <c r="O1607" s="3"/>
      <c r="P1607" s="70" t="s">
        <v>18605</v>
      </c>
      <c r="Q1607" s="2" t="s">
        <v>47</v>
      </c>
      <c r="R1607" s="2" t="s">
        <v>6016</v>
      </c>
      <c r="T1607" t="s">
        <v>18666</v>
      </c>
      <c r="U1607" t="s">
        <v>18652</v>
      </c>
      <c r="V1607" s="104">
        <v>45857</v>
      </c>
      <c r="X1607" s="97"/>
      <c r="Y1607" s="75">
        <v>333.51</v>
      </c>
    </row>
    <row r="1608" spans="1:25" x14ac:dyDescent="0.25">
      <c r="A1608" s="76">
        <v>1640</v>
      </c>
      <c r="B1608" s="2" t="s">
        <v>5380</v>
      </c>
      <c r="C1608" s="2" t="s">
        <v>5381</v>
      </c>
      <c r="D1608" s="2" t="s">
        <v>5382</v>
      </c>
      <c r="E1608" s="2" t="s">
        <v>5383</v>
      </c>
      <c r="F1608" s="2" t="s">
        <v>5384</v>
      </c>
      <c r="G1608" s="2" t="s">
        <v>381</v>
      </c>
      <c r="H1608" s="17">
        <v>25</v>
      </c>
      <c r="I1608" s="31">
        <f t="shared" si="156"/>
        <v>25000</v>
      </c>
      <c r="J1608" s="31">
        <f t="shared" si="157"/>
        <v>1750.0000000000002</v>
      </c>
      <c r="K1608" s="44">
        <f t="shared" si="158"/>
        <v>4.794520547945206</v>
      </c>
      <c r="L1608" s="3">
        <f t="shared" si="159"/>
        <v>354.79452054794524</v>
      </c>
      <c r="M1608" s="3">
        <f t="shared" si="160"/>
        <v>21.287671232876715</v>
      </c>
      <c r="N1608" s="67">
        <f t="shared" si="161"/>
        <v>333.50684931506851</v>
      </c>
      <c r="O1608" s="3"/>
      <c r="P1608" s="70" t="s">
        <v>18605</v>
      </c>
      <c r="Q1608" s="2" t="s">
        <v>47</v>
      </c>
      <c r="R1608" s="2" t="s">
        <v>5385</v>
      </c>
      <c r="T1608" t="s">
        <v>18666</v>
      </c>
      <c r="U1608" t="s">
        <v>18652</v>
      </c>
      <c r="V1608" s="104">
        <v>45857</v>
      </c>
      <c r="X1608" s="97"/>
      <c r="Y1608" s="75">
        <v>333.51</v>
      </c>
    </row>
    <row r="1609" spans="1:25" x14ac:dyDescent="0.25">
      <c r="A1609" s="76">
        <v>1641</v>
      </c>
      <c r="B1609" s="2" t="s">
        <v>4971</v>
      </c>
      <c r="C1609" s="2" t="s">
        <v>4972</v>
      </c>
      <c r="D1609" s="2" t="s">
        <v>4973</v>
      </c>
      <c r="E1609" s="2" t="s">
        <v>4974</v>
      </c>
      <c r="F1609" s="2" t="s">
        <v>4975</v>
      </c>
      <c r="G1609" s="2" t="s">
        <v>166</v>
      </c>
      <c r="H1609" s="17">
        <v>25</v>
      </c>
      <c r="I1609" s="31">
        <f t="shared" si="156"/>
        <v>25000</v>
      </c>
      <c r="J1609" s="31">
        <f t="shared" si="157"/>
        <v>1750.0000000000002</v>
      </c>
      <c r="K1609" s="44">
        <f t="shared" si="158"/>
        <v>4.794520547945206</v>
      </c>
      <c r="L1609" s="3">
        <f t="shared" si="159"/>
        <v>354.79452054794524</v>
      </c>
      <c r="M1609" s="3">
        <f t="shared" si="160"/>
        <v>21.287671232876715</v>
      </c>
      <c r="N1609" s="67">
        <f t="shared" si="161"/>
        <v>333.50684931506851</v>
      </c>
      <c r="O1609" s="3"/>
      <c r="P1609" s="70" t="s">
        <v>18605</v>
      </c>
      <c r="Q1609" s="2" t="s">
        <v>47</v>
      </c>
      <c r="R1609" s="2" t="s">
        <v>4976</v>
      </c>
      <c r="T1609" t="s">
        <v>18666</v>
      </c>
      <c r="U1609" t="s">
        <v>18652</v>
      </c>
      <c r="V1609" s="104">
        <v>45857</v>
      </c>
      <c r="X1609" s="97"/>
      <c r="Y1609" s="75">
        <v>333.51</v>
      </c>
    </row>
    <row r="1610" spans="1:25" x14ac:dyDescent="0.25">
      <c r="A1610" s="76">
        <v>1642</v>
      </c>
      <c r="B1610" s="2" t="s">
        <v>10249</v>
      </c>
      <c r="C1610" s="2" t="s">
        <v>10250</v>
      </c>
      <c r="D1610" s="2" t="s">
        <v>10251</v>
      </c>
      <c r="E1610" s="2" t="s">
        <v>10252</v>
      </c>
      <c r="F1610" s="2" t="s">
        <v>10253</v>
      </c>
      <c r="G1610" s="2" t="s">
        <v>517</v>
      </c>
      <c r="H1610" s="17">
        <v>25</v>
      </c>
      <c r="I1610" s="31">
        <f t="shared" si="156"/>
        <v>25000</v>
      </c>
      <c r="J1610" s="31">
        <f t="shared" si="157"/>
        <v>1750.0000000000002</v>
      </c>
      <c r="K1610" s="44">
        <f t="shared" si="158"/>
        <v>4.794520547945206</v>
      </c>
      <c r="L1610" s="3">
        <f t="shared" si="159"/>
        <v>354.79452054794524</v>
      </c>
      <c r="M1610" s="3">
        <f t="shared" si="160"/>
        <v>21.287671232876715</v>
      </c>
      <c r="N1610" s="67">
        <f t="shared" si="161"/>
        <v>333.50684931506851</v>
      </c>
      <c r="O1610" s="3"/>
      <c r="P1610" s="70" t="s">
        <v>18605</v>
      </c>
      <c r="Q1610" s="2" t="s">
        <v>47</v>
      </c>
      <c r="R1610" s="2" t="s">
        <v>10254</v>
      </c>
      <c r="T1610" t="s">
        <v>18666</v>
      </c>
      <c r="U1610" t="s">
        <v>18652</v>
      </c>
      <c r="V1610" s="104">
        <v>45857</v>
      </c>
      <c r="X1610" s="97"/>
      <c r="Y1610" s="75">
        <v>333.51</v>
      </c>
    </row>
    <row r="1611" spans="1:25" x14ac:dyDescent="0.25">
      <c r="A1611" s="76">
        <v>1643</v>
      </c>
      <c r="B1611" s="2" t="s">
        <v>6871</v>
      </c>
      <c r="C1611" s="2" t="s">
        <v>6872</v>
      </c>
      <c r="D1611" s="2" t="s">
        <v>6873</v>
      </c>
      <c r="E1611" s="2" t="s">
        <v>6874</v>
      </c>
      <c r="F1611" s="2" t="s">
        <v>6875</v>
      </c>
      <c r="G1611" s="2" t="s">
        <v>362</v>
      </c>
      <c r="H1611" s="17">
        <v>30</v>
      </c>
      <c r="I1611" s="31">
        <f t="shared" si="156"/>
        <v>30000</v>
      </c>
      <c r="J1611" s="31">
        <f t="shared" si="157"/>
        <v>2100</v>
      </c>
      <c r="K1611" s="44">
        <f t="shared" si="158"/>
        <v>5.7534246575342465</v>
      </c>
      <c r="L1611" s="3">
        <f t="shared" si="159"/>
        <v>425.75342465753425</v>
      </c>
      <c r="M1611" s="3">
        <f t="shared" si="160"/>
        <v>25.545205479452054</v>
      </c>
      <c r="N1611" s="67">
        <f t="shared" si="161"/>
        <v>400.20821917808217</v>
      </c>
      <c r="O1611" s="3"/>
      <c r="P1611" s="70" t="s">
        <v>18605</v>
      </c>
      <c r="Q1611" s="2" t="s">
        <v>47</v>
      </c>
      <c r="R1611" s="2" t="s">
        <v>6876</v>
      </c>
      <c r="T1611" t="s">
        <v>18666</v>
      </c>
      <c r="U1611" t="s">
        <v>18652</v>
      </c>
      <c r="V1611" s="104">
        <v>45857</v>
      </c>
      <c r="X1611" s="97"/>
      <c r="Y1611" s="75">
        <v>400.21</v>
      </c>
    </row>
    <row r="1612" spans="1:25" x14ac:dyDescent="0.25">
      <c r="A1612" s="76">
        <v>1644</v>
      </c>
      <c r="B1612" s="2" t="s">
        <v>2017</v>
      </c>
      <c r="C1612" s="2" t="s">
        <v>2018</v>
      </c>
      <c r="D1612" s="2" t="s">
        <v>2019</v>
      </c>
      <c r="E1612" s="2" t="s">
        <v>2020</v>
      </c>
      <c r="F1612" s="2" t="s">
        <v>2021</v>
      </c>
      <c r="G1612" s="2" t="s">
        <v>2022</v>
      </c>
      <c r="H1612" s="17">
        <v>25</v>
      </c>
      <c r="I1612" s="31">
        <f t="shared" si="156"/>
        <v>25000</v>
      </c>
      <c r="J1612" s="31">
        <f t="shared" si="157"/>
        <v>1750.0000000000002</v>
      </c>
      <c r="K1612" s="44">
        <f t="shared" si="158"/>
        <v>4.794520547945206</v>
      </c>
      <c r="L1612" s="3">
        <f t="shared" si="159"/>
        <v>354.79452054794524</v>
      </c>
      <c r="M1612" s="3">
        <f t="shared" si="160"/>
        <v>21.287671232876715</v>
      </c>
      <c r="N1612" s="67">
        <f t="shared" si="161"/>
        <v>333.50684931506851</v>
      </c>
      <c r="O1612" s="3"/>
      <c r="P1612" s="70" t="s">
        <v>18605</v>
      </c>
      <c r="Q1612" s="2" t="s">
        <v>47</v>
      </c>
      <c r="R1612" s="2" t="s">
        <v>2023</v>
      </c>
      <c r="T1612" t="s">
        <v>18666</v>
      </c>
      <c r="U1612" t="s">
        <v>18652</v>
      </c>
      <c r="V1612" s="104">
        <v>45857</v>
      </c>
      <c r="X1612" s="97"/>
      <c r="Y1612" s="75">
        <v>333.51</v>
      </c>
    </row>
    <row r="1613" spans="1:25" x14ac:dyDescent="0.25">
      <c r="A1613" s="76">
        <v>1645</v>
      </c>
      <c r="B1613" s="2" t="s">
        <v>17884</v>
      </c>
      <c r="C1613" s="2" t="s">
        <v>17885</v>
      </c>
      <c r="D1613" s="2" t="s">
        <v>17886</v>
      </c>
      <c r="E1613" s="2" t="s">
        <v>17887</v>
      </c>
      <c r="F1613" s="2" t="s">
        <v>17888</v>
      </c>
      <c r="G1613" s="2" t="s">
        <v>31</v>
      </c>
      <c r="H1613" s="17">
        <v>25</v>
      </c>
      <c r="I1613" s="31">
        <f t="shared" si="156"/>
        <v>25000</v>
      </c>
      <c r="J1613" s="31">
        <f t="shared" si="157"/>
        <v>1750.0000000000002</v>
      </c>
      <c r="K1613" s="44">
        <f t="shared" si="158"/>
        <v>4.794520547945206</v>
      </c>
      <c r="L1613" s="3">
        <f t="shared" si="159"/>
        <v>354.79452054794524</v>
      </c>
      <c r="M1613" s="3">
        <f t="shared" si="160"/>
        <v>21.287671232876715</v>
      </c>
      <c r="N1613" s="67">
        <f t="shared" si="161"/>
        <v>333.50684931506851</v>
      </c>
      <c r="O1613" s="3"/>
      <c r="P1613" s="70" t="s">
        <v>18605</v>
      </c>
      <c r="Q1613" s="2" t="s">
        <v>47</v>
      </c>
      <c r="R1613" s="2" t="s">
        <v>17889</v>
      </c>
      <c r="T1613" t="s">
        <v>18666</v>
      </c>
      <c r="U1613" t="s">
        <v>18652</v>
      </c>
      <c r="V1613" s="104">
        <v>45857</v>
      </c>
      <c r="X1613" s="97"/>
      <c r="Y1613" s="75">
        <v>333.51</v>
      </c>
    </row>
    <row r="1614" spans="1:25" x14ac:dyDescent="0.25">
      <c r="A1614" s="76">
        <v>1646</v>
      </c>
      <c r="B1614" s="2" t="s">
        <v>651</v>
      </c>
      <c r="C1614" s="2" t="s">
        <v>652</v>
      </c>
      <c r="D1614" s="2" t="s">
        <v>653</v>
      </c>
      <c r="E1614" s="2" t="s">
        <v>654</v>
      </c>
      <c r="F1614" s="2" t="s">
        <v>655</v>
      </c>
      <c r="G1614" s="2" t="s">
        <v>31</v>
      </c>
      <c r="H1614" s="17">
        <v>25</v>
      </c>
      <c r="I1614" s="31">
        <f t="shared" si="156"/>
        <v>25000</v>
      </c>
      <c r="J1614" s="31">
        <f t="shared" si="157"/>
        <v>1750.0000000000002</v>
      </c>
      <c r="K1614" s="44">
        <f t="shared" si="158"/>
        <v>4.794520547945206</v>
      </c>
      <c r="L1614" s="3">
        <f t="shared" si="159"/>
        <v>354.79452054794524</v>
      </c>
      <c r="M1614" s="3">
        <f t="shared" si="160"/>
        <v>21.287671232876715</v>
      </c>
      <c r="N1614" s="67">
        <f t="shared" si="161"/>
        <v>333.50684931506851</v>
      </c>
      <c r="O1614" s="3"/>
      <c r="P1614" s="70" t="s">
        <v>18605</v>
      </c>
      <c r="Q1614" s="2" t="s">
        <v>47</v>
      </c>
      <c r="R1614" s="2" t="s">
        <v>656</v>
      </c>
      <c r="T1614" t="s">
        <v>18666</v>
      </c>
      <c r="U1614" t="s">
        <v>18652</v>
      </c>
      <c r="V1614" s="104">
        <v>45857</v>
      </c>
      <c r="X1614" s="97"/>
      <c r="Y1614" s="75">
        <v>333.51</v>
      </c>
    </row>
    <row r="1615" spans="1:25" x14ac:dyDescent="0.25">
      <c r="A1615" s="76">
        <v>1647</v>
      </c>
      <c r="B1615" s="2" t="s">
        <v>3277</v>
      </c>
      <c r="C1615" s="2" t="s">
        <v>3278</v>
      </c>
      <c r="D1615" s="2" t="s">
        <v>3279</v>
      </c>
      <c r="E1615" s="2" t="s">
        <v>3280</v>
      </c>
      <c r="F1615" s="2" t="s">
        <v>3281</v>
      </c>
      <c r="G1615" s="2" t="s">
        <v>750</v>
      </c>
      <c r="H1615" s="17">
        <v>1000</v>
      </c>
      <c r="I1615" s="31">
        <f t="shared" si="156"/>
        <v>1000000</v>
      </c>
      <c r="J1615" s="31">
        <f t="shared" si="157"/>
        <v>70000</v>
      </c>
      <c r="K1615" s="44">
        <f t="shared" si="158"/>
        <v>191.78082191780823</v>
      </c>
      <c r="L1615" s="3">
        <f t="shared" si="159"/>
        <v>14191.780821917808</v>
      </c>
      <c r="M1615" s="3">
        <f t="shared" si="160"/>
        <v>851.50684931506839</v>
      </c>
      <c r="N1615" s="67">
        <f t="shared" si="161"/>
        <v>13340.273972602739</v>
      </c>
      <c r="O1615" s="3"/>
      <c r="P1615" s="70" t="s">
        <v>18605</v>
      </c>
      <c r="Q1615" s="2" t="s">
        <v>47</v>
      </c>
      <c r="R1615" s="2" t="s">
        <v>3282</v>
      </c>
      <c r="T1615" t="s">
        <v>18666</v>
      </c>
      <c r="U1615" t="s">
        <v>18652</v>
      </c>
      <c r="V1615" s="104">
        <v>45857</v>
      </c>
      <c r="X1615" s="97"/>
      <c r="Y1615" s="75">
        <v>13340.28</v>
      </c>
    </row>
    <row r="1616" spans="1:25" x14ac:dyDescent="0.25">
      <c r="A1616" s="76">
        <v>1648</v>
      </c>
      <c r="B1616" s="2" t="s">
        <v>7936</v>
      </c>
      <c r="C1616" s="2" t="s">
        <v>7937</v>
      </c>
      <c r="D1616" s="2" t="s">
        <v>7938</v>
      </c>
      <c r="E1616" s="2" t="s">
        <v>7939</v>
      </c>
      <c r="F1616" s="2" t="s">
        <v>7940</v>
      </c>
      <c r="G1616" s="2" t="s">
        <v>381</v>
      </c>
      <c r="H1616" s="17">
        <v>100</v>
      </c>
      <c r="I1616" s="31">
        <f t="shared" si="156"/>
        <v>100000</v>
      </c>
      <c r="J1616" s="31">
        <f t="shared" si="157"/>
        <v>7000.0000000000009</v>
      </c>
      <c r="K1616" s="44">
        <f t="shared" si="158"/>
        <v>19.178082191780824</v>
      </c>
      <c r="L1616" s="3">
        <f t="shared" si="159"/>
        <v>1419.178082191781</v>
      </c>
      <c r="M1616" s="3">
        <f t="shared" si="160"/>
        <v>85.150684931506859</v>
      </c>
      <c r="N1616" s="67">
        <f t="shared" si="161"/>
        <v>1334.027397260274</v>
      </c>
      <c r="O1616" s="3"/>
      <c r="P1616" s="70" t="s">
        <v>18605</v>
      </c>
      <c r="Q1616" s="2" t="s">
        <v>47</v>
      </c>
      <c r="R1616" s="2" t="s">
        <v>7941</v>
      </c>
      <c r="T1616" t="s">
        <v>18666</v>
      </c>
      <c r="U1616" t="s">
        <v>18652</v>
      </c>
      <c r="V1616" s="104">
        <v>45857</v>
      </c>
      <c r="X1616" s="97"/>
      <c r="Y1616" s="75">
        <v>1334.03</v>
      </c>
    </row>
    <row r="1617" spans="1:25" x14ac:dyDescent="0.25">
      <c r="A1617" s="76">
        <v>1649</v>
      </c>
      <c r="B1617" s="2" t="s">
        <v>8540</v>
      </c>
      <c r="C1617" s="2" t="s">
        <v>7992</v>
      </c>
      <c r="D1617" s="2" t="s">
        <v>8541</v>
      </c>
      <c r="E1617" s="2" t="s">
        <v>6492</v>
      </c>
      <c r="F1617" s="2" t="s">
        <v>8542</v>
      </c>
      <c r="G1617" s="2" t="s">
        <v>2380</v>
      </c>
      <c r="H1617" s="17">
        <v>300</v>
      </c>
      <c r="I1617" s="31">
        <f t="shared" si="156"/>
        <v>300000</v>
      </c>
      <c r="J1617" s="31">
        <f t="shared" si="157"/>
        <v>21000.000000000004</v>
      </c>
      <c r="K1617" s="44">
        <f t="shared" si="158"/>
        <v>57.534246575342479</v>
      </c>
      <c r="L1617" s="3">
        <f t="shared" si="159"/>
        <v>4257.5342465753438</v>
      </c>
      <c r="M1617" s="3">
        <f t="shared" si="160"/>
        <v>255.45205479452062</v>
      </c>
      <c r="N1617" s="67">
        <f t="shared" si="161"/>
        <v>4002.082191780823</v>
      </c>
      <c r="O1617" s="3"/>
      <c r="P1617" s="70" t="s">
        <v>18605</v>
      </c>
      <c r="Q1617" s="2" t="s">
        <v>47</v>
      </c>
      <c r="R1617" s="2" t="s">
        <v>8543</v>
      </c>
      <c r="T1617" t="s">
        <v>18666</v>
      </c>
      <c r="U1617" t="s">
        <v>18652</v>
      </c>
      <c r="V1617" s="104">
        <v>45857</v>
      </c>
      <c r="X1617" s="97"/>
      <c r="Y1617" s="75">
        <v>4002.09</v>
      </c>
    </row>
    <row r="1618" spans="1:25" x14ac:dyDescent="0.25">
      <c r="A1618" s="76">
        <v>1650</v>
      </c>
      <c r="B1618" s="2" t="s">
        <v>13857</v>
      </c>
      <c r="C1618" s="2" t="s">
        <v>13858</v>
      </c>
      <c r="D1618" s="2" t="s">
        <v>13859</v>
      </c>
      <c r="E1618" s="2" t="s">
        <v>13860</v>
      </c>
      <c r="F1618" s="2" t="s">
        <v>13861</v>
      </c>
      <c r="G1618" s="2" t="s">
        <v>226</v>
      </c>
      <c r="H1618" s="17">
        <v>50</v>
      </c>
      <c r="I1618" s="31">
        <f t="shared" ref="I1618:I1681" si="162">H1618*1000</f>
        <v>50000</v>
      </c>
      <c r="J1618" s="31">
        <f t="shared" ref="J1618:J1681" si="163">I1618*7%</f>
        <v>3500.0000000000005</v>
      </c>
      <c r="K1618" s="44">
        <f t="shared" ref="K1618:K1681" si="164">J1618/365</f>
        <v>9.589041095890412</v>
      </c>
      <c r="L1618" s="3">
        <f t="shared" ref="L1618:L1681" si="165">K1618*74</f>
        <v>709.58904109589048</v>
      </c>
      <c r="M1618" s="3">
        <f t="shared" ref="M1618:M1681" si="166">L1618*6%</f>
        <v>42.57534246575343</v>
      </c>
      <c r="N1618" s="67">
        <f t="shared" ref="N1618:N1681" si="167">L1618-M1618</f>
        <v>667.01369863013701</v>
      </c>
      <c r="O1618" s="3"/>
      <c r="P1618" s="70" t="s">
        <v>18605</v>
      </c>
      <c r="Q1618" s="2" t="s">
        <v>47</v>
      </c>
      <c r="R1618" s="2" t="s">
        <v>13862</v>
      </c>
      <c r="T1618" t="s">
        <v>18666</v>
      </c>
      <c r="U1618" t="s">
        <v>18652</v>
      </c>
      <c r="V1618" s="104">
        <v>45857</v>
      </c>
      <c r="X1618" s="97"/>
      <c r="Y1618" s="75">
        <v>667.02</v>
      </c>
    </row>
    <row r="1619" spans="1:25" x14ac:dyDescent="0.25">
      <c r="A1619" s="76">
        <v>1651</v>
      </c>
      <c r="B1619" s="2" t="s">
        <v>9091</v>
      </c>
      <c r="C1619" s="2" t="s">
        <v>9092</v>
      </c>
      <c r="D1619" s="2" t="s">
        <v>9093</v>
      </c>
      <c r="E1619" s="2" t="s">
        <v>9094</v>
      </c>
      <c r="F1619" s="2" t="s">
        <v>9095</v>
      </c>
      <c r="G1619" s="2" t="s">
        <v>186</v>
      </c>
      <c r="H1619" s="17">
        <v>25</v>
      </c>
      <c r="I1619" s="31">
        <f t="shared" si="162"/>
        <v>25000</v>
      </c>
      <c r="J1619" s="31">
        <f t="shared" si="163"/>
        <v>1750.0000000000002</v>
      </c>
      <c r="K1619" s="44">
        <f t="shared" si="164"/>
        <v>4.794520547945206</v>
      </c>
      <c r="L1619" s="3">
        <f t="shared" si="165"/>
        <v>354.79452054794524</v>
      </c>
      <c r="M1619" s="3">
        <f t="shared" si="166"/>
        <v>21.287671232876715</v>
      </c>
      <c r="N1619" s="67">
        <f t="shared" si="167"/>
        <v>333.50684931506851</v>
      </c>
      <c r="O1619" s="3"/>
      <c r="P1619" s="70" t="s">
        <v>18605</v>
      </c>
      <c r="Q1619" s="2" t="s">
        <v>47</v>
      </c>
      <c r="R1619" s="2" t="s">
        <v>9096</v>
      </c>
      <c r="T1619" t="s">
        <v>18666</v>
      </c>
      <c r="U1619" t="s">
        <v>18652</v>
      </c>
      <c r="V1619" s="104">
        <v>45857</v>
      </c>
      <c r="X1619" s="97"/>
      <c r="Y1619" s="75">
        <v>333.51</v>
      </c>
    </row>
    <row r="1620" spans="1:25" x14ac:dyDescent="0.25">
      <c r="A1620" s="76">
        <v>1652</v>
      </c>
      <c r="B1620" s="2" t="s">
        <v>2839</v>
      </c>
      <c r="C1620" s="2" t="s">
        <v>2840</v>
      </c>
      <c r="D1620" s="2" t="s">
        <v>2841</v>
      </c>
      <c r="E1620" s="2" t="s">
        <v>2842</v>
      </c>
      <c r="F1620" s="2" t="s">
        <v>2843</v>
      </c>
      <c r="G1620" s="2" t="s">
        <v>61</v>
      </c>
      <c r="H1620" s="17">
        <v>25</v>
      </c>
      <c r="I1620" s="31">
        <f t="shared" si="162"/>
        <v>25000</v>
      </c>
      <c r="J1620" s="31">
        <f t="shared" si="163"/>
        <v>1750.0000000000002</v>
      </c>
      <c r="K1620" s="44">
        <f t="shared" si="164"/>
        <v>4.794520547945206</v>
      </c>
      <c r="L1620" s="3">
        <f t="shared" si="165"/>
        <v>354.79452054794524</v>
      </c>
      <c r="M1620" s="3">
        <f t="shared" si="166"/>
        <v>21.287671232876715</v>
      </c>
      <c r="N1620" s="67">
        <f t="shared" si="167"/>
        <v>333.50684931506851</v>
      </c>
      <c r="O1620" s="3"/>
      <c r="P1620" s="70" t="s">
        <v>18605</v>
      </c>
      <c r="Q1620" s="2" t="s">
        <v>47</v>
      </c>
      <c r="R1620" s="2" t="s">
        <v>2844</v>
      </c>
      <c r="T1620" t="s">
        <v>18666</v>
      </c>
      <c r="U1620" t="s">
        <v>18652</v>
      </c>
      <c r="V1620" s="104">
        <v>45857</v>
      </c>
      <c r="X1620" s="97"/>
      <c r="Y1620" s="75">
        <v>333.51</v>
      </c>
    </row>
    <row r="1621" spans="1:25" x14ac:dyDescent="0.25">
      <c r="A1621" s="76">
        <v>1653</v>
      </c>
      <c r="B1621" s="2" t="s">
        <v>16944</v>
      </c>
      <c r="C1621" s="2" t="s">
        <v>16945</v>
      </c>
      <c r="D1621" s="2" t="s">
        <v>16946</v>
      </c>
      <c r="E1621" s="2" t="s">
        <v>16947</v>
      </c>
      <c r="F1621" s="2" t="s">
        <v>16948</v>
      </c>
      <c r="G1621" s="2" t="s">
        <v>31</v>
      </c>
      <c r="H1621" s="17">
        <v>25</v>
      </c>
      <c r="I1621" s="31">
        <f t="shared" si="162"/>
        <v>25000</v>
      </c>
      <c r="J1621" s="31">
        <f t="shared" si="163"/>
        <v>1750.0000000000002</v>
      </c>
      <c r="K1621" s="44">
        <f t="shared" si="164"/>
        <v>4.794520547945206</v>
      </c>
      <c r="L1621" s="3">
        <f t="shared" si="165"/>
        <v>354.79452054794524</v>
      </c>
      <c r="M1621" s="3">
        <f t="shared" si="166"/>
        <v>21.287671232876715</v>
      </c>
      <c r="N1621" s="67">
        <f t="shared" si="167"/>
        <v>333.50684931506851</v>
      </c>
      <c r="O1621" s="3"/>
      <c r="P1621" s="70" t="s">
        <v>18605</v>
      </c>
      <c r="Q1621" s="2" t="s">
        <v>47</v>
      </c>
      <c r="R1621" s="2" t="s">
        <v>16949</v>
      </c>
      <c r="T1621" t="s">
        <v>18666</v>
      </c>
      <c r="U1621" t="s">
        <v>18652</v>
      </c>
      <c r="V1621" s="104">
        <v>45857</v>
      </c>
      <c r="X1621" s="97"/>
      <c r="Y1621" s="75">
        <v>333.51</v>
      </c>
    </row>
    <row r="1622" spans="1:25" x14ac:dyDescent="0.25">
      <c r="A1622" s="76">
        <v>1654</v>
      </c>
      <c r="B1622" s="2" t="s">
        <v>16014</v>
      </c>
      <c r="C1622" s="2" t="s">
        <v>16015</v>
      </c>
      <c r="D1622" s="2" t="s">
        <v>16016</v>
      </c>
      <c r="E1622" s="2" t="s">
        <v>16017</v>
      </c>
      <c r="F1622" s="2" t="s">
        <v>16018</v>
      </c>
      <c r="G1622" s="2" t="s">
        <v>750</v>
      </c>
      <c r="H1622" s="17">
        <v>25</v>
      </c>
      <c r="I1622" s="31">
        <f t="shared" si="162"/>
        <v>25000</v>
      </c>
      <c r="J1622" s="31">
        <f t="shared" si="163"/>
        <v>1750.0000000000002</v>
      </c>
      <c r="K1622" s="44">
        <f t="shared" si="164"/>
        <v>4.794520547945206</v>
      </c>
      <c r="L1622" s="3">
        <f t="shared" si="165"/>
        <v>354.79452054794524</v>
      </c>
      <c r="M1622" s="3">
        <f t="shared" si="166"/>
        <v>21.287671232876715</v>
      </c>
      <c r="N1622" s="67">
        <f t="shared" si="167"/>
        <v>333.50684931506851</v>
      </c>
      <c r="O1622" s="3"/>
      <c r="P1622" s="70" t="s">
        <v>18605</v>
      </c>
      <c r="Q1622" s="2" t="s">
        <v>47</v>
      </c>
      <c r="R1622" s="2" t="s">
        <v>16019</v>
      </c>
      <c r="T1622" t="s">
        <v>18666</v>
      </c>
      <c r="U1622" t="s">
        <v>18652</v>
      </c>
      <c r="V1622" s="104">
        <v>45857</v>
      </c>
      <c r="X1622" s="97"/>
      <c r="Y1622" s="75">
        <v>333.51</v>
      </c>
    </row>
    <row r="1623" spans="1:25" x14ac:dyDescent="0.25">
      <c r="A1623" s="76">
        <v>1655</v>
      </c>
      <c r="B1623" s="2" t="s">
        <v>14787</v>
      </c>
      <c r="C1623" s="2" t="s">
        <v>14788</v>
      </c>
      <c r="D1623" s="2" t="s">
        <v>14789</v>
      </c>
      <c r="E1623" s="2" t="s">
        <v>14790</v>
      </c>
      <c r="F1623" s="2" t="s">
        <v>14791</v>
      </c>
      <c r="G1623" s="2" t="s">
        <v>39</v>
      </c>
      <c r="H1623" s="17">
        <v>25</v>
      </c>
      <c r="I1623" s="31">
        <f t="shared" si="162"/>
        <v>25000</v>
      </c>
      <c r="J1623" s="31">
        <f t="shared" si="163"/>
        <v>1750.0000000000002</v>
      </c>
      <c r="K1623" s="44">
        <f t="shared" si="164"/>
        <v>4.794520547945206</v>
      </c>
      <c r="L1623" s="3">
        <f t="shared" si="165"/>
        <v>354.79452054794524</v>
      </c>
      <c r="M1623" s="3">
        <f t="shared" si="166"/>
        <v>21.287671232876715</v>
      </c>
      <c r="N1623" s="67">
        <f t="shared" si="167"/>
        <v>333.50684931506851</v>
      </c>
      <c r="O1623" s="3"/>
      <c r="P1623" s="70" t="s">
        <v>18605</v>
      </c>
      <c r="Q1623" s="2" t="s">
        <v>47</v>
      </c>
      <c r="R1623" s="2" t="s">
        <v>14792</v>
      </c>
      <c r="T1623" t="s">
        <v>18666</v>
      </c>
      <c r="U1623" t="s">
        <v>18652</v>
      </c>
      <c r="V1623" s="104">
        <v>45857</v>
      </c>
      <c r="X1623" s="97"/>
      <c r="Y1623" s="75">
        <v>333.51</v>
      </c>
    </row>
    <row r="1624" spans="1:25" x14ac:dyDescent="0.25">
      <c r="A1624" s="76">
        <v>1656</v>
      </c>
      <c r="B1624" s="2" t="s">
        <v>10255</v>
      </c>
      <c r="C1624" s="2" t="s">
        <v>10256</v>
      </c>
      <c r="D1624" s="2" t="s">
        <v>10257</v>
      </c>
      <c r="E1624" s="2" t="s">
        <v>10258</v>
      </c>
      <c r="F1624" s="2" t="s">
        <v>10259</v>
      </c>
      <c r="G1624" s="2" t="s">
        <v>750</v>
      </c>
      <c r="H1624" s="17">
        <v>25</v>
      </c>
      <c r="I1624" s="31">
        <f t="shared" si="162"/>
        <v>25000</v>
      </c>
      <c r="J1624" s="31">
        <f t="shared" si="163"/>
        <v>1750.0000000000002</v>
      </c>
      <c r="K1624" s="44">
        <f t="shared" si="164"/>
        <v>4.794520547945206</v>
      </c>
      <c r="L1624" s="3">
        <f t="shared" si="165"/>
        <v>354.79452054794524</v>
      </c>
      <c r="M1624" s="3">
        <f t="shared" si="166"/>
        <v>21.287671232876715</v>
      </c>
      <c r="N1624" s="67">
        <f t="shared" si="167"/>
        <v>333.50684931506851</v>
      </c>
      <c r="O1624" s="3"/>
      <c r="P1624" s="70" t="s">
        <v>18605</v>
      </c>
      <c r="Q1624" s="2" t="s">
        <v>47</v>
      </c>
      <c r="R1624" s="2" t="s">
        <v>10260</v>
      </c>
      <c r="T1624" t="s">
        <v>18666</v>
      </c>
      <c r="U1624" t="s">
        <v>18652</v>
      </c>
      <c r="V1624" s="104">
        <v>45857</v>
      </c>
      <c r="X1624" s="97"/>
      <c r="Y1624" s="75">
        <v>333.51</v>
      </c>
    </row>
    <row r="1625" spans="1:25" x14ac:dyDescent="0.25">
      <c r="A1625" s="76">
        <v>1657</v>
      </c>
      <c r="B1625" s="2" t="s">
        <v>10261</v>
      </c>
      <c r="C1625" s="2" t="s">
        <v>10262</v>
      </c>
      <c r="D1625" s="2" t="s">
        <v>10263</v>
      </c>
      <c r="E1625" s="2" t="s">
        <v>10258</v>
      </c>
      <c r="F1625" s="2" t="s">
        <v>10264</v>
      </c>
      <c r="G1625" s="2" t="s">
        <v>750</v>
      </c>
      <c r="H1625" s="17">
        <v>25</v>
      </c>
      <c r="I1625" s="31">
        <f t="shared" si="162"/>
        <v>25000</v>
      </c>
      <c r="J1625" s="31">
        <f t="shared" si="163"/>
        <v>1750.0000000000002</v>
      </c>
      <c r="K1625" s="44">
        <f t="shared" si="164"/>
        <v>4.794520547945206</v>
      </c>
      <c r="L1625" s="3">
        <f t="shared" si="165"/>
        <v>354.79452054794524</v>
      </c>
      <c r="M1625" s="3">
        <f t="shared" si="166"/>
        <v>21.287671232876715</v>
      </c>
      <c r="N1625" s="67">
        <f t="shared" si="167"/>
        <v>333.50684931506851</v>
      </c>
      <c r="O1625" s="3"/>
      <c r="P1625" s="70" t="s">
        <v>18605</v>
      </c>
      <c r="Q1625" s="2" t="s">
        <v>47</v>
      </c>
      <c r="R1625" s="2" t="s">
        <v>10265</v>
      </c>
      <c r="T1625" t="s">
        <v>18666</v>
      </c>
      <c r="U1625" t="s">
        <v>18652</v>
      </c>
      <c r="V1625" s="104">
        <v>45857</v>
      </c>
      <c r="X1625" s="97"/>
      <c r="Y1625" s="75">
        <v>333.51</v>
      </c>
    </row>
    <row r="1626" spans="1:25" x14ac:dyDescent="0.25">
      <c r="A1626" s="76">
        <v>1658</v>
      </c>
      <c r="B1626" s="2" t="s">
        <v>17317</v>
      </c>
      <c r="C1626" s="2" t="s">
        <v>17318</v>
      </c>
      <c r="D1626" s="2" t="s">
        <v>17319</v>
      </c>
      <c r="E1626" s="2" t="s">
        <v>17320</v>
      </c>
      <c r="F1626" s="2" t="s">
        <v>17321</v>
      </c>
      <c r="G1626" s="2" t="s">
        <v>186</v>
      </c>
      <c r="H1626" s="17">
        <v>50</v>
      </c>
      <c r="I1626" s="31">
        <f t="shared" si="162"/>
        <v>50000</v>
      </c>
      <c r="J1626" s="31">
        <f t="shared" si="163"/>
        <v>3500.0000000000005</v>
      </c>
      <c r="K1626" s="44">
        <f t="shared" si="164"/>
        <v>9.589041095890412</v>
      </c>
      <c r="L1626" s="3">
        <f t="shared" si="165"/>
        <v>709.58904109589048</v>
      </c>
      <c r="M1626" s="3">
        <f t="shared" si="166"/>
        <v>42.57534246575343</v>
      </c>
      <c r="N1626" s="67">
        <f t="shared" si="167"/>
        <v>667.01369863013701</v>
      </c>
      <c r="O1626" s="3"/>
      <c r="P1626" s="70" t="s">
        <v>18605</v>
      </c>
      <c r="Q1626" s="2" t="s">
        <v>47</v>
      </c>
      <c r="R1626" s="2" t="s">
        <v>17322</v>
      </c>
      <c r="T1626" t="s">
        <v>18666</v>
      </c>
      <c r="U1626" t="s">
        <v>18652</v>
      </c>
      <c r="V1626" s="104">
        <v>45857</v>
      </c>
      <c r="X1626" s="97"/>
      <c r="Y1626" s="75">
        <v>667.02</v>
      </c>
    </row>
    <row r="1627" spans="1:25" x14ac:dyDescent="0.25">
      <c r="A1627" s="76">
        <v>1659</v>
      </c>
      <c r="B1627" s="2" t="s">
        <v>5637</v>
      </c>
      <c r="C1627" s="2" t="s">
        <v>5638</v>
      </c>
      <c r="D1627" s="2" t="s">
        <v>5639</v>
      </c>
      <c r="E1627" s="2" t="s">
        <v>5640</v>
      </c>
      <c r="F1627" s="2" t="s">
        <v>5641</v>
      </c>
      <c r="G1627" s="2" t="s">
        <v>412</v>
      </c>
      <c r="H1627" s="17">
        <v>25</v>
      </c>
      <c r="I1627" s="31">
        <f t="shared" si="162"/>
        <v>25000</v>
      </c>
      <c r="J1627" s="31">
        <f t="shared" si="163"/>
        <v>1750.0000000000002</v>
      </c>
      <c r="K1627" s="44">
        <f t="shared" si="164"/>
        <v>4.794520547945206</v>
      </c>
      <c r="L1627" s="3">
        <f t="shared" si="165"/>
        <v>354.79452054794524</v>
      </c>
      <c r="M1627" s="3">
        <f t="shared" si="166"/>
        <v>21.287671232876715</v>
      </c>
      <c r="N1627" s="67">
        <f t="shared" si="167"/>
        <v>333.50684931506851</v>
      </c>
      <c r="O1627" s="3"/>
      <c r="P1627" s="70" t="s">
        <v>18605</v>
      </c>
      <c r="Q1627" s="2" t="s">
        <v>47</v>
      </c>
      <c r="R1627" s="2" t="s">
        <v>5642</v>
      </c>
      <c r="T1627" t="s">
        <v>18666</v>
      </c>
      <c r="U1627" t="s">
        <v>18652</v>
      </c>
      <c r="V1627" s="104">
        <v>45857</v>
      </c>
      <c r="X1627" s="97"/>
      <c r="Y1627" s="75">
        <v>333.51</v>
      </c>
    </row>
    <row r="1628" spans="1:25" x14ac:dyDescent="0.25">
      <c r="A1628" s="76">
        <v>1660</v>
      </c>
      <c r="B1628" s="2" t="s">
        <v>3784</v>
      </c>
      <c r="C1628" s="2" t="s">
        <v>3785</v>
      </c>
      <c r="D1628" s="2" t="s">
        <v>3786</v>
      </c>
      <c r="E1628" s="2" t="s">
        <v>3787</v>
      </c>
      <c r="F1628" s="2" t="s">
        <v>3788</v>
      </c>
      <c r="G1628" s="2" t="s">
        <v>23</v>
      </c>
      <c r="H1628" s="17">
        <v>25</v>
      </c>
      <c r="I1628" s="31">
        <f t="shared" si="162"/>
        <v>25000</v>
      </c>
      <c r="J1628" s="31">
        <f t="shared" si="163"/>
        <v>1750.0000000000002</v>
      </c>
      <c r="K1628" s="44">
        <f t="shared" si="164"/>
        <v>4.794520547945206</v>
      </c>
      <c r="L1628" s="3">
        <f t="shared" si="165"/>
        <v>354.79452054794524</v>
      </c>
      <c r="M1628" s="3">
        <f t="shared" si="166"/>
        <v>21.287671232876715</v>
      </c>
      <c r="N1628" s="67">
        <f t="shared" si="167"/>
        <v>333.50684931506851</v>
      </c>
      <c r="O1628" s="3"/>
      <c r="P1628" s="70" t="s">
        <v>18605</v>
      </c>
      <c r="Q1628" s="2" t="s">
        <v>47</v>
      </c>
      <c r="R1628" s="2" t="s">
        <v>3789</v>
      </c>
      <c r="T1628" t="s">
        <v>18666</v>
      </c>
      <c r="U1628" t="s">
        <v>18652</v>
      </c>
      <c r="V1628" s="104">
        <v>45857</v>
      </c>
      <c r="X1628" s="97"/>
      <c r="Y1628" s="75">
        <v>333.51</v>
      </c>
    </row>
    <row r="1629" spans="1:25" x14ac:dyDescent="0.25">
      <c r="A1629" s="76">
        <v>1661</v>
      </c>
      <c r="B1629" s="2" t="s">
        <v>13013</v>
      </c>
      <c r="C1629" s="2" t="s">
        <v>13014</v>
      </c>
      <c r="D1629" s="2" t="s">
        <v>301</v>
      </c>
      <c r="E1629" s="2" t="s">
        <v>13015</v>
      </c>
      <c r="F1629" s="2" t="s">
        <v>13016</v>
      </c>
      <c r="G1629" s="2" t="s">
        <v>247</v>
      </c>
      <c r="H1629" s="17">
        <v>30</v>
      </c>
      <c r="I1629" s="31">
        <f t="shared" si="162"/>
        <v>30000</v>
      </c>
      <c r="J1629" s="31">
        <f t="shared" si="163"/>
        <v>2100</v>
      </c>
      <c r="K1629" s="44">
        <f t="shared" si="164"/>
        <v>5.7534246575342465</v>
      </c>
      <c r="L1629" s="3">
        <f t="shared" si="165"/>
        <v>425.75342465753425</v>
      </c>
      <c r="M1629" s="3">
        <f t="shared" si="166"/>
        <v>25.545205479452054</v>
      </c>
      <c r="N1629" s="67">
        <f t="shared" si="167"/>
        <v>400.20821917808217</v>
      </c>
      <c r="O1629" s="3"/>
      <c r="P1629" s="70" t="s">
        <v>18605</v>
      </c>
      <c r="Q1629" s="2" t="s">
        <v>47</v>
      </c>
      <c r="R1629" s="2" t="s">
        <v>13017</v>
      </c>
      <c r="T1629" t="s">
        <v>18666</v>
      </c>
      <c r="U1629" t="s">
        <v>18652</v>
      </c>
      <c r="V1629" s="104">
        <v>45857</v>
      </c>
      <c r="X1629" s="97"/>
      <c r="Y1629" s="75">
        <v>400.21</v>
      </c>
    </row>
    <row r="1630" spans="1:25" x14ac:dyDescent="0.25">
      <c r="A1630" s="76">
        <v>1662</v>
      </c>
      <c r="B1630" s="2" t="s">
        <v>5202</v>
      </c>
      <c r="C1630" s="2" t="s">
        <v>5203</v>
      </c>
      <c r="D1630" s="2" t="s">
        <v>5204</v>
      </c>
      <c r="E1630" s="2" t="s">
        <v>5205</v>
      </c>
      <c r="F1630" s="2" t="s">
        <v>5206</v>
      </c>
      <c r="G1630" s="2" t="s">
        <v>31</v>
      </c>
      <c r="H1630" s="17">
        <v>260</v>
      </c>
      <c r="I1630" s="31">
        <f t="shared" si="162"/>
        <v>260000</v>
      </c>
      <c r="J1630" s="31">
        <f t="shared" si="163"/>
        <v>18200</v>
      </c>
      <c r="K1630" s="44">
        <f t="shared" si="164"/>
        <v>49.863013698630134</v>
      </c>
      <c r="L1630" s="3">
        <f t="shared" si="165"/>
        <v>3689.8630136986299</v>
      </c>
      <c r="M1630" s="3">
        <f t="shared" si="166"/>
        <v>221.39178082191779</v>
      </c>
      <c r="N1630" s="67">
        <f t="shared" si="167"/>
        <v>3468.4712328767118</v>
      </c>
      <c r="O1630" s="3"/>
      <c r="P1630" s="70" t="s">
        <v>18605</v>
      </c>
      <c r="Q1630" s="2" t="s">
        <v>47</v>
      </c>
      <c r="R1630" s="2" t="s">
        <v>5207</v>
      </c>
      <c r="T1630" t="s">
        <v>18666</v>
      </c>
      <c r="U1630" t="s">
        <v>18652</v>
      </c>
      <c r="V1630" s="104">
        <v>45857</v>
      </c>
      <c r="X1630" s="97"/>
      <c r="Y1630" s="75">
        <v>3468.48</v>
      </c>
    </row>
    <row r="1631" spans="1:25" x14ac:dyDescent="0.25">
      <c r="A1631" s="76">
        <v>1663</v>
      </c>
      <c r="B1631" s="2" t="s">
        <v>1671</v>
      </c>
      <c r="C1631" s="2" t="s">
        <v>1672</v>
      </c>
      <c r="D1631" s="2" t="s">
        <v>1673</v>
      </c>
      <c r="E1631" s="2" t="s">
        <v>1674</v>
      </c>
      <c r="F1631" s="2" t="s">
        <v>1675</v>
      </c>
      <c r="G1631" s="2" t="s">
        <v>101</v>
      </c>
      <c r="H1631" s="17">
        <v>25</v>
      </c>
      <c r="I1631" s="31">
        <f t="shared" si="162"/>
        <v>25000</v>
      </c>
      <c r="J1631" s="31">
        <f t="shared" si="163"/>
        <v>1750.0000000000002</v>
      </c>
      <c r="K1631" s="44">
        <f t="shared" si="164"/>
        <v>4.794520547945206</v>
      </c>
      <c r="L1631" s="3">
        <f t="shared" si="165"/>
        <v>354.79452054794524</v>
      </c>
      <c r="M1631" s="3">
        <f t="shared" si="166"/>
        <v>21.287671232876715</v>
      </c>
      <c r="N1631" s="67">
        <f t="shared" si="167"/>
        <v>333.50684931506851</v>
      </c>
      <c r="O1631" s="3"/>
      <c r="P1631" s="70" t="s">
        <v>18605</v>
      </c>
      <c r="Q1631" s="2" t="s">
        <v>47</v>
      </c>
      <c r="R1631" s="2" t="s">
        <v>1676</v>
      </c>
      <c r="T1631" t="s">
        <v>18666</v>
      </c>
      <c r="U1631" t="s">
        <v>18652</v>
      </c>
      <c r="V1631" s="104">
        <v>45857</v>
      </c>
      <c r="X1631" s="97"/>
      <c r="Y1631" s="75">
        <v>333.51</v>
      </c>
    </row>
    <row r="1632" spans="1:25" x14ac:dyDescent="0.25">
      <c r="A1632" s="76">
        <v>1664</v>
      </c>
      <c r="B1632" s="2" t="s">
        <v>1683</v>
      </c>
      <c r="C1632" s="2" t="s">
        <v>1684</v>
      </c>
      <c r="D1632" s="2" t="s">
        <v>1673</v>
      </c>
      <c r="E1632" s="2" t="s">
        <v>1674</v>
      </c>
      <c r="F1632" s="2" t="s">
        <v>1685</v>
      </c>
      <c r="G1632" s="2" t="s">
        <v>101</v>
      </c>
      <c r="H1632" s="17">
        <v>25</v>
      </c>
      <c r="I1632" s="31">
        <f t="shared" si="162"/>
        <v>25000</v>
      </c>
      <c r="J1632" s="31">
        <f t="shared" si="163"/>
        <v>1750.0000000000002</v>
      </c>
      <c r="K1632" s="44">
        <f t="shared" si="164"/>
        <v>4.794520547945206</v>
      </c>
      <c r="L1632" s="3">
        <f t="shared" si="165"/>
        <v>354.79452054794524</v>
      </c>
      <c r="M1632" s="3">
        <f t="shared" si="166"/>
        <v>21.287671232876715</v>
      </c>
      <c r="N1632" s="67">
        <f t="shared" si="167"/>
        <v>333.50684931506851</v>
      </c>
      <c r="O1632" s="3"/>
      <c r="P1632" s="70" t="s">
        <v>18605</v>
      </c>
      <c r="Q1632" s="2" t="s">
        <v>47</v>
      </c>
      <c r="R1632" s="2" t="s">
        <v>1686</v>
      </c>
      <c r="T1632" t="s">
        <v>18666</v>
      </c>
      <c r="U1632" t="s">
        <v>18652</v>
      </c>
      <c r="V1632" s="104">
        <v>45857</v>
      </c>
      <c r="X1632" s="97"/>
      <c r="Y1632" s="75">
        <v>333.51</v>
      </c>
    </row>
    <row r="1633" spans="1:25" x14ac:dyDescent="0.25">
      <c r="A1633" s="76">
        <v>1665</v>
      </c>
      <c r="B1633" s="2" t="s">
        <v>7291</v>
      </c>
      <c r="C1633" s="2" t="s">
        <v>7292</v>
      </c>
      <c r="D1633" s="2" t="s">
        <v>7293</v>
      </c>
      <c r="E1633" s="2" t="s">
        <v>7294</v>
      </c>
      <c r="F1633" s="2" t="s">
        <v>7295</v>
      </c>
      <c r="G1633" s="2" t="s">
        <v>750</v>
      </c>
      <c r="H1633" s="17">
        <v>50</v>
      </c>
      <c r="I1633" s="31">
        <f t="shared" si="162"/>
        <v>50000</v>
      </c>
      <c r="J1633" s="31">
        <f t="shared" si="163"/>
        <v>3500.0000000000005</v>
      </c>
      <c r="K1633" s="44">
        <f t="shared" si="164"/>
        <v>9.589041095890412</v>
      </c>
      <c r="L1633" s="3">
        <f t="shared" si="165"/>
        <v>709.58904109589048</v>
      </c>
      <c r="M1633" s="3">
        <f t="shared" si="166"/>
        <v>42.57534246575343</v>
      </c>
      <c r="N1633" s="67">
        <f t="shared" si="167"/>
        <v>667.01369863013701</v>
      </c>
      <c r="O1633" s="3"/>
      <c r="P1633" s="70" t="s">
        <v>18605</v>
      </c>
      <c r="Q1633" s="2" t="s">
        <v>47</v>
      </c>
      <c r="R1633" s="2" t="s">
        <v>7296</v>
      </c>
      <c r="T1633" t="s">
        <v>18666</v>
      </c>
      <c r="U1633" t="s">
        <v>18652</v>
      </c>
      <c r="V1633" s="104">
        <v>45857</v>
      </c>
      <c r="X1633" s="97"/>
      <c r="Y1633" s="75">
        <v>667.02</v>
      </c>
    </row>
    <row r="1634" spans="1:25" x14ac:dyDescent="0.25">
      <c r="A1634" s="76">
        <v>1666</v>
      </c>
      <c r="B1634" s="2" t="s">
        <v>17277</v>
      </c>
      <c r="C1634" s="2" t="s">
        <v>17278</v>
      </c>
      <c r="D1634" s="2" t="s">
        <v>17279</v>
      </c>
      <c r="E1634" s="2" t="s">
        <v>17280</v>
      </c>
      <c r="F1634" s="2" t="s">
        <v>17281</v>
      </c>
      <c r="G1634" s="2" t="s">
        <v>61</v>
      </c>
      <c r="H1634" s="17">
        <v>25</v>
      </c>
      <c r="I1634" s="31">
        <f t="shared" si="162"/>
        <v>25000</v>
      </c>
      <c r="J1634" s="31">
        <f t="shared" si="163"/>
        <v>1750.0000000000002</v>
      </c>
      <c r="K1634" s="44">
        <f t="shared" si="164"/>
        <v>4.794520547945206</v>
      </c>
      <c r="L1634" s="3">
        <f t="shared" si="165"/>
        <v>354.79452054794524</v>
      </c>
      <c r="M1634" s="3">
        <f t="shared" si="166"/>
        <v>21.287671232876715</v>
      </c>
      <c r="N1634" s="67">
        <f t="shared" si="167"/>
        <v>333.50684931506851</v>
      </c>
      <c r="O1634" s="3"/>
      <c r="P1634" s="70" t="s">
        <v>18605</v>
      </c>
      <c r="Q1634" s="2" t="s">
        <v>47</v>
      </c>
      <c r="R1634" s="2" t="s">
        <v>17282</v>
      </c>
      <c r="T1634" t="s">
        <v>18666</v>
      </c>
      <c r="U1634" t="s">
        <v>18652</v>
      </c>
      <c r="V1634" s="104">
        <v>45857</v>
      </c>
      <c r="X1634" s="97"/>
      <c r="Y1634" s="75">
        <v>333.51</v>
      </c>
    </row>
    <row r="1635" spans="1:25" x14ac:dyDescent="0.25">
      <c r="A1635" s="76">
        <v>1667</v>
      </c>
      <c r="B1635" s="2" t="s">
        <v>6124</v>
      </c>
      <c r="C1635" s="2" t="s">
        <v>6125</v>
      </c>
      <c r="D1635" s="2" t="s">
        <v>6126</v>
      </c>
      <c r="E1635" s="2" t="s">
        <v>6127</v>
      </c>
      <c r="F1635" s="2" t="s">
        <v>6128</v>
      </c>
      <c r="G1635" s="2" t="s">
        <v>2680</v>
      </c>
      <c r="H1635" s="17">
        <v>25</v>
      </c>
      <c r="I1635" s="31">
        <f t="shared" si="162"/>
        <v>25000</v>
      </c>
      <c r="J1635" s="31">
        <f t="shared" si="163"/>
        <v>1750.0000000000002</v>
      </c>
      <c r="K1635" s="44">
        <f t="shared" si="164"/>
        <v>4.794520547945206</v>
      </c>
      <c r="L1635" s="3">
        <f t="shared" si="165"/>
        <v>354.79452054794524</v>
      </c>
      <c r="M1635" s="3">
        <f t="shared" si="166"/>
        <v>21.287671232876715</v>
      </c>
      <c r="N1635" s="67">
        <f t="shared" si="167"/>
        <v>333.50684931506851</v>
      </c>
      <c r="O1635" s="3"/>
      <c r="P1635" s="70" t="s">
        <v>18605</v>
      </c>
      <c r="Q1635" s="2" t="s">
        <v>47</v>
      </c>
      <c r="R1635" s="2" t="s">
        <v>6129</v>
      </c>
      <c r="T1635" t="s">
        <v>18666</v>
      </c>
      <c r="U1635" t="s">
        <v>18652</v>
      </c>
      <c r="V1635" s="104">
        <v>45857</v>
      </c>
      <c r="X1635" s="97"/>
      <c r="Y1635" s="75">
        <v>333.51</v>
      </c>
    </row>
    <row r="1636" spans="1:25" x14ac:dyDescent="0.25">
      <c r="A1636" s="76">
        <v>1668</v>
      </c>
      <c r="B1636" s="2" t="s">
        <v>4996</v>
      </c>
      <c r="C1636" s="2" t="s">
        <v>4997</v>
      </c>
      <c r="D1636" s="2" t="s">
        <v>4998</v>
      </c>
      <c r="E1636" s="2" t="s">
        <v>4999</v>
      </c>
      <c r="F1636" s="2" t="s">
        <v>5000</v>
      </c>
      <c r="G1636" s="2" t="s">
        <v>226</v>
      </c>
      <c r="H1636" s="17">
        <v>25</v>
      </c>
      <c r="I1636" s="31">
        <f t="shared" si="162"/>
        <v>25000</v>
      </c>
      <c r="J1636" s="31">
        <f t="shared" si="163"/>
        <v>1750.0000000000002</v>
      </c>
      <c r="K1636" s="44">
        <f t="shared" si="164"/>
        <v>4.794520547945206</v>
      </c>
      <c r="L1636" s="3">
        <f t="shared" si="165"/>
        <v>354.79452054794524</v>
      </c>
      <c r="M1636" s="3">
        <f t="shared" si="166"/>
        <v>21.287671232876715</v>
      </c>
      <c r="N1636" s="67">
        <f t="shared" si="167"/>
        <v>333.50684931506851</v>
      </c>
      <c r="O1636" s="3"/>
      <c r="P1636" s="70" t="s">
        <v>18605</v>
      </c>
      <c r="Q1636" s="2" t="s">
        <v>47</v>
      </c>
      <c r="R1636" s="2" t="s">
        <v>5001</v>
      </c>
      <c r="T1636" t="s">
        <v>18666</v>
      </c>
      <c r="U1636" t="s">
        <v>18652</v>
      </c>
      <c r="V1636" s="104">
        <v>45857</v>
      </c>
      <c r="X1636" s="97"/>
      <c r="Y1636" s="75">
        <v>333.51</v>
      </c>
    </row>
    <row r="1637" spans="1:25" x14ac:dyDescent="0.25">
      <c r="A1637" s="76">
        <v>1669</v>
      </c>
      <c r="B1637" s="2" t="s">
        <v>12039</v>
      </c>
      <c r="C1637" s="2" t="s">
        <v>12040</v>
      </c>
      <c r="D1637" s="2" t="s">
        <v>12041</v>
      </c>
      <c r="E1637" s="2" t="s">
        <v>12042</v>
      </c>
      <c r="F1637" s="2" t="s">
        <v>12043</v>
      </c>
      <c r="G1637" s="2" t="s">
        <v>643</v>
      </c>
      <c r="H1637" s="17">
        <v>25</v>
      </c>
      <c r="I1637" s="31">
        <f t="shared" si="162"/>
        <v>25000</v>
      </c>
      <c r="J1637" s="31">
        <f t="shared" si="163"/>
        <v>1750.0000000000002</v>
      </c>
      <c r="K1637" s="44">
        <f t="shared" si="164"/>
        <v>4.794520547945206</v>
      </c>
      <c r="L1637" s="3">
        <f t="shared" si="165"/>
        <v>354.79452054794524</v>
      </c>
      <c r="M1637" s="3">
        <f t="shared" si="166"/>
        <v>21.287671232876715</v>
      </c>
      <c r="N1637" s="67">
        <f t="shared" si="167"/>
        <v>333.50684931506851</v>
      </c>
      <c r="O1637" s="3"/>
      <c r="P1637" s="70" t="s">
        <v>18605</v>
      </c>
      <c r="Q1637" s="2" t="s">
        <v>47</v>
      </c>
      <c r="R1637" s="2" t="s">
        <v>12044</v>
      </c>
      <c r="T1637" t="s">
        <v>18666</v>
      </c>
      <c r="U1637" t="s">
        <v>18652</v>
      </c>
      <c r="V1637" s="104">
        <v>45857</v>
      </c>
      <c r="X1637" s="97"/>
      <c r="Y1637" s="75">
        <v>333.51</v>
      </c>
    </row>
    <row r="1638" spans="1:25" x14ac:dyDescent="0.25">
      <c r="A1638" s="76">
        <v>1670</v>
      </c>
      <c r="B1638" s="2" t="s">
        <v>12774</v>
      </c>
      <c r="C1638" s="2" t="s">
        <v>12775</v>
      </c>
      <c r="D1638" s="2" t="s">
        <v>12776</v>
      </c>
      <c r="E1638" s="2" t="s">
        <v>12777</v>
      </c>
      <c r="F1638" s="2" t="s">
        <v>12778</v>
      </c>
      <c r="G1638" s="2" t="s">
        <v>282</v>
      </c>
      <c r="H1638" s="17">
        <v>25</v>
      </c>
      <c r="I1638" s="31">
        <f t="shared" si="162"/>
        <v>25000</v>
      </c>
      <c r="J1638" s="31">
        <f t="shared" si="163"/>
        <v>1750.0000000000002</v>
      </c>
      <c r="K1638" s="44">
        <f t="shared" si="164"/>
        <v>4.794520547945206</v>
      </c>
      <c r="L1638" s="3">
        <f t="shared" si="165"/>
        <v>354.79452054794524</v>
      </c>
      <c r="M1638" s="3">
        <f t="shared" si="166"/>
        <v>21.287671232876715</v>
      </c>
      <c r="N1638" s="67">
        <f t="shared" si="167"/>
        <v>333.50684931506851</v>
      </c>
      <c r="O1638" s="3"/>
      <c r="P1638" s="70" t="s">
        <v>18605</v>
      </c>
      <c r="Q1638" s="2" t="s">
        <v>47</v>
      </c>
      <c r="R1638" s="2" t="s">
        <v>12779</v>
      </c>
      <c r="T1638" t="s">
        <v>18666</v>
      </c>
      <c r="U1638" t="s">
        <v>18652</v>
      </c>
      <c r="V1638" s="104">
        <v>45857</v>
      </c>
      <c r="X1638" s="97"/>
      <c r="Y1638" s="75">
        <v>333.51</v>
      </c>
    </row>
    <row r="1639" spans="1:25" x14ac:dyDescent="0.25">
      <c r="A1639" s="76">
        <v>1671</v>
      </c>
      <c r="B1639" s="2" t="s">
        <v>11927</v>
      </c>
      <c r="C1639" s="2" t="s">
        <v>11928</v>
      </c>
      <c r="D1639" s="2" t="s">
        <v>11929</v>
      </c>
      <c r="E1639" s="2" t="s">
        <v>11930</v>
      </c>
      <c r="F1639" s="2" t="s">
        <v>11931</v>
      </c>
      <c r="G1639" s="2" t="s">
        <v>193</v>
      </c>
      <c r="H1639" s="17">
        <v>30</v>
      </c>
      <c r="I1639" s="31">
        <f t="shared" si="162"/>
        <v>30000</v>
      </c>
      <c r="J1639" s="31">
        <f t="shared" si="163"/>
        <v>2100</v>
      </c>
      <c r="K1639" s="44">
        <f t="shared" si="164"/>
        <v>5.7534246575342465</v>
      </c>
      <c r="L1639" s="3">
        <f t="shared" si="165"/>
        <v>425.75342465753425</v>
      </c>
      <c r="M1639" s="3">
        <f t="shared" si="166"/>
        <v>25.545205479452054</v>
      </c>
      <c r="N1639" s="67">
        <f t="shared" si="167"/>
        <v>400.20821917808217</v>
      </c>
      <c r="O1639" s="3"/>
      <c r="P1639" s="70" t="s">
        <v>18605</v>
      </c>
      <c r="Q1639" s="2" t="s">
        <v>47</v>
      </c>
      <c r="R1639" s="2" t="s">
        <v>11932</v>
      </c>
      <c r="T1639" t="s">
        <v>18666</v>
      </c>
      <c r="U1639" t="s">
        <v>18652</v>
      </c>
      <c r="V1639" s="104">
        <v>45857</v>
      </c>
      <c r="X1639" s="97"/>
      <c r="Y1639" s="75">
        <v>400.21</v>
      </c>
    </row>
    <row r="1640" spans="1:25" x14ac:dyDescent="0.25">
      <c r="A1640" s="76">
        <v>1672</v>
      </c>
      <c r="B1640" s="2" t="s">
        <v>16635</v>
      </c>
      <c r="C1640" s="2" t="s">
        <v>16636</v>
      </c>
      <c r="D1640" s="2" t="s">
        <v>16637</v>
      </c>
      <c r="E1640" s="2" t="s">
        <v>16638</v>
      </c>
      <c r="F1640" s="2" t="s">
        <v>16639</v>
      </c>
      <c r="G1640" s="2" t="s">
        <v>1823</v>
      </c>
      <c r="H1640" s="17">
        <v>25</v>
      </c>
      <c r="I1640" s="31">
        <f t="shared" si="162"/>
        <v>25000</v>
      </c>
      <c r="J1640" s="31">
        <f t="shared" si="163"/>
        <v>1750.0000000000002</v>
      </c>
      <c r="K1640" s="44">
        <f t="shared" si="164"/>
        <v>4.794520547945206</v>
      </c>
      <c r="L1640" s="3">
        <f t="shared" si="165"/>
        <v>354.79452054794524</v>
      </c>
      <c r="M1640" s="3">
        <f t="shared" si="166"/>
        <v>21.287671232876715</v>
      </c>
      <c r="N1640" s="67">
        <f t="shared" si="167"/>
        <v>333.50684931506851</v>
      </c>
      <c r="O1640" s="3"/>
      <c r="P1640" s="70" t="s">
        <v>18605</v>
      </c>
      <c r="Q1640" s="2" t="s">
        <v>47</v>
      </c>
      <c r="R1640" s="2" t="s">
        <v>16640</v>
      </c>
      <c r="T1640" t="s">
        <v>18666</v>
      </c>
      <c r="U1640" t="s">
        <v>18652</v>
      </c>
      <c r="V1640" s="104">
        <v>45857</v>
      </c>
      <c r="X1640" s="97"/>
      <c r="Y1640" s="75">
        <v>333.51</v>
      </c>
    </row>
    <row r="1641" spans="1:25" x14ac:dyDescent="0.25">
      <c r="A1641" s="76">
        <v>1673</v>
      </c>
      <c r="B1641" s="2" t="s">
        <v>11341</v>
      </c>
      <c r="C1641" s="2" t="s">
        <v>11342</v>
      </c>
      <c r="D1641" s="2" t="s">
        <v>11343</v>
      </c>
      <c r="E1641" s="2" t="s">
        <v>11344</v>
      </c>
      <c r="F1641" s="2" t="s">
        <v>11345</v>
      </c>
      <c r="G1641" s="2" t="s">
        <v>1823</v>
      </c>
      <c r="H1641" s="17">
        <v>25</v>
      </c>
      <c r="I1641" s="31">
        <f t="shared" si="162"/>
        <v>25000</v>
      </c>
      <c r="J1641" s="31">
        <f t="shared" si="163"/>
        <v>1750.0000000000002</v>
      </c>
      <c r="K1641" s="44">
        <f t="shared" si="164"/>
        <v>4.794520547945206</v>
      </c>
      <c r="L1641" s="3">
        <f t="shared" si="165"/>
        <v>354.79452054794524</v>
      </c>
      <c r="M1641" s="3">
        <f t="shared" si="166"/>
        <v>21.287671232876715</v>
      </c>
      <c r="N1641" s="67">
        <f t="shared" si="167"/>
        <v>333.50684931506851</v>
      </c>
      <c r="O1641" s="3"/>
      <c r="P1641" s="70" t="s">
        <v>18605</v>
      </c>
      <c r="Q1641" s="2" t="s">
        <v>47</v>
      </c>
      <c r="R1641" s="2" t="s">
        <v>11346</v>
      </c>
      <c r="T1641" t="s">
        <v>18666</v>
      </c>
      <c r="U1641" t="s">
        <v>18652</v>
      </c>
      <c r="V1641" s="104">
        <v>45857</v>
      </c>
      <c r="X1641" s="97"/>
      <c r="Y1641" s="75">
        <v>333.51</v>
      </c>
    </row>
    <row r="1642" spans="1:25" x14ac:dyDescent="0.25">
      <c r="A1642" s="76">
        <v>1674</v>
      </c>
      <c r="B1642" s="2" t="s">
        <v>18323</v>
      </c>
      <c r="C1642" s="2" t="s">
        <v>18324</v>
      </c>
      <c r="D1642" s="2" t="s">
        <v>18325</v>
      </c>
      <c r="E1642" s="2" t="s">
        <v>8115</v>
      </c>
      <c r="F1642" s="2" t="s">
        <v>18326</v>
      </c>
      <c r="G1642" s="2" t="s">
        <v>31</v>
      </c>
      <c r="H1642" s="17">
        <v>25</v>
      </c>
      <c r="I1642" s="31">
        <f t="shared" si="162"/>
        <v>25000</v>
      </c>
      <c r="J1642" s="31">
        <f t="shared" si="163"/>
        <v>1750.0000000000002</v>
      </c>
      <c r="K1642" s="44">
        <f t="shared" si="164"/>
        <v>4.794520547945206</v>
      </c>
      <c r="L1642" s="3">
        <f t="shared" si="165"/>
        <v>354.79452054794524</v>
      </c>
      <c r="M1642" s="3">
        <f t="shared" si="166"/>
        <v>21.287671232876715</v>
      </c>
      <c r="N1642" s="67">
        <f t="shared" si="167"/>
        <v>333.50684931506851</v>
      </c>
      <c r="O1642" s="3"/>
      <c r="P1642" s="70" t="s">
        <v>18605</v>
      </c>
      <c r="Q1642" s="2" t="s">
        <v>47</v>
      </c>
      <c r="R1642" s="2" t="s">
        <v>18327</v>
      </c>
      <c r="T1642" t="s">
        <v>18666</v>
      </c>
      <c r="U1642" t="s">
        <v>18652</v>
      </c>
      <c r="V1642" s="104">
        <v>45857</v>
      </c>
      <c r="X1642" s="97"/>
      <c r="Y1642" s="75">
        <v>333.51</v>
      </c>
    </row>
    <row r="1643" spans="1:25" x14ac:dyDescent="0.25">
      <c r="A1643" s="76">
        <v>1675</v>
      </c>
      <c r="B1643" s="2" t="s">
        <v>15314</v>
      </c>
      <c r="C1643" s="2" t="s">
        <v>15315</v>
      </c>
      <c r="D1643" s="2" t="s">
        <v>15316</v>
      </c>
      <c r="E1643" s="2" t="s">
        <v>15317</v>
      </c>
      <c r="F1643" s="2" t="s">
        <v>15318</v>
      </c>
      <c r="G1643" s="2" t="s">
        <v>23</v>
      </c>
      <c r="H1643" s="17">
        <v>25</v>
      </c>
      <c r="I1643" s="31">
        <f t="shared" si="162"/>
        <v>25000</v>
      </c>
      <c r="J1643" s="31">
        <f t="shared" si="163"/>
        <v>1750.0000000000002</v>
      </c>
      <c r="K1643" s="44">
        <f t="shared" si="164"/>
        <v>4.794520547945206</v>
      </c>
      <c r="L1643" s="3">
        <f t="shared" si="165"/>
        <v>354.79452054794524</v>
      </c>
      <c r="M1643" s="3">
        <f t="shared" si="166"/>
        <v>21.287671232876715</v>
      </c>
      <c r="N1643" s="67">
        <f t="shared" si="167"/>
        <v>333.50684931506851</v>
      </c>
      <c r="O1643" s="3"/>
      <c r="P1643" s="70" t="s">
        <v>18605</v>
      </c>
      <c r="Q1643" s="2" t="s">
        <v>47</v>
      </c>
      <c r="R1643" s="2" t="s">
        <v>15319</v>
      </c>
      <c r="T1643" t="s">
        <v>18666</v>
      </c>
      <c r="U1643" t="s">
        <v>18652</v>
      </c>
      <c r="V1643" s="104">
        <v>45857</v>
      </c>
      <c r="X1643" s="97"/>
      <c r="Y1643" s="75">
        <v>333.51</v>
      </c>
    </row>
    <row r="1644" spans="1:25" x14ac:dyDescent="0.25">
      <c r="A1644" s="76">
        <v>1676</v>
      </c>
      <c r="B1644" s="2" t="s">
        <v>11939</v>
      </c>
      <c r="C1644" s="2" t="s">
        <v>11940</v>
      </c>
      <c r="D1644" s="2" t="s">
        <v>11941</v>
      </c>
      <c r="E1644" s="2" t="s">
        <v>11942</v>
      </c>
      <c r="F1644" s="2" t="s">
        <v>11943</v>
      </c>
      <c r="G1644" s="2" t="s">
        <v>1055</v>
      </c>
      <c r="H1644" s="17">
        <v>25</v>
      </c>
      <c r="I1644" s="31">
        <f t="shared" si="162"/>
        <v>25000</v>
      </c>
      <c r="J1644" s="31">
        <f t="shared" si="163"/>
        <v>1750.0000000000002</v>
      </c>
      <c r="K1644" s="44">
        <f t="shared" si="164"/>
        <v>4.794520547945206</v>
      </c>
      <c r="L1644" s="3">
        <f t="shared" si="165"/>
        <v>354.79452054794524</v>
      </c>
      <c r="M1644" s="3">
        <f t="shared" si="166"/>
        <v>21.287671232876715</v>
      </c>
      <c r="N1644" s="67">
        <f t="shared" si="167"/>
        <v>333.50684931506851</v>
      </c>
      <c r="O1644" s="3"/>
      <c r="P1644" s="70" t="s">
        <v>18605</v>
      </c>
      <c r="Q1644" s="2" t="s">
        <v>47</v>
      </c>
      <c r="R1644" s="2" t="s">
        <v>11944</v>
      </c>
      <c r="T1644" t="s">
        <v>18666</v>
      </c>
      <c r="U1644" t="s">
        <v>18652</v>
      </c>
      <c r="V1644" s="104">
        <v>45857</v>
      </c>
      <c r="X1644" s="97"/>
      <c r="Y1644" s="75">
        <v>333.51</v>
      </c>
    </row>
    <row r="1645" spans="1:25" x14ac:dyDescent="0.25">
      <c r="A1645" s="76">
        <v>1677</v>
      </c>
      <c r="B1645" s="2" t="s">
        <v>5362</v>
      </c>
      <c r="C1645" s="2" t="s">
        <v>5363</v>
      </c>
      <c r="D1645" s="2" t="s">
        <v>5364</v>
      </c>
      <c r="E1645" s="2" t="s">
        <v>5365</v>
      </c>
      <c r="F1645" s="2" t="s">
        <v>5366</v>
      </c>
      <c r="G1645" s="2" t="s">
        <v>186</v>
      </c>
      <c r="H1645" s="17">
        <v>25</v>
      </c>
      <c r="I1645" s="31">
        <f t="shared" si="162"/>
        <v>25000</v>
      </c>
      <c r="J1645" s="31">
        <f t="shared" si="163"/>
        <v>1750.0000000000002</v>
      </c>
      <c r="K1645" s="44">
        <f t="shared" si="164"/>
        <v>4.794520547945206</v>
      </c>
      <c r="L1645" s="3">
        <f t="shared" si="165"/>
        <v>354.79452054794524</v>
      </c>
      <c r="M1645" s="3">
        <f t="shared" si="166"/>
        <v>21.287671232876715</v>
      </c>
      <c r="N1645" s="67">
        <f t="shared" si="167"/>
        <v>333.50684931506851</v>
      </c>
      <c r="O1645" s="3"/>
      <c r="P1645" s="70" t="s">
        <v>18605</v>
      </c>
      <c r="Q1645" s="2" t="s">
        <v>47</v>
      </c>
      <c r="R1645" s="2" t="s">
        <v>5367</v>
      </c>
      <c r="T1645" t="s">
        <v>18666</v>
      </c>
      <c r="U1645" t="s">
        <v>18652</v>
      </c>
      <c r="V1645" s="104">
        <v>45857</v>
      </c>
      <c r="X1645" s="97"/>
      <c r="Y1645" s="75">
        <v>333.51</v>
      </c>
    </row>
    <row r="1646" spans="1:25" x14ac:dyDescent="0.25">
      <c r="A1646" s="76">
        <v>1678</v>
      </c>
      <c r="B1646" s="2" t="s">
        <v>2126</v>
      </c>
      <c r="C1646" s="2" t="s">
        <v>2127</v>
      </c>
      <c r="D1646" s="2" t="s">
        <v>2128</v>
      </c>
      <c r="E1646" s="2" t="s">
        <v>2129</v>
      </c>
      <c r="F1646" s="2" t="s">
        <v>2130</v>
      </c>
      <c r="G1646" s="2" t="s">
        <v>247</v>
      </c>
      <c r="H1646" s="17">
        <v>100</v>
      </c>
      <c r="I1646" s="31">
        <f t="shared" si="162"/>
        <v>100000</v>
      </c>
      <c r="J1646" s="31">
        <f t="shared" si="163"/>
        <v>7000.0000000000009</v>
      </c>
      <c r="K1646" s="44">
        <f t="shared" si="164"/>
        <v>19.178082191780824</v>
      </c>
      <c r="L1646" s="3">
        <f t="shared" si="165"/>
        <v>1419.178082191781</v>
      </c>
      <c r="M1646" s="3">
        <f t="shared" si="166"/>
        <v>85.150684931506859</v>
      </c>
      <c r="N1646" s="67">
        <f t="shared" si="167"/>
        <v>1334.027397260274</v>
      </c>
      <c r="O1646" s="3"/>
      <c r="P1646" s="70" t="s">
        <v>18605</v>
      </c>
      <c r="Q1646" s="2" t="s">
        <v>47</v>
      </c>
      <c r="R1646" s="2" t="s">
        <v>2131</v>
      </c>
      <c r="T1646" t="s">
        <v>18666</v>
      </c>
      <c r="U1646" t="s">
        <v>18652</v>
      </c>
      <c r="V1646" s="104">
        <v>45857</v>
      </c>
      <c r="X1646" s="97"/>
      <c r="Y1646" s="75">
        <v>1334.03</v>
      </c>
    </row>
    <row r="1647" spans="1:25" x14ac:dyDescent="0.25">
      <c r="A1647" s="76">
        <v>1679</v>
      </c>
      <c r="B1647" s="2" t="s">
        <v>12363</v>
      </c>
      <c r="C1647" s="2" t="s">
        <v>12364</v>
      </c>
      <c r="D1647" s="2" t="s">
        <v>12365</v>
      </c>
      <c r="E1647" s="2" t="s">
        <v>12366</v>
      </c>
      <c r="F1647" s="2" t="s">
        <v>12367</v>
      </c>
      <c r="G1647" s="2" t="s">
        <v>517</v>
      </c>
      <c r="H1647" s="17">
        <v>30</v>
      </c>
      <c r="I1647" s="31">
        <f t="shared" si="162"/>
        <v>30000</v>
      </c>
      <c r="J1647" s="31">
        <f t="shared" si="163"/>
        <v>2100</v>
      </c>
      <c r="K1647" s="44">
        <f t="shared" si="164"/>
        <v>5.7534246575342465</v>
      </c>
      <c r="L1647" s="3">
        <f t="shared" si="165"/>
        <v>425.75342465753425</v>
      </c>
      <c r="M1647" s="3">
        <f t="shared" si="166"/>
        <v>25.545205479452054</v>
      </c>
      <c r="N1647" s="67">
        <f t="shared" si="167"/>
        <v>400.20821917808217</v>
      </c>
      <c r="O1647" s="3"/>
      <c r="P1647" s="70" t="s">
        <v>18605</v>
      </c>
      <c r="Q1647" s="2" t="s">
        <v>47</v>
      </c>
      <c r="R1647" s="2" t="s">
        <v>12368</v>
      </c>
      <c r="T1647" t="s">
        <v>18666</v>
      </c>
      <c r="U1647" t="s">
        <v>18652</v>
      </c>
      <c r="V1647" s="104">
        <v>45857</v>
      </c>
      <c r="X1647" s="97"/>
      <c r="Y1647" s="75">
        <v>400.21</v>
      </c>
    </row>
    <row r="1648" spans="1:25" x14ac:dyDescent="0.25">
      <c r="A1648" s="76">
        <v>1680</v>
      </c>
      <c r="B1648" s="2" t="s">
        <v>1534</v>
      </c>
      <c r="C1648" s="2" t="s">
        <v>1535</v>
      </c>
      <c r="D1648" s="2" t="s">
        <v>1536</v>
      </c>
      <c r="E1648" s="2" t="s">
        <v>1537</v>
      </c>
      <c r="F1648" s="2" t="s">
        <v>1538</v>
      </c>
      <c r="G1648" s="2" t="s">
        <v>166</v>
      </c>
      <c r="H1648" s="17">
        <v>25</v>
      </c>
      <c r="I1648" s="31">
        <f t="shared" si="162"/>
        <v>25000</v>
      </c>
      <c r="J1648" s="31">
        <f t="shared" si="163"/>
        <v>1750.0000000000002</v>
      </c>
      <c r="K1648" s="44">
        <f t="shared" si="164"/>
        <v>4.794520547945206</v>
      </c>
      <c r="L1648" s="3">
        <f t="shared" si="165"/>
        <v>354.79452054794524</v>
      </c>
      <c r="M1648" s="3">
        <f t="shared" si="166"/>
        <v>21.287671232876715</v>
      </c>
      <c r="N1648" s="67">
        <f t="shared" si="167"/>
        <v>333.50684931506851</v>
      </c>
      <c r="O1648" s="3"/>
      <c r="P1648" s="70" t="s">
        <v>18605</v>
      </c>
      <c r="Q1648" s="2" t="s">
        <v>47</v>
      </c>
      <c r="R1648" s="2" t="s">
        <v>1539</v>
      </c>
      <c r="T1648" t="s">
        <v>18666</v>
      </c>
      <c r="U1648" t="s">
        <v>18652</v>
      </c>
      <c r="V1648" s="104">
        <v>45857</v>
      </c>
      <c r="X1648" s="97"/>
      <c r="Y1648" s="75">
        <v>333.51</v>
      </c>
    </row>
    <row r="1649" spans="1:25" x14ac:dyDescent="0.25">
      <c r="A1649" s="76">
        <v>1681</v>
      </c>
      <c r="B1649" s="2" t="s">
        <v>4848</v>
      </c>
      <c r="C1649" s="2" t="s">
        <v>4849</v>
      </c>
      <c r="D1649" s="2" t="s">
        <v>4850</v>
      </c>
      <c r="E1649" s="2" t="s">
        <v>4851</v>
      </c>
      <c r="F1649" s="2" t="s">
        <v>4852</v>
      </c>
      <c r="G1649" s="2" t="s">
        <v>1017</v>
      </c>
      <c r="H1649" s="17">
        <v>333</v>
      </c>
      <c r="I1649" s="31">
        <f t="shared" si="162"/>
        <v>333000</v>
      </c>
      <c r="J1649" s="31">
        <f t="shared" si="163"/>
        <v>23310.000000000004</v>
      </c>
      <c r="K1649" s="44">
        <f t="shared" si="164"/>
        <v>63.863013698630148</v>
      </c>
      <c r="L1649" s="3">
        <f t="shared" si="165"/>
        <v>4725.8630136986312</v>
      </c>
      <c r="M1649" s="3">
        <f t="shared" si="166"/>
        <v>283.55178082191787</v>
      </c>
      <c r="N1649" s="67">
        <f t="shared" si="167"/>
        <v>4442.3112328767129</v>
      </c>
      <c r="O1649" s="3"/>
      <c r="P1649" s="70" t="s">
        <v>18605</v>
      </c>
      <c r="Q1649" s="2" t="s">
        <v>47</v>
      </c>
      <c r="R1649" s="2" t="s">
        <v>4853</v>
      </c>
      <c r="T1649" t="s">
        <v>18666</v>
      </c>
      <c r="U1649" t="s">
        <v>18652</v>
      </c>
      <c r="V1649" s="104">
        <v>45857</v>
      </c>
      <c r="X1649" s="97"/>
      <c r="Y1649" s="75">
        <v>4442.3200000000006</v>
      </c>
    </row>
    <row r="1650" spans="1:25" x14ac:dyDescent="0.25">
      <c r="A1650" s="76">
        <v>1682</v>
      </c>
      <c r="B1650" s="2" t="s">
        <v>17420</v>
      </c>
      <c r="C1650" s="2" t="s">
        <v>17421</v>
      </c>
      <c r="D1650" s="2" t="s">
        <v>17422</v>
      </c>
      <c r="E1650" s="2" t="s">
        <v>17423</v>
      </c>
      <c r="F1650" s="2" t="s">
        <v>17424</v>
      </c>
      <c r="G1650" s="2" t="s">
        <v>282</v>
      </c>
      <c r="H1650" s="17">
        <v>25</v>
      </c>
      <c r="I1650" s="31">
        <f t="shared" si="162"/>
        <v>25000</v>
      </c>
      <c r="J1650" s="31">
        <f t="shared" si="163"/>
        <v>1750.0000000000002</v>
      </c>
      <c r="K1650" s="44">
        <f t="shared" si="164"/>
        <v>4.794520547945206</v>
      </c>
      <c r="L1650" s="3">
        <f t="shared" si="165"/>
        <v>354.79452054794524</v>
      </c>
      <c r="M1650" s="3">
        <f t="shared" si="166"/>
        <v>21.287671232876715</v>
      </c>
      <c r="N1650" s="67">
        <f t="shared" si="167"/>
        <v>333.50684931506851</v>
      </c>
      <c r="O1650" s="3"/>
      <c r="P1650" s="70" t="s">
        <v>18605</v>
      </c>
      <c r="Q1650" s="2" t="s">
        <v>47</v>
      </c>
      <c r="R1650" s="2" t="s">
        <v>17425</v>
      </c>
      <c r="T1650" t="s">
        <v>18666</v>
      </c>
      <c r="U1650" t="s">
        <v>18652</v>
      </c>
      <c r="V1650" s="104">
        <v>45857</v>
      </c>
      <c r="X1650" s="97"/>
      <c r="Y1650" s="75">
        <v>333.51</v>
      </c>
    </row>
    <row r="1651" spans="1:25" x14ac:dyDescent="0.25">
      <c r="A1651" s="76">
        <v>1683</v>
      </c>
      <c r="B1651" s="2" t="s">
        <v>13241</v>
      </c>
      <c r="C1651" s="2" t="s">
        <v>13242</v>
      </c>
      <c r="D1651" s="2" t="s">
        <v>13243</v>
      </c>
      <c r="E1651" s="2" t="s">
        <v>13244</v>
      </c>
      <c r="F1651" s="2" t="s">
        <v>13245</v>
      </c>
      <c r="G1651" s="2" t="s">
        <v>39</v>
      </c>
      <c r="H1651" s="17">
        <v>25</v>
      </c>
      <c r="I1651" s="31">
        <f t="shared" si="162"/>
        <v>25000</v>
      </c>
      <c r="J1651" s="31">
        <f t="shared" si="163"/>
        <v>1750.0000000000002</v>
      </c>
      <c r="K1651" s="44">
        <f t="shared" si="164"/>
        <v>4.794520547945206</v>
      </c>
      <c r="L1651" s="3">
        <f t="shared" si="165"/>
        <v>354.79452054794524</v>
      </c>
      <c r="M1651" s="3">
        <f t="shared" si="166"/>
        <v>21.287671232876715</v>
      </c>
      <c r="N1651" s="67">
        <f t="shared" si="167"/>
        <v>333.50684931506851</v>
      </c>
      <c r="O1651" s="3"/>
      <c r="P1651" s="70" t="s">
        <v>18605</v>
      </c>
      <c r="Q1651" s="2" t="s">
        <v>47</v>
      </c>
      <c r="R1651" s="2" t="s">
        <v>13246</v>
      </c>
      <c r="T1651" t="s">
        <v>18666</v>
      </c>
      <c r="U1651" t="s">
        <v>18652</v>
      </c>
      <c r="V1651" s="104">
        <v>45857</v>
      </c>
      <c r="X1651" s="97"/>
      <c r="Y1651" s="75">
        <v>333.51</v>
      </c>
    </row>
    <row r="1652" spans="1:25" x14ac:dyDescent="0.25">
      <c r="A1652" s="76">
        <v>1684</v>
      </c>
      <c r="B1652" s="2" t="s">
        <v>118</v>
      </c>
      <c r="C1652" s="2" t="s">
        <v>119</v>
      </c>
      <c r="D1652" s="2" t="s">
        <v>120</v>
      </c>
      <c r="E1652" s="2" t="s">
        <v>121</v>
      </c>
      <c r="F1652" s="2" t="s">
        <v>122</v>
      </c>
      <c r="G1652" s="2" t="s">
        <v>123</v>
      </c>
      <c r="H1652" s="17">
        <v>25</v>
      </c>
      <c r="I1652" s="31">
        <f t="shared" si="162"/>
        <v>25000</v>
      </c>
      <c r="J1652" s="31">
        <f t="shared" si="163"/>
        <v>1750.0000000000002</v>
      </c>
      <c r="K1652" s="44">
        <f t="shared" si="164"/>
        <v>4.794520547945206</v>
      </c>
      <c r="L1652" s="3">
        <f t="shared" si="165"/>
        <v>354.79452054794524</v>
      </c>
      <c r="M1652" s="3">
        <f t="shared" si="166"/>
        <v>21.287671232876715</v>
      </c>
      <c r="N1652" s="67">
        <f t="shared" si="167"/>
        <v>333.50684931506851</v>
      </c>
      <c r="O1652" s="3"/>
      <c r="P1652" s="70" t="s">
        <v>18605</v>
      </c>
      <c r="Q1652" s="2" t="s">
        <v>47</v>
      </c>
      <c r="R1652" s="2" t="s">
        <v>124</v>
      </c>
      <c r="T1652" t="s">
        <v>18666</v>
      </c>
      <c r="U1652" t="s">
        <v>18652</v>
      </c>
      <c r="V1652" s="104">
        <v>45857</v>
      </c>
      <c r="X1652" s="97"/>
      <c r="Y1652" s="75">
        <v>333.51</v>
      </c>
    </row>
    <row r="1653" spans="1:25" x14ac:dyDescent="0.25">
      <c r="A1653" s="76">
        <v>1685</v>
      </c>
      <c r="B1653" s="2" t="s">
        <v>6006</v>
      </c>
      <c r="C1653" s="2" t="s">
        <v>6007</v>
      </c>
      <c r="D1653" s="2" t="s">
        <v>6008</v>
      </c>
      <c r="E1653" s="2" t="s">
        <v>6009</v>
      </c>
      <c r="F1653" s="2" t="s">
        <v>6010</v>
      </c>
      <c r="G1653" s="2" t="s">
        <v>31</v>
      </c>
      <c r="H1653" s="17">
        <v>25</v>
      </c>
      <c r="I1653" s="31">
        <f t="shared" si="162"/>
        <v>25000</v>
      </c>
      <c r="J1653" s="31">
        <f t="shared" si="163"/>
        <v>1750.0000000000002</v>
      </c>
      <c r="K1653" s="44">
        <f t="shared" si="164"/>
        <v>4.794520547945206</v>
      </c>
      <c r="L1653" s="3">
        <f t="shared" si="165"/>
        <v>354.79452054794524</v>
      </c>
      <c r="M1653" s="3">
        <f t="shared" si="166"/>
        <v>21.287671232876715</v>
      </c>
      <c r="N1653" s="67">
        <f t="shared" si="167"/>
        <v>333.50684931506851</v>
      </c>
      <c r="O1653" s="3"/>
      <c r="P1653" s="70" t="s">
        <v>18605</v>
      </c>
      <c r="Q1653" s="2" t="s">
        <v>47</v>
      </c>
      <c r="R1653" s="2" t="s">
        <v>6011</v>
      </c>
      <c r="T1653" t="s">
        <v>18666</v>
      </c>
      <c r="U1653" t="s">
        <v>18652</v>
      </c>
      <c r="V1653" s="104">
        <v>45857</v>
      </c>
      <c r="X1653" s="97"/>
      <c r="Y1653" s="75">
        <v>333.51</v>
      </c>
    </row>
    <row r="1654" spans="1:25" x14ac:dyDescent="0.25">
      <c r="A1654" s="76">
        <v>1686</v>
      </c>
      <c r="B1654" s="2" t="s">
        <v>9288</v>
      </c>
      <c r="C1654" s="2" t="s">
        <v>2741</v>
      </c>
      <c r="D1654" s="2" t="s">
        <v>9289</v>
      </c>
      <c r="E1654" s="2" t="s">
        <v>9290</v>
      </c>
      <c r="F1654" s="2" t="s">
        <v>9291</v>
      </c>
      <c r="G1654" s="2" t="s">
        <v>31</v>
      </c>
      <c r="H1654" s="17">
        <v>100</v>
      </c>
      <c r="I1654" s="31">
        <f t="shared" si="162"/>
        <v>100000</v>
      </c>
      <c r="J1654" s="31">
        <f t="shared" si="163"/>
        <v>7000.0000000000009</v>
      </c>
      <c r="K1654" s="44">
        <f t="shared" si="164"/>
        <v>19.178082191780824</v>
      </c>
      <c r="L1654" s="3">
        <f t="shared" si="165"/>
        <v>1419.178082191781</v>
      </c>
      <c r="M1654" s="3">
        <f t="shared" si="166"/>
        <v>85.150684931506859</v>
      </c>
      <c r="N1654" s="67">
        <f t="shared" si="167"/>
        <v>1334.027397260274</v>
      </c>
      <c r="O1654" s="3"/>
      <c r="P1654" s="70" t="s">
        <v>18605</v>
      </c>
      <c r="Q1654" s="2" t="s">
        <v>47</v>
      </c>
      <c r="R1654" s="2" t="s">
        <v>9292</v>
      </c>
      <c r="T1654" t="s">
        <v>18666</v>
      </c>
      <c r="U1654" t="s">
        <v>18652</v>
      </c>
      <c r="V1654" s="104">
        <v>45857</v>
      </c>
      <c r="X1654" s="97"/>
      <c r="Y1654" s="75">
        <v>1334.03</v>
      </c>
    </row>
    <row r="1655" spans="1:25" x14ac:dyDescent="0.25">
      <c r="A1655" s="76">
        <v>1687</v>
      </c>
      <c r="B1655" s="2" t="s">
        <v>12152</v>
      </c>
      <c r="C1655" s="2" t="s">
        <v>12153</v>
      </c>
      <c r="D1655" s="2" t="s">
        <v>12154</v>
      </c>
      <c r="E1655" s="2" t="s">
        <v>12155</v>
      </c>
      <c r="F1655" s="2" t="s">
        <v>12156</v>
      </c>
      <c r="G1655" s="2" t="s">
        <v>643</v>
      </c>
      <c r="H1655" s="17">
        <v>25</v>
      </c>
      <c r="I1655" s="31">
        <f t="shared" si="162"/>
        <v>25000</v>
      </c>
      <c r="J1655" s="31">
        <f t="shared" si="163"/>
        <v>1750.0000000000002</v>
      </c>
      <c r="K1655" s="44">
        <f t="shared" si="164"/>
        <v>4.794520547945206</v>
      </c>
      <c r="L1655" s="3">
        <f t="shared" si="165"/>
        <v>354.79452054794524</v>
      </c>
      <c r="M1655" s="3">
        <f t="shared" si="166"/>
        <v>21.287671232876715</v>
      </c>
      <c r="N1655" s="67">
        <f t="shared" si="167"/>
        <v>333.50684931506851</v>
      </c>
      <c r="O1655" s="3"/>
      <c r="P1655" s="70" t="s">
        <v>18605</v>
      </c>
      <c r="Q1655" s="2" t="s">
        <v>47</v>
      </c>
      <c r="R1655" s="2" t="s">
        <v>12157</v>
      </c>
      <c r="T1655" t="s">
        <v>18666</v>
      </c>
      <c r="U1655" t="s">
        <v>18652</v>
      </c>
      <c r="V1655" s="104">
        <v>45857</v>
      </c>
      <c r="X1655" s="97"/>
      <c r="Y1655" s="75">
        <v>333.51</v>
      </c>
    </row>
    <row r="1656" spans="1:25" x14ac:dyDescent="0.25">
      <c r="A1656" s="76">
        <v>1688</v>
      </c>
      <c r="B1656" s="2" t="s">
        <v>249</v>
      </c>
      <c r="C1656" s="2" t="s">
        <v>250</v>
      </c>
      <c r="D1656" s="2" t="s">
        <v>251</v>
      </c>
      <c r="E1656" s="2" t="s">
        <v>252</v>
      </c>
      <c r="F1656" s="2" t="s">
        <v>253</v>
      </c>
      <c r="G1656" s="2" t="s">
        <v>254</v>
      </c>
      <c r="H1656" s="17">
        <v>25</v>
      </c>
      <c r="I1656" s="31">
        <f t="shared" si="162"/>
        <v>25000</v>
      </c>
      <c r="J1656" s="31">
        <f t="shared" si="163"/>
        <v>1750.0000000000002</v>
      </c>
      <c r="K1656" s="44">
        <f t="shared" si="164"/>
        <v>4.794520547945206</v>
      </c>
      <c r="L1656" s="3">
        <f t="shared" si="165"/>
        <v>354.79452054794524</v>
      </c>
      <c r="M1656" s="3">
        <f t="shared" si="166"/>
        <v>21.287671232876715</v>
      </c>
      <c r="N1656" s="67">
        <f t="shared" si="167"/>
        <v>333.50684931506851</v>
      </c>
      <c r="O1656" s="3"/>
      <c r="P1656" s="70" t="s">
        <v>18605</v>
      </c>
      <c r="Q1656" s="2" t="s">
        <v>47</v>
      </c>
      <c r="R1656" s="2" t="s">
        <v>255</v>
      </c>
      <c r="T1656" t="s">
        <v>18666</v>
      </c>
      <c r="U1656" t="s">
        <v>18652</v>
      </c>
      <c r="V1656" s="104">
        <v>45857</v>
      </c>
      <c r="X1656" s="97"/>
      <c r="Y1656" s="75">
        <v>333.51</v>
      </c>
    </row>
    <row r="1657" spans="1:25" x14ac:dyDescent="0.25">
      <c r="A1657" s="76">
        <v>1689</v>
      </c>
      <c r="B1657" s="2" t="s">
        <v>6746</v>
      </c>
      <c r="C1657" s="2" t="s">
        <v>6747</v>
      </c>
      <c r="D1657" s="2" t="s">
        <v>6748</v>
      </c>
      <c r="E1657" s="2" t="s">
        <v>6749</v>
      </c>
      <c r="F1657" s="2" t="s">
        <v>6750</v>
      </c>
      <c r="G1657" s="2" t="s">
        <v>328</v>
      </c>
      <c r="H1657" s="17">
        <v>100</v>
      </c>
      <c r="I1657" s="31">
        <f t="shared" si="162"/>
        <v>100000</v>
      </c>
      <c r="J1657" s="31">
        <f t="shared" si="163"/>
        <v>7000.0000000000009</v>
      </c>
      <c r="K1657" s="44">
        <f t="shared" si="164"/>
        <v>19.178082191780824</v>
      </c>
      <c r="L1657" s="3">
        <f t="shared" si="165"/>
        <v>1419.178082191781</v>
      </c>
      <c r="M1657" s="3">
        <f t="shared" si="166"/>
        <v>85.150684931506859</v>
      </c>
      <c r="N1657" s="67">
        <f t="shared" si="167"/>
        <v>1334.027397260274</v>
      </c>
      <c r="O1657" s="3"/>
      <c r="P1657" s="70" t="s">
        <v>18605</v>
      </c>
      <c r="Q1657" s="2" t="s">
        <v>47</v>
      </c>
      <c r="R1657" s="2" t="s">
        <v>6751</v>
      </c>
      <c r="T1657" t="s">
        <v>18666</v>
      </c>
      <c r="U1657" t="s">
        <v>18652</v>
      </c>
      <c r="V1657" s="104">
        <v>45857</v>
      </c>
      <c r="X1657" s="97"/>
      <c r="Y1657" s="75">
        <v>1334.03</v>
      </c>
    </row>
    <row r="1658" spans="1:25" x14ac:dyDescent="0.25">
      <c r="A1658" s="76">
        <v>1690</v>
      </c>
      <c r="B1658" s="2" t="s">
        <v>9019</v>
      </c>
      <c r="C1658" s="2" t="s">
        <v>9020</v>
      </c>
      <c r="D1658" s="2" t="s">
        <v>9021</v>
      </c>
      <c r="E1658" s="2" t="s">
        <v>9022</v>
      </c>
      <c r="F1658" s="2" t="s">
        <v>9023</v>
      </c>
      <c r="G1658" s="2" t="s">
        <v>643</v>
      </c>
      <c r="H1658" s="17">
        <v>25</v>
      </c>
      <c r="I1658" s="31">
        <f t="shared" si="162"/>
        <v>25000</v>
      </c>
      <c r="J1658" s="31">
        <f t="shared" si="163"/>
        <v>1750.0000000000002</v>
      </c>
      <c r="K1658" s="44">
        <f t="shared" si="164"/>
        <v>4.794520547945206</v>
      </c>
      <c r="L1658" s="3">
        <f t="shared" si="165"/>
        <v>354.79452054794524</v>
      </c>
      <c r="M1658" s="3">
        <f t="shared" si="166"/>
        <v>21.287671232876715</v>
      </c>
      <c r="N1658" s="67">
        <f t="shared" si="167"/>
        <v>333.50684931506851</v>
      </c>
      <c r="O1658" s="3"/>
      <c r="P1658" s="70" t="s">
        <v>18605</v>
      </c>
      <c r="Q1658" s="2" t="s">
        <v>47</v>
      </c>
      <c r="R1658" s="2" t="s">
        <v>9024</v>
      </c>
      <c r="T1658" t="s">
        <v>18666</v>
      </c>
      <c r="U1658" t="s">
        <v>18652</v>
      </c>
      <c r="V1658" s="104">
        <v>45857</v>
      </c>
      <c r="X1658" s="97"/>
      <c r="Y1658" s="75">
        <v>333.51</v>
      </c>
    </row>
    <row r="1659" spans="1:25" x14ac:dyDescent="0.25">
      <c r="A1659" s="76">
        <v>1691</v>
      </c>
      <c r="B1659" s="2" t="s">
        <v>13141</v>
      </c>
      <c r="C1659" s="2" t="s">
        <v>13142</v>
      </c>
      <c r="D1659" s="2" t="s">
        <v>13143</v>
      </c>
      <c r="E1659" s="2" t="s">
        <v>13144</v>
      </c>
      <c r="F1659" s="2" t="s">
        <v>13145</v>
      </c>
      <c r="G1659" s="2" t="s">
        <v>876</v>
      </c>
      <c r="H1659" s="17">
        <v>25</v>
      </c>
      <c r="I1659" s="31">
        <f t="shared" si="162"/>
        <v>25000</v>
      </c>
      <c r="J1659" s="31">
        <f t="shared" si="163"/>
        <v>1750.0000000000002</v>
      </c>
      <c r="K1659" s="44">
        <f t="shared" si="164"/>
        <v>4.794520547945206</v>
      </c>
      <c r="L1659" s="3">
        <f t="shared" si="165"/>
        <v>354.79452054794524</v>
      </c>
      <c r="M1659" s="3">
        <f t="shared" si="166"/>
        <v>21.287671232876715</v>
      </c>
      <c r="N1659" s="67">
        <f t="shared" si="167"/>
        <v>333.50684931506851</v>
      </c>
      <c r="O1659" s="3"/>
      <c r="P1659" s="70" t="s">
        <v>18605</v>
      </c>
      <c r="Q1659" s="2" t="s">
        <v>47</v>
      </c>
      <c r="R1659" s="2" t="s">
        <v>13146</v>
      </c>
      <c r="T1659" t="s">
        <v>18666</v>
      </c>
      <c r="U1659" t="s">
        <v>18652</v>
      </c>
      <c r="V1659" s="104">
        <v>45857</v>
      </c>
      <c r="X1659" s="97"/>
      <c r="Y1659" s="75">
        <v>333.51</v>
      </c>
    </row>
    <row r="1660" spans="1:25" x14ac:dyDescent="0.25">
      <c r="A1660" s="76">
        <v>1692</v>
      </c>
      <c r="B1660" s="2" t="s">
        <v>758</v>
      </c>
      <c r="C1660" s="2" t="s">
        <v>759</v>
      </c>
      <c r="D1660" s="2" t="s">
        <v>760</v>
      </c>
      <c r="E1660" s="2" t="s">
        <v>761</v>
      </c>
      <c r="F1660" s="2" t="s">
        <v>762</v>
      </c>
      <c r="G1660" s="2" t="s">
        <v>412</v>
      </c>
      <c r="H1660" s="17">
        <v>25</v>
      </c>
      <c r="I1660" s="31">
        <f t="shared" si="162"/>
        <v>25000</v>
      </c>
      <c r="J1660" s="31">
        <f t="shared" si="163"/>
        <v>1750.0000000000002</v>
      </c>
      <c r="K1660" s="44">
        <f t="shared" si="164"/>
        <v>4.794520547945206</v>
      </c>
      <c r="L1660" s="3">
        <f t="shared" si="165"/>
        <v>354.79452054794524</v>
      </c>
      <c r="M1660" s="3">
        <f t="shared" si="166"/>
        <v>21.287671232876715</v>
      </c>
      <c r="N1660" s="67">
        <f t="shared" si="167"/>
        <v>333.50684931506851</v>
      </c>
      <c r="O1660" s="3"/>
      <c r="P1660" s="70" t="s">
        <v>18605</v>
      </c>
      <c r="Q1660" s="2" t="s">
        <v>47</v>
      </c>
      <c r="R1660" s="2" t="s">
        <v>763</v>
      </c>
      <c r="T1660" t="s">
        <v>18666</v>
      </c>
      <c r="U1660" t="s">
        <v>18652</v>
      </c>
      <c r="V1660" s="104">
        <v>45857</v>
      </c>
      <c r="X1660" s="97"/>
      <c r="Y1660" s="75">
        <v>333.51</v>
      </c>
    </row>
    <row r="1661" spans="1:25" x14ac:dyDescent="0.25">
      <c r="A1661" s="76">
        <v>1693</v>
      </c>
      <c r="B1661" s="2" t="s">
        <v>6112</v>
      </c>
      <c r="C1661" s="2" t="s">
        <v>6113</v>
      </c>
      <c r="D1661" s="2" t="s">
        <v>6114</v>
      </c>
      <c r="E1661" s="2" t="s">
        <v>6115</v>
      </c>
      <c r="F1661" s="2" t="s">
        <v>6116</v>
      </c>
      <c r="G1661" s="2" t="s">
        <v>296</v>
      </c>
      <c r="H1661" s="17">
        <v>25</v>
      </c>
      <c r="I1661" s="31">
        <f t="shared" si="162"/>
        <v>25000</v>
      </c>
      <c r="J1661" s="31">
        <f t="shared" si="163"/>
        <v>1750.0000000000002</v>
      </c>
      <c r="K1661" s="44">
        <f t="shared" si="164"/>
        <v>4.794520547945206</v>
      </c>
      <c r="L1661" s="3">
        <f t="shared" si="165"/>
        <v>354.79452054794524</v>
      </c>
      <c r="M1661" s="3">
        <f t="shared" si="166"/>
        <v>21.287671232876715</v>
      </c>
      <c r="N1661" s="67">
        <f t="shared" si="167"/>
        <v>333.50684931506851</v>
      </c>
      <c r="O1661" s="3"/>
      <c r="P1661" s="70" t="s">
        <v>18605</v>
      </c>
      <c r="Q1661" s="2" t="s">
        <v>47</v>
      </c>
      <c r="R1661" s="2" t="s">
        <v>6117</v>
      </c>
      <c r="T1661" t="s">
        <v>18666</v>
      </c>
      <c r="U1661" t="s">
        <v>18652</v>
      </c>
      <c r="V1661" s="104">
        <v>45857</v>
      </c>
      <c r="X1661" s="97"/>
      <c r="Y1661" s="75">
        <v>333.51</v>
      </c>
    </row>
    <row r="1662" spans="1:25" x14ac:dyDescent="0.25">
      <c r="A1662" s="76">
        <v>1694</v>
      </c>
      <c r="B1662" s="2" t="s">
        <v>10886</v>
      </c>
      <c r="C1662" s="2" t="s">
        <v>10887</v>
      </c>
      <c r="D1662" s="2" t="s">
        <v>10888</v>
      </c>
      <c r="E1662" s="2" t="s">
        <v>10889</v>
      </c>
      <c r="F1662" s="2" t="s">
        <v>10890</v>
      </c>
      <c r="G1662" s="2" t="s">
        <v>643</v>
      </c>
      <c r="H1662" s="17">
        <v>1000</v>
      </c>
      <c r="I1662" s="31">
        <f t="shared" si="162"/>
        <v>1000000</v>
      </c>
      <c r="J1662" s="31">
        <f t="shared" si="163"/>
        <v>70000</v>
      </c>
      <c r="K1662" s="44">
        <f t="shared" si="164"/>
        <v>191.78082191780823</v>
      </c>
      <c r="L1662" s="3">
        <f t="shared" si="165"/>
        <v>14191.780821917808</v>
      </c>
      <c r="M1662" s="3">
        <f t="shared" si="166"/>
        <v>851.50684931506839</v>
      </c>
      <c r="N1662" s="67">
        <f t="shared" si="167"/>
        <v>13340.273972602739</v>
      </c>
      <c r="O1662" s="3"/>
      <c r="P1662" s="70" t="s">
        <v>18605</v>
      </c>
      <c r="Q1662" s="2" t="s">
        <v>47</v>
      </c>
      <c r="R1662" s="2" t="s">
        <v>10891</v>
      </c>
      <c r="T1662" t="s">
        <v>18666</v>
      </c>
      <c r="U1662" t="s">
        <v>18652</v>
      </c>
      <c r="V1662" s="104">
        <v>45857</v>
      </c>
      <c r="X1662" s="97"/>
      <c r="Y1662" s="75">
        <v>13340.28</v>
      </c>
    </row>
    <row r="1663" spans="1:25" x14ac:dyDescent="0.25">
      <c r="A1663" s="76">
        <v>1695</v>
      </c>
      <c r="B1663" s="2" t="s">
        <v>10066</v>
      </c>
      <c r="C1663" s="2" t="s">
        <v>10067</v>
      </c>
      <c r="D1663" s="2" t="s">
        <v>10068</v>
      </c>
      <c r="E1663" s="2" t="s">
        <v>10069</v>
      </c>
      <c r="F1663" s="2" t="s">
        <v>10070</v>
      </c>
      <c r="G1663" s="2" t="s">
        <v>1823</v>
      </c>
      <c r="H1663" s="17">
        <v>25</v>
      </c>
      <c r="I1663" s="31">
        <f t="shared" si="162"/>
        <v>25000</v>
      </c>
      <c r="J1663" s="31">
        <f t="shared" si="163"/>
        <v>1750.0000000000002</v>
      </c>
      <c r="K1663" s="44">
        <f t="shared" si="164"/>
        <v>4.794520547945206</v>
      </c>
      <c r="L1663" s="3">
        <f t="shared" si="165"/>
        <v>354.79452054794524</v>
      </c>
      <c r="M1663" s="3">
        <f t="shared" si="166"/>
        <v>21.287671232876715</v>
      </c>
      <c r="N1663" s="67">
        <f t="shared" si="167"/>
        <v>333.50684931506851</v>
      </c>
      <c r="O1663" s="3"/>
      <c r="P1663" s="70" t="s">
        <v>18605</v>
      </c>
      <c r="Q1663" s="2" t="s">
        <v>47</v>
      </c>
      <c r="R1663" s="2" t="s">
        <v>10071</v>
      </c>
      <c r="T1663" t="s">
        <v>18666</v>
      </c>
      <c r="U1663" t="s">
        <v>18652</v>
      </c>
      <c r="V1663" s="104">
        <v>45857</v>
      </c>
      <c r="X1663" s="97"/>
      <c r="Y1663" s="75">
        <v>333.51</v>
      </c>
    </row>
    <row r="1664" spans="1:25" x14ac:dyDescent="0.25">
      <c r="A1664" s="76">
        <v>1696</v>
      </c>
      <c r="B1664" s="2" t="s">
        <v>12399</v>
      </c>
      <c r="C1664" s="2" t="s">
        <v>12400</v>
      </c>
      <c r="D1664" s="2" t="s">
        <v>12401</v>
      </c>
      <c r="E1664" s="2" t="s">
        <v>12402</v>
      </c>
      <c r="F1664" s="2" t="s">
        <v>12403</v>
      </c>
      <c r="G1664" s="2" t="s">
        <v>618</v>
      </c>
      <c r="H1664" s="17">
        <v>25</v>
      </c>
      <c r="I1664" s="31">
        <f t="shared" si="162"/>
        <v>25000</v>
      </c>
      <c r="J1664" s="31">
        <f t="shared" si="163"/>
        <v>1750.0000000000002</v>
      </c>
      <c r="K1664" s="44">
        <f t="shared" si="164"/>
        <v>4.794520547945206</v>
      </c>
      <c r="L1664" s="3">
        <f t="shared" si="165"/>
        <v>354.79452054794524</v>
      </c>
      <c r="M1664" s="3">
        <f t="shared" si="166"/>
        <v>21.287671232876715</v>
      </c>
      <c r="N1664" s="67">
        <f t="shared" si="167"/>
        <v>333.50684931506851</v>
      </c>
      <c r="O1664" s="3"/>
      <c r="P1664" s="70" t="s">
        <v>18605</v>
      </c>
      <c r="Q1664" s="2" t="s">
        <v>47</v>
      </c>
      <c r="R1664" s="2" t="s">
        <v>12404</v>
      </c>
      <c r="T1664" t="s">
        <v>18666</v>
      </c>
      <c r="U1664" t="s">
        <v>18652</v>
      </c>
      <c r="V1664" s="104">
        <v>45857</v>
      </c>
      <c r="X1664" s="97"/>
      <c r="Y1664" s="75">
        <v>333.51</v>
      </c>
    </row>
    <row r="1665" spans="1:25" x14ac:dyDescent="0.25">
      <c r="A1665" s="76">
        <v>1697</v>
      </c>
      <c r="B1665" s="2" t="s">
        <v>2955</v>
      </c>
      <c r="C1665" s="2" t="s">
        <v>2956</v>
      </c>
      <c r="D1665" s="2" t="s">
        <v>2957</v>
      </c>
      <c r="E1665" s="2" t="s">
        <v>2958</v>
      </c>
      <c r="F1665" s="2" t="s">
        <v>2959</v>
      </c>
      <c r="G1665" s="2" t="s">
        <v>166</v>
      </c>
      <c r="H1665" s="17">
        <v>25</v>
      </c>
      <c r="I1665" s="31">
        <f t="shared" si="162"/>
        <v>25000</v>
      </c>
      <c r="J1665" s="31">
        <f t="shared" si="163"/>
        <v>1750.0000000000002</v>
      </c>
      <c r="K1665" s="44">
        <f t="shared" si="164"/>
        <v>4.794520547945206</v>
      </c>
      <c r="L1665" s="3">
        <f t="shared" si="165"/>
        <v>354.79452054794524</v>
      </c>
      <c r="M1665" s="3">
        <f t="shared" si="166"/>
        <v>21.287671232876715</v>
      </c>
      <c r="N1665" s="67">
        <f t="shared" si="167"/>
        <v>333.50684931506851</v>
      </c>
      <c r="O1665" s="3"/>
      <c r="P1665" s="70" t="s">
        <v>18605</v>
      </c>
      <c r="Q1665" s="2" t="s">
        <v>47</v>
      </c>
      <c r="R1665" s="2" t="s">
        <v>2960</v>
      </c>
      <c r="T1665" t="s">
        <v>18666</v>
      </c>
      <c r="U1665" t="s">
        <v>18652</v>
      </c>
      <c r="V1665" s="104">
        <v>45857</v>
      </c>
      <c r="X1665" s="97"/>
      <c r="Y1665" s="75">
        <v>333.51</v>
      </c>
    </row>
    <row r="1666" spans="1:25" x14ac:dyDescent="0.25">
      <c r="A1666" s="76">
        <v>1698</v>
      </c>
      <c r="B1666" s="2" t="s">
        <v>5333</v>
      </c>
      <c r="C1666" s="2" t="s">
        <v>1855</v>
      </c>
      <c r="D1666" s="2" t="s">
        <v>5334</v>
      </c>
      <c r="E1666" s="2" t="s">
        <v>5335</v>
      </c>
      <c r="F1666" s="2" t="s">
        <v>5336</v>
      </c>
      <c r="G1666" s="2" t="s">
        <v>381</v>
      </c>
      <c r="H1666" s="17">
        <v>25</v>
      </c>
      <c r="I1666" s="31">
        <f t="shared" si="162"/>
        <v>25000</v>
      </c>
      <c r="J1666" s="31">
        <f t="shared" si="163"/>
        <v>1750.0000000000002</v>
      </c>
      <c r="K1666" s="44">
        <f t="shared" si="164"/>
        <v>4.794520547945206</v>
      </c>
      <c r="L1666" s="3">
        <f t="shared" si="165"/>
        <v>354.79452054794524</v>
      </c>
      <c r="M1666" s="3">
        <f t="shared" si="166"/>
        <v>21.287671232876715</v>
      </c>
      <c r="N1666" s="67">
        <f t="shared" si="167"/>
        <v>333.50684931506851</v>
      </c>
      <c r="O1666" s="3"/>
      <c r="P1666" s="70" t="s">
        <v>18605</v>
      </c>
      <c r="Q1666" s="2" t="s">
        <v>47</v>
      </c>
      <c r="R1666" s="2" t="s">
        <v>5337</v>
      </c>
      <c r="T1666" t="s">
        <v>18666</v>
      </c>
      <c r="U1666" t="s">
        <v>18652</v>
      </c>
      <c r="V1666" s="104">
        <v>45857</v>
      </c>
      <c r="X1666" s="97"/>
      <c r="Y1666" s="75">
        <v>333.51</v>
      </c>
    </row>
    <row r="1667" spans="1:25" x14ac:dyDescent="0.25">
      <c r="A1667" s="76">
        <v>1699</v>
      </c>
      <c r="B1667" s="2" t="s">
        <v>10188</v>
      </c>
      <c r="C1667" s="2" t="s">
        <v>10189</v>
      </c>
      <c r="D1667" s="2" t="s">
        <v>10190</v>
      </c>
      <c r="E1667" s="2" t="s">
        <v>10191</v>
      </c>
      <c r="F1667" s="2" t="s">
        <v>10192</v>
      </c>
      <c r="G1667" s="2" t="s">
        <v>524</v>
      </c>
      <c r="H1667" s="17">
        <v>25</v>
      </c>
      <c r="I1667" s="31">
        <f t="shared" si="162"/>
        <v>25000</v>
      </c>
      <c r="J1667" s="31">
        <f t="shared" si="163"/>
        <v>1750.0000000000002</v>
      </c>
      <c r="K1667" s="44">
        <f t="shared" si="164"/>
        <v>4.794520547945206</v>
      </c>
      <c r="L1667" s="3">
        <f t="shared" si="165"/>
        <v>354.79452054794524</v>
      </c>
      <c r="M1667" s="3">
        <f t="shared" si="166"/>
        <v>21.287671232876715</v>
      </c>
      <c r="N1667" s="67">
        <f t="shared" si="167"/>
        <v>333.50684931506851</v>
      </c>
      <c r="O1667" s="3"/>
      <c r="P1667" s="70" t="s">
        <v>18605</v>
      </c>
      <c r="Q1667" s="2" t="s">
        <v>47</v>
      </c>
      <c r="R1667" s="2" t="s">
        <v>10193</v>
      </c>
      <c r="T1667" t="s">
        <v>18666</v>
      </c>
      <c r="U1667" t="s">
        <v>18652</v>
      </c>
      <c r="V1667" s="104">
        <v>45857</v>
      </c>
      <c r="X1667" s="97"/>
      <c r="Y1667" s="75">
        <v>333.51</v>
      </c>
    </row>
    <row r="1668" spans="1:25" x14ac:dyDescent="0.25">
      <c r="A1668" s="76">
        <v>1700</v>
      </c>
      <c r="B1668" s="2" t="s">
        <v>10934</v>
      </c>
      <c r="C1668" s="2" t="s">
        <v>10935</v>
      </c>
      <c r="D1668" s="2" t="s">
        <v>10936</v>
      </c>
      <c r="E1668" s="2" t="s">
        <v>10937</v>
      </c>
      <c r="F1668" s="2" t="s">
        <v>10938</v>
      </c>
      <c r="G1668" s="2" t="s">
        <v>381</v>
      </c>
      <c r="H1668" s="17">
        <v>750</v>
      </c>
      <c r="I1668" s="31">
        <f t="shared" si="162"/>
        <v>750000</v>
      </c>
      <c r="J1668" s="31">
        <f t="shared" si="163"/>
        <v>52500.000000000007</v>
      </c>
      <c r="K1668" s="44">
        <f t="shared" si="164"/>
        <v>143.8356164383562</v>
      </c>
      <c r="L1668" s="3">
        <f t="shared" si="165"/>
        <v>10643.835616438359</v>
      </c>
      <c r="M1668" s="3">
        <f t="shared" si="166"/>
        <v>638.63013698630152</v>
      </c>
      <c r="N1668" s="67">
        <f t="shared" si="167"/>
        <v>10005.205479452057</v>
      </c>
      <c r="O1668" s="3"/>
      <c r="P1668" s="70" t="s">
        <v>18605</v>
      </c>
      <c r="Q1668" s="2" t="s">
        <v>47</v>
      </c>
      <c r="R1668" s="2" t="s">
        <v>10939</v>
      </c>
      <c r="T1668" t="s">
        <v>18666</v>
      </c>
      <c r="U1668" t="s">
        <v>18652</v>
      </c>
      <c r="V1668" s="104">
        <v>45857</v>
      </c>
      <c r="X1668" s="97"/>
      <c r="Y1668" s="75">
        <v>10005.210000000001</v>
      </c>
    </row>
    <row r="1669" spans="1:25" x14ac:dyDescent="0.25">
      <c r="A1669" s="76">
        <v>1701</v>
      </c>
      <c r="B1669" s="2" t="s">
        <v>5808</v>
      </c>
      <c r="C1669" s="2" t="s">
        <v>5809</v>
      </c>
      <c r="D1669" s="2" t="s">
        <v>5810</v>
      </c>
      <c r="E1669" s="2" t="s">
        <v>5811</v>
      </c>
      <c r="F1669" s="2" t="s">
        <v>5812</v>
      </c>
      <c r="G1669" s="2" t="s">
        <v>750</v>
      </c>
      <c r="H1669" s="17">
        <v>30</v>
      </c>
      <c r="I1669" s="31">
        <f t="shared" si="162"/>
        <v>30000</v>
      </c>
      <c r="J1669" s="31">
        <f t="shared" si="163"/>
        <v>2100</v>
      </c>
      <c r="K1669" s="44">
        <f t="shared" si="164"/>
        <v>5.7534246575342465</v>
      </c>
      <c r="L1669" s="3">
        <f t="shared" si="165"/>
        <v>425.75342465753425</v>
      </c>
      <c r="M1669" s="3">
        <f t="shared" si="166"/>
        <v>25.545205479452054</v>
      </c>
      <c r="N1669" s="67">
        <f t="shared" si="167"/>
        <v>400.20821917808217</v>
      </c>
      <c r="O1669" s="3"/>
      <c r="P1669" s="70" t="s">
        <v>18605</v>
      </c>
      <c r="Q1669" s="2" t="s">
        <v>47</v>
      </c>
      <c r="R1669" s="2" t="s">
        <v>5813</v>
      </c>
      <c r="T1669" t="s">
        <v>18666</v>
      </c>
      <c r="U1669" t="s">
        <v>18652</v>
      </c>
      <c r="V1669" s="104">
        <v>45857</v>
      </c>
      <c r="X1669" s="97"/>
      <c r="Y1669" s="75">
        <v>400.21</v>
      </c>
    </row>
    <row r="1670" spans="1:25" x14ac:dyDescent="0.25">
      <c r="A1670" s="76">
        <v>1702</v>
      </c>
      <c r="B1670" s="2" t="s">
        <v>17086</v>
      </c>
      <c r="C1670" s="2" t="s">
        <v>4042</v>
      </c>
      <c r="D1670" s="2" t="s">
        <v>17087</v>
      </c>
      <c r="E1670" s="2" t="s">
        <v>17088</v>
      </c>
      <c r="F1670" s="2" t="s">
        <v>17089</v>
      </c>
      <c r="G1670" s="2" t="s">
        <v>31</v>
      </c>
      <c r="H1670" s="17">
        <v>25</v>
      </c>
      <c r="I1670" s="31">
        <f t="shared" si="162"/>
        <v>25000</v>
      </c>
      <c r="J1670" s="31">
        <f t="shared" si="163"/>
        <v>1750.0000000000002</v>
      </c>
      <c r="K1670" s="44">
        <f t="shared" si="164"/>
        <v>4.794520547945206</v>
      </c>
      <c r="L1670" s="3">
        <f t="shared" si="165"/>
        <v>354.79452054794524</v>
      </c>
      <c r="M1670" s="3">
        <f t="shared" si="166"/>
        <v>21.287671232876715</v>
      </c>
      <c r="N1670" s="67">
        <f t="shared" si="167"/>
        <v>333.50684931506851</v>
      </c>
      <c r="O1670" s="3"/>
      <c r="P1670" s="70" t="s">
        <v>18605</v>
      </c>
      <c r="Q1670" s="2" t="s">
        <v>47</v>
      </c>
      <c r="R1670" s="2" t="s">
        <v>17090</v>
      </c>
      <c r="T1670" t="s">
        <v>18666</v>
      </c>
      <c r="U1670" t="s">
        <v>18652</v>
      </c>
      <c r="V1670" s="104">
        <v>45857</v>
      </c>
      <c r="X1670" s="97"/>
      <c r="Y1670" s="75">
        <v>333.51</v>
      </c>
    </row>
    <row r="1671" spans="1:25" x14ac:dyDescent="0.25">
      <c r="A1671" s="76">
        <v>1703</v>
      </c>
      <c r="B1671" s="2" t="s">
        <v>3968</v>
      </c>
      <c r="C1671" s="2" t="s">
        <v>3969</v>
      </c>
      <c r="D1671" s="2" t="s">
        <v>3970</v>
      </c>
      <c r="E1671" s="2" t="s">
        <v>3971</v>
      </c>
      <c r="F1671" s="2" t="s">
        <v>3972</v>
      </c>
      <c r="G1671" s="2" t="s">
        <v>268</v>
      </c>
      <c r="H1671" s="17">
        <v>25</v>
      </c>
      <c r="I1671" s="31">
        <f t="shared" si="162"/>
        <v>25000</v>
      </c>
      <c r="J1671" s="31">
        <f t="shared" si="163"/>
        <v>1750.0000000000002</v>
      </c>
      <c r="K1671" s="44">
        <f t="shared" si="164"/>
        <v>4.794520547945206</v>
      </c>
      <c r="L1671" s="3">
        <f t="shared" si="165"/>
        <v>354.79452054794524</v>
      </c>
      <c r="M1671" s="3">
        <f t="shared" si="166"/>
        <v>21.287671232876715</v>
      </c>
      <c r="N1671" s="67">
        <f t="shared" si="167"/>
        <v>333.50684931506851</v>
      </c>
      <c r="O1671" s="3"/>
      <c r="P1671" s="70" t="s">
        <v>18605</v>
      </c>
      <c r="Q1671" s="2" t="s">
        <v>47</v>
      </c>
      <c r="R1671" s="2" t="s">
        <v>3973</v>
      </c>
      <c r="T1671" t="s">
        <v>18666</v>
      </c>
      <c r="U1671" t="s">
        <v>18652</v>
      </c>
      <c r="V1671" s="104">
        <v>45857</v>
      </c>
      <c r="X1671" s="97"/>
      <c r="Y1671" s="75">
        <v>333.51</v>
      </c>
    </row>
    <row r="1672" spans="1:25" x14ac:dyDescent="0.25">
      <c r="A1672" s="76">
        <v>1704</v>
      </c>
      <c r="B1672" s="2" t="s">
        <v>7484</v>
      </c>
      <c r="C1672" s="2" t="s">
        <v>7485</v>
      </c>
      <c r="D1672" s="2" t="s">
        <v>7486</v>
      </c>
      <c r="E1672" s="2" t="s">
        <v>7487</v>
      </c>
      <c r="F1672" s="2" t="s">
        <v>7488</v>
      </c>
      <c r="G1672" s="2" t="s">
        <v>5013</v>
      </c>
      <c r="H1672" s="17">
        <v>200</v>
      </c>
      <c r="I1672" s="31">
        <f t="shared" si="162"/>
        <v>200000</v>
      </c>
      <c r="J1672" s="31">
        <f t="shared" si="163"/>
        <v>14000.000000000002</v>
      </c>
      <c r="K1672" s="44">
        <f t="shared" si="164"/>
        <v>38.356164383561648</v>
      </c>
      <c r="L1672" s="3">
        <f t="shared" si="165"/>
        <v>2838.3561643835619</v>
      </c>
      <c r="M1672" s="3">
        <f t="shared" si="166"/>
        <v>170.30136986301372</v>
      </c>
      <c r="N1672" s="67">
        <f t="shared" si="167"/>
        <v>2668.0547945205481</v>
      </c>
      <c r="O1672" s="3"/>
      <c r="P1672" s="70" t="s">
        <v>18605</v>
      </c>
      <c r="Q1672" s="2" t="s">
        <v>47</v>
      </c>
      <c r="R1672" s="2" t="s">
        <v>7489</v>
      </c>
      <c r="T1672" t="s">
        <v>18666</v>
      </c>
      <c r="U1672" t="s">
        <v>18652</v>
      </c>
      <c r="V1672" s="104">
        <v>45857</v>
      </c>
      <c r="X1672" s="97"/>
      <c r="Y1672" s="75">
        <v>2668.0600000000004</v>
      </c>
    </row>
    <row r="1673" spans="1:25" x14ac:dyDescent="0.25">
      <c r="A1673" s="76">
        <v>1705</v>
      </c>
      <c r="B1673" s="2" t="s">
        <v>11406</v>
      </c>
      <c r="C1673" s="2" t="s">
        <v>11407</v>
      </c>
      <c r="D1673" s="2" t="s">
        <v>11408</v>
      </c>
      <c r="E1673" s="2" t="s">
        <v>11409</v>
      </c>
      <c r="F1673" s="2" t="s">
        <v>11410</v>
      </c>
      <c r="G1673" s="2" t="s">
        <v>23</v>
      </c>
      <c r="H1673" s="17">
        <v>25</v>
      </c>
      <c r="I1673" s="31">
        <f t="shared" si="162"/>
        <v>25000</v>
      </c>
      <c r="J1673" s="31">
        <f t="shared" si="163"/>
        <v>1750.0000000000002</v>
      </c>
      <c r="K1673" s="44">
        <f t="shared" si="164"/>
        <v>4.794520547945206</v>
      </c>
      <c r="L1673" s="3">
        <f t="shared" si="165"/>
        <v>354.79452054794524</v>
      </c>
      <c r="M1673" s="3">
        <f t="shared" si="166"/>
        <v>21.287671232876715</v>
      </c>
      <c r="N1673" s="67">
        <f t="shared" si="167"/>
        <v>333.50684931506851</v>
      </c>
      <c r="O1673" s="3"/>
      <c r="P1673" s="70" t="s">
        <v>18605</v>
      </c>
      <c r="Q1673" s="2" t="s">
        <v>47</v>
      </c>
      <c r="R1673" s="2" t="s">
        <v>11411</v>
      </c>
      <c r="T1673" t="s">
        <v>18666</v>
      </c>
      <c r="U1673" t="s">
        <v>18652</v>
      </c>
      <c r="V1673" s="104">
        <v>45857</v>
      </c>
      <c r="X1673" s="97"/>
      <c r="Y1673" s="75">
        <v>333.51</v>
      </c>
    </row>
    <row r="1674" spans="1:25" x14ac:dyDescent="0.25">
      <c r="A1674" s="76">
        <v>1706</v>
      </c>
      <c r="B1674" s="2" t="s">
        <v>9510</v>
      </c>
      <c r="C1674" s="2" t="s">
        <v>9511</v>
      </c>
      <c r="D1674" s="2" t="s">
        <v>9512</v>
      </c>
      <c r="E1674" s="2" t="s">
        <v>9513</v>
      </c>
      <c r="F1674" s="2" t="s">
        <v>9514</v>
      </c>
      <c r="G1674" s="2" t="s">
        <v>282</v>
      </c>
      <c r="H1674" s="17">
        <v>25</v>
      </c>
      <c r="I1674" s="31">
        <f t="shared" si="162"/>
        <v>25000</v>
      </c>
      <c r="J1674" s="31">
        <f t="shared" si="163"/>
        <v>1750.0000000000002</v>
      </c>
      <c r="K1674" s="44">
        <f t="shared" si="164"/>
        <v>4.794520547945206</v>
      </c>
      <c r="L1674" s="3">
        <f t="shared" si="165"/>
        <v>354.79452054794524</v>
      </c>
      <c r="M1674" s="3">
        <f t="shared" si="166"/>
        <v>21.287671232876715</v>
      </c>
      <c r="N1674" s="67">
        <f t="shared" si="167"/>
        <v>333.50684931506851</v>
      </c>
      <c r="O1674" s="3"/>
      <c r="P1674" s="70" t="s">
        <v>18605</v>
      </c>
      <c r="Q1674" s="2" t="s">
        <v>47</v>
      </c>
      <c r="R1674" s="2" t="s">
        <v>9515</v>
      </c>
      <c r="T1674" t="s">
        <v>18666</v>
      </c>
      <c r="U1674" t="s">
        <v>18652</v>
      </c>
      <c r="V1674" s="104">
        <v>45857</v>
      </c>
      <c r="X1674" s="97"/>
      <c r="Y1674" s="75">
        <v>333.51</v>
      </c>
    </row>
    <row r="1675" spans="1:25" x14ac:dyDescent="0.25">
      <c r="A1675" s="76">
        <v>1707</v>
      </c>
      <c r="B1675" s="2" t="s">
        <v>7737</v>
      </c>
      <c r="C1675" s="2" t="s">
        <v>7738</v>
      </c>
      <c r="D1675" s="2" t="s">
        <v>7739</v>
      </c>
      <c r="E1675" s="2" t="s">
        <v>7740</v>
      </c>
      <c r="F1675" s="2" t="s">
        <v>7741</v>
      </c>
      <c r="G1675" s="2" t="s">
        <v>309</v>
      </c>
      <c r="H1675" s="17">
        <v>25</v>
      </c>
      <c r="I1675" s="31">
        <f t="shared" si="162"/>
        <v>25000</v>
      </c>
      <c r="J1675" s="31">
        <f t="shared" si="163"/>
        <v>1750.0000000000002</v>
      </c>
      <c r="K1675" s="44">
        <f t="shared" si="164"/>
        <v>4.794520547945206</v>
      </c>
      <c r="L1675" s="3">
        <f t="shared" si="165"/>
        <v>354.79452054794524</v>
      </c>
      <c r="M1675" s="3">
        <f t="shared" si="166"/>
        <v>21.287671232876715</v>
      </c>
      <c r="N1675" s="67">
        <f t="shared" si="167"/>
        <v>333.50684931506851</v>
      </c>
      <c r="O1675" s="3"/>
      <c r="P1675" s="70" t="s">
        <v>18605</v>
      </c>
      <c r="Q1675" s="2" t="s">
        <v>47</v>
      </c>
      <c r="R1675" s="2" t="s">
        <v>7742</v>
      </c>
      <c r="T1675" t="s">
        <v>18666</v>
      </c>
      <c r="U1675" t="s">
        <v>18652</v>
      </c>
      <c r="V1675" s="104">
        <v>45857</v>
      </c>
      <c r="X1675" s="97"/>
      <c r="Y1675" s="75">
        <v>333.51</v>
      </c>
    </row>
    <row r="1676" spans="1:25" x14ac:dyDescent="0.25">
      <c r="A1676" s="76">
        <v>1708</v>
      </c>
      <c r="B1676" s="2" t="s">
        <v>5778</v>
      </c>
      <c r="C1676" s="2" t="s">
        <v>5779</v>
      </c>
      <c r="D1676" s="2" t="s">
        <v>5780</v>
      </c>
      <c r="E1676" s="2" t="s">
        <v>5781</v>
      </c>
      <c r="F1676" s="2" t="s">
        <v>5782</v>
      </c>
      <c r="G1676" s="2" t="s">
        <v>328</v>
      </c>
      <c r="H1676" s="17">
        <v>25</v>
      </c>
      <c r="I1676" s="31">
        <f t="shared" si="162"/>
        <v>25000</v>
      </c>
      <c r="J1676" s="31">
        <f t="shared" si="163"/>
        <v>1750.0000000000002</v>
      </c>
      <c r="K1676" s="44">
        <f t="shared" si="164"/>
        <v>4.794520547945206</v>
      </c>
      <c r="L1676" s="3">
        <f t="shared" si="165"/>
        <v>354.79452054794524</v>
      </c>
      <c r="M1676" s="3">
        <f t="shared" si="166"/>
        <v>21.287671232876715</v>
      </c>
      <c r="N1676" s="67">
        <f t="shared" si="167"/>
        <v>333.50684931506851</v>
      </c>
      <c r="O1676" s="3"/>
      <c r="P1676" s="70" t="s">
        <v>18605</v>
      </c>
      <c r="Q1676" s="2" t="s">
        <v>47</v>
      </c>
      <c r="R1676" s="2" t="s">
        <v>5783</v>
      </c>
      <c r="T1676" t="s">
        <v>18666</v>
      </c>
      <c r="U1676" t="s">
        <v>18652</v>
      </c>
      <c r="V1676" s="104">
        <v>45857</v>
      </c>
      <c r="X1676" s="97"/>
      <c r="Y1676" s="75">
        <v>333.51</v>
      </c>
    </row>
    <row r="1677" spans="1:25" x14ac:dyDescent="0.25">
      <c r="A1677" s="76">
        <v>1709</v>
      </c>
      <c r="B1677" s="2" t="s">
        <v>15948</v>
      </c>
      <c r="C1677" s="2" t="s">
        <v>15949</v>
      </c>
      <c r="D1677" s="2" t="s">
        <v>15950</v>
      </c>
      <c r="E1677" s="2" t="s">
        <v>15951</v>
      </c>
      <c r="F1677" s="2" t="s">
        <v>15952</v>
      </c>
      <c r="G1677" s="2" t="s">
        <v>23</v>
      </c>
      <c r="H1677" s="17">
        <v>25</v>
      </c>
      <c r="I1677" s="31">
        <f t="shared" si="162"/>
        <v>25000</v>
      </c>
      <c r="J1677" s="31">
        <f t="shared" si="163"/>
        <v>1750.0000000000002</v>
      </c>
      <c r="K1677" s="44">
        <f t="shared" si="164"/>
        <v>4.794520547945206</v>
      </c>
      <c r="L1677" s="3">
        <f t="shared" si="165"/>
        <v>354.79452054794524</v>
      </c>
      <c r="M1677" s="3">
        <f t="shared" si="166"/>
        <v>21.287671232876715</v>
      </c>
      <c r="N1677" s="67">
        <f t="shared" si="167"/>
        <v>333.50684931506851</v>
      </c>
      <c r="O1677" s="3"/>
      <c r="P1677" s="70" t="s">
        <v>18605</v>
      </c>
      <c r="Q1677" s="2" t="s">
        <v>47</v>
      </c>
      <c r="R1677" s="2" t="s">
        <v>15953</v>
      </c>
      <c r="T1677" t="s">
        <v>18666</v>
      </c>
      <c r="U1677" t="s">
        <v>18652</v>
      </c>
      <c r="V1677" s="104">
        <v>45857</v>
      </c>
      <c r="X1677" s="97"/>
      <c r="Y1677" s="75">
        <v>333.51</v>
      </c>
    </row>
    <row r="1678" spans="1:25" x14ac:dyDescent="0.25">
      <c r="A1678" s="76">
        <v>1710</v>
      </c>
      <c r="B1678" s="2" t="s">
        <v>16228</v>
      </c>
      <c r="C1678" s="2" t="s">
        <v>16229</v>
      </c>
      <c r="D1678" s="2" t="s">
        <v>16230</v>
      </c>
      <c r="E1678" s="2" t="s">
        <v>16231</v>
      </c>
      <c r="F1678" s="2" t="s">
        <v>16232</v>
      </c>
      <c r="G1678" s="2" t="s">
        <v>643</v>
      </c>
      <c r="H1678" s="17">
        <v>100</v>
      </c>
      <c r="I1678" s="31">
        <f t="shared" si="162"/>
        <v>100000</v>
      </c>
      <c r="J1678" s="31">
        <f t="shared" si="163"/>
        <v>7000.0000000000009</v>
      </c>
      <c r="K1678" s="44">
        <f t="shared" si="164"/>
        <v>19.178082191780824</v>
      </c>
      <c r="L1678" s="3">
        <f t="shared" si="165"/>
        <v>1419.178082191781</v>
      </c>
      <c r="M1678" s="3">
        <f t="shared" si="166"/>
        <v>85.150684931506859</v>
      </c>
      <c r="N1678" s="67">
        <f t="shared" si="167"/>
        <v>1334.027397260274</v>
      </c>
      <c r="O1678" s="3"/>
      <c r="P1678" s="70" t="s">
        <v>18605</v>
      </c>
      <c r="Q1678" s="2" t="s">
        <v>47</v>
      </c>
      <c r="R1678" s="2" t="s">
        <v>16233</v>
      </c>
      <c r="T1678" t="s">
        <v>18666</v>
      </c>
      <c r="U1678" t="s">
        <v>18652</v>
      </c>
      <c r="V1678" s="104">
        <v>45857</v>
      </c>
      <c r="X1678" s="97"/>
      <c r="Y1678" s="75">
        <v>1334.03</v>
      </c>
    </row>
    <row r="1679" spans="1:25" x14ac:dyDescent="0.25">
      <c r="A1679" s="76">
        <v>1711</v>
      </c>
      <c r="B1679" s="2" t="s">
        <v>17673</v>
      </c>
      <c r="C1679" s="2" t="s">
        <v>17674</v>
      </c>
      <c r="D1679" s="2" t="s">
        <v>17675</v>
      </c>
      <c r="E1679" s="2" t="s">
        <v>17676</v>
      </c>
      <c r="F1679" s="2" t="s">
        <v>17677</v>
      </c>
      <c r="G1679" s="2" t="s">
        <v>381</v>
      </c>
      <c r="H1679" s="17">
        <v>500</v>
      </c>
      <c r="I1679" s="31">
        <f t="shared" si="162"/>
        <v>500000</v>
      </c>
      <c r="J1679" s="31">
        <f t="shared" si="163"/>
        <v>35000</v>
      </c>
      <c r="K1679" s="44">
        <f t="shared" si="164"/>
        <v>95.890410958904113</v>
      </c>
      <c r="L1679" s="3">
        <f t="shared" si="165"/>
        <v>7095.8904109589039</v>
      </c>
      <c r="M1679" s="3">
        <f t="shared" si="166"/>
        <v>425.7534246575342</v>
      </c>
      <c r="N1679" s="67">
        <f t="shared" si="167"/>
        <v>6670.1369863013697</v>
      </c>
      <c r="O1679" s="3"/>
      <c r="P1679" s="70" t="s">
        <v>18605</v>
      </c>
      <c r="Q1679" s="2" t="s">
        <v>47</v>
      </c>
      <c r="R1679" s="2" t="s">
        <v>17678</v>
      </c>
      <c r="T1679" t="s">
        <v>18666</v>
      </c>
      <c r="U1679" t="s">
        <v>18652</v>
      </c>
      <c r="V1679" s="104">
        <v>45857</v>
      </c>
      <c r="X1679" s="97"/>
      <c r="Y1679" s="75">
        <v>6670.14</v>
      </c>
    </row>
    <row r="1680" spans="1:25" x14ac:dyDescent="0.25">
      <c r="A1680" s="76">
        <v>1712</v>
      </c>
      <c r="B1680" s="2" t="s">
        <v>10940</v>
      </c>
      <c r="C1680" s="2" t="s">
        <v>10941</v>
      </c>
      <c r="D1680" s="2" t="s">
        <v>10942</v>
      </c>
      <c r="E1680" s="2" t="s">
        <v>10943</v>
      </c>
      <c r="F1680" s="2" t="s">
        <v>10944</v>
      </c>
      <c r="G1680" s="2" t="s">
        <v>2380</v>
      </c>
      <c r="H1680" s="17">
        <v>1000</v>
      </c>
      <c r="I1680" s="31">
        <f t="shared" si="162"/>
        <v>1000000</v>
      </c>
      <c r="J1680" s="31">
        <f t="shared" si="163"/>
        <v>70000</v>
      </c>
      <c r="K1680" s="44">
        <f t="shared" si="164"/>
        <v>191.78082191780823</v>
      </c>
      <c r="L1680" s="3">
        <f t="shared" si="165"/>
        <v>14191.780821917808</v>
      </c>
      <c r="M1680" s="3">
        <f t="shared" si="166"/>
        <v>851.50684931506839</v>
      </c>
      <c r="N1680" s="67">
        <f t="shared" si="167"/>
        <v>13340.273972602739</v>
      </c>
      <c r="O1680" s="3"/>
      <c r="P1680" s="70" t="s">
        <v>18605</v>
      </c>
      <c r="Q1680" s="2" t="s">
        <v>47</v>
      </c>
      <c r="R1680" s="2" t="s">
        <v>10945</v>
      </c>
      <c r="T1680" t="s">
        <v>18666</v>
      </c>
      <c r="U1680" t="s">
        <v>18652</v>
      </c>
      <c r="V1680" s="104">
        <v>45857</v>
      </c>
      <c r="X1680" s="97"/>
      <c r="Y1680" s="75">
        <v>13340.28</v>
      </c>
    </row>
    <row r="1681" spans="1:25" x14ac:dyDescent="0.25">
      <c r="A1681" s="76">
        <v>1713</v>
      </c>
      <c r="B1681" s="2" t="s">
        <v>4824</v>
      </c>
      <c r="C1681" s="2" t="s">
        <v>4825</v>
      </c>
      <c r="D1681" s="2" t="s">
        <v>4826</v>
      </c>
      <c r="E1681" s="2" t="s">
        <v>4827</v>
      </c>
      <c r="F1681" s="2" t="s">
        <v>4828</v>
      </c>
      <c r="G1681" s="2" t="s">
        <v>54</v>
      </c>
      <c r="H1681" s="17">
        <v>300</v>
      </c>
      <c r="I1681" s="31">
        <f t="shared" si="162"/>
        <v>300000</v>
      </c>
      <c r="J1681" s="31">
        <f t="shared" si="163"/>
        <v>21000.000000000004</v>
      </c>
      <c r="K1681" s="44">
        <f t="shared" si="164"/>
        <v>57.534246575342479</v>
      </c>
      <c r="L1681" s="3">
        <f t="shared" si="165"/>
        <v>4257.5342465753438</v>
      </c>
      <c r="M1681" s="3">
        <f t="shared" si="166"/>
        <v>255.45205479452062</v>
      </c>
      <c r="N1681" s="67">
        <f t="shared" si="167"/>
        <v>4002.082191780823</v>
      </c>
      <c r="O1681" s="3"/>
      <c r="P1681" s="70" t="s">
        <v>18605</v>
      </c>
      <c r="Q1681" s="2" t="s">
        <v>47</v>
      </c>
      <c r="R1681" s="2" t="s">
        <v>4829</v>
      </c>
      <c r="T1681" t="s">
        <v>18666</v>
      </c>
      <c r="U1681" t="s">
        <v>18652</v>
      </c>
      <c r="V1681" s="104">
        <v>45857</v>
      </c>
      <c r="X1681" s="97"/>
      <c r="Y1681" s="75">
        <v>4002.09</v>
      </c>
    </row>
    <row r="1682" spans="1:25" x14ac:dyDescent="0.25">
      <c r="A1682" s="76">
        <v>1714</v>
      </c>
      <c r="B1682" s="2" t="s">
        <v>8829</v>
      </c>
      <c r="C1682" s="2" t="s">
        <v>8830</v>
      </c>
      <c r="D1682" s="2" t="s">
        <v>8831</v>
      </c>
      <c r="E1682" s="2" t="s">
        <v>8832</v>
      </c>
      <c r="F1682" s="2" t="s">
        <v>8833</v>
      </c>
      <c r="G1682" s="2" t="s">
        <v>381</v>
      </c>
      <c r="H1682" s="17">
        <v>25</v>
      </c>
      <c r="I1682" s="31">
        <f t="shared" ref="I1682:I1745" si="168">H1682*1000</f>
        <v>25000</v>
      </c>
      <c r="J1682" s="31">
        <f t="shared" ref="J1682:J1745" si="169">I1682*7%</f>
        <v>1750.0000000000002</v>
      </c>
      <c r="K1682" s="44">
        <f t="shared" ref="K1682:K1745" si="170">J1682/365</f>
        <v>4.794520547945206</v>
      </c>
      <c r="L1682" s="3">
        <f t="shared" ref="L1682:L1745" si="171">K1682*74</f>
        <v>354.79452054794524</v>
      </c>
      <c r="M1682" s="3">
        <f t="shared" ref="M1682:M1745" si="172">L1682*6%</f>
        <v>21.287671232876715</v>
      </c>
      <c r="N1682" s="67">
        <f t="shared" ref="N1682:N1745" si="173">L1682-M1682</f>
        <v>333.50684931506851</v>
      </c>
      <c r="O1682" s="3"/>
      <c r="P1682" s="70" t="s">
        <v>18605</v>
      </c>
      <c r="Q1682" s="2" t="s">
        <v>47</v>
      </c>
      <c r="R1682" s="2" t="s">
        <v>8834</v>
      </c>
      <c r="T1682" t="s">
        <v>18666</v>
      </c>
      <c r="U1682" t="s">
        <v>18652</v>
      </c>
      <c r="V1682" s="104">
        <v>45857</v>
      </c>
      <c r="X1682" s="97"/>
      <c r="Y1682" s="75">
        <v>333.51</v>
      </c>
    </row>
    <row r="1683" spans="1:25" x14ac:dyDescent="0.25">
      <c r="A1683" s="76">
        <v>1715</v>
      </c>
      <c r="B1683" s="2" t="s">
        <v>15589</v>
      </c>
      <c r="C1683" s="2" t="s">
        <v>8551</v>
      </c>
      <c r="D1683" s="2" t="s">
        <v>15590</v>
      </c>
      <c r="E1683" s="2" t="s">
        <v>15591</v>
      </c>
      <c r="F1683" s="2" t="s">
        <v>15592</v>
      </c>
      <c r="G1683" s="2" t="s">
        <v>275</v>
      </c>
      <c r="H1683" s="17">
        <v>25</v>
      </c>
      <c r="I1683" s="31">
        <f t="shared" si="168"/>
        <v>25000</v>
      </c>
      <c r="J1683" s="31">
        <f t="shared" si="169"/>
        <v>1750.0000000000002</v>
      </c>
      <c r="K1683" s="44">
        <f t="shared" si="170"/>
        <v>4.794520547945206</v>
      </c>
      <c r="L1683" s="3">
        <f t="shared" si="171"/>
        <v>354.79452054794524</v>
      </c>
      <c r="M1683" s="3">
        <f t="shared" si="172"/>
        <v>21.287671232876715</v>
      </c>
      <c r="N1683" s="67">
        <f t="shared" si="173"/>
        <v>333.50684931506851</v>
      </c>
      <c r="O1683" s="3"/>
      <c r="P1683" s="70" t="s">
        <v>18605</v>
      </c>
      <c r="Q1683" s="2" t="s">
        <v>47</v>
      </c>
      <c r="R1683" s="2" t="s">
        <v>15593</v>
      </c>
      <c r="T1683" t="s">
        <v>18666</v>
      </c>
      <c r="U1683" t="s">
        <v>18652</v>
      </c>
      <c r="V1683" s="104">
        <v>45857</v>
      </c>
      <c r="X1683" s="97"/>
      <c r="Y1683" s="75">
        <v>333.51</v>
      </c>
    </row>
    <row r="1684" spans="1:25" x14ac:dyDescent="0.25">
      <c r="A1684" s="76">
        <v>1716</v>
      </c>
      <c r="B1684" s="2" t="s">
        <v>2267</v>
      </c>
      <c r="C1684" s="2" t="s">
        <v>2268</v>
      </c>
      <c r="D1684" s="2" t="s">
        <v>2269</v>
      </c>
      <c r="E1684" s="2" t="s">
        <v>2270</v>
      </c>
      <c r="F1684" s="2" t="s">
        <v>2271</v>
      </c>
      <c r="G1684" s="2" t="s">
        <v>750</v>
      </c>
      <c r="H1684" s="17">
        <v>200</v>
      </c>
      <c r="I1684" s="31">
        <f t="shared" si="168"/>
        <v>200000</v>
      </c>
      <c r="J1684" s="31">
        <f t="shared" si="169"/>
        <v>14000.000000000002</v>
      </c>
      <c r="K1684" s="44">
        <f t="shared" si="170"/>
        <v>38.356164383561648</v>
      </c>
      <c r="L1684" s="3">
        <f t="shared" si="171"/>
        <v>2838.3561643835619</v>
      </c>
      <c r="M1684" s="3">
        <f t="shared" si="172"/>
        <v>170.30136986301372</v>
      </c>
      <c r="N1684" s="67">
        <f t="shared" si="173"/>
        <v>2668.0547945205481</v>
      </c>
      <c r="O1684" s="3"/>
      <c r="P1684" s="70" t="s">
        <v>18605</v>
      </c>
      <c r="Q1684" s="2" t="s">
        <v>47</v>
      </c>
      <c r="R1684" s="2" t="s">
        <v>2272</v>
      </c>
      <c r="T1684" t="s">
        <v>18666</v>
      </c>
      <c r="U1684" t="s">
        <v>18652</v>
      </c>
      <c r="V1684" s="104">
        <v>45857</v>
      </c>
      <c r="X1684" s="97"/>
      <c r="Y1684" s="75">
        <v>2668.0600000000004</v>
      </c>
    </row>
    <row r="1685" spans="1:25" x14ac:dyDescent="0.25">
      <c r="A1685" s="76">
        <v>1717</v>
      </c>
      <c r="B1685" s="2" t="s">
        <v>2327</v>
      </c>
      <c r="C1685" s="2" t="s">
        <v>2328</v>
      </c>
      <c r="D1685" s="2" t="s">
        <v>2329</v>
      </c>
      <c r="E1685" s="2" t="s">
        <v>2330</v>
      </c>
      <c r="F1685" s="2" t="s">
        <v>2331</v>
      </c>
      <c r="G1685" s="2" t="s">
        <v>750</v>
      </c>
      <c r="H1685" s="17">
        <v>100</v>
      </c>
      <c r="I1685" s="31">
        <f t="shared" si="168"/>
        <v>100000</v>
      </c>
      <c r="J1685" s="31">
        <f t="shared" si="169"/>
        <v>7000.0000000000009</v>
      </c>
      <c r="K1685" s="44">
        <f t="shared" si="170"/>
        <v>19.178082191780824</v>
      </c>
      <c r="L1685" s="3">
        <f t="shared" si="171"/>
        <v>1419.178082191781</v>
      </c>
      <c r="M1685" s="3">
        <f t="shared" si="172"/>
        <v>85.150684931506859</v>
      </c>
      <c r="N1685" s="67">
        <f t="shared" si="173"/>
        <v>1334.027397260274</v>
      </c>
      <c r="O1685" s="3"/>
      <c r="P1685" s="70" t="s">
        <v>18605</v>
      </c>
      <c r="Q1685" s="2" t="s">
        <v>47</v>
      </c>
      <c r="R1685" s="2" t="s">
        <v>2332</v>
      </c>
      <c r="T1685" t="s">
        <v>18666</v>
      </c>
      <c r="U1685" t="s">
        <v>18652</v>
      </c>
      <c r="V1685" s="104">
        <v>45857</v>
      </c>
      <c r="X1685" s="97"/>
      <c r="Y1685" s="75">
        <v>1334.03</v>
      </c>
    </row>
    <row r="1686" spans="1:25" x14ac:dyDescent="0.25">
      <c r="A1686" s="76">
        <v>1718</v>
      </c>
      <c r="B1686" s="2" t="s">
        <v>2656</v>
      </c>
      <c r="C1686" s="2" t="s">
        <v>2657</v>
      </c>
      <c r="D1686" s="2" t="s">
        <v>2658</v>
      </c>
      <c r="E1686" s="2" t="s">
        <v>2659</v>
      </c>
      <c r="F1686" s="2" t="s">
        <v>2660</v>
      </c>
      <c r="G1686" s="2" t="s">
        <v>1570</v>
      </c>
      <c r="H1686" s="17">
        <v>25</v>
      </c>
      <c r="I1686" s="31">
        <f t="shared" si="168"/>
        <v>25000</v>
      </c>
      <c r="J1686" s="31">
        <f t="shared" si="169"/>
        <v>1750.0000000000002</v>
      </c>
      <c r="K1686" s="44">
        <f t="shared" si="170"/>
        <v>4.794520547945206</v>
      </c>
      <c r="L1686" s="3">
        <f t="shared" si="171"/>
        <v>354.79452054794524</v>
      </c>
      <c r="M1686" s="3">
        <f t="shared" si="172"/>
        <v>21.287671232876715</v>
      </c>
      <c r="N1686" s="67">
        <f t="shared" si="173"/>
        <v>333.50684931506851</v>
      </c>
      <c r="O1686" s="3"/>
      <c r="P1686" s="70" t="s">
        <v>18605</v>
      </c>
      <c r="Q1686" s="2" t="s">
        <v>47</v>
      </c>
      <c r="R1686" s="2" t="s">
        <v>2661</v>
      </c>
      <c r="T1686" t="s">
        <v>18666</v>
      </c>
      <c r="U1686" t="s">
        <v>18652</v>
      </c>
      <c r="V1686" s="104">
        <v>45857</v>
      </c>
      <c r="X1686" s="97"/>
      <c r="Y1686" s="75">
        <v>333.51</v>
      </c>
    </row>
    <row r="1687" spans="1:25" x14ac:dyDescent="0.25">
      <c r="A1687" s="76">
        <v>1719</v>
      </c>
      <c r="B1687" s="2" t="s">
        <v>5772</v>
      </c>
      <c r="C1687" s="2" t="s">
        <v>5773</v>
      </c>
      <c r="D1687" s="2" t="s">
        <v>5774</v>
      </c>
      <c r="E1687" s="2" t="s">
        <v>5775</v>
      </c>
      <c r="F1687" s="2" t="s">
        <v>5776</v>
      </c>
      <c r="G1687" s="2" t="s">
        <v>580</v>
      </c>
      <c r="H1687" s="17">
        <v>25</v>
      </c>
      <c r="I1687" s="31">
        <f t="shared" si="168"/>
        <v>25000</v>
      </c>
      <c r="J1687" s="31">
        <f t="shared" si="169"/>
        <v>1750.0000000000002</v>
      </c>
      <c r="K1687" s="44">
        <f t="shared" si="170"/>
        <v>4.794520547945206</v>
      </c>
      <c r="L1687" s="3">
        <f t="shared" si="171"/>
        <v>354.79452054794524</v>
      </c>
      <c r="M1687" s="3">
        <f t="shared" si="172"/>
        <v>21.287671232876715</v>
      </c>
      <c r="N1687" s="67">
        <f t="shared" si="173"/>
        <v>333.50684931506851</v>
      </c>
      <c r="O1687" s="3"/>
      <c r="P1687" s="70" t="s">
        <v>18605</v>
      </c>
      <c r="Q1687" s="2" t="s">
        <v>47</v>
      </c>
      <c r="R1687" s="2" t="s">
        <v>5777</v>
      </c>
      <c r="T1687" t="s">
        <v>18666</v>
      </c>
      <c r="U1687" t="s">
        <v>18652</v>
      </c>
      <c r="V1687" s="104">
        <v>45857</v>
      </c>
      <c r="X1687" s="97"/>
      <c r="Y1687" s="75">
        <v>333.51</v>
      </c>
    </row>
    <row r="1688" spans="1:25" x14ac:dyDescent="0.25">
      <c r="A1688" s="76">
        <v>1720</v>
      </c>
      <c r="B1688" s="2" t="s">
        <v>6148</v>
      </c>
      <c r="C1688" s="2" t="s">
        <v>6149</v>
      </c>
      <c r="D1688" s="2" t="s">
        <v>6150</v>
      </c>
      <c r="E1688" s="2" t="s">
        <v>6151</v>
      </c>
      <c r="F1688" s="2" t="s">
        <v>6152</v>
      </c>
      <c r="G1688" s="2" t="s">
        <v>31</v>
      </c>
      <c r="H1688" s="17">
        <v>200</v>
      </c>
      <c r="I1688" s="31">
        <f t="shared" si="168"/>
        <v>200000</v>
      </c>
      <c r="J1688" s="31">
        <f t="shared" si="169"/>
        <v>14000.000000000002</v>
      </c>
      <c r="K1688" s="44">
        <f t="shared" si="170"/>
        <v>38.356164383561648</v>
      </c>
      <c r="L1688" s="3">
        <f t="shared" si="171"/>
        <v>2838.3561643835619</v>
      </c>
      <c r="M1688" s="3">
        <f t="shared" si="172"/>
        <v>170.30136986301372</v>
      </c>
      <c r="N1688" s="67">
        <f t="shared" si="173"/>
        <v>2668.0547945205481</v>
      </c>
      <c r="O1688" s="3"/>
      <c r="P1688" s="70" t="s">
        <v>18605</v>
      </c>
      <c r="Q1688" s="2" t="s">
        <v>47</v>
      </c>
      <c r="R1688" s="2" t="s">
        <v>6153</v>
      </c>
      <c r="T1688" t="s">
        <v>18666</v>
      </c>
      <c r="U1688" t="s">
        <v>18652</v>
      </c>
      <c r="V1688" s="104">
        <v>45857</v>
      </c>
      <c r="X1688" s="97"/>
      <c r="Y1688" s="75">
        <v>2668.0600000000004</v>
      </c>
    </row>
    <row r="1689" spans="1:25" x14ac:dyDescent="0.25">
      <c r="A1689" s="76">
        <v>1721</v>
      </c>
      <c r="B1689" s="2" t="s">
        <v>11028</v>
      </c>
      <c r="C1689" s="2" t="s">
        <v>11029</v>
      </c>
      <c r="D1689" s="2" t="s">
        <v>11030</v>
      </c>
      <c r="E1689" s="2" t="s">
        <v>11031</v>
      </c>
      <c r="F1689" s="2" t="s">
        <v>11032</v>
      </c>
      <c r="G1689" s="2" t="s">
        <v>328</v>
      </c>
      <c r="H1689" s="17">
        <v>30</v>
      </c>
      <c r="I1689" s="31">
        <f t="shared" si="168"/>
        <v>30000</v>
      </c>
      <c r="J1689" s="31">
        <f t="shared" si="169"/>
        <v>2100</v>
      </c>
      <c r="K1689" s="44">
        <f t="shared" si="170"/>
        <v>5.7534246575342465</v>
      </c>
      <c r="L1689" s="3">
        <f t="shared" si="171"/>
        <v>425.75342465753425</v>
      </c>
      <c r="M1689" s="3">
        <f t="shared" si="172"/>
        <v>25.545205479452054</v>
      </c>
      <c r="N1689" s="67">
        <f t="shared" si="173"/>
        <v>400.20821917808217</v>
      </c>
      <c r="O1689" s="3"/>
      <c r="P1689" s="70" t="s">
        <v>18605</v>
      </c>
      <c r="Q1689" s="2" t="s">
        <v>47</v>
      </c>
      <c r="R1689" s="2" t="s">
        <v>11033</v>
      </c>
      <c r="T1689" t="s">
        <v>18666</v>
      </c>
      <c r="U1689" t="s">
        <v>18652</v>
      </c>
      <c r="V1689" s="104">
        <v>45857</v>
      </c>
      <c r="X1689" s="97"/>
      <c r="Y1689" s="75">
        <v>400.21</v>
      </c>
    </row>
    <row r="1690" spans="1:25" x14ac:dyDescent="0.25">
      <c r="A1690" s="76">
        <v>1722</v>
      </c>
      <c r="B1690" s="2" t="s">
        <v>8735</v>
      </c>
      <c r="C1690" s="2" t="s">
        <v>8736</v>
      </c>
      <c r="D1690" s="2" t="s">
        <v>8737</v>
      </c>
      <c r="E1690" s="2" t="s">
        <v>8738</v>
      </c>
      <c r="F1690" s="2" t="s">
        <v>8739</v>
      </c>
      <c r="G1690" s="2" t="s">
        <v>31</v>
      </c>
      <c r="H1690" s="17">
        <v>150</v>
      </c>
      <c r="I1690" s="31">
        <f t="shared" si="168"/>
        <v>150000</v>
      </c>
      <c r="J1690" s="31">
        <f t="shared" si="169"/>
        <v>10500.000000000002</v>
      </c>
      <c r="K1690" s="44">
        <f t="shared" si="170"/>
        <v>28.767123287671239</v>
      </c>
      <c r="L1690" s="3">
        <f t="shared" si="171"/>
        <v>2128.7671232876719</v>
      </c>
      <c r="M1690" s="3">
        <f t="shared" si="172"/>
        <v>127.72602739726031</v>
      </c>
      <c r="N1690" s="67">
        <f t="shared" si="173"/>
        <v>2001.0410958904115</v>
      </c>
      <c r="O1690" s="3"/>
      <c r="P1690" s="70" t="s">
        <v>18605</v>
      </c>
      <c r="Q1690" s="2" t="s">
        <v>47</v>
      </c>
      <c r="R1690" s="2" t="s">
        <v>8740</v>
      </c>
      <c r="T1690" t="s">
        <v>18666</v>
      </c>
      <c r="U1690" t="s">
        <v>18652</v>
      </c>
      <c r="V1690" s="104">
        <v>45857</v>
      </c>
      <c r="X1690" s="97"/>
      <c r="Y1690" s="75">
        <v>2001.05</v>
      </c>
    </row>
    <row r="1691" spans="1:25" x14ac:dyDescent="0.25">
      <c r="A1691" s="76">
        <v>1723</v>
      </c>
      <c r="B1691" s="2" t="s">
        <v>13318</v>
      </c>
      <c r="C1691" s="2" t="s">
        <v>13319</v>
      </c>
      <c r="D1691" s="2" t="s">
        <v>13320</v>
      </c>
      <c r="E1691" s="2" t="s">
        <v>13321</v>
      </c>
      <c r="F1691" s="2" t="s">
        <v>13322</v>
      </c>
      <c r="G1691" s="2" t="s">
        <v>1017</v>
      </c>
      <c r="H1691" s="17">
        <v>50</v>
      </c>
      <c r="I1691" s="31">
        <f t="shared" si="168"/>
        <v>50000</v>
      </c>
      <c r="J1691" s="31">
        <f t="shared" si="169"/>
        <v>3500.0000000000005</v>
      </c>
      <c r="K1691" s="44">
        <f t="shared" si="170"/>
        <v>9.589041095890412</v>
      </c>
      <c r="L1691" s="3">
        <f t="shared" si="171"/>
        <v>709.58904109589048</v>
      </c>
      <c r="M1691" s="3">
        <f t="shared" si="172"/>
        <v>42.57534246575343</v>
      </c>
      <c r="N1691" s="67">
        <f t="shared" si="173"/>
        <v>667.01369863013701</v>
      </c>
      <c r="O1691" s="3"/>
      <c r="P1691" s="70" t="s">
        <v>18605</v>
      </c>
      <c r="Q1691" s="2" t="s">
        <v>47</v>
      </c>
      <c r="R1691" s="2" t="s">
        <v>13323</v>
      </c>
      <c r="T1691" t="s">
        <v>18666</v>
      </c>
      <c r="U1691" t="s">
        <v>18652</v>
      </c>
      <c r="V1691" s="104">
        <v>45857</v>
      </c>
      <c r="X1691" s="97"/>
      <c r="Y1691" s="75">
        <v>667.02</v>
      </c>
    </row>
    <row r="1692" spans="1:25" x14ac:dyDescent="0.25">
      <c r="A1692" s="76">
        <v>1724</v>
      </c>
      <c r="B1692" s="2" t="s">
        <v>18222</v>
      </c>
      <c r="C1692" s="2" t="s">
        <v>18223</v>
      </c>
      <c r="D1692" s="2" t="s">
        <v>18224</v>
      </c>
      <c r="E1692" s="2" t="s">
        <v>18225</v>
      </c>
      <c r="F1692" s="2" t="s">
        <v>18226</v>
      </c>
      <c r="G1692" s="2" t="s">
        <v>193</v>
      </c>
      <c r="H1692" s="17">
        <v>25</v>
      </c>
      <c r="I1692" s="31">
        <f t="shared" si="168"/>
        <v>25000</v>
      </c>
      <c r="J1692" s="31">
        <f t="shared" si="169"/>
        <v>1750.0000000000002</v>
      </c>
      <c r="K1692" s="44">
        <f t="shared" si="170"/>
        <v>4.794520547945206</v>
      </c>
      <c r="L1692" s="3">
        <f t="shared" si="171"/>
        <v>354.79452054794524</v>
      </c>
      <c r="M1692" s="3">
        <f t="shared" si="172"/>
        <v>21.287671232876715</v>
      </c>
      <c r="N1692" s="67">
        <f t="shared" si="173"/>
        <v>333.50684931506851</v>
      </c>
      <c r="O1692" s="3"/>
      <c r="P1692" s="70" t="s">
        <v>18605</v>
      </c>
      <c r="Q1692" s="2" t="s">
        <v>47</v>
      </c>
      <c r="R1692" s="2" t="s">
        <v>18227</v>
      </c>
      <c r="T1692" t="s">
        <v>18666</v>
      </c>
      <c r="U1692" t="s">
        <v>18652</v>
      </c>
      <c r="V1692" s="104">
        <v>45857</v>
      </c>
      <c r="X1692" s="97"/>
      <c r="Y1692" s="75">
        <v>333.51</v>
      </c>
    </row>
    <row r="1693" spans="1:25" x14ac:dyDescent="0.25">
      <c r="A1693" s="76">
        <v>1725</v>
      </c>
      <c r="B1693" s="2" t="s">
        <v>12930</v>
      </c>
      <c r="C1693" s="2" t="s">
        <v>12931</v>
      </c>
      <c r="D1693" s="2" t="s">
        <v>12932</v>
      </c>
      <c r="E1693" s="2" t="s">
        <v>12933</v>
      </c>
      <c r="F1693" s="2" t="s">
        <v>12934</v>
      </c>
      <c r="G1693" s="2" t="s">
        <v>166</v>
      </c>
      <c r="H1693" s="17">
        <v>30</v>
      </c>
      <c r="I1693" s="31">
        <f t="shared" si="168"/>
        <v>30000</v>
      </c>
      <c r="J1693" s="31">
        <f t="shared" si="169"/>
        <v>2100</v>
      </c>
      <c r="K1693" s="44">
        <f t="shared" si="170"/>
        <v>5.7534246575342465</v>
      </c>
      <c r="L1693" s="3">
        <f t="shared" si="171"/>
        <v>425.75342465753425</v>
      </c>
      <c r="M1693" s="3">
        <f t="shared" si="172"/>
        <v>25.545205479452054</v>
      </c>
      <c r="N1693" s="67">
        <f t="shared" si="173"/>
        <v>400.20821917808217</v>
      </c>
      <c r="O1693" s="3"/>
      <c r="P1693" s="70" t="s">
        <v>18605</v>
      </c>
      <c r="Q1693" s="2" t="s">
        <v>47</v>
      </c>
      <c r="R1693" s="2" t="s">
        <v>12935</v>
      </c>
      <c r="T1693" t="s">
        <v>18666</v>
      </c>
      <c r="U1693" t="s">
        <v>18652</v>
      </c>
      <c r="V1693" s="104">
        <v>45857</v>
      </c>
      <c r="X1693" s="97"/>
      <c r="Y1693" s="75">
        <v>400.21</v>
      </c>
    </row>
    <row r="1694" spans="1:25" x14ac:dyDescent="0.25">
      <c r="A1694" s="76">
        <v>1726</v>
      </c>
      <c r="B1694" s="2" t="s">
        <v>6229</v>
      </c>
      <c r="C1694" s="2" t="s">
        <v>6230</v>
      </c>
      <c r="D1694" s="2" t="s">
        <v>6231</v>
      </c>
      <c r="E1694" s="2" t="s">
        <v>6232</v>
      </c>
      <c r="F1694" s="2" t="s">
        <v>6233</v>
      </c>
      <c r="G1694" s="2" t="s">
        <v>1017</v>
      </c>
      <c r="H1694" s="17">
        <v>25</v>
      </c>
      <c r="I1694" s="31">
        <f t="shared" si="168"/>
        <v>25000</v>
      </c>
      <c r="J1694" s="31">
        <f t="shared" si="169"/>
        <v>1750.0000000000002</v>
      </c>
      <c r="K1694" s="44">
        <f t="shared" si="170"/>
        <v>4.794520547945206</v>
      </c>
      <c r="L1694" s="3">
        <f t="shared" si="171"/>
        <v>354.79452054794524</v>
      </c>
      <c r="M1694" s="3">
        <f t="shared" si="172"/>
        <v>21.287671232876715</v>
      </c>
      <c r="N1694" s="67">
        <f t="shared" si="173"/>
        <v>333.50684931506851</v>
      </c>
      <c r="O1694" s="3"/>
      <c r="P1694" s="70" t="s">
        <v>18605</v>
      </c>
      <c r="Q1694" s="2" t="s">
        <v>47</v>
      </c>
      <c r="R1694" s="2" t="s">
        <v>6234</v>
      </c>
      <c r="T1694" t="s">
        <v>18666</v>
      </c>
      <c r="U1694" t="s">
        <v>18652</v>
      </c>
      <c r="V1694" s="104">
        <v>45857</v>
      </c>
      <c r="X1694" s="97"/>
      <c r="Y1694" s="75">
        <v>333.51</v>
      </c>
    </row>
    <row r="1695" spans="1:25" x14ac:dyDescent="0.25">
      <c r="A1695" s="76">
        <v>1727</v>
      </c>
      <c r="B1695" s="2" t="s">
        <v>17381</v>
      </c>
      <c r="C1695" s="2" t="s">
        <v>17382</v>
      </c>
      <c r="D1695" s="2" t="s">
        <v>17383</v>
      </c>
      <c r="E1695" s="2" t="s">
        <v>17384</v>
      </c>
      <c r="F1695" s="2" t="s">
        <v>17385</v>
      </c>
      <c r="G1695" s="2" t="s">
        <v>5922</v>
      </c>
      <c r="H1695" s="17">
        <v>25</v>
      </c>
      <c r="I1695" s="31">
        <f t="shared" si="168"/>
        <v>25000</v>
      </c>
      <c r="J1695" s="31">
        <f t="shared" si="169"/>
        <v>1750.0000000000002</v>
      </c>
      <c r="K1695" s="44">
        <f t="shared" si="170"/>
        <v>4.794520547945206</v>
      </c>
      <c r="L1695" s="3">
        <f t="shared" si="171"/>
        <v>354.79452054794524</v>
      </c>
      <c r="M1695" s="3">
        <f t="shared" si="172"/>
        <v>21.287671232876715</v>
      </c>
      <c r="N1695" s="67">
        <f t="shared" si="173"/>
        <v>333.50684931506851</v>
      </c>
      <c r="O1695" s="3"/>
      <c r="P1695" s="70" t="s">
        <v>18605</v>
      </c>
      <c r="Q1695" s="2" t="s">
        <v>47</v>
      </c>
      <c r="R1695" s="2" t="s">
        <v>17386</v>
      </c>
      <c r="T1695" t="s">
        <v>18666</v>
      </c>
      <c r="U1695" t="s">
        <v>18652</v>
      </c>
      <c r="V1695" s="104">
        <v>45857</v>
      </c>
      <c r="X1695" s="97"/>
      <c r="Y1695" s="75">
        <v>333.51</v>
      </c>
    </row>
    <row r="1696" spans="1:25" x14ac:dyDescent="0.25">
      <c r="A1696" s="76">
        <v>1728</v>
      </c>
      <c r="B1696" s="2" t="s">
        <v>13336</v>
      </c>
      <c r="C1696" s="2" t="s">
        <v>13337</v>
      </c>
      <c r="D1696" s="2" t="s">
        <v>3278</v>
      </c>
      <c r="E1696" s="2" t="s">
        <v>3279</v>
      </c>
      <c r="F1696" s="2" t="s">
        <v>13338</v>
      </c>
      <c r="G1696" s="2" t="s">
        <v>750</v>
      </c>
      <c r="H1696" s="17">
        <v>100</v>
      </c>
      <c r="I1696" s="31">
        <f t="shared" si="168"/>
        <v>100000</v>
      </c>
      <c r="J1696" s="31">
        <f t="shared" si="169"/>
        <v>7000.0000000000009</v>
      </c>
      <c r="K1696" s="44">
        <f t="shared" si="170"/>
        <v>19.178082191780824</v>
      </c>
      <c r="L1696" s="3">
        <f t="shared" si="171"/>
        <v>1419.178082191781</v>
      </c>
      <c r="M1696" s="3">
        <f t="shared" si="172"/>
        <v>85.150684931506859</v>
      </c>
      <c r="N1696" s="67">
        <f t="shared" si="173"/>
        <v>1334.027397260274</v>
      </c>
      <c r="O1696" s="3"/>
      <c r="P1696" s="70" t="s">
        <v>18605</v>
      </c>
      <c r="Q1696" s="2" t="s">
        <v>47</v>
      </c>
      <c r="R1696" s="2" t="s">
        <v>13339</v>
      </c>
      <c r="T1696" t="s">
        <v>18666</v>
      </c>
      <c r="U1696" t="s">
        <v>18652</v>
      </c>
      <c r="V1696" s="104">
        <v>45857</v>
      </c>
      <c r="X1696" s="97"/>
      <c r="Y1696" s="75">
        <v>1334.03</v>
      </c>
    </row>
    <row r="1697" spans="1:25" x14ac:dyDescent="0.25">
      <c r="A1697" s="76">
        <v>1729</v>
      </c>
      <c r="B1697" s="2" t="s">
        <v>10875</v>
      </c>
      <c r="C1697" s="2" t="s">
        <v>10876</v>
      </c>
      <c r="D1697" s="2" t="s">
        <v>10877</v>
      </c>
      <c r="E1697" s="2" t="s">
        <v>10724</v>
      </c>
      <c r="F1697" s="2" t="s">
        <v>10878</v>
      </c>
      <c r="G1697" s="2" t="s">
        <v>144</v>
      </c>
      <c r="H1697" s="17">
        <v>500</v>
      </c>
      <c r="I1697" s="31">
        <f t="shared" si="168"/>
        <v>500000</v>
      </c>
      <c r="J1697" s="31">
        <f t="shared" si="169"/>
        <v>35000</v>
      </c>
      <c r="K1697" s="44">
        <f t="shared" si="170"/>
        <v>95.890410958904113</v>
      </c>
      <c r="L1697" s="3">
        <f t="shared" si="171"/>
        <v>7095.8904109589039</v>
      </c>
      <c r="M1697" s="3">
        <f t="shared" si="172"/>
        <v>425.7534246575342</v>
      </c>
      <c r="N1697" s="67">
        <f t="shared" si="173"/>
        <v>6670.1369863013697</v>
      </c>
      <c r="O1697" s="3"/>
      <c r="P1697" s="70" t="s">
        <v>18605</v>
      </c>
      <c r="Q1697" s="2" t="s">
        <v>47</v>
      </c>
      <c r="R1697" s="2" t="s">
        <v>10879</v>
      </c>
      <c r="T1697" t="s">
        <v>18666</v>
      </c>
      <c r="U1697" t="s">
        <v>18652</v>
      </c>
      <c r="V1697" s="104">
        <v>45857</v>
      </c>
      <c r="X1697" s="97"/>
      <c r="Y1697" s="75">
        <v>6670.14</v>
      </c>
    </row>
    <row r="1698" spans="1:25" x14ac:dyDescent="0.25">
      <c r="A1698" s="76">
        <v>1730</v>
      </c>
      <c r="B1698" s="2" t="s">
        <v>15919</v>
      </c>
      <c r="C1698" s="2" t="s">
        <v>15920</v>
      </c>
      <c r="D1698" s="2" t="s">
        <v>15921</v>
      </c>
      <c r="E1698" s="2" t="s">
        <v>15922</v>
      </c>
      <c r="F1698" s="2" t="s">
        <v>15923</v>
      </c>
      <c r="G1698" s="2" t="s">
        <v>296</v>
      </c>
      <c r="H1698" s="17">
        <v>28</v>
      </c>
      <c r="I1698" s="31">
        <f t="shared" si="168"/>
        <v>28000</v>
      </c>
      <c r="J1698" s="31">
        <f t="shared" si="169"/>
        <v>1960.0000000000002</v>
      </c>
      <c r="K1698" s="44">
        <f t="shared" si="170"/>
        <v>5.3698630136986312</v>
      </c>
      <c r="L1698" s="3">
        <f t="shared" si="171"/>
        <v>397.3698630136987</v>
      </c>
      <c r="M1698" s="3">
        <f t="shared" si="172"/>
        <v>23.842191780821921</v>
      </c>
      <c r="N1698" s="67">
        <f t="shared" si="173"/>
        <v>373.5276712328768</v>
      </c>
      <c r="O1698" s="3"/>
      <c r="P1698" s="70" t="s">
        <v>18605</v>
      </c>
      <c r="Q1698" s="2" t="s">
        <v>47</v>
      </c>
      <c r="R1698" s="2" t="s">
        <v>15924</v>
      </c>
      <c r="T1698" t="s">
        <v>18666</v>
      </c>
      <c r="U1698" t="s">
        <v>18652</v>
      </c>
      <c r="V1698" s="104">
        <v>45857</v>
      </c>
      <c r="X1698" s="97"/>
      <c r="Y1698" s="75">
        <v>373.53</v>
      </c>
    </row>
    <row r="1699" spans="1:25" x14ac:dyDescent="0.25">
      <c r="A1699" s="76">
        <v>1731</v>
      </c>
      <c r="B1699" s="2" t="s">
        <v>13978</v>
      </c>
      <c r="C1699" s="2" t="s">
        <v>13979</v>
      </c>
      <c r="D1699" s="2" t="s">
        <v>13980</v>
      </c>
      <c r="E1699" s="2" t="s">
        <v>13981</v>
      </c>
      <c r="F1699" s="2" t="s">
        <v>13982</v>
      </c>
      <c r="G1699" s="2" t="s">
        <v>101</v>
      </c>
      <c r="H1699" s="17">
        <v>25</v>
      </c>
      <c r="I1699" s="31">
        <f t="shared" si="168"/>
        <v>25000</v>
      </c>
      <c r="J1699" s="31">
        <f t="shared" si="169"/>
        <v>1750.0000000000002</v>
      </c>
      <c r="K1699" s="44">
        <f t="shared" si="170"/>
        <v>4.794520547945206</v>
      </c>
      <c r="L1699" s="3">
        <f t="shared" si="171"/>
        <v>354.79452054794524</v>
      </c>
      <c r="M1699" s="3">
        <f t="shared" si="172"/>
        <v>21.287671232876715</v>
      </c>
      <c r="N1699" s="67">
        <f t="shared" si="173"/>
        <v>333.50684931506851</v>
      </c>
      <c r="O1699" s="3"/>
      <c r="P1699" s="70" t="s">
        <v>18605</v>
      </c>
      <c r="Q1699" s="2" t="s">
        <v>47</v>
      </c>
      <c r="R1699" s="2" t="s">
        <v>13983</v>
      </c>
      <c r="T1699" t="s">
        <v>18666</v>
      </c>
      <c r="U1699" t="s">
        <v>18652</v>
      </c>
      <c r="V1699" s="104">
        <v>45857</v>
      </c>
      <c r="X1699" s="97"/>
      <c r="Y1699" s="75">
        <v>333.51</v>
      </c>
    </row>
    <row r="1700" spans="1:25" x14ac:dyDescent="0.25">
      <c r="A1700" s="76">
        <v>1732</v>
      </c>
      <c r="B1700" s="2" t="s">
        <v>5854</v>
      </c>
      <c r="C1700" s="2" t="s">
        <v>5855</v>
      </c>
      <c r="D1700" s="2" t="s">
        <v>5856</v>
      </c>
      <c r="E1700" s="2" t="s">
        <v>5857</v>
      </c>
      <c r="F1700" s="2" t="s">
        <v>5858</v>
      </c>
      <c r="G1700" s="2" t="s">
        <v>151</v>
      </c>
      <c r="H1700" s="17">
        <v>25</v>
      </c>
      <c r="I1700" s="31">
        <f t="shared" si="168"/>
        <v>25000</v>
      </c>
      <c r="J1700" s="31">
        <f t="shared" si="169"/>
        <v>1750.0000000000002</v>
      </c>
      <c r="K1700" s="44">
        <f t="shared" si="170"/>
        <v>4.794520547945206</v>
      </c>
      <c r="L1700" s="3">
        <f t="shared" si="171"/>
        <v>354.79452054794524</v>
      </c>
      <c r="M1700" s="3">
        <f t="shared" si="172"/>
        <v>21.287671232876715</v>
      </c>
      <c r="N1700" s="67">
        <f t="shared" si="173"/>
        <v>333.50684931506851</v>
      </c>
      <c r="O1700" s="3"/>
      <c r="P1700" s="70" t="s">
        <v>18605</v>
      </c>
      <c r="Q1700" s="2" t="s">
        <v>47</v>
      </c>
      <c r="R1700" s="2" t="s">
        <v>5859</v>
      </c>
      <c r="T1700" t="s">
        <v>18666</v>
      </c>
      <c r="U1700" t="s">
        <v>18652</v>
      </c>
      <c r="V1700" s="104">
        <v>45857</v>
      </c>
      <c r="X1700" s="97"/>
      <c r="Y1700" s="75">
        <v>333.51</v>
      </c>
    </row>
    <row r="1701" spans="1:25" x14ac:dyDescent="0.25">
      <c r="A1701" s="76">
        <v>1733</v>
      </c>
      <c r="B1701" s="2" t="s">
        <v>8747</v>
      </c>
      <c r="C1701" s="2" t="s">
        <v>8748</v>
      </c>
      <c r="D1701" s="2" t="s">
        <v>8749</v>
      </c>
      <c r="E1701" s="2" t="s">
        <v>8750</v>
      </c>
      <c r="F1701" s="2" t="s">
        <v>8751</v>
      </c>
      <c r="G1701" s="2" t="s">
        <v>580</v>
      </c>
      <c r="H1701" s="17">
        <v>25</v>
      </c>
      <c r="I1701" s="31">
        <f t="shared" si="168"/>
        <v>25000</v>
      </c>
      <c r="J1701" s="31">
        <f t="shared" si="169"/>
        <v>1750.0000000000002</v>
      </c>
      <c r="K1701" s="44">
        <f t="shared" si="170"/>
        <v>4.794520547945206</v>
      </c>
      <c r="L1701" s="3">
        <f t="shared" si="171"/>
        <v>354.79452054794524</v>
      </c>
      <c r="M1701" s="3">
        <f t="shared" si="172"/>
        <v>21.287671232876715</v>
      </c>
      <c r="N1701" s="67">
        <f t="shared" si="173"/>
        <v>333.50684931506851</v>
      </c>
      <c r="O1701" s="3"/>
      <c r="P1701" s="70" t="s">
        <v>18605</v>
      </c>
      <c r="Q1701" s="2" t="s">
        <v>47</v>
      </c>
      <c r="R1701" s="2" t="s">
        <v>8752</v>
      </c>
      <c r="T1701" t="s">
        <v>18666</v>
      </c>
      <c r="U1701" t="s">
        <v>18652</v>
      </c>
      <c r="V1701" s="104">
        <v>45857</v>
      </c>
      <c r="X1701" s="97"/>
      <c r="Y1701" s="75">
        <v>333.51</v>
      </c>
    </row>
    <row r="1702" spans="1:25" x14ac:dyDescent="0.25">
      <c r="A1702" s="76">
        <v>1734</v>
      </c>
      <c r="B1702" s="2" t="s">
        <v>4075</v>
      </c>
      <c r="C1702" s="2" t="s">
        <v>4076</v>
      </c>
      <c r="D1702" s="2" t="s">
        <v>4077</v>
      </c>
      <c r="E1702" s="2" t="s">
        <v>4078</v>
      </c>
      <c r="F1702" s="2" t="s">
        <v>4079</v>
      </c>
      <c r="G1702" s="2" t="s">
        <v>261</v>
      </c>
      <c r="H1702" s="17">
        <v>25</v>
      </c>
      <c r="I1702" s="31">
        <f t="shared" si="168"/>
        <v>25000</v>
      </c>
      <c r="J1702" s="31">
        <f t="shared" si="169"/>
        <v>1750.0000000000002</v>
      </c>
      <c r="K1702" s="44">
        <f t="shared" si="170"/>
        <v>4.794520547945206</v>
      </c>
      <c r="L1702" s="3">
        <f t="shared" si="171"/>
        <v>354.79452054794524</v>
      </c>
      <c r="M1702" s="3">
        <f t="shared" si="172"/>
        <v>21.287671232876715</v>
      </c>
      <c r="N1702" s="67">
        <f t="shared" si="173"/>
        <v>333.50684931506851</v>
      </c>
      <c r="O1702" s="3"/>
      <c r="P1702" s="70" t="s">
        <v>18605</v>
      </c>
      <c r="Q1702" s="2" t="s">
        <v>47</v>
      </c>
      <c r="R1702" s="2" t="s">
        <v>4080</v>
      </c>
      <c r="T1702" t="s">
        <v>18666</v>
      </c>
      <c r="U1702" t="s">
        <v>18652</v>
      </c>
      <c r="V1702" s="104">
        <v>45857</v>
      </c>
      <c r="X1702" s="97"/>
      <c r="Y1702" s="75">
        <v>333.51</v>
      </c>
    </row>
    <row r="1703" spans="1:25" x14ac:dyDescent="0.25">
      <c r="A1703" s="76">
        <v>1735</v>
      </c>
      <c r="B1703" s="2" t="s">
        <v>4081</v>
      </c>
      <c r="C1703" s="2" t="s">
        <v>4082</v>
      </c>
      <c r="D1703" s="2" t="s">
        <v>4077</v>
      </c>
      <c r="E1703" s="2" t="s">
        <v>4078</v>
      </c>
      <c r="F1703" s="2" t="s">
        <v>4083</v>
      </c>
      <c r="G1703" s="2" t="s">
        <v>261</v>
      </c>
      <c r="H1703" s="17">
        <v>25</v>
      </c>
      <c r="I1703" s="31">
        <f t="shared" si="168"/>
        <v>25000</v>
      </c>
      <c r="J1703" s="31">
        <f t="shared" si="169"/>
        <v>1750.0000000000002</v>
      </c>
      <c r="K1703" s="44">
        <f t="shared" si="170"/>
        <v>4.794520547945206</v>
      </c>
      <c r="L1703" s="3">
        <f t="shared" si="171"/>
        <v>354.79452054794524</v>
      </c>
      <c r="M1703" s="3">
        <f t="shared" si="172"/>
        <v>21.287671232876715</v>
      </c>
      <c r="N1703" s="67">
        <f t="shared" si="173"/>
        <v>333.50684931506851</v>
      </c>
      <c r="O1703" s="3"/>
      <c r="P1703" s="70" t="s">
        <v>18605</v>
      </c>
      <c r="Q1703" s="2" t="s">
        <v>47</v>
      </c>
      <c r="R1703" s="2" t="s">
        <v>4084</v>
      </c>
      <c r="T1703" t="s">
        <v>18666</v>
      </c>
      <c r="U1703" t="s">
        <v>18652</v>
      </c>
      <c r="V1703" s="104">
        <v>45857</v>
      </c>
      <c r="X1703" s="97"/>
      <c r="Y1703" s="75">
        <v>333.51</v>
      </c>
    </row>
    <row r="1704" spans="1:25" x14ac:dyDescent="0.25">
      <c r="A1704" s="76">
        <v>1736</v>
      </c>
      <c r="B1704" s="2" t="s">
        <v>5434</v>
      </c>
      <c r="C1704" s="2" t="s">
        <v>5435</v>
      </c>
      <c r="D1704" s="2" t="s">
        <v>5436</v>
      </c>
      <c r="E1704" s="2" t="s">
        <v>5437</v>
      </c>
      <c r="F1704" s="2" t="s">
        <v>5438</v>
      </c>
      <c r="G1704" s="2" t="s">
        <v>618</v>
      </c>
      <c r="H1704" s="17">
        <v>500</v>
      </c>
      <c r="I1704" s="31">
        <f t="shared" si="168"/>
        <v>500000</v>
      </c>
      <c r="J1704" s="31">
        <f t="shared" si="169"/>
        <v>35000</v>
      </c>
      <c r="K1704" s="44">
        <f t="shared" si="170"/>
        <v>95.890410958904113</v>
      </c>
      <c r="L1704" s="3">
        <f t="shared" si="171"/>
        <v>7095.8904109589039</v>
      </c>
      <c r="M1704" s="3">
        <f t="shared" si="172"/>
        <v>425.7534246575342</v>
      </c>
      <c r="N1704" s="67">
        <f t="shared" si="173"/>
        <v>6670.1369863013697</v>
      </c>
      <c r="O1704" s="3"/>
      <c r="P1704" s="70" t="s">
        <v>18605</v>
      </c>
      <c r="Q1704" s="2" t="s">
        <v>47</v>
      </c>
      <c r="R1704" s="2" t="s">
        <v>5439</v>
      </c>
      <c r="T1704" t="s">
        <v>18666</v>
      </c>
      <c r="U1704" t="s">
        <v>18652</v>
      </c>
      <c r="V1704" s="104">
        <v>45857</v>
      </c>
      <c r="X1704" s="97"/>
      <c r="Y1704" s="75">
        <v>6670.14</v>
      </c>
    </row>
    <row r="1705" spans="1:25" x14ac:dyDescent="0.25">
      <c r="A1705" s="76">
        <v>1737</v>
      </c>
      <c r="B1705" s="2" t="s">
        <v>14424</v>
      </c>
      <c r="C1705" s="2" t="s">
        <v>14425</v>
      </c>
      <c r="D1705" s="2" t="s">
        <v>14426</v>
      </c>
      <c r="E1705" s="2" t="s">
        <v>14427</v>
      </c>
      <c r="F1705" s="2" t="s">
        <v>14428</v>
      </c>
      <c r="G1705" s="2" t="s">
        <v>101</v>
      </c>
      <c r="H1705" s="17">
        <v>30</v>
      </c>
      <c r="I1705" s="31">
        <f t="shared" si="168"/>
        <v>30000</v>
      </c>
      <c r="J1705" s="31">
        <f t="shared" si="169"/>
        <v>2100</v>
      </c>
      <c r="K1705" s="44">
        <f t="shared" si="170"/>
        <v>5.7534246575342465</v>
      </c>
      <c r="L1705" s="3">
        <f t="shared" si="171"/>
        <v>425.75342465753425</v>
      </c>
      <c r="M1705" s="3">
        <f t="shared" si="172"/>
        <v>25.545205479452054</v>
      </c>
      <c r="N1705" s="67">
        <f t="shared" si="173"/>
        <v>400.20821917808217</v>
      </c>
      <c r="O1705" s="3"/>
      <c r="P1705" s="70" t="s">
        <v>18605</v>
      </c>
      <c r="Q1705" s="2" t="s">
        <v>47</v>
      </c>
      <c r="R1705" s="2" t="s">
        <v>14429</v>
      </c>
      <c r="T1705" t="s">
        <v>18666</v>
      </c>
      <c r="U1705" t="s">
        <v>18652</v>
      </c>
      <c r="V1705" s="104">
        <v>45857</v>
      </c>
      <c r="X1705" s="97"/>
      <c r="Y1705" s="75">
        <v>400.21</v>
      </c>
    </row>
    <row r="1706" spans="1:25" x14ac:dyDescent="0.25">
      <c r="A1706" s="76">
        <v>1738</v>
      </c>
      <c r="B1706" s="2" t="s">
        <v>7495</v>
      </c>
      <c r="C1706" s="2" t="s">
        <v>7496</v>
      </c>
      <c r="D1706" s="2" t="s">
        <v>7497</v>
      </c>
      <c r="E1706" s="2" t="s">
        <v>7498</v>
      </c>
      <c r="F1706" s="2" t="s">
        <v>7499</v>
      </c>
      <c r="G1706" s="2" t="s">
        <v>412</v>
      </c>
      <c r="H1706" s="17">
        <v>25</v>
      </c>
      <c r="I1706" s="31">
        <f t="shared" si="168"/>
        <v>25000</v>
      </c>
      <c r="J1706" s="31">
        <f t="shared" si="169"/>
        <v>1750.0000000000002</v>
      </c>
      <c r="K1706" s="44">
        <f t="shared" si="170"/>
        <v>4.794520547945206</v>
      </c>
      <c r="L1706" s="3">
        <f t="shared" si="171"/>
        <v>354.79452054794524</v>
      </c>
      <c r="M1706" s="3">
        <f t="shared" si="172"/>
        <v>21.287671232876715</v>
      </c>
      <c r="N1706" s="67">
        <f t="shared" si="173"/>
        <v>333.50684931506851</v>
      </c>
      <c r="O1706" s="3"/>
      <c r="P1706" s="70" t="s">
        <v>18605</v>
      </c>
      <c r="Q1706" s="2" t="s">
        <v>47</v>
      </c>
      <c r="R1706" s="2" t="s">
        <v>7500</v>
      </c>
      <c r="T1706" t="s">
        <v>18666</v>
      </c>
      <c r="U1706" t="s">
        <v>18652</v>
      </c>
      <c r="V1706" s="104">
        <v>45857</v>
      </c>
      <c r="X1706" s="97"/>
      <c r="Y1706" s="75">
        <v>333.51</v>
      </c>
    </row>
    <row r="1707" spans="1:25" x14ac:dyDescent="0.25">
      <c r="A1707" s="76">
        <v>1739</v>
      </c>
      <c r="B1707" s="2" t="s">
        <v>14906</v>
      </c>
      <c r="C1707" s="2" t="s">
        <v>14907</v>
      </c>
      <c r="D1707" s="2" t="s">
        <v>14908</v>
      </c>
      <c r="E1707" s="2" t="s">
        <v>14909</v>
      </c>
      <c r="F1707" s="2" t="s">
        <v>14910</v>
      </c>
      <c r="G1707" s="2" t="s">
        <v>158</v>
      </c>
      <c r="H1707" s="17">
        <v>100</v>
      </c>
      <c r="I1707" s="31">
        <f t="shared" si="168"/>
        <v>100000</v>
      </c>
      <c r="J1707" s="31">
        <f t="shared" si="169"/>
        <v>7000.0000000000009</v>
      </c>
      <c r="K1707" s="44">
        <f t="shared" si="170"/>
        <v>19.178082191780824</v>
      </c>
      <c r="L1707" s="3">
        <f t="shared" si="171"/>
        <v>1419.178082191781</v>
      </c>
      <c r="M1707" s="3">
        <f t="shared" si="172"/>
        <v>85.150684931506859</v>
      </c>
      <c r="N1707" s="67">
        <f t="shared" si="173"/>
        <v>1334.027397260274</v>
      </c>
      <c r="O1707" s="3"/>
      <c r="P1707" s="70" t="s">
        <v>18605</v>
      </c>
      <c r="Q1707" s="2" t="s">
        <v>47</v>
      </c>
      <c r="R1707" s="2" t="s">
        <v>14911</v>
      </c>
      <c r="T1707" t="s">
        <v>18666</v>
      </c>
      <c r="U1707" t="s">
        <v>18652</v>
      </c>
      <c r="V1707" s="104">
        <v>45857</v>
      </c>
      <c r="X1707" s="97"/>
      <c r="Y1707" s="75">
        <v>1334.03</v>
      </c>
    </row>
    <row r="1708" spans="1:25" x14ac:dyDescent="0.25">
      <c r="A1708" s="76">
        <v>1740</v>
      </c>
      <c r="B1708" s="2" t="s">
        <v>17121</v>
      </c>
      <c r="C1708" s="2" t="s">
        <v>14206</v>
      </c>
      <c r="D1708" s="2" t="s">
        <v>12730</v>
      </c>
      <c r="E1708" s="2" t="s">
        <v>17122</v>
      </c>
      <c r="F1708" s="2" t="s">
        <v>17123</v>
      </c>
      <c r="G1708" s="2" t="s">
        <v>151</v>
      </c>
      <c r="H1708" s="17">
        <v>50</v>
      </c>
      <c r="I1708" s="31">
        <f t="shared" si="168"/>
        <v>50000</v>
      </c>
      <c r="J1708" s="31">
        <f t="shared" si="169"/>
        <v>3500.0000000000005</v>
      </c>
      <c r="K1708" s="44">
        <f t="shared" si="170"/>
        <v>9.589041095890412</v>
      </c>
      <c r="L1708" s="3">
        <f t="shared" si="171"/>
        <v>709.58904109589048</v>
      </c>
      <c r="M1708" s="3">
        <f t="shared" si="172"/>
        <v>42.57534246575343</v>
      </c>
      <c r="N1708" s="67">
        <f t="shared" si="173"/>
        <v>667.01369863013701</v>
      </c>
      <c r="O1708" s="3"/>
      <c r="P1708" s="70" t="s">
        <v>18605</v>
      </c>
      <c r="Q1708" s="2" t="s">
        <v>47</v>
      </c>
      <c r="R1708" s="2" t="s">
        <v>17124</v>
      </c>
      <c r="T1708" t="s">
        <v>18666</v>
      </c>
      <c r="U1708" t="s">
        <v>18652</v>
      </c>
      <c r="V1708" s="104">
        <v>45857</v>
      </c>
      <c r="X1708" s="97"/>
      <c r="Y1708" s="75">
        <v>667.02</v>
      </c>
    </row>
    <row r="1709" spans="1:25" x14ac:dyDescent="0.25">
      <c r="A1709" s="76">
        <v>1741</v>
      </c>
      <c r="B1709" s="2" t="s">
        <v>9764</v>
      </c>
      <c r="C1709" s="2" t="s">
        <v>9765</v>
      </c>
      <c r="D1709" s="2" t="s">
        <v>9766</v>
      </c>
      <c r="E1709" s="2" t="s">
        <v>9767</v>
      </c>
      <c r="F1709" s="2" t="s">
        <v>9768</v>
      </c>
      <c r="G1709" s="2" t="s">
        <v>31</v>
      </c>
      <c r="H1709" s="17">
        <v>100</v>
      </c>
      <c r="I1709" s="31">
        <f t="shared" si="168"/>
        <v>100000</v>
      </c>
      <c r="J1709" s="31">
        <f t="shared" si="169"/>
        <v>7000.0000000000009</v>
      </c>
      <c r="K1709" s="44">
        <f t="shared" si="170"/>
        <v>19.178082191780824</v>
      </c>
      <c r="L1709" s="3">
        <f t="shared" si="171"/>
        <v>1419.178082191781</v>
      </c>
      <c r="M1709" s="3">
        <f t="shared" si="172"/>
        <v>85.150684931506859</v>
      </c>
      <c r="N1709" s="67">
        <f t="shared" si="173"/>
        <v>1334.027397260274</v>
      </c>
      <c r="O1709" s="3"/>
      <c r="P1709" s="70" t="s">
        <v>18605</v>
      </c>
      <c r="Q1709" s="2" t="s">
        <v>47</v>
      </c>
      <c r="R1709" s="2" t="s">
        <v>9769</v>
      </c>
      <c r="T1709" t="s">
        <v>18666</v>
      </c>
      <c r="U1709" t="s">
        <v>18652</v>
      </c>
      <c r="V1709" s="104">
        <v>45857</v>
      </c>
      <c r="X1709" s="97"/>
      <c r="Y1709" s="75">
        <v>1334.03</v>
      </c>
    </row>
    <row r="1710" spans="1:25" x14ac:dyDescent="0.25">
      <c r="A1710" s="76">
        <v>1742</v>
      </c>
      <c r="B1710" s="2" t="s">
        <v>9879</v>
      </c>
      <c r="C1710" s="2" t="s">
        <v>9880</v>
      </c>
      <c r="D1710" s="2" t="s">
        <v>9881</v>
      </c>
      <c r="E1710" s="2" t="s">
        <v>9882</v>
      </c>
      <c r="F1710" s="2" t="s">
        <v>9883</v>
      </c>
      <c r="G1710" s="2" t="s">
        <v>1823</v>
      </c>
      <c r="H1710" s="17">
        <v>25</v>
      </c>
      <c r="I1710" s="31">
        <f t="shared" si="168"/>
        <v>25000</v>
      </c>
      <c r="J1710" s="31">
        <f t="shared" si="169"/>
        <v>1750.0000000000002</v>
      </c>
      <c r="K1710" s="44">
        <f t="shared" si="170"/>
        <v>4.794520547945206</v>
      </c>
      <c r="L1710" s="3">
        <f t="shared" si="171"/>
        <v>354.79452054794524</v>
      </c>
      <c r="M1710" s="3">
        <f t="shared" si="172"/>
        <v>21.287671232876715</v>
      </c>
      <c r="N1710" s="67">
        <f t="shared" si="173"/>
        <v>333.50684931506851</v>
      </c>
      <c r="O1710" s="3"/>
      <c r="P1710" s="70" t="s">
        <v>18605</v>
      </c>
      <c r="Q1710" s="2" t="s">
        <v>47</v>
      </c>
      <c r="R1710" s="2" t="s">
        <v>9884</v>
      </c>
      <c r="T1710" t="s">
        <v>18666</v>
      </c>
      <c r="U1710" t="s">
        <v>18652</v>
      </c>
      <c r="V1710" s="104">
        <v>45857</v>
      </c>
      <c r="X1710" s="97"/>
      <c r="Y1710" s="75">
        <v>333.51</v>
      </c>
    </row>
    <row r="1711" spans="1:25" x14ac:dyDescent="0.25">
      <c r="A1711" s="76">
        <v>1743</v>
      </c>
      <c r="B1711" s="2" t="s">
        <v>3812</v>
      </c>
      <c r="C1711" s="2" t="s">
        <v>3813</v>
      </c>
      <c r="D1711" s="2" t="s">
        <v>3814</v>
      </c>
      <c r="E1711" s="2" t="s">
        <v>3815</v>
      </c>
      <c r="F1711" s="2" t="s">
        <v>3816</v>
      </c>
      <c r="G1711" s="2" t="s">
        <v>587</v>
      </c>
      <c r="H1711" s="17">
        <v>25</v>
      </c>
      <c r="I1711" s="31">
        <f t="shared" si="168"/>
        <v>25000</v>
      </c>
      <c r="J1711" s="31">
        <f t="shared" si="169"/>
        <v>1750.0000000000002</v>
      </c>
      <c r="K1711" s="44">
        <f t="shared" si="170"/>
        <v>4.794520547945206</v>
      </c>
      <c r="L1711" s="3">
        <f t="shared" si="171"/>
        <v>354.79452054794524</v>
      </c>
      <c r="M1711" s="3">
        <f t="shared" si="172"/>
        <v>21.287671232876715</v>
      </c>
      <c r="N1711" s="67">
        <f t="shared" si="173"/>
        <v>333.50684931506851</v>
      </c>
      <c r="O1711" s="3"/>
      <c r="P1711" s="70" t="s">
        <v>18605</v>
      </c>
      <c r="Q1711" s="2" t="s">
        <v>47</v>
      </c>
      <c r="R1711" s="2" t="s">
        <v>3817</v>
      </c>
      <c r="T1711" t="s">
        <v>18666</v>
      </c>
      <c r="U1711" t="s">
        <v>18652</v>
      </c>
      <c r="V1711" s="104">
        <v>45857</v>
      </c>
      <c r="X1711" s="97"/>
      <c r="Y1711" s="75">
        <v>333.51</v>
      </c>
    </row>
    <row r="1712" spans="1:25" x14ac:dyDescent="0.25">
      <c r="A1712" s="76">
        <v>1744</v>
      </c>
      <c r="B1712" s="2" t="s">
        <v>8444</v>
      </c>
      <c r="C1712" s="2" t="s">
        <v>8445</v>
      </c>
      <c r="D1712" s="2" t="s">
        <v>8446</v>
      </c>
      <c r="E1712" s="2" t="s">
        <v>8447</v>
      </c>
      <c r="F1712" s="2" t="s">
        <v>8448</v>
      </c>
      <c r="G1712" s="2" t="s">
        <v>268</v>
      </c>
      <c r="H1712" s="17">
        <v>25</v>
      </c>
      <c r="I1712" s="31">
        <f t="shared" si="168"/>
        <v>25000</v>
      </c>
      <c r="J1712" s="31">
        <f t="shared" si="169"/>
        <v>1750.0000000000002</v>
      </c>
      <c r="K1712" s="44">
        <f t="shared" si="170"/>
        <v>4.794520547945206</v>
      </c>
      <c r="L1712" s="3">
        <f t="shared" si="171"/>
        <v>354.79452054794524</v>
      </c>
      <c r="M1712" s="3">
        <f t="shared" si="172"/>
        <v>21.287671232876715</v>
      </c>
      <c r="N1712" s="67">
        <f t="shared" si="173"/>
        <v>333.50684931506851</v>
      </c>
      <c r="O1712" s="3"/>
      <c r="P1712" s="70" t="s">
        <v>18605</v>
      </c>
      <c r="Q1712" s="2" t="s">
        <v>47</v>
      </c>
      <c r="R1712" s="2" t="s">
        <v>8449</v>
      </c>
      <c r="T1712" t="s">
        <v>18666</v>
      </c>
      <c r="U1712" t="s">
        <v>18652</v>
      </c>
      <c r="V1712" s="104">
        <v>45857</v>
      </c>
      <c r="X1712" s="97"/>
      <c r="Y1712" s="75">
        <v>333.51</v>
      </c>
    </row>
    <row r="1713" spans="1:25" x14ac:dyDescent="0.25">
      <c r="A1713" s="76">
        <v>1745</v>
      </c>
      <c r="B1713" s="2" t="s">
        <v>14969</v>
      </c>
      <c r="C1713" s="2" t="s">
        <v>14970</v>
      </c>
      <c r="D1713" s="2" t="s">
        <v>14971</v>
      </c>
      <c r="E1713" s="2" t="s">
        <v>14972</v>
      </c>
      <c r="F1713" s="2" t="s">
        <v>14973</v>
      </c>
      <c r="G1713" s="2" t="s">
        <v>876</v>
      </c>
      <c r="H1713" s="17">
        <v>100</v>
      </c>
      <c r="I1713" s="31">
        <f t="shared" si="168"/>
        <v>100000</v>
      </c>
      <c r="J1713" s="31">
        <f t="shared" si="169"/>
        <v>7000.0000000000009</v>
      </c>
      <c r="K1713" s="44">
        <f t="shared" si="170"/>
        <v>19.178082191780824</v>
      </c>
      <c r="L1713" s="3">
        <f t="shared" si="171"/>
        <v>1419.178082191781</v>
      </c>
      <c r="M1713" s="3">
        <f t="shared" si="172"/>
        <v>85.150684931506859</v>
      </c>
      <c r="N1713" s="67">
        <f t="shared" si="173"/>
        <v>1334.027397260274</v>
      </c>
      <c r="O1713" s="3"/>
      <c r="P1713" s="70" t="s">
        <v>18605</v>
      </c>
      <c r="Q1713" s="2" t="s">
        <v>47</v>
      </c>
      <c r="R1713" s="2" t="s">
        <v>14974</v>
      </c>
      <c r="T1713" t="s">
        <v>18666</v>
      </c>
      <c r="U1713" t="s">
        <v>18652</v>
      </c>
      <c r="V1713" s="104">
        <v>45857</v>
      </c>
      <c r="X1713" s="97"/>
      <c r="Y1713" s="75">
        <v>1334.03</v>
      </c>
    </row>
    <row r="1714" spans="1:25" x14ac:dyDescent="0.25">
      <c r="A1714" s="76">
        <v>1746</v>
      </c>
      <c r="B1714" s="2" t="s">
        <v>7359</v>
      </c>
      <c r="C1714" s="2" t="s">
        <v>7360</v>
      </c>
      <c r="D1714" s="2" t="s">
        <v>7361</v>
      </c>
      <c r="E1714" s="2" t="s">
        <v>7362</v>
      </c>
      <c r="F1714" s="2" t="s">
        <v>7363</v>
      </c>
      <c r="G1714" s="2" t="s">
        <v>1017</v>
      </c>
      <c r="H1714" s="17">
        <v>25</v>
      </c>
      <c r="I1714" s="31">
        <f t="shared" si="168"/>
        <v>25000</v>
      </c>
      <c r="J1714" s="31">
        <f t="shared" si="169"/>
        <v>1750.0000000000002</v>
      </c>
      <c r="K1714" s="44">
        <f t="shared" si="170"/>
        <v>4.794520547945206</v>
      </c>
      <c r="L1714" s="3">
        <f t="shared" si="171"/>
        <v>354.79452054794524</v>
      </c>
      <c r="M1714" s="3">
        <f t="shared" si="172"/>
        <v>21.287671232876715</v>
      </c>
      <c r="N1714" s="67">
        <f t="shared" si="173"/>
        <v>333.50684931506851</v>
      </c>
      <c r="O1714" s="3"/>
      <c r="P1714" s="70" t="s">
        <v>18605</v>
      </c>
      <c r="Q1714" s="2" t="s">
        <v>47</v>
      </c>
      <c r="R1714" s="2" t="s">
        <v>7364</v>
      </c>
      <c r="T1714" t="s">
        <v>18666</v>
      </c>
      <c r="U1714" t="s">
        <v>18652</v>
      </c>
      <c r="V1714" s="104">
        <v>45857</v>
      </c>
      <c r="X1714" s="97"/>
      <c r="Y1714" s="75">
        <v>333.51</v>
      </c>
    </row>
    <row r="1715" spans="1:25" x14ac:dyDescent="0.25">
      <c r="A1715" s="76">
        <v>1747</v>
      </c>
      <c r="B1715" s="2" t="s">
        <v>6366</v>
      </c>
      <c r="C1715" s="2" t="s">
        <v>6367</v>
      </c>
      <c r="D1715" s="2" t="s">
        <v>6368</v>
      </c>
      <c r="E1715" s="2" t="s">
        <v>6369</v>
      </c>
      <c r="F1715" s="2" t="s">
        <v>6370</v>
      </c>
      <c r="G1715" s="2" t="s">
        <v>151</v>
      </c>
      <c r="H1715" s="17">
        <v>50</v>
      </c>
      <c r="I1715" s="31">
        <f t="shared" si="168"/>
        <v>50000</v>
      </c>
      <c r="J1715" s="31">
        <f t="shared" si="169"/>
        <v>3500.0000000000005</v>
      </c>
      <c r="K1715" s="44">
        <f t="shared" si="170"/>
        <v>9.589041095890412</v>
      </c>
      <c r="L1715" s="3">
        <f t="shared" si="171"/>
        <v>709.58904109589048</v>
      </c>
      <c r="M1715" s="3">
        <f t="shared" si="172"/>
        <v>42.57534246575343</v>
      </c>
      <c r="N1715" s="67">
        <f t="shared" si="173"/>
        <v>667.01369863013701</v>
      </c>
      <c r="O1715" s="3"/>
      <c r="P1715" s="70" t="s">
        <v>18605</v>
      </c>
      <c r="Q1715" s="2" t="s">
        <v>47</v>
      </c>
      <c r="R1715" s="2" t="s">
        <v>6371</v>
      </c>
      <c r="T1715" t="s">
        <v>18666</v>
      </c>
      <c r="U1715" t="s">
        <v>18652</v>
      </c>
      <c r="V1715" s="104">
        <v>45857</v>
      </c>
      <c r="X1715" s="97"/>
      <c r="Y1715" s="75">
        <v>667.02</v>
      </c>
    </row>
    <row r="1716" spans="1:25" x14ac:dyDescent="0.25">
      <c r="A1716" s="76">
        <v>1748</v>
      </c>
      <c r="B1716" s="2" t="s">
        <v>12711</v>
      </c>
      <c r="C1716" s="2" t="s">
        <v>12712</v>
      </c>
      <c r="D1716" s="2" t="s">
        <v>12713</v>
      </c>
      <c r="E1716" s="2" t="s">
        <v>12714</v>
      </c>
      <c r="F1716" s="2" t="s">
        <v>12715</v>
      </c>
      <c r="G1716" s="2" t="s">
        <v>309</v>
      </c>
      <c r="H1716" s="17">
        <v>25</v>
      </c>
      <c r="I1716" s="31">
        <f t="shared" si="168"/>
        <v>25000</v>
      </c>
      <c r="J1716" s="31">
        <f t="shared" si="169"/>
        <v>1750.0000000000002</v>
      </c>
      <c r="K1716" s="44">
        <f t="shared" si="170"/>
        <v>4.794520547945206</v>
      </c>
      <c r="L1716" s="3">
        <f t="shared" si="171"/>
        <v>354.79452054794524</v>
      </c>
      <c r="M1716" s="3">
        <f t="shared" si="172"/>
        <v>21.287671232876715</v>
      </c>
      <c r="N1716" s="67">
        <f t="shared" si="173"/>
        <v>333.50684931506851</v>
      </c>
      <c r="O1716" s="3"/>
      <c r="P1716" s="70" t="s">
        <v>18605</v>
      </c>
      <c r="Q1716" s="2" t="s">
        <v>47</v>
      </c>
      <c r="R1716" s="2" t="s">
        <v>12716</v>
      </c>
      <c r="T1716" t="s">
        <v>18666</v>
      </c>
      <c r="U1716" t="s">
        <v>18652</v>
      </c>
      <c r="V1716" s="104">
        <v>45857</v>
      </c>
      <c r="X1716" s="97"/>
      <c r="Y1716" s="75">
        <v>333.51</v>
      </c>
    </row>
    <row r="1717" spans="1:25" x14ac:dyDescent="0.25">
      <c r="A1717" s="76">
        <v>1749</v>
      </c>
      <c r="B1717" s="2" t="s">
        <v>1037</v>
      </c>
      <c r="C1717" s="2" t="s">
        <v>1038</v>
      </c>
      <c r="D1717" s="2" t="s">
        <v>1039</v>
      </c>
      <c r="E1717" s="2" t="s">
        <v>1040</v>
      </c>
      <c r="F1717" s="2" t="s">
        <v>1041</v>
      </c>
      <c r="G1717" s="2" t="s">
        <v>275</v>
      </c>
      <c r="H1717" s="17">
        <v>30</v>
      </c>
      <c r="I1717" s="31">
        <f t="shared" si="168"/>
        <v>30000</v>
      </c>
      <c r="J1717" s="31">
        <f t="shared" si="169"/>
        <v>2100</v>
      </c>
      <c r="K1717" s="44">
        <f t="shared" si="170"/>
        <v>5.7534246575342465</v>
      </c>
      <c r="L1717" s="3">
        <f t="shared" si="171"/>
        <v>425.75342465753425</v>
      </c>
      <c r="M1717" s="3">
        <f t="shared" si="172"/>
        <v>25.545205479452054</v>
      </c>
      <c r="N1717" s="67">
        <f t="shared" si="173"/>
        <v>400.20821917808217</v>
      </c>
      <c r="O1717" s="3"/>
      <c r="P1717" s="70" t="s">
        <v>18605</v>
      </c>
      <c r="Q1717" s="2" t="s">
        <v>47</v>
      </c>
      <c r="R1717" s="2" t="s">
        <v>1042</v>
      </c>
      <c r="T1717" t="s">
        <v>18666</v>
      </c>
      <c r="U1717" t="s">
        <v>18652</v>
      </c>
      <c r="V1717" s="104">
        <v>45857</v>
      </c>
      <c r="X1717" s="97"/>
      <c r="Y1717" s="75">
        <v>400.21</v>
      </c>
    </row>
    <row r="1718" spans="1:25" x14ac:dyDescent="0.25">
      <c r="A1718" s="76">
        <v>1750</v>
      </c>
      <c r="B1718" s="2" t="s">
        <v>14274</v>
      </c>
      <c r="C1718" s="2" t="s">
        <v>14275</v>
      </c>
      <c r="D1718" s="2" t="s">
        <v>14276</v>
      </c>
      <c r="E1718" s="2" t="s">
        <v>14277</v>
      </c>
      <c r="F1718" s="2" t="s">
        <v>14278</v>
      </c>
      <c r="G1718" s="2" t="s">
        <v>939</v>
      </c>
      <c r="H1718" s="17">
        <v>25</v>
      </c>
      <c r="I1718" s="31">
        <f t="shared" si="168"/>
        <v>25000</v>
      </c>
      <c r="J1718" s="31">
        <f t="shared" si="169"/>
        <v>1750.0000000000002</v>
      </c>
      <c r="K1718" s="44">
        <f t="shared" si="170"/>
        <v>4.794520547945206</v>
      </c>
      <c r="L1718" s="3">
        <f t="shared" si="171"/>
        <v>354.79452054794524</v>
      </c>
      <c r="M1718" s="3">
        <f t="shared" si="172"/>
        <v>21.287671232876715</v>
      </c>
      <c r="N1718" s="67">
        <f t="shared" si="173"/>
        <v>333.50684931506851</v>
      </c>
      <c r="O1718" s="3"/>
      <c r="P1718" s="70" t="s">
        <v>18605</v>
      </c>
      <c r="Q1718" s="2" t="s">
        <v>47</v>
      </c>
      <c r="R1718" s="2" t="s">
        <v>14279</v>
      </c>
      <c r="T1718" t="s">
        <v>18666</v>
      </c>
      <c r="U1718" t="s">
        <v>18652</v>
      </c>
      <c r="V1718" s="104">
        <v>45857</v>
      </c>
      <c r="X1718" s="97"/>
      <c r="Y1718" s="75">
        <v>333.51</v>
      </c>
    </row>
    <row r="1719" spans="1:25" x14ac:dyDescent="0.25">
      <c r="A1719" s="76">
        <v>1751</v>
      </c>
      <c r="B1719" s="2" t="s">
        <v>17271</v>
      </c>
      <c r="C1719" s="2" t="s">
        <v>17272</v>
      </c>
      <c r="D1719" s="2" t="s">
        <v>17273</v>
      </c>
      <c r="E1719" s="2" t="s">
        <v>17274</v>
      </c>
      <c r="F1719" s="2" t="s">
        <v>17275</v>
      </c>
      <c r="G1719" s="2" t="s">
        <v>587</v>
      </c>
      <c r="H1719" s="17">
        <v>25</v>
      </c>
      <c r="I1719" s="31">
        <f t="shared" si="168"/>
        <v>25000</v>
      </c>
      <c r="J1719" s="31">
        <f t="shared" si="169"/>
        <v>1750.0000000000002</v>
      </c>
      <c r="K1719" s="44">
        <f t="shared" si="170"/>
        <v>4.794520547945206</v>
      </c>
      <c r="L1719" s="3">
        <f t="shared" si="171"/>
        <v>354.79452054794524</v>
      </c>
      <c r="M1719" s="3">
        <f t="shared" si="172"/>
        <v>21.287671232876715</v>
      </c>
      <c r="N1719" s="67">
        <f t="shared" si="173"/>
        <v>333.50684931506851</v>
      </c>
      <c r="O1719" s="3"/>
      <c r="P1719" s="70" t="s">
        <v>18605</v>
      </c>
      <c r="Q1719" s="2" t="s">
        <v>47</v>
      </c>
      <c r="R1719" s="2" t="s">
        <v>17276</v>
      </c>
      <c r="T1719" t="s">
        <v>18666</v>
      </c>
      <c r="U1719" t="s">
        <v>18652</v>
      </c>
      <c r="V1719" s="104">
        <v>45857</v>
      </c>
      <c r="X1719" s="97"/>
      <c r="Y1719" s="75">
        <v>333.51</v>
      </c>
    </row>
    <row r="1720" spans="1:25" x14ac:dyDescent="0.25">
      <c r="A1720" s="76">
        <v>1752</v>
      </c>
      <c r="B1720" s="2" t="s">
        <v>12294</v>
      </c>
      <c r="C1720" s="2" t="s">
        <v>12295</v>
      </c>
      <c r="D1720" s="2" t="s">
        <v>12296</v>
      </c>
      <c r="E1720" s="2" t="s">
        <v>12297</v>
      </c>
      <c r="F1720" s="2" t="s">
        <v>12298</v>
      </c>
      <c r="G1720" s="2" t="s">
        <v>282</v>
      </c>
      <c r="H1720" s="17">
        <v>25</v>
      </c>
      <c r="I1720" s="31">
        <f t="shared" si="168"/>
        <v>25000</v>
      </c>
      <c r="J1720" s="31">
        <f t="shared" si="169"/>
        <v>1750.0000000000002</v>
      </c>
      <c r="K1720" s="44">
        <f t="shared" si="170"/>
        <v>4.794520547945206</v>
      </c>
      <c r="L1720" s="3">
        <f t="shared" si="171"/>
        <v>354.79452054794524</v>
      </c>
      <c r="M1720" s="3">
        <f t="shared" si="172"/>
        <v>21.287671232876715</v>
      </c>
      <c r="N1720" s="67">
        <f t="shared" si="173"/>
        <v>333.50684931506851</v>
      </c>
      <c r="O1720" s="3"/>
      <c r="P1720" s="70" t="s">
        <v>18605</v>
      </c>
      <c r="Q1720" s="2" t="s">
        <v>47</v>
      </c>
      <c r="R1720" s="2" t="s">
        <v>12299</v>
      </c>
      <c r="T1720" t="s">
        <v>18666</v>
      </c>
      <c r="U1720" t="s">
        <v>18652</v>
      </c>
      <c r="V1720" s="104">
        <v>45857</v>
      </c>
      <c r="X1720" s="97"/>
      <c r="Y1720" s="75">
        <v>333.51</v>
      </c>
    </row>
    <row r="1721" spans="1:25" x14ac:dyDescent="0.25">
      <c r="A1721" s="76">
        <v>1753</v>
      </c>
      <c r="B1721" s="2" t="s">
        <v>9481</v>
      </c>
      <c r="C1721" s="2" t="s">
        <v>9482</v>
      </c>
      <c r="D1721" s="2" t="s">
        <v>9483</v>
      </c>
      <c r="E1721" s="2" t="s">
        <v>9484</v>
      </c>
      <c r="F1721" s="2" t="s">
        <v>9485</v>
      </c>
      <c r="G1721" s="2" t="s">
        <v>835</v>
      </c>
      <c r="H1721" s="17">
        <v>25</v>
      </c>
      <c r="I1721" s="31">
        <f t="shared" si="168"/>
        <v>25000</v>
      </c>
      <c r="J1721" s="31">
        <f t="shared" si="169"/>
        <v>1750.0000000000002</v>
      </c>
      <c r="K1721" s="44">
        <f t="shared" si="170"/>
        <v>4.794520547945206</v>
      </c>
      <c r="L1721" s="3">
        <f t="shared" si="171"/>
        <v>354.79452054794524</v>
      </c>
      <c r="M1721" s="3">
        <f t="shared" si="172"/>
        <v>21.287671232876715</v>
      </c>
      <c r="N1721" s="67">
        <f t="shared" si="173"/>
        <v>333.50684931506851</v>
      </c>
      <c r="O1721" s="3"/>
      <c r="P1721" s="70" t="s">
        <v>18605</v>
      </c>
      <c r="Q1721" s="2" t="s">
        <v>47</v>
      </c>
      <c r="R1721" s="2" t="s">
        <v>9486</v>
      </c>
      <c r="T1721" t="s">
        <v>18666</v>
      </c>
      <c r="U1721" t="s">
        <v>18652</v>
      </c>
      <c r="V1721" s="104">
        <v>45857</v>
      </c>
      <c r="X1721" s="97"/>
      <c r="Y1721" s="75">
        <v>333.51</v>
      </c>
    </row>
    <row r="1722" spans="1:25" x14ac:dyDescent="0.25">
      <c r="A1722" s="76">
        <v>1754</v>
      </c>
      <c r="B1722" s="2" t="s">
        <v>9212</v>
      </c>
      <c r="C1722" s="2" t="s">
        <v>9213</v>
      </c>
      <c r="D1722" s="2" t="s">
        <v>9214</v>
      </c>
      <c r="E1722" s="2" t="s">
        <v>9215</v>
      </c>
      <c r="F1722" s="2" t="s">
        <v>9216</v>
      </c>
      <c r="G1722" s="2" t="s">
        <v>1055</v>
      </c>
      <c r="H1722" s="17">
        <v>25</v>
      </c>
      <c r="I1722" s="31">
        <f t="shared" si="168"/>
        <v>25000</v>
      </c>
      <c r="J1722" s="31">
        <f t="shared" si="169"/>
        <v>1750.0000000000002</v>
      </c>
      <c r="K1722" s="44">
        <f t="shared" si="170"/>
        <v>4.794520547945206</v>
      </c>
      <c r="L1722" s="3">
        <f t="shared" si="171"/>
        <v>354.79452054794524</v>
      </c>
      <c r="M1722" s="3">
        <f t="shared" si="172"/>
        <v>21.287671232876715</v>
      </c>
      <c r="N1722" s="67">
        <f t="shared" si="173"/>
        <v>333.50684931506851</v>
      </c>
      <c r="O1722" s="3"/>
      <c r="P1722" s="70" t="s">
        <v>18605</v>
      </c>
      <c r="Q1722" s="2" t="s">
        <v>47</v>
      </c>
      <c r="R1722" s="2" t="s">
        <v>9217</v>
      </c>
      <c r="T1722" t="s">
        <v>18666</v>
      </c>
      <c r="U1722" t="s">
        <v>18652</v>
      </c>
      <c r="V1722" s="104">
        <v>45857</v>
      </c>
      <c r="X1722" s="97"/>
      <c r="Y1722" s="75">
        <v>333.51</v>
      </c>
    </row>
    <row r="1723" spans="1:25" x14ac:dyDescent="0.25">
      <c r="A1723" s="76">
        <v>1755</v>
      </c>
      <c r="B1723" s="2" t="s">
        <v>12537</v>
      </c>
      <c r="C1723" s="2" t="s">
        <v>12538</v>
      </c>
      <c r="D1723" s="2" t="s">
        <v>12539</v>
      </c>
      <c r="E1723" s="2" t="s">
        <v>12540</v>
      </c>
      <c r="F1723" s="2" t="s">
        <v>12541</v>
      </c>
      <c r="G1723" s="2" t="s">
        <v>31</v>
      </c>
      <c r="H1723" s="17">
        <v>50</v>
      </c>
      <c r="I1723" s="31">
        <f t="shared" si="168"/>
        <v>50000</v>
      </c>
      <c r="J1723" s="31">
        <f t="shared" si="169"/>
        <v>3500.0000000000005</v>
      </c>
      <c r="K1723" s="44">
        <f t="shared" si="170"/>
        <v>9.589041095890412</v>
      </c>
      <c r="L1723" s="3">
        <f t="shared" si="171"/>
        <v>709.58904109589048</v>
      </c>
      <c r="M1723" s="3">
        <f t="shared" si="172"/>
        <v>42.57534246575343</v>
      </c>
      <c r="N1723" s="67">
        <f t="shared" si="173"/>
        <v>667.01369863013701</v>
      </c>
      <c r="O1723" s="3"/>
      <c r="P1723" s="70" t="s">
        <v>18605</v>
      </c>
      <c r="Q1723" s="2" t="s">
        <v>47</v>
      </c>
      <c r="R1723" s="2" t="s">
        <v>12542</v>
      </c>
      <c r="T1723" t="s">
        <v>18666</v>
      </c>
      <c r="U1723" t="s">
        <v>18652</v>
      </c>
      <c r="V1723" s="104">
        <v>45857</v>
      </c>
      <c r="X1723" s="97"/>
      <c r="Y1723" s="75">
        <v>667.02</v>
      </c>
    </row>
    <row r="1724" spans="1:25" x14ac:dyDescent="0.25">
      <c r="A1724" s="76">
        <v>1756</v>
      </c>
      <c r="B1724" s="2" t="s">
        <v>1693</v>
      </c>
      <c r="C1724" s="2" t="s">
        <v>1694</v>
      </c>
      <c r="D1724" s="2" t="s">
        <v>1695</v>
      </c>
      <c r="E1724" s="2" t="s">
        <v>1696</v>
      </c>
      <c r="F1724" s="2" t="s">
        <v>1697</v>
      </c>
      <c r="G1724" s="2" t="s">
        <v>750</v>
      </c>
      <c r="H1724" s="17">
        <v>25</v>
      </c>
      <c r="I1724" s="31">
        <f t="shared" si="168"/>
        <v>25000</v>
      </c>
      <c r="J1724" s="31">
        <f t="shared" si="169"/>
        <v>1750.0000000000002</v>
      </c>
      <c r="K1724" s="44">
        <f t="shared" si="170"/>
        <v>4.794520547945206</v>
      </c>
      <c r="L1724" s="3">
        <f t="shared" si="171"/>
        <v>354.79452054794524</v>
      </c>
      <c r="M1724" s="3">
        <f t="shared" si="172"/>
        <v>21.287671232876715</v>
      </c>
      <c r="N1724" s="67">
        <f t="shared" si="173"/>
        <v>333.50684931506851</v>
      </c>
      <c r="O1724" s="3"/>
      <c r="P1724" s="70" t="s">
        <v>18605</v>
      </c>
      <c r="Q1724" s="2" t="s">
        <v>47</v>
      </c>
      <c r="R1724" s="2" t="s">
        <v>1698</v>
      </c>
      <c r="T1724" t="s">
        <v>18666</v>
      </c>
      <c r="U1724" t="s">
        <v>18652</v>
      </c>
      <c r="V1724" s="104">
        <v>45857</v>
      </c>
      <c r="X1724" s="97"/>
      <c r="Y1724" s="75">
        <v>333.51</v>
      </c>
    </row>
    <row r="1725" spans="1:25" x14ac:dyDescent="0.25">
      <c r="A1725" s="76">
        <v>1757</v>
      </c>
      <c r="B1725" s="2" t="s">
        <v>8841</v>
      </c>
      <c r="C1725" s="2" t="s">
        <v>8842</v>
      </c>
      <c r="D1725" s="2" t="s">
        <v>8843</v>
      </c>
      <c r="E1725" s="2" t="s">
        <v>8844</v>
      </c>
      <c r="F1725" s="2" t="s">
        <v>8845</v>
      </c>
      <c r="G1725" s="2" t="s">
        <v>31</v>
      </c>
      <c r="H1725" s="17">
        <v>70</v>
      </c>
      <c r="I1725" s="31">
        <f t="shared" si="168"/>
        <v>70000</v>
      </c>
      <c r="J1725" s="31">
        <f t="shared" si="169"/>
        <v>4900.0000000000009</v>
      </c>
      <c r="K1725" s="44">
        <f t="shared" si="170"/>
        <v>13.424657534246577</v>
      </c>
      <c r="L1725" s="3">
        <f t="shared" si="171"/>
        <v>993.42465753424676</v>
      </c>
      <c r="M1725" s="3">
        <f t="shared" si="172"/>
        <v>59.605479452054801</v>
      </c>
      <c r="N1725" s="67">
        <f t="shared" si="173"/>
        <v>933.81917808219191</v>
      </c>
      <c r="O1725" s="3"/>
      <c r="P1725" s="70" t="s">
        <v>18605</v>
      </c>
      <c r="Q1725" s="2" t="s">
        <v>47</v>
      </c>
      <c r="R1725" s="2" t="s">
        <v>8846</v>
      </c>
      <c r="T1725" t="s">
        <v>18666</v>
      </c>
      <c r="U1725" t="s">
        <v>18652</v>
      </c>
      <c r="V1725" s="104">
        <v>45857</v>
      </c>
      <c r="X1725" s="97"/>
      <c r="Y1725" s="75">
        <v>933.81999999999994</v>
      </c>
    </row>
    <row r="1726" spans="1:25" x14ac:dyDescent="0.25">
      <c r="A1726" s="76">
        <v>1758</v>
      </c>
      <c r="B1726" s="2" t="s">
        <v>13030</v>
      </c>
      <c r="C1726" s="2" t="s">
        <v>13031</v>
      </c>
      <c r="D1726" s="2" t="s">
        <v>13032</v>
      </c>
      <c r="E1726" s="2" t="s">
        <v>13033</v>
      </c>
      <c r="F1726" s="2" t="s">
        <v>13034</v>
      </c>
      <c r="G1726" s="2" t="s">
        <v>226</v>
      </c>
      <c r="H1726" s="17">
        <v>40</v>
      </c>
      <c r="I1726" s="31">
        <f t="shared" si="168"/>
        <v>40000</v>
      </c>
      <c r="J1726" s="31">
        <f t="shared" si="169"/>
        <v>2800.0000000000005</v>
      </c>
      <c r="K1726" s="44">
        <f t="shared" si="170"/>
        <v>7.6712328767123301</v>
      </c>
      <c r="L1726" s="3">
        <f t="shared" si="171"/>
        <v>567.67123287671245</v>
      </c>
      <c r="M1726" s="3">
        <f t="shared" si="172"/>
        <v>34.060273972602744</v>
      </c>
      <c r="N1726" s="67">
        <f t="shared" si="173"/>
        <v>533.61095890410968</v>
      </c>
      <c r="O1726" s="3"/>
      <c r="P1726" s="70" t="s">
        <v>18605</v>
      </c>
      <c r="Q1726" s="2" t="s">
        <v>47</v>
      </c>
      <c r="R1726" s="2" t="s">
        <v>13035</v>
      </c>
      <c r="T1726" t="s">
        <v>18666</v>
      </c>
      <c r="U1726" t="s">
        <v>18652</v>
      </c>
      <c r="V1726" s="104">
        <v>45857</v>
      </c>
      <c r="X1726" s="97"/>
      <c r="Y1726" s="75">
        <v>533.62</v>
      </c>
    </row>
    <row r="1727" spans="1:25" x14ac:dyDescent="0.25">
      <c r="A1727" s="76">
        <v>1759</v>
      </c>
      <c r="B1727" s="2" t="s">
        <v>5976</v>
      </c>
      <c r="C1727" s="2" t="s">
        <v>5977</v>
      </c>
      <c r="D1727" s="2" t="s">
        <v>5978</v>
      </c>
      <c r="E1727" s="2" t="s">
        <v>5979</v>
      </c>
      <c r="F1727" s="2" t="s">
        <v>5980</v>
      </c>
      <c r="G1727" s="2" t="s">
        <v>23</v>
      </c>
      <c r="H1727" s="17">
        <v>50</v>
      </c>
      <c r="I1727" s="31">
        <f t="shared" si="168"/>
        <v>50000</v>
      </c>
      <c r="J1727" s="31">
        <f t="shared" si="169"/>
        <v>3500.0000000000005</v>
      </c>
      <c r="K1727" s="44">
        <f t="shared" si="170"/>
        <v>9.589041095890412</v>
      </c>
      <c r="L1727" s="3">
        <f t="shared" si="171"/>
        <v>709.58904109589048</v>
      </c>
      <c r="M1727" s="3">
        <f t="shared" si="172"/>
        <v>42.57534246575343</v>
      </c>
      <c r="N1727" s="67">
        <f t="shared" si="173"/>
        <v>667.01369863013701</v>
      </c>
      <c r="O1727" s="3"/>
      <c r="P1727" s="70" t="s">
        <v>18605</v>
      </c>
      <c r="Q1727" s="2" t="s">
        <v>47</v>
      </c>
      <c r="R1727" s="2" t="s">
        <v>5981</v>
      </c>
      <c r="T1727" t="s">
        <v>18666</v>
      </c>
      <c r="U1727" t="s">
        <v>18652</v>
      </c>
      <c r="V1727" s="104">
        <v>45857</v>
      </c>
      <c r="X1727" s="97"/>
      <c r="Y1727" s="75">
        <v>667.02</v>
      </c>
    </row>
    <row r="1728" spans="1:25" x14ac:dyDescent="0.25">
      <c r="A1728" s="76">
        <v>1760</v>
      </c>
      <c r="B1728" s="2" t="s">
        <v>6271</v>
      </c>
      <c r="C1728" s="2" t="s">
        <v>6272</v>
      </c>
      <c r="D1728" s="2" t="s">
        <v>6273</v>
      </c>
      <c r="E1728" s="2" t="s">
        <v>6274</v>
      </c>
      <c r="F1728" s="2" t="s">
        <v>6275</v>
      </c>
      <c r="G1728" s="2" t="s">
        <v>31</v>
      </c>
      <c r="H1728" s="17">
        <v>75</v>
      </c>
      <c r="I1728" s="31">
        <f t="shared" si="168"/>
        <v>75000</v>
      </c>
      <c r="J1728" s="31">
        <f t="shared" si="169"/>
        <v>5250.0000000000009</v>
      </c>
      <c r="K1728" s="44">
        <f t="shared" si="170"/>
        <v>14.38356164383562</v>
      </c>
      <c r="L1728" s="3">
        <f t="shared" si="171"/>
        <v>1064.3835616438359</v>
      </c>
      <c r="M1728" s="3">
        <f t="shared" si="172"/>
        <v>63.863013698630155</v>
      </c>
      <c r="N1728" s="67">
        <f t="shared" si="173"/>
        <v>1000.5205479452057</v>
      </c>
      <c r="O1728" s="3"/>
      <c r="P1728" s="70" t="s">
        <v>18605</v>
      </c>
      <c r="Q1728" s="2" t="s">
        <v>47</v>
      </c>
      <c r="R1728" s="2" t="s">
        <v>6276</v>
      </c>
      <c r="T1728" t="s">
        <v>18666</v>
      </c>
      <c r="U1728" t="s">
        <v>18652</v>
      </c>
      <c r="V1728" s="104">
        <v>45857</v>
      </c>
      <c r="X1728" s="97"/>
      <c r="Y1728" s="75">
        <v>1000.53</v>
      </c>
    </row>
    <row r="1729" spans="1:25" x14ac:dyDescent="0.25">
      <c r="A1729" s="76">
        <v>1761</v>
      </c>
      <c r="B1729" s="2" t="s">
        <v>3842</v>
      </c>
      <c r="C1729" s="2" t="s">
        <v>3843</v>
      </c>
      <c r="D1729" s="2" t="s">
        <v>3844</v>
      </c>
      <c r="E1729" s="2" t="s">
        <v>3845</v>
      </c>
      <c r="F1729" s="2" t="s">
        <v>3846</v>
      </c>
      <c r="G1729" s="2" t="s">
        <v>296</v>
      </c>
      <c r="H1729" s="17">
        <v>25</v>
      </c>
      <c r="I1729" s="31">
        <f t="shared" si="168"/>
        <v>25000</v>
      </c>
      <c r="J1729" s="31">
        <f t="shared" si="169"/>
        <v>1750.0000000000002</v>
      </c>
      <c r="K1729" s="44">
        <f t="shared" si="170"/>
        <v>4.794520547945206</v>
      </c>
      <c r="L1729" s="3">
        <f t="shared" si="171"/>
        <v>354.79452054794524</v>
      </c>
      <c r="M1729" s="3">
        <f t="shared" si="172"/>
        <v>21.287671232876715</v>
      </c>
      <c r="N1729" s="67">
        <f t="shared" si="173"/>
        <v>333.50684931506851</v>
      </c>
      <c r="O1729" s="3"/>
      <c r="P1729" s="70" t="s">
        <v>18605</v>
      </c>
      <c r="Q1729" s="2" t="s">
        <v>47</v>
      </c>
      <c r="R1729" s="2" t="s">
        <v>3847</v>
      </c>
      <c r="T1729" t="s">
        <v>18666</v>
      </c>
      <c r="U1729" t="s">
        <v>18652</v>
      </c>
      <c r="V1729" s="104">
        <v>45857</v>
      </c>
      <c r="X1729" s="97"/>
      <c r="Y1729" s="75">
        <v>333.51</v>
      </c>
    </row>
    <row r="1730" spans="1:25" x14ac:dyDescent="0.25">
      <c r="A1730" s="76">
        <v>1762</v>
      </c>
      <c r="B1730" s="2" t="s">
        <v>2776</v>
      </c>
      <c r="C1730" s="2" t="s">
        <v>2777</v>
      </c>
      <c r="D1730" s="2" t="s">
        <v>2778</v>
      </c>
      <c r="E1730" s="2" t="s">
        <v>489</v>
      </c>
      <c r="F1730" s="2" t="s">
        <v>2779</v>
      </c>
      <c r="G1730" s="2" t="s">
        <v>31</v>
      </c>
      <c r="H1730" s="17">
        <v>400</v>
      </c>
      <c r="I1730" s="31">
        <f t="shared" si="168"/>
        <v>400000</v>
      </c>
      <c r="J1730" s="31">
        <f t="shared" si="169"/>
        <v>28000.000000000004</v>
      </c>
      <c r="K1730" s="44">
        <f t="shared" si="170"/>
        <v>76.712328767123296</v>
      </c>
      <c r="L1730" s="3">
        <f t="shared" si="171"/>
        <v>5676.7123287671238</v>
      </c>
      <c r="M1730" s="3">
        <f t="shared" si="172"/>
        <v>340.60273972602744</v>
      </c>
      <c r="N1730" s="67">
        <f t="shared" si="173"/>
        <v>5336.1095890410961</v>
      </c>
      <c r="O1730" s="3"/>
      <c r="P1730" s="70" t="s">
        <v>18605</v>
      </c>
      <c r="Q1730" s="2" t="s">
        <v>47</v>
      </c>
      <c r="R1730" s="2" t="s">
        <v>2780</v>
      </c>
      <c r="T1730" t="s">
        <v>18666</v>
      </c>
      <c r="U1730" t="s">
        <v>18652</v>
      </c>
      <c r="V1730" s="104">
        <v>45857</v>
      </c>
      <c r="X1730" s="97"/>
      <c r="Y1730" s="75">
        <v>5336.1100000000006</v>
      </c>
    </row>
    <row r="1731" spans="1:25" x14ac:dyDescent="0.25">
      <c r="A1731" s="76">
        <v>1763</v>
      </c>
      <c r="B1731" s="2" t="s">
        <v>15161</v>
      </c>
      <c r="C1731" s="2" t="s">
        <v>15162</v>
      </c>
      <c r="D1731" s="2" t="s">
        <v>15076</v>
      </c>
      <c r="E1731" s="2" t="s">
        <v>6913</v>
      </c>
      <c r="F1731" s="2" t="s">
        <v>15163</v>
      </c>
      <c r="G1731" s="2" t="s">
        <v>296</v>
      </c>
      <c r="H1731" s="17">
        <v>200</v>
      </c>
      <c r="I1731" s="31">
        <f t="shared" si="168"/>
        <v>200000</v>
      </c>
      <c r="J1731" s="31">
        <f t="shared" si="169"/>
        <v>14000.000000000002</v>
      </c>
      <c r="K1731" s="44">
        <f t="shared" si="170"/>
        <v>38.356164383561648</v>
      </c>
      <c r="L1731" s="3">
        <f t="shared" si="171"/>
        <v>2838.3561643835619</v>
      </c>
      <c r="M1731" s="3">
        <f t="shared" si="172"/>
        <v>170.30136986301372</v>
      </c>
      <c r="N1731" s="67">
        <f t="shared" si="173"/>
        <v>2668.0547945205481</v>
      </c>
      <c r="O1731" s="3"/>
      <c r="P1731" s="70" t="s">
        <v>18605</v>
      </c>
      <c r="Q1731" s="2" t="s">
        <v>47</v>
      </c>
      <c r="R1731" s="2" t="s">
        <v>15164</v>
      </c>
      <c r="T1731" t="s">
        <v>18666</v>
      </c>
      <c r="U1731" t="s">
        <v>18652</v>
      </c>
      <c r="V1731" s="104">
        <v>45857</v>
      </c>
      <c r="X1731" s="97"/>
      <c r="Y1731" s="75">
        <v>2668.0600000000004</v>
      </c>
    </row>
    <row r="1732" spans="1:25" x14ac:dyDescent="0.25">
      <c r="A1732" s="76">
        <v>1764</v>
      </c>
      <c r="B1732" s="2" t="s">
        <v>5190</v>
      </c>
      <c r="C1732" s="2" t="s">
        <v>5191</v>
      </c>
      <c r="D1732" s="2" t="s">
        <v>5192</v>
      </c>
      <c r="E1732" s="2" t="s">
        <v>5193</v>
      </c>
      <c r="F1732" s="2" t="s">
        <v>5194</v>
      </c>
      <c r="G1732" s="2" t="s">
        <v>166</v>
      </c>
      <c r="H1732" s="17">
        <v>25</v>
      </c>
      <c r="I1732" s="31">
        <f t="shared" si="168"/>
        <v>25000</v>
      </c>
      <c r="J1732" s="31">
        <f t="shared" si="169"/>
        <v>1750.0000000000002</v>
      </c>
      <c r="K1732" s="44">
        <f t="shared" si="170"/>
        <v>4.794520547945206</v>
      </c>
      <c r="L1732" s="3">
        <f t="shared" si="171"/>
        <v>354.79452054794524</v>
      </c>
      <c r="M1732" s="3">
        <f t="shared" si="172"/>
        <v>21.287671232876715</v>
      </c>
      <c r="N1732" s="67">
        <f t="shared" si="173"/>
        <v>333.50684931506851</v>
      </c>
      <c r="O1732" s="3"/>
      <c r="P1732" s="70" t="s">
        <v>18605</v>
      </c>
      <c r="Q1732" s="2" t="s">
        <v>47</v>
      </c>
      <c r="R1732" s="2" t="s">
        <v>5195</v>
      </c>
      <c r="T1732" t="s">
        <v>18666</v>
      </c>
      <c r="U1732" t="s">
        <v>18652</v>
      </c>
      <c r="V1732" s="104">
        <v>45857</v>
      </c>
      <c r="X1732" s="97"/>
      <c r="Y1732" s="75">
        <v>333.51</v>
      </c>
    </row>
    <row r="1733" spans="1:25" x14ac:dyDescent="0.25">
      <c r="A1733" s="76">
        <v>1765</v>
      </c>
      <c r="B1733" s="2" t="s">
        <v>8380</v>
      </c>
      <c r="C1733" s="2" t="s">
        <v>8381</v>
      </c>
      <c r="D1733" s="2" t="s">
        <v>8382</v>
      </c>
      <c r="E1733" s="2" t="s">
        <v>8383</v>
      </c>
      <c r="F1733" s="2" t="s">
        <v>8384</v>
      </c>
      <c r="G1733" s="2" t="s">
        <v>543</v>
      </c>
      <c r="H1733" s="17">
        <v>25</v>
      </c>
      <c r="I1733" s="31">
        <f t="shared" si="168"/>
        <v>25000</v>
      </c>
      <c r="J1733" s="31">
        <f t="shared" si="169"/>
        <v>1750.0000000000002</v>
      </c>
      <c r="K1733" s="44">
        <f t="shared" si="170"/>
        <v>4.794520547945206</v>
      </c>
      <c r="L1733" s="3">
        <f t="shared" si="171"/>
        <v>354.79452054794524</v>
      </c>
      <c r="M1733" s="3">
        <f t="shared" si="172"/>
        <v>21.287671232876715</v>
      </c>
      <c r="N1733" s="67">
        <f t="shared" si="173"/>
        <v>333.50684931506851</v>
      </c>
      <c r="O1733" s="3"/>
      <c r="P1733" s="70" t="s">
        <v>18605</v>
      </c>
      <c r="Q1733" s="2" t="s">
        <v>47</v>
      </c>
      <c r="R1733" s="2" t="s">
        <v>8385</v>
      </c>
      <c r="T1733" t="s">
        <v>18666</v>
      </c>
      <c r="U1733" t="s">
        <v>18652</v>
      </c>
      <c r="V1733" s="104">
        <v>45857</v>
      </c>
      <c r="X1733" s="97"/>
      <c r="Y1733" s="75">
        <v>333.51</v>
      </c>
    </row>
    <row r="1734" spans="1:25" x14ac:dyDescent="0.25">
      <c r="A1734" s="76">
        <v>1766</v>
      </c>
      <c r="B1734" s="2" t="s">
        <v>9299</v>
      </c>
      <c r="C1734" s="2" t="s">
        <v>9300</v>
      </c>
      <c r="D1734" s="2" t="s">
        <v>9301</v>
      </c>
      <c r="E1734" s="2" t="s">
        <v>9302</v>
      </c>
      <c r="F1734" s="2" t="s">
        <v>9303</v>
      </c>
      <c r="G1734" s="2" t="s">
        <v>510</v>
      </c>
      <c r="H1734" s="17">
        <v>25</v>
      </c>
      <c r="I1734" s="31">
        <f t="shared" si="168"/>
        <v>25000</v>
      </c>
      <c r="J1734" s="31">
        <f t="shared" si="169"/>
        <v>1750.0000000000002</v>
      </c>
      <c r="K1734" s="44">
        <f t="shared" si="170"/>
        <v>4.794520547945206</v>
      </c>
      <c r="L1734" s="3">
        <f t="shared" si="171"/>
        <v>354.79452054794524</v>
      </c>
      <c r="M1734" s="3">
        <f t="shared" si="172"/>
        <v>21.287671232876715</v>
      </c>
      <c r="N1734" s="67">
        <f t="shared" si="173"/>
        <v>333.50684931506851</v>
      </c>
      <c r="O1734" s="3"/>
      <c r="P1734" s="70" t="s">
        <v>18605</v>
      </c>
      <c r="Q1734" s="2" t="s">
        <v>47</v>
      </c>
      <c r="R1734" s="2" t="s">
        <v>9304</v>
      </c>
      <c r="T1734" t="s">
        <v>18666</v>
      </c>
      <c r="U1734" t="s">
        <v>18652</v>
      </c>
      <c r="V1734" s="104">
        <v>45857</v>
      </c>
      <c r="X1734" s="97"/>
      <c r="Y1734" s="75">
        <v>333.51</v>
      </c>
    </row>
    <row r="1735" spans="1:25" x14ac:dyDescent="0.25">
      <c r="A1735" s="76">
        <v>1767</v>
      </c>
      <c r="B1735" s="2" t="s">
        <v>12105</v>
      </c>
      <c r="C1735" s="2" t="s">
        <v>12106</v>
      </c>
      <c r="D1735" s="2" t="s">
        <v>12107</v>
      </c>
      <c r="E1735" s="2" t="s">
        <v>12108</v>
      </c>
      <c r="F1735" s="2" t="s">
        <v>12109</v>
      </c>
      <c r="G1735" s="2" t="s">
        <v>101</v>
      </c>
      <c r="H1735" s="17">
        <v>25</v>
      </c>
      <c r="I1735" s="31">
        <f t="shared" si="168"/>
        <v>25000</v>
      </c>
      <c r="J1735" s="31">
        <f t="shared" si="169"/>
        <v>1750.0000000000002</v>
      </c>
      <c r="K1735" s="44">
        <f t="shared" si="170"/>
        <v>4.794520547945206</v>
      </c>
      <c r="L1735" s="3">
        <f t="shared" si="171"/>
        <v>354.79452054794524</v>
      </c>
      <c r="M1735" s="3">
        <f t="shared" si="172"/>
        <v>21.287671232876715</v>
      </c>
      <c r="N1735" s="67">
        <f t="shared" si="173"/>
        <v>333.50684931506851</v>
      </c>
      <c r="O1735" s="3"/>
      <c r="P1735" s="70" t="s">
        <v>18605</v>
      </c>
      <c r="Q1735" s="2" t="s">
        <v>47</v>
      </c>
      <c r="R1735" s="2" t="s">
        <v>12110</v>
      </c>
      <c r="T1735" t="s">
        <v>18666</v>
      </c>
      <c r="U1735" t="s">
        <v>18652</v>
      </c>
      <c r="V1735" s="104">
        <v>45857</v>
      </c>
      <c r="X1735" s="97"/>
      <c r="Y1735" s="75">
        <v>333.51</v>
      </c>
    </row>
    <row r="1736" spans="1:25" x14ac:dyDescent="0.25">
      <c r="A1736" s="76">
        <v>1768</v>
      </c>
      <c r="B1736" s="2" t="s">
        <v>2434</v>
      </c>
      <c r="C1736" s="2" t="s">
        <v>2435</v>
      </c>
      <c r="D1736" s="2" t="s">
        <v>2436</v>
      </c>
      <c r="E1736" s="2" t="s">
        <v>2437</v>
      </c>
      <c r="F1736" s="2" t="s">
        <v>2438</v>
      </c>
      <c r="G1736" s="2" t="s">
        <v>282</v>
      </c>
      <c r="H1736" s="17">
        <v>100</v>
      </c>
      <c r="I1736" s="31">
        <f t="shared" si="168"/>
        <v>100000</v>
      </c>
      <c r="J1736" s="31">
        <f t="shared" si="169"/>
        <v>7000.0000000000009</v>
      </c>
      <c r="K1736" s="44">
        <f t="shared" si="170"/>
        <v>19.178082191780824</v>
      </c>
      <c r="L1736" s="3">
        <f t="shared" si="171"/>
        <v>1419.178082191781</v>
      </c>
      <c r="M1736" s="3">
        <f t="shared" si="172"/>
        <v>85.150684931506859</v>
      </c>
      <c r="N1736" s="67">
        <f t="shared" si="173"/>
        <v>1334.027397260274</v>
      </c>
      <c r="O1736" s="3"/>
      <c r="P1736" s="70" t="s">
        <v>18605</v>
      </c>
      <c r="Q1736" s="2" t="s">
        <v>47</v>
      </c>
      <c r="R1736" s="2" t="s">
        <v>2439</v>
      </c>
      <c r="T1736" t="s">
        <v>18666</v>
      </c>
      <c r="U1736" t="s">
        <v>18652</v>
      </c>
      <c r="V1736" s="104">
        <v>45857</v>
      </c>
      <c r="X1736" s="97"/>
      <c r="Y1736" s="75">
        <v>1334.03</v>
      </c>
    </row>
    <row r="1737" spans="1:25" x14ac:dyDescent="0.25">
      <c r="A1737" s="76">
        <v>1769</v>
      </c>
      <c r="B1737" s="2" t="s">
        <v>9792</v>
      </c>
      <c r="C1737" s="2" t="s">
        <v>9793</v>
      </c>
      <c r="D1737" s="2" t="s">
        <v>9794</v>
      </c>
      <c r="E1737" s="2" t="s">
        <v>9795</v>
      </c>
      <c r="F1737" s="2" t="s">
        <v>9796</v>
      </c>
      <c r="G1737" s="2" t="s">
        <v>362</v>
      </c>
      <c r="H1737" s="17">
        <v>25</v>
      </c>
      <c r="I1737" s="31">
        <f t="shared" si="168"/>
        <v>25000</v>
      </c>
      <c r="J1737" s="31">
        <f t="shared" si="169"/>
        <v>1750.0000000000002</v>
      </c>
      <c r="K1737" s="44">
        <f t="shared" si="170"/>
        <v>4.794520547945206</v>
      </c>
      <c r="L1737" s="3">
        <f t="shared" si="171"/>
        <v>354.79452054794524</v>
      </c>
      <c r="M1737" s="3">
        <f t="shared" si="172"/>
        <v>21.287671232876715</v>
      </c>
      <c r="N1737" s="67">
        <f t="shared" si="173"/>
        <v>333.50684931506851</v>
      </c>
      <c r="O1737" s="3"/>
      <c r="P1737" s="70" t="s">
        <v>18605</v>
      </c>
      <c r="Q1737" s="2" t="s">
        <v>47</v>
      </c>
      <c r="R1737" s="2" t="s">
        <v>9797</v>
      </c>
      <c r="T1737" t="s">
        <v>18666</v>
      </c>
      <c r="U1737" t="s">
        <v>18652</v>
      </c>
      <c r="V1737" s="104">
        <v>45857</v>
      </c>
      <c r="X1737" s="97"/>
      <c r="Y1737" s="75">
        <v>333.51</v>
      </c>
    </row>
    <row r="1738" spans="1:25" x14ac:dyDescent="0.25">
      <c r="A1738" s="76">
        <v>1770</v>
      </c>
      <c r="B1738" s="2" t="s">
        <v>10159</v>
      </c>
      <c r="C1738" s="2" t="s">
        <v>10160</v>
      </c>
      <c r="D1738" s="2" t="s">
        <v>10161</v>
      </c>
      <c r="E1738" s="2" t="s">
        <v>10162</v>
      </c>
      <c r="F1738" s="2" t="s">
        <v>10163</v>
      </c>
      <c r="G1738" s="2" t="s">
        <v>23</v>
      </c>
      <c r="H1738" s="17">
        <v>25</v>
      </c>
      <c r="I1738" s="31">
        <f t="shared" si="168"/>
        <v>25000</v>
      </c>
      <c r="J1738" s="31">
        <f t="shared" si="169"/>
        <v>1750.0000000000002</v>
      </c>
      <c r="K1738" s="44">
        <f t="shared" si="170"/>
        <v>4.794520547945206</v>
      </c>
      <c r="L1738" s="3">
        <f t="shared" si="171"/>
        <v>354.79452054794524</v>
      </c>
      <c r="M1738" s="3">
        <f t="shared" si="172"/>
        <v>21.287671232876715</v>
      </c>
      <c r="N1738" s="67">
        <f t="shared" si="173"/>
        <v>333.50684931506851</v>
      </c>
      <c r="O1738" s="3"/>
      <c r="P1738" s="70" t="s">
        <v>18605</v>
      </c>
      <c r="Q1738" s="2" t="s">
        <v>47</v>
      </c>
      <c r="R1738" s="2" t="s">
        <v>10164</v>
      </c>
      <c r="T1738" t="s">
        <v>18666</v>
      </c>
      <c r="U1738" t="s">
        <v>18652</v>
      </c>
      <c r="V1738" s="104">
        <v>45857</v>
      </c>
      <c r="X1738" s="97"/>
      <c r="Y1738" s="75">
        <v>333.51</v>
      </c>
    </row>
    <row r="1739" spans="1:25" x14ac:dyDescent="0.25">
      <c r="A1739" s="76">
        <v>1771</v>
      </c>
      <c r="B1739" s="2" t="s">
        <v>947</v>
      </c>
      <c r="C1739" s="2" t="s">
        <v>948</v>
      </c>
      <c r="D1739" s="2" t="s">
        <v>949</v>
      </c>
      <c r="E1739" s="2" t="s">
        <v>950</v>
      </c>
      <c r="F1739" s="2" t="s">
        <v>951</v>
      </c>
      <c r="G1739" s="2" t="s">
        <v>144</v>
      </c>
      <c r="H1739" s="17">
        <v>25</v>
      </c>
      <c r="I1739" s="31">
        <f t="shared" si="168"/>
        <v>25000</v>
      </c>
      <c r="J1739" s="31">
        <f t="shared" si="169"/>
        <v>1750.0000000000002</v>
      </c>
      <c r="K1739" s="44">
        <f t="shared" si="170"/>
        <v>4.794520547945206</v>
      </c>
      <c r="L1739" s="3">
        <f t="shared" si="171"/>
        <v>354.79452054794524</v>
      </c>
      <c r="M1739" s="3">
        <f t="shared" si="172"/>
        <v>21.287671232876715</v>
      </c>
      <c r="N1739" s="67">
        <f t="shared" si="173"/>
        <v>333.50684931506851</v>
      </c>
      <c r="O1739" s="3"/>
      <c r="P1739" s="70" t="s">
        <v>18605</v>
      </c>
      <c r="Q1739" s="2" t="s">
        <v>47</v>
      </c>
      <c r="R1739" s="2" t="s">
        <v>952</v>
      </c>
      <c r="T1739" t="s">
        <v>18666</v>
      </c>
      <c r="U1739" t="s">
        <v>18652</v>
      </c>
      <c r="V1739" s="104">
        <v>45857</v>
      </c>
      <c r="X1739" s="97"/>
      <c r="Y1739" s="75">
        <v>333.51</v>
      </c>
    </row>
    <row r="1740" spans="1:25" x14ac:dyDescent="0.25">
      <c r="A1740" s="76">
        <v>1772</v>
      </c>
      <c r="B1740" s="2" t="s">
        <v>5184</v>
      </c>
      <c r="C1740" s="2" t="s">
        <v>5185</v>
      </c>
      <c r="D1740" s="2" t="s">
        <v>5186</v>
      </c>
      <c r="E1740" s="2" t="s">
        <v>5187</v>
      </c>
      <c r="F1740" s="2" t="s">
        <v>5188</v>
      </c>
      <c r="G1740" s="2" t="s">
        <v>1315</v>
      </c>
      <c r="H1740" s="17">
        <v>25</v>
      </c>
      <c r="I1740" s="31">
        <f t="shared" si="168"/>
        <v>25000</v>
      </c>
      <c r="J1740" s="31">
        <f t="shared" si="169"/>
        <v>1750.0000000000002</v>
      </c>
      <c r="K1740" s="44">
        <f t="shared" si="170"/>
        <v>4.794520547945206</v>
      </c>
      <c r="L1740" s="3">
        <f t="shared" si="171"/>
        <v>354.79452054794524</v>
      </c>
      <c r="M1740" s="3">
        <f t="shared" si="172"/>
        <v>21.287671232876715</v>
      </c>
      <c r="N1740" s="67">
        <f t="shared" si="173"/>
        <v>333.50684931506851</v>
      </c>
      <c r="O1740" s="3"/>
      <c r="P1740" s="70" t="s">
        <v>18605</v>
      </c>
      <c r="Q1740" s="2" t="s">
        <v>47</v>
      </c>
      <c r="R1740" s="2" t="s">
        <v>5189</v>
      </c>
      <c r="T1740" t="s">
        <v>18666</v>
      </c>
      <c r="U1740" t="s">
        <v>18652</v>
      </c>
      <c r="V1740" s="104">
        <v>45857</v>
      </c>
      <c r="X1740" s="97"/>
      <c r="Y1740" s="75">
        <v>333.51</v>
      </c>
    </row>
    <row r="1741" spans="1:25" x14ac:dyDescent="0.25">
      <c r="A1741" s="76">
        <v>1773</v>
      </c>
      <c r="B1741" s="2" t="s">
        <v>14671</v>
      </c>
      <c r="C1741" s="2" t="s">
        <v>12442</v>
      </c>
      <c r="D1741" s="2" t="s">
        <v>691</v>
      </c>
      <c r="E1741" s="2" t="s">
        <v>14672</v>
      </c>
      <c r="F1741" s="2" t="s">
        <v>14673</v>
      </c>
      <c r="G1741" s="2" t="s">
        <v>186</v>
      </c>
      <c r="H1741" s="17">
        <v>25</v>
      </c>
      <c r="I1741" s="31">
        <f t="shared" si="168"/>
        <v>25000</v>
      </c>
      <c r="J1741" s="31">
        <f t="shared" si="169"/>
        <v>1750.0000000000002</v>
      </c>
      <c r="K1741" s="44">
        <f t="shared" si="170"/>
        <v>4.794520547945206</v>
      </c>
      <c r="L1741" s="3">
        <f t="shared" si="171"/>
        <v>354.79452054794524</v>
      </c>
      <c r="M1741" s="3">
        <f t="shared" si="172"/>
        <v>21.287671232876715</v>
      </c>
      <c r="N1741" s="67">
        <f t="shared" si="173"/>
        <v>333.50684931506851</v>
      </c>
      <c r="O1741" s="3"/>
      <c r="P1741" s="70" t="s">
        <v>18605</v>
      </c>
      <c r="Q1741" s="2" t="s">
        <v>47</v>
      </c>
      <c r="R1741" s="2" t="s">
        <v>14674</v>
      </c>
      <c r="T1741" t="s">
        <v>18666</v>
      </c>
      <c r="U1741" t="s">
        <v>18652</v>
      </c>
      <c r="V1741" s="104">
        <v>45857</v>
      </c>
      <c r="X1741" s="97"/>
      <c r="Y1741" s="75">
        <v>333.51</v>
      </c>
    </row>
    <row r="1742" spans="1:25" x14ac:dyDescent="0.25">
      <c r="A1742" s="76">
        <v>1774</v>
      </c>
      <c r="B1742" s="2" t="s">
        <v>563</v>
      </c>
      <c r="C1742" s="2" t="s">
        <v>564</v>
      </c>
      <c r="D1742" s="2" t="s">
        <v>565</v>
      </c>
      <c r="E1742" s="2" t="s">
        <v>566</v>
      </c>
      <c r="F1742" s="2" t="s">
        <v>567</v>
      </c>
      <c r="G1742" s="2" t="s">
        <v>268</v>
      </c>
      <c r="H1742" s="17">
        <v>50</v>
      </c>
      <c r="I1742" s="31">
        <f t="shared" si="168"/>
        <v>50000</v>
      </c>
      <c r="J1742" s="31">
        <f t="shared" si="169"/>
        <v>3500.0000000000005</v>
      </c>
      <c r="K1742" s="44">
        <f t="shared" si="170"/>
        <v>9.589041095890412</v>
      </c>
      <c r="L1742" s="3">
        <f t="shared" si="171"/>
        <v>709.58904109589048</v>
      </c>
      <c r="M1742" s="3">
        <f t="shared" si="172"/>
        <v>42.57534246575343</v>
      </c>
      <c r="N1742" s="67">
        <f t="shared" si="173"/>
        <v>667.01369863013701</v>
      </c>
      <c r="O1742" s="3"/>
      <c r="P1742" s="70" t="s">
        <v>18605</v>
      </c>
      <c r="Q1742" s="2" t="s">
        <v>47</v>
      </c>
      <c r="R1742" s="2" t="s">
        <v>568</v>
      </c>
      <c r="T1742" t="s">
        <v>18666</v>
      </c>
      <c r="U1742" t="s">
        <v>18652</v>
      </c>
      <c r="V1742" s="104">
        <v>45857</v>
      </c>
      <c r="X1742" s="97"/>
      <c r="Y1742" s="75">
        <v>667.02</v>
      </c>
    </row>
    <row r="1743" spans="1:25" x14ac:dyDescent="0.25">
      <c r="A1743" s="76">
        <v>1775</v>
      </c>
      <c r="B1743" s="2" t="s">
        <v>6283</v>
      </c>
      <c r="C1743" s="2" t="s">
        <v>6284</v>
      </c>
      <c r="D1743" s="2" t="s">
        <v>6285</v>
      </c>
      <c r="E1743" s="2" t="s">
        <v>6286</v>
      </c>
      <c r="F1743" s="2" t="s">
        <v>6287</v>
      </c>
      <c r="G1743" s="2" t="s">
        <v>5013</v>
      </c>
      <c r="H1743" s="17">
        <v>25</v>
      </c>
      <c r="I1743" s="31">
        <f t="shared" si="168"/>
        <v>25000</v>
      </c>
      <c r="J1743" s="31">
        <f t="shared" si="169"/>
        <v>1750.0000000000002</v>
      </c>
      <c r="K1743" s="44">
        <f t="shared" si="170"/>
        <v>4.794520547945206</v>
      </c>
      <c r="L1743" s="3">
        <f t="shared" si="171"/>
        <v>354.79452054794524</v>
      </c>
      <c r="M1743" s="3">
        <f t="shared" si="172"/>
        <v>21.287671232876715</v>
      </c>
      <c r="N1743" s="67">
        <f t="shared" si="173"/>
        <v>333.50684931506851</v>
      </c>
      <c r="O1743" s="3"/>
      <c r="P1743" s="70" t="s">
        <v>18605</v>
      </c>
      <c r="Q1743" s="2" t="s">
        <v>47</v>
      </c>
      <c r="R1743" s="2" t="s">
        <v>6288</v>
      </c>
      <c r="T1743" t="s">
        <v>18666</v>
      </c>
      <c r="U1743" t="s">
        <v>18652</v>
      </c>
      <c r="V1743" s="104">
        <v>45857</v>
      </c>
      <c r="X1743" s="97"/>
      <c r="Y1743" s="75">
        <v>333.51</v>
      </c>
    </row>
    <row r="1744" spans="1:25" x14ac:dyDescent="0.25">
      <c r="A1744" s="76">
        <v>1776</v>
      </c>
      <c r="B1744" s="2" t="s">
        <v>14382</v>
      </c>
      <c r="C1744" s="2" t="s">
        <v>14383</v>
      </c>
      <c r="D1744" s="2" t="s">
        <v>14384</v>
      </c>
      <c r="E1744" s="2" t="s">
        <v>14385</v>
      </c>
      <c r="F1744" s="2" t="s">
        <v>14386</v>
      </c>
      <c r="G1744" s="2" t="s">
        <v>510</v>
      </c>
      <c r="H1744" s="17">
        <v>25</v>
      </c>
      <c r="I1744" s="31">
        <f t="shared" si="168"/>
        <v>25000</v>
      </c>
      <c r="J1744" s="31">
        <f t="shared" si="169"/>
        <v>1750.0000000000002</v>
      </c>
      <c r="K1744" s="44">
        <f t="shared" si="170"/>
        <v>4.794520547945206</v>
      </c>
      <c r="L1744" s="3">
        <f t="shared" si="171"/>
        <v>354.79452054794524</v>
      </c>
      <c r="M1744" s="3">
        <f t="shared" si="172"/>
        <v>21.287671232876715</v>
      </c>
      <c r="N1744" s="67">
        <f t="shared" si="173"/>
        <v>333.50684931506851</v>
      </c>
      <c r="O1744" s="3"/>
      <c r="P1744" s="70" t="s">
        <v>18605</v>
      </c>
      <c r="Q1744" s="2" t="s">
        <v>47</v>
      </c>
      <c r="R1744" s="2" t="s">
        <v>14387</v>
      </c>
      <c r="T1744" t="s">
        <v>18666</v>
      </c>
      <c r="U1744" t="s">
        <v>18652</v>
      </c>
      <c r="V1744" s="104">
        <v>45857</v>
      </c>
      <c r="X1744" s="97"/>
      <c r="Y1744" s="75">
        <v>333.51</v>
      </c>
    </row>
    <row r="1745" spans="1:25" x14ac:dyDescent="0.25">
      <c r="A1745" s="76">
        <v>1777</v>
      </c>
      <c r="B1745" s="2" t="s">
        <v>5655</v>
      </c>
      <c r="C1745" s="2" t="s">
        <v>5656</v>
      </c>
      <c r="D1745" s="2" t="s">
        <v>5657</v>
      </c>
      <c r="E1745" s="2" t="s">
        <v>5658</v>
      </c>
      <c r="F1745" s="2" t="s">
        <v>5659</v>
      </c>
      <c r="G1745" s="2" t="s">
        <v>2673</v>
      </c>
      <c r="H1745" s="17">
        <v>100</v>
      </c>
      <c r="I1745" s="31">
        <f t="shared" si="168"/>
        <v>100000</v>
      </c>
      <c r="J1745" s="31">
        <f t="shared" si="169"/>
        <v>7000.0000000000009</v>
      </c>
      <c r="K1745" s="44">
        <f t="shared" si="170"/>
        <v>19.178082191780824</v>
      </c>
      <c r="L1745" s="3">
        <f t="shared" si="171"/>
        <v>1419.178082191781</v>
      </c>
      <c r="M1745" s="3">
        <f t="shared" si="172"/>
        <v>85.150684931506859</v>
      </c>
      <c r="N1745" s="67">
        <f t="shared" si="173"/>
        <v>1334.027397260274</v>
      </c>
      <c r="O1745" s="3"/>
      <c r="P1745" s="70" t="s">
        <v>18605</v>
      </c>
      <c r="Q1745" s="2" t="s">
        <v>47</v>
      </c>
      <c r="R1745" s="2" t="s">
        <v>5660</v>
      </c>
      <c r="T1745" t="s">
        <v>18666</v>
      </c>
      <c r="U1745" t="s">
        <v>18652</v>
      </c>
      <c r="V1745" s="104">
        <v>45857</v>
      </c>
      <c r="X1745" s="97"/>
      <c r="Y1745" s="75">
        <v>1334.03</v>
      </c>
    </row>
    <row r="1746" spans="1:25" x14ac:dyDescent="0.25">
      <c r="A1746" s="76">
        <v>1778</v>
      </c>
      <c r="B1746" s="2" t="s">
        <v>801</v>
      </c>
      <c r="C1746" s="2" t="s">
        <v>802</v>
      </c>
      <c r="D1746" s="2" t="s">
        <v>803</v>
      </c>
      <c r="E1746" s="2" t="s">
        <v>804</v>
      </c>
      <c r="F1746" s="2" t="s">
        <v>805</v>
      </c>
      <c r="G1746" s="2" t="s">
        <v>296</v>
      </c>
      <c r="H1746" s="17">
        <v>25</v>
      </c>
      <c r="I1746" s="31">
        <f t="shared" ref="I1746:I1809" si="174">H1746*1000</f>
        <v>25000</v>
      </c>
      <c r="J1746" s="31">
        <f t="shared" ref="J1746:J1809" si="175">I1746*7%</f>
        <v>1750.0000000000002</v>
      </c>
      <c r="K1746" s="44">
        <f t="shared" ref="K1746:K1809" si="176">J1746/365</f>
        <v>4.794520547945206</v>
      </c>
      <c r="L1746" s="3">
        <f t="shared" ref="L1746:L1809" si="177">K1746*74</f>
        <v>354.79452054794524</v>
      </c>
      <c r="M1746" s="3">
        <f t="shared" ref="M1746:M1809" si="178">L1746*6%</f>
        <v>21.287671232876715</v>
      </c>
      <c r="N1746" s="67">
        <f t="shared" ref="N1746:N1809" si="179">L1746-M1746</f>
        <v>333.50684931506851</v>
      </c>
      <c r="O1746" s="3"/>
      <c r="P1746" s="70" t="s">
        <v>18605</v>
      </c>
      <c r="Q1746" s="2" t="s">
        <v>47</v>
      </c>
      <c r="R1746" s="2" t="s">
        <v>806</v>
      </c>
      <c r="T1746" t="s">
        <v>18666</v>
      </c>
      <c r="U1746" t="s">
        <v>18652</v>
      </c>
      <c r="V1746" s="104">
        <v>45857</v>
      </c>
      <c r="X1746" s="97"/>
      <c r="Y1746" s="75">
        <v>333.51</v>
      </c>
    </row>
    <row r="1747" spans="1:25" x14ac:dyDescent="0.25">
      <c r="A1747" s="76">
        <v>1779</v>
      </c>
      <c r="B1747" s="2" t="s">
        <v>2891</v>
      </c>
      <c r="C1747" s="2" t="s">
        <v>2892</v>
      </c>
      <c r="D1747" s="2" t="s">
        <v>2893</v>
      </c>
      <c r="E1747" s="2" t="s">
        <v>2894</v>
      </c>
      <c r="F1747" s="2" t="s">
        <v>2895</v>
      </c>
      <c r="G1747" s="2" t="s">
        <v>328</v>
      </c>
      <c r="H1747" s="17">
        <v>25</v>
      </c>
      <c r="I1747" s="31">
        <f t="shared" si="174"/>
        <v>25000</v>
      </c>
      <c r="J1747" s="31">
        <f t="shared" si="175"/>
        <v>1750.0000000000002</v>
      </c>
      <c r="K1747" s="44">
        <f t="shared" si="176"/>
        <v>4.794520547945206</v>
      </c>
      <c r="L1747" s="3">
        <f t="shared" si="177"/>
        <v>354.79452054794524</v>
      </c>
      <c r="M1747" s="3">
        <f t="shared" si="178"/>
        <v>21.287671232876715</v>
      </c>
      <c r="N1747" s="67">
        <f t="shared" si="179"/>
        <v>333.50684931506851</v>
      </c>
      <c r="O1747" s="3"/>
      <c r="P1747" s="70" t="s">
        <v>18605</v>
      </c>
      <c r="Q1747" s="2" t="s">
        <v>47</v>
      </c>
      <c r="R1747" s="2" t="s">
        <v>2896</v>
      </c>
      <c r="T1747" t="s">
        <v>18666</v>
      </c>
      <c r="U1747" t="s">
        <v>18652</v>
      </c>
      <c r="V1747" s="104">
        <v>45857</v>
      </c>
      <c r="X1747" s="97"/>
      <c r="Y1747" s="75">
        <v>333.51</v>
      </c>
    </row>
    <row r="1748" spans="1:25" x14ac:dyDescent="0.25">
      <c r="A1748" s="76">
        <v>1780</v>
      </c>
      <c r="B1748" s="2" t="s">
        <v>8462</v>
      </c>
      <c r="C1748" s="2" t="s">
        <v>8463</v>
      </c>
      <c r="D1748" s="2" t="s">
        <v>8464</v>
      </c>
      <c r="E1748" s="2" t="s">
        <v>8465</v>
      </c>
      <c r="F1748" s="2" t="s">
        <v>8466</v>
      </c>
      <c r="G1748" s="2" t="s">
        <v>362</v>
      </c>
      <c r="H1748" s="17">
        <v>25</v>
      </c>
      <c r="I1748" s="31">
        <f t="shared" si="174"/>
        <v>25000</v>
      </c>
      <c r="J1748" s="31">
        <f t="shared" si="175"/>
        <v>1750.0000000000002</v>
      </c>
      <c r="K1748" s="44">
        <f t="shared" si="176"/>
        <v>4.794520547945206</v>
      </c>
      <c r="L1748" s="3">
        <f t="shared" si="177"/>
        <v>354.79452054794524</v>
      </c>
      <c r="M1748" s="3">
        <f t="shared" si="178"/>
        <v>21.287671232876715</v>
      </c>
      <c r="N1748" s="67">
        <f t="shared" si="179"/>
        <v>333.50684931506851</v>
      </c>
      <c r="O1748" s="3"/>
      <c r="P1748" s="70" t="s">
        <v>18605</v>
      </c>
      <c r="Q1748" s="2" t="s">
        <v>47</v>
      </c>
      <c r="R1748" s="2" t="s">
        <v>8467</v>
      </c>
      <c r="T1748" t="s">
        <v>18666</v>
      </c>
      <c r="U1748" t="s">
        <v>18652</v>
      </c>
      <c r="V1748" s="104">
        <v>45857</v>
      </c>
      <c r="X1748" s="97"/>
      <c r="Y1748" s="75">
        <v>333.51</v>
      </c>
    </row>
    <row r="1749" spans="1:25" x14ac:dyDescent="0.25">
      <c r="A1749" s="76">
        <v>1781</v>
      </c>
      <c r="B1749" s="2" t="s">
        <v>4210</v>
      </c>
      <c r="C1749" s="2" t="s">
        <v>4211</v>
      </c>
      <c r="D1749" s="2" t="s">
        <v>4212</v>
      </c>
      <c r="E1749" s="2" t="s">
        <v>4213</v>
      </c>
      <c r="F1749" s="2" t="s">
        <v>4214</v>
      </c>
      <c r="G1749" s="2" t="s">
        <v>939</v>
      </c>
      <c r="H1749" s="17">
        <v>25</v>
      </c>
      <c r="I1749" s="31">
        <f t="shared" si="174"/>
        <v>25000</v>
      </c>
      <c r="J1749" s="31">
        <f t="shared" si="175"/>
        <v>1750.0000000000002</v>
      </c>
      <c r="K1749" s="44">
        <f t="shared" si="176"/>
        <v>4.794520547945206</v>
      </c>
      <c r="L1749" s="3">
        <f t="shared" si="177"/>
        <v>354.79452054794524</v>
      </c>
      <c r="M1749" s="3">
        <f t="shared" si="178"/>
        <v>21.287671232876715</v>
      </c>
      <c r="N1749" s="67">
        <f t="shared" si="179"/>
        <v>333.50684931506851</v>
      </c>
      <c r="O1749" s="3"/>
      <c r="P1749" s="70" t="s">
        <v>18605</v>
      </c>
      <c r="Q1749" s="2" t="s">
        <v>47</v>
      </c>
      <c r="R1749" s="2" t="s">
        <v>4215</v>
      </c>
      <c r="T1749" t="s">
        <v>18666</v>
      </c>
      <c r="U1749" t="s">
        <v>18652</v>
      </c>
      <c r="V1749" s="104">
        <v>45857</v>
      </c>
      <c r="X1749" s="97"/>
      <c r="Y1749" s="75">
        <v>333.51</v>
      </c>
    </row>
    <row r="1750" spans="1:25" x14ac:dyDescent="0.25">
      <c r="A1750" s="76">
        <v>1782</v>
      </c>
      <c r="B1750" s="2" t="s">
        <v>6638</v>
      </c>
      <c r="C1750" s="2" t="s">
        <v>6639</v>
      </c>
      <c r="D1750" s="2" t="s">
        <v>2425</v>
      </c>
      <c r="E1750" s="2" t="s">
        <v>5874</v>
      </c>
      <c r="F1750" s="2" t="s">
        <v>6640</v>
      </c>
      <c r="G1750" s="2" t="s">
        <v>31</v>
      </c>
      <c r="H1750" s="17">
        <v>25</v>
      </c>
      <c r="I1750" s="31">
        <f t="shared" si="174"/>
        <v>25000</v>
      </c>
      <c r="J1750" s="31">
        <f t="shared" si="175"/>
        <v>1750.0000000000002</v>
      </c>
      <c r="K1750" s="44">
        <f t="shared" si="176"/>
        <v>4.794520547945206</v>
      </c>
      <c r="L1750" s="3">
        <f t="shared" si="177"/>
        <v>354.79452054794524</v>
      </c>
      <c r="M1750" s="3">
        <f t="shared" si="178"/>
        <v>21.287671232876715</v>
      </c>
      <c r="N1750" s="67">
        <f t="shared" si="179"/>
        <v>333.50684931506851</v>
      </c>
      <c r="O1750" s="3"/>
      <c r="P1750" s="70" t="s">
        <v>18605</v>
      </c>
      <c r="Q1750" s="2" t="s">
        <v>47</v>
      </c>
      <c r="R1750" s="2" t="s">
        <v>6641</v>
      </c>
      <c r="T1750" t="s">
        <v>18666</v>
      </c>
      <c r="U1750" t="s">
        <v>18652</v>
      </c>
      <c r="V1750" s="104">
        <v>45857</v>
      </c>
      <c r="X1750" s="97"/>
      <c r="Y1750" s="75">
        <v>333.51</v>
      </c>
    </row>
    <row r="1751" spans="1:25" x14ac:dyDescent="0.25">
      <c r="A1751" s="76">
        <v>1783</v>
      </c>
      <c r="B1751" s="2" t="s">
        <v>56</v>
      </c>
      <c r="C1751" s="2" t="s">
        <v>57</v>
      </c>
      <c r="D1751" s="2" t="s">
        <v>58</v>
      </c>
      <c r="E1751" s="2" t="s">
        <v>59</v>
      </c>
      <c r="F1751" s="2" t="s">
        <v>60</v>
      </c>
      <c r="G1751" s="2" t="s">
        <v>61</v>
      </c>
      <c r="H1751" s="17">
        <v>25</v>
      </c>
      <c r="I1751" s="31">
        <f t="shared" si="174"/>
        <v>25000</v>
      </c>
      <c r="J1751" s="31">
        <f t="shared" si="175"/>
        <v>1750.0000000000002</v>
      </c>
      <c r="K1751" s="44">
        <f t="shared" si="176"/>
        <v>4.794520547945206</v>
      </c>
      <c r="L1751" s="3">
        <f t="shared" si="177"/>
        <v>354.79452054794524</v>
      </c>
      <c r="M1751" s="3">
        <f t="shared" si="178"/>
        <v>21.287671232876715</v>
      </c>
      <c r="N1751" s="67">
        <f t="shared" si="179"/>
        <v>333.50684931506851</v>
      </c>
      <c r="O1751" s="3"/>
      <c r="P1751" s="70" t="s">
        <v>18605</v>
      </c>
      <c r="Q1751" s="2" t="s">
        <v>47</v>
      </c>
      <c r="R1751" s="2" t="s">
        <v>62</v>
      </c>
      <c r="T1751" t="s">
        <v>18666</v>
      </c>
      <c r="U1751" t="s">
        <v>18652</v>
      </c>
      <c r="V1751" s="104">
        <v>45857</v>
      </c>
      <c r="X1751" s="97"/>
      <c r="Y1751" s="75">
        <v>333.51</v>
      </c>
    </row>
    <row r="1752" spans="1:25" x14ac:dyDescent="0.25">
      <c r="A1752" s="76">
        <v>1784</v>
      </c>
      <c r="B1752" s="2" t="s">
        <v>10001</v>
      </c>
      <c r="C1752" s="2" t="s">
        <v>10002</v>
      </c>
      <c r="D1752" s="2" t="s">
        <v>10003</v>
      </c>
      <c r="E1752" s="2" t="s">
        <v>10004</v>
      </c>
      <c r="F1752" s="2" t="s">
        <v>1466</v>
      </c>
      <c r="G1752" s="2" t="s">
        <v>10005</v>
      </c>
      <c r="H1752" s="17">
        <v>25</v>
      </c>
      <c r="I1752" s="31">
        <f t="shared" si="174"/>
        <v>25000</v>
      </c>
      <c r="J1752" s="31">
        <f t="shared" si="175"/>
        <v>1750.0000000000002</v>
      </c>
      <c r="K1752" s="44">
        <f t="shared" si="176"/>
        <v>4.794520547945206</v>
      </c>
      <c r="L1752" s="3">
        <f t="shared" si="177"/>
        <v>354.79452054794524</v>
      </c>
      <c r="M1752" s="3">
        <f t="shared" si="178"/>
        <v>21.287671232876715</v>
      </c>
      <c r="N1752" s="67">
        <f t="shared" si="179"/>
        <v>333.50684931506851</v>
      </c>
      <c r="O1752" s="3"/>
      <c r="P1752" s="70" t="s">
        <v>18605</v>
      </c>
      <c r="Q1752" s="2" t="s">
        <v>47</v>
      </c>
      <c r="R1752" s="2" t="s">
        <v>10006</v>
      </c>
      <c r="T1752" t="s">
        <v>18666</v>
      </c>
      <c r="U1752" t="s">
        <v>18652</v>
      </c>
      <c r="V1752" s="104">
        <v>45857</v>
      </c>
      <c r="X1752" s="97"/>
      <c r="Y1752" s="75">
        <v>333.51</v>
      </c>
    </row>
    <row r="1753" spans="1:25" x14ac:dyDescent="0.25">
      <c r="A1753" s="76">
        <v>1785</v>
      </c>
      <c r="B1753" s="2" t="s">
        <v>15978</v>
      </c>
      <c r="C1753" s="2" t="s">
        <v>15979</v>
      </c>
      <c r="D1753" s="2" t="s">
        <v>15980</v>
      </c>
      <c r="E1753" s="2" t="s">
        <v>15981</v>
      </c>
      <c r="F1753" s="2" t="s">
        <v>15982</v>
      </c>
      <c r="G1753" s="2" t="s">
        <v>23</v>
      </c>
      <c r="H1753" s="17">
        <v>25</v>
      </c>
      <c r="I1753" s="31">
        <f t="shared" si="174"/>
        <v>25000</v>
      </c>
      <c r="J1753" s="31">
        <f t="shared" si="175"/>
        <v>1750.0000000000002</v>
      </c>
      <c r="K1753" s="44">
        <f t="shared" si="176"/>
        <v>4.794520547945206</v>
      </c>
      <c r="L1753" s="3">
        <f t="shared" si="177"/>
        <v>354.79452054794524</v>
      </c>
      <c r="M1753" s="3">
        <f t="shared" si="178"/>
        <v>21.287671232876715</v>
      </c>
      <c r="N1753" s="67">
        <f t="shared" si="179"/>
        <v>333.50684931506851</v>
      </c>
      <c r="O1753" s="3"/>
      <c r="P1753" s="70" t="s">
        <v>18605</v>
      </c>
      <c r="Q1753" s="2" t="s">
        <v>47</v>
      </c>
      <c r="R1753" s="2" t="s">
        <v>15983</v>
      </c>
      <c r="T1753" t="s">
        <v>18666</v>
      </c>
      <c r="U1753" t="s">
        <v>18652</v>
      </c>
      <c r="V1753" s="104">
        <v>45857</v>
      </c>
      <c r="X1753" s="97"/>
      <c r="Y1753" s="75">
        <v>333.51</v>
      </c>
    </row>
    <row r="1754" spans="1:25" x14ac:dyDescent="0.25">
      <c r="A1754" s="76">
        <v>1786</v>
      </c>
      <c r="B1754" s="2" t="s">
        <v>10182</v>
      </c>
      <c r="C1754" s="2" t="s">
        <v>10183</v>
      </c>
      <c r="D1754" s="2" t="s">
        <v>10184</v>
      </c>
      <c r="E1754" s="2" t="s">
        <v>10185</v>
      </c>
      <c r="F1754" s="2" t="s">
        <v>10186</v>
      </c>
      <c r="G1754" s="2" t="s">
        <v>381</v>
      </c>
      <c r="H1754" s="17">
        <v>25</v>
      </c>
      <c r="I1754" s="31">
        <f t="shared" si="174"/>
        <v>25000</v>
      </c>
      <c r="J1754" s="31">
        <f t="shared" si="175"/>
        <v>1750.0000000000002</v>
      </c>
      <c r="K1754" s="44">
        <f t="shared" si="176"/>
        <v>4.794520547945206</v>
      </c>
      <c r="L1754" s="3">
        <f t="shared" si="177"/>
        <v>354.79452054794524</v>
      </c>
      <c r="M1754" s="3">
        <f t="shared" si="178"/>
        <v>21.287671232876715</v>
      </c>
      <c r="N1754" s="67">
        <f t="shared" si="179"/>
        <v>333.50684931506851</v>
      </c>
      <c r="O1754" s="3"/>
      <c r="P1754" s="70" t="s">
        <v>18605</v>
      </c>
      <c r="Q1754" s="2" t="s">
        <v>47</v>
      </c>
      <c r="R1754" s="2" t="s">
        <v>10187</v>
      </c>
      <c r="T1754" t="s">
        <v>18666</v>
      </c>
      <c r="U1754" t="s">
        <v>18652</v>
      </c>
      <c r="V1754" s="104">
        <v>45857</v>
      </c>
      <c r="X1754" s="97"/>
      <c r="Y1754" s="75">
        <v>333.51</v>
      </c>
    </row>
    <row r="1755" spans="1:25" x14ac:dyDescent="0.25">
      <c r="A1755" s="76">
        <v>1787</v>
      </c>
      <c r="B1755" s="2" t="s">
        <v>1635</v>
      </c>
      <c r="C1755" s="2" t="s">
        <v>1636</v>
      </c>
      <c r="D1755" s="2" t="s">
        <v>1637</v>
      </c>
      <c r="E1755" s="2" t="s">
        <v>1638</v>
      </c>
      <c r="F1755" s="2" t="s">
        <v>1639</v>
      </c>
      <c r="G1755" s="2" t="s">
        <v>31</v>
      </c>
      <c r="H1755" s="17">
        <v>30</v>
      </c>
      <c r="I1755" s="31">
        <f t="shared" si="174"/>
        <v>30000</v>
      </c>
      <c r="J1755" s="31">
        <f t="shared" si="175"/>
        <v>2100</v>
      </c>
      <c r="K1755" s="44">
        <f t="shared" si="176"/>
        <v>5.7534246575342465</v>
      </c>
      <c r="L1755" s="3">
        <f t="shared" si="177"/>
        <v>425.75342465753425</v>
      </c>
      <c r="M1755" s="3">
        <f t="shared" si="178"/>
        <v>25.545205479452054</v>
      </c>
      <c r="N1755" s="67">
        <f t="shared" si="179"/>
        <v>400.20821917808217</v>
      </c>
      <c r="O1755" s="3"/>
      <c r="P1755" s="70" t="s">
        <v>18605</v>
      </c>
      <c r="Q1755" s="2" t="s">
        <v>47</v>
      </c>
      <c r="R1755" s="2" t="s">
        <v>1640</v>
      </c>
      <c r="T1755" t="s">
        <v>18666</v>
      </c>
      <c r="U1755" t="s">
        <v>18652</v>
      </c>
      <c r="V1755" s="104">
        <v>45857</v>
      </c>
      <c r="X1755" s="97"/>
      <c r="Y1755" s="75">
        <v>400.21</v>
      </c>
    </row>
    <row r="1756" spans="1:25" x14ac:dyDescent="0.25">
      <c r="A1756" s="76">
        <v>1788</v>
      </c>
      <c r="B1756" s="2" t="s">
        <v>15658</v>
      </c>
      <c r="C1756" s="2" t="s">
        <v>15659</v>
      </c>
      <c r="D1756" s="2" t="s">
        <v>15660</v>
      </c>
      <c r="E1756" s="2" t="s">
        <v>15661</v>
      </c>
      <c r="F1756" s="2" t="s">
        <v>15662</v>
      </c>
      <c r="G1756" s="2" t="s">
        <v>31</v>
      </c>
      <c r="H1756" s="17">
        <v>25</v>
      </c>
      <c r="I1756" s="31">
        <f t="shared" si="174"/>
        <v>25000</v>
      </c>
      <c r="J1756" s="31">
        <f t="shared" si="175"/>
        <v>1750.0000000000002</v>
      </c>
      <c r="K1756" s="44">
        <f t="shared" si="176"/>
        <v>4.794520547945206</v>
      </c>
      <c r="L1756" s="3">
        <f t="shared" si="177"/>
        <v>354.79452054794524</v>
      </c>
      <c r="M1756" s="3">
        <f t="shared" si="178"/>
        <v>21.287671232876715</v>
      </c>
      <c r="N1756" s="67">
        <f t="shared" si="179"/>
        <v>333.50684931506851</v>
      </c>
      <c r="O1756" s="3"/>
      <c r="P1756" s="70" t="s">
        <v>18605</v>
      </c>
      <c r="Q1756" s="2" t="s">
        <v>47</v>
      </c>
      <c r="R1756" s="2" t="s">
        <v>15663</v>
      </c>
      <c r="T1756" t="s">
        <v>18666</v>
      </c>
      <c r="U1756" t="s">
        <v>18652</v>
      </c>
      <c r="V1756" s="104">
        <v>45857</v>
      </c>
      <c r="X1756" s="97"/>
      <c r="Y1756" s="75">
        <v>333.51</v>
      </c>
    </row>
    <row r="1757" spans="1:25" x14ac:dyDescent="0.25">
      <c r="A1757" s="76">
        <v>1789</v>
      </c>
      <c r="B1757" s="2" t="s">
        <v>4540</v>
      </c>
      <c r="C1757" s="2" t="s">
        <v>4541</v>
      </c>
      <c r="D1757" s="2" t="s">
        <v>4542</v>
      </c>
      <c r="E1757" s="2" t="s">
        <v>4543</v>
      </c>
      <c r="F1757" s="2" t="s">
        <v>4544</v>
      </c>
      <c r="G1757" s="2" t="s">
        <v>643</v>
      </c>
      <c r="H1757" s="17">
        <v>25</v>
      </c>
      <c r="I1757" s="31">
        <f t="shared" si="174"/>
        <v>25000</v>
      </c>
      <c r="J1757" s="31">
        <f t="shared" si="175"/>
        <v>1750.0000000000002</v>
      </c>
      <c r="K1757" s="44">
        <f t="shared" si="176"/>
        <v>4.794520547945206</v>
      </c>
      <c r="L1757" s="3">
        <f t="shared" si="177"/>
        <v>354.79452054794524</v>
      </c>
      <c r="M1757" s="3">
        <f t="shared" si="178"/>
        <v>21.287671232876715</v>
      </c>
      <c r="N1757" s="67">
        <f t="shared" si="179"/>
        <v>333.50684931506851</v>
      </c>
      <c r="O1757" s="3"/>
      <c r="P1757" s="70" t="s">
        <v>18605</v>
      </c>
      <c r="Q1757" s="2" t="s">
        <v>47</v>
      </c>
      <c r="R1757" s="2" t="s">
        <v>4545</v>
      </c>
      <c r="T1757" t="s">
        <v>18666</v>
      </c>
      <c r="U1757" t="s">
        <v>18652</v>
      </c>
      <c r="V1757" s="104">
        <v>45857</v>
      </c>
      <c r="X1757" s="97"/>
      <c r="Y1757" s="75">
        <v>333.51</v>
      </c>
    </row>
    <row r="1758" spans="1:25" x14ac:dyDescent="0.25">
      <c r="A1758" s="76">
        <v>1790</v>
      </c>
      <c r="B1758" s="2" t="s">
        <v>11300</v>
      </c>
      <c r="C1758" s="2" t="s">
        <v>11301</v>
      </c>
      <c r="D1758" s="2" t="s">
        <v>11302</v>
      </c>
      <c r="E1758" s="2" t="s">
        <v>11303</v>
      </c>
      <c r="F1758" s="2" t="s">
        <v>11304</v>
      </c>
      <c r="G1758" s="2" t="s">
        <v>362</v>
      </c>
      <c r="H1758" s="17">
        <v>350</v>
      </c>
      <c r="I1758" s="31">
        <f t="shared" si="174"/>
        <v>350000</v>
      </c>
      <c r="J1758" s="31">
        <f t="shared" si="175"/>
        <v>24500.000000000004</v>
      </c>
      <c r="K1758" s="44">
        <f t="shared" si="176"/>
        <v>67.123287671232887</v>
      </c>
      <c r="L1758" s="3">
        <f t="shared" si="177"/>
        <v>4967.1232876712338</v>
      </c>
      <c r="M1758" s="3">
        <f t="shared" si="178"/>
        <v>298.02739726027403</v>
      </c>
      <c r="N1758" s="67">
        <f t="shared" si="179"/>
        <v>4669.0958904109593</v>
      </c>
      <c r="O1758" s="3"/>
      <c r="P1758" s="70" t="s">
        <v>18605</v>
      </c>
      <c r="Q1758" s="2" t="s">
        <v>47</v>
      </c>
      <c r="R1758" s="2" t="s">
        <v>11305</v>
      </c>
      <c r="T1758" t="s">
        <v>18666</v>
      </c>
      <c r="U1758" t="s">
        <v>18652</v>
      </c>
      <c r="V1758" s="104">
        <v>45857</v>
      </c>
      <c r="X1758" s="97"/>
      <c r="Y1758" s="75">
        <v>4669.1000000000004</v>
      </c>
    </row>
    <row r="1759" spans="1:25" x14ac:dyDescent="0.25">
      <c r="A1759" s="76">
        <v>1791</v>
      </c>
      <c r="B1759" s="2" t="s">
        <v>1647</v>
      </c>
      <c r="C1759" s="2" t="s">
        <v>1648</v>
      </c>
      <c r="D1759" s="2" t="s">
        <v>1649</v>
      </c>
      <c r="E1759" s="2" t="s">
        <v>1650</v>
      </c>
      <c r="F1759" s="2" t="s">
        <v>1651</v>
      </c>
      <c r="G1759" s="2" t="s">
        <v>101</v>
      </c>
      <c r="H1759" s="17">
        <v>50</v>
      </c>
      <c r="I1759" s="31">
        <f t="shared" si="174"/>
        <v>50000</v>
      </c>
      <c r="J1759" s="31">
        <f t="shared" si="175"/>
        <v>3500.0000000000005</v>
      </c>
      <c r="K1759" s="44">
        <f t="shared" si="176"/>
        <v>9.589041095890412</v>
      </c>
      <c r="L1759" s="3">
        <f t="shared" si="177"/>
        <v>709.58904109589048</v>
      </c>
      <c r="M1759" s="3">
        <f t="shared" si="178"/>
        <v>42.57534246575343</v>
      </c>
      <c r="N1759" s="67">
        <f t="shared" si="179"/>
        <v>667.01369863013701</v>
      </c>
      <c r="O1759" s="3"/>
      <c r="P1759" s="70" t="s">
        <v>18605</v>
      </c>
      <c r="Q1759" s="2" t="s">
        <v>47</v>
      </c>
      <c r="R1759" s="2" t="s">
        <v>1652</v>
      </c>
      <c r="T1759" t="s">
        <v>18666</v>
      </c>
      <c r="U1759" t="s">
        <v>18652</v>
      </c>
      <c r="V1759" s="104">
        <v>45857</v>
      </c>
      <c r="X1759" s="97"/>
      <c r="Y1759" s="75">
        <v>667.02</v>
      </c>
    </row>
    <row r="1760" spans="1:25" x14ac:dyDescent="0.25">
      <c r="A1760" s="76">
        <v>1792</v>
      </c>
      <c r="B1760" s="2" t="s">
        <v>17605</v>
      </c>
      <c r="C1760" s="2" t="s">
        <v>17606</v>
      </c>
      <c r="D1760" s="2" t="s">
        <v>17607</v>
      </c>
      <c r="E1760" s="2" t="s">
        <v>17608</v>
      </c>
      <c r="F1760" s="2" t="s">
        <v>17609</v>
      </c>
      <c r="G1760" s="2" t="s">
        <v>517</v>
      </c>
      <c r="H1760" s="17">
        <v>50</v>
      </c>
      <c r="I1760" s="31">
        <f t="shared" si="174"/>
        <v>50000</v>
      </c>
      <c r="J1760" s="31">
        <f t="shared" si="175"/>
        <v>3500.0000000000005</v>
      </c>
      <c r="K1760" s="44">
        <f t="shared" si="176"/>
        <v>9.589041095890412</v>
      </c>
      <c r="L1760" s="3">
        <f t="shared" si="177"/>
        <v>709.58904109589048</v>
      </c>
      <c r="M1760" s="3">
        <f t="shared" si="178"/>
        <v>42.57534246575343</v>
      </c>
      <c r="N1760" s="67">
        <f t="shared" si="179"/>
        <v>667.01369863013701</v>
      </c>
      <c r="O1760" s="3"/>
      <c r="P1760" s="70" t="s">
        <v>18605</v>
      </c>
      <c r="Q1760" s="2" t="s">
        <v>47</v>
      </c>
      <c r="R1760" s="2" t="s">
        <v>17610</v>
      </c>
      <c r="T1760" t="s">
        <v>18666</v>
      </c>
      <c r="U1760" t="s">
        <v>18652</v>
      </c>
      <c r="V1760" s="104">
        <v>45857</v>
      </c>
      <c r="X1760" s="97"/>
      <c r="Y1760" s="75">
        <v>667.02</v>
      </c>
    </row>
    <row r="1761" spans="1:25" x14ac:dyDescent="0.25">
      <c r="A1761" s="76">
        <v>1793</v>
      </c>
      <c r="B1761" s="2" t="s">
        <v>9558</v>
      </c>
      <c r="C1761" s="2" t="s">
        <v>9559</v>
      </c>
      <c r="D1761" s="2" t="s">
        <v>9560</v>
      </c>
      <c r="E1761" s="2" t="s">
        <v>9561</v>
      </c>
      <c r="F1761" s="2" t="s">
        <v>9562</v>
      </c>
      <c r="G1761" s="2" t="s">
        <v>643</v>
      </c>
      <c r="H1761" s="17">
        <v>25</v>
      </c>
      <c r="I1761" s="31">
        <f t="shared" si="174"/>
        <v>25000</v>
      </c>
      <c r="J1761" s="31">
        <f t="shared" si="175"/>
        <v>1750.0000000000002</v>
      </c>
      <c r="K1761" s="44">
        <f t="shared" si="176"/>
        <v>4.794520547945206</v>
      </c>
      <c r="L1761" s="3">
        <f t="shared" si="177"/>
        <v>354.79452054794524</v>
      </c>
      <c r="M1761" s="3">
        <f t="shared" si="178"/>
        <v>21.287671232876715</v>
      </c>
      <c r="N1761" s="67">
        <f t="shared" si="179"/>
        <v>333.50684931506851</v>
      </c>
      <c r="O1761" s="3"/>
      <c r="P1761" s="70" t="s">
        <v>18605</v>
      </c>
      <c r="Q1761" s="2" t="s">
        <v>47</v>
      </c>
      <c r="R1761" s="2" t="s">
        <v>9563</v>
      </c>
      <c r="T1761" t="s">
        <v>18666</v>
      </c>
      <c r="U1761" t="s">
        <v>18652</v>
      </c>
      <c r="V1761" s="104">
        <v>45857</v>
      </c>
      <c r="X1761" s="97"/>
      <c r="Y1761" s="75">
        <v>333.51</v>
      </c>
    </row>
    <row r="1762" spans="1:25" x14ac:dyDescent="0.25">
      <c r="A1762" s="76">
        <v>1794</v>
      </c>
      <c r="B1762" s="2" t="s">
        <v>18423</v>
      </c>
      <c r="C1762" s="2" t="s">
        <v>18424</v>
      </c>
      <c r="D1762" s="2" t="s">
        <v>18425</v>
      </c>
      <c r="E1762" s="2" t="s">
        <v>18426</v>
      </c>
      <c r="F1762" s="2" t="s">
        <v>18427</v>
      </c>
      <c r="G1762" s="2" t="s">
        <v>282</v>
      </c>
      <c r="H1762" s="17">
        <v>25</v>
      </c>
      <c r="I1762" s="31">
        <f t="shared" si="174"/>
        <v>25000</v>
      </c>
      <c r="J1762" s="31">
        <f t="shared" si="175"/>
        <v>1750.0000000000002</v>
      </c>
      <c r="K1762" s="44">
        <f t="shared" si="176"/>
        <v>4.794520547945206</v>
      </c>
      <c r="L1762" s="3">
        <f t="shared" si="177"/>
        <v>354.79452054794524</v>
      </c>
      <c r="M1762" s="3">
        <f t="shared" si="178"/>
        <v>21.287671232876715</v>
      </c>
      <c r="N1762" s="67">
        <f t="shared" si="179"/>
        <v>333.50684931506851</v>
      </c>
      <c r="O1762" s="3"/>
      <c r="P1762" s="70" t="s">
        <v>18605</v>
      </c>
      <c r="Q1762" s="2" t="s">
        <v>47</v>
      </c>
      <c r="R1762" s="2" t="s">
        <v>18428</v>
      </c>
      <c r="T1762" t="s">
        <v>18666</v>
      </c>
      <c r="U1762" t="s">
        <v>18652</v>
      </c>
      <c r="V1762" s="104">
        <v>45857</v>
      </c>
      <c r="X1762" s="97"/>
      <c r="Y1762" s="75">
        <v>333.51</v>
      </c>
    </row>
    <row r="1763" spans="1:25" x14ac:dyDescent="0.25">
      <c r="A1763" s="76">
        <v>1795</v>
      </c>
      <c r="B1763" s="2" t="s">
        <v>1891</v>
      </c>
      <c r="C1763" s="2" t="s">
        <v>1892</v>
      </c>
      <c r="D1763" s="2" t="s">
        <v>1893</v>
      </c>
      <c r="E1763" s="2" t="s">
        <v>1894</v>
      </c>
      <c r="F1763" s="2" t="s">
        <v>1895</v>
      </c>
      <c r="G1763" s="2" t="s">
        <v>750</v>
      </c>
      <c r="H1763" s="17">
        <v>50</v>
      </c>
      <c r="I1763" s="31">
        <f t="shared" si="174"/>
        <v>50000</v>
      </c>
      <c r="J1763" s="31">
        <f t="shared" si="175"/>
        <v>3500.0000000000005</v>
      </c>
      <c r="K1763" s="44">
        <f t="shared" si="176"/>
        <v>9.589041095890412</v>
      </c>
      <c r="L1763" s="3">
        <f t="shared" si="177"/>
        <v>709.58904109589048</v>
      </c>
      <c r="M1763" s="3">
        <f t="shared" si="178"/>
        <v>42.57534246575343</v>
      </c>
      <c r="N1763" s="67">
        <f t="shared" si="179"/>
        <v>667.01369863013701</v>
      </c>
      <c r="O1763" s="3"/>
      <c r="P1763" s="70" t="s">
        <v>18605</v>
      </c>
      <c r="Q1763" s="2" t="s">
        <v>47</v>
      </c>
      <c r="R1763" s="2" t="s">
        <v>1896</v>
      </c>
      <c r="T1763" t="s">
        <v>18666</v>
      </c>
      <c r="U1763" t="s">
        <v>18652</v>
      </c>
      <c r="V1763" s="104">
        <v>45857</v>
      </c>
      <c r="X1763" s="97"/>
      <c r="Y1763" s="75">
        <v>667.02</v>
      </c>
    </row>
    <row r="1764" spans="1:25" x14ac:dyDescent="0.25">
      <c r="A1764" s="76">
        <v>1796</v>
      </c>
      <c r="B1764" s="2" t="s">
        <v>3195</v>
      </c>
      <c r="C1764" s="2" t="s">
        <v>3196</v>
      </c>
      <c r="D1764" s="2" t="s">
        <v>3197</v>
      </c>
      <c r="E1764" s="2" t="s">
        <v>3198</v>
      </c>
      <c r="F1764" s="2" t="s">
        <v>3199</v>
      </c>
      <c r="G1764" s="2" t="s">
        <v>296</v>
      </c>
      <c r="H1764" s="17">
        <v>50</v>
      </c>
      <c r="I1764" s="31">
        <f t="shared" si="174"/>
        <v>50000</v>
      </c>
      <c r="J1764" s="31">
        <f t="shared" si="175"/>
        <v>3500.0000000000005</v>
      </c>
      <c r="K1764" s="44">
        <f t="shared" si="176"/>
        <v>9.589041095890412</v>
      </c>
      <c r="L1764" s="3">
        <f t="shared" si="177"/>
        <v>709.58904109589048</v>
      </c>
      <c r="M1764" s="3">
        <f t="shared" si="178"/>
        <v>42.57534246575343</v>
      </c>
      <c r="N1764" s="67">
        <f t="shared" si="179"/>
        <v>667.01369863013701</v>
      </c>
      <c r="O1764" s="3"/>
      <c r="P1764" s="70" t="s">
        <v>18605</v>
      </c>
      <c r="Q1764" s="2" t="s">
        <v>47</v>
      </c>
      <c r="R1764" s="2" t="s">
        <v>3200</v>
      </c>
      <c r="T1764" t="s">
        <v>18666</v>
      </c>
      <c r="U1764" t="s">
        <v>18652</v>
      </c>
      <c r="V1764" s="104">
        <v>45857</v>
      </c>
      <c r="X1764" s="97"/>
      <c r="Y1764" s="75">
        <v>667.02</v>
      </c>
    </row>
    <row r="1765" spans="1:25" x14ac:dyDescent="0.25">
      <c r="A1765" s="76">
        <v>1797</v>
      </c>
      <c r="B1765" s="2" t="s">
        <v>15547</v>
      </c>
      <c r="C1765" s="2" t="s">
        <v>15548</v>
      </c>
      <c r="D1765" s="2" t="s">
        <v>15549</v>
      </c>
      <c r="E1765" s="2" t="s">
        <v>15550</v>
      </c>
      <c r="F1765" s="2" t="s">
        <v>15551</v>
      </c>
      <c r="G1765" s="2" t="s">
        <v>412</v>
      </c>
      <c r="H1765" s="17">
        <v>25</v>
      </c>
      <c r="I1765" s="31">
        <f t="shared" si="174"/>
        <v>25000</v>
      </c>
      <c r="J1765" s="31">
        <f t="shared" si="175"/>
        <v>1750.0000000000002</v>
      </c>
      <c r="K1765" s="44">
        <f t="shared" si="176"/>
        <v>4.794520547945206</v>
      </c>
      <c r="L1765" s="3">
        <f t="shared" si="177"/>
        <v>354.79452054794524</v>
      </c>
      <c r="M1765" s="3">
        <f t="shared" si="178"/>
        <v>21.287671232876715</v>
      </c>
      <c r="N1765" s="67">
        <f t="shared" si="179"/>
        <v>333.50684931506851</v>
      </c>
      <c r="O1765" s="3"/>
      <c r="P1765" s="70" t="s">
        <v>18605</v>
      </c>
      <c r="Q1765" s="2" t="s">
        <v>47</v>
      </c>
      <c r="R1765" s="2" t="s">
        <v>15552</v>
      </c>
      <c r="T1765" t="s">
        <v>18666</v>
      </c>
      <c r="U1765" t="s">
        <v>18652</v>
      </c>
      <c r="V1765" s="104">
        <v>45857</v>
      </c>
      <c r="X1765" s="97"/>
      <c r="Y1765" s="75">
        <v>333.51</v>
      </c>
    </row>
    <row r="1766" spans="1:25" x14ac:dyDescent="0.25">
      <c r="A1766" s="76">
        <v>1798</v>
      </c>
      <c r="B1766" s="2" t="s">
        <v>10569</v>
      </c>
      <c r="C1766" s="2" t="s">
        <v>10570</v>
      </c>
      <c r="D1766" s="2" t="s">
        <v>10571</v>
      </c>
      <c r="E1766" s="2" t="s">
        <v>10572</v>
      </c>
      <c r="F1766" s="2" t="s">
        <v>10573</v>
      </c>
      <c r="G1766" s="2" t="s">
        <v>2624</v>
      </c>
      <c r="H1766" s="17">
        <v>25</v>
      </c>
      <c r="I1766" s="31">
        <f t="shared" si="174"/>
        <v>25000</v>
      </c>
      <c r="J1766" s="31">
        <f t="shared" si="175"/>
        <v>1750.0000000000002</v>
      </c>
      <c r="K1766" s="44">
        <f t="shared" si="176"/>
        <v>4.794520547945206</v>
      </c>
      <c r="L1766" s="3">
        <f t="shared" si="177"/>
        <v>354.79452054794524</v>
      </c>
      <c r="M1766" s="3">
        <f t="shared" si="178"/>
        <v>21.287671232876715</v>
      </c>
      <c r="N1766" s="67">
        <f t="shared" si="179"/>
        <v>333.50684931506851</v>
      </c>
      <c r="O1766" s="3"/>
      <c r="P1766" s="70" t="s">
        <v>18605</v>
      </c>
      <c r="Q1766" s="2" t="s">
        <v>47</v>
      </c>
      <c r="R1766" s="2" t="s">
        <v>10574</v>
      </c>
      <c r="T1766" t="s">
        <v>18666</v>
      </c>
      <c r="U1766" t="s">
        <v>18652</v>
      </c>
      <c r="V1766" s="104">
        <v>45857</v>
      </c>
      <c r="X1766" s="97"/>
      <c r="Y1766" s="75">
        <v>333.51</v>
      </c>
    </row>
    <row r="1767" spans="1:25" x14ac:dyDescent="0.25">
      <c r="A1767" s="76">
        <v>1799</v>
      </c>
      <c r="B1767" s="2" t="s">
        <v>7091</v>
      </c>
      <c r="C1767" s="2" t="s">
        <v>7092</v>
      </c>
      <c r="D1767" s="2" t="s">
        <v>7093</v>
      </c>
      <c r="E1767" s="2" t="s">
        <v>7094</v>
      </c>
      <c r="F1767" s="2" t="s">
        <v>7095</v>
      </c>
      <c r="G1767" s="2" t="s">
        <v>31</v>
      </c>
      <c r="H1767" s="17">
        <v>300</v>
      </c>
      <c r="I1767" s="31">
        <f t="shared" si="174"/>
        <v>300000</v>
      </c>
      <c r="J1767" s="31">
        <f t="shared" si="175"/>
        <v>21000.000000000004</v>
      </c>
      <c r="K1767" s="44">
        <f t="shared" si="176"/>
        <v>57.534246575342479</v>
      </c>
      <c r="L1767" s="3">
        <f t="shared" si="177"/>
        <v>4257.5342465753438</v>
      </c>
      <c r="M1767" s="3">
        <f t="shared" si="178"/>
        <v>255.45205479452062</v>
      </c>
      <c r="N1767" s="67">
        <f t="shared" si="179"/>
        <v>4002.082191780823</v>
      </c>
      <c r="O1767" s="3"/>
      <c r="P1767" s="70" t="s">
        <v>18605</v>
      </c>
      <c r="Q1767" s="2" t="s">
        <v>47</v>
      </c>
      <c r="R1767" s="2" t="s">
        <v>7096</v>
      </c>
      <c r="T1767" t="s">
        <v>18666</v>
      </c>
      <c r="U1767" t="s">
        <v>18652</v>
      </c>
      <c r="V1767" s="104">
        <v>45857</v>
      </c>
      <c r="X1767" s="97"/>
      <c r="Y1767" s="75">
        <v>4002.09</v>
      </c>
    </row>
    <row r="1768" spans="1:25" x14ac:dyDescent="0.25">
      <c r="A1768" s="76">
        <v>1800</v>
      </c>
      <c r="B1768" s="2" t="s">
        <v>14095</v>
      </c>
      <c r="C1768" s="2" t="s">
        <v>14096</v>
      </c>
      <c r="D1768" s="2" t="s">
        <v>14097</v>
      </c>
      <c r="E1768" s="2" t="s">
        <v>14098</v>
      </c>
      <c r="F1768" s="2" t="s">
        <v>14099</v>
      </c>
      <c r="G1768" s="2" t="s">
        <v>1055</v>
      </c>
      <c r="H1768" s="17">
        <v>25</v>
      </c>
      <c r="I1768" s="31">
        <f t="shared" si="174"/>
        <v>25000</v>
      </c>
      <c r="J1768" s="31">
        <f t="shared" si="175"/>
        <v>1750.0000000000002</v>
      </c>
      <c r="K1768" s="44">
        <f t="shared" si="176"/>
        <v>4.794520547945206</v>
      </c>
      <c r="L1768" s="3">
        <f t="shared" si="177"/>
        <v>354.79452054794524</v>
      </c>
      <c r="M1768" s="3">
        <f t="shared" si="178"/>
        <v>21.287671232876715</v>
      </c>
      <c r="N1768" s="67">
        <f t="shared" si="179"/>
        <v>333.50684931506851</v>
      </c>
      <c r="O1768" s="3"/>
      <c r="P1768" s="70" t="s">
        <v>18605</v>
      </c>
      <c r="Q1768" s="2" t="s">
        <v>47</v>
      </c>
      <c r="R1768" s="2" t="s">
        <v>14100</v>
      </c>
      <c r="T1768" t="s">
        <v>18666</v>
      </c>
      <c r="U1768" t="s">
        <v>18652</v>
      </c>
      <c r="V1768" s="104">
        <v>45857</v>
      </c>
      <c r="X1768" s="97"/>
      <c r="Y1768" s="75">
        <v>333.51</v>
      </c>
    </row>
    <row r="1769" spans="1:25" x14ac:dyDescent="0.25">
      <c r="A1769" s="76">
        <v>1801</v>
      </c>
      <c r="B1769" s="2" t="s">
        <v>1407</v>
      </c>
      <c r="C1769" s="2" t="s">
        <v>1408</v>
      </c>
      <c r="D1769" s="2" t="s">
        <v>1409</v>
      </c>
      <c r="E1769" s="2" t="s">
        <v>1410</v>
      </c>
      <c r="F1769" s="2" t="s">
        <v>1411</v>
      </c>
      <c r="G1769" s="2" t="s">
        <v>247</v>
      </c>
      <c r="H1769" s="17">
        <v>180</v>
      </c>
      <c r="I1769" s="31">
        <f t="shared" si="174"/>
        <v>180000</v>
      </c>
      <c r="J1769" s="31">
        <f t="shared" si="175"/>
        <v>12600.000000000002</v>
      </c>
      <c r="K1769" s="44">
        <f t="shared" si="176"/>
        <v>34.520547945205486</v>
      </c>
      <c r="L1769" s="3">
        <f t="shared" si="177"/>
        <v>2554.5205479452061</v>
      </c>
      <c r="M1769" s="3">
        <f t="shared" si="178"/>
        <v>153.27123287671236</v>
      </c>
      <c r="N1769" s="67">
        <f t="shared" si="179"/>
        <v>2401.2493150684936</v>
      </c>
      <c r="O1769" s="3"/>
      <c r="P1769" s="70" t="s">
        <v>18605</v>
      </c>
      <c r="Q1769" s="2" t="s">
        <v>47</v>
      </c>
      <c r="R1769" s="2" t="s">
        <v>1412</v>
      </c>
      <c r="T1769" t="s">
        <v>18666</v>
      </c>
      <c r="U1769" t="s">
        <v>18652</v>
      </c>
      <c r="V1769" s="104">
        <v>45857</v>
      </c>
      <c r="X1769" s="97"/>
      <c r="Y1769" s="75">
        <v>2401.25</v>
      </c>
    </row>
    <row r="1770" spans="1:25" x14ac:dyDescent="0.25">
      <c r="A1770" s="76">
        <v>1802</v>
      </c>
      <c r="B1770" s="2" t="s">
        <v>6699</v>
      </c>
      <c r="C1770" s="2" t="s">
        <v>6700</v>
      </c>
      <c r="D1770" s="2" t="s">
        <v>6701</v>
      </c>
      <c r="E1770" s="2" t="s">
        <v>6702</v>
      </c>
      <c r="F1770" s="2" t="s">
        <v>6703</v>
      </c>
      <c r="G1770" s="2" t="s">
        <v>1055</v>
      </c>
      <c r="H1770" s="17">
        <v>25</v>
      </c>
      <c r="I1770" s="31">
        <f t="shared" si="174"/>
        <v>25000</v>
      </c>
      <c r="J1770" s="31">
        <f t="shared" si="175"/>
        <v>1750.0000000000002</v>
      </c>
      <c r="K1770" s="44">
        <f t="shared" si="176"/>
        <v>4.794520547945206</v>
      </c>
      <c r="L1770" s="3">
        <f t="shared" si="177"/>
        <v>354.79452054794524</v>
      </c>
      <c r="M1770" s="3">
        <f t="shared" si="178"/>
        <v>21.287671232876715</v>
      </c>
      <c r="N1770" s="67">
        <f t="shared" si="179"/>
        <v>333.50684931506851</v>
      </c>
      <c r="O1770" s="3"/>
      <c r="P1770" s="70" t="s">
        <v>18605</v>
      </c>
      <c r="Q1770" s="2" t="s">
        <v>47</v>
      </c>
      <c r="R1770" s="2" t="s">
        <v>6704</v>
      </c>
      <c r="T1770" t="s">
        <v>18666</v>
      </c>
      <c r="U1770" t="s">
        <v>18652</v>
      </c>
      <c r="V1770" s="104">
        <v>45857</v>
      </c>
      <c r="X1770" s="97"/>
      <c r="Y1770" s="75">
        <v>333.51</v>
      </c>
    </row>
    <row r="1771" spans="1:25" x14ac:dyDescent="0.25">
      <c r="A1771" s="76">
        <v>1803</v>
      </c>
      <c r="B1771" s="2" t="s">
        <v>14535</v>
      </c>
      <c r="C1771" s="2" t="s">
        <v>14536</v>
      </c>
      <c r="D1771" s="2" t="s">
        <v>14537</v>
      </c>
      <c r="E1771" s="2" t="s">
        <v>14538</v>
      </c>
      <c r="F1771" s="2" t="s">
        <v>14539</v>
      </c>
      <c r="G1771" s="2" t="s">
        <v>1055</v>
      </c>
      <c r="H1771" s="17">
        <v>25</v>
      </c>
      <c r="I1771" s="31">
        <f t="shared" si="174"/>
        <v>25000</v>
      </c>
      <c r="J1771" s="31">
        <f t="shared" si="175"/>
        <v>1750.0000000000002</v>
      </c>
      <c r="K1771" s="44">
        <f t="shared" si="176"/>
        <v>4.794520547945206</v>
      </c>
      <c r="L1771" s="3">
        <f t="shared" si="177"/>
        <v>354.79452054794524</v>
      </c>
      <c r="M1771" s="3">
        <f t="shared" si="178"/>
        <v>21.287671232876715</v>
      </c>
      <c r="N1771" s="67">
        <f t="shared" si="179"/>
        <v>333.50684931506851</v>
      </c>
      <c r="O1771" s="3"/>
      <c r="P1771" s="70" t="s">
        <v>18605</v>
      </c>
      <c r="Q1771" s="2" t="s">
        <v>47</v>
      </c>
      <c r="R1771" s="2" t="s">
        <v>14540</v>
      </c>
      <c r="T1771" t="s">
        <v>18666</v>
      </c>
      <c r="U1771" t="s">
        <v>18652</v>
      </c>
      <c r="V1771" s="104">
        <v>45857</v>
      </c>
      <c r="X1771" s="97"/>
      <c r="Y1771" s="75">
        <v>333.51</v>
      </c>
    </row>
    <row r="1772" spans="1:25" x14ac:dyDescent="0.25">
      <c r="A1772" s="76">
        <v>1804</v>
      </c>
      <c r="B1772" s="2" t="s">
        <v>201</v>
      </c>
      <c r="C1772" s="2" t="s">
        <v>202</v>
      </c>
      <c r="D1772" s="2" t="s">
        <v>203</v>
      </c>
      <c r="E1772" s="2" t="s">
        <v>204</v>
      </c>
      <c r="F1772" s="2" t="s">
        <v>205</v>
      </c>
      <c r="G1772" s="2" t="s">
        <v>31</v>
      </c>
      <c r="H1772" s="17">
        <v>50</v>
      </c>
      <c r="I1772" s="31">
        <f t="shared" si="174"/>
        <v>50000</v>
      </c>
      <c r="J1772" s="31">
        <f t="shared" si="175"/>
        <v>3500.0000000000005</v>
      </c>
      <c r="K1772" s="44">
        <f t="shared" si="176"/>
        <v>9.589041095890412</v>
      </c>
      <c r="L1772" s="3">
        <f t="shared" si="177"/>
        <v>709.58904109589048</v>
      </c>
      <c r="M1772" s="3">
        <f t="shared" si="178"/>
        <v>42.57534246575343</v>
      </c>
      <c r="N1772" s="67">
        <f t="shared" si="179"/>
        <v>667.01369863013701</v>
      </c>
      <c r="O1772" s="3"/>
      <c r="P1772" s="70" t="s">
        <v>18605</v>
      </c>
      <c r="Q1772" s="2" t="s">
        <v>47</v>
      </c>
      <c r="R1772" s="2" t="s">
        <v>206</v>
      </c>
      <c r="T1772" t="s">
        <v>18666</v>
      </c>
      <c r="U1772" t="s">
        <v>18652</v>
      </c>
      <c r="V1772" s="104">
        <v>45857</v>
      </c>
      <c r="X1772" s="97"/>
      <c r="Y1772" s="75">
        <v>667.02</v>
      </c>
    </row>
    <row r="1773" spans="1:25" x14ac:dyDescent="0.25">
      <c r="A1773" s="76">
        <v>1805</v>
      </c>
      <c r="B1773" s="2" t="s">
        <v>1837</v>
      </c>
      <c r="C1773" s="2" t="s">
        <v>1838</v>
      </c>
      <c r="D1773" s="2" t="s">
        <v>1839</v>
      </c>
      <c r="E1773" s="2" t="s">
        <v>1840</v>
      </c>
      <c r="F1773" s="2" t="s">
        <v>1841</v>
      </c>
      <c r="G1773" s="2" t="s">
        <v>643</v>
      </c>
      <c r="H1773" s="17">
        <v>25</v>
      </c>
      <c r="I1773" s="31">
        <f t="shared" si="174"/>
        <v>25000</v>
      </c>
      <c r="J1773" s="31">
        <f t="shared" si="175"/>
        <v>1750.0000000000002</v>
      </c>
      <c r="K1773" s="44">
        <f t="shared" si="176"/>
        <v>4.794520547945206</v>
      </c>
      <c r="L1773" s="3">
        <f t="shared" si="177"/>
        <v>354.79452054794524</v>
      </c>
      <c r="M1773" s="3">
        <f t="shared" si="178"/>
        <v>21.287671232876715</v>
      </c>
      <c r="N1773" s="67">
        <f t="shared" si="179"/>
        <v>333.50684931506851</v>
      </c>
      <c r="O1773" s="3"/>
      <c r="P1773" s="70" t="s">
        <v>18605</v>
      </c>
      <c r="Q1773" s="2" t="s">
        <v>47</v>
      </c>
      <c r="R1773" s="2" t="s">
        <v>1842</v>
      </c>
      <c r="T1773" t="s">
        <v>18666</v>
      </c>
      <c r="U1773" t="s">
        <v>18652</v>
      </c>
      <c r="V1773" s="104">
        <v>45857</v>
      </c>
      <c r="X1773" s="97"/>
      <c r="Y1773" s="75">
        <v>333.51</v>
      </c>
    </row>
    <row r="1774" spans="1:25" x14ac:dyDescent="0.25">
      <c r="A1774" s="76">
        <v>1806</v>
      </c>
      <c r="B1774" s="2" t="s">
        <v>4860</v>
      </c>
      <c r="C1774" s="2" t="s">
        <v>4861</v>
      </c>
      <c r="D1774" s="2" t="s">
        <v>4862</v>
      </c>
      <c r="E1774" s="2" t="s">
        <v>4863</v>
      </c>
      <c r="F1774" s="2" t="s">
        <v>4864</v>
      </c>
      <c r="G1774" s="2" t="s">
        <v>186</v>
      </c>
      <c r="H1774" s="17">
        <v>25</v>
      </c>
      <c r="I1774" s="31">
        <f t="shared" si="174"/>
        <v>25000</v>
      </c>
      <c r="J1774" s="31">
        <f t="shared" si="175"/>
        <v>1750.0000000000002</v>
      </c>
      <c r="K1774" s="44">
        <f t="shared" si="176"/>
        <v>4.794520547945206</v>
      </c>
      <c r="L1774" s="3">
        <f t="shared" si="177"/>
        <v>354.79452054794524</v>
      </c>
      <c r="M1774" s="3">
        <f t="shared" si="178"/>
        <v>21.287671232876715</v>
      </c>
      <c r="N1774" s="67">
        <f t="shared" si="179"/>
        <v>333.50684931506851</v>
      </c>
      <c r="O1774" s="3"/>
      <c r="P1774" s="70" t="s">
        <v>18605</v>
      </c>
      <c r="Q1774" s="2" t="s">
        <v>47</v>
      </c>
      <c r="R1774" s="2" t="s">
        <v>4865</v>
      </c>
      <c r="T1774" t="s">
        <v>18666</v>
      </c>
      <c r="U1774" t="s">
        <v>18652</v>
      </c>
      <c r="V1774" s="104">
        <v>45857</v>
      </c>
      <c r="X1774" s="97"/>
      <c r="Y1774" s="75">
        <v>333.51</v>
      </c>
    </row>
    <row r="1775" spans="1:25" x14ac:dyDescent="0.25">
      <c r="A1775" s="76">
        <v>1807</v>
      </c>
      <c r="B1775" s="2" t="s">
        <v>401</v>
      </c>
      <c r="C1775" s="2" t="s">
        <v>402</v>
      </c>
      <c r="D1775" s="2" t="s">
        <v>403</v>
      </c>
      <c r="E1775" s="2" t="s">
        <v>404</v>
      </c>
      <c r="F1775" s="2" t="s">
        <v>405</v>
      </c>
      <c r="G1775" s="2" t="s">
        <v>166</v>
      </c>
      <c r="H1775" s="17">
        <v>25</v>
      </c>
      <c r="I1775" s="31">
        <f t="shared" si="174"/>
        <v>25000</v>
      </c>
      <c r="J1775" s="31">
        <f t="shared" si="175"/>
        <v>1750.0000000000002</v>
      </c>
      <c r="K1775" s="44">
        <f t="shared" si="176"/>
        <v>4.794520547945206</v>
      </c>
      <c r="L1775" s="3">
        <f t="shared" si="177"/>
        <v>354.79452054794524</v>
      </c>
      <c r="M1775" s="3">
        <f t="shared" si="178"/>
        <v>21.287671232876715</v>
      </c>
      <c r="N1775" s="67">
        <f t="shared" si="179"/>
        <v>333.50684931506851</v>
      </c>
      <c r="O1775" s="3"/>
      <c r="P1775" s="70" t="s">
        <v>18605</v>
      </c>
      <c r="Q1775" s="2" t="s">
        <v>47</v>
      </c>
      <c r="R1775" s="2" t="s">
        <v>406</v>
      </c>
      <c r="T1775" t="s">
        <v>18666</v>
      </c>
      <c r="U1775" t="s">
        <v>18652</v>
      </c>
      <c r="V1775" s="104">
        <v>45857</v>
      </c>
      <c r="X1775" s="97"/>
      <c r="Y1775" s="75">
        <v>333.51</v>
      </c>
    </row>
    <row r="1776" spans="1:25" x14ac:dyDescent="0.25">
      <c r="A1776" s="76">
        <v>1808</v>
      </c>
      <c r="B1776" s="2" t="s">
        <v>10517</v>
      </c>
      <c r="C1776" s="2" t="s">
        <v>10518</v>
      </c>
      <c r="D1776" s="2" t="s">
        <v>10519</v>
      </c>
      <c r="E1776" s="2" t="s">
        <v>10520</v>
      </c>
      <c r="F1776" s="2" t="s">
        <v>10521</v>
      </c>
      <c r="G1776" s="2" t="s">
        <v>193</v>
      </c>
      <c r="H1776" s="17">
        <v>25</v>
      </c>
      <c r="I1776" s="31">
        <f t="shared" si="174"/>
        <v>25000</v>
      </c>
      <c r="J1776" s="31">
        <f t="shared" si="175"/>
        <v>1750.0000000000002</v>
      </c>
      <c r="K1776" s="44">
        <f t="shared" si="176"/>
        <v>4.794520547945206</v>
      </c>
      <c r="L1776" s="3">
        <f t="shared" si="177"/>
        <v>354.79452054794524</v>
      </c>
      <c r="M1776" s="3">
        <f t="shared" si="178"/>
        <v>21.287671232876715</v>
      </c>
      <c r="N1776" s="67">
        <f t="shared" si="179"/>
        <v>333.50684931506851</v>
      </c>
      <c r="O1776" s="3"/>
      <c r="P1776" s="70" t="s">
        <v>18605</v>
      </c>
      <c r="Q1776" s="2" t="s">
        <v>47</v>
      </c>
      <c r="R1776" s="2" t="s">
        <v>10522</v>
      </c>
      <c r="T1776" t="s">
        <v>18666</v>
      </c>
      <c r="U1776" t="s">
        <v>18652</v>
      </c>
      <c r="V1776" s="104">
        <v>45857</v>
      </c>
      <c r="X1776" s="97"/>
      <c r="Y1776" s="75">
        <v>333.51</v>
      </c>
    </row>
    <row r="1777" spans="1:25" x14ac:dyDescent="0.25">
      <c r="A1777" s="76">
        <v>1809</v>
      </c>
      <c r="B1777" s="2" t="s">
        <v>13829</v>
      </c>
      <c r="C1777" s="2" t="s">
        <v>13830</v>
      </c>
      <c r="D1777" s="2" t="s">
        <v>13831</v>
      </c>
      <c r="E1777" s="2" t="s">
        <v>13832</v>
      </c>
      <c r="F1777" s="2" t="s">
        <v>13833</v>
      </c>
      <c r="G1777" s="2" t="s">
        <v>1055</v>
      </c>
      <c r="H1777" s="17">
        <v>25</v>
      </c>
      <c r="I1777" s="31">
        <f t="shared" si="174"/>
        <v>25000</v>
      </c>
      <c r="J1777" s="31">
        <f t="shared" si="175"/>
        <v>1750.0000000000002</v>
      </c>
      <c r="K1777" s="44">
        <f t="shared" si="176"/>
        <v>4.794520547945206</v>
      </c>
      <c r="L1777" s="3">
        <f t="shared" si="177"/>
        <v>354.79452054794524</v>
      </c>
      <c r="M1777" s="3">
        <f t="shared" si="178"/>
        <v>21.287671232876715</v>
      </c>
      <c r="N1777" s="67">
        <f t="shared" si="179"/>
        <v>333.50684931506851</v>
      </c>
      <c r="O1777" s="3"/>
      <c r="P1777" s="70" t="s">
        <v>18605</v>
      </c>
      <c r="Q1777" s="2" t="s">
        <v>47</v>
      </c>
      <c r="R1777" s="2" t="s">
        <v>13834</v>
      </c>
      <c r="T1777" t="s">
        <v>18666</v>
      </c>
      <c r="U1777" t="s">
        <v>18652</v>
      </c>
      <c r="V1777" s="104">
        <v>45857</v>
      </c>
      <c r="X1777" s="97"/>
      <c r="Y1777" s="75">
        <v>333.51</v>
      </c>
    </row>
    <row r="1778" spans="1:25" x14ac:dyDescent="0.25">
      <c r="A1778" s="76">
        <v>1810</v>
      </c>
      <c r="B1778" s="2" t="s">
        <v>13835</v>
      </c>
      <c r="C1778" s="2" t="s">
        <v>13836</v>
      </c>
      <c r="D1778" s="2" t="s">
        <v>13831</v>
      </c>
      <c r="E1778" s="2" t="s">
        <v>13832</v>
      </c>
      <c r="F1778" s="2" t="s">
        <v>13837</v>
      </c>
      <c r="G1778" s="2" t="s">
        <v>1055</v>
      </c>
      <c r="H1778" s="17">
        <v>25</v>
      </c>
      <c r="I1778" s="31">
        <f t="shared" si="174"/>
        <v>25000</v>
      </c>
      <c r="J1778" s="31">
        <f t="shared" si="175"/>
        <v>1750.0000000000002</v>
      </c>
      <c r="K1778" s="44">
        <f t="shared" si="176"/>
        <v>4.794520547945206</v>
      </c>
      <c r="L1778" s="3">
        <f t="shared" si="177"/>
        <v>354.79452054794524</v>
      </c>
      <c r="M1778" s="3">
        <f t="shared" si="178"/>
        <v>21.287671232876715</v>
      </c>
      <c r="N1778" s="67">
        <f t="shared" si="179"/>
        <v>333.50684931506851</v>
      </c>
      <c r="O1778" s="3"/>
      <c r="P1778" s="70" t="s">
        <v>18605</v>
      </c>
      <c r="Q1778" s="2" t="s">
        <v>47</v>
      </c>
      <c r="R1778" s="2" t="s">
        <v>13838</v>
      </c>
      <c r="T1778" t="s">
        <v>18666</v>
      </c>
      <c r="U1778" t="s">
        <v>18652</v>
      </c>
      <c r="V1778" s="104">
        <v>45857</v>
      </c>
      <c r="X1778" s="97"/>
      <c r="Y1778" s="75">
        <v>333.51</v>
      </c>
    </row>
    <row r="1779" spans="1:25" x14ac:dyDescent="0.25">
      <c r="A1779" s="76">
        <v>1811</v>
      </c>
      <c r="B1779" s="2" t="s">
        <v>7478</v>
      </c>
      <c r="C1779" s="2" t="s">
        <v>7479</v>
      </c>
      <c r="D1779" s="2" t="s">
        <v>7480</v>
      </c>
      <c r="E1779" s="2" t="s">
        <v>7481</v>
      </c>
      <c r="F1779" s="2" t="s">
        <v>7482</v>
      </c>
      <c r="G1779" s="2" t="s">
        <v>412</v>
      </c>
      <c r="H1779" s="17">
        <v>25</v>
      </c>
      <c r="I1779" s="31">
        <f t="shared" si="174"/>
        <v>25000</v>
      </c>
      <c r="J1779" s="31">
        <f t="shared" si="175"/>
        <v>1750.0000000000002</v>
      </c>
      <c r="K1779" s="44">
        <f t="shared" si="176"/>
        <v>4.794520547945206</v>
      </c>
      <c r="L1779" s="3">
        <f t="shared" si="177"/>
        <v>354.79452054794524</v>
      </c>
      <c r="M1779" s="3">
        <f t="shared" si="178"/>
        <v>21.287671232876715</v>
      </c>
      <c r="N1779" s="67">
        <f t="shared" si="179"/>
        <v>333.50684931506851</v>
      </c>
      <c r="O1779" s="3"/>
      <c r="P1779" s="70" t="s">
        <v>18605</v>
      </c>
      <c r="Q1779" s="2" t="s">
        <v>47</v>
      </c>
      <c r="R1779" s="2" t="s">
        <v>7483</v>
      </c>
      <c r="T1779" t="s">
        <v>18666</v>
      </c>
      <c r="U1779" t="s">
        <v>18652</v>
      </c>
      <c r="V1779" s="104">
        <v>45857</v>
      </c>
      <c r="X1779" s="97"/>
      <c r="Y1779" s="75">
        <v>333.51</v>
      </c>
    </row>
    <row r="1780" spans="1:25" x14ac:dyDescent="0.25">
      <c r="A1780" s="76">
        <v>1812</v>
      </c>
      <c r="B1780" s="2" t="s">
        <v>7607</v>
      </c>
      <c r="C1780" s="2" t="s">
        <v>7608</v>
      </c>
      <c r="D1780" s="2" t="s">
        <v>7609</v>
      </c>
      <c r="E1780" s="2" t="s">
        <v>7610</v>
      </c>
      <c r="F1780" s="2" t="s">
        <v>7611</v>
      </c>
      <c r="G1780" s="2" t="s">
        <v>74</v>
      </c>
      <c r="H1780" s="17">
        <v>25</v>
      </c>
      <c r="I1780" s="31">
        <f t="shared" si="174"/>
        <v>25000</v>
      </c>
      <c r="J1780" s="31">
        <f t="shared" si="175"/>
        <v>1750.0000000000002</v>
      </c>
      <c r="K1780" s="44">
        <f t="shared" si="176"/>
        <v>4.794520547945206</v>
      </c>
      <c r="L1780" s="3">
        <f t="shared" si="177"/>
        <v>354.79452054794524</v>
      </c>
      <c r="M1780" s="3">
        <f t="shared" si="178"/>
        <v>21.287671232876715</v>
      </c>
      <c r="N1780" s="67">
        <f t="shared" si="179"/>
        <v>333.50684931506851</v>
      </c>
      <c r="O1780" s="3"/>
      <c r="P1780" s="70" t="s">
        <v>18605</v>
      </c>
      <c r="Q1780" s="2" t="s">
        <v>47</v>
      </c>
      <c r="R1780" s="2" t="s">
        <v>7612</v>
      </c>
      <c r="T1780" t="s">
        <v>18666</v>
      </c>
      <c r="U1780" t="s">
        <v>18652</v>
      </c>
      <c r="V1780" s="104">
        <v>45857</v>
      </c>
      <c r="X1780" s="97"/>
      <c r="Y1780" s="75">
        <v>333.51</v>
      </c>
    </row>
    <row r="1781" spans="1:25" x14ac:dyDescent="0.25">
      <c r="A1781" s="76">
        <v>1813</v>
      </c>
      <c r="B1781" s="2" t="s">
        <v>10013</v>
      </c>
      <c r="C1781" s="2" t="s">
        <v>10014</v>
      </c>
      <c r="D1781" s="2" t="s">
        <v>10015</v>
      </c>
      <c r="E1781" s="2" t="s">
        <v>10016</v>
      </c>
      <c r="F1781" s="2" t="s">
        <v>10017</v>
      </c>
      <c r="G1781" s="2" t="s">
        <v>10005</v>
      </c>
      <c r="H1781" s="17">
        <v>25</v>
      </c>
      <c r="I1781" s="31">
        <f t="shared" si="174"/>
        <v>25000</v>
      </c>
      <c r="J1781" s="31">
        <f t="shared" si="175"/>
        <v>1750.0000000000002</v>
      </c>
      <c r="K1781" s="44">
        <f t="shared" si="176"/>
        <v>4.794520547945206</v>
      </c>
      <c r="L1781" s="3">
        <f t="shared" si="177"/>
        <v>354.79452054794524</v>
      </c>
      <c r="M1781" s="3">
        <f t="shared" si="178"/>
        <v>21.287671232876715</v>
      </c>
      <c r="N1781" s="67">
        <f t="shared" si="179"/>
        <v>333.50684931506851</v>
      </c>
      <c r="O1781" s="3"/>
      <c r="P1781" s="70" t="s">
        <v>18605</v>
      </c>
      <c r="Q1781" s="2" t="s">
        <v>47</v>
      </c>
      <c r="R1781" s="2" t="s">
        <v>10018</v>
      </c>
      <c r="T1781" t="s">
        <v>18666</v>
      </c>
      <c r="U1781" t="s">
        <v>18652</v>
      </c>
      <c r="V1781" s="104">
        <v>45857</v>
      </c>
      <c r="X1781" s="97"/>
      <c r="Y1781" s="75">
        <v>333.51</v>
      </c>
    </row>
    <row r="1782" spans="1:25" x14ac:dyDescent="0.25">
      <c r="A1782" s="76">
        <v>1814</v>
      </c>
      <c r="B1782" s="2" t="s">
        <v>11335</v>
      </c>
      <c r="C1782" s="2" t="s">
        <v>11336</v>
      </c>
      <c r="D1782" s="2" t="s">
        <v>11337</v>
      </c>
      <c r="E1782" s="2" t="s">
        <v>11338</v>
      </c>
      <c r="F1782" s="2" t="s">
        <v>11339</v>
      </c>
      <c r="G1782" s="2" t="s">
        <v>1823</v>
      </c>
      <c r="H1782" s="17">
        <v>25</v>
      </c>
      <c r="I1782" s="31">
        <f t="shared" si="174"/>
        <v>25000</v>
      </c>
      <c r="J1782" s="31">
        <f t="shared" si="175"/>
        <v>1750.0000000000002</v>
      </c>
      <c r="K1782" s="44">
        <f t="shared" si="176"/>
        <v>4.794520547945206</v>
      </c>
      <c r="L1782" s="3">
        <f t="shared" si="177"/>
        <v>354.79452054794524</v>
      </c>
      <c r="M1782" s="3">
        <f t="shared" si="178"/>
        <v>21.287671232876715</v>
      </c>
      <c r="N1782" s="67">
        <f t="shared" si="179"/>
        <v>333.50684931506851</v>
      </c>
      <c r="O1782" s="3"/>
      <c r="P1782" s="70" t="s">
        <v>18605</v>
      </c>
      <c r="Q1782" s="2" t="s">
        <v>47</v>
      </c>
      <c r="R1782" s="2" t="s">
        <v>11340</v>
      </c>
      <c r="T1782" t="s">
        <v>18666</v>
      </c>
      <c r="U1782" t="s">
        <v>18652</v>
      </c>
      <c r="V1782" s="104">
        <v>45857</v>
      </c>
      <c r="X1782" s="97"/>
      <c r="Y1782" s="75">
        <v>333.51</v>
      </c>
    </row>
    <row r="1783" spans="1:25" x14ac:dyDescent="0.25">
      <c r="A1783" s="76">
        <v>1815</v>
      </c>
      <c r="B1783" s="2" t="s">
        <v>9206</v>
      </c>
      <c r="C1783" s="2" t="s">
        <v>9207</v>
      </c>
      <c r="D1783" s="2" t="s">
        <v>9208</v>
      </c>
      <c r="E1783" s="2" t="s">
        <v>9209</v>
      </c>
      <c r="F1783" s="2" t="s">
        <v>9210</v>
      </c>
      <c r="G1783" s="2" t="s">
        <v>296</v>
      </c>
      <c r="H1783" s="17">
        <v>25</v>
      </c>
      <c r="I1783" s="31">
        <f t="shared" si="174"/>
        <v>25000</v>
      </c>
      <c r="J1783" s="31">
        <f t="shared" si="175"/>
        <v>1750.0000000000002</v>
      </c>
      <c r="K1783" s="44">
        <f t="shared" si="176"/>
        <v>4.794520547945206</v>
      </c>
      <c r="L1783" s="3">
        <f t="shared" si="177"/>
        <v>354.79452054794524</v>
      </c>
      <c r="M1783" s="3">
        <f t="shared" si="178"/>
        <v>21.287671232876715</v>
      </c>
      <c r="N1783" s="67">
        <f t="shared" si="179"/>
        <v>333.50684931506851</v>
      </c>
      <c r="O1783" s="3"/>
      <c r="P1783" s="70" t="s">
        <v>18635</v>
      </c>
      <c r="Q1783" s="2" t="s">
        <v>932</v>
      </c>
      <c r="R1783" s="2" t="s">
        <v>9211</v>
      </c>
      <c r="T1783" t="s">
        <v>18666</v>
      </c>
      <c r="U1783" t="s">
        <v>18652</v>
      </c>
      <c r="V1783" s="104">
        <v>45857</v>
      </c>
      <c r="X1783" s="97"/>
      <c r="Y1783" s="75">
        <v>333.51</v>
      </c>
    </row>
    <row r="1784" spans="1:25" x14ac:dyDescent="0.25">
      <c r="A1784" s="76">
        <v>1816</v>
      </c>
      <c r="B1784" s="2" t="s">
        <v>2833</v>
      </c>
      <c r="C1784" s="2" t="s">
        <v>2834</v>
      </c>
      <c r="D1784" s="2" t="s">
        <v>2835</v>
      </c>
      <c r="E1784" s="2" t="s">
        <v>2836</v>
      </c>
      <c r="F1784" s="2" t="s">
        <v>2837</v>
      </c>
      <c r="G1784" s="2" t="s">
        <v>173</v>
      </c>
      <c r="H1784" s="17">
        <v>50</v>
      </c>
      <c r="I1784" s="31">
        <f t="shared" si="174"/>
        <v>50000</v>
      </c>
      <c r="J1784" s="31">
        <f t="shared" si="175"/>
        <v>3500.0000000000005</v>
      </c>
      <c r="K1784" s="44">
        <f t="shared" si="176"/>
        <v>9.589041095890412</v>
      </c>
      <c r="L1784" s="3">
        <f t="shared" si="177"/>
        <v>709.58904109589048</v>
      </c>
      <c r="M1784" s="3">
        <f t="shared" si="178"/>
        <v>42.57534246575343</v>
      </c>
      <c r="N1784" s="67">
        <f t="shared" si="179"/>
        <v>667.01369863013701</v>
      </c>
      <c r="O1784" s="3"/>
      <c r="P1784" s="70" t="s">
        <v>18635</v>
      </c>
      <c r="Q1784" s="2" t="s">
        <v>932</v>
      </c>
      <c r="R1784" s="2" t="s">
        <v>2838</v>
      </c>
      <c r="T1784" t="s">
        <v>18666</v>
      </c>
      <c r="U1784" t="s">
        <v>18652</v>
      </c>
      <c r="V1784" s="104">
        <v>45857</v>
      </c>
      <c r="X1784" s="97"/>
      <c r="Y1784" s="75">
        <v>667.02</v>
      </c>
    </row>
    <row r="1785" spans="1:25" x14ac:dyDescent="0.25">
      <c r="A1785" s="76">
        <v>1817</v>
      </c>
      <c r="B1785" s="2" t="s">
        <v>6331</v>
      </c>
      <c r="C1785" s="2" t="s">
        <v>6332</v>
      </c>
      <c r="D1785" s="2" t="s">
        <v>6333</v>
      </c>
      <c r="E1785" s="2" t="s">
        <v>6334</v>
      </c>
      <c r="F1785" s="2" t="s">
        <v>6335</v>
      </c>
      <c r="G1785" s="2" t="s">
        <v>799</v>
      </c>
      <c r="H1785" s="17">
        <v>100</v>
      </c>
      <c r="I1785" s="31">
        <f t="shared" si="174"/>
        <v>100000</v>
      </c>
      <c r="J1785" s="31">
        <f t="shared" si="175"/>
        <v>7000.0000000000009</v>
      </c>
      <c r="K1785" s="44">
        <f t="shared" si="176"/>
        <v>19.178082191780824</v>
      </c>
      <c r="L1785" s="3">
        <f t="shared" si="177"/>
        <v>1419.178082191781</v>
      </c>
      <c r="M1785" s="3">
        <f t="shared" si="178"/>
        <v>85.150684931506859</v>
      </c>
      <c r="N1785" s="67">
        <f t="shared" si="179"/>
        <v>1334.027397260274</v>
      </c>
      <c r="O1785" s="3"/>
      <c r="P1785" s="70" t="s">
        <v>18635</v>
      </c>
      <c r="Q1785" s="2" t="s">
        <v>932</v>
      </c>
      <c r="R1785" s="2" t="s">
        <v>6336</v>
      </c>
      <c r="T1785" t="s">
        <v>18666</v>
      </c>
      <c r="U1785" t="s">
        <v>18652</v>
      </c>
      <c r="V1785" s="104">
        <v>45857</v>
      </c>
      <c r="X1785" s="97"/>
      <c r="Y1785" s="75">
        <v>1334.03</v>
      </c>
    </row>
    <row r="1786" spans="1:25" x14ac:dyDescent="0.25">
      <c r="A1786" s="76">
        <v>1818</v>
      </c>
      <c r="B1786" s="2" t="s">
        <v>6301</v>
      </c>
      <c r="C1786" s="2" t="s">
        <v>6302</v>
      </c>
      <c r="D1786" s="2" t="s">
        <v>6303</v>
      </c>
      <c r="E1786" s="2" t="s">
        <v>6304</v>
      </c>
      <c r="F1786" s="2" t="s">
        <v>6305</v>
      </c>
      <c r="G1786" s="2" t="s">
        <v>876</v>
      </c>
      <c r="H1786" s="17">
        <v>25</v>
      </c>
      <c r="I1786" s="31">
        <f t="shared" si="174"/>
        <v>25000</v>
      </c>
      <c r="J1786" s="31">
        <f t="shared" si="175"/>
        <v>1750.0000000000002</v>
      </c>
      <c r="K1786" s="44">
        <f t="shared" si="176"/>
        <v>4.794520547945206</v>
      </c>
      <c r="L1786" s="3">
        <f t="shared" si="177"/>
        <v>354.79452054794524</v>
      </c>
      <c r="M1786" s="3">
        <f t="shared" si="178"/>
        <v>21.287671232876715</v>
      </c>
      <c r="N1786" s="67">
        <f t="shared" si="179"/>
        <v>333.50684931506851</v>
      </c>
      <c r="O1786" s="3"/>
      <c r="P1786" s="70" t="s">
        <v>18635</v>
      </c>
      <c r="Q1786" s="2" t="s">
        <v>932</v>
      </c>
      <c r="R1786" s="2" t="s">
        <v>6306</v>
      </c>
      <c r="T1786" t="s">
        <v>18666</v>
      </c>
      <c r="U1786" t="s">
        <v>18652</v>
      </c>
      <c r="V1786" s="104">
        <v>45857</v>
      </c>
      <c r="X1786" s="97"/>
      <c r="Y1786" s="75">
        <v>333.51</v>
      </c>
    </row>
    <row r="1787" spans="1:25" x14ac:dyDescent="0.25">
      <c r="A1787" s="76">
        <v>1819</v>
      </c>
      <c r="B1787" s="2" t="s">
        <v>13231</v>
      </c>
      <c r="C1787" s="2" t="s">
        <v>13232</v>
      </c>
      <c r="D1787" s="2" t="s">
        <v>13233</v>
      </c>
      <c r="E1787" s="2" t="s">
        <v>13234</v>
      </c>
      <c r="F1787" s="2" t="s">
        <v>13235</v>
      </c>
      <c r="G1787" s="2" t="s">
        <v>643</v>
      </c>
      <c r="H1787" s="17">
        <v>1000</v>
      </c>
      <c r="I1787" s="31">
        <f t="shared" si="174"/>
        <v>1000000</v>
      </c>
      <c r="J1787" s="31">
        <f t="shared" si="175"/>
        <v>70000</v>
      </c>
      <c r="K1787" s="44">
        <f t="shared" si="176"/>
        <v>191.78082191780823</v>
      </c>
      <c r="L1787" s="3">
        <f t="shared" si="177"/>
        <v>14191.780821917808</v>
      </c>
      <c r="M1787" s="3">
        <f t="shared" si="178"/>
        <v>851.50684931506839</v>
      </c>
      <c r="N1787" s="67">
        <f t="shared" si="179"/>
        <v>13340.273972602739</v>
      </c>
      <c r="O1787" s="3"/>
      <c r="P1787" s="70" t="s">
        <v>18635</v>
      </c>
      <c r="Q1787" s="2" t="s">
        <v>932</v>
      </c>
      <c r="R1787" s="2" t="s">
        <v>13236</v>
      </c>
      <c r="T1787" t="s">
        <v>18666</v>
      </c>
      <c r="U1787" t="s">
        <v>18652</v>
      </c>
      <c r="V1787" s="104">
        <v>45857</v>
      </c>
      <c r="X1787" s="97"/>
      <c r="Y1787" s="75">
        <v>13340.28</v>
      </c>
    </row>
    <row r="1788" spans="1:25" x14ac:dyDescent="0.25">
      <c r="A1788" s="76">
        <v>1820</v>
      </c>
      <c r="B1788" s="2" t="s">
        <v>17926</v>
      </c>
      <c r="C1788" s="2" t="s">
        <v>17927</v>
      </c>
      <c r="D1788" s="2" t="s">
        <v>17928</v>
      </c>
      <c r="E1788" s="2" t="s">
        <v>17929</v>
      </c>
      <c r="F1788" s="2" t="s">
        <v>17930</v>
      </c>
      <c r="G1788" s="2" t="s">
        <v>144</v>
      </c>
      <c r="H1788" s="17">
        <v>25</v>
      </c>
      <c r="I1788" s="31">
        <f t="shared" si="174"/>
        <v>25000</v>
      </c>
      <c r="J1788" s="31">
        <f t="shared" si="175"/>
        <v>1750.0000000000002</v>
      </c>
      <c r="K1788" s="44">
        <f t="shared" si="176"/>
        <v>4.794520547945206</v>
      </c>
      <c r="L1788" s="3">
        <f t="shared" si="177"/>
        <v>354.79452054794524</v>
      </c>
      <c r="M1788" s="3">
        <f t="shared" si="178"/>
        <v>21.287671232876715</v>
      </c>
      <c r="N1788" s="67">
        <f t="shared" si="179"/>
        <v>333.50684931506851</v>
      </c>
      <c r="O1788" s="3"/>
      <c r="P1788" s="70" t="s">
        <v>18635</v>
      </c>
      <c r="Q1788" s="2" t="s">
        <v>932</v>
      </c>
      <c r="R1788" s="2" t="s">
        <v>17931</v>
      </c>
      <c r="T1788" t="s">
        <v>18666</v>
      </c>
      <c r="U1788" t="s">
        <v>18652</v>
      </c>
      <c r="V1788" s="104">
        <v>45857</v>
      </c>
      <c r="X1788" s="97"/>
      <c r="Y1788" s="75">
        <v>333.51</v>
      </c>
    </row>
    <row r="1789" spans="1:25" x14ac:dyDescent="0.25">
      <c r="A1789" s="76">
        <v>1821</v>
      </c>
      <c r="B1789" s="2" t="s">
        <v>13119</v>
      </c>
      <c r="C1789" s="2" t="s">
        <v>13120</v>
      </c>
      <c r="D1789" s="2" t="s">
        <v>13121</v>
      </c>
      <c r="E1789" s="2" t="s">
        <v>13122</v>
      </c>
      <c r="F1789" s="2" t="s">
        <v>13123</v>
      </c>
      <c r="G1789" s="2" t="s">
        <v>247</v>
      </c>
      <c r="H1789" s="17">
        <v>25</v>
      </c>
      <c r="I1789" s="31">
        <f t="shared" si="174"/>
        <v>25000</v>
      </c>
      <c r="J1789" s="31">
        <f t="shared" si="175"/>
        <v>1750.0000000000002</v>
      </c>
      <c r="K1789" s="44">
        <f t="shared" si="176"/>
        <v>4.794520547945206</v>
      </c>
      <c r="L1789" s="3">
        <f t="shared" si="177"/>
        <v>354.79452054794524</v>
      </c>
      <c r="M1789" s="3">
        <f t="shared" si="178"/>
        <v>21.287671232876715</v>
      </c>
      <c r="N1789" s="67">
        <f t="shared" si="179"/>
        <v>333.50684931506851</v>
      </c>
      <c r="O1789" s="3"/>
      <c r="P1789" s="70" t="s">
        <v>18635</v>
      </c>
      <c r="Q1789" s="2" t="s">
        <v>932</v>
      </c>
      <c r="R1789" s="2" t="s">
        <v>13124</v>
      </c>
      <c r="T1789" t="s">
        <v>18666</v>
      </c>
      <c r="U1789" t="s">
        <v>18652</v>
      </c>
      <c r="V1789" s="104">
        <v>45857</v>
      </c>
      <c r="X1789" s="97"/>
      <c r="Y1789" s="75">
        <v>333.51</v>
      </c>
    </row>
    <row r="1790" spans="1:25" x14ac:dyDescent="0.25">
      <c r="A1790" s="76">
        <v>1822</v>
      </c>
      <c r="B1790" s="2" t="s">
        <v>14595</v>
      </c>
      <c r="C1790" s="2" t="s">
        <v>14596</v>
      </c>
      <c r="D1790" s="2" t="s">
        <v>14597</v>
      </c>
      <c r="E1790" s="2" t="s">
        <v>14598</v>
      </c>
      <c r="F1790" s="2" t="s">
        <v>14599</v>
      </c>
      <c r="G1790" s="2" t="s">
        <v>193</v>
      </c>
      <c r="H1790" s="17">
        <v>25</v>
      </c>
      <c r="I1790" s="31">
        <f t="shared" si="174"/>
        <v>25000</v>
      </c>
      <c r="J1790" s="31">
        <f t="shared" si="175"/>
        <v>1750.0000000000002</v>
      </c>
      <c r="K1790" s="44">
        <f t="shared" si="176"/>
        <v>4.794520547945206</v>
      </c>
      <c r="L1790" s="3">
        <f t="shared" si="177"/>
        <v>354.79452054794524</v>
      </c>
      <c r="M1790" s="3">
        <f t="shared" si="178"/>
        <v>21.287671232876715</v>
      </c>
      <c r="N1790" s="67">
        <f t="shared" si="179"/>
        <v>333.50684931506851</v>
      </c>
      <c r="O1790" s="3"/>
      <c r="P1790" s="70" t="s">
        <v>18635</v>
      </c>
      <c r="Q1790" s="2" t="s">
        <v>932</v>
      </c>
      <c r="R1790" s="2" t="s">
        <v>14600</v>
      </c>
      <c r="T1790" t="s">
        <v>18666</v>
      </c>
      <c r="U1790" t="s">
        <v>18652</v>
      </c>
      <c r="V1790" s="104">
        <v>45857</v>
      </c>
      <c r="X1790" s="97"/>
      <c r="Y1790" s="75">
        <v>333.51</v>
      </c>
    </row>
    <row r="1791" spans="1:25" x14ac:dyDescent="0.25">
      <c r="A1791" s="76">
        <v>1823</v>
      </c>
      <c r="B1791" s="2" t="s">
        <v>4252</v>
      </c>
      <c r="C1791" s="2" t="s">
        <v>4253</v>
      </c>
      <c r="D1791" s="2" t="s">
        <v>4254</v>
      </c>
      <c r="E1791" s="2" t="s">
        <v>4255</v>
      </c>
      <c r="F1791" s="2" t="s">
        <v>4256</v>
      </c>
      <c r="G1791" s="2" t="s">
        <v>151</v>
      </c>
      <c r="H1791" s="17">
        <v>50</v>
      </c>
      <c r="I1791" s="31">
        <f t="shared" si="174"/>
        <v>50000</v>
      </c>
      <c r="J1791" s="31">
        <f t="shared" si="175"/>
        <v>3500.0000000000005</v>
      </c>
      <c r="K1791" s="44">
        <f t="shared" si="176"/>
        <v>9.589041095890412</v>
      </c>
      <c r="L1791" s="3">
        <f t="shared" si="177"/>
        <v>709.58904109589048</v>
      </c>
      <c r="M1791" s="3">
        <f t="shared" si="178"/>
        <v>42.57534246575343</v>
      </c>
      <c r="N1791" s="67">
        <f t="shared" si="179"/>
        <v>667.01369863013701</v>
      </c>
      <c r="O1791" s="3"/>
      <c r="P1791" s="70" t="s">
        <v>18635</v>
      </c>
      <c r="Q1791" s="2" t="s">
        <v>932</v>
      </c>
      <c r="R1791" s="2" t="s">
        <v>4257</v>
      </c>
      <c r="T1791" t="s">
        <v>18666</v>
      </c>
      <c r="U1791" t="s">
        <v>18652</v>
      </c>
      <c r="V1791" s="104">
        <v>45857</v>
      </c>
      <c r="X1791" s="97"/>
      <c r="Y1791" s="75">
        <v>667.02</v>
      </c>
    </row>
    <row r="1792" spans="1:25" x14ac:dyDescent="0.25">
      <c r="A1792" s="76">
        <v>1824</v>
      </c>
      <c r="B1792" s="2" t="s">
        <v>18346</v>
      </c>
      <c r="C1792" s="2" t="s">
        <v>18347</v>
      </c>
      <c r="D1792" s="2" t="s">
        <v>16162</v>
      </c>
      <c r="E1792" s="2" t="s">
        <v>16163</v>
      </c>
      <c r="F1792" s="2" t="s">
        <v>18348</v>
      </c>
      <c r="G1792" s="2" t="s">
        <v>31</v>
      </c>
      <c r="H1792" s="17">
        <v>25</v>
      </c>
      <c r="I1792" s="31">
        <f t="shared" si="174"/>
        <v>25000</v>
      </c>
      <c r="J1792" s="31">
        <f t="shared" si="175"/>
        <v>1750.0000000000002</v>
      </c>
      <c r="K1792" s="44">
        <f t="shared" si="176"/>
        <v>4.794520547945206</v>
      </c>
      <c r="L1792" s="3">
        <f t="shared" si="177"/>
        <v>354.79452054794524</v>
      </c>
      <c r="M1792" s="3">
        <f t="shared" si="178"/>
        <v>21.287671232876715</v>
      </c>
      <c r="N1792" s="67">
        <f t="shared" si="179"/>
        <v>333.50684931506851</v>
      </c>
      <c r="O1792" s="3"/>
      <c r="P1792" s="70" t="s">
        <v>18635</v>
      </c>
      <c r="Q1792" s="2" t="s">
        <v>932</v>
      </c>
      <c r="R1792" s="2" t="s">
        <v>18349</v>
      </c>
      <c r="T1792" t="s">
        <v>18666</v>
      </c>
      <c r="U1792" t="s">
        <v>18652</v>
      </c>
      <c r="V1792" s="104">
        <v>45857</v>
      </c>
      <c r="X1792" s="97"/>
      <c r="Y1792" s="75">
        <v>333.51</v>
      </c>
    </row>
    <row r="1793" spans="1:25" x14ac:dyDescent="0.25">
      <c r="A1793" s="76">
        <v>1825</v>
      </c>
      <c r="B1793" s="2" t="s">
        <v>18350</v>
      </c>
      <c r="C1793" s="2" t="s">
        <v>18351</v>
      </c>
      <c r="D1793" s="2" t="s">
        <v>16162</v>
      </c>
      <c r="E1793" s="2" t="s">
        <v>16163</v>
      </c>
      <c r="F1793" s="2" t="s">
        <v>18352</v>
      </c>
      <c r="G1793" s="2" t="s">
        <v>31</v>
      </c>
      <c r="H1793" s="17">
        <v>25</v>
      </c>
      <c r="I1793" s="31">
        <f t="shared" si="174"/>
        <v>25000</v>
      </c>
      <c r="J1793" s="31">
        <f t="shared" si="175"/>
        <v>1750.0000000000002</v>
      </c>
      <c r="K1793" s="44">
        <f t="shared" si="176"/>
        <v>4.794520547945206</v>
      </c>
      <c r="L1793" s="3">
        <f t="shared" si="177"/>
        <v>354.79452054794524</v>
      </c>
      <c r="M1793" s="3">
        <f t="shared" si="178"/>
        <v>21.287671232876715</v>
      </c>
      <c r="N1793" s="67">
        <f t="shared" si="179"/>
        <v>333.50684931506851</v>
      </c>
      <c r="O1793" s="3"/>
      <c r="P1793" s="70" t="s">
        <v>18635</v>
      </c>
      <c r="Q1793" s="2" t="s">
        <v>932</v>
      </c>
      <c r="R1793" s="2" t="s">
        <v>18353</v>
      </c>
      <c r="T1793" t="s">
        <v>18666</v>
      </c>
      <c r="U1793" t="s">
        <v>18652</v>
      </c>
      <c r="V1793" s="104">
        <v>45857</v>
      </c>
      <c r="X1793" s="97"/>
      <c r="Y1793" s="75">
        <v>333.51</v>
      </c>
    </row>
    <row r="1794" spans="1:25" x14ac:dyDescent="0.25">
      <c r="A1794" s="76">
        <v>1826</v>
      </c>
      <c r="B1794" s="2" t="s">
        <v>13202</v>
      </c>
      <c r="C1794" s="2" t="s">
        <v>13203</v>
      </c>
      <c r="D1794" s="2" t="s">
        <v>13204</v>
      </c>
      <c r="E1794" s="2" t="s">
        <v>13205</v>
      </c>
      <c r="F1794" s="2" t="s">
        <v>13206</v>
      </c>
      <c r="G1794" s="2" t="s">
        <v>23</v>
      </c>
      <c r="H1794" s="17">
        <v>50</v>
      </c>
      <c r="I1794" s="31">
        <f t="shared" si="174"/>
        <v>50000</v>
      </c>
      <c r="J1794" s="31">
        <f t="shared" si="175"/>
        <v>3500.0000000000005</v>
      </c>
      <c r="K1794" s="44">
        <f t="shared" si="176"/>
        <v>9.589041095890412</v>
      </c>
      <c r="L1794" s="3">
        <f t="shared" si="177"/>
        <v>709.58904109589048</v>
      </c>
      <c r="M1794" s="3">
        <f t="shared" si="178"/>
        <v>42.57534246575343</v>
      </c>
      <c r="N1794" s="67">
        <f t="shared" si="179"/>
        <v>667.01369863013701</v>
      </c>
      <c r="O1794" s="3"/>
      <c r="P1794" s="70" t="s">
        <v>18635</v>
      </c>
      <c r="Q1794" s="2" t="s">
        <v>932</v>
      </c>
      <c r="R1794" s="2" t="s">
        <v>13207</v>
      </c>
      <c r="T1794" t="s">
        <v>18666</v>
      </c>
      <c r="U1794" t="s">
        <v>18652</v>
      </c>
      <c r="V1794" s="104">
        <v>45857</v>
      </c>
      <c r="X1794" s="97"/>
      <c r="Y1794" s="75">
        <v>667.02</v>
      </c>
    </row>
    <row r="1795" spans="1:25" x14ac:dyDescent="0.25">
      <c r="A1795" s="76">
        <v>1827</v>
      </c>
      <c r="B1795" s="2" t="s">
        <v>4493</v>
      </c>
      <c r="C1795" s="2" t="s">
        <v>4494</v>
      </c>
      <c r="D1795" s="2" t="s">
        <v>4495</v>
      </c>
      <c r="E1795" s="2" t="s">
        <v>4496</v>
      </c>
      <c r="F1795" s="2" t="s">
        <v>4497</v>
      </c>
      <c r="G1795" s="2" t="s">
        <v>3399</v>
      </c>
      <c r="H1795" s="17">
        <v>25</v>
      </c>
      <c r="I1795" s="31">
        <f t="shared" si="174"/>
        <v>25000</v>
      </c>
      <c r="J1795" s="31">
        <f t="shared" si="175"/>
        <v>1750.0000000000002</v>
      </c>
      <c r="K1795" s="44">
        <f t="shared" si="176"/>
        <v>4.794520547945206</v>
      </c>
      <c r="L1795" s="3">
        <f t="shared" si="177"/>
        <v>354.79452054794524</v>
      </c>
      <c r="M1795" s="3">
        <f t="shared" si="178"/>
        <v>21.287671232876715</v>
      </c>
      <c r="N1795" s="67">
        <f t="shared" si="179"/>
        <v>333.50684931506851</v>
      </c>
      <c r="O1795" s="3"/>
      <c r="P1795" s="70" t="s">
        <v>18635</v>
      </c>
      <c r="Q1795" s="2" t="s">
        <v>932</v>
      </c>
      <c r="R1795" s="2" t="s">
        <v>4498</v>
      </c>
      <c r="T1795" t="s">
        <v>18666</v>
      </c>
      <c r="U1795" t="s">
        <v>18652</v>
      </c>
      <c r="V1795" s="104">
        <v>45857</v>
      </c>
      <c r="X1795" s="97"/>
      <c r="Y1795" s="75">
        <v>333.51</v>
      </c>
    </row>
    <row r="1796" spans="1:25" x14ac:dyDescent="0.25">
      <c r="A1796" s="76">
        <v>1828</v>
      </c>
      <c r="B1796" s="2" t="s">
        <v>12971</v>
      </c>
      <c r="C1796" s="2" t="s">
        <v>12972</v>
      </c>
      <c r="D1796" s="2" t="s">
        <v>12973</v>
      </c>
      <c r="E1796" s="2" t="s">
        <v>12974</v>
      </c>
      <c r="F1796" s="2" t="s">
        <v>12975</v>
      </c>
      <c r="G1796" s="2" t="s">
        <v>193</v>
      </c>
      <c r="H1796" s="17">
        <v>35</v>
      </c>
      <c r="I1796" s="31">
        <f t="shared" si="174"/>
        <v>35000</v>
      </c>
      <c r="J1796" s="31">
        <f t="shared" si="175"/>
        <v>2450.0000000000005</v>
      </c>
      <c r="K1796" s="44">
        <f t="shared" si="176"/>
        <v>6.7123287671232887</v>
      </c>
      <c r="L1796" s="3">
        <f t="shared" si="177"/>
        <v>496.71232876712338</v>
      </c>
      <c r="M1796" s="3">
        <f t="shared" si="178"/>
        <v>29.802739726027401</v>
      </c>
      <c r="N1796" s="67">
        <f t="shared" si="179"/>
        <v>466.90958904109596</v>
      </c>
      <c r="O1796" s="3"/>
      <c r="P1796" s="70" t="s">
        <v>18635</v>
      </c>
      <c r="Q1796" s="2" t="s">
        <v>932</v>
      </c>
      <c r="R1796" s="2" t="s">
        <v>12976</v>
      </c>
      <c r="T1796" t="s">
        <v>18666</v>
      </c>
      <c r="U1796" t="s">
        <v>18652</v>
      </c>
      <c r="V1796" s="104">
        <v>45857</v>
      </c>
      <c r="X1796" s="97"/>
      <c r="Y1796" s="75">
        <v>466.90999999999997</v>
      </c>
    </row>
    <row r="1797" spans="1:25" x14ac:dyDescent="0.25">
      <c r="A1797" s="76">
        <v>1829</v>
      </c>
      <c r="B1797" s="2" t="s">
        <v>2482</v>
      </c>
      <c r="C1797" s="2" t="s">
        <v>2483</v>
      </c>
      <c r="D1797" s="2" t="s">
        <v>2484</v>
      </c>
      <c r="E1797" s="2" t="s">
        <v>2485</v>
      </c>
      <c r="F1797" s="2" t="s">
        <v>2486</v>
      </c>
      <c r="G1797" s="2" t="s">
        <v>247</v>
      </c>
      <c r="H1797" s="17">
        <v>150</v>
      </c>
      <c r="I1797" s="31">
        <f t="shared" si="174"/>
        <v>150000</v>
      </c>
      <c r="J1797" s="31">
        <f t="shared" si="175"/>
        <v>10500.000000000002</v>
      </c>
      <c r="K1797" s="44">
        <f t="shared" si="176"/>
        <v>28.767123287671239</v>
      </c>
      <c r="L1797" s="3">
        <f t="shared" si="177"/>
        <v>2128.7671232876719</v>
      </c>
      <c r="M1797" s="3">
        <f t="shared" si="178"/>
        <v>127.72602739726031</v>
      </c>
      <c r="N1797" s="67">
        <f t="shared" si="179"/>
        <v>2001.0410958904115</v>
      </c>
      <c r="O1797" s="3"/>
      <c r="P1797" s="70" t="s">
        <v>18635</v>
      </c>
      <c r="Q1797" s="2" t="s">
        <v>932</v>
      </c>
      <c r="R1797" s="2" t="s">
        <v>2487</v>
      </c>
      <c r="T1797" t="s">
        <v>18666</v>
      </c>
      <c r="U1797" t="s">
        <v>18652</v>
      </c>
      <c r="V1797" s="104">
        <v>45857</v>
      </c>
      <c r="X1797" s="97"/>
      <c r="Y1797" s="75">
        <v>2001.05</v>
      </c>
    </row>
    <row r="1798" spans="1:25" x14ac:dyDescent="0.25">
      <c r="A1798" s="76">
        <v>1830</v>
      </c>
      <c r="B1798" s="2" t="s">
        <v>11575</v>
      </c>
      <c r="C1798" s="2" t="s">
        <v>11576</v>
      </c>
      <c r="D1798" s="2" t="s">
        <v>11577</v>
      </c>
      <c r="E1798" s="2" t="s">
        <v>11578</v>
      </c>
      <c r="F1798" s="2" t="s">
        <v>11579</v>
      </c>
      <c r="G1798" s="2" t="s">
        <v>23</v>
      </c>
      <c r="H1798" s="17">
        <v>100</v>
      </c>
      <c r="I1798" s="31">
        <f t="shared" si="174"/>
        <v>100000</v>
      </c>
      <c r="J1798" s="31">
        <f t="shared" si="175"/>
        <v>7000.0000000000009</v>
      </c>
      <c r="K1798" s="44">
        <f t="shared" si="176"/>
        <v>19.178082191780824</v>
      </c>
      <c r="L1798" s="3">
        <f t="shared" si="177"/>
        <v>1419.178082191781</v>
      </c>
      <c r="M1798" s="3">
        <f t="shared" si="178"/>
        <v>85.150684931506859</v>
      </c>
      <c r="N1798" s="67">
        <f t="shared" si="179"/>
        <v>1334.027397260274</v>
      </c>
      <c r="O1798" s="3"/>
      <c r="P1798" s="70" t="s">
        <v>18635</v>
      </c>
      <c r="Q1798" s="2" t="s">
        <v>932</v>
      </c>
      <c r="R1798" s="2" t="s">
        <v>11580</v>
      </c>
      <c r="T1798" t="s">
        <v>18666</v>
      </c>
      <c r="U1798" t="s">
        <v>18652</v>
      </c>
      <c r="V1798" s="104">
        <v>45857</v>
      </c>
      <c r="X1798" s="97"/>
      <c r="Y1798" s="75">
        <v>1334.03</v>
      </c>
    </row>
    <row r="1799" spans="1:25" x14ac:dyDescent="0.25">
      <c r="A1799" s="76">
        <v>1831</v>
      </c>
      <c r="B1799" s="2" t="s">
        <v>3867</v>
      </c>
      <c r="C1799" s="2" t="s">
        <v>3868</v>
      </c>
      <c r="D1799" s="2" t="s">
        <v>3869</v>
      </c>
      <c r="E1799" s="2" t="s">
        <v>3870</v>
      </c>
      <c r="F1799" s="2" t="s">
        <v>3871</v>
      </c>
      <c r="G1799" s="2" t="s">
        <v>74</v>
      </c>
      <c r="H1799" s="17">
        <v>25</v>
      </c>
      <c r="I1799" s="31">
        <f t="shared" si="174"/>
        <v>25000</v>
      </c>
      <c r="J1799" s="31">
        <f t="shared" si="175"/>
        <v>1750.0000000000002</v>
      </c>
      <c r="K1799" s="44">
        <f t="shared" si="176"/>
        <v>4.794520547945206</v>
      </c>
      <c r="L1799" s="3">
        <f t="shared" si="177"/>
        <v>354.79452054794524</v>
      </c>
      <c r="M1799" s="3">
        <f t="shared" si="178"/>
        <v>21.287671232876715</v>
      </c>
      <c r="N1799" s="67">
        <f t="shared" si="179"/>
        <v>333.50684931506851</v>
      </c>
      <c r="O1799" s="3"/>
      <c r="P1799" s="70" t="s">
        <v>18635</v>
      </c>
      <c r="Q1799" s="2" t="s">
        <v>932</v>
      </c>
      <c r="R1799" s="2" t="s">
        <v>3872</v>
      </c>
      <c r="T1799" t="s">
        <v>18666</v>
      </c>
      <c r="U1799" t="s">
        <v>18652</v>
      </c>
      <c r="V1799" s="104">
        <v>45857</v>
      </c>
      <c r="X1799" s="97"/>
      <c r="Y1799" s="75">
        <v>333.51</v>
      </c>
    </row>
    <row r="1800" spans="1:25" x14ac:dyDescent="0.25">
      <c r="A1800" s="76">
        <v>1832</v>
      </c>
      <c r="B1800" s="2" t="s">
        <v>10651</v>
      </c>
      <c r="C1800" s="2" t="s">
        <v>10652</v>
      </c>
      <c r="D1800" s="2" t="s">
        <v>10653</v>
      </c>
      <c r="E1800" s="2" t="s">
        <v>10654</v>
      </c>
      <c r="F1800" s="2" t="s">
        <v>10655</v>
      </c>
      <c r="G1800" s="2" t="s">
        <v>718</v>
      </c>
      <c r="H1800" s="17">
        <v>25</v>
      </c>
      <c r="I1800" s="31">
        <f t="shared" si="174"/>
        <v>25000</v>
      </c>
      <c r="J1800" s="31">
        <f t="shared" si="175"/>
        <v>1750.0000000000002</v>
      </c>
      <c r="K1800" s="44">
        <f t="shared" si="176"/>
        <v>4.794520547945206</v>
      </c>
      <c r="L1800" s="3">
        <f t="shared" si="177"/>
        <v>354.79452054794524</v>
      </c>
      <c r="M1800" s="3">
        <f t="shared" si="178"/>
        <v>21.287671232876715</v>
      </c>
      <c r="N1800" s="67">
        <f t="shared" si="179"/>
        <v>333.50684931506851</v>
      </c>
      <c r="O1800" s="3"/>
      <c r="P1800" s="70" t="s">
        <v>18635</v>
      </c>
      <c r="Q1800" s="2" t="s">
        <v>932</v>
      </c>
      <c r="R1800" s="2" t="s">
        <v>10656</v>
      </c>
      <c r="T1800" t="s">
        <v>18666</v>
      </c>
      <c r="U1800" t="s">
        <v>18652</v>
      </c>
      <c r="V1800" s="104">
        <v>45857</v>
      </c>
      <c r="X1800" s="97"/>
      <c r="Y1800" s="75">
        <v>333.51</v>
      </c>
    </row>
    <row r="1801" spans="1:25" x14ac:dyDescent="0.25">
      <c r="A1801" s="76">
        <v>1833</v>
      </c>
      <c r="B1801" s="2" t="s">
        <v>2357</v>
      </c>
      <c r="C1801" s="2" t="s">
        <v>2358</v>
      </c>
      <c r="D1801" s="2" t="s">
        <v>2359</v>
      </c>
      <c r="E1801" s="2" t="s">
        <v>2360</v>
      </c>
      <c r="F1801" s="2" t="s">
        <v>2361</v>
      </c>
      <c r="G1801" s="2" t="s">
        <v>580</v>
      </c>
      <c r="H1801" s="17">
        <v>25</v>
      </c>
      <c r="I1801" s="31">
        <f t="shared" si="174"/>
        <v>25000</v>
      </c>
      <c r="J1801" s="31">
        <f t="shared" si="175"/>
        <v>1750.0000000000002</v>
      </c>
      <c r="K1801" s="44">
        <f t="shared" si="176"/>
        <v>4.794520547945206</v>
      </c>
      <c r="L1801" s="3">
        <f t="shared" si="177"/>
        <v>354.79452054794524</v>
      </c>
      <c r="M1801" s="3">
        <f t="shared" si="178"/>
        <v>21.287671232876715</v>
      </c>
      <c r="N1801" s="67">
        <f t="shared" si="179"/>
        <v>333.50684931506851</v>
      </c>
      <c r="O1801" s="3"/>
      <c r="P1801" s="70" t="s">
        <v>18635</v>
      </c>
      <c r="Q1801" s="2" t="s">
        <v>932</v>
      </c>
      <c r="R1801" s="2" t="s">
        <v>2362</v>
      </c>
      <c r="T1801" t="s">
        <v>18666</v>
      </c>
      <c r="U1801" t="s">
        <v>18652</v>
      </c>
      <c r="V1801" s="104">
        <v>45857</v>
      </c>
      <c r="X1801" s="97"/>
      <c r="Y1801" s="75">
        <v>333.51</v>
      </c>
    </row>
    <row r="1802" spans="1:25" x14ac:dyDescent="0.25">
      <c r="A1802" s="76">
        <v>1834</v>
      </c>
      <c r="B1802" s="2" t="s">
        <v>10084</v>
      </c>
      <c r="C1802" s="2" t="s">
        <v>10085</v>
      </c>
      <c r="D1802" s="2" t="s">
        <v>10086</v>
      </c>
      <c r="E1802" s="2" t="s">
        <v>10087</v>
      </c>
      <c r="F1802" s="2" t="s">
        <v>10088</v>
      </c>
      <c r="G1802" s="2" t="s">
        <v>381</v>
      </c>
      <c r="H1802" s="17">
        <v>25</v>
      </c>
      <c r="I1802" s="31">
        <f t="shared" si="174"/>
        <v>25000</v>
      </c>
      <c r="J1802" s="31">
        <f t="shared" si="175"/>
        <v>1750.0000000000002</v>
      </c>
      <c r="K1802" s="44">
        <f t="shared" si="176"/>
        <v>4.794520547945206</v>
      </c>
      <c r="L1802" s="3">
        <f t="shared" si="177"/>
        <v>354.79452054794524</v>
      </c>
      <c r="M1802" s="3">
        <f t="shared" si="178"/>
        <v>21.287671232876715</v>
      </c>
      <c r="N1802" s="67">
        <f t="shared" si="179"/>
        <v>333.50684931506851</v>
      </c>
      <c r="O1802" s="3"/>
      <c r="P1802" s="70" t="s">
        <v>18635</v>
      </c>
      <c r="Q1802" s="2" t="s">
        <v>932</v>
      </c>
      <c r="R1802" s="2" t="s">
        <v>10089</v>
      </c>
      <c r="T1802" t="s">
        <v>18666</v>
      </c>
      <c r="U1802" t="s">
        <v>18652</v>
      </c>
      <c r="V1802" s="104">
        <v>45857</v>
      </c>
      <c r="X1802" s="97"/>
      <c r="Y1802" s="75">
        <v>333.51</v>
      </c>
    </row>
    <row r="1803" spans="1:25" x14ac:dyDescent="0.25">
      <c r="A1803" s="76">
        <v>1835</v>
      </c>
      <c r="B1803" s="2" t="s">
        <v>6343</v>
      </c>
      <c r="C1803" s="2" t="s">
        <v>6344</v>
      </c>
      <c r="D1803" s="2" t="s">
        <v>6345</v>
      </c>
      <c r="E1803" s="2" t="s">
        <v>6346</v>
      </c>
      <c r="F1803" s="2" t="s">
        <v>6347</v>
      </c>
      <c r="G1803" s="2" t="s">
        <v>1017</v>
      </c>
      <c r="H1803" s="17">
        <v>25</v>
      </c>
      <c r="I1803" s="31">
        <f t="shared" si="174"/>
        <v>25000</v>
      </c>
      <c r="J1803" s="31">
        <f t="shared" si="175"/>
        <v>1750.0000000000002</v>
      </c>
      <c r="K1803" s="44">
        <f t="shared" si="176"/>
        <v>4.794520547945206</v>
      </c>
      <c r="L1803" s="3">
        <f t="shared" si="177"/>
        <v>354.79452054794524</v>
      </c>
      <c r="M1803" s="3">
        <f t="shared" si="178"/>
        <v>21.287671232876715</v>
      </c>
      <c r="N1803" s="67">
        <f t="shared" si="179"/>
        <v>333.50684931506851</v>
      </c>
      <c r="O1803" s="3"/>
      <c r="P1803" s="70" t="s">
        <v>18635</v>
      </c>
      <c r="Q1803" s="2" t="s">
        <v>932</v>
      </c>
      <c r="R1803" s="2" t="s">
        <v>6348</v>
      </c>
      <c r="T1803" t="s">
        <v>18666</v>
      </c>
      <c r="U1803" t="s">
        <v>18652</v>
      </c>
      <c r="V1803" s="104">
        <v>45857</v>
      </c>
      <c r="X1803" s="97"/>
      <c r="Y1803" s="75">
        <v>333.51</v>
      </c>
    </row>
    <row r="1804" spans="1:25" x14ac:dyDescent="0.25">
      <c r="A1804" s="76">
        <v>1836</v>
      </c>
      <c r="B1804" s="2" t="s">
        <v>4807</v>
      </c>
      <c r="C1804" s="2" t="s">
        <v>4808</v>
      </c>
      <c r="D1804" s="2" t="s">
        <v>4779</v>
      </c>
      <c r="E1804" s="2" t="s">
        <v>4809</v>
      </c>
      <c r="F1804" s="2" t="s">
        <v>4810</v>
      </c>
      <c r="G1804" s="2" t="s">
        <v>618</v>
      </c>
      <c r="H1804" s="17">
        <v>25</v>
      </c>
      <c r="I1804" s="31">
        <f t="shared" si="174"/>
        <v>25000</v>
      </c>
      <c r="J1804" s="31">
        <f t="shared" si="175"/>
        <v>1750.0000000000002</v>
      </c>
      <c r="K1804" s="44">
        <f t="shared" si="176"/>
        <v>4.794520547945206</v>
      </c>
      <c r="L1804" s="3">
        <f t="shared" si="177"/>
        <v>354.79452054794524</v>
      </c>
      <c r="M1804" s="3">
        <f t="shared" si="178"/>
        <v>21.287671232876715</v>
      </c>
      <c r="N1804" s="67">
        <f t="shared" si="179"/>
        <v>333.50684931506851</v>
      </c>
      <c r="O1804" s="3"/>
      <c r="P1804" s="70" t="s">
        <v>18635</v>
      </c>
      <c r="Q1804" s="2" t="s">
        <v>932</v>
      </c>
      <c r="R1804" s="2" t="s">
        <v>4811</v>
      </c>
      <c r="T1804" t="s">
        <v>18666</v>
      </c>
      <c r="U1804" t="s">
        <v>18652</v>
      </c>
      <c r="V1804" s="104">
        <v>45857</v>
      </c>
      <c r="X1804" s="97"/>
      <c r="Y1804" s="75">
        <v>333.51</v>
      </c>
    </row>
    <row r="1805" spans="1:25" x14ac:dyDescent="0.25">
      <c r="A1805" s="76">
        <v>1837</v>
      </c>
      <c r="B1805" s="2" t="s">
        <v>6325</v>
      </c>
      <c r="C1805" s="2" t="s">
        <v>6326</v>
      </c>
      <c r="D1805" s="2" t="s">
        <v>6327</v>
      </c>
      <c r="E1805" s="2" t="s">
        <v>6328</v>
      </c>
      <c r="F1805" s="2" t="s">
        <v>6329</v>
      </c>
      <c r="G1805" s="2" t="s">
        <v>151</v>
      </c>
      <c r="H1805" s="17">
        <v>50</v>
      </c>
      <c r="I1805" s="31">
        <f t="shared" si="174"/>
        <v>50000</v>
      </c>
      <c r="J1805" s="31">
        <f t="shared" si="175"/>
        <v>3500.0000000000005</v>
      </c>
      <c r="K1805" s="44">
        <f t="shared" si="176"/>
        <v>9.589041095890412</v>
      </c>
      <c r="L1805" s="3">
        <f t="shared" si="177"/>
        <v>709.58904109589048</v>
      </c>
      <c r="M1805" s="3">
        <f t="shared" si="178"/>
        <v>42.57534246575343</v>
      </c>
      <c r="N1805" s="67">
        <f t="shared" si="179"/>
        <v>667.01369863013701</v>
      </c>
      <c r="O1805" s="3"/>
      <c r="P1805" s="70" t="s">
        <v>18635</v>
      </c>
      <c r="Q1805" s="2" t="s">
        <v>932</v>
      </c>
      <c r="R1805" s="2" t="s">
        <v>6330</v>
      </c>
      <c r="T1805" t="s">
        <v>18666</v>
      </c>
      <c r="U1805" t="s">
        <v>18652</v>
      </c>
      <c r="V1805" s="104">
        <v>45857</v>
      </c>
      <c r="X1805" s="97"/>
      <c r="Y1805" s="75">
        <v>667.02</v>
      </c>
    </row>
    <row r="1806" spans="1:25" x14ac:dyDescent="0.25">
      <c r="A1806" s="76">
        <v>1838</v>
      </c>
      <c r="B1806" s="2" t="s">
        <v>13456</v>
      </c>
      <c r="C1806" s="2" t="s">
        <v>13457</v>
      </c>
      <c r="D1806" s="2" t="s">
        <v>13458</v>
      </c>
      <c r="E1806" s="2" t="s">
        <v>13459</v>
      </c>
      <c r="F1806" s="2" t="s">
        <v>13460</v>
      </c>
      <c r="G1806" s="2" t="s">
        <v>151</v>
      </c>
      <c r="H1806" s="17">
        <v>25</v>
      </c>
      <c r="I1806" s="31">
        <f t="shared" si="174"/>
        <v>25000</v>
      </c>
      <c r="J1806" s="31">
        <f t="shared" si="175"/>
        <v>1750.0000000000002</v>
      </c>
      <c r="K1806" s="44">
        <f t="shared" si="176"/>
        <v>4.794520547945206</v>
      </c>
      <c r="L1806" s="3">
        <f t="shared" si="177"/>
        <v>354.79452054794524</v>
      </c>
      <c r="M1806" s="3">
        <f t="shared" si="178"/>
        <v>21.287671232876715</v>
      </c>
      <c r="N1806" s="67">
        <f t="shared" si="179"/>
        <v>333.50684931506851</v>
      </c>
      <c r="O1806" s="3"/>
      <c r="P1806" s="70" t="s">
        <v>18635</v>
      </c>
      <c r="Q1806" s="2" t="s">
        <v>932</v>
      </c>
      <c r="R1806" s="2" t="s">
        <v>13461</v>
      </c>
      <c r="T1806" t="s">
        <v>18666</v>
      </c>
      <c r="U1806" t="s">
        <v>18652</v>
      </c>
      <c r="V1806" s="104">
        <v>45857</v>
      </c>
      <c r="X1806" s="97"/>
      <c r="Y1806" s="75">
        <v>333.51</v>
      </c>
    </row>
    <row r="1807" spans="1:25" x14ac:dyDescent="0.25">
      <c r="A1807" s="76">
        <v>1839</v>
      </c>
      <c r="B1807" s="2" t="s">
        <v>14466</v>
      </c>
      <c r="C1807" s="2" t="s">
        <v>14467</v>
      </c>
      <c r="D1807" s="2" t="s">
        <v>14468</v>
      </c>
      <c r="E1807" s="2" t="s">
        <v>14469</v>
      </c>
      <c r="F1807" s="2" t="s">
        <v>14470</v>
      </c>
      <c r="G1807" s="2" t="s">
        <v>31</v>
      </c>
      <c r="H1807" s="17">
        <v>500</v>
      </c>
      <c r="I1807" s="31">
        <f t="shared" si="174"/>
        <v>500000</v>
      </c>
      <c r="J1807" s="31">
        <f t="shared" si="175"/>
        <v>35000</v>
      </c>
      <c r="K1807" s="44">
        <f t="shared" si="176"/>
        <v>95.890410958904113</v>
      </c>
      <c r="L1807" s="3">
        <f t="shared" si="177"/>
        <v>7095.8904109589039</v>
      </c>
      <c r="M1807" s="3">
        <f t="shared" si="178"/>
        <v>425.7534246575342</v>
      </c>
      <c r="N1807" s="67">
        <f t="shared" si="179"/>
        <v>6670.1369863013697</v>
      </c>
      <c r="O1807" s="3"/>
      <c r="P1807" s="70" t="s">
        <v>18635</v>
      </c>
      <c r="Q1807" s="2" t="s">
        <v>932</v>
      </c>
      <c r="R1807" s="2" t="s">
        <v>14471</v>
      </c>
      <c r="T1807" t="s">
        <v>18666</v>
      </c>
      <c r="U1807" t="s">
        <v>18652</v>
      </c>
      <c r="V1807" s="104">
        <v>45857</v>
      </c>
      <c r="X1807" s="97"/>
      <c r="Y1807" s="75">
        <v>6670.14</v>
      </c>
    </row>
    <row r="1808" spans="1:25" x14ac:dyDescent="0.25">
      <c r="A1808" s="76">
        <v>1840</v>
      </c>
      <c r="B1808" s="2" t="s">
        <v>17795</v>
      </c>
      <c r="C1808" s="2" t="s">
        <v>17796</v>
      </c>
      <c r="D1808" s="2" t="s">
        <v>17797</v>
      </c>
      <c r="E1808" s="2" t="s">
        <v>10972</v>
      </c>
      <c r="F1808" s="2" t="s">
        <v>17798</v>
      </c>
      <c r="G1808" s="2" t="s">
        <v>599</v>
      </c>
      <c r="H1808" s="17">
        <v>25</v>
      </c>
      <c r="I1808" s="31">
        <f t="shared" si="174"/>
        <v>25000</v>
      </c>
      <c r="J1808" s="31">
        <f t="shared" si="175"/>
        <v>1750.0000000000002</v>
      </c>
      <c r="K1808" s="44">
        <f t="shared" si="176"/>
        <v>4.794520547945206</v>
      </c>
      <c r="L1808" s="3">
        <f t="shared" si="177"/>
        <v>354.79452054794524</v>
      </c>
      <c r="M1808" s="3">
        <f t="shared" si="178"/>
        <v>21.287671232876715</v>
      </c>
      <c r="N1808" s="67">
        <f t="shared" si="179"/>
        <v>333.50684931506851</v>
      </c>
      <c r="O1808" s="3"/>
      <c r="P1808" s="70" t="s">
        <v>18635</v>
      </c>
      <c r="Q1808" s="2" t="s">
        <v>932</v>
      </c>
      <c r="R1808" s="2" t="s">
        <v>17799</v>
      </c>
      <c r="T1808" t="s">
        <v>18666</v>
      </c>
      <c r="U1808" t="s">
        <v>18652</v>
      </c>
      <c r="V1808" s="104">
        <v>45857</v>
      </c>
      <c r="X1808" s="97"/>
      <c r="Y1808" s="75">
        <v>333.51</v>
      </c>
    </row>
    <row r="1809" spans="1:25" x14ac:dyDescent="0.25">
      <c r="A1809" s="76">
        <v>1841</v>
      </c>
      <c r="B1809" s="2" t="s">
        <v>16161</v>
      </c>
      <c r="C1809" s="2" t="s">
        <v>16162</v>
      </c>
      <c r="D1809" s="2" t="s">
        <v>16163</v>
      </c>
      <c r="E1809" s="2" t="s">
        <v>16164</v>
      </c>
      <c r="F1809" s="2" t="s">
        <v>16165</v>
      </c>
      <c r="G1809" s="2" t="s">
        <v>4575</v>
      </c>
      <c r="H1809" s="17">
        <v>75</v>
      </c>
      <c r="I1809" s="31">
        <f t="shared" si="174"/>
        <v>75000</v>
      </c>
      <c r="J1809" s="31">
        <f t="shared" si="175"/>
        <v>5250.0000000000009</v>
      </c>
      <c r="K1809" s="44">
        <f t="shared" si="176"/>
        <v>14.38356164383562</v>
      </c>
      <c r="L1809" s="3">
        <f t="shared" si="177"/>
        <v>1064.3835616438359</v>
      </c>
      <c r="M1809" s="3">
        <f t="shared" si="178"/>
        <v>63.863013698630155</v>
      </c>
      <c r="N1809" s="67">
        <f t="shared" si="179"/>
        <v>1000.5205479452057</v>
      </c>
      <c r="O1809" s="3"/>
      <c r="P1809" s="70" t="s">
        <v>18635</v>
      </c>
      <c r="Q1809" s="2" t="s">
        <v>932</v>
      </c>
      <c r="R1809" s="2" t="s">
        <v>16166</v>
      </c>
      <c r="T1809" t="s">
        <v>18666</v>
      </c>
      <c r="U1809" t="s">
        <v>18652</v>
      </c>
      <c r="V1809" s="104">
        <v>45857</v>
      </c>
      <c r="X1809" s="97"/>
      <c r="Y1809" s="75">
        <v>1000.53</v>
      </c>
    </row>
    <row r="1810" spans="1:25" x14ac:dyDescent="0.25">
      <c r="A1810" s="76">
        <v>1842</v>
      </c>
      <c r="B1810" s="2" t="s">
        <v>8432</v>
      </c>
      <c r="C1810" s="2" t="s">
        <v>8433</v>
      </c>
      <c r="D1810" s="2" t="s">
        <v>8434</v>
      </c>
      <c r="E1810" s="2" t="s">
        <v>8435</v>
      </c>
      <c r="F1810" s="2" t="s">
        <v>8436</v>
      </c>
      <c r="G1810" s="2" t="s">
        <v>39</v>
      </c>
      <c r="H1810" s="17">
        <v>50</v>
      </c>
      <c r="I1810" s="31">
        <f t="shared" ref="I1810:I1873" si="180">H1810*1000</f>
        <v>50000</v>
      </c>
      <c r="J1810" s="31">
        <f t="shared" ref="J1810:J1873" si="181">I1810*7%</f>
        <v>3500.0000000000005</v>
      </c>
      <c r="K1810" s="44">
        <f t="shared" ref="K1810:K1873" si="182">J1810/365</f>
        <v>9.589041095890412</v>
      </c>
      <c r="L1810" s="3">
        <f t="shared" ref="L1810:L1873" si="183">K1810*74</f>
        <v>709.58904109589048</v>
      </c>
      <c r="M1810" s="3">
        <f t="shared" ref="M1810:M1873" si="184">L1810*6%</f>
        <v>42.57534246575343</v>
      </c>
      <c r="N1810" s="67">
        <f t="shared" ref="N1810:N1873" si="185">L1810-M1810</f>
        <v>667.01369863013701</v>
      </c>
      <c r="O1810" s="3"/>
      <c r="P1810" s="70" t="s">
        <v>18635</v>
      </c>
      <c r="Q1810" s="2" t="s">
        <v>932</v>
      </c>
      <c r="R1810" s="2" t="s">
        <v>8437</v>
      </c>
      <c r="T1810" t="s">
        <v>18666</v>
      </c>
      <c r="U1810" t="s">
        <v>18652</v>
      </c>
      <c r="V1810" s="104">
        <v>45857</v>
      </c>
      <c r="X1810" s="97"/>
      <c r="Y1810" s="75">
        <v>667.02</v>
      </c>
    </row>
    <row r="1811" spans="1:25" x14ac:dyDescent="0.25">
      <c r="A1811" s="76">
        <v>1843</v>
      </c>
      <c r="B1811" s="2" t="s">
        <v>1081</v>
      </c>
      <c r="C1811" s="2" t="s">
        <v>1082</v>
      </c>
      <c r="D1811" s="2" t="s">
        <v>1083</v>
      </c>
      <c r="E1811" s="2" t="s">
        <v>1084</v>
      </c>
      <c r="F1811" s="2" t="s">
        <v>1085</v>
      </c>
      <c r="G1811" s="2" t="s">
        <v>275</v>
      </c>
      <c r="H1811" s="17">
        <v>100</v>
      </c>
      <c r="I1811" s="31">
        <f t="shared" si="180"/>
        <v>100000</v>
      </c>
      <c r="J1811" s="31">
        <f t="shared" si="181"/>
        <v>7000.0000000000009</v>
      </c>
      <c r="K1811" s="44">
        <f t="shared" si="182"/>
        <v>19.178082191780824</v>
      </c>
      <c r="L1811" s="3">
        <f t="shared" si="183"/>
        <v>1419.178082191781</v>
      </c>
      <c r="M1811" s="3">
        <f t="shared" si="184"/>
        <v>85.150684931506859</v>
      </c>
      <c r="N1811" s="67">
        <f t="shared" si="185"/>
        <v>1334.027397260274</v>
      </c>
      <c r="O1811" s="3"/>
      <c r="P1811" s="70" t="s">
        <v>18635</v>
      </c>
      <c r="Q1811" s="2" t="s">
        <v>932</v>
      </c>
      <c r="R1811" s="2" t="s">
        <v>1086</v>
      </c>
      <c r="T1811" t="s">
        <v>18666</v>
      </c>
      <c r="U1811" t="s">
        <v>18652</v>
      </c>
      <c r="V1811" s="104">
        <v>45857</v>
      </c>
      <c r="X1811" s="97"/>
      <c r="Y1811" s="75">
        <v>1334.03</v>
      </c>
    </row>
    <row r="1812" spans="1:25" x14ac:dyDescent="0.25">
      <c r="A1812" s="76">
        <v>1844</v>
      </c>
      <c r="B1812" s="2" t="s">
        <v>13263</v>
      </c>
      <c r="C1812" s="2" t="s">
        <v>12752</v>
      </c>
      <c r="D1812" s="2" t="s">
        <v>13264</v>
      </c>
      <c r="E1812" s="2" t="s">
        <v>13265</v>
      </c>
      <c r="F1812" s="2" t="s">
        <v>13266</v>
      </c>
      <c r="G1812" s="2" t="s">
        <v>618</v>
      </c>
      <c r="H1812" s="17">
        <v>25</v>
      </c>
      <c r="I1812" s="31">
        <f t="shared" si="180"/>
        <v>25000</v>
      </c>
      <c r="J1812" s="31">
        <f t="shared" si="181"/>
        <v>1750.0000000000002</v>
      </c>
      <c r="K1812" s="44">
        <f t="shared" si="182"/>
        <v>4.794520547945206</v>
      </c>
      <c r="L1812" s="3">
        <f t="shared" si="183"/>
        <v>354.79452054794524</v>
      </c>
      <c r="M1812" s="3">
        <f t="shared" si="184"/>
        <v>21.287671232876715</v>
      </c>
      <c r="N1812" s="67">
        <f t="shared" si="185"/>
        <v>333.50684931506851</v>
      </c>
      <c r="O1812" s="3"/>
      <c r="P1812" s="70" t="s">
        <v>18635</v>
      </c>
      <c r="Q1812" s="2" t="s">
        <v>932</v>
      </c>
      <c r="R1812" s="2" t="s">
        <v>13267</v>
      </c>
      <c r="T1812" t="s">
        <v>18666</v>
      </c>
      <c r="U1812" t="s">
        <v>18652</v>
      </c>
      <c r="V1812" s="104">
        <v>45857</v>
      </c>
      <c r="X1812" s="97"/>
      <c r="Y1812" s="75">
        <v>333.51</v>
      </c>
    </row>
    <row r="1813" spans="1:25" x14ac:dyDescent="0.25">
      <c r="A1813" s="76">
        <v>1845</v>
      </c>
      <c r="B1813" s="2" t="s">
        <v>12821</v>
      </c>
      <c r="C1813" s="2" t="s">
        <v>12822</v>
      </c>
      <c r="D1813" s="2" t="s">
        <v>12823</v>
      </c>
      <c r="E1813" s="2" t="s">
        <v>12824</v>
      </c>
      <c r="F1813" s="2" t="s">
        <v>3840</v>
      </c>
      <c r="G1813" s="2" t="s">
        <v>193</v>
      </c>
      <c r="H1813" s="17">
        <v>25</v>
      </c>
      <c r="I1813" s="31">
        <f t="shared" si="180"/>
        <v>25000</v>
      </c>
      <c r="J1813" s="31">
        <f t="shared" si="181"/>
        <v>1750.0000000000002</v>
      </c>
      <c r="K1813" s="44">
        <f t="shared" si="182"/>
        <v>4.794520547945206</v>
      </c>
      <c r="L1813" s="3">
        <f t="shared" si="183"/>
        <v>354.79452054794524</v>
      </c>
      <c r="M1813" s="3">
        <f t="shared" si="184"/>
        <v>21.287671232876715</v>
      </c>
      <c r="N1813" s="67">
        <f t="shared" si="185"/>
        <v>333.50684931506851</v>
      </c>
      <c r="O1813" s="3"/>
      <c r="P1813" s="70" t="s">
        <v>18635</v>
      </c>
      <c r="Q1813" s="2" t="s">
        <v>932</v>
      </c>
      <c r="R1813" s="2" t="s">
        <v>12825</v>
      </c>
      <c r="T1813" t="s">
        <v>18666</v>
      </c>
      <c r="U1813" t="s">
        <v>18652</v>
      </c>
      <c r="V1813" s="104">
        <v>45857</v>
      </c>
      <c r="X1813" s="97"/>
      <c r="Y1813" s="75">
        <v>333.51</v>
      </c>
    </row>
    <row r="1814" spans="1:25" x14ac:dyDescent="0.25">
      <c r="A1814" s="76">
        <v>1846</v>
      </c>
      <c r="B1814" s="2" t="s">
        <v>16465</v>
      </c>
      <c r="C1814" s="2" t="s">
        <v>16466</v>
      </c>
      <c r="D1814" s="2" t="s">
        <v>16467</v>
      </c>
      <c r="E1814" s="2" t="s">
        <v>16468</v>
      </c>
      <c r="F1814" s="2" t="s">
        <v>16469</v>
      </c>
      <c r="G1814" s="2" t="s">
        <v>61</v>
      </c>
      <c r="H1814" s="17">
        <v>25</v>
      </c>
      <c r="I1814" s="31">
        <f t="shared" si="180"/>
        <v>25000</v>
      </c>
      <c r="J1814" s="31">
        <f t="shared" si="181"/>
        <v>1750.0000000000002</v>
      </c>
      <c r="K1814" s="44">
        <f t="shared" si="182"/>
        <v>4.794520547945206</v>
      </c>
      <c r="L1814" s="3">
        <f t="shared" si="183"/>
        <v>354.79452054794524</v>
      </c>
      <c r="M1814" s="3">
        <f t="shared" si="184"/>
        <v>21.287671232876715</v>
      </c>
      <c r="N1814" s="67">
        <f t="shared" si="185"/>
        <v>333.50684931506851</v>
      </c>
      <c r="O1814" s="3"/>
      <c r="P1814" s="70" t="s">
        <v>18635</v>
      </c>
      <c r="Q1814" s="2" t="s">
        <v>932</v>
      </c>
      <c r="R1814" s="2" t="s">
        <v>16470</v>
      </c>
      <c r="T1814" t="s">
        <v>18666</v>
      </c>
      <c r="U1814" t="s">
        <v>18652</v>
      </c>
      <c r="V1814" s="104">
        <v>45857</v>
      </c>
      <c r="X1814" s="97"/>
      <c r="Y1814" s="75">
        <v>333.51</v>
      </c>
    </row>
    <row r="1815" spans="1:25" x14ac:dyDescent="0.25">
      <c r="A1815" s="76">
        <v>1847</v>
      </c>
      <c r="B1815" s="2" t="s">
        <v>17735</v>
      </c>
      <c r="C1815" s="2" t="s">
        <v>17736</v>
      </c>
      <c r="D1815" s="2" t="s">
        <v>17737</v>
      </c>
      <c r="E1815" s="2" t="s">
        <v>17738</v>
      </c>
      <c r="F1815" s="2" t="s">
        <v>17739</v>
      </c>
      <c r="G1815" s="2" t="s">
        <v>328</v>
      </c>
      <c r="H1815" s="17">
        <v>25</v>
      </c>
      <c r="I1815" s="31">
        <f t="shared" si="180"/>
        <v>25000</v>
      </c>
      <c r="J1815" s="31">
        <f t="shared" si="181"/>
        <v>1750.0000000000002</v>
      </c>
      <c r="K1815" s="44">
        <f t="shared" si="182"/>
        <v>4.794520547945206</v>
      </c>
      <c r="L1815" s="3">
        <f t="shared" si="183"/>
        <v>354.79452054794524</v>
      </c>
      <c r="M1815" s="3">
        <f t="shared" si="184"/>
        <v>21.287671232876715</v>
      </c>
      <c r="N1815" s="67">
        <f t="shared" si="185"/>
        <v>333.50684931506851</v>
      </c>
      <c r="O1815" s="3"/>
      <c r="P1815" s="70" t="s">
        <v>18635</v>
      </c>
      <c r="Q1815" s="2" t="s">
        <v>932</v>
      </c>
      <c r="R1815" s="2" t="s">
        <v>17740</v>
      </c>
      <c r="T1815" t="s">
        <v>18666</v>
      </c>
      <c r="U1815" t="s">
        <v>18652</v>
      </c>
      <c r="V1815" s="104">
        <v>45857</v>
      </c>
      <c r="X1815" s="97"/>
      <c r="Y1815" s="75">
        <v>333.51</v>
      </c>
    </row>
    <row r="1816" spans="1:25" x14ac:dyDescent="0.25">
      <c r="A1816" s="76">
        <v>1848</v>
      </c>
      <c r="B1816" s="2" t="s">
        <v>4392</v>
      </c>
      <c r="C1816" s="2" t="s">
        <v>4393</v>
      </c>
      <c r="D1816" s="2" t="s">
        <v>4394</v>
      </c>
      <c r="E1816" s="2" t="s">
        <v>4395</v>
      </c>
      <c r="F1816" s="2" t="s">
        <v>4396</v>
      </c>
      <c r="G1816" s="2" t="s">
        <v>166</v>
      </c>
      <c r="H1816" s="17">
        <v>25</v>
      </c>
      <c r="I1816" s="31">
        <f t="shared" si="180"/>
        <v>25000</v>
      </c>
      <c r="J1816" s="31">
        <f t="shared" si="181"/>
        <v>1750.0000000000002</v>
      </c>
      <c r="K1816" s="44">
        <f t="shared" si="182"/>
        <v>4.794520547945206</v>
      </c>
      <c r="L1816" s="3">
        <f t="shared" si="183"/>
        <v>354.79452054794524</v>
      </c>
      <c r="M1816" s="3">
        <f t="shared" si="184"/>
        <v>21.287671232876715</v>
      </c>
      <c r="N1816" s="67">
        <f t="shared" si="185"/>
        <v>333.50684931506851</v>
      </c>
      <c r="O1816" s="3"/>
      <c r="P1816" s="70" t="s">
        <v>18635</v>
      </c>
      <c r="Q1816" s="2" t="s">
        <v>932</v>
      </c>
      <c r="R1816" s="2" t="s">
        <v>4397</v>
      </c>
      <c r="T1816" t="s">
        <v>18666</v>
      </c>
      <c r="U1816" t="s">
        <v>18652</v>
      </c>
      <c r="V1816" s="104">
        <v>45857</v>
      </c>
      <c r="X1816" s="97"/>
      <c r="Y1816" s="75">
        <v>333.51</v>
      </c>
    </row>
    <row r="1817" spans="1:25" x14ac:dyDescent="0.25">
      <c r="A1817" s="76">
        <v>1849</v>
      </c>
      <c r="B1817" s="2" t="s">
        <v>12826</v>
      </c>
      <c r="C1817" s="2" t="s">
        <v>12824</v>
      </c>
      <c r="D1817" s="2" t="s">
        <v>12827</v>
      </c>
      <c r="E1817" s="2" t="s">
        <v>12828</v>
      </c>
      <c r="F1817" s="2" t="s">
        <v>12829</v>
      </c>
      <c r="G1817" s="2" t="s">
        <v>5013</v>
      </c>
      <c r="H1817" s="17">
        <v>25</v>
      </c>
      <c r="I1817" s="31">
        <f t="shared" si="180"/>
        <v>25000</v>
      </c>
      <c r="J1817" s="31">
        <f t="shared" si="181"/>
        <v>1750.0000000000002</v>
      </c>
      <c r="K1817" s="44">
        <f t="shared" si="182"/>
        <v>4.794520547945206</v>
      </c>
      <c r="L1817" s="3">
        <f t="shared" si="183"/>
        <v>354.79452054794524</v>
      </c>
      <c r="M1817" s="3">
        <f t="shared" si="184"/>
        <v>21.287671232876715</v>
      </c>
      <c r="N1817" s="67">
        <f t="shared" si="185"/>
        <v>333.50684931506851</v>
      </c>
      <c r="O1817" s="3"/>
      <c r="P1817" s="70" t="s">
        <v>18635</v>
      </c>
      <c r="Q1817" s="2" t="s">
        <v>932</v>
      </c>
      <c r="R1817" s="2" t="s">
        <v>12830</v>
      </c>
      <c r="T1817" t="s">
        <v>18666</v>
      </c>
      <c r="U1817" t="s">
        <v>18652</v>
      </c>
      <c r="V1817" s="104">
        <v>45857</v>
      </c>
      <c r="X1817" s="97"/>
      <c r="Y1817" s="75">
        <v>333.51</v>
      </c>
    </row>
    <row r="1818" spans="1:25" x14ac:dyDescent="0.25">
      <c r="A1818" s="76">
        <v>1850</v>
      </c>
      <c r="B1818" s="2" t="s">
        <v>5509</v>
      </c>
      <c r="C1818" s="2" t="s">
        <v>5510</v>
      </c>
      <c r="D1818" s="2" t="s">
        <v>5511</v>
      </c>
      <c r="E1818" s="2" t="s">
        <v>5512</v>
      </c>
      <c r="F1818" s="2" t="s">
        <v>5513</v>
      </c>
      <c r="G1818" s="2" t="s">
        <v>151</v>
      </c>
      <c r="H1818" s="17">
        <v>30</v>
      </c>
      <c r="I1818" s="31">
        <f t="shared" si="180"/>
        <v>30000</v>
      </c>
      <c r="J1818" s="31">
        <f t="shared" si="181"/>
        <v>2100</v>
      </c>
      <c r="K1818" s="44">
        <f t="shared" si="182"/>
        <v>5.7534246575342465</v>
      </c>
      <c r="L1818" s="3">
        <f t="shared" si="183"/>
        <v>425.75342465753425</v>
      </c>
      <c r="M1818" s="3">
        <f t="shared" si="184"/>
        <v>25.545205479452054</v>
      </c>
      <c r="N1818" s="67">
        <f t="shared" si="185"/>
        <v>400.20821917808217</v>
      </c>
      <c r="O1818" s="3"/>
      <c r="P1818" s="70" t="s">
        <v>18635</v>
      </c>
      <c r="Q1818" s="2" t="s">
        <v>932</v>
      </c>
      <c r="R1818" s="2" t="s">
        <v>5514</v>
      </c>
      <c r="T1818" t="s">
        <v>18666</v>
      </c>
      <c r="U1818" t="s">
        <v>18652</v>
      </c>
      <c r="V1818" s="104">
        <v>45857</v>
      </c>
      <c r="X1818" s="97"/>
      <c r="Y1818" s="75">
        <v>400.21</v>
      </c>
    </row>
    <row r="1819" spans="1:25" x14ac:dyDescent="0.25">
      <c r="A1819" s="76">
        <v>1851</v>
      </c>
      <c r="B1819" s="2" t="s">
        <v>14631</v>
      </c>
      <c r="C1819" s="2" t="s">
        <v>14632</v>
      </c>
      <c r="D1819" s="2" t="s">
        <v>14633</v>
      </c>
      <c r="E1819" s="2" t="s">
        <v>14634</v>
      </c>
      <c r="F1819" s="2" t="s">
        <v>14635</v>
      </c>
      <c r="G1819" s="2" t="s">
        <v>680</v>
      </c>
      <c r="H1819" s="17">
        <v>25</v>
      </c>
      <c r="I1819" s="31">
        <f t="shared" si="180"/>
        <v>25000</v>
      </c>
      <c r="J1819" s="31">
        <f t="shared" si="181"/>
        <v>1750.0000000000002</v>
      </c>
      <c r="K1819" s="44">
        <f t="shared" si="182"/>
        <v>4.794520547945206</v>
      </c>
      <c r="L1819" s="3">
        <f t="shared" si="183"/>
        <v>354.79452054794524</v>
      </c>
      <c r="M1819" s="3">
        <f t="shared" si="184"/>
        <v>21.287671232876715</v>
      </c>
      <c r="N1819" s="67">
        <f t="shared" si="185"/>
        <v>333.50684931506851</v>
      </c>
      <c r="O1819" s="3"/>
      <c r="P1819" s="70" t="s">
        <v>18635</v>
      </c>
      <c r="Q1819" s="2" t="s">
        <v>932</v>
      </c>
      <c r="R1819" s="2" t="s">
        <v>14636</v>
      </c>
      <c r="T1819" t="s">
        <v>18666</v>
      </c>
      <c r="U1819" t="s">
        <v>18652</v>
      </c>
      <c r="V1819" s="104">
        <v>45857</v>
      </c>
      <c r="X1819" s="97"/>
      <c r="Y1819" s="75">
        <v>333.51</v>
      </c>
    </row>
    <row r="1820" spans="1:25" x14ac:dyDescent="0.25">
      <c r="A1820" s="76">
        <v>1852</v>
      </c>
      <c r="B1820" s="2" t="s">
        <v>927</v>
      </c>
      <c r="C1820" s="2" t="s">
        <v>928</v>
      </c>
      <c r="D1820" s="2" t="s">
        <v>929</v>
      </c>
      <c r="E1820" s="2" t="s">
        <v>930</v>
      </c>
      <c r="F1820" s="2" t="s">
        <v>931</v>
      </c>
      <c r="G1820" s="2" t="s">
        <v>599</v>
      </c>
      <c r="H1820" s="17">
        <v>25</v>
      </c>
      <c r="I1820" s="31">
        <f t="shared" si="180"/>
        <v>25000</v>
      </c>
      <c r="J1820" s="31">
        <f t="shared" si="181"/>
        <v>1750.0000000000002</v>
      </c>
      <c r="K1820" s="44">
        <f t="shared" si="182"/>
        <v>4.794520547945206</v>
      </c>
      <c r="L1820" s="3">
        <f t="shared" si="183"/>
        <v>354.79452054794524</v>
      </c>
      <c r="M1820" s="3">
        <f t="shared" si="184"/>
        <v>21.287671232876715</v>
      </c>
      <c r="N1820" s="67">
        <f t="shared" si="185"/>
        <v>333.50684931506851</v>
      </c>
      <c r="O1820" s="3"/>
      <c r="P1820" s="70" t="s">
        <v>18635</v>
      </c>
      <c r="Q1820" s="2" t="s">
        <v>932</v>
      </c>
      <c r="R1820" s="2" t="s">
        <v>933</v>
      </c>
      <c r="T1820" t="s">
        <v>18666</v>
      </c>
      <c r="U1820" t="s">
        <v>18652</v>
      </c>
      <c r="V1820" s="104">
        <v>45857</v>
      </c>
      <c r="X1820" s="97"/>
      <c r="Y1820" s="75">
        <v>333.51</v>
      </c>
    </row>
    <row r="1821" spans="1:25" x14ac:dyDescent="0.25">
      <c r="A1821" s="76">
        <v>1853</v>
      </c>
      <c r="B1821" s="2" t="s">
        <v>9499</v>
      </c>
      <c r="C1821" s="2" t="s">
        <v>9500</v>
      </c>
      <c r="D1821" s="2" t="s">
        <v>9501</v>
      </c>
      <c r="E1821" s="2" t="s">
        <v>2424</v>
      </c>
      <c r="F1821" s="2" t="s">
        <v>9502</v>
      </c>
      <c r="G1821" s="2" t="s">
        <v>218</v>
      </c>
      <c r="H1821" s="17">
        <v>25</v>
      </c>
      <c r="I1821" s="31">
        <f t="shared" si="180"/>
        <v>25000</v>
      </c>
      <c r="J1821" s="31">
        <f t="shared" si="181"/>
        <v>1750.0000000000002</v>
      </c>
      <c r="K1821" s="44">
        <f t="shared" si="182"/>
        <v>4.794520547945206</v>
      </c>
      <c r="L1821" s="3">
        <f t="shared" si="183"/>
        <v>354.79452054794524</v>
      </c>
      <c r="M1821" s="3">
        <f t="shared" si="184"/>
        <v>21.287671232876715</v>
      </c>
      <c r="N1821" s="67">
        <f t="shared" si="185"/>
        <v>333.50684931506851</v>
      </c>
      <c r="O1821" s="3"/>
      <c r="P1821" s="70" t="s">
        <v>18635</v>
      </c>
      <c r="Q1821" s="2" t="s">
        <v>932</v>
      </c>
      <c r="R1821" s="2" t="s">
        <v>9503</v>
      </c>
      <c r="T1821" t="s">
        <v>18666</v>
      </c>
      <c r="U1821" t="s">
        <v>18652</v>
      </c>
      <c r="V1821" s="104">
        <v>45857</v>
      </c>
      <c r="X1821" s="97"/>
      <c r="Y1821" s="75">
        <v>333.51</v>
      </c>
    </row>
    <row r="1822" spans="1:25" x14ac:dyDescent="0.25">
      <c r="A1822" s="76">
        <v>1854</v>
      </c>
      <c r="B1822" s="2" t="s">
        <v>9061</v>
      </c>
      <c r="C1822" s="2" t="s">
        <v>9062</v>
      </c>
      <c r="D1822" s="2" t="s">
        <v>9063</v>
      </c>
      <c r="E1822" s="2" t="s">
        <v>9064</v>
      </c>
      <c r="F1822" s="2" t="s">
        <v>9065</v>
      </c>
      <c r="G1822" s="2" t="s">
        <v>186</v>
      </c>
      <c r="H1822" s="17">
        <v>30</v>
      </c>
      <c r="I1822" s="31">
        <f t="shared" si="180"/>
        <v>30000</v>
      </c>
      <c r="J1822" s="31">
        <f t="shared" si="181"/>
        <v>2100</v>
      </c>
      <c r="K1822" s="44">
        <f t="shared" si="182"/>
        <v>5.7534246575342465</v>
      </c>
      <c r="L1822" s="3">
        <f t="shared" si="183"/>
        <v>425.75342465753425</v>
      </c>
      <c r="M1822" s="3">
        <f t="shared" si="184"/>
        <v>25.545205479452054</v>
      </c>
      <c r="N1822" s="67">
        <f t="shared" si="185"/>
        <v>400.20821917808217</v>
      </c>
      <c r="O1822" s="3"/>
      <c r="P1822" s="70" t="s">
        <v>18635</v>
      </c>
      <c r="Q1822" s="2" t="s">
        <v>932</v>
      </c>
      <c r="R1822" s="2" t="s">
        <v>9066</v>
      </c>
      <c r="T1822" t="s">
        <v>18666</v>
      </c>
      <c r="U1822" t="s">
        <v>18652</v>
      </c>
      <c r="V1822" s="104">
        <v>45857</v>
      </c>
      <c r="X1822" s="97"/>
      <c r="Y1822" s="75">
        <v>400.21</v>
      </c>
    </row>
    <row r="1823" spans="1:25" x14ac:dyDescent="0.25">
      <c r="A1823" s="76">
        <v>1855</v>
      </c>
      <c r="B1823" s="2" t="s">
        <v>10622</v>
      </c>
      <c r="C1823" s="2" t="s">
        <v>10623</v>
      </c>
      <c r="D1823" s="2" t="s">
        <v>10624</v>
      </c>
      <c r="E1823" s="2" t="s">
        <v>10625</v>
      </c>
      <c r="F1823" s="2" t="s">
        <v>10626</v>
      </c>
      <c r="G1823" s="2" t="s">
        <v>23</v>
      </c>
      <c r="H1823" s="17">
        <v>25</v>
      </c>
      <c r="I1823" s="31">
        <f t="shared" si="180"/>
        <v>25000</v>
      </c>
      <c r="J1823" s="31">
        <f t="shared" si="181"/>
        <v>1750.0000000000002</v>
      </c>
      <c r="K1823" s="44">
        <f t="shared" si="182"/>
        <v>4.794520547945206</v>
      </c>
      <c r="L1823" s="3">
        <f t="shared" si="183"/>
        <v>354.79452054794524</v>
      </c>
      <c r="M1823" s="3">
        <f t="shared" si="184"/>
        <v>21.287671232876715</v>
      </c>
      <c r="N1823" s="67">
        <f t="shared" si="185"/>
        <v>333.50684931506851</v>
      </c>
      <c r="O1823" s="3"/>
      <c r="P1823" s="70" t="s">
        <v>18635</v>
      </c>
      <c r="Q1823" s="2" t="s">
        <v>932</v>
      </c>
      <c r="R1823" s="2" t="s">
        <v>10627</v>
      </c>
      <c r="T1823" t="s">
        <v>18666</v>
      </c>
      <c r="U1823" t="s">
        <v>18652</v>
      </c>
      <c r="V1823" s="104">
        <v>45857</v>
      </c>
      <c r="X1823" s="97"/>
      <c r="Y1823" s="75">
        <v>333.51</v>
      </c>
    </row>
    <row r="1824" spans="1:25" x14ac:dyDescent="0.25">
      <c r="A1824" s="76">
        <v>1856</v>
      </c>
      <c r="B1824" s="2" t="s">
        <v>1486</v>
      </c>
      <c r="C1824" s="2" t="s">
        <v>1487</v>
      </c>
      <c r="D1824" s="2" t="s">
        <v>1488</v>
      </c>
      <c r="E1824" s="2" t="s">
        <v>1489</v>
      </c>
      <c r="F1824" s="2" t="s">
        <v>1490</v>
      </c>
      <c r="G1824" s="2" t="s">
        <v>151</v>
      </c>
      <c r="H1824" s="17">
        <v>25</v>
      </c>
      <c r="I1824" s="31">
        <f t="shared" si="180"/>
        <v>25000</v>
      </c>
      <c r="J1824" s="31">
        <f t="shared" si="181"/>
        <v>1750.0000000000002</v>
      </c>
      <c r="K1824" s="44">
        <f t="shared" si="182"/>
        <v>4.794520547945206</v>
      </c>
      <c r="L1824" s="3">
        <f t="shared" si="183"/>
        <v>354.79452054794524</v>
      </c>
      <c r="M1824" s="3">
        <f t="shared" si="184"/>
        <v>21.287671232876715</v>
      </c>
      <c r="N1824" s="67">
        <f t="shared" si="185"/>
        <v>333.50684931506851</v>
      </c>
      <c r="O1824" s="3"/>
      <c r="P1824" s="70" t="s">
        <v>18635</v>
      </c>
      <c r="Q1824" s="2" t="s">
        <v>932</v>
      </c>
      <c r="R1824" s="2" t="s">
        <v>1491</v>
      </c>
      <c r="T1824" t="s">
        <v>18666</v>
      </c>
      <c r="U1824" t="s">
        <v>18652</v>
      </c>
      <c r="V1824" s="104">
        <v>45857</v>
      </c>
      <c r="X1824" s="97"/>
      <c r="Y1824" s="75">
        <v>333.51</v>
      </c>
    </row>
    <row r="1825" spans="1:25" x14ac:dyDescent="0.25">
      <c r="A1825" s="76">
        <v>1857</v>
      </c>
      <c r="B1825" s="2" t="s">
        <v>17967</v>
      </c>
      <c r="C1825" s="2" t="s">
        <v>17968</v>
      </c>
      <c r="D1825" s="2" t="s">
        <v>17969</v>
      </c>
      <c r="E1825" s="2" t="s">
        <v>17970</v>
      </c>
      <c r="F1825" s="2" t="s">
        <v>17971</v>
      </c>
      <c r="G1825" s="2" t="s">
        <v>1823</v>
      </c>
      <c r="H1825" s="17">
        <v>25</v>
      </c>
      <c r="I1825" s="31">
        <f t="shared" si="180"/>
        <v>25000</v>
      </c>
      <c r="J1825" s="31">
        <f t="shared" si="181"/>
        <v>1750.0000000000002</v>
      </c>
      <c r="K1825" s="44">
        <f t="shared" si="182"/>
        <v>4.794520547945206</v>
      </c>
      <c r="L1825" s="3">
        <f t="shared" si="183"/>
        <v>354.79452054794524</v>
      </c>
      <c r="M1825" s="3">
        <f t="shared" si="184"/>
        <v>21.287671232876715</v>
      </c>
      <c r="N1825" s="67">
        <f t="shared" si="185"/>
        <v>333.50684931506851</v>
      </c>
      <c r="O1825" s="3"/>
      <c r="P1825" s="70" t="s">
        <v>18635</v>
      </c>
      <c r="Q1825" s="2" t="s">
        <v>932</v>
      </c>
      <c r="R1825" s="2" t="s">
        <v>17972</v>
      </c>
      <c r="T1825" t="s">
        <v>18666</v>
      </c>
      <c r="U1825" t="s">
        <v>18652</v>
      </c>
      <c r="V1825" s="104">
        <v>45857</v>
      </c>
      <c r="X1825" s="97"/>
      <c r="Y1825" s="75">
        <v>333.51</v>
      </c>
    </row>
    <row r="1826" spans="1:25" x14ac:dyDescent="0.25">
      <c r="A1826" s="76">
        <v>1858</v>
      </c>
      <c r="B1826" s="2" t="s">
        <v>16507</v>
      </c>
      <c r="C1826" s="2" t="s">
        <v>16508</v>
      </c>
      <c r="D1826" s="2" t="s">
        <v>16509</v>
      </c>
      <c r="E1826" s="2" t="s">
        <v>16510</v>
      </c>
      <c r="F1826" s="2" t="s">
        <v>16511</v>
      </c>
      <c r="G1826" s="2" t="s">
        <v>718</v>
      </c>
      <c r="H1826" s="17">
        <v>25</v>
      </c>
      <c r="I1826" s="31">
        <f t="shared" si="180"/>
        <v>25000</v>
      </c>
      <c r="J1826" s="31">
        <f t="shared" si="181"/>
        <v>1750.0000000000002</v>
      </c>
      <c r="K1826" s="44">
        <f t="shared" si="182"/>
        <v>4.794520547945206</v>
      </c>
      <c r="L1826" s="3">
        <f t="shared" si="183"/>
        <v>354.79452054794524</v>
      </c>
      <c r="M1826" s="3">
        <f t="shared" si="184"/>
        <v>21.287671232876715</v>
      </c>
      <c r="N1826" s="67">
        <f t="shared" si="185"/>
        <v>333.50684931506851</v>
      </c>
      <c r="O1826" s="3"/>
      <c r="P1826" s="70" t="s">
        <v>18635</v>
      </c>
      <c r="Q1826" s="2" t="s">
        <v>932</v>
      </c>
      <c r="R1826" s="2" t="s">
        <v>16512</v>
      </c>
      <c r="T1826" t="s">
        <v>18666</v>
      </c>
      <c r="U1826" t="s">
        <v>18652</v>
      </c>
      <c r="V1826" s="104">
        <v>45857</v>
      </c>
      <c r="X1826" s="97"/>
      <c r="Y1826" s="75">
        <v>333.51</v>
      </c>
    </row>
    <row r="1827" spans="1:25" x14ac:dyDescent="0.25">
      <c r="A1827" s="76">
        <v>1859</v>
      </c>
      <c r="B1827" s="2" t="s">
        <v>4357</v>
      </c>
      <c r="C1827" s="2" t="s">
        <v>4358</v>
      </c>
      <c r="D1827" s="2" t="s">
        <v>4359</v>
      </c>
      <c r="E1827" s="2" t="s">
        <v>4360</v>
      </c>
      <c r="F1827" s="2" t="s">
        <v>4361</v>
      </c>
      <c r="G1827" s="2" t="s">
        <v>618</v>
      </c>
      <c r="H1827" s="17">
        <v>25</v>
      </c>
      <c r="I1827" s="31">
        <f t="shared" si="180"/>
        <v>25000</v>
      </c>
      <c r="J1827" s="31">
        <f t="shared" si="181"/>
        <v>1750.0000000000002</v>
      </c>
      <c r="K1827" s="44">
        <f t="shared" si="182"/>
        <v>4.794520547945206</v>
      </c>
      <c r="L1827" s="3">
        <f t="shared" si="183"/>
        <v>354.79452054794524</v>
      </c>
      <c r="M1827" s="3">
        <f t="shared" si="184"/>
        <v>21.287671232876715</v>
      </c>
      <c r="N1827" s="67">
        <f t="shared" si="185"/>
        <v>333.50684931506851</v>
      </c>
      <c r="O1827" s="3"/>
      <c r="P1827" s="70" t="s">
        <v>18635</v>
      </c>
      <c r="Q1827" s="2" t="s">
        <v>932</v>
      </c>
      <c r="R1827" s="2" t="s">
        <v>4362</v>
      </c>
      <c r="T1827" t="s">
        <v>18666</v>
      </c>
      <c r="U1827" t="s">
        <v>18652</v>
      </c>
      <c r="V1827" s="104">
        <v>45857</v>
      </c>
      <c r="X1827" s="97"/>
      <c r="Y1827" s="75">
        <v>333.51</v>
      </c>
    </row>
    <row r="1828" spans="1:25" x14ac:dyDescent="0.25">
      <c r="A1828" s="76">
        <v>1860</v>
      </c>
      <c r="B1828" s="2" t="s">
        <v>10558</v>
      </c>
      <c r="C1828" s="2" t="s">
        <v>10559</v>
      </c>
      <c r="D1828" s="2" t="s">
        <v>10560</v>
      </c>
      <c r="E1828" s="2" t="s">
        <v>10561</v>
      </c>
      <c r="F1828" s="2" t="s">
        <v>10562</v>
      </c>
      <c r="G1828" s="2" t="s">
        <v>151</v>
      </c>
      <c r="H1828" s="17">
        <v>100</v>
      </c>
      <c r="I1828" s="31">
        <f t="shared" si="180"/>
        <v>100000</v>
      </c>
      <c r="J1828" s="31">
        <f t="shared" si="181"/>
        <v>7000.0000000000009</v>
      </c>
      <c r="K1828" s="44">
        <f t="shared" si="182"/>
        <v>19.178082191780824</v>
      </c>
      <c r="L1828" s="3">
        <f t="shared" si="183"/>
        <v>1419.178082191781</v>
      </c>
      <c r="M1828" s="3">
        <f t="shared" si="184"/>
        <v>85.150684931506859</v>
      </c>
      <c r="N1828" s="67">
        <f t="shared" si="185"/>
        <v>1334.027397260274</v>
      </c>
      <c r="O1828" s="3"/>
      <c r="P1828" s="70" t="s">
        <v>18635</v>
      </c>
      <c r="Q1828" s="2" t="s">
        <v>932</v>
      </c>
      <c r="R1828" s="2" t="s">
        <v>10563</v>
      </c>
      <c r="T1828" t="s">
        <v>18666</v>
      </c>
      <c r="U1828" t="s">
        <v>18652</v>
      </c>
      <c r="V1828" s="104">
        <v>45857</v>
      </c>
      <c r="X1828" s="97"/>
      <c r="Y1828" s="75">
        <v>1334.03</v>
      </c>
    </row>
    <row r="1829" spans="1:25" x14ac:dyDescent="0.25">
      <c r="A1829" s="76">
        <v>1861</v>
      </c>
      <c r="B1829" s="2" t="s">
        <v>12254</v>
      </c>
      <c r="C1829" s="2" t="s">
        <v>12255</v>
      </c>
      <c r="D1829" s="2" t="s">
        <v>12256</v>
      </c>
      <c r="E1829" s="2" t="s">
        <v>12257</v>
      </c>
      <c r="F1829" s="2" t="s">
        <v>12258</v>
      </c>
      <c r="G1829" s="2" t="s">
        <v>1136</v>
      </c>
      <c r="H1829" s="17">
        <v>25</v>
      </c>
      <c r="I1829" s="31">
        <f t="shared" si="180"/>
        <v>25000</v>
      </c>
      <c r="J1829" s="31">
        <f t="shared" si="181"/>
        <v>1750.0000000000002</v>
      </c>
      <c r="K1829" s="44">
        <f t="shared" si="182"/>
        <v>4.794520547945206</v>
      </c>
      <c r="L1829" s="3">
        <f t="shared" si="183"/>
        <v>354.79452054794524</v>
      </c>
      <c r="M1829" s="3">
        <f t="shared" si="184"/>
        <v>21.287671232876715</v>
      </c>
      <c r="N1829" s="67">
        <f t="shared" si="185"/>
        <v>333.50684931506851</v>
      </c>
      <c r="O1829" s="3"/>
      <c r="P1829" s="70" t="s">
        <v>18635</v>
      </c>
      <c r="Q1829" s="2" t="s">
        <v>932</v>
      </c>
      <c r="R1829" s="2" t="s">
        <v>12259</v>
      </c>
      <c r="T1829" t="s">
        <v>18666</v>
      </c>
      <c r="U1829" t="s">
        <v>18652</v>
      </c>
      <c r="V1829" s="104">
        <v>45857</v>
      </c>
      <c r="X1829" s="97"/>
      <c r="Y1829" s="75">
        <v>333.51</v>
      </c>
    </row>
    <row r="1830" spans="1:25" x14ac:dyDescent="0.25">
      <c r="A1830" s="76">
        <v>1862</v>
      </c>
      <c r="B1830" s="2" t="s">
        <v>13903</v>
      </c>
      <c r="C1830" s="2" t="s">
        <v>13904</v>
      </c>
      <c r="D1830" s="2" t="s">
        <v>13905</v>
      </c>
      <c r="E1830" s="2" t="s">
        <v>13906</v>
      </c>
      <c r="F1830" s="2" t="s">
        <v>13907</v>
      </c>
      <c r="G1830" s="2" t="s">
        <v>939</v>
      </c>
      <c r="H1830" s="17">
        <v>25</v>
      </c>
      <c r="I1830" s="31">
        <f t="shared" si="180"/>
        <v>25000</v>
      </c>
      <c r="J1830" s="31">
        <f t="shared" si="181"/>
        <v>1750.0000000000002</v>
      </c>
      <c r="K1830" s="44">
        <f t="shared" si="182"/>
        <v>4.794520547945206</v>
      </c>
      <c r="L1830" s="3">
        <f t="shared" si="183"/>
        <v>354.79452054794524</v>
      </c>
      <c r="M1830" s="3">
        <f t="shared" si="184"/>
        <v>21.287671232876715</v>
      </c>
      <c r="N1830" s="67">
        <f t="shared" si="185"/>
        <v>333.50684931506851</v>
      </c>
      <c r="O1830" s="3"/>
      <c r="P1830" s="70" t="s">
        <v>18635</v>
      </c>
      <c r="Q1830" s="2" t="s">
        <v>932</v>
      </c>
      <c r="R1830" s="2" t="s">
        <v>13908</v>
      </c>
      <c r="T1830" t="s">
        <v>18666</v>
      </c>
      <c r="U1830" t="s">
        <v>18652</v>
      </c>
      <c r="V1830" s="104">
        <v>45857</v>
      </c>
      <c r="X1830" s="97"/>
      <c r="Y1830" s="75">
        <v>333.51</v>
      </c>
    </row>
    <row r="1831" spans="1:25" x14ac:dyDescent="0.25">
      <c r="A1831" s="76">
        <v>1863</v>
      </c>
      <c r="B1831" s="2" t="s">
        <v>12455</v>
      </c>
      <c r="C1831" s="2" t="s">
        <v>12456</v>
      </c>
      <c r="D1831" s="2" t="s">
        <v>12457</v>
      </c>
      <c r="E1831" s="2" t="s">
        <v>9974</v>
      </c>
      <c r="F1831" s="2" t="s">
        <v>12458</v>
      </c>
      <c r="G1831" s="2" t="s">
        <v>2380</v>
      </c>
      <c r="H1831" s="17">
        <v>100</v>
      </c>
      <c r="I1831" s="31">
        <f t="shared" si="180"/>
        <v>100000</v>
      </c>
      <c r="J1831" s="31">
        <f t="shared" si="181"/>
        <v>7000.0000000000009</v>
      </c>
      <c r="K1831" s="44">
        <f t="shared" si="182"/>
        <v>19.178082191780824</v>
      </c>
      <c r="L1831" s="3">
        <f t="shared" si="183"/>
        <v>1419.178082191781</v>
      </c>
      <c r="M1831" s="3">
        <f t="shared" si="184"/>
        <v>85.150684931506859</v>
      </c>
      <c r="N1831" s="67">
        <f t="shared" si="185"/>
        <v>1334.027397260274</v>
      </c>
      <c r="O1831" s="3"/>
      <c r="P1831" s="70" t="s">
        <v>18635</v>
      </c>
      <c r="Q1831" s="2" t="s">
        <v>932</v>
      </c>
      <c r="R1831" s="2" t="s">
        <v>12459</v>
      </c>
      <c r="T1831" t="s">
        <v>18666</v>
      </c>
      <c r="U1831" t="s">
        <v>18652</v>
      </c>
      <c r="V1831" s="104">
        <v>45857</v>
      </c>
      <c r="X1831" s="97"/>
      <c r="Y1831" s="75">
        <v>1334.03</v>
      </c>
    </row>
    <row r="1832" spans="1:25" x14ac:dyDescent="0.25">
      <c r="A1832" s="76">
        <v>1864</v>
      </c>
      <c r="B1832" s="2" t="s">
        <v>2132</v>
      </c>
      <c r="C1832" s="2" t="s">
        <v>2133</v>
      </c>
      <c r="D1832" s="2" t="s">
        <v>2134</v>
      </c>
      <c r="E1832" s="2" t="s">
        <v>2135</v>
      </c>
      <c r="F1832" s="2" t="s">
        <v>2136</v>
      </c>
      <c r="G1832" s="2" t="s">
        <v>2137</v>
      </c>
      <c r="H1832" s="17">
        <v>100</v>
      </c>
      <c r="I1832" s="31">
        <f t="shared" si="180"/>
        <v>100000</v>
      </c>
      <c r="J1832" s="31">
        <f t="shared" si="181"/>
        <v>7000.0000000000009</v>
      </c>
      <c r="K1832" s="44">
        <f t="shared" si="182"/>
        <v>19.178082191780824</v>
      </c>
      <c r="L1832" s="3">
        <f t="shared" si="183"/>
        <v>1419.178082191781</v>
      </c>
      <c r="M1832" s="3">
        <f t="shared" si="184"/>
        <v>85.150684931506859</v>
      </c>
      <c r="N1832" s="67">
        <f t="shared" si="185"/>
        <v>1334.027397260274</v>
      </c>
      <c r="O1832" s="3"/>
      <c r="P1832" s="70" t="s">
        <v>18635</v>
      </c>
      <c r="Q1832" s="2" t="s">
        <v>932</v>
      </c>
      <c r="R1832" s="2" t="s">
        <v>2138</v>
      </c>
      <c r="T1832" t="s">
        <v>18666</v>
      </c>
      <c r="U1832" t="s">
        <v>18652</v>
      </c>
      <c r="V1832" s="104">
        <v>45857</v>
      </c>
      <c r="X1832" s="97"/>
      <c r="Y1832" s="75">
        <v>1334.03</v>
      </c>
    </row>
    <row r="1833" spans="1:25" x14ac:dyDescent="0.25">
      <c r="A1833" s="76">
        <v>1865</v>
      </c>
      <c r="B1833" s="2" t="s">
        <v>8483</v>
      </c>
      <c r="C1833" s="2" t="s">
        <v>8484</v>
      </c>
      <c r="D1833" s="2" t="s">
        <v>8485</v>
      </c>
      <c r="E1833" s="2" t="s">
        <v>8486</v>
      </c>
      <c r="F1833" s="2" t="s">
        <v>8487</v>
      </c>
      <c r="G1833" s="2" t="s">
        <v>5013</v>
      </c>
      <c r="H1833" s="17">
        <v>100</v>
      </c>
      <c r="I1833" s="31">
        <f t="shared" si="180"/>
        <v>100000</v>
      </c>
      <c r="J1833" s="31">
        <f t="shared" si="181"/>
        <v>7000.0000000000009</v>
      </c>
      <c r="K1833" s="44">
        <f t="shared" si="182"/>
        <v>19.178082191780824</v>
      </c>
      <c r="L1833" s="3">
        <f t="shared" si="183"/>
        <v>1419.178082191781</v>
      </c>
      <c r="M1833" s="3">
        <f t="shared" si="184"/>
        <v>85.150684931506859</v>
      </c>
      <c r="N1833" s="67">
        <f t="shared" si="185"/>
        <v>1334.027397260274</v>
      </c>
      <c r="O1833" s="3"/>
      <c r="P1833" s="70" t="s">
        <v>18635</v>
      </c>
      <c r="Q1833" s="2" t="s">
        <v>932</v>
      </c>
      <c r="R1833" s="2" t="s">
        <v>8488</v>
      </c>
      <c r="T1833" t="s">
        <v>18666</v>
      </c>
      <c r="U1833" t="s">
        <v>18652</v>
      </c>
      <c r="V1833" s="104">
        <v>45857</v>
      </c>
      <c r="X1833" s="97"/>
      <c r="Y1833" s="75">
        <v>1334.03</v>
      </c>
    </row>
    <row r="1834" spans="1:25" x14ac:dyDescent="0.25">
      <c r="A1834" s="76">
        <v>1866</v>
      </c>
      <c r="B1834" s="2" t="s">
        <v>8864</v>
      </c>
      <c r="C1834" s="2" t="s">
        <v>8865</v>
      </c>
      <c r="D1834" s="2" t="s">
        <v>8866</v>
      </c>
      <c r="E1834" s="2" t="s">
        <v>8867</v>
      </c>
      <c r="F1834" s="2" t="s">
        <v>8868</v>
      </c>
      <c r="G1834" s="2" t="s">
        <v>240</v>
      </c>
      <c r="H1834" s="17">
        <v>25</v>
      </c>
      <c r="I1834" s="31">
        <f t="shared" si="180"/>
        <v>25000</v>
      </c>
      <c r="J1834" s="31">
        <f t="shared" si="181"/>
        <v>1750.0000000000002</v>
      </c>
      <c r="K1834" s="44">
        <f t="shared" si="182"/>
        <v>4.794520547945206</v>
      </c>
      <c r="L1834" s="3">
        <f t="shared" si="183"/>
        <v>354.79452054794524</v>
      </c>
      <c r="M1834" s="3">
        <f t="shared" si="184"/>
        <v>21.287671232876715</v>
      </c>
      <c r="N1834" s="67">
        <f t="shared" si="185"/>
        <v>333.50684931506851</v>
      </c>
      <c r="O1834" s="3"/>
      <c r="P1834" s="70" t="s">
        <v>18635</v>
      </c>
      <c r="Q1834" s="2" t="s">
        <v>932</v>
      </c>
      <c r="R1834" s="2" t="s">
        <v>8869</v>
      </c>
      <c r="T1834" t="s">
        <v>18666</v>
      </c>
      <c r="U1834" t="s">
        <v>18652</v>
      </c>
      <c r="V1834" s="104">
        <v>45857</v>
      </c>
      <c r="X1834" s="97"/>
      <c r="Y1834" s="75">
        <v>333.51</v>
      </c>
    </row>
    <row r="1835" spans="1:25" x14ac:dyDescent="0.25">
      <c r="A1835" s="76">
        <v>1867</v>
      </c>
      <c r="B1835" s="2" t="s">
        <v>8944</v>
      </c>
      <c r="C1835" s="2" t="s">
        <v>8945</v>
      </c>
      <c r="D1835" s="2" t="s">
        <v>8946</v>
      </c>
      <c r="E1835" s="2" t="s">
        <v>8947</v>
      </c>
      <c r="F1835" s="2" t="s">
        <v>8948</v>
      </c>
      <c r="G1835" s="2" t="s">
        <v>599</v>
      </c>
      <c r="H1835" s="17">
        <v>25</v>
      </c>
      <c r="I1835" s="31">
        <f t="shared" si="180"/>
        <v>25000</v>
      </c>
      <c r="J1835" s="31">
        <f t="shared" si="181"/>
        <v>1750.0000000000002</v>
      </c>
      <c r="K1835" s="44">
        <f t="shared" si="182"/>
        <v>4.794520547945206</v>
      </c>
      <c r="L1835" s="3">
        <f t="shared" si="183"/>
        <v>354.79452054794524</v>
      </c>
      <c r="M1835" s="3">
        <f t="shared" si="184"/>
        <v>21.287671232876715</v>
      </c>
      <c r="N1835" s="67">
        <f t="shared" si="185"/>
        <v>333.50684931506851</v>
      </c>
      <c r="O1835" s="3"/>
      <c r="P1835" s="70" t="s">
        <v>18635</v>
      </c>
      <c r="Q1835" s="2" t="s">
        <v>932</v>
      </c>
      <c r="R1835" s="2" t="s">
        <v>8949</v>
      </c>
      <c r="T1835" t="s">
        <v>18666</v>
      </c>
      <c r="U1835" t="s">
        <v>18652</v>
      </c>
      <c r="V1835" s="104">
        <v>45857</v>
      </c>
      <c r="X1835" s="97"/>
      <c r="Y1835" s="75">
        <v>333.51</v>
      </c>
    </row>
    <row r="1836" spans="1:25" x14ac:dyDescent="0.25">
      <c r="A1836" s="76">
        <v>1868</v>
      </c>
      <c r="B1836" s="2" t="s">
        <v>7057</v>
      </c>
      <c r="C1836" s="2" t="s">
        <v>7058</v>
      </c>
      <c r="D1836" s="2" t="s">
        <v>7059</v>
      </c>
      <c r="E1836" s="2" t="s">
        <v>7060</v>
      </c>
      <c r="F1836" s="2" t="s">
        <v>7061</v>
      </c>
      <c r="G1836" s="2" t="s">
        <v>328</v>
      </c>
      <c r="H1836" s="17">
        <v>25</v>
      </c>
      <c r="I1836" s="31">
        <f t="shared" si="180"/>
        <v>25000</v>
      </c>
      <c r="J1836" s="31">
        <f t="shared" si="181"/>
        <v>1750.0000000000002</v>
      </c>
      <c r="K1836" s="44">
        <f t="shared" si="182"/>
        <v>4.794520547945206</v>
      </c>
      <c r="L1836" s="3">
        <f t="shared" si="183"/>
        <v>354.79452054794524</v>
      </c>
      <c r="M1836" s="3">
        <f t="shared" si="184"/>
        <v>21.287671232876715</v>
      </c>
      <c r="N1836" s="67">
        <f t="shared" si="185"/>
        <v>333.50684931506851</v>
      </c>
      <c r="O1836" s="3"/>
      <c r="P1836" s="70" t="s">
        <v>18635</v>
      </c>
      <c r="Q1836" s="2" t="s">
        <v>932</v>
      </c>
      <c r="R1836" s="2" t="s">
        <v>7062</v>
      </c>
      <c r="T1836" t="s">
        <v>18666</v>
      </c>
      <c r="U1836" t="s">
        <v>18652</v>
      </c>
      <c r="V1836" s="104">
        <v>45857</v>
      </c>
      <c r="X1836" s="97"/>
      <c r="Y1836" s="75">
        <v>333.51</v>
      </c>
    </row>
    <row r="1837" spans="1:25" x14ac:dyDescent="0.25">
      <c r="A1837" s="76">
        <v>1869</v>
      </c>
      <c r="B1837" s="2" t="s">
        <v>11120</v>
      </c>
      <c r="C1837" s="2" t="s">
        <v>11121</v>
      </c>
      <c r="D1837" s="2" t="s">
        <v>11122</v>
      </c>
      <c r="E1837" s="2" t="s">
        <v>11123</v>
      </c>
      <c r="F1837" s="2" t="s">
        <v>11124</v>
      </c>
      <c r="G1837" s="2" t="s">
        <v>31</v>
      </c>
      <c r="H1837" s="17">
        <v>50</v>
      </c>
      <c r="I1837" s="31">
        <f t="shared" si="180"/>
        <v>50000</v>
      </c>
      <c r="J1837" s="31">
        <f t="shared" si="181"/>
        <v>3500.0000000000005</v>
      </c>
      <c r="K1837" s="44">
        <f t="shared" si="182"/>
        <v>9.589041095890412</v>
      </c>
      <c r="L1837" s="3">
        <f t="shared" si="183"/>
        <v>709.58904109589048</v>
      </c>
      <c r="M1837" s="3">
        <f t="shared" si="184"/>
        <v>42.57534246575343</v>
      </c>
      <c r="N1837" s="67">
        <f t="shared" si="185"/>
        <v>667.01369863013701</v>
      </c>
      <c r="O1837" s="3"/>
      <c r="P1837" s="70" t="s">
        <v>18635</v>
      </c>
      <c r="Q1837" s="2" t="s">
        <v>932</v>
      </c>
      <c r="R1837" s="2" t="s">
        <v>11125</v>
      </c>
      <c r="T1837" t="s">
        <v>18666</v>
      </c>
      <c r="U1837" t="s">
        <v>18652</v>
      </c>
      <c r="V1837" s="104">
        <v>45857</v>
      </c>
      <c r="X1837" s="97"/>
      <c r="Y1837" s="75">
        <v>667.02</v>
      </c>
    </row>
    <row r="1838" spans="1:25" x14ac:dyDescent="0.25">
      <c r="A1838" s="76">
        <v>1870</v>
      </c>
      <c r="B1838" s="2" t="s">
        <v>2048</v>
      </c>
      <c r="C1838" s="2" t="s">
        <v>2049</v>
      </c>
      <c r="D1838" s="2" t="s">
        <v>2050</v>
      </c>
      <c r="E1838" s="2" t="s">
        <v>2051</v>
      </c>
      <c r="F1838" s="2" t="s">
        <v>2052</v>
      </c>
      <c r="G1838" s="2" t="s">
        <v>144</v>
      </c>
      <c r="H1838" s="17">
        <v>30</v>
      </c>
      <c r="I1838" s="31">
        <f t="shared" si="180"/>
        <v>30000</v>
      </c>
      <c r="J1838" s="31">
        <f t="shared" si="181"/>
        <v>2100</v>
      </c>
      <c r="K1838" s="44">
        <f t="shared" si="182"/>
        <v>5.7534246575342465</v>
      </c>
      <c r="L1838" s="3">
        <f t="shared" si="183"/>
        <v>425.75342465753425</v>
      </c>
      <c r="M1838" s="3">
        <f t="shared" si="184"/>
        <v>25.545205479452054</v>
      </c>
      <c r="N1838" s="67">
        <f t="shared" si="185"/>
        <v>400.20821917808217</v>
      </c>
      <c r="O1838" s="3"/>
      <c r="P1838" s="70" t="s">
        <v>18635</v>
      </c>
      <c r="Q1838" s="2" t="s">
        <v>932</v>
      </c>
      <c r="R1838" s="2" t="s">
        <v>2053</v>
      </c>
      <c r="T1838" t="s">
        <v>18666</v>
      </c>
      <c r="U1838" t="s">
        <v>18652</v>
      </c>
      <c r="V1838" s="104">
        <v>45857</v>
      </c>
      <c r="X1838" s="97"/>
      <c r="Y1838" s="75">
        <v>400.21</v>
      </c>
    </row>
    <row r="1839" spans="1:25" x14ac:dyDescent="0.25">
      <c r="A1839" s="76">
        <v>1871</v>
      </c>
      <c r="B1839" s="2" t="s">
        <v>18124</v>
      </c>
      <c r="C1839" s="2" t="s">
        <v>18125</v>
      </c>
      <c r="D1839" s="2" t="s">
        <v>18126</v>
      </c>
      <c r="E1839" s="2" t="s">
        <v>18127</v>
      </c>
      <c r="F1839" s="2" t="s">
        <v>18128</v>
      </c>
      <c r="G1839" s="2" t="s">
        <v>144</v>
      </c>
      <c r="H1839" s="17">
        <v>300</v>
      </c>
      <c r="I1839" s="31">
        <f t="shared" si="180"/>
        <v>300000</v>
      </c>
      <c r="J1839" s="31">
        <f t="shared" si="181"/>
        <v>21000.000000000004</v>
      </c>
      <c r="K1839" s="44">
        <f t="shared" si="182"/>
        <v>57.534246575342479</v>
      </c>
      <c r="L1839" s="3">
        <f t="shared" si="183"/>
        <v>4257.5342465753438</v>
      </c>
      <c r="M1839" s="3">
        <f t="shared" si="184"/>
        <v>255.45205479452062</v>
      </c>
      <c r="N1839" s="67">
        <f t="shared" si="185"/>
        <v>4002.082191780823</v>
      </c>
      <c r="O1839" s="3"/>
      <c r="P1839" s="70" t="s">
        <v>18635</v>
      </c>
      <c r="Q1839" s="2" t="s">
        <v>932</v>
      </c>
      <c r="R1839" s="2" t="s">
        <v>18129</v>
      </c>
      <c r="T1839" t="s">
        <v>18666</v>
      </c>
      <c r="U1839" t="s">
        <v>18652</v>
      </c>
      <c r="V1839" s="104">
        <v>45857</v>
      </c>
      <c r="X1839" s="97"/>
      <c r="Y1839" s="75">
        <v>4002.09</v>
      </c>
    </row>
    <row r="1840" spans="1:25" x14ac:dyDescent="0.25">
      <c r="A1840" s="76">
        <v>1872</v>
      </c>
      <c r="B1840" s="2" t="s">
        <v>4878</v>
      </c>
      <c r="C1840" s="2" t="s">
        <v>4879</v>
      </c>
      <c r="D1840" s="2" t="s">
        <v>4880</v>
      </c>
      <c r="E1840" s="2" t="s">
        <v>4881</v>
      </c>
      <c r="F1840" s="2" t="s">
        <v>4882</v>
      </c>
      <c r="G1840" s="2" t="s">
        <v>31</v>
      </c>
      <c r="H1840" s="17">
        <v>25</v>
      </c>
      <c r="I1840" s="31">
        <f t="shared" si="180"/>
        <v>25000</v>
      </c>
      <c r="J1840" s="31">
        <f t="shared" si="181"/>
        <v>1750.0000000000002</v>
      </c>
      <c r="K1840" s="44">
        <f t="shared" si="182"/>
        <v>4.794520547945206</v>
      </c>
      <c r="L1840" s="3">
        <f t="shared" si="183"/>
        <v>354.79452054794524</v>
      </c>
      <c r="M1840" s="3">
        <f t="shared" si="184"/>
        <v>21.287671232876715</v>
      </c>
      <c r="N1840" s="67">
        <f t="shared" si="185"/>
        <v>333.50684931506851</v>
      </c>
      <c r="O1840" s="3"/>
      <c r="P1840" s="70" t="s">
        <v>18635</v>
      </c>
      <c r="Q1840" s="2" t="s">
        <v>932</v>
      </c>
      <c r="R1840" s="2" t="s">
        <v>4883</v>
      </c>
      <c r="T1840" t="s">
        <v>18666</v>
      </c>
      <c r="U1840" t="s">
        <v>18652</v>
      </c>
      <c r="V1840" s="104">
        <v>45857</v>
      </c>
      <c r="X1840" s="97"/>
      <c r="Y1840" s="75">
        <v>333.51</v>
      </c>
    </row>
    <row r="1841" spans="1:25" x14ac:dyDescent="0.25">
      <c r="A1841" s="76">
        <v>1873</v>
      </c>
      <c r="B1841" s="2" t="s">
        <v>18340</v>
      </c>
      <c r="C1841" s="2" t="s">
        <v>18341</v>
      </c>
      <c r="D1841" s="2" t="s">
        <v>18342</v>
      </c>
      <c r="E1841" s="2" t="s">
        <v>18343</v>
      </c>
      <c r="F1841" s="2" t="s">
        <v>18344</v>
      </c>
      <c r="G1841" s="2" t="s">
        <v>412</v>
      </c>
      <c r="H1841" s="17">
        <v>600</v>
      </c>
      <c r="I1841" s="31">
        <f t="shared" si="180"/>
        <v>600000</v>
      </c>
      <c r="J1841" s="31">
        <f t="shared" si="181"/>
        <v>42000.000000000007</v>
      </c>
      <c r="K1841" s="44">
        <f t="shared" si="182"/>
        <v>115.06849315068496</v>
      </c>
      <c r="L1841" s="3">
        <f t="shared" si="183"/>
        <v>8515.0684931506876</v>
      </c>
      <c r="M1841" s="3">
        <f t="shared" si="184"/>
        <v>510.90410958904124</v>
      </c>
      <c r="N1841" s="67">
        <f t="shared" si="185"/>
        <v>8004.164383561646</v>
      </c>
      <c r="O1841" s="3"/>
      <c r="P1841" s="70" t="s">
        <v>18635</v>
      </c>
      <c r="Q1841" s="2" t="s">
        <v>932</v>
      </c>
      <c r="R1841" s="2" t="s">
        <v>18345</v>
      </c>
      <c r="T1841" t="s">
        <v>18666</v>
      </c>
      <c r="U1841" t="s">
        <v>18652</v>
      </c>
      <c r="V1841" s="104">
        <v>45857</v>
      </c>
      <c r="X1841" s="97"/>
      <c r="Y1841" s="75">
        <v>8004.17</v>
      </c>
    </row>
    <row r="1842" spans="1:25" x14ac:dyDescent="0.25">
      <c r="A1842" s="76">
        <v>1874</v>
      </c>
      <c r="B1842" s="2" t="s">
        <v>1812</v>
      </c>
      <c r="C1842" s="2" t="s">
        <v>1813</v>
      </c>
      <c r="D1842" s="2" t="s">
        <v>1814</v>
      </c>
      <c r="E1842" s="2" t="s">
        <v>1815</v>
      </c>
      <c r="F1842" s="2" t="s">
        <v>1816</v>
      </c>
      <c r="G1842" s="2" t="s">
        <v>381</v>
      </c>
      <c r="H1842" s="17">
        <v>25</v>
      </c>
      <c r="I1842" s="31">
        <f t="shared" si="180"/>
        <v>25000</v>
      </c>
      <c r="J1842" s="31">
        <f t="shared" si="181"/>
        <v>1750.0000000000002</v>
      </c>
      <c r="K1842" s="44">
        <f t="shared" si="182"/>
        <v>4.794520547945206</v>
      </c>
      <c r="L1842" s="3">
        <f t="shared" si="183"/>
        <v>354.79452054794524</v>
      </c>
      <c r="M1842" s="3">
        <f t="shared" si="184"/>
        <v>21.287671232876715</v>
      </c>
      <c r="N1842" s="67">
        <f t="shared" si="185"/>
        <v>333.50684931506851</v>
      </c>
      <c r="O1842" s="3"/>
      <c r="P1842" s="70" t="s">
        <v>18635</v>
      </c>
      <c r="Q1842" s="2" t="s">
        <v>932</v>
      </c>
      <c r="R1842" s="2" t="s">
        <v>1817</v>
      </c>
      <c r="T1842" t="s">
        <v>18666</v>
      </c>
      <c r="U1842" t="s">
        <v>18652</v>
      </c>
      <c r="V1842" s="104">
        <v>45857</v>
      </c>
      <c r="X1842" s="97"/>
      <c r="Y1842" s="75">
        <v>333.51</v>
      </c>
    </row>
    <row r="1843" spans="1:25" x14ac:dyDescent="0.25">
      <c r="A1843" s="76">
        <v>1875</v>
      </c>
      <c r="B1843" s="2" t="s">
        <v>11980</v>
      </c>
      <c r="C1843" s="2" t="s">
        <v>11981</v>
      </c>
      <c r="D1843" s="2" t="s">
        <v>2425</v>
      </c>
      <c r="E1843" s="2" t="s">
        <v>11982</v>
      </c>
      <c r="F1843" s="2" t="s">
        <v>11983</v>
      </c>
      <c r="G1843" s="2" t="s">
        <v>233</v>
      </c>
      <c r="H1843" s="17">
        <v>100</v>
      </c>
      <c r="I1843" s="31">
        <f t="shared" si="180"/>
        <v>100000</v>
      </c>
      <c r="J1843" s="31">
        <f t="shared" si="181"/>
        <v>7000.0000000000009</v>
      </c>
      <c r="K1843" s="44">
        <f t="shared" si="182"/>
        <v>19.178082191780824</v>
      </c>
      <c r="L1843" s="3">
        <f t="shared" si="183"/>
        <v>1419.178082191781</v>
      </c>
      <c r="M1843" s="3">
        <f t="shared" si="184"/>
        <v>85.150684931506859</v>
      </c>
      <c r="N1843" s="67">
        <f t="shared" si="185"/>
        <v>1334.027397260274</v>
      </c>
      <c r="O1843" s="3"/>
      <c r="P1843" s="70" t="s">
        <v>18635</v>
      </c>
      <c r="Q1843" s="2" t="s">
        <v>932</v>
      </c>
      <c r="R1843" s="2" t="s">
        <v>11984</v>
      </c>
      <c r="T1843" t="s">
        <v>18666</v>
      </c>
      <c r="U1843" t="s">
        <v>18652</v>
      </c>
      <c r="V1843" s="104">
        <v>45857</v>
      </c>
      <c r="X1843" s="97"/>
      <c r="Y1843" s="75">
        <v>1334.03</v>
      </c>
    </row>
    <row r="1844" spans="1:25" x14ac:dyDescent="0.25">
      <c r="A1844" s="76">
        <v>1876</v>
      </c>
      <c r="B1844" s="2" t="s">
        <v>5521</v>
      </c>
      <c r="C1844" s="2" t="s">
        <v>5522</v>
      </c>
      <c r="D1844" s="2" t="s">
        <v>5523</v>
      </c>
      <c r="E1844" s="2" t="s">
        <v>5524</v>
      </c>
      <c r="F1844" s="2" t="s">
        <v>5525</v>
      </c>
      <c r="G1844" s="2" t="s">
        <v>5013</v>
      </c>
      <c r="H1844" s="17">
        <v>25</v>
      </c>
      <c r="I1844" s="31">
        <f t="shared" si="180"/>
        <v>25000</v>
      </c>
      <c r="J1844" s="31">
        <f t="shared" si="181"/>
        <v>1750.0000000000002</v>
      </c>
      <c r="K1844" s="44">
        <f t="shared" si="182"/>
        <v>4.794520547945206</v>
      </c>
      <c r="L1844" s="3">
        <f t="shared" si="183"/>
        <v>354.79452054794524</v>
      </c>
      <c r="M1844" s="3">
        <f t="shared" si="184"/>
        <v>21.287671232876715</v>
      </c>
      <c r="N1844" s="67">
        <f t="shared" si="185"/>
        <v>333.50684931506851</v>
      </c>
      <c r="O1844" s="3"/>
      <c r="P1844" s="70" t="s">
        <v>18635</v>
      </c>
      <c r="Q1844" s="2" t="s">
        <v>932</v>
      </c>
      <c r="R1844" s="2" t="s">
        <v>5526</v>
      </c>
      <c r="T1844" t="s">
        <v>18666</v>
      </c>
      <c r="U1844" t="s">
        <v>18652</v>
      </c>
      <c r="V1844" s="104">
        <v>45857</v>
      </c>
      <c r="X1844" s="97"/>
      <c r="Y1844" s="75">
        <v>333.51</v>
      </c>
    </row>
    <row r="1845" spans="1:25" x14ac:dyDescent="0.25">
      <c r="A1845" s="76">
        <v>1877</v>
      </c>
      <c r="B1845" s="2" t="s">
        <v>16167</v>
      </c>
      <c r="C1845" s="2" t="s">
        <v>16168</v>
      </c>
      <c r="D1845" s="2" t="s">
        <v>16169</v>
      </c>
      <c r="E1845" s="2" t="s">
        <v>16170</v>
      </c>
      <c r="F1845" s="2" t="s">
        <v>16171</v>
      </c>
      <c r="G1845" s="2" t="s">
        <v>1017</v>
      </c>
      <c r="H1845" s="17">
        <v>75</v>
      </c>
      <c r="I1845" s="31">
        <f t="shared" si="180"/>
        <v>75000</v>
      </c>
      <c r="J1845" s="31">
        <f t="shared" si="181"/>
        <v>5250.0000000000009</v>
      </c>
      <c r="K1845" s="44">
        <f t="shared" si="182"/>
        <v>14.38356164383562</v>
      </c>
      <c r="L1845" s="3">
        <f t="shared" si="183"/>
        <v>1064.3835616438359</v>
      </c>
      <c r="M1845" s="3">
        <f t="shared" si="184"/>
        <v>63.863013698630155</v>
      </c>
      <c r="N1845" s="67">
        <f t="shared" si="185"/>
        <v>1000.5205479452057</v>
      </c>
      <c r="O1845" s="3"/>
      <c r="P1845" s="70" t="s">
        <v>18635</v>
      </c>
      <c r="Q1845" s="2" t="s">
        <v>932</v>
      </c>
      <c r="R1845" s="2" t="s">
        <v>16172</v>
      </c>
      <c r="T1845" t="s">
        <v>18666</v>
      </c>
      <c r="U1845" t="s">
        <v>18652</v>
      </c>
      <c r="V1845" s="104">
        <v>45857</v>
      </c>
      <c r="X1845" s="97"/>
      <c r="Y1845" s="75">
        <v>1000.53</v>
      </c>
    </row>
    <row r="1846" spans="1:25" x14ac:dyDescent="0.25">
      <c r="A1846" s="76">
        <v>1878</v>
      </c>
      <c r="B1846" s="2" t="s">
        <v>11784</v>
      </c>
      <c r="C1846" s="2" t="s">
        <v>11785</v>
      </c>
      <c r="D1846" s="2" t="s">
        <v>11786</v>
      </c>
      <c r="E1846" s="2" t="s">
        <v>11787</v>
      </c>
      <c r="F1846" s="2" t="s">
        <v>11788</v>
      </c>
      <c r="G1846" s="2" t="s">
        <v>1055</v>
      </c>
      <c r="H1846" s="17">
        <v>28</v>
      </c>
      <c r="I1846" s="31">
        <f t="shared" si="180"/>
        <v>28000</v>
      </c>
      <c r="J1846" s="31">
        <f t="shared" si="181"/>
        <v>1960.0000000000002</v>
      </c>
      <c r="K1846" s="44">
        <f t="shared" si="182"/>
        <v>5.3698630136986312</v>
      </c>
      <c r="L1846" s="3">
        <f t="shared" si="183"/>
        <v>397.3698630136987</v>
      </c>
      <c r="M1846" s="3">
        <f t="shared" si="184"/>
        <v>23.842191780821921</v>
      </c>
      <c r="N1846" s="67">
        <f t="shared" si="185"/>
        <v>373.5276712328768</v>
      </c>
      <c r="O1846" s="3"/>
      <c r="P1846" s="70" t="s">
        <v>18635</v>
      </c>
      <c r="Q1846" s="2" t="s">
        <v>932</v>
      </c>
      <c r="R1846" s="2" t="s">
        <v>11789</v>
      </c>
      <c r="T1846" t="s">
        <v>18666</v>
      </c>
      <c r="U1846" t="s">
        <v>18652</v>
      </c>
      <c r="V1846" s="104">
        <v>45857</v>
      </c>
      <c r="X1846" s="97"/>
      <c r="Y1846" s="75">
        <v>373.53</v>
      </c>
    </row>
    <row r="1847" spans="1:25" x14ac:dyDescent="0.25">
      <c r="A1847" s="76">
        <v>1879</v>
      </c>
      <c r="B1847" s="2" t="s">
        <v>6924</v>
      </c>
      <c r="C1847" s="2" t="s">
        <v>6925</v>
      </c>
      <c r="D1847" s="2" t="s">
        <v>6926</v>
      </c>
      <c r="E1847" s="2" t="s">
        <v>6927</v>
      </c>
      <c r="F1847" s="2" t="s">
        <v>6928</v>
      </c>
      <c r="G1847" s="2" t="s">
        <v>31</v>
      </c>
      <c r="H1847" s="17">
        <v>100</v>
      </c>
      <c r="I1847" s="31">
        <f t="shared" si="180"/>
        <v>100000</v>
      </c>
      <c r="J1847" s="31">
        <f t="shared" si="181"/>
        <v>7000.0000000000009</v>
      </c>
      <c r="K1847" s="44">
        <f t="shared" si="182"/>
        <v>19.178082191780824</v>
      </c>
      <c r="L1847" s="3">
        <f t="shared" si="183"/>
        <v>1419.178082191781</v>
      </c>
      <c r="M1847" s="3">
        <f t="shared" si="184"/>
        <v>85.150684931506859</v>
      </c>
      <c r="N1847" s="67">
        <f t="shared" si="185"/>
        <v>1334.027397260274</v>
      </c>
      <c r="O1847" s="3"/>
      <c r="P1847" s="70" t="s">
        <v>18635</v>
      </c>
      <c r="Q1847" s="2" t="s">
        <v>932</v>
      </c>
      <c r="R1847" s="2" t="s">
        <v>6929</v>
      </c>
      <c r="T1847" t="s">
        <v>18666</v>
      </c>
      <c r="U1847" t="s">
        <v>18652</v>
      </c>
      <c r="V1847" s="104">
        <v>45857</v>
      </c>
      <c r="X1847" s="97"/>
      <c r="Y1847" s="75">
        <v>1334.03</v>
      </c>
    </row>
    <row r="1848" spans="1:25" x14ac:dyDescent="0.25">
      <c r="A1848" s="76">
        <v>1880</v>
      </c>
      <c r="B1848" s="2" t="s">
        <v>5056</v>
      </c>
      <c r="C1848" s="2" t="s">
        <v>5057</v>
      </c>
      <c r="D1848" s="2" t="s">
        <v>5058</v>
      </c>
      <c r="E1848" s="2" t="s">
        <v>5059</v>
      </c>
      <c r="F1848" s="2" t="s">
        <v>5060</v>
      </c>
      <c r="G1848" s="2" t="s">
        <v>193</v>
      </c>
      <c r="H1848" s="17">
        <v>25</v>
      </c>
      <c r="I1848" s="31">
        <f t="shared" si="180"/>
        <v>25000</v>
      </c>
      <c r="J1848" s="31">
        <f t="shared" si="181"/>
        <v>1750.0000000000002</v>
      </c>
      <c r="K1848" s="44">
        <f t="shared" si="182"/>
        <v>4.794520547945206</v>
      </c>
      <c r="L1848" s="3">
        <f t="shared" si="183"/>
        <v>354.79452054794524</v>
      </c>
      <c r="M1848" s="3">
        <f t="shared" si="184"/>
        <v>21.287671232876715</v>
      </c>
      <c r="N1848" s="67">
        <f t="shared" si="185"/>
        <v>333.50684931506851</v>
      </c>
      <c r="O1848" s="3"/>
      <c r="P1848" s="70" t="s">
        <v>18635</v>
      </c>
      <c r="Q1848" s="2" t="s">
        <v>932</v>
      </c>
      <c r="R1848" s="2" t="s">
        <v>5061</v>
      </c>
      <c r="T1848" t="s">
        <v>18666</v>
      </c>
      <c r="U1848" t="s">
        <v>18652</v>
      </c>
      <c r="V1848" s="104">
        <v>45857</v>
      </c>
      <c r="X1848" s="97"/>
      <c r="Y1848" s="75">
        <v>333.51</v>
      </c>
    </row>
    <row r="1849" spans="1:25" x14ac:dyDescent="0.25">
      <c r="A1849" s="76">
        <v>1881</v>
      </c>
      <c r="B1849" s="2" t="s">
        <v>13220</v>
      </c>
      <c r="C1849" s="2" t="s">
        <v>13221</v>
      </c>
      <c r="D1849" s="2" t="s">
        <v>13222</v>
      </c>
      <c r="E1849" s="2" t="s">
        <v>7457</v>
      </c>
      <c r="F1849" s="2" t="s">
        <v>13223</v>
      </c>
      <c r="G1849" s="2" t="s">
        <v>939</v>
      </c>
      <c r="H1849" s="17">
        <v>25</v>
      </c>
      <c r="I1849" s="31">
        <f t="shared" si="180"/>
        <v>25000</v>
      </c>
      <c r="J1849" s="31">
        <f t="shared" si="181"/>
        <v>1750.0000000000002</v>
      </c>
      <c r="K1849" s="44">
        <f t="shared" si="182"/>
        <v>4.794520547945206</v>
      </c>
      <c r="L1849" s="3">
        <f t="shared" si="183"/>
        <v>354.79452054794524</v>
      </c>
      <c r="M1849" s="3">
        <f t="shared" si="184"/>
        <v>21.287671232876715</v>
      </c>
      <c r="N1849" s="67">
        <f t="shared" si="185"/>
        <v>333.50684931506851</v>
      </c>
      <c r="O1849" s="3"/>
      <c r="P1849" s="70" t="s">
        <v>18635</v>
      </c>
      <c r="Q1849" s="2" t="s">
        <v>932</v>
      </c>
      <c r="R1849" s="2" t="s">
        <v>13224</v>
      </c>
      <c r="T1849" t="s">
        <v>18666</v>
      </c>
      <c r="U1849" t="s">
        <v>18652</v>
      </c>
      <c r="V1849" s="104">
        <v>45857</v>
      </c>
      <c r="X1849" s="97"/>
      <c r="Y1849" s="75">
        <v>333.51</v>
      </c>
    </row>
    <row r="1850" spans="1:25" x14ac:dyDescent="0.25">
      <c r="A1850" s="76">
        <v>1882</v>
      </c>
      <c r="B1850" s="2" t="s">
        <v>15079</v>
      </c>
      <c r="C1850" s="2" t="s">
        <v>15080</v>
      </c>
      <c r="D1850" s="2" t="s">
        <v>15081</v>
      </c>
      <c r="E1850" s="2" t="s">
        <v>9296</v>
      </c>
      <c r="F1850" s="2" t="s">
        <v>15082</v>
      </c>
      <c r="G1850" s="2" t="s">
        <v>750</v>
      </c>
      <c r="H1850" s="17">
        <v>25</v>
      </c>
      <c r="I1850" s="31">
        <f t="shared" si="180"/>
        <v>25000</v>
      </c>
      <c r="J1850" s="31">
        <f t="shared" si="181"/>
        <v>1750.0000000000002</v>
      </c>
      <c r="K1850" s="44">
        <f t="shared" si="182"/>
        <v>4.794520547945206</v>
      </c>
      <c r="L1850" s="3">
        <f t="shared" si="183"/>
        <v>354.79452054794524</v>
      </c>
      <c r="M1850" s="3">
        <f t="shared" si="184"/>
        <v>21.287671232876715</v>
      </c>
      <c r="N1850" s="67">
        <f t="shared" si="185"/>
        <v>333.50684931506851</v>
      </c>
      <c r="O1850" s="3"/>
      <c r="P1850" s="70" t="s">
        <v>18635</v>
      </c>
      <c r="Q1850" s="2" t="s">
        <v>932</v>
      </c>
      <c r="R1850" s="2" t="s">
        <v>15083</v>
      </c>
      <c r="T1850" t="s">
        <v>18666</v>
      </c>
      <c r="U1850" t="s">
        <v>18652</v>
      </c>
      <c r="V1850" s="104">
        <v>45857</v>
      </c>
      <c r="X1850" s="97"/>
      <c r="Y1850" s="75">
        <v>333.51</v>
      </c>
    </row>
    <row r="1851" spans="1:25" x14ac:dyDescent="0.25">
      <c r="A1851" s="76">
        <v>1883</v>
      </c>
      <c r="B1851" s="2" t="s">
        <v>11383</v>
      </c>
      <c r="C1851" s="2" t="s">
        <v>11384</v>
      </c>
      <c r="D1851" s="2" t="s">
        <v>11385</v>
      </c>
      <c r="E1851" s="2" t="s">
        <v>11386</v>
      </c>
      <c r="F1851" s="2" t="s">
        <v>11387</v>
      </c>
      <c r="G1851" s="2" t="s">
        <v>599</v>
      </c>
      <c r="H1851" s="17">
        <v>25</v>
      </c>
      <c r="I1851" s="31">
        <f t="shared" si="180"/>
        <v>25000</v>
      </c>
      <c r="J1851" s="31">
        <f t="shared" si="181"/>
        <v>1750.0000000000002</v>
      </c>
      <c r="K1851" s="44">
        <f t="shared" si="182"/>
        <v>4.794520547945206</v>
      </c>
      <c r="L1851" s="3">
        <f t="shared" si="183"/>
        <v>354.79452054794524</v>
      </c>
      <c r="M1851" s="3">
        <f t="shared" si="184"/>
        <v>21.287671232876715</v>
      </c>
      <c r="N1851" s="67">
        <f t="shared" si="185"/>
        <v>333.50684931506851</v>
      </c>
      <c r="O1851" s="3"/>
      <c r="P1851" s="70" t="s">
        <v>18615</v>
      </c>
      <c r="Q1851" s="2" t="s">
        <v>40</v>
      </c>
      <c r="R1851" s="2" t="s">
        <v>11388</v>
      </c>
      <c r="T1851" t="s">
        <v>18666</v>
      </c>
      <c r="U1851" t="s">
        <v>18652</v>
      </c>
      <c r="V1851" s="104">
        <v>45857</v>
      </c>
      <c r="X1851" s="97"/>
      <c r="Y1851" s="75">
        <v>333.51</v>
      </c>
    </row>
    <row r="1852" spans="1:25" x14ac:dyDescent="0.25">
      <c r="A1852" s="76">
        <v>1884</v>
      </c>
      <c r="B1852" s="2" t="s">
        <v>146</v>
      </c>
      <c r="C1852" s="2" t="s">
        <v>147</v>
      </c>
      <c r="D1852" s="2" t="s">
        <v>148</v>
      </c>
      <c r="E1852" s="2" t="s">
        <v>149</v>
      </c>
      <c r="F1852" s="2" t="s">
        <v>150</v>
      </c>
      <c r="G1852" s="2" t="s">
        <v>151</v>
      </c>
      <c r="H1852" s="17">
        <v>125</v>
      </c>
      <c r="I1852" s="31">
        <f t="shared" si="180"/>
        <v>125000</v>
      </c>
      <c r="J1852" s="31">
        <f t="shared" si="181"/>
        <v>8750</v>
      </c>
      <c r="K1852" s="44">
        <f t="shared" si="182"/>
        <v>23.972602739726028</v>
      </c>
      <c r="L1852" s="3">
        <f t="shared" si="183"/>
        <v>1773.972602739726</v>
      </c>
      <c r="M1852" s="3">
        <f t="shared" si="184"/>
        <v>106.43835616438355</v>
      </c>
      <c r="N1852" s="67">
        <f t="shared" si="185"/>
        <v>1667.5342465753424</v>
      </c>
      <c r="O1852" s="3"/>
      <c r="P1852" s="70" t="s">
        <v>18615</v>
      </c>
      <c r="Q1852" s="2" t="s">
        <v>40</v>
      </c>
      <c r="R1852" s="2" t="s">
        <v>152</v>
      </c>
      <c r="T1852" t="s">
        <v>18666</v>
      </c>
      <c r="U1852" t="s">
        <v>18652</v>
      </c>
      <c r="V1852" s="104">
        <v>45857</v>
      </c>
      <c r="X1852" s="97"/>
      <c r="Y1852" s="75">
        <v>1667.54</v>
      </c>
    </row>
    <row r="1853" spans="1:25" x14ac:dyDescent="0.25">
      <c r="A1853" s="76">
        <v>1885</v>
      </c>
      <c r="B1853" s="2" t="s">
        <v>16066</v>
      </c>
      <c r="C1853" s="2" t="s">
        <v>16067</v>
      </c>
      <c r="D1853" s="2" t="s">
        <v>16068</v>
      </c>
      <c r="E1853" s="2" t="s">
        <v>16069</v>
      </c>
      <c r="F1853" s="2" t="s">
        <v>16070</v>
      </c>
      <c r="G1853" s="2" t="s">
        <v>381</v>
      </c>
      <c r="H1853" s="17">
        <v>25</v>
      </c>
      <c r="I1853" s="31">
        <f t="shared" si="180"/>
        <v>25000</v>
      </c>
      <c r="J1853" s="31">
        <f t="shared" si="181"/>
        <v>1750.0000000000002</v>
      </c>
      <c r="K1853" s="44">
        <f t="shared" si="182"/>
        <v>4.794520547945206</v>
      </c>
      <c r="L1853" s="3">
        <f t="shared" si="183"/>
        <v>354.79452054794524</v>
      </c>
      <c r="M1853" s="3">
        <f t="shared" si="184"/>
        <v>21.287671232876715</v>
      </c>
      <c r="N1853" s="67">
        <f t="shared" si="185"/>
        <v>333.50684931506851</v>
      </c>
      <c r="O1853" s="3"/>
      <c r="P1853" s="70" t="s">
        <v>18615</v>
      </c>
      <c r="Q1853" s="2" t="s">
        <v>40</v>
      </c>
      <c r="R1853" s="2" t="s">
        <v>16071</v>
      </c>
      <c r="T1853" t="s">
        <v>18666</v>
      </c>
      <c r="U1853" t="s">
        <v>18652</v>
      </c>
      <c r="V1853" s="104">
        <v>45857</v>
      </c>
      <c r="X1853" s="97"/>
      <c r="Y1853" s="75">
        <v>333.51</v>
      </c>
    </row>
    <row r="1854" spans="1:25" x14ac:dyDescent="0.25">
      <c r="A1854" s="76">
        <v>1886</v>
      </c>
      <c r="B1854" s="2" t="s">
        <v>10575</v>
      </c>
      <c r="C1854" s="2" t="s">
        <v>10576</v>
      </c>
      <c r="D1854" s="2" t="s">
        <v>10577</v>
      </c>
      <c r="E1854" s="2" t="s">
        <v>10578</v>
      </c>
      <c r="F1854" s="2" t="s">
        <v>2094</v>
      </c>
      <c r="G1854" s="2" t="s">
        <v>31</v>
      </c>
      <c r="H1854" s="17">
        <v>25</v>
      </c>
      <c r="I1854" s="31">
        <f t="shared" si="180"/>
        <v>25000</v>
      </c>
      <c r="J1854" s="31">
        <f t="shared" si="181"/>
        <v>1750.0000000000002</v>
      </c>
      <c r="K1854" s="44">
        <f t="shared" si="182"/>
        <v>4.794520547945206</v>
      </c>
      <c r="L1854" s="3">
        <f t="shared" si="183"/>
        <v>354.79452054794524</v>
      </c>
      <c r="M1854" s="3">
        <f t="shared" si="184"/>
        <v>21.287671232876715</v>
      </c>
      <c r="N1854" s="67">
        <f t="shared" si="185"/>
        <v>333.50684931506851</v>
      </c>
      <c r="O1854" s="3"/>
      <c r="P1854" s="70" t="s">
        <v>18615</v>
      </c>
      <c r="Q1854" s="2" t="s">
        <v>40</v>
      </c>
      <c r="R1854" s="2" t="s">
        <v>10579</v>
      </c>
      <c r="T1854" t="s">
        <v>18666</v>
      </c>
      <c r="U1854" t="s">
        <v>18652</v>
      </c>
      <c r="V1854" s="104">
        <v>45857</v>
      </c>
      <c r="X1854" s="97"/>
      <c r="Y1854" s="75">
        <v>333.51</v>
      </c>
    </row>
    <row r="1855" spans="1:25" x14ac:dyDescent="0.25">
      <c r="A1855" s="76">
        <v>1887</v>
      </c>
      <c r="B1855" s="2" t="s">
        <v>2873</v>
      </c>
      <c r="C1855" s="2" t="s">
        <v>2874</v>
      </c>
      <c r="D1855" s="2" t="s">
        <v>2875</v>
      </c>
      <c r="E1855" s="2" t="s">
        <v>2876</v>
      </c>
      <c r="F1855" s="2" t="s">
        <v>2877</v>
      </c>
      <c r="G1855" s="2" t="s">
        <v>31</v>
      </c>
      <c r="H1855" s="17">
        <v>25</v>
      </c>
      <c r="I1855" s="31">
        <f t="shared" si="180"/>
        <v>25000</v>
      </c>
      <c r="J1855" s="31">
        <f t="shared" si="181"/>
        <v>1750.0000000000002</v>
      </c>
      <c r="K1855" s="44">
        <f t="shared" si="182"/>
        <v>4.794520547945206</v>
      </c>
      <c r="L1855" s="3">
        <f t="shared" si="183"/>
        <v>354.79452054794524</v>
      </c>
      <c r="M1855" s="3">
        <f t="shared" si="184"/>
        <v>21.287671232876715</v>
      </c>
      <c r="N1855" s="67">
        <f t="shared" si="185"/>
        <v>333.50684931506851</v>
      </c>
      <c r="O1855" s="3"/>
      <c r="P1855" s="70" t="s">
        <v>18615</v>
      </c>
      <c r="Q1855" s="2" t="s">
        <v>40</v>
      </c>
      <c r="R1855" s="2" t="s">
        <v>2878</v>
      </c>
      <c r="T1855" t="s">
        <v>18666</v>
      </c>
      <c r="U1855" t="s">
        <v>18652</v>
      </c>
      <c r="V1855" s="104">
        <v>45857</v>
      </c>
      <c r="X1855" s="97"/>
      <c r="Y1855" s="75">
        <v>333.51</v>
      </c>
    </row>
    <row r="1856" spans="1:25" x14ac:dyDescent="0.25">
      <c r="A1856" s="76">
        <v>1888</v>
      </c>
      <c r="B1856" s="2" t="s">
        <v>16282</v>
      </c>
      <c r="C1856" s="2" t="s">
        <v>16283</v>
      </c>
      <c r="D1856" s="2" t="s">
        <v>16284</v>
      </c>
      <c r="E1856" s="2" t="s">
        <v>16285</v>
      </c>
      <c r="F1856" s="2" t="s">
        <v>16286</v>
      </c>
      <c r="G1856" s="2" t="s">
        <v>166</v>
      </c>
      <c r="H1856" s="17">
        <v>25</v>
      </c>
      <c r="I1856" s="31">
        <f t="shared" si="180"/>
        <v>25000</v>
      </c>
      <c r="J1856" s="31">
        <f t="shared" si="181"/>
        <v>1750.0000000000002</v>
      </c>
      <c r="K1856" s="44">
        <f t="shared" si="182"/>
        <v>4.794520547945206</v>
      </c>
      <c r="L1856" s="3">
        <f t="shared" si="183"/>
        <v>354.79452054794524</v>
      </c>
      <c r="M1856" s="3">
        <f t="shared" si="184"/>
        <v>21.287671232876715</v>
      </c>
      <c r="N1856" s="67">
        <f t="shared" si="185"/>
        <v>333.50684931506851</v>
      </c>
      <c r="O1856" s="3"/>
      <c r="P1856" s="70" t="s">
        <v>18615</v>
      </c>
      <c r="Q1856" s="2" t="s">
        <v>40</v>
      </c>
      <c r="R1856" s="2" t="s">
        <v>16287</v>
      </c>
      <c r="T1856" t="s">
        <v>18666</v>
      </c>
      <c r="U1856" t="s">
        <v>18652</v>
      </c>
      <c r="V1856" s="104">
        <v>45857</v>
      </c>
      <c r="X1856" s="97"/>
      <c r="Y1856" s="75">
        <v>333.51</v>
      </c>
    </row>
    <row r="1857" spans="1:25" x14ac:dyDescent="0.25">
      <c r="A1857" s="76">
        <v>1889</v>
      </c>
      <c r="B1857" s="2" t="s">
        <v>11581</v>
      </c>
      <c r="C1857" s="2" t="s">
        <v>11582</v>
      </c>
      <c r="D1857" s="2" t="s">
        <v>11583</v>
      </c>
      <c r="E1857" s="2" t="s">
        <v>2864</v>
      </c>
      <c r="F1857" s="2" t="s">
        <v>11584</v>
      </c>
      <c r="G1857" s="2" t="s">
        <v>31</v>
      </c>
      <c r="H1857" s="17">
        <v>50</v>
      </c>
      <c r="I1857" s="31">
        <f t="shared" si="180"/>
        <v>50000</v>
      </c>
      <c r="J1857" s="31">
        <f t="shared" si="181"/>
        <v>3500.0000000000005</v>
      </c>
      <c r="K1857" s="44">
        <f t="shared" si="182"/>
        <v>9.589041095890412</v>
      </c>
      <c r="L1857" s="3">
        <f t="shared" si="183"/>
        <v>709.58904109589048</v>
      </c>
      <c r="M1857" s="3">
        <f t="shared" si="184"/>
        <v>42.57534246575343</v>
      </c>
      <c r="N1857" s="67">
        <f t="shared" si="185"/>
        <v>667.01369863013701</v>
      </c>
      <c r="O1857" s="3"/>
      <c r="P1857" s="70" t="s">
        <v>18615</v>
      </c>
      <c r="Q1857" s="2" t="s">
        <v>40</v>
      </c>
      <c r="R1857" s="2" t="s">
        <v>11585</v>
      </c>
      <c r="T1857" t="s">
        <v>18666</v>
      </c>
      <c r="U1857" t="s">
        <v>18652</v>
      </c>
      <c r="V1857" s="104">
        <v>45857</v>
      </c>
      <c r="X1857" s="97"/>
      <c r="Y1857" s="75">
        <v>667.02</v>
      </c>
    </row>
    <row r="1858" spans="1:25" x14ac:dyDescent="0.25">
      <c r="A1858" s="76">
        <v>1890</v>
      </c>
      <c r="B1858" s="2" t="s">
        <v>17131</v>
      </c>
      <c r="C1858" s="2" t="s">
        <v>17132</v>
      </c>
      <c r="D1858" s="2" t="s">
        <v>17133</v>
      </c>
      <c r="E1858" s="2" t="s">
        <v>17134</v>
      </c>
      <c r="F1858" s="2" t="s">
        <v>17135</v>
      </c>
      <c r="G1858" s="2" t="s">
        <v>750</v>
      </c>
      <c r="H1858" s="17">
        <v>25</v>
      </c>
      <c r="I1858" s="31">
        <f t="shared" si="180"/>
        <v>25000</v>
      </c>
      <c r="J1858" s="31">
        <f t="shared" si="181"/>
        <v>1750.0000000000002</v>
      </c>
      <c r="K1858" s="44">
        <f t="shared" si="182"/>
        <v>4.794520547945206</v>
      </c>
      <c r="L1858" s="3">
        <f t="shared" si="183"/>
        <v>354.79452054794524</v>
      </c>
      <c r="M1858" s="3">
        <f t="shared" si="184"/>
        <v>21.287671232876715</v>
      </c>
      <c r="N1858" s="67">
        <f t="shared" si="185"/>
        <v>333.50684931506851</v>
      </c>
      <c r="O1858" s="3"/>
      <c r="P1858" s="70" t="s">
        <v>18615</v>
      </c>
      <c r="Q1858" s="2" t="s">
        <v>40</v>
      </c>
      <c r="R1858" s="2" t="s">
        <v>17136</v>
      </c>
      <c r="T1858" t="s">
        <v>18666</v>
      </c>
      <c r="U1858" t="s">
        <v>18652</v>
      </c>
      <c r="V1858" s="104">
        <v>45857</v>
      </c>
      <c r="X1858" s="97"/>
      <c r="Y1858" s="75">
        <v>333.51</v>
      </c>
    </row>
    <row r="1859" spans="1:25" x14ac:dyDescent="0.25">
      <c r="A1859" s="76">
        <v>1891</v>
      </c>
      <c r="B1859" s="2" t="s">
        <v>695</v>
      </c>
      <c r="C1859" s="2" t="s">
        <v>696</v>
      </c>
      <c r="D1859" s="2" t="s">
        <v>697</v>
      </c>
      <c r="E1859" s="2" t="s">
        <v>698</v>
      </c>
      <c r="F1859" s="2" t="s">
        <v>699</v>
      </c>
      <c r="G1859" s="2" t="s">
        <v>381</v>
      </c>
      <c r="H1859" s="17">
        <v>25</v>
      </c>
      <c r="I1859" s="31">
        <f t="shared" si="180"/>
        <v>25000</v>
      </c>
      <c r="J1859" s="31">
        <f t="shared" si="181"/>
        <v>1750.0000000000002</v>
      </c>
      <c r="K1859" s="44">
        <f t="shared" si="182"/>
        <v>4.794520547945206</v>
      </c>
      <c r="L1859" s="3">
        <f t="shared" si="183"/>
        <v>354.79452054794524</v>
      </c>
      <c r="M1859" s="3">
        <f t="shared" si="184"/>
        <v>21.287671232876715</v>
      </c>
      <c r="N1859" s="67">
        <f t="shared" si="185"/>
        <v>333.50684931506851</v>
      </c>
      <c r="O1859" s="3"/>
      <c r="P1859" s="70" t="s">
        <v>18615</v>
      </c>
      <c r="Q1859" s="2" t="s">
        <v>40</v>
      </c>
      <c r="R1859" s="2" t="s">
        <v>700</v>
      </c>
      <c r="T1859" t="s">
        <v>18666</v>
      </c>
      <c r="U1859" t="s">
        <v>18652</v>
      </c>
      <c r="V1859" s="104">
        <v>45857</v>
      </c>
      <c r="X1859" s="97"/>
      <c r="Y1859" s="75">
        <v>333.51</v>
      </c>
    </row>
    <row r="1860" spans="1:25" x14ac:dyDescent="0.25">
      <c r="A1860" s="76">
        <v>1892</v>
      </c>
      <c r="B1860" s="2" t="s">
        <v>11597</v>
      </c>
      <c r="C1860" s="2" t="s">
        <v>8209</v>
      </c>
      <c r="D1860" s="2" t="s">
        <v>11598</v>
      </c>
      <c r="E1860" s="2" t="s">
        <v>11599</v>
      </c>
      <c r="F1860" s="2" t="s">
        <v>11600</v>
      </c>
      <c r="G1860" s="2" t="s">
        <v>328</v>
      </c>
      <c r="H1860" s="17">
        <v>25</v>
      </c>
      <c r="I1860" s="31">
        <f t="shared" si="180"/>
        <v>25000</v>
      </c>
      <c r="J1860" s="31">
        <f t="shared" si="181"/>
        <v>1750.0000000000002</v>
      </c>
      <c r="K1860" s="44">
        <f t="shared" si="182"/>
        <v>4.794520547945206</v>
      </c>
      <c r="L1860" s="3">
        <f t="shared" si="183"/>
        <v>354.79452054794524</v>
      </c>
      <c r="M1860" s="3">
        <f t="shared" si="184"/>
        <v>21.287671232876715</v>
      </c>
      <c r="N1860" s="67">
        <f t="shared" si="185"/>
        <v>333.50684931506851</v>
      </c>
      <c r="O1860" s="3"/>
      <c r="P1860" s="70" t="s">
        <v>18615</v>
      </c>
      <c r="Q1860" s="2" t="s">
        <v>40</v>
      </c>
      <c r="R1860" s="2" t="s">
        <v>11601</v>
      </c>
      <c r="T1860" t="s">
        <v>18666</v>
      </c>
      <c r="U1860" t="s">
        <v>18652</v>
      </c>
      <c r="V1860" s="104">
        <v>45857</v>
      </c>
      <c r="X1860" s="97"/>
      <c r="Y1860" s="75">
        <v>333.51</v>
      </c>
    </row>
    <row r="1861" spans="1:25" x14ac:dyDescent="0.25">
      <c r="A1861" s="76">
        <v>1893</v>
      </c>
      <c r="B1861" s="2" t="s">
        <v>11631</v>
      </c>
      <c r="C1861" s="2" t="s">
        <v>11632</v>
      </c>
      <c r="D1861" s="2" t="s">
        <v>11633</v>
      </c>
      <c r="E1861" s="2" t="s">
        <v>11634</v>
      </c>
      <c r="F1861" s="2" t="s">
        <v>11635</v>
      </c>
      <c r="G1861" s="2" t="s">
        <v>31</v>
      </c>
      <c r="H1861" s="17">
        <v>25</v>
      </c>
      <c r="I1861" s="31">
        <f t="shared" si="180"/>
        <v>25000</v>
      </c>
      <c r="J1861" s="31">
        <f t="shared" si="181"/>
        <v>1750.0000000000002</v>
      </c>
      <c r="K1861" s="44">
        <f t="shared" si="182"/>
        <v>4.794520547945206</v>
      </c>
      <c r="L1861" s="3">
        <f t="shared" si="183"/>
        <v>354.79452054794524</v>
      </c>
      <c r="M1861" s="3">
        <f t="shared" si="184"/>
        <v>21.287671232876715</v>
      </c>
      <c r="N1861" s="67">
        <f t="shared" si="185"/>
        <v>333.50684931506851</v>
      </c>
      <c r="O1861" s="3"/>
      <c r="P1861" s="70" t="s">
        <v>18615</v>
      </c>
      <c r="Q1861" s="2" t="s">
        <v>40</v>
      </c>
      <c r="R1861" s="2" t="s">
        <v>11636</v>
      </c>
      <c r="T1861" t="s">
        <v>18666</v>
      </c>
      <c r="U1861" t="s">
        <v>18652</v>
      </c>
      <c r="V1861" s="104">
        <v>45857</v>
      </c>
      <c r="X1861" s="97"/>
      <c r="Y1861" s="75">
        <v>333.51</v>
      </c>
    </row>
    <row r="1862" spans="1:25" x14ac:dyDescent="0.25">
      <c r="A1862" s="76">
        <v>1894</v>
      </c>
      <c r="B1862" s="2" t="s">
        <v>10970</v>
      </c>
      <c r="C1862" s="2" t="s">
        <v>10971</v>
      </c>
      <c r="D1862" s="2" t="s">
        <v>10972</v>
      </c>
      <c r="E1862" s="2" t="s">
        <v>10973</v>
      </c>
      <c r="F1862" s="2" t="s">
        <v>10974</v>
      </c>
      <c r="G1862" s="2" t="s">
        <v>166</v>
      </c>
      <c r="H1862" s="17">
        <v>25</v>
      </c>
      <c r="I1862" s="31">
        <f t="shared" si="180"/>
        <v>25000</v>
      </c>
      <c r="J1862" s="31">
        <f t="shared" si="181"/>
        <v>1750.0000000000002</v>
      </c>
      <c r="K1862" s="44">
        <f t="shared" si="182"/>
        <v>4.794520547945206</v>
      </c>
      <c r="L1862" s="3">
        <f t="shared" si="183"/>
        <v>354.79452054794524</v>
      </c>
      <c r="M1862" s="3">
        <f t="shared" si="184"/>
        <v>21.287671232876715</v>
      </c>
      <c r="N1862" s="67">
        <f t="shared" si="185"/>
        <v>333.50684931506851</v>
      </c>
      <c r="O1862" s="3"/>
      <c r="P1862" s="70" t="s">
        <v>18615</v>
      </c>
      <c r="Q1862" s="2" t="s">
        <v>40</v>
      </c>
      <c r="R1862" s="2" t="s">
        <v>10975</v>
      </c>
      <c r="T1862" t="s">
        <v>18666</v>
      </c>
      <c r="U1862" t="s">
        <v>18652</v>
      </c>
      <c r="V1862" s="104">
        <v>45857</v>
      </c>
      <c r="X1862" s="97"/>
      <c r="Y1862" s="75">
        <v>333.51</v>
      </c>
    </row>
    <row r="1863" spans="1:25" x14ac:dyDescent="0.25">
      <c r="A1863" s="76">
        <v>1895</v>
      </c>
      <c r="B1863" s="2" t="s">
        <v>12202</v>
      </c>
      <c r="C1863" s="2" t="s">
        <v>12203</v>
      </c>
      <c r="D1863" s="2" t="s">
        <v>12204</v>
      </c>
      <c r="E1863" s="2" t="s">
        <v>12205</v>
      </c>
      <c r="F1863" s="2" t="s">
        <v>12206</v>
      </c>
      <c r="G1863" s="2" t="s">
        <v>939</v>
      </c>
      <c r="H1863" s="17">
        <v>25</v>
      </c>
      <c r="I1863" s="31">
        <f t="shared" si="180"/>
        <v>25000</v>
      </c>
      <c r="J1863" s="31">
        <f t="shared" si="181"/>
        <v>1750.0000000000002</v>
      </c>
      <c r="K1863" s="44">
        <f t="shared" si="182"/>
        <v>4.794520547945206</v>
      </c>
      <c r="L1863" s="3">
        <f t="shared" si="183"/>
        <v>354.79452054794524</v>
      </c>
      <c r="M1863" s="3">
        <f t="shared" si="184"/>
        <v>21.287671232876715</v>
      </c>
      <c r="N1863" s="67">
        <f t="shared" si="185"/>
        <v>333.50684931506851</v>
      </c>
      <c r="O1863" s="3"/>
      <c r="P1863" s="70" t="s">
        <v>18615</v>
      </c>
      <c r="Q1863" s="2" t="s">
        <v>40</v>
      </c>
      <c r="R1863" s="2" t="s">
        <v>12207</v>
      </c>
      <c r="T1863" t="s">
        <v>18666</v>
      </c>
      <c r="U1863" t="s">
        <v>18652</v>
      </c>
      <c r="V1863" s="104">
        <v>45857</v>
      </c>
      <c r="X1863" s="97"/>
      <c r="Y1863" s="75">
        <v>333.51</v>
      </c>
    </row>
    <row r="1864" spans="1:25" x14ac:dyDescent="0.25">
      <c r="A1864" s="76">
        <v>1896</v>
      </c>
      <c r="B1864" s="2" t="s">
        <v>1939</v>
      </c>
      <c r="C1864" s="2" t="s">
        <v>1940</v>
      </c>
      <c r="D1864" s="2" t="s">
        <v>1941</v>
      </c>
      <c r="E1864" s="2" t="s">
        <v>1942</v>
      </c>
      <c r="F1864" s="2" t="s">
        <v>1943</v>
      </c>
      <c r="G1864" s="2" t="s">
        <v>31</v>
      </c>
      <c r="H1864" s="17">
        <v>25</v>
      </c>
      <c r="I1864" s="31">
        <f t="shared" si="180"/>
        <v>25000</v>
      </c>
      <c r="J1864" s="31">
        <f t="shared" si="181"/>
        <v>1750.0000000000002</v>
      </c>
      <c r="K1864" s="44">
        <f t="shared" si="182"/>
        <v>4.794520547945206</v>
      </c>
      <c r="L1864" s="3">
        <f t="shared" si="183"/>
        <v>354.79452054794524</v>
      </c>
      <c r="M1864" s="3">
        <f t="shared" si="184"/>
        <v>21.287671232876715</v>
      </c>
      <c r="N1864" s="67">
        <f t="shared" si="185"/>
        <v>333.50684931506851</v>
      </c>
      <c r="O1864" s="3"/>
      <c r="P1864" s="70" t="s">
        <v>18615</v>
      </c>
      <c r="Q1864" s="2" t="s">
        <v>40</v>
      </c>
      <c r="R1864" s="2" t="s">
        <v>1944</v>
      </c>
      <c r="T1864" t="s">
        <v>18666</v>
      </c>
      <c r="U1864" t="s">
        <v>18652</v>
      </c>
      <c r="V1864" s="104">
        <v>45857</v>
      </c>
      <c r="X1864" s="97"/>
      <c r="Y1864" s="75">
        <v>333.51</v>
      </c>
    </row>
    <row r="1865" spans="1:25" x14ac:dyDescent="0.25">
      <c r="A1865" s="76">
        <v>1897</v>
      </c>
      <c r="B1865" s="2" t="s">
        <v>235</v>
      </c>
      <c r="C1865" s="2" t="s">
        <v>236</v>
      </c>
      <c r="D1865" s="2" t="s">
        <v>237</v>
      </c>
      <c r="E1865" s="2" t="s">
        <v>238</v>
      </c>
      <c r="F1865" s="2" t="s">
        <v>239</v>
      </c>
      <c r="G1865" s="2" t="s">
        <v>240</v>
      </c>
      <c r="H1865" s="17">
        <v>25</v>
      </c>
      <c r="I1865" s="31">
        <f t="shared" si="180"/>
        <v>25000</v>
      </c>
      <c r="J1865" s="31">
        <f t="shared" si="181"/>
        <v>1750.0000000000002</v>
      </c>
      <c r="K1865" s="44">
        <f t="shared" si="182"/>
        <v>4.794520547945206</v>
      </c>
      <c r="L1865" s="3">
        <f t="shared" si="183"/>
        <v>354.79452054794524</v>
      </c>
      <c r="M1865" s="3">
        <f t="shared" si="184"/>
        <v>21.287671232876715</v>
      </c>
      <c r="N1865" s="67">
        <f t="shared" si="185"/>
        <v>333.50684931506851</v>
      </c>
      <c r="O1865" s="3"/>
      <c r="P1865" s="70" t="s">
        <v>18615</v>
      </c>
      <c r="Q1865" s="2" t="s">
        <v>40</v>
      </c>
      <c r="R1865" s="2" t="s">
        <v>241</v>
      </c>
      <c r="T1865" t="s">
        <v>18666</v>
      </c>
      <c r="U1865" t="s">
        <v>18652</v>
      </c>
      <c r="V1865" s="104">
        <v>45857</v>
      </c>
      <c r="X1865" s="97"/>
      <c r="Y1865" s="75">
        <v>333.51</v>
      </c>
    </row>
    <row r="1866" spans="1:25" x14ac:dyDescent="0.25">
      <c r="A1866" s="76">
        <v>1898</v>
      </c>
      <c r="B1866" s="2" t="s">
        <v>3701</v>
      </c>
      <c r="C1866" s="2" t="s">
        <v>3702</v>
      </c>
      <c r="D1866" s="2" t="s">
        <v>3703</v>
      </c>
      <c r="E1866" s="2" t="s">
        <v>3704</v>
      </c>
      <c r="F1866" s="2" t="s">
        <v>3705</v>
      </c>
      <c r="G1866" s="2" t="s">
        <v>328</v>
      </c>
      <c r="H1866" s="17">
        <v>25</v>
      </c>
      <c r="I1866" s="31">
        <f t="shared" si="180"/>
        <v>25000</v>
      </c>
      <c r="J1866" s="31">
        <f t="shared" si="181"/>
        <v>1750.0000000000002</v>
      </c>
      <c r="K1866" s="44">
        <f t="shared" si="182"/>
        <v>4.794520547945206</v>
      </c>
      <c r="L1866" s="3">
        <f t="shared" si="183"/>
        <v>354.79452054794524</v>
      </c>
      <c r="M1866" s="3">
        <f t="shared" si="184"/>
        <v>21.287671232876715</v>
      </c>
      <c r="N1866" s="67">
        <f t="shared" si="185"/>
        <v>333.50684931506851</v>
      </c>
      <c r="O1866" s="3"/>
      <c r="P1866" s="70" t="s">
        <v>18615</v>
      </c>
      <c r="Q1866" s="2" t="s">
        <v>40</v>
      </c>
      <c r="R1866" s="2" t="s">
        <v>3706</v>
      </c>
      <c r="T1866" t="s">
        <v>18666</v>
      </c>
      <c r="U1866" t="s">
        <v>18652</v>
      </c>
      <c r="V1866" s="104">
        <v>45857</v>
      </c>
      <c r="X1866" s="97"/>
      <c r="Y1866" s="75">
        <v>333.51</v>
      </c>
    </row>
    <row r="1867" spans="1:25" x14ac:dyDescent="0.25">
      <c r="A1867" s="76">
        <v>1899</v>
      </c>
      <c r="B1867" s="2" t="s">
        <v>3986</v>
      </c>
      <c r="C1867" s="2" t="s">
        <v>3987</v>
      </c>
      <c r="D1867" s="2" t="s">
        <v>3988</v>
      </c>
      <c r="E1867" s="2" t="s">
        <v>3989</v>
      </c>
      <c r="F1867" s="2" t="s">
        <v>3990</v>
      </c>
      <c r="G1867" s="2" t="s">
        <v>750</v>
      </c>
      <c r="H1867" s="17">
        <v>50</v>
      </c>
      <c r="I1867" s="31">
        <f t="shared" si="180"/>
        <v>50000</v>
      </c>
      <c r="J1867" s="31">
        <f t="shared" si="181"/>
        <v>3500.0000000000005</v>
      </c>
      <c r="K1867" s="44">
        <f t="shared" si="182"/>
        <v>9.589041095890412</v>
      </c>
      <c r="L1867" s="3">
        <f t="shared" si="183"/>
        <v>709.58904109589048</v>
      </c>
      <c r="M1867" s="3">
        <f t="shared" si="184"/>
        <v>42.57534246575343</v>
      </c>
      <c r="N1867" s="67">
        <f t="shared" si="185"/>
        <v>667.01369863013701</v>
      </c>
      <c r="O1867" s="3"/>
      <c r="P1867" s="70" t="s">
        <v>18615</v>
      </c>
      <c r="Q1867" s="2" t="s">
        <v>40</v>
      </c>
      <c r="R1867" s="2" t="s">
        <v>3991</v>
      </c>
      <c r="T1867" t="s">
        <v>18666</v>
      </c>
      <c r="U1867" t="s">
        <v>18652</v>
      </c>
      <c r="V1867" s="104">
        <v>45857</v>
      </c>
      <c r="X1867" s="97"/>
      <c r="Y1867" s="75">
        <v>667.02</v>
      </c>
    </row>
    <row r="1868" spans="1:25" x14ac:dyDescent="0.25">
      <c r="A1868" s="76">
        <v>1900</v>
      </c>
      <c r="B1868" s="2" t="s">
        <v>5344</v>
      </c>
      <c r="C1868" s="2" t="s">
        <v>5345</v>
      </c>
      <c r="D1868" s="2" t="s">
        <v>5346</v>
      </c>
      <c r="E1868" s="2" t="s">
        <v>5347</v>
      </c>
      <c r="F1868" s="2" t="s">
        <v>5348</v>
      </c>
      <c r="G1868" s="2" t="s">
        <v>247</v>
      </c>
      <c r="H1868" s="17">
        <v>25</v>
      </c>
      <c r="I1868" s="31">
        <f t="shared" si="180"/>
        <v>25000</v>
      </c>
      <c r="J1868" s="31">
        <f t="shared" si="181"/>
        <v>1750.0000000000002</v>
      </c>
      <c r="K1868" s="44">
        <f t="shared" si="182"/>
        <v>4.794520547945206</v>
      </c>
      <c r="L1868" s="3">
        <f t="shared" si="183"/>
        <v>354.79452054794524</v>
      </c>
      <c r="M1868" s="3">
        <f t="shared" si="184"/>
        <v>21.287671232876715</v>
      </c>
      <c r="N1868" s="67">
        <f t="shared" si="185"/>
        <v>333.50684931506851</v>
      </c>
      <c r="O1868" s="3"/>
      <c r="P1868" s="70" t="s">
        <v>18615</v>
      </c>
      <c r="Q1868" s="2" t="s">
        <v>40</v>
      </c>
      <c r="R1868" s="2" t="s">
        <v>5349</v>
      </c>
      <c r="T1868" t="s">
        <v>18666</v>
      </c>
      <c r="U1868" t="s">
        <v>18652</v>
      </c>
      <c r="V1868" s="104">
        <v>45857</v>
      </c>
      <c r="X1868" s="97"/>
      <c r="Y1868" s="75">
        <v>333.51</v>
      </c>
    </row>
    <row r="1869" spans="1:25" x14ac:dyDescent="0.25">
      <c r="A1869" s="76">
        <v>1901</v>
      </c>
      <c r="B1869" s="2" t="s">
        <v>395</v>
      </c>
      <c r="C1869" s="2" t="s">
        <v>396</v>
      </c>
      <c r="D1869" s="2" t="s">
        <v>397</v>
      </c>
      <c r="E1869" s="2" t="s">
        <v>398</v>
      </c>
      <c r="F1869" s="2" t="s">
        <v>399</v>
      </c>
      <c r="G1869" s="2" t="s">
        <v>31</v>
      </c>
      <c r="H1869" s="17">
        <v>25</v>
      </c>
      <c r="I1869" s="31">
        <f t="shared" si="180"/>
        <v>25000</v>
      </c>
      <c r="J1869" s="31">
        <f t="shared" si="181"/>
        <v>1750.0000000000002</v>
      </c>
      <c r="K1869" s="44">
        <f t="shared" si="182"/>
        <v>4.794520547945206</v>
      </c>
      <c r="L1869" s="3">
        <f t="shared" si="183"/>
        <v>354.79452054794524</v>
      </c>
      <c r="M1869" s="3">
        <f t="shared" si="184"/>
        <v>21.287671232876715</v>
      </c>
      <c r="N1869" s="67">
        <f t="shared" si="185"/>
        <v>333.50684931506851</v>
      </c>
      <c r="O1869" s="3"/>
      <c r="P1869" s="70" t="s">
        <v>18615</v>
      </c>
      <c r="Q1869" s="2" t="s">
        <v>40</v>
      </c>
      <c r="R1869" s="2" t="s">
        <v>400</v>
      </c>
      <c r="T1869" t="s">
        <v>18666</v>
      </c>
      <c r="U1869" t="s">
        <v>18652</v>
      </c>
      <c r="V1869" s="104">
        <v>45857</v>
      </c>
      <c r="X1869" s="97"/>
      <c r="Y1869" s="75">
        <v>333.51</v>
      </c>
    </row>
    <row r="1870" spans="1:25" x14ac:dyDescent="0.25">
      <c r="A1870" s="76">
        <v>1902</v>
      </c>
      <c r="B1870" s="2" t="s">
        <v>9915</v>
      </c>
      <c r="C1870" s="2" t="s">
        <v>9916</v>
      </c>
      <c r="D1870" s="2" t="s">
        <v>9917</v>
      </c>
      <c r="E1870" s="2" t="s">
        <v>9918</v>
      </c>
      <c r="F1870" s="2" t="s">
        <v>9919</v>
      </c>
      <c r="G1870" s="2" t="s">
        <v>2680</v>
      </c>
      <c r="H1870" s="17">
        <v>25</v>
      </c>
      <c r="I1870" s="31">
        <f t="shared" si="180"/>
        <v>25000</v>
      </c>
      <c r="J1870" s="31">
        <f t="shared" si="181"/>
        <v>1750.0000000000002</v>
      </c>
      <c r="K1870" s="44">
        <f t="shared" si="182"/>
        <v>4.794520547945206</v>
      </c>
      <c r="L1870" s="3">
        <f t="shared" si="183"/>
        <v>354.79452054794524</v>
      </c>
      <c r="M1870" s="3">
        <f t="shared" si="184"/>
        <v>21.287671232876715</v>
      </c>
      <c r="N1870" s="67">
        <f t="shared" si="185"/>
        <v>333.50684931506851</v>
      </c>
      <c r="O1870" s="3"/>
      <c r="P1870" s="70" t="s">
        <v>18615</v>
      </c>
      <c r="Q1870" s="2" t="s">
        <v>40</v>
      </c>
      <c r="R1870" s="2" t="s">
        <v>9920</v>
      </c>
      <c r="T1870" t="s">
        <v>18666</v>
      </c>
      <c r="U1870" t="s">
        <v>18652</v>
      </c>
      <c r="V1870" s="104">
        <v>45857</v>
      </c>
      <c r="X1870" s="97"/>
      <c r="Y1870" s="75">
        <v>333.51</v>
      </c>
    </row>
    <row r="1871" spans="1:25" x14ac:dyDescent="0.25">
      <c r="A1871" s="76">
        <v>1903</v>
      </c>
      <c r="B1871" s="2" t="s">
        <v>9037</v>
      </c>
      <c r="C1871" s="2" t="s">
        <v>9038</v>
      </c>
      <c r="D1871" s="2" t="s">
        <v>9039</v>
      </c>
      <c r="E1871" s="2" t="s">
        <v>9040</v>
      </c>
      <c r="F1871" s="2" t="s">
        <v>9041</v>
      </c>
      <c r="G1871" s="2" t="s">
        <v>23</v>
      </c>
      <c r="H1871" s="17">
        <v>25</v>
      </c>
      <c r="I1871" s="31">
        <f t="shared" si="180"/>
        <v>25000</v>
      </c>
      <c r="J1871" s="31">
        <f t="shared" si="181"/>
        <v>1750.0000000000002</v>
      </c>
      <c r="K1871" s="44">
        <f t="shared" si="182"/>
        <v>4.794520547945206</v>
      </c>
      <c r="L1871" s="3">
        <f t="shared" si="183"/>
        <v>354.79452054794524</v>
      </c>
      <c r="M1871" s="3">
        <f t="shared" si="184"/>
        <v>21.287671232876715</v>
      </c>
      <c r="N1871" s="67">
        <f t="shared" si="185"/>
        <v>333.50684931506851</v>
      </c>
      <c r="O1871" s="3"/>
      <c r="P1871" s="70" t="s">
        <v>18615</v>
      </c>
      <c r="Q1871" s="2" t="s">
        <v>40</v>
      </c>
      <c r="R1871" s="2" t="s">
        <v>9042</v>
      </c>
      <c r="T1871" t="s">
        <v>18666</v>
      </c>
      <c r="U1871" t="s">
        <v>18652</v>
      </c>
      <c r="V1871" s="104">
        <v>45857</v>
      </c>
      <c r="X1871" s="97"/>
      <c r="Y1871" s="75">
        <v>333.51</v>
      </c>
    </row>
    <row r="1872" spans="1:25" x14ac:dyDescent="0.25">
      <c r="A1872" s="76">
        <v>1904</v>
      </c>
      <c r="B1872" s="2" t="s">
        <v>4192</v>
      </c>
      <c r="C1872" s="2" t="s">
        <v>4193</v>
      </c>
      <c r="D1872" s="2" t="s">
        <v>4194</v>
      </c>
      <c r="E1872" s="2" t="s">
        <v>4195</v>
      </c>
      <c r="F1872" s="2" t="s">
        <v>4196</v>
      </c>
      <c r="G1872" s="2" t="s">
        <v>23</v>
      </c>
      <c r="H1872" s="17">
        <v>25</v>
      </c>
      <c r="I1872" s="31">
        <f t="shared" si="180"/>
        <v>25000</v>
      </c>
      <c r="J1872" s="31">
        <f t="shared" si="181"/>
        <v>1750.0000000000002</v>
      </c>
      <c r="K1872" s="44">
        <f t="shared" si="182"/>
        <v>4.794520547945206</v>
      </c>
      <c r="L1872" s="3">
        <f t="shared" si="183"/>
        <v>354.79452054794524</v>
      </c>
      <c r="M1872" s="3">
        <f t="shared" si="184"/>
        <v>21.287671232876715</v>
      </c>
      <c r="N1872" s="67">
        <f t="shared" si="185"/>
        <v>333.50684931506851</v>
      </c>
      <c r="O1872" s="3"/>
      <c r="P1872" s="70" t="s">
        <v>18615</v>
      </c>
      <c r="Q1872" s="2" t="s">
        <v>40</v>
      </c>
      <c r="R1872" s="2" t="s">
        <v>4197</v>
      </c>
      <c r="T1872" t="s">
        <v>18666</v>
      </c>
      <c r="U1872" t="s">
        <v>18652</v>
      </c>
      <c r="V1872" s="104">
        <v>45857</v>
      </c>
      <c r="X1872" s="97"/>
      <c r="Y1872" s="75">
        <v>333.51</v>
      </c>
    </row>
    <row r="1873" spans="1:25" x14ac:dyDescent="0.25">
      <c r="A1873" s="76">
        <v>1905</v>
      </c>
      <c r="B1873" s="2" t="s">
        <v>83</v>
      </c>
      <c r="C1873" s="2" t="s">
        <v>84</v>
      </c>
      <c r="D1873" s="2" t="s">
        <v>85</v>
      </c>
      <c r="E1873" s="2" t="s">
        <v>86</v>
      </c>
      <c r="F1873" s="2" t="s">
        <v>87</v>
      </c>
      <c r="G1873" s="2" t="s">
        <v>31</v>
      </c>
      <c r="H1873" s="17">
        <v>25</v>
      </c>
      <c r="I1873" s="31">
        <f t="shared" si="180"/>
        <v>25000</v>
      </c>
      <c r="J1873" s="31">
        <f t="shared" si="181"/>
        <v>1750.0000000000002</v>
      </c>
      <c r="K1873" s="44">
        <f t="shared" si="182"/>
        <v>4.794520547945206</v>
      </c>
      <c r="L1873" s="3">
        <f t="shared" si="183"/>
        <v>354.79452054794524</v>
      </c>
      <c r="M1873" s="3">
        <f t="shared" si="184"/>
        <v>21.287671232876715</v>
      </c>
      <c r="N1873" s="67">
        <f t="shared" si="185"/>
        <v>333.50684931506851</v>
      </c>
      <c r="O1873" s="3"/>
      <c r="P1873" s="70" t="s">
        <v>18615</v>
      </c>
      <c r="Q1873" s="2" t="s">
        <v>40</v>
      </c>
      <c r="R1873" s="2" t="s">
        <v>88</v>
      </c>
      <c r="T1873" t="s">
        <v>18666</v>
      </c>
      <c r="U1873" t="s">
        <v>18652</v>
      </c>
      <c r="V1873" s="104">
        <v>45857</v>
      </c>
      <c r="X1873" s="97"/>
      <c r="Y1873" s="75">
        <v>333.51</v>
      </c>
    </row>
    <row r="1874" spans="1:25" x14ac:dyDescent="0.25">
      <c r="A1874" s="76">
        <v>1906</v>
      </c>
      <c r="B1874" s="2" t="s">
        <v>17685</v>
      </c>
      <c r="C1874" s="2" t="s">
        <v>17686</v>
      </c>
      <c r="D1874" s="2" t="s">
        <v>17687</v>
      </c>
      <c r="E1874" s="2" t="s">
        <v>17688</v>
      </c>
      <c r="F1874" s="2" t="s">
        <v>17689</v>
      </c>
      <c r="G1874" s="2" t="s">
        <v>31</v>
      </c>
      <c r="H1874" s="17">
        <v>25</v>
      </c>
      <c r="I1874" s="31">
        <f t="shared" ref="I1874:I1937" si="186">H1874*1000</f>
        <v>25000</v>
      </c>
      <c r="J1874" s="31">
        <f t="shared" ref="J1874:J1937" si="187">I1874*7%</f>
        <v>1750.0000000000002</v>
      </c>
      <c r="K1874" s="44">
        <f t="shared" ref="K1874:K1937" si="188">J1874/365</f>
        <v>4.794520547945206</v>
      </c>
      <c r="L1874" s="3">
        <f t="shared" ref="L1874:L1937" si="189">K1874*74</f>
        <v>354.79452054794524</v>
      </c>
      <c r="M1874" s="3">
        <f t="shared" ref="M1874:M1937" si="190">L1874*6%</f>
        <v>21.287671232876715</v>
      </c>
      <c r="N1874" s="67">
        <f t="shared" ref="N1874:N1937" si="191">L1874-M1874</f>
        <v>333.50684931506851</v>
      </c>
      <c r="O1874" s="3"/>
      <c r="P1874" s="70" t="s">
        <v>18615</v>
      </c>
      <c r="Q1874" s="2" t="s">
        <v>40</v>
      </c>
      <c r="R1874" s="2" t="s">
        <v>17690</v>
      </c>
      <c r="T1874" t="s">
        <v>18666</v>
      </c>
      <c r="U1874" t="s">
        <v>18652</v>
      </c>
      <c r="V1874" s="104">
        <v>45857</v>
      </c>
      <c r="X1874" s="97"/>
      <c r="Y1874" s="75">
        <v>333.51</v>
      </c>
    </row>
    <row r="1875" spans="1:25" x14ac:dyDescent="0.25">
      <c r="A1875" s="76">
        <v>1907</v>
      </c>
      <c r="B1875" s="2" t="s">
        <v>13863</v>
      </c>
      <c r="C1875" s="2" t="s">
        <v>13864</v>
      </c>
      <c r="D1875" s="2" t="s">
        <v>13865</v>
      </c>
      <c r="E1875" s="2" t="s">
        <v>13866</v>
      </c>
      <c r="F1875" s="2" t="s">
        <v>13867</v>
      </c>
      <c r="G1875" s="2" t="s">
        <v>151</v>
      </c>
      <c r="H1875" s="17">
        <v>25</v>
      </c>
      <c r="I1875" s="31">
        <f t="shared" si="186"/>
        <v>25000</v>
      </c>
      <c r="J1875" s="31">
        <f t="shared" si="187"/>
        <v>1750.0000000000002</v>
      </c>
      <c r="K1875" s="44">
        <f t="shared" si="188"/>
        <v>4.794520547945206</v>
      </c>
      <c r="L1875" s="3">
        <f t="shared" si="189"/>
        <v>354.79452054794524</v>
      </c>
      <c r="M1875" s="3">
        <f t="shared" si="190"/>
        <v>21.287671232876715</v>
      </c>
      <c r="N1875" s="67">
        <f t="shared" si="191"/>
        <v>333.50684931506851</v>
      </c>
      <c r="O1875" s="3"/>
      <c r="P1875" s="70" t="s">
        <v>18615</v>
      </c>
      <c r="Q1875" s="2" t="s">
        <v>40</v>
      </c>
      <c r="R1875" s="2" t="s">
        <v>13868</v>
      </c>
      <c r="T1875" t="s">
        <v>18666</v>
      </c>
      <c r="U1875" t="s">
        <v>18652</v>
      </c>
      <c r="V1875" s="104">
        <v>45857</v>
      </c>
      <c r="X1875" s="97"/>
      <c r="Y1875" s="75">
        <v>333.51</v>
      </c>
    </row>
    <row r="1876" spans="1:25" x14ac:dyDescent="0.25">
      <c r="A1876" s="76">
        <v>1908</v>
      </c>
      <c r="B1876" s="2" t="s">
        <v>105</v>
      </c>
      <c r="C1876" s="2" t="s">
        <v>106</v>
      </c>
      <c r="D1876" s="2" t="s">
        <v>107</v>
      </c>
      <c r="E1876" s="2" t="s">
        <v>108</v>
      </c>
      <c r="F1876" s="2" t="s">
        <v>109</v>
      </c>
      <c r="G1876" s="2" t="s">
        <v>31</v>
      </c>
      <c r="H1876" s="17">
        <v>25</v>
      </c>
      <c r="I1876" s="31">
        <f t="shared" si="186"/>
        <v>25000</v>
      </c>
      <c r="J1876" s="31">
        <f t="shared" si="187"/>
        <v>1750.0000000000002</v>
      </c>
      <c r="K1876" s="44">
        <f t="shared" si="188"/>
        <v>4.794520547945206</v>
      </c>
      <c r="L1876" s="3">
        <f t="shared" si="189"/>
        <v>354.79452054794524</v>
      </c>
      <c r="M1876" s="3">
        <f t="shared" si="190"/>
        <v>21.287671232876715</v>
      </c>
      <c r="N1876" s="67">
        <f t="shared" si="191"/>
        <v>333.50684931506851</v>
      </c>
      <c r="O1876" s="3"/>
      <c r="P1876" s="70" t="s">
        <v>18615</v>
      </c>
      <c r="Q1876" s="2" t="s">
        <v>40</v>
      </c>
      <c r="R1876" s="2" t="s">
        <v>110</v>
      </c>
      <c r="T1876" t="s">
        <v>18666</v>
      </c>
      <c r="U1876" t="s">
        <v>18652</v>
      </c>
      <c r="V1876" s="104">
        <v>45857</v>
      </c>
      <c r="X1876" s="97"/>
      <c r="Y1876" s="75">
        <v>333.51</v>
      </c>
    </row>
    <row r="1877" spans="1:25" x14ac:dyDescent="0.25">
      <c r="A1877" s="76">
        <v>1909</v>
      </c>
      <c r="B1877" s="2" t="s">
        <v>11377</v>
      </c>
      <c r="C1877" s="2" t="s">
        <v>11378</v>
      </c>
      <c r="D1877" s="2" t="s">
        <v>11379</v>
      </c>
      <c r="E1877" s="2" t="s">
        <v>11380</v>
      </c>
      <c r="F1877" s="2" t="s">
        <v>11381</v>
      </c>
      <c r="G1877" s="2" t="s">
        <v>31</v>
      </c>
      <c r="H1877" s="17">
        <v>25</v>
      </c>
      <c r="I1877" s="31">
        <f t="shared" si="186"/>
        <v>25000</v>
      </c>
      <c r="J1877" s="31">
        <f t="shared" si="187"/>
        <v>1750.0000000000002</v>
      </c>
      <c r="K1877" s="44">
        <f t="shared" si="188"/>
        <v>4.794520547945206</v>
      </c>
      <c r="L1877" s="3">
        <f t="shared" si="189"/>
        <v>354.79452054794524</v>
      </c>
      <c r="M1877" s="3">
        <f t="shared" si="190"/>
        <v>21.287671232876715</v>
      </c>
      <c r="N1877" s="67">
        <f t="shared" si="191"/>
        <v>333.50684931506851</v>
      </c>
      <c r="O1877" s="3"/>
      <c r="P1877" s="70" t="s">
        <v>18615</v>
      </c>
      <c r="Q1877" s="2" t="s">
        <v>40</v>
      </c>
      <c r="R1877" s="2" t="s">
        <v>11382</v>
      </c>
      <c r="T1877" t="s">
        <v>18666</v>
      </c>
      <c r="U1877" t="s">
        <v>18652</v>
      </c>
      <c r="V1877" s="104">
        <v>45857</v>
      </c>
      <c r="X1877" s="97"/>
      <c r="Y1877" s="75">
        <v>333.51</v>
      </c>
    </row>
    <row r="1878" spans="1:25" x14ac:dyDescent="0.25">
      <c r="A1878" s="76">
        <v>1910</v>
      </c>
      <c r="B1878" s="2" t="s">
        <v>2297</v>
      </c>
      <c r="C1878" s="2" t="s">
        <v>2298</v>
      </c>
      <c r="D1878" s="2" t="s">
        <v>2299</v>
      </c>
      <c r="E1878" s="2" t="s">
        <v>2300</v>
      </c>
      <c r="F1878" s="2" t="s">
        <v>2301</v>
      </c>
      <c r="G1878" s="2" t="s">
        <v>23</v>
      </c>
      <c r="H1878" s="17">
        <v>25</v>
      </c>
      <c r="I1878" s="31">
        <f t="shared" si="186"/>
        <v>25000</v>
      </c>
      <c r="J1878" s="31">
        <f t="shared" si="187"/>
        <v>1750.0000000000002</v>
      </c>
      <c r="K1878" s="44">
        <f t="shared" si="188"/>
        <v>4.794520547945206</v>
      </c>
      <c r="L1878" s="3">
        <f t="shared" si="189"/>
        <v>354.79452054794524</v>
      </c>
      <c r="M1878" s="3">
        <f t="shared" si="190"/>
        <v>21.287671232876715</v>
      </c>
      <c r="N1878" s="67">
        <f t="shared" si="191"/>
        <v>333.50684931506851</v>
      </c>
      <c r="O1878" s="3"/>
      <c r="P1878" s="70" t="s">
        <v>18615</v>
      </c>
      <c r="Q1878" s="2" t="s">
        <v>40</v>
      </c>
      <c r="R1878" s="2" t="s">
        <v>2302</v>
      </c>
      <c r="T1878" t="s">
        <v>18666</v>
      </c>
      <c r="U1878" t="s">
        <v>18652</v>
      </c>
      <c r="V1878" s="104">
        <v>45857</v>
      </c>
      <c r="X1878" s="97"/>
      <c r="Y1878" s="75">
        <v>333.51</v>
      </c>
    </row>
    <row r="1879" spans="1:25" x14ac:dyDescent="0.25">
      <c r="A1879" s="76">
        <v>1911</v>
      </c>
      <c r="B1879" s="2" t="s">
        <v>10999</v>
      </c>
      <c r="C1879" s="2" t="s">
        <v>11000</v>
      </c>
      <c r="D1879" s="2" t="s">
        <v>11001</v>
      </c>
      <c r="E1879" s="2" t="s">
        <v>11002</v>
      </c>
      <c r="F1879" s="2" t="s">
        <v>11003</v>
      </c>
      <c r="G1879" s="2" t="s">
        <v>101</v>
      </c>
      <c r="H1879" s="17">
        <v>50</v>
      </c>
      <c r="I1879" s="31">
        <f t="shared" si="186"/>
        <v>50000</v>
      </c>
      <c r="J1879" s="31">
        <f t="shared" si="187"/>
        <v>3500.0000000000005</v>
      </c>
      <c r="K1879" s="44">
        <f t="shared" si="188"/>
        <v>9.589041095890412</v>
      </c>
      <c r="L1879" s="3">
        <f t="shared" si="189"/>
        <v>709.58904109589048</v>
      </c>
      <c r="M1879" s="3">
        <f t="shared" si="190"/>
        <v>42.57534246575343</v>
      </c>
      <c r="N1879" s="67">
        <f t="shared" si="191"/>
        <v>667.01369863013701</v>
      </c>
      <c r="O1879" s="3"/>
      <c r="P1879" s="70" t="s">
        <v>18615</v>
      </c>
      <c r="Q1879" s="2" t="s">
        <v>40</v>
      </c>
      <c r="R1879" s="2" t="s">
        <v>11004</v>
      </c>
      <c r="T1879" t="s">
        <v>18666</v>
      </c>
      <c r="U1879" t="s">
        <v>18652</v>
      </c>
      <c r="V1879" s="104">
        <v>45857</v>
      </c>
      <c r="X1879" s="97"/>
      <c r="Y1879" s="75">
        <v>667.02</v>
      </c>
    </row>
    <row r="1880" spans="1:25" x14ac:dyDescent="0.25">
      <c r="A1880" s="76">
        <v>1912</v>
      </c>
      <c r="B1880" s="2" t="s">
        <v>8950</v>
      </c>
      <c r="C1880" s="2" t="s">
        <v>8951</v>
      </c>
      <c r="D1880" s="2" t="s">
        <v>8952</v>
      </c>
      <c r="E1880" s="2" t="s">
        <v>8953</v>
      </c>
      <c r="F1880" s="2" t="s">
        <v>8954</v>
      </c>
      <c r="G1880" s="2" t="s">
        <v>186</v>
      </c>
      <c r="H1880" s="17">
        <v>50</v>
      </c>
      <c r="I1880" s="31">
        <f t="shared" si="186"/>
        <v>50000</v>
      </c>
      <c r="J1880" s="31">
        <f t="shared" si="187"/>
        <v>3500.0000000000005</v>
      </c>
      <c r="K1880" s="44">
        <f t="shared" si="188"/>
        <v>9.589041095890412</v>
      </c>
      <c r="L1880" s="3">
        <f t="shared" si="189"/>
        <v>709.58904109589048</v>
      </c>
      <c r="M1880" s="3">
        <f t="shared" si="190"/>
        <v>42.57534246575343</v>
      </c>
      <c r="N1880" s="67">
        <f t="shared" si="191"/>
        <v>667.01369863013701</v>
      </c>
      <c r="O1880" s="3"/>
      <c r="P1880" s="70" t="s">
        <v>18615</v>
      </c>
      <c r="Q1880" s="2" t="s">
        <v>40</v>
      </c>
      <c r="R1880" s="2" t="s">
        <v>8955</v>
      </c>
      <c r="T1880" t="s">
        <v>18666</v>
      </c>
      <c r="U1880" t="s">
        <v>18652</v>
      </c>
      <c r="V1880" s="104">
        <v>45857</v>
      </c>
      <c r="X1880" s="97"/>
      <c r="Y1880" s="75">
        <v>667.02</v>
      </c>
    </row>
    <row r="1881" spans="1:25" x14ac:dyDescent="0.25">
      <c r="A1881" s="76">
        <v>1913</v>
      </c>
      <c r="B1881" s="2" t="s">
        <v>5872</v>
      </c>
      <c r="C1881" s="2" t="s">
        <v>4211</v>
      </c>
      <c r="D1881" s="2" t="s">
        <v>5873</v>
      </c>
      <c r="E1881" s="2" t="s">
        <v>5874</v>
      </c>
      <c r="F1881" s="2" t="s">
        <v>5875</v>
      </c>
      <c r="G1881" s="2" t="s">
        <v>31</v>
      </c>
      <c r="H1881" s="17">
        <v>100</v>
      </c>
      <c r="I1881" s="31">
        <f t="shared" si="186"/>
        <v>100000</v>
      </c>
      <c r="J1881" s="31">
        <f t="shared" si="187"/>
        <v>7000.0000000000009</v>
      </c>
      <c r="K1881" s="44">
        <f t="shared" si="188"/>
        <v>19.178082191780824</v>
      </c>
      <c r="L1881" s="3">
        <f t="shared" si="189"/>
        <v>1419.178082191781</v>
      </c>
      <c r="M1881" s="3">
        <f t="shared" si="190"/>
        <v>85.150684931506859</v>
      </c>
      <c r="N1881" s="67">
        <f t="shared" si="191"/>
        <v>1334.027397260274</v>
      </c>
      <c r="O1881" s="3"/>
      <c r="P1881" s="70" t="s">
        <v>18615</v>
      </c>
      <c r="Q1881" s="2" t="s">
        <v>40</v>
      </c>
      <c r="R1881" s="2" t="s">
        <v>5876</v>
      </c>
      <c r="T1881" t="s">
        <v>18666</v>
      </c>
      <c r="U1881" t="s">
        <v>18652</v>
      </c>
      <c r="V1881" s="104">
        <v>45857</v>
      </c>
      <c r="X1881" s="97"/>
      <c r="Y1881" s="75">
        <v>1334.03</v>
      </c>
    </row>
    <row r="1882" spans="1:25" x14ac:dyDescent="0.25">
      <c r="A1882" s="76">
        <v>1914</v>
      </c>
      <c r="B1882" s="2" t="s">
        <v>11389</v>
      </c>
      <c r="C1882" s="2" t="s">
        <v>4023</v>
      </c>
      <c r="D1882" s="2" t="s">
        <v>11390</v>
      </c>
      <c r="E1882" s="2" t="s">
        <v>11391</v>
      </c>
      <c r="F1882" s="2" t="s">
        <v>11392</v>
      </c>
      <c r="G1882" s="2" t="s">
        <v>2380</v>
      </c>
      <c r="H1882" s="17">
        <v>25</v>
      </c>
      <c r="I1882" s="31">
        <f t="shared" si="186"/>
        <v>25000</v>
      </c>
      <c r="J1882" s="31">
        <f t="shared" si="187"/>
        <v>1750.0000000000002</v>
      </c>
      <c r="K1882" s="44">
        <f t="shared" si="188"/>
        <v>4.794520547945206</v>
      </c>
      <c r="L1882" s="3">
        <f t="shared" si="189"/>
        <v>354.79452054794524</v>
      </c>
      <c r="M1882" s="3">
        <f t="shared" si="190"/>
        <v>21.287671232876715</v>
      </c>
      <c r="N1882" s="67">
        <f t="shared" si="191"/>
        <v>333.50684931506851</v>
      </c>
      <c r="O1882" s="3"/>
      <c r="P1882" s="70" t="s">
        <v>18615</v>
      </c>
      <c r="Q1882" s="2" t="s">
        <v>40</v>
      </c>
      <c r="R1882" s="2" t="s">
        <v>11393</v>
      </c>
      <c r="T1882" t="s">
        <v>18666</v>
      </c>
      <c r="U1882" t="s">
        <v>18652</v>
      </c>
      <c r="V1882" s="104">
        <v>45857</v>
      </c>
      <c r="X1882" s="97"/>
      <c r="Y1882" s="75">
        <v>333.51</v>
      </c>
    </row>
    <row r="1883" spans="1:25" x14ac:dyDescent="0.25">
      <c r="A1883" s="76">
        <v>1915</v>
      </c>
      <c r="B1883" s="2" t="s">
        <v>16564</v>
      </c>
      <c r="C1883" s="2" t="s">
        <v>16565</v>
      </c>
      <c r="D1883" s="2" t="s">
        <v>16566</v>
      </c>
      <c r="E1883" s="2" t="s">
        <v>16567</v>
      </c>
      <c r="F1883" s="2" t="s">
        <v>16568</v>
      </c>
      <c r="G1883" s="2" t="s">
        <v>750</v>
      </c>
      <c r="H1883" s="17">
        <v>25</v>
      </c>
      <c r="I1883" s="31">
        <f t="shared" si="186"/>
        <v>25000</v>
      </c>
      <c r="J1883" s="31">
        <f t="shared" si="187"/>
        <v>1750.0000000000002</v>
      </c>
      <c r="K1883" s="44">
        <f t="shared" si="188"/>
        <v>4.794520547945206</v>
      </c>
      <c r="L1883" s="3">
        <f t="shared" si="189"/>
        <v>354.79452054794524</v>
      </c>
      <c r="M1883" s="3">
        <f t="shared" si="190"/>
        <v>21.287671232876715</v>
      </c>
      <c r="N1883" s="67">
        <f t="shared" si="191"/>
        <v>333.50684931506851</v>
      </c>
      <c r="O1883" s="3"/>
      <c r="P1883" s="70" t="s">
        <v>18615</v>
      </c>
      <c r="Q1883" s="2" t="s">
        <v>40</v>
      </c>
      <c r="R1883" s="2" t="s">
        <v>16569</v>
      </c>
      <c r="T1883" t="s">
        <v>18666</v>
      </c>
      <c r="U1883" t="s">
        <v>18652</v>
      </c>
      <c r="V1883" s="104">
        <v>45857</v>
      </c>
      <c r="X1883" s="97"/>
      <c r="Y1883" s="75">
        <v>333.51</v>
      </c>
    </row>
    <row r="1884" spans="1:25" x14ac:dyDescent="0.25">
      <c r="A1884" s="76">
        <v>1916</v>
      </c>
      <c r="B1884" s="2" t="s">
        <v>7601</v>
      </c>
      <c r="C1884" s="2" t="s">
        <v>7602</v>
      </c>
      <c r="D1884" s="2" t="s">
        <v>7603</v>
      </c>
      <c r="E1884" s="2" t="s">
        <v>7604</v>
      </c>
      <c r="F1884" s="2" t="s">
        <v>7605</v>
      </c>
      <c r="G1884" s="2" t="s">
        <v>680</v>
      </c>
      <c r="H1884" s="17">
        <v>50</v>
      </c>
      <c r="I1884" s="31">
        <f t="shared" si="186"/>
        <v>50000</v>
      </c>
      <c r="J1884" s="31">
        <f t="shared" si="187"/>
        <v>3500.0000000000005</v>
      </c>
      <c r="K1884" s="44">
        <f t="shared" si="188"/>
        <v>9.589041095890412</v>
      </c>
      <c r="L1884" s="3">
        <f t="shared" si="189"/>
        <v>709.58904109589048</v>
      </c>
      <c r="M1884" s="3">
        <f t="shared" si="190"/>
        <v>42.57534246575343</v>
      </c>
      <c r="N1884" s="67">
        <f t="shared" si="191"/>
        <v>667.01369863013701</v>
      </c>
      <c r="O1884" s="3"/>
      <c r="P1884" s="70" t="s">
        <v>18615</v>
      </c>
      <c r="Q1884" s="2" t="s">
        <v>40</v>
      </c>
      <c r="R1884" s="2" t="s">
        <v>7606</v>
      </c>
      <c r="T1884" t="s">
        <v>18666</v>
      </c>
      <c r="U1884" t="s">
        <v>18652</v>
      </c>
      <c r="V1884" s="104">
        <v>45857</v>
      </c>
      <c r="X1884" s="97"/>
      <c r="Y1884" s="75">
        <v>667.02</v>
      </c>
    </row>
    <row r="1885" spans="1:25" x14ac:dyDescent="0.25">
      <c r="A1885" s="76">
        <v>1917</v>
      </c>
      <c r="B1885" s="2" t="s">
        <v>16454</v>
      </c>
      <c r="C1885" s="2" t="s">
        <v>16455</v>
      </c>
      <c r="D1885" s="2" t="s">
        <v>16456</v>
      </c>
      <c r="E1885" s="2" t="s">
        <v>10360</v>
      </c>
      <c r="F1885" s="2" t="s">
        <v>16457</v>
      </c>
      <c r="G1885" s="2" t="s">
        <v>31</v>
      </c>
      <c r="H1885" s="17">
        <v>25</v>
      </c>
      <c r="I1885" s="31">
        <f t="shared" si="186"/>
        <v>25000</v>
      </c>
      <c r="J1885" s="31">
        <f t="shared" si="187"/>
        <v>1750.0000000000002</v>
      </c>
      <c r="K1885" s="44">
        <f t="shared" si="188"/>
        <v>4.794520547945206</v>
      </c>
      <c r="L1885" s="3">
        <f t="shared" si="189"/>
        <v>354.79452054794524</v>
      </c>
      <c r="M1885" s="3">
        <f t="shared" si="190"/>
        <v>21.287671232876715</v>
      </c>
      <c r="N1885" s="67">
        <f t="shared" si="191"/>
        <v>333.50684931506851</v>
      </c>
      <c r="O1885" s="3"/>
      <c r="P1885" s="70" t="s">
        <v>18615</v>
      </c>
      <c r="Q1885" s="2" t="s">
        <v>40</v>
      </c>
      <c r="R1885" s="2" t="s">
        <v>16458</v>
      </c>
      <c r="T1885" t="s">
        <v>18666</v>
      </c>
      <c r="U1885" t="s">
        <v>18652</v>
      </c>
      <c r="V1885" s="104">
        <v>45857</v>
      </c>
      <c r="X1885" s="97"/>
      <c r="Y1885" s="75">
        <v>333.51</v>
      </c>
    </row>
    <row r="1886" spans="1:25" x14ac:dyDescent="0.25">
      <c r="A1886" s="76">
        <v>1918</v>
      </c>
      <c r="B1886" s="2" t="s">
        <v>16407</v>
      </c>
      <c r="C1886" s="2" t="s">
        <v>16408</v>
      </c>
      <c r="D1886" s="2" t="s">
        <v>16409</v>
      </c>
      <c r="E1886" s="2" t="s">
        <v>16410</v>
      </c>
      <c r="F1886" s="2" t="s">
        <v>16411</v>
      </c>
      <c r="G1886" s="2" t="s">
        <v>31</v>
      </c>
      <c r="H1886" s="17">
        <v>25</v>
      </c>
      <c r="I1886" s="31">
        <f t="shared" si="186"/>
        <v>25000</v>
      </c>
      <c r="J1886" s="31">
        <f t="shared" si="187"/>
        <v>1750.0000000000002</v>
      </c>
      <c r="K1886" s="44">
        <f t="shared" si="188"/>
        <v>4.794520547945206</v>
      </c>
      <c r="L1886" s="3">
        <f t="shared" si="189"/>
        <v>354.79452054794524</v>
      </c>
      <c r="M1886" s="3">
        <f t="shared" si="190"/>
        <v>21.287671232876715</v>
      </c>
      <c r="N1886" s="67">
        <f t="shared" si="191"/>
        <v>333.50684931506851</v>
      </c>
      <c r="O1886" s="3"/>
      <c r="P1886" s="70" t="s">
        <v>18615</v>
      </c>
      <c r="Q1886" s="2" t="s">
        <v>40</v>
      </c>
      <c r="R1886" s="2" t="s">
        <v>16412</v>
      </c>
      <c r="T1886" t="s">
        <v>18666</v>
      </c>
      <c r="U1886" t="s">
        <v>18652</v>
      </c>
      <c r="V1886" s="104">
        <v>45857</v>
      </c>
      <c r="X1886" s="97"/>
      <c r="Y1886" s="75">
        <v>333.51</v>
      </c>
    </row>
    <row r="1887" spans="1:25" x14ac:dyDescent="0.25">
      <c r="A1887" s="76">
        <v>1919</v>
      </c>
      <c r="B1887" s="2" t="s">
        <v>16234</v>
      </c>
      <c r="C1887" s="2" t="s">
        <v>16235</v>
      </c>
      <c r="D1887" s="2" t="s">
        <v>16236</v>
      </c>
      <c r="E1887" s="2" t="s">
        <v>16237</v>
      </c>
      <c r="F1887" s="2" t="s">
        <v>16238</v>
      </c>
      <c r="G1887" s="2" t="s">
        <v>226</v>
      </c>
      <c r="H1887" s="17">
        <v>25</v>
      </c>
      <c r="I1887" s="31">
        <f t="shared" si="186"/>
        <v>25000</v>
      </c>
      <c r="J1887" s="31">
        <f t="shared" si="187"/>
        <v>1750.0000000000002</v>
      </c>
      <c r="K1887" s="44">
        <f t="shared" si="188"/>
        <v>4.794520547945206</v>
      </c>
      <c r="L1887" s="3">
        <f t="shared" si="189"/>
        <v>354.79452054794524</v>
      </c>
      <c r="M1887" s="3">
        <f t="shared" si="190"/>
        <v>21.287671232876715</v>
      </c>
      <c r="N1887" s="67">
        <f t="shared" si="191"/>
        <v>333.50684931506851</v>
      </c>
      <c r="O1887" s="3"/>
      <c r="P1887" s="70" t="s">
        <v>18615</v>
      </c>
      <c r="Q1887" s="2" t="s">
        <v>40</v>
      </c>
      <c r="R1887" s="2" t="s">
        <v>16239</v>
      </c>
      <c r="T1887" t="s">
        <v>18666</v>
      </c>
      <c r="U1887" t="s">
        <v>18652</v>
      </c>
      <c r="V1887" s="104">
        <v>45857</v>
      </c>
      <c r="X1887" s="97"/>
      <c r="Y1887" s="75">
        <v>333.51</v>
      </c>
    </row>
    <row r="1888" spans="1:25" x14ac:dyDescent="0.25">
      <c r="A1888" s="76">
        <v>1920</v>
      </c>
      <c r="B1888" s="2" t="s">
        <v>11132</v>
      </c>
      <c r="C1888" s="2" t="s">
        <v>11133</v>
      </c>
      <c r="D1888" s="2" t="s">
        <v>11134</v>
      </c>
      <c r="E1888" s="2" t="s">
        <v>11135</v>
      </c>
      <c r="F1888" s="2" t="s">
        <v>11136</v>
      </c>
      <c r="G1888" s="2" t="s">
        <v>939</v>
      </c>
      <c r="H1888" s="17">
        <v>25</v>
      </c>
      <c r="I1888" s="31">
        <f t="shared" si="186"/>
        <v>25000</v>
      </c>
      <c r="J1888" s="31">
        <f t="shared" si="187"/>
        <v>1750.0000000000002</v>
      </c>
      <c r="K1888" s="44">
        <f t="shared" si="188"/>
        <v>4.794520547945206</v>
      </c>
      <c r="L1888" s="3">
        <f t="shared" si="189"/>
        <v>354.79452054794524</v>
      </c>
      <c r="M1888" s="3">
        <f t="shared" si="190"/>
        <v>21.287671232876715</v>
      </c>
      <c r="N1888" s="67">
        <f t="shared" si="191"/>
        <v>333.50684931506851</v>
      </c>
      <c r="O1888" s="3"/>
      <c r="P1888" s="70" t="s">
        <v>18615</v>
      </c>
      <c r="Q1888" s="2" t="s">
        <v>40</v>
      </c>
      <c r="R1888" s="2" t="s">
        <v>11137</v>
      </c>
      <c r="T1888" t="s">
        <v>18666</v>
      </c>
      <c r="U1888" t="s">
        <v>18652</v>
      </c>
      <c r="V1888" s="104">
        <v>45857</v>
      </c>
      <c r="X1888" s="97"/>
      <c r="Y1888" s="75">
        <v>333.51</v>
      </c>
    </row>
    <row r="1889" spans="1:25" x14ac:dyDescent="0.25">
      <c r="A1889" s="76">
        <v>1921</v>
      </c>
      <c r="B1889" s="2" t="s">
        <v>5090</v>
      </c>
      <c r="C1889" s="2" t="s">
        <v>5091</v>
      </c>
      <c r="D1889" s="2" t="s">
        <v>5092</v>
      </c>
      <c r="E1889" s="2" t="s">
        <v>5093</v>
      </c>
      <c r="F1889" s="2" t="s">
        <v>5094</v>
      </c>
      <c r="G1889" s="2" t="s">
        <v>158</v>
      </c>
      <c r="H1889" s="17">
        <v>25</v>
      </c>
      <c r="I1889" s="31">
        <f t="shared" si="186"/>
        <v>25000</v>
      </c>
      <c r="J1889" s="31">
        <f t="shared" si="187"/>
        <v>1750.0000000000002</v>
      </c>
      <c r="K1889" s="44">
        <f t="shared" si="188"/>
        <v>4.794520547945206</v>
      </c>
      <c r="L1889" s="3">
        <f t="shared" si="189"/>
        <v>354.79452054794524</v>
      </c>
      <c r="M1889" s="3">
        <f t="shared" si="190"/>
        <v>21.287671232876715</v>
      </c>
      <c r="N1889" s="67">
        <f t="shared" si="191"/>
        <v>333.50684931506851</v>
      </c>
      <c r="O1889" s="3"/>
      <c r="P1889" s="70" t="s">
        <v>18615</v>
      </c>
      <c r="Q1889" s="2" t="s">
        <v>40</v>
      </c>
      <c r="R1889" s="2" t="s">
        <v>5095</v>
      </c>
      <c r="T1889" t="s">
        <v>18666</v>
      </c>
      <c r="U1889" t="s">
        <v>18652</v>
      </c>
      <c r="V1889" s="104">
        <v>45857</v>
      </c>
      <c r="X1889" s="97"/>
      <c r="Y1889" s="75">
        <v>333.51</v>
      </c>
    </row>
    <row r="1890" spans="1:25" x14ac:dyDescent="0.25">
      <c r="A1890" s="76">
        <v>1922</v>
      </c>
      <c r="B1890" s="2" t="s">
        <v>1389</v>
      </c>
      <c r="C1890" s="2" t="s">
        <v>1390</v>
      </c>
      <c r="D1890" s="2" t="s">
        <v>1391</v>
      </c>
      <c r="E1890" s="2" t="s">
        <v>1392</v>
      </c>
      <c r="F1890" s="2" t="s">
        <v>1393</v>
      </c>
      <c r="G1890" s="2" t="s">
        <v>618</v>
      </c>
      <c r="H1890" s="17">
        <v>25</v>
      </c>
      <c r="I1890" s="31">
        <f t="shared" si="186"/>
        <v>25000</v>
      </c>
      <c r="J1890" s="31">
        <f t="shared" si="187"/>
        <v>1750.0000000000002</v>
      </c>
      <c r="K1890" s="44">
        <f t="shared" si="188"/>
        <v>4.794520547945206</v>
      </c>
      <c r="L1890" s="3">
        <f t="shared" si="189"/>
        <v>354.79452054794524</v>
      </c>
      <c r="M1890" s="3">
        <f t="shared" si="190"/>
        <v>21.287671232876715</v>
      </c>
      <c r="N1890" s="67">
        <f t="shared" si="191"/>
        <v>333.50684931506851</v>
      </c>
      <c r="O1890" s="3"/>
      <c r="P1890" s="70" t="s">
        <v>18615</v>
      </c>
      <c r="Q1890" s="2" t="s">
        <v>40</v>
      </c>
      <c r="R1890" s="2" t="s">
        <v>1394</v>
      </c>
      <c r="T1890" t="s">
        <v>18666</v>
      </c>
      <c r="U1890" t="s">
        <v>18652</v>
      </c>
      <c r="V1890" s="104">
        <v>45857</v>
      </c>
      <c r="X1890" s="97"/>
      <c r="Y1890" s="75">
        <v>333.51</v>
      </c>
    </row>
    <row r="1891" spans="1:25" x14ac:dyDescent="0.25">
      <c r="A1891" s="76">
        <v>1923</v>
      </c>
      <c r="B1891" s="2" t="s">
        <v>10529</v>
      </c>
      <c r="C1891" s="2" t="s">
        <v>10530</v>
      </c>
      <c r="D1891" s="2" t="s">
        <v>10531</v>
      </c>
      <c r="E1891" s="2" t="s">
        <v>10532</v>
      </c>
      <c r="F1891" s="2" t="s">
        <v>10533</v>
      </c>
      <c r="G1891" s="2" t="s">
        <v>296</v>
      </c>
      <c r="H1891" s="17">
        <v>25</v>
      </c>
      <c r="I1891" s="31">
        <f t="shared" si="186"/>
        <v>25000</v>
      </c>
      <c r="J1891" s="31">
        <f t="shared" si="187"/>
        <v>1750.0000000000002</v>
      </c>
      <c r="K1891" s="44">
        <f t="shared" si="188"/>
        <v>4.794520547945206</v>
      </c>
      <c r="L1891" s="3">
        <f t="shared" si="189"/>
        <v>354.79452054794524</v>
      </c>
      <c r="M1891" s="3">
        <f t="shared" si="190"/>
        <v>21.287671232876715</v>
      </c>
      <c r="N1891" s="67">
        <f t="shared" si="191"/>
        <v>333.50684931506851</v>
      </c>
      <c r="O1891" s="3"/>
      <c r="P1891" s="70" t="s">
        <v>18615</v>
      </c>
      <c r="Q1891" s="2" t="s">
        <v>40</v>
      </c>
      <c r="R1891" s="2" t="s">
        <v>10534</v>
      </c>
      <c r="T1891" t="s">
        <v>18666</v>
      </c>
      <c r="U1891" t="s">
        <v>18652</v>
      </c>
      <c r="V1891" s="104">
        <v>45857</v>
      </c>
      <c r="X1891" s="97"/>
      <c r="Y1891" s="75">
        <v>333.51</v>
      </c>
    </row>
    <row r="1892" spans="1:25" x14ac:dyDescent="0.25">
      <c r="A1892" s="76">
        <v>1924</v>
      </c>
      <c r="B1892" s="2" t="s">
        <v>8450</v>
      </c>
      <c r="C1892" s="2" t="s">
        <v>8451</v>
      </c>
      <c r="D1892" s="2" t="s">
        <v>8452</v>
      </c>
      <c r="E1892" s="2" t="s">
        <v>8453</v>
      </c>
      <c r="F1892" s="2" t="s">
        <v>8454</v>
      </c>
      <c r="G1892" s="2" t="s">
        <v>247</v>
      </c>
      <c r="H1892" s="17">
        <v>25</v>
      </c>
      <c r="I1892" s="31">
        <f t="shared" si="186"/>
        <v>25000</v>
      </c>
      <c r="J1892" s="31">
        <f t="shared" si="187"/>
        <v>1750.0000000000002</v>
      </c>
      <c r="K1892" s="44">
        <f t="shared" si="188"/>
        <v>4.794520547945206</v>
      </c>
      <c r="L1892" s="3">
        <f t="shared" si="189"/>
        <v>354.79452054794524</v>
      </c>
      <c r="M1892" s="3">
        <f t="shared" si="190"/>
        <v>21.287671232876715</v>
      </c>
      <c r="N1892" s="67">
        <f t="shared" si="191"/>
        <v>333.50684931506851</v>
      </c>
      <c r="O1892" s="3"/>
      <c r="P1892" s="70" t="s">
        <v>18615</v>
      </c>
      <c r="Q1892" s="2" t="s">
        <v>40</v>
      </c>
      <c r="R1892" s="2" t="s">
        <v>8455</v>
      </c>
      <c r="T1892" t="s">
        <v>18666</v>
      </c>
      <c r="U1892" t="s">
        <v>18652</v>
      </c>
      <c r="V1892" s="104">
        <v>45857</v>
      </c>
      <c r="X1892" s="97"/>
      <c r="Y1892" s="75">
        <v>333.51</v>
      </c>
    </row>
    <row r="1893" spans="1:25" x14ac:dyDescent="0.25">
      <c r="A1893" s="76">
        <v>1925</v>
      </c>
      <c r="B1893" s="2" t="s">
        <v>7274</v>
      </c>
      <c r="C1893" s="2" t="s">
        <v>7275</v>
      </c>
      <c r="D1893" s="2" t="s">
        <v>7276</v>
      </c>
      <c r="E1893" s="2" t="s">
        <v>7277</v>
      </c>
      <c r="F1893" s="2" t="s">
        <v>7278</v>
      </c>
      <c r="G1893" s="2" t="s">
        <v>1136</v>
      </c>
      <c r="H1893" s="17">
        <v>25</v>
      </c>
      <c r="I1893" s="31">
        <f t="shared" si="186"/>
        <v>25000</v>
      </c>
      <c r="J1893" s="31">
        <f t="shared" si="187"/>
        <v>1750.0000000000002</v>
      </c>
      <c r="K1893" s="44">
        <f t="shared" si="188"/>
        <v>4.794520547945206</v>
      </c>
      <c r="L1893" s="3">
        <f t="shared" si="189"/>
        <v>354.79452054794524</v>
      </c>
      <c r="M1893" s="3">
        <f t="shared" si="190"/>
        <v>21.287671232876715</v>
      </c>
      <c r="N1893" s="67">
        <f t="shared" si="191"/>
        <v>333.50684931506851</v>
      </c>
      <c r="O1893" s="3"/>
      <c r="P1893" s="70" t="s">
        <v>18615</v>
      </c>
      <c r="Q1893" s="2" t="s">
        <v>40</v>
      </c>
      <c r="R1893" s="2" t="s">
        <v>7279</v>
      </c>
      <c r="T1893" t="s">
        <v>18666</v>
      </c>
      <c r="U1893" t="s">
        <v>18652</v>
      </c>
      <c r="V1893" s="104">
        <v>45857</v>
      </c>
      <c r="X1893" s="97"/>
      <c r="Y1893" s="75">
        <v>333.51</v>
      </c>
    </row>
    <row r="1894" spans="1:25" x14ac:dyDescent="0.25">
      <c r="A1894" s="76">
        <v>1926</v>
      </c>
      <c r="B1894" s="2" t="s">
        <v>370</v>
      </c>
      <c r="C1894" s="2" t="s">
        <v>371</v>
      </c>
      <c r="D1894" s="2" t="s">
        <v>372</v>
      </c>
      <c r="E1894" s="2" t="s">
        <v>373</v>
      </c>
      <c r="F1894" s="2" t="s">
        <v>374</v>
      </c>
      <c r="G1894" s="2" t="s">
        <v>282</v>
      </c>
      <c r="H1894" s="17">
        <v>500</v>
      </c>
      <c r="I1894" s="31">
        <f t="shared" si="186"/>
        <v>500000</v>
      </c>
      <c r="J1894" s="31">
        <f t="shared" si="187"/>
        <v>35000</v>
      </c>
      <c r="K1894" s="44">
        <f t="shared" si="188"/>
        <v>95.890410958904113</v>
      </c>
      <c r="L1894" s="3">
        <f t="shared" si="189"/>
        <v>7095.8904109589039</v>
      </c>
      <c r="M1894" s="3">
        <f t="shared" si="190"/>
        <v>425.7534246575342</v>
      </c>
      <c r="N1894" s="67">
        <f t="shared" si="191"/>
        <v>6670.1369863013697</v>
      </c>
      <c r="O1894" s="3"/>
      <c r="P1894" s="70" t="s">
        <v>18615</v>
      </c>
      <c r="Q1894" s="2" t="s">
        <v>40</v>
      </c>
      <c r="R1894" s="2" t="s">
        <v>375</v>
      </c>
      <c r="T1894" t="s">
        <v>18666</v>
      </c>
      <c r="U1894" t="s">
        <v>18652</v>
      </c>
      <c r="V1894" s="104">
        <v>45857</v>
      </c>
      <c r="X1894" s="97"/>
      <c r="Y1894" s="75">
        <v>6670.14</v>
      </c>
    </row>
    <row r="1895" spans="1:25" x14ac:dyDescent="0.25">
      <c r="A1895" s="76">
        <v>1927</v>
      </c>
      <c r="B1895" s="2" t="s">
        <v>10634</v>
      </c>
      <c r="C1895" s="2" t="s">
        <v>10578</v>
      </c>
      <c r="D1895" s="2" t="s">
        <v>10635</v>
      </c>
      <c r="E1895" s="2" t="s">
        <v>10636</v>
      </c>
      <c r="F1895" s="2" t="s">
        <v>10637</v>
      </c>
      <c r="G1895" s="2" t="s">
        <v>31</v>
      </c>
      <c r="H1895" s="17">
        <v>25</v>
      </c>
      <c r="I1895" s="31">
        <f t="shared" si="186"/>
        <v>25000</v>
      </c>
      <c r="J1895" s="31">
        <f t="shared" si="187"/>
        <v>1750.0000000000002</v>
      </c>
      <c r="K1895" s="44">
        <f t="shared" si="188"/>
        <v>4.794520547945206</v>
      </c>
      <c r="L1895" s="3">
        <f t="shared" si="189"/>
        <v>354.79452054794524</v>
      </c>
      <c r="M1895" s="3">
        <f t="shared" si="190"/>
        <v>21.287671232876715</v>
      </c>
      <c r="N1895" s="67">
        <f t="shared" si="191"/>
        <v>333.50684931506851</v>
      </c>
      <c r="O1895" s="3"/>
      <c r="P1895" s="70" t="s">
        <v>18615</v>
      </c>
      <c r="Q1895" s="2" t="s">
        <v>40</v>
      </c>
      <c r="R1895" s="2" t="s">
        <v>10638</v>
      </c>
      <c r="T1895" t="s">
        <v>18666</v>
      </c>
      <c r="U1895" t="s">
        <v>18652</v>
      </c>
      <c r="V1895" s="104">
        <v>45857</v>
      </c>
      <c r="X1895" s="97"/>
      <c r="Y1895" s="75">
        <v>333.51</v>
      </c>
    </row>
    <row r="1896" spans="1:25" x14ac:dyDescent="0.25">
      <c r="A1896" s="76">
        <v>1928</v>
      </c>
      <c r="B1896" s="2" t="s">
        <v>16179</v>
      </c>
      <c r="C1896" s="2" t="s">
        <v>16180</v>
      </c>
      <c r="D1896" s="2" t="s">
        <v>16181</v>
      </c>
      <c r="E1896" s="2" t="s">
        <v>16182</v>
      </c>
      <c r="F1896" s="2" t="s">
        <v>16183</v>
      </c>
      <c r="G1896" s="2" t="s">
        <v>31</v>
      </c>
      <c r="H1896" s="17">
        <v>25</v>
      </c>
      <c r="I1896" s="31">
        <f t="shared" si="186"/>
        <v>25000</v>
      </c>
      <c r="J1896" s="31">
        <f t="shared" si="187"/>
        <v>1750.0000000000002</v>
      </c>
      <c r="K1896" s="44">
        <f t="shared" si="188"/>
        <v>4.794520547945206</v>
      </c>
      <c r="L1896" s="3">
        <f t="shared" si="189"/>
        <v>354.79452054794524</v>
      </c>
      <c r="M1896" s="3">
        <f t="shared" si="190"/>
        <v>21.287671232876715</v>
      </c>
      <c r="N1896" s="67">
        <f t="shared" si="191"/>
        <v>333.50684931506851</v>
      </c>
      <c r="O1896" s="3"/>
      <c r="P1896" s="70" t="s">
        <v>18615</v>
      </c>
      <c r="Q1896" s="2" t="s">
        <v>40</v>
      </c>
      <c r="R1896" s="2" t="s">
        <v>16184</v>
      </c>
      <c r="T1896" t="s">
        <v>18666</v>
      </c>
      <c r="U1896" t="s">
        <v>18652</v>
      </c>
      <c r="V1896" s="104">
        <v>45857</v>
      </c>
      <c r="X1896" s="97"/>
      <c r="Y1896" s="75">
        <v>333.51</v>
      </c>
    </row>
    <row r="1897" spans="1:25" x14ac:dyDescent="0.25">
      <c r="A1897" s="76">
        <v>1929</v>
      </c>
      <c r="B1897" s="2" t="s">
        <v>17097</v>
      </c>
      <c r="C1897" s="2" t="s">
        <v>17098</v>
      </c>
      <c r="D1897" s="2" t="s">
        <v>17099</v>
      </c>
      <c r="E1897" s="2" t="s">
        <v>17100</v>
      </c>
      <c r="F1897" s="2" t="s">
        <v>17101</v>
      </c>
      <c r="G1897" s="2" t="s">
        <v>296</v>
      </c>
      <c r="H1897" s="17">
        <v>25</v>
      </c>
      <c r="I1897" s="31">
        <f t="shared" si="186"/>
        <v>25000</v>
      </c>
      <c r="J1897" s="31">
        <f t="shared" si="187"/>
        <v>1750.0000000000002</v>
      </c>
      <c r="K1897" s="44">
        <f t="shared" si="188"/>
        <v>4.794520547945206</v>
      </c>
      <c r="L1897" s="3">
        <f t="shared" si="189"/>
        <v>354.79452054794524</v>
      </c>
      <c r="M1897" s="3">
        <f t="shared" si="190"/>
        <v>21.287671232876715</v>
      </c>
      <c r="N1897" s="67">
        <f t="shared" si="191"/>
        <v>333.50684931506851</v>
      </c>
      <c r="O1897" s="3"/>
      <c r="P1897" s="70" t="s">
        <v>18615</v>
      </c>
      <c r="Q1897" s="2" t="s">
        <v>40</v>
      </c>
      <c r="R1897" s="2" t="s">
        <v>17102</v>
      </c>
      <c r="T1897" t="s">
        <v>18666</v>
      </c>
      <c r="U1897" t="s">
        <v>18652</v>
      </c>
      <c r="V1897" s="104">
        <v>45857</v>
      </c>
      <c r="X1897" s="97"/>
      <c r="Y1897" s="75">
        <v>333.51</v>
      </c>
    </row>
    <row r="1898" spans="1:25" x14ac:dyDescent="0.25">
      <c r="A1898" s="76">
        <v>1930</v>
      </c>
      <c r="B1898" s="2" t="s">
        <v>12651</v>
      </c>
      <c r="C1898" s="2" t="s">
        <v>12652</v>
      </c>
      <c r="D1898" s="2" t="s">
        <v>12653</v>
      </c>
      <c r="E1898" s="2" t="s">
        <v>12654</v>
      </c>
      <c r="F1898" s="2" t="s">
        <v>12655</v>
      </c>
      <c r="G1898" s="2" t="s">
        <v>643</v>
      </c>
      <c r="H1898" s="17">
        <v>25</v>
      </c>
      <c r="I1898" s="31">
        <f t="shared" si="186"/>
        <v>25000</v>
      </c>
      <c r="J1898" s="31">
        <f t="shared" si="187"/>
        <v>1750.0000000000002</v>
      </c>
      <c r="K1898" s="44">
        <f t="shared" si="188"/>
        <v>4.794520547945206</v>
      </c>
      <c r="L1898" s="3">
        <f t="shared" si="189"/>
        <v>354.79452054794524</v>
      </c>
      <c r="M1898" s="3">
        <f t="shared" si="190"/>
        <v>21.287671232876715</v>
      </c>
      <c r="N1898" s="67">
        <f t="shared" si="191"/>
        <v>333.50684931506851</v>
      </c>
      <c r="O1898" s="3"/>
      <c r="P1898" s="70" t="s">
        <v>18615</v>
      </c>
      <c r="Q1898" s="2" t="s">
        <v>40</v>
      </c>
      <c r="R1898" s="2" t="s">
        <v>12656</v>
      </c>
      <c r="T1898" t="s">
        <v>18666</v>
      </c>
      <c r="U1898" t="s">
        <v>18652</v>
      </c>
      <c r="V1898" s="104">
        <v>45857</v>
      </c>
      <c r="X1898" s="97"/>
      <c r="Y1898" s="75">
        <v>333.51</v>
      </c>
    </row>
    <row r="1899" spans="1:25" x14ac:dyDescent="0.25">
      <c r="A1899" s="76">
        <v>1931</v>
      </c>
      <c r="B1899" s="2" t="s">
        <v>12021</v>
      </c>
      <c r="C1899" s="2" t="s">
        <v>12022</v>
      </c>
      <c r="D1899" s="2" t="s">
        <v>12023</v>
      </c>
      <c r="E1899" s="2" t="s">
        <v>12024</v>
      </c>
      <c r="F1899" s="2" t="s">
        <v>12025</v>
      </c>
      <c r="G1899" s="2" t="s">
        <v>835</v>
      </c>
      <c r="H1899" s="17">
        <v>25</v>
      </c>
      <c r="I1899" s="31">
        <f t="shared" si="186"/>
        <v>25000</v>
      </c>
      <c r="J1899" s="31">
        <f t="shared" si="187"/>
        <v>1750.0000000000002</v>
      </c>
      <c r="K1899" s="44">
        <f t="shared" si="188"/>
        <v>4.794520547945206</v>
      </c>
      <c r="L1899" s="3">
        <f t="shared" si="189"/>
        <v>354.79452054794524</v>
      </c>
      <c r="M1899" s="3">
        <f t="shared" si="190"/>
        <v>21.287671232876715</v>
      </c>
      <c r="N1899" s="67">
        <f t="shared" si="191"/>
        <v>333.50684931506851</v>
      </c>
      <c r="O1899" s="3"/>
      <c r="P1899" s="70" t="s">
        <v>18615</v>
      </c>
      <c r="Q1899" s="2" t="s">
        <v>40</v>
      </c>
      <c r="R1899" s="2" t="s">
        <v>12026</v>
      </c>
      <c r="T1899" t="s">
        <v>18666</v>
      </c>
      <c r="U1899" t="s">
        <v>18652</v>
      </c>
      <c r="V1899" s="104">
        <v>45857</v>
      </c>
      <c r="X1899" s="97"/>
      <c r="Y1899" s="75">
        <v>333.51</v>
      </c>
    </row>
    <row r="1900" spans="1:25" x14ac:dyDescent="0.25">
      <c r="A1900" s="76">
        <v>1932</v>
      </c>
      <c r="B1900" s="2" t="s">
        <v>6895</v>
      </c>
      <c r="C1900" s="2" t="s">
        <v>6837</v>
      </c>
      <c r="D1900" s="2" t="s">
        <v>6896</v>
      </c>
      <c r="E1900" s="2" t="s">
        <v>6897</v>
      </c>
      <c r="F1900" s="2" t="s">
        <v>6898</v>
      </c>
      <c r="G1900" s="2" t="s">
        <v>524</v>
      </c>
      <c r="H1900" s="17">
        <v>50</v>
      </c>
      <c r="I1900" s="31">
        <f t="shared" si="186"/>
        <v>50000</v>
      </c>
      <c r="J1900" s="31">
        <f t="shared" si="187"/>
        <v>3500.0000000000005</v>
      </c>
      <c r="K1900" s="44">
        <f t="shared" si="188"/>
        <v>9.589041095890412</v>
      </c>
      <c r="L1900" s="3">
        <f t="shared" si="189"/>
        <v>709.58904109589048</v>
      </c>
      <c r="M1900" s="3">
        <f t="shared" si="190"/>
        <v>42.57534246575343</v>
      </c>
      <c r="N1900" s="67">
        <f t="shared" si="191"/>
        <v>667.01369863013701</v>
      </c>
      <c r="O1900" s="3"/>
      <c r="P1900" s="70" t="s">
        <v>18615</v>
      </c>
      <c r="Q1900" s="2" t="s">
        <v>40</v>
      </c>
      <c r="R1900" s="2" t="s">
        <v>6899</v>
      </c>
      <c r="T1900" t="s">
        <v>18666</v>
      </c>
      <c r="U1900" t="s">
        <v>18652</v>
      </c>
      <c r="V1900" s="104">
        <v>45857</v>
      </c>
      <c r="X1900" s="97"/>
      <c r="Y1900" s="75">
        <v>667.02</v>
      </c>
    </row>
    <row r="1901" spans="1:25" x14ac:dyDescent="0.25">
      <c r="A1901" s="76">
        <v>1933</v>
      </c>
      <c r="B1901" s="2" t="s">
        <v>1323</v>
      </c>
      <c r="C1901" s="2" t="s">
        <v>1324</v>
      </c>
      <c r="D1901" s="2" t="s">
        <v>1325</v>
      </c>
      <c r="E1901" s="2" t="s">
        <v>1326</v>
      </c>
      <c r="F1901" s="2" t="s">
        <v>1327</v>
      </c>
      <c r="G1901" s="2" t="s">
        <v>166</v>
      </c>
      <c r="H1901" s="17">
        <v>25</v>
      </c>
      <c r="I1901" s="31">
        <f t="shared" si="186"/>
        <v>25000</v>
      </c>
      <c r="J1901" s="31">
        <f t="shared" si="187"/>
        <v>1750.0000000000002</v>
      </c>
      <c r="K1901" s="44">
        <f t="shared" si="188"/>
        <v>4.794520547945206</v>
      </c>
      <c r="L1901" s="3">
        <f t="shared" si="189"/>
        <v>354.79452054794524</v>
      </c>
      <c r="M1901" s="3">
        <f t="shared" si="190"/>
        <v>21.287671232876715</v>
      </c>
      <c r="N1901" s="67">
        <f t="shared" si="191"/>
        <v>333.50684931506851</v>
      </c>
      <c r="O1901" s="3"/>
      <c r="P1901" s="70" t="s">
        <v>18615</v>
      </c>
      <c r="Q1901" s="2" t="s">
        <v>40</v>
      </c>
      <c r="R1901" s="2" t="s">
        <v>1328</v>
      </c>
      <c r="T1901" t="s">
        <v>18666</v>
      </c>
      <c r="U1901" t="s">
        <v>18652</v>
      </c>
      <c r="V1901" s="104">
        <v>45857</v>
      </c>
      <c r="X1901" s="97"/>
      <c r="Y1901" s="75">
        <v>333.51</v>
      </c>
    </row>
    <row r="1902" spans="1:25" x14ac:dyDescent="0.25">
      <c r="A1902" s="76">
        <v>1934</v>
      </c>
      <c r="B1902" s="2" t="s">
        <v>10135</v>
      </c>
      <c r="C1902" s="2" t="s">
        <v>10136</v>
      </c>
      <c r="D1902" s="2" t="s">
        <v>10137</v>
      </c>
      <c r="E1902" s="2" t="s">
        <v>10138</v>
      </c>
      <c r="F1902" s="2" t="s">
        <v>10139</v>
      </c>
      <c r="G1902" s="2" t="s">
        <v>309</v>
      </c>
      <c r="H1902" s="17">
        <v>300</v>
      </c>
      <c r="I1902" s="31">
        <f t="shared" si="186"/>
        <v>300000</v>
      </c>
      <c r="J1902" s="31">
        <f t="shared" si="187"/>
        <v>21000.000000000004</v>
      </c>
      <c r="K1902" s="44">
        <f t="shared" si="188"/>
        <v>57.534246575342479</v>
      </c>
      <c r="L1902" s="3">
        <f t="shared" si="189"/>
        <v>4257.5342465753438</v>
      </c>
      <c r="M1902" s="3">
        <f t="shared" si="190"/>
        <v>255.45205479452062</v>
      </c>
      <c r="N1902" s="67">
        <f t="shared" si="191"/>
        <v>4002.082191780823</v>
      </c>
      <c r="O1902" s="3"/>
      <c r="P1902" s="70" t="s">
        <v>18615</v>
      </c>
      <c r="Q1902" s="2" t="s">
        <v>40</v>
      </c>
      <c r="R1902" s="2" t="s">
        <v>10140</v>
      </c>
      <c r="T1902" t="s">
        <v>18666</v>
      </c>
      <c r="U1902" t="s">
        <v>18652</v>
      </c>
      <c r="V1902" s="104">
        <v>45857</v>
      </c>
      <c r="X1902" s="97"/>
      <c r="Y1902" s="75">
        <v>4002.09</v>
      </c>
    </row>
    <row r="1903" spans="1:25" x14ac:dyDescent="0.25">
      <c r="A1903" s="76">
        <v>1935</v>
      </c>
      <c r="B1903" s="2" t="s">
        <v>9617</v>
      </c>
      <c r="C1903" s="2" t="s">
        <v>9618</v>
      </c>
      <c r="D1903" s="2" t="s">
        <v>9619</v>
      </c>
      <c r="E1903" s="2" t="s">
        <v>9620</v>
      </c>
      <c r="F1903" s="2" t="s">
        <v>9621</v>
      </c>
      <c r="G1903" s="2" t="s">
        <v>381</v>
      </c>
      <c r="H1903" s="17">
        <v>1000</v>
      </c>
      <c r="I1903" s="31">
        <f t="shared" si="186"/>
        <v>1000000</v>
      </c>
      <c r="J1903" s="31">
        <f t="shared" si="187"/>
        <v>70000</v>
      </c>
      <c r="K1903" s="44">
        <f t="shared" si="188"/>
        <v>191.78082191780823</v>
      </c>
      <c r="L1903" s="3">
        <f t="shared" si="189"/>
        <v>14191.780821917808</v>
      </c>
      <c r="M1903" s="3">
        <f t="shared" si="190"/>
        <v>851.50684931506839</v>
      </c>
      <c r="N1903" s="67">
        <f t="shared" si="191"/>
        <v>13340.273972602739</v>
      </c>
      <c r="O1903" s="3"/>
      <c r="P1903" s="70" t="s">
        <v>18615</v>
      </c>
      <c r="Q1903" s="2" t="s">
        <v>40</v>
      </c>
      <c r="R1903" s="2" t="s">
        <v>9622</v>
      </c>
      <c r="T1903" t="s">
        <v>18666</v>
      </c>
      <c r="U1903" t="s">
        <v>18652</v>
      </c>
      <c r="V1903" s="104">
        <v>45857</v>
      </c>
      <c r="X1903" s="97"/>
      <c r="Y1903" s="75">
        <v>13340.28</v>
      </c>
    </row>
    <row r="1904" spans="1:25" x14ac:dyDescent="0.25">
      <c r="A1904" s="76">
        <v>1936</v>
      </c>
      <c r="B1904" s="2" t="s">
        <v>11185</v>
      </c>
      <c r="C1904" s="2" t="s">
        <v>11186</v>
      </c>
      <c r="D1904" s="2" t="s">
        <v>11187</v>
      </c>
      <c r="E1904" s="2" t="s">
        <v>11188</v>
      </c>
      <c r="F1904" s="2" t="s">
        <v>11189</v>
      </c>
      <c r="G1904" s="2" t="s">
        <v>876</v>
      </c>
      <c r="H1904" s="17">
        <v>25</v>
      </c>
      <c r="I1904" s="31">
        <f t="shared" si="186"/>
        <v>25000</v>
      </c>
      <c r="J1904" s="31">
        <f t="shared" si="187"/>
        <v>1750.0000000000002</v>
      </c>
      <c r="K1904" s="44">
        <f t="shared" si="188"/>
        <v>4.794520547945206</v>
      </c>
      <c r="L1904" s="3">
        <f t="shared" si="189"/>
        <v>354.79452054794524</v>
      </c>
      <c r="M1904" s="3">
        <f t="shared" si="190"/>
        <v>21.287671232876715</v>
      </c>
      <c r="N1904" s="67">
        <f t="shared" si="191"/>
        <v>333.50684931506851</v>
      </c>
      <c r="O1904" s="3"/>
      <c r="P1904" s="70" t="s">
        <v>18615</v>
      </c>
      <c r="Q1904" s="2" t="s">
        <v>40</v>
      </c>
      <c r="R1904" s="2" t="s">
        <v>11190</v>
      </c>
      <c r="T1904" t="s">
        <v>18666</v>
      </c>
      <c r="U1904" t="s">
        <v>18652</v>
      </c>
      <c r="V1904" s="104">
        <v>45857</v>
      </c>
      <c r="X1904" s="97"/>
      <c r="Y1904" s="75">
        <v>333.51</v>
      </c>
    </row>
    <row r="1905" spans="1:25" x14ac:dyDescent="0.25">
      <c r="A1905" s="76">
        <v>1937</v>
      </c>
      <c r="B1905" s="2" t="s">
        <v>15053</v>
      </c>
      <c r="C1905" s="2" t="s">
        <v>15054</v>
      </c>
      <c r="D1905" s="2" t="s">
        <v>11419</v>
      </c>
      <c r="E1905" s="2" t="s">
        <v>11420</v>
      </c>
      <c r="F1905" s="2" t="s">
        <v>15055</v>
      </c>
      <c r="G1905" s="2" t="s">
        <v>750</v>
      </c>
      <c r="H1905" s="17">
        <v>25</v>
      </c>
      <c r="I1905" s="31">
        <f t="shared" si="186"/>
        <v>25000</v>
      </c>
      <c r="J1905" s="31">
        <f t="shared" si="187"/>
        <v>1750.0000000000002</v>
      </c>
      <c r="K1905" s="44">
        <f t="shared" si="188"/>
        <v>4.794520547945206</v>
      </c>
      <c r="L1905" s="3">
        <f t="shared" si="189"/>
        <v>354.79452054794524</v>
      </c>
      <c r="M1905" s="3">
        <f t="shared" si="190"/>
        <v>21.287671232876715</v>
      </c>
      <c r="N1905" s="67">
        <f t="shared" si="191"/>
        <v>333.50684931506851</v>
      </c>
      <c r="O1905" s="3"/>
      <c r="P1905" s="70" t="s">
        <v>18615</v>
      </c>
      <c r="Q1905" s="2" t="s">
        <v>40</v>
      </c>
      <c r="R1905" s="2" t="s">
        <v>15056</v>
      </c>
      <c r="T1905" t="s">
        <v>18666</v>
      </c>
      <c r="U1905" t="s">
        <v>18652</v>
      </c>
      <c r="V1905" s="104">
        <v>45857</v>
      </c>
      <c r="X1905" s="97"/>
      <c r="Y1905" s="75">
        <v>333.51</v>
      </c>
    </row>
    <row r="1906" spans="1:25" x14ac:dyDescent="0.25">
      <c r="A1906" s="76">
        <v>1938</v>
      </c>
      <c r="B1906" s="2" t="s">
        <v>15063</v>
      </c>
      <c r="C1906" s="2" t="s">
        <v>15064</v>
      </c>
      <c r="D1906" s="2" t="s">
        <v>11419</v>
      </c>
      <c r="E1906" s="2" t="s">
        <v>11420</v>
      </c>
      <c r="F1906" s="2" t="s">
        <v>15065</v>
      </c>
      <c r="G1906" s="2" t="s">
        <v>750</v>
      </c>
      <c r="H1906" s="17">
        <v>25</v>
      </c>
      <c r="I1906" s="31">
        <f t="shared" si="186"/>
        <v>25000</v>
      </c>
      <c r="J1906" s="31">
        <f t="shared" si="187"/>
        <v>1750.0000000000002</v>
      </c>
      <c r="K1906" s="44">
        <f t="shared" si="188"/>
        <v>4.794520547945206</v>
      </c>
      <c r="L1906" s="3">
        <f t="shared" si="189"/>
        <v>354.79452054794524</v>
      </c>
      <c r="M1906" s="3">
        <f t="shared" si="190"/>
        <v>21.287671232876715</v>
      </c>
      <c r="N1906" s="67">
        <f t="shared" si="191"/>
        <v>333.50684931506851</v>
      </c>
      <c r="O1906" s="3"/>
      <c r="P1906" s="70" t="s">
        <v>18615</v>
      </c>
      <c r="Q1906" s="2" t="s">
        <v>40</v>
      </c>
      <c r="R1906" s="2" t="s">
        <v>15066</v>
      </c>
      <c r="T1906" t="s">
        <v>18666</v>
      </c>
      <c r="U1906" t="s">
        <v>18652</v>
      </c>
      <c r="V1906" s="104">
        <v>45857</v>
      </c>
      <c r="X1906" s="97"/>
      <c r="Y1906" s="75">
        <v>333.51</v>
      </c>
    </row>
    <row r="1907" spans="1:25" x14ac:dyDescent="0.25">
      <c r="A1907" s="76">
        <v>1939</v>
      </c>
      <c r="B1907" s="2" t="s">
        <v>11034</v>
      </c>
      <c r="C1907" s="2" t="s">
        <v>11035</v>
      </c>
      <c r="D1907" s="2" t="s">
        <v>11036</v>
      </c>
      <c r="E1907" s="2" t="s">
        <v>6879</v>
      </c>
      <c r="F1907" s="2" t="s">
        <v>11037</v>
      </c>
      <c r="G1907" s="2" t="s">
        <v>1315</v>
      </c>
      <c r="H1907" s="17">
        <v>25</v>
      </c>
      <c r="I1907" s="31">
        <f t="shared" si="186"/>
        <v>25000</v>
      </c>
      <c r="J1907" s="31">
        <f t="shared" si="187"/>
        <v>1750.0000000000002</v>
      </c>
      <c r="K1907" s="44">
        <f t="shared" si="188"/>
        <v>4.794520547945206</v>
      </c>
      <c r="L1907" s="3">
        <f t="shared" si="189"/>
        <v>354.79452054794524</v>
      </c>
      <c r="M1907" s="3">
        <f t="shared" si="190"/>
        <v>21.287671232876715</v>
      </c>
      <c r="N1907" s="67">
        <f t="shared" si="191"/>
        <v>333.50684931506851</v>
      </c>
      <c r="O1907" s="3"/>
      <c r="P1907" s="70" t="s">
        <v>18615</v>
      </c>
      <c r="Q1907" s="2" t="s">
        <v>40</v>
      </c>
      <c r="R1907" s="2" t="s">
        <v>11038</v>
      </c>
      <c r="T1907" t="s">
        <v>18666</v>
      </c>
      <c r="U1907" t="s">
        <v>18652</v>
      </c>
      <c r="V1907" s="104">
        <v>45857</v>
      </c>
      <c r="X1907" s="97"/>
      <c r="Y1907" s="75">
        <v>333.51</v>
      </c>
    </row>
    <row r="1908" spans="1:25" x14ac:dyDescent="0.25">
      <c r="A1908" s="76">
        <v>1940</v>
      </c>
      <c r="B1908" s="2" t="s">
        <v>13386</v>
      </c>
      <c r="C1908" s="2" t="s">
        <v>13387</v>
      </c>
      <c r="D1908" s="2" t="s">
        <v>8261</v>
      </c>
      <c r="E1908" s="2" t="s">
        <v>8262</v>
      </c>
      <c r="F1908" s="2" t="s">
        <v>13388</v>
      </c>
      <c r="G1908" s="2" t="s">
        <v>31</v>
      </c>
      <c r="H1908" s="17">
        <v>25</v>
      </c>
      <c r="I1908" s="31">
        <f t="shared" si="186"/>
        <v>25000</v>
      </c>
      <c r="J1908" s="31">
        <f t="shared" si="187"/>
        <v>1750.0000000000002</v>
      </c>
      <c r="K1908" s="44">
        <f t="shared" si="188"/>
        <v>4.794520547945206</v>
      </c>
      <c r="L1908" s="3">
        <f t="shared" si="189"/>
        <v>354.79452054794524</v>
      </c>
      <c r="M1908" s="3">
        <f t="shared" si="190"/>
        <v>21.287671232876715</v>
      </c>
      <c r="N1908" s="67">
        <f t="shared" si="191"/>
        <v>333.50684931506851</v>
      </c>
      <c r="O1908" s="3"/>
      <c r="P1908" s="70" t="s">
        <v>18615</v>
      </c>
      <c r="Q1908" s="2" t="s">
        <v>40</v>
      </c>
      <c r="R1908" s="2" t="s">
        <v>13389</v>
      </c>
      <c r="T1908" t="s">
        <v>18666</v>
      </c>
      <c r="U1908" t="s">
        <v>18652</v>
      </c>
      <c r="V1908" s="104">
        <v>45857</v>
      </c>
      <c r="X1908" s="97"/>
      <c r="Y1908" s="75">
        <v>333.51</v>
      </c>
    </row>
    <row r="1909" spans="1:25" x14ac:dyDescent="0.25">
      <c r="A1909" s="76">
        <v>1941</v>
      </c>
      <c r="B1909" s="2" t="s">
        <v>11539</v>
      </c>
      <c r="C1909" s="2" t="s">
        <v>11540</v>
      </c>
      <c r="D1909" s="2" t="s">
        <v>11541</v>
      </c>
      <c r="E1909" s="2" t="s">
        <v>11542</v>
      </c>
      <c r="F1909" s="2" t="s">
        <v>11543</v>
      </c>
      <c r="G1909" s="2" t="s">
        <v>31</v>
      </c>
      <c r="H1909" s="17">
        <v>25</v>
      </c>
      <c r="I1909" s="31">
        <f t="shared" si="186"/>
        <v>25000</v>
      </c>
      <c r="J1909" s="31">
        <f t="shared" si="187"/>
        <v>1750.0000000000002</v>
      </c>
      <c r="K1909" s="44">
        <f t="shared" si="188"/>
        <v>4.794520547945206</v>
      </c>
      <c r="L1909" s="3">
        <f t="shared" si="189"/>
        <v>354.79452054794524</v>
      </c>
      <c r="M1909" s="3">
        <f t="shared" si="190"/>
        <v>21.287671232876715</v>
      </c>
      <c r="N1909" s="67">
        <f t="shared" si="191"/>
        <v>333.50684931506851</v>
      </c>
      <c r="O1909" s="3"/>
      <c r="P1909" s="70" t="s">
        <v>18615</v>
      </c>
      <c r="Q1909" s="2" t="s">
        <v>40</v>
      </c>
      <c r="R1909" s="2" t="s">
        <v>11544</v>
      </c>
      <c r="T1909" t="s">
        <v>18666</v>
      </c>
      <c r="U1909" t="s">
        <v>18652</v>
      </c>
      <c r="V1909" s="104">
        <v>45857</v>
      </c>
      <c r="X1909" s="97"/>
      <c r="Y1909" s="75">
        <v>333.51</v>
      </c>
    </row>
    <row r="1910" spans="1:25" x14ac:dyDescent="0.25">
      <c r="A1910" s="76">
        <v>1942</v>
      </c>
      <c r="B1910" s="2" t="s">
        <v>10976</v>
      </c>
      <c r="C1910" s="2" t="s">
        <v>10977</v>
      </c>
      <c r="D1910" s="2" t="s">
        <v>10978</v>
      </c>
      <c r="E1910" s="2" t="s">
        <v>10979</v>
      </c>
      <c r="F1910" s="2" t="s">
        <v>10980</v>
      </c>
      <c r="G1910" s="2" t="s">
        <v>618</v>
      </c>
      <c r="H1910" s="17">
        <v>50</v>
      </c>
      <c r="I1910" s="31">
        <f t="shared" si="186"/>
        <v>50000</v>
      </c>
      <c r="J1910" s="31">
        <f t="shared" si="187"/>
        <v>3500.0000000000005</v>
      </c>
      <c r="K1910" s="44">
        <f t="shared" si="188"/>
        <v>9.589041095890412</v>
      </c>
      <c r="L1910" s="3">
        <f t="shared" si="189"/>
        <v>709.58904109589048</v>
      </c>
      <c r="M1910" s="3">
        <f t="shared" si="190"/>
        <v>42.57534246575343</v>
      </c>
      <c r="N1910" s="67">
        <f t="shared" si="191"/>
        <v>667.01369863013701</v>
      </c>
      <c r="O1910" s="3"/>
      <c r="P1910" s="70" t="s">
        <v>18615</v>
      </c>
      <c r="Q1910" s="2" t="s">
        <v>40</v>
      </c>
      <c r="R1910" s="2" t="s">
        <v>10981</v>
      </c>
      <c r="T1910" t="s">
        <v>18666</v>
      </c>
      <c r="U1910" t="s">
        <v>18652</v>
      </c>
      <c r="V1910" s="104">
        <v>45857</v>
      </c>
      <c r="X1910" s="97"/>
      <c r="Y1910" s="75">
        <v>667.02</v>
      </c>
    </row>
    <row r="1911" spans="1:25" x14ac:dyDescent="0.25">
      <c r="A1911" s="76">
        <v>1943</v>
      </c>
      <c r="B1911" s="2" t="s">
        <v>11214</v>
      </c>
      <c r="C1911" s="2" t="s">
        <v>11215</v>
      </c>
      <c r="D1911" s="2" t="s">
        <v>11216</v>
      </c>
      <c r="E1911" s="2" t="s">
        <v>11217</v>
      </c>
      <c r="F1911" s="2" t="s">
        <v>11218</v>
      </c>
      <c r="G1911" s="2" t="s">
        <v>5013</v>
      </c>
      <c r="H1911" s="17">
        <v>25</v>
      </c>
      <c r="I1911" s="31">
        <f t="shared" si="186"/>
        <v>25000</v>
      </c>
      <c r="J1911" s="31">
        <f t="shared" si="187"/>
        <v>1750.0000000000002</v>
      </c>
      <c r="K1911" s="44">
        <f t="shared" si="188"/>
        <v>4.794520547945206</v>
      </c>
      <c r="L1911" s="3">
        <f t="shared" si="189"/>
        <v>354.79452054794524</v>
      </c>
      <c r="M1911" s="3">
        <f t="shared" si="190"/>
        <v>21.287671232876715</v>
      </c>
      <c r="N1911" s="67">
        <f t="shared" si="191"/>
        <v>333.50684931506851</v>
      </c>
      <c r="O1911" s="3"/>
      <c r="P1911" s="70" t="s">
        <v>18615</v>
      </c>
      <c r="Q1911" s="2" t="s">
        <v>40</v>
      </c>
      <c r="R1911" s="2" t="s">
        <v>11219</v>
      </c>
      <c r="T1911" t="s">
        <v>18666</v>
      </c>
      <c r="U1911" t="s">
        <v>18652</v>
      </c>
      <c r="V1911" s="104">
        <v>45857</v>
      </c>
      <c r="X1911" s="97"/>
      <c r="Y1911" s="75">
        <v>333.51</v>
      </c>
    </row>
    <row r="1912" spans="1:25" x14ac:dyDescent="0.25">
      <c r="A1912" s="76">
        <v>1944</v>
      </c>
      <c r="B1912" s="2" t="s">
        <v>6794</v>
      </c>
      <c r="C1912" s="2" t="s">
        <v>6795</v>
      </c>
      <c r="D1912" s="2" t="s">
        <v>6796</v>
      </c>
      <c r="E1912" s="2" t="s">
        <v>6797</v>
      </c>
      <c r="F1912" s="2" t="s">
        <v>6798</v>
      </c>
      <c r="G1912" s="2" t="s">
        <v>750</v>
      </c>
      <c r="H1912" s="17">
        <v>30</v>
      </c>
      <c r="I1912" s="31">
        <f t="shared" si="186"/>
        <v>30000</v>
      </c>
      <c r="J1912" s="31">
        <f t="shared" si="187"/>
        <v>2100</v>
      </c>
      <c r="K1912" s="44">
        <f t="shared" si="188"/>
        <v>5.7534246575342465</v>
      </c>
      <c r="L1912" s="3">
        <f t="shared" si="189"/>
        <v>425.75342465753425</v>
      </c>
      <c r="M1912" s="3">
        <f t="shared" si="190"/>
        <v>25.545205479452054</v>
      </c>
      <c r="N1912" s="67">
        <f t="shared" si="191"/>
        <v>400.20821917808217</v>
      </c>
      <c r="O1912" s="3"/>
      <c r="P1912" s="70" t="s">
        <v>18615</v>
      </c>
      <c r="Q1912" s="2" t="s">
        <v>40</v>
      </c>
      <c r="R1912" s="2" t="s">
        <v>6799</v>
      </c>
      <c r="T1912" t="s">
        <v>18666</v>
      </c>
      <c r="U1912" t="s">
        <v>18652</v>
      </c>
      <c r="V1912" s="104">
        <v>45857</v>
      </c>
      <c r="X1912" s="97"/>
      <c r="Y1912" s="75">
        <v>400.21</v>
      </c>
    </row>
    <row r="1913" spans="1:25" x14ac:dyDescent="0.25">
      <c r="A1913" s="76">
        <v>1945</v>
      </c>
      <c r="B1913" s="2" t="s">
        <v>11655</v>
      </c>
      <c r="C1913" s="2" t="s">
        <v>11656</v>
      </c>
      <c r="D1913" s="2" t="s">
        <v>11657</v>
      </c>
      <c r="E1913" s="2" t="s">
        <v>11658</v>
      </c>
      <c r="F1913" s="2" t="s">
        <v>11659</v>
      </c>
      <c r="G1913" s="2" t="s">
        <v>31</v>
      </c>
      <c r="H1913" s="17">
        <v>25</v>
      </c>
      <c r="I1913" s="31">
        <f t="shared" si="186"/>
        <v>25000</v>
      </c>
      <c r="J1913" s="31">
        <f t="shared" si="187"/>
        <v>1750.0000000000002</v>
      </c>
      <c r="K1913" s="44">
        <f t="shared" si="188"/>
        <v>4.794520547945206</v>
      </c>
      <c r="L1913" s="3">
        <f t="shared" si="189"/>
        <v>354.79452054794524</v>
      </c>
      <c r="M1913" s="3">
        <f t="shared" si="190"/>
        <v>21.287671232876715</v>
      </c>
      <c r="N1913" s="67">
        <f t="shared" si="191"/>
        <v>333.50684931506851</v>
      </c>
      <c r="O1913" s="3"/>
      <c r="P1913" s="70" t="s">
        <v>18615</v>
      </c>
      <c r="Q1913" s="2" t="s">
        <v>40</v>
      </c>
      <c r="R1913" s="2" t="s">
        <v>11660</v>
      </c>
      <c r="T1913" t="s">
        <v>18666</v>
      </c>
      <c r="U1913" t="s">
        <v>18652</v>
      </c>
      <c r="V1913" s="104">
        <v>45857</v>
      </c>
      <c r="X1913" s="97"/>
      <c r="Y1913" s="75">
        <v>333.51</v>
      </c>
    </row>
    <row r="1914" spans="1:25" x14ac:dyDescent="0.25">
      <c r="A1914" s="76">
        <v>1946</v>
      </c>
      <c r="B1914" s="2" t="s">
        <v>9728</v>
      </c>
      <c r="C1914" s="2" t="s">
        <v>9729</v>
      </c>
      <c r="D1914" s="2" t="s">
        <v>9730</v>
      </c>
      <c r="E1914" s="2" t="s">
        <v>9731</v>
      </c>
      <c r="F1914" s="2" t="s">
        <v>9732</v>
      </c>
      <c r="G1914" s="2" t="s">
        <v>3399</v>
      </c>
      <c r="H1914" s="17">
        <v>25</v>
      </c>
      <c r="I1914" s="31">
        <f t="shared" si="186"/>
        <v>25000</v>
      </c>
      <c r="J1914" s="31">
        <f t="shared" si="187"/>
        <v>1750.0000000000002</v>
      </c>
      <c r="K1914" s="44">
        <f t="shared" si="188"/>
        <v>4.794520547945206</v>
      </c>
      <c r="L1914" s="3">
        <f t="shared" si="189"/>
        <v>354.79452054794524</v>
      </c>
      <c r="M1914" s="3">
        <f t="shared" si="190"/>
        <v>21.287671232876715</v>
      </c>
      <c r="N1914" s="67">
        <f t="shared" si="191"/>
        <v>333.50684931506851</v>
      </c>
      <c r="O1914" s="3"/>
      <c r="P1914" s="70" t="s">
        <v>18615</v>
      </c>
      <c r="Q1914" s="2" t="s">
        <v>40</v>
      </c>
      <c r="R1914" s="2" t="s">
        <v>9733</v>
      </c>
      <c r="T1914" t="s">
        <v>18666</v>
      </c>
      <c r="U1914" t="s">
        <v>18652</v>
      </c>
      <c r="V1914" s="104">
        <v>45857</v>
      </c>
      <c r="X1914" s="97"/>
      <c r="Y1914" s="75">
        <v>333.51</v>
      </c>
    </row>
    <row r="1915" spans="1:25" x14ac:dyDescent="0.25">
      <c r="A1915" s="76">
        <v>1947</v>
      </c>
      <c r="B1915" s="2" t="s">
        <v>5125</v>
      </c>
      <c r="C1915" s="2" t="s">
        <v>5126</v>
      </c>
      <c r="D1915" s="2" t="s">
        <v>5127</v>
      </c>
      <c r="E1915" s="2" t="s">
        <v>5128</v>
      </c>
      <c r="F1915" s="2" t="s">
        <v>5129</v>
      </c>
      <c r="G1915" s="2" t="s">
        <v>1570</v>
      </c>
      <c r="H1915" s="17">
        <v>25</v>
      </c>
      <c r="I1915" s="31">
        <f t="shared" si="186"/>
        <v>25000</v>
      </c>
      <c r="J1915" s="31">
        <f t="shared" si="187"/>
        <v>1750.0000000000002</v>
      </c>
      <c r="K1915" s="44">
        <f t="shared" si="188"/>
        <v>4.794520547945206</v>
      </c>
      <c r="L1915" s="3">
        <f t="shared" si="189"/>
        <v>354.79452054794524</v>
      </c>
      <c r="M1915" s="3">
        <f t="shared" si="190"/>
        <v>21.287671232876715</v>
      </c>
      <c r="N1915" s="67">
        <f t="shared" si="191"/>
        <v>333.50684931506851</v>
      </c>
      <c r="O1915" s="3"/>
      <c r="P1915" s="70" t="s">
        <v>18615</v>
      </c>
      <c r="Q1915" s="2" t="s">
        <v>40</v>
      </c>
      <c r="R1915" s="2" t="s">
        <v>5130</v>
      </c>
      <c r="T1915" t="s">
        <v>18666</v>
      </c>
      <c r="U1915" t="s">
        <v>18652</v>
      </c>
      <c r="V1915" s="104">
        <v>45857</v>
      </c>
      <c r="X1915" s="97"/>
      <c r="Y1915" s="75">
        <v>333.51</v>
      </c>
    </row>
    <row r="1916" spans="1:25" x14ac:dyDescent="0.25">
      <c r="A1916" s="76">
        <v>1948</v>
      </c>
      <c r="B1916" s="2" t="s">
        <v>11203</v>
      </c>
      <c r="C1916" s="2" t="s">
        <v>11204</v>
      </c>
      <c r="D1916" s="2" t="s">
        <v>11205</v>
      </c>
      <c r="E1916" s="2" t="s">
        <v>11206</v>
      </c>
      <c r="F1916" s="2" t="s">
        <v>11207</v>
      </c>
      <c r="G1916" s="2" t="s">
        <v>31</v>
      </c>
      <c r="H1916" s="17">
        <v>25</v>
      </c>
      <c r="I1916" s="31">
        <f t="shared" si="186"/>
        <v>25000</v>
      </c>
      <c r="J1916" s="31">
        <f t="shared" si="187"/>
        <v>1750.0000000000002</v>
      </c>
      <c r="K1916" s="44">
        <f t="shared" si="188"/>
        <v>4.794520547945206</v>
      </c>
      <c r="L1916" s="3">
        <f t="shared" si="189"/>
        <v>354.79452054794524</v>
      </c>
      <c r="M1916" s="3">
        <f t="shared" si="190"/>
        <v>21.287671232876715</v>
      </c>
      <c r="N1916" s="67">
        <f t="shared" si="191"/>
        <v>333.50684931506851</v>
      </c>
      <c r="O1916" s="3"/>
      <c r="P1916" s="70" t="s">
        <v>18615</v>
      </c>
      <c r="Q1916" s="2" t="s">
        <v>40</v>
      </c>
      <c r="R1916" s="2" t="s">
        <v>11208</v>
      </c>
      <c r="T1916" t="s">
        <v>18666</v>
      </c>
      <c r="U1916" t="s">
        <v>18652</v>
      </c>
      <c r="V1916" s="104">
        <v>45857</v>
      </c>
      <c r="X1916" s="97"/>
      <c r="Y1916" s="75">
        <v>333.51</v>
      </c>
    </row>
    <row r="1917" spans="1:25" x14ac:dyDescent="0.25">
      <c r="A1917" s="76">
        <v>1949</v>
      </c>
      <c r="B1917" s="2" t="s">
        <v>8534</v>
      </c>
      <c r="C1917" s="2" t="s">
        <v>8535</v>
      </c>
      <c r="D1917" s="2" t="s">
        <v>8536</v>
      </c>
      <c r="E1917" s="2" t="s">
        <v>8537</v>
      </c>
      <c r="F1917" s="2" t="s">
        <v>8538</v>
      </c>
      <c r="G1917" s="2" t="s">
        <v>524</v>
      </c>
      <c r="H1917" s="17">
        <v>100</v>
      </c>
      <c r="I1917" s="31">
        <f t="shared" si="186"/>
        <v>100000</v>
      </c>
      <c r="J1917" s="31">
        <f t="shared" si="187"/>
        <v>7000.0000000000009</v>
      </c>
      <c r="K1917" s="44">
        <f t="shared" si="188"/>
        <v>19.178082191780824</v>
      </c>
      <c r="L1917" s="3">
        <f t="shared" si="189"/>
        <v>1419.178082191781</v>
      </c>
      <c r="M1917" s="3">
        <f t="shared" si="190"/>
        <v>85.150684931506859</v>
      </c>
      <c r="N1917" s="67">
        <f t="shared" si="191"/>
        <v>1334.027397260274</v>
      </c>
      <c r="O1917" s="3"/>
      <c r="P1917" s="70" t="s">
        <v>18615</v>
      </c>
      <c r="Q1917" s="2" t="s">
        <v>40</v>
      </c>
      <c r="R1917" s="2" t="s">
        <v>8539</v>
      </c>
      <c r="T1917" t="s">
        <v>18666</v>
      </c>
      <c r="U1917" t="s">
        <v>18652</v>
      </c>
      <c r="V1917" s="104">
        <v>45857</v>
      </c>
      <c r="X1917" s="97"/>
      <c r="Y1917" s="75">
        <v>1334.03</v>
      </c>
    </row>
    <row r="1918" spans="1:25" x14ac:dyDescent="0.25">
      <c r="A1918" s="76">
        <v>1950</v>
      </c>
      <c r="B1918" s="2" t="s">
        <v>3974</v>
      </c>
      <c r="C1918" s="2" t="s">
        <v>3975</v>
      </c>
      <c r="D1918" s="2" t="s">
        <v>3976</v>
      </c>
      <c r="E1918" s="2" t="s">
        <v>3977</v>
      </c>
      <c r="F1918" s="2" t="s">
        <v>3978</v>
      </c>
      <c r="G1918" s="2" t="s">
        <v>510</v>
      </c>
      <c r="H1918" s="17">
        <v>30</v>
      </c>
      <c r="I1918" s="31">
        <f t="shared" si="186"/>
        <v>30000</v>
      </c>
      <c r="J1918" s="31">
        <f t="shared" si="187"/>
        <v>2100</v>
      </c>
      <c r="K1918" s="44">
        <f t="shared" si="188"/>
        <v>5.7534246575342465</v>
      </c>
      <c r="L1918" s="3">
        <f t="shared" si="189"/>
        <v>425.75342465753425</v>
      </c>
      <c r="M1918" s="3">
        <f t="shared" si="190"/>
        <v>25.545205479452054</v>
      </c>
      <c r="N1918" s="67">
        <f t="shared" si="191"/>
        <v>400.20821917808217</v>
      </c>
      <c r="O1918" s="3"/>
      <c r="P1918" s="70" t="s">
        <v>18615</v>
      </c>
      <c r="Q1918" s="2" t="s">
        <v>40</v>
      </c>
      <c r="R1918" s="2" t="s">
        <v>3979</v>
      </c>
      <c r="T1918" t="s">
        <v>18666</v>
      </c>
      <c r="U1918" t="s">
        <v>18652</v>
      </c>
      <c r="V1918" s="104">
        <v>45857</v>
      </c>
      <c r="X1918" s="97"/>
      <c r="Y1918" s="75">
        <v>400.21</v>
      </c>
    </row>
    <row r="1919" spans="1:25" x14ac:dyDescent="0.25">
      <c r="A1919" s="76">
        <v>1951</v>
      </c>
      <c r="B1919" s="2" t="s">
        <v>2644</v>
      </c>
      <c r="C1919" s="2" t="s">
        <v>2645</v>
      </c>
      <c r="D1919" s="2" t="s">
        <v>2646</v>
      </c>
      <c r="E1919" s="2" t="s">
        <v>2647</v>
      </c>
      <c r="F1919" s="2" t="s">
        <v>2648</v>
      </c>
      <c r="G1919" s="2" t="s">
        <v>247</v>
      </c>
      <c r="H1919" s="17">
        <v>25</v>
      </c>
      <c r="I1919" s="31">
        <f t="shared" si="186"/>
        <v>25000</v>
      </c>
      <c r="J1919" s="31">
        <f t="shared" si="187"/>
        <v>1750.0000000000002</v>
      </c>
      <c r="K1919" s="44">
        <f t="shared" si="188"/>
        <v>4.794520547945206</v>
      </c>
      <c r="L1919" s="3">
        <f t="shared" si="189"/>
        <v>354.79452054794524</v>
      </c>
      <c r="M1919" s="3">
        <f t="shared" si="190"/>
        <v>21.287671232876715</v>
      </c>
      <c r="N1919" s="67">
        <f t="shared" si="191"/>
        <v>333.50684931506851</v>
      </c>
      <c r="O1919" s="3"/>
      <c r="P1919" s="70" t="s">
        <v>18615</v>
      </c>
      <c r="Q1919" s="2" t="s">
        <v>40</v>
      </c>
      <c r="R1919" s="2" t="s">
        <v>2649</v>
      </c>
      <c r="T1919" t="s">
        <v>18666</v>
      </c>
      <c r="U1919" t="s">
        <v>18652</v>
      </c>
      <c r="V1919" s="104">
        <v>45857</v>
      </c>
      <c r="X1919" s="97"/>
      <c r="Y1919" s="75">
        <v>333.51</v>
      </c>
    </row>
    <row r="1920" spans="1:25" x14ac:dyDescent="0.25">
      <c r="A1920" s="76">
        <v>1952</v>
      </c>
      <c r="B1920" s="2" t="s">
        <v>14142</v>
      </c>
      <c r="C1920" s="2" t="s">
        <v>14143</v>
      </c>
      <c r="D1920" s="2" t="s">
        <v>14144</v>
      </c>
      <c r="E1920" s="2" t="s">
        <v>14145</v>
      </c>
      <c r="F1920" s="2" t="s">
        <v>14146</v>
      </c>
      <c r="G1920" s="2" t="s">
        <v>296</v>
      </c>
      <c r="H1920" s="17">
        <v>40</v>
      </c>
      <c r="I1920" s="31">
        <f t="shared" si="186"/>
        <v>40000</v>
      </c>
      <c r="J1920" s="31">
        <f t="shared" si="187"/>
        <v>2800.0000000000005</v>
      </c>
      <c r="K1920" s="44">
        <f t="shared" si="188"/>
        <v>7.6712328767123301</v>
      </c>
      <c r="L1920" s="3">
        <f t="shared" si="189"/>
        <v>567.67123287671245</v>
      </c>
      <c r="M1920" s="3">
        <f t="shared" si="190"/>
        <v>34.060273972602744</v>
      </c>
      <c r="N1920" s="67">
        <f t="shared" si="191"/>
        <v>533.61095890410968</v>
      </c>
      <c r="O1920" s="3"/>
      <c r="P1920" s="70" t="s">
        <v>18615</v>
      </c>
      <c r="Q1920" s="2" t="s">
        <v>40</v>
      </c>
      <c r="R1920" s="2" t="s">
        <v>14147</v>
      </c>
      <c r="T1920" t="s">
        <v>18666</v>
      </c>
      <c r="U1920" t="s">
        <v>18652</v>
      </c>
      <c r="V1920" s="104">
        <v>45857</v>
      </c>
      <c r="X1920" s="97"/>
      <c r="Y1920" s="75">
        <v>533.62</v>
      </c>
    </row>
    <row r="1921" spans="1:25" x14ac:dyDescent="0.25">
      <c r="A1921" s="76">
        <v>1953</v>
      </c>
      <c r="B1921" s="2" t="s">
        <v>10436</v>
      </c>
      <c r="C1921" s="2" t="s">
        <v>10437</v>
      </c>
      <c r="D1921" s="2" t="s">
        <v>10438</v>
      </c>
      <c r="E1921" s="2" t="s">
        <v>10439</v>
      </c>
      <c r="F1921" s="2" t="s">
        <v>10440</v>
      </c>
      <c r="G1921" s="2" t="s">
        <v>328</v>
      </c>
      <c r="H1921" s="17">
        <v>50</v>
      </c>
      <c r="I1921" s="31">
        <f t="shared" si="186"/>
        <v>50000</v>
      </c>
      <c r="J1921" s="31">
        <f t="shared" si="187"/>
        <v>3500.0000000000005</v>
      </c>
      <c r="K1921" s="44">
        <f t="shared" si="188"/>
        <v>9.589041095890412</v>
      </c>
      <c r="L1921" s="3">
        <f t="shared" si="189"/>
        <v>709.58904109589048</v>
      </c>
      <c r="M1921" s="3">
        <f t="shared" si="190"/>
        <v>42.57534246575343</v>
      </c>
      <c r="N1921" s="67">
        <f t="shared" si="191"/>
        <v>667.01369863013701</v>
      </c>
      <c r="O1921" s="3"/>
      <c r="P1921" s="70" t="s">
        <v>18615</v>
      </c>
      <c r="Q1921" s="2" t="s">
        <v>40</v>
      </c>
      <c r="R1921" s="2" t="s">
        <v>10441</v>
      </c>
      <c r="T1921" t="s">
        <v>18666</v>
      </c>
      <c r="U1921" t="s">
        <v>18652</v>
      </c>
      <c r="V1921" s="104">
        <v>45857</v>
      </c>
      <c r="X1921" s="97"/>
      <c r="Y1921" s="75">
        <v>667.02</v>
      </c>
    </row>
    <row r="1922" spans="1:25" x14ac:dyDescent="0.25">
      <c r="A1922" s="76">
        <v>1954</v>
      </c>
      <c r="B1922" s="2" t="s">
        <v>6396</v>
      </c>
      <c r="C1922" s="2" t="s">
        <v>6397</v>
      </c>
      <c r="D1922" s="2" t="s">
        <v>6398</v>
      </c>
      <c r="E1922" s="2" t="s">
        <v>6399</v>
      </c>
      <c r="F1922" s="2" t="s">
        <v>6400</v>
      </c>
      <c r="G1922" s="2" t="s">
        <v>1017</v>
      </c>
      <c r="H1922" s="17">
        <v>25</v>
      </c>
      <c r="I1922" s="31">
        <f t="shared" si="186"/>
        <v>25000</v>
      </c>
      <c r="J1922" s="31">
        <f t="shared" si="187"/>
        <v>1750.0000000000002</v>
      </c>
      <c r="K1922" s="44">
        <f t="shared" si="188"/>
        <v>4.794520547945206</v>
      </c>
      <c r="L1922" s="3">
        <f t="shared" si="189"/>
        <v>354.79452054794524</v>
      </c>
      <c r="M1922" s="3">
        <f t="shared" si="190"/>
        <v>21.287671232876715</v>
      </c>
      <c r="N1922" s="67">
        <f t="shared" si="191"/>
        <v>333.50684931506851</v>
      </c>
      <c r="O1922" s="3"/>
      <c r="P1922" s="70" t="s">
        <v>18615</v>
      </c>
      <c r="Q1922" s="2" t="s">
        <v>40</v>
      </c>
      <c r="R1922" s="2" t="s">
        <v>6401</v>
      </c>
      <c r="T1922" t="s">
        <v>18666</v>
      </c>
      <c r="U1922" t="s">
        <v>18652</v>
      </c>
      <c r="V1922" s="104">
        <v>45857</v>
      </c>
      <c r="X1922" s="97"/>
      <c r="Y1922" s="75">
        <v>333.51</v>
      </c>
    </row>
    <row r="1923" spans="1:25" x14ac:dyDescent="0.25">
      <c r="A1923" s="76">
        <v>1955</v>
      </c>
      <c r="B1923" s="2" t="s">
        <v>10409</v>
      </c>
      <c r="C1923" s="2" t="s">
        <v>10410</v>
      </c>
      <c r="D1923" s="2" t="s">
        <v>10411</v>
      </c>
      <c r="E1923" s="2" t="s">
        <v>6913</v>
      </c>
      <c r="F1923" s="2" t="s">
        <v>10412</v>
      </c>
      <c r="G1923" s="2" t="s">
        <v>31</v>
      </c>
      <c r="H1923" s="17">
        <v>26</v>
      </c>
      <c r="I1923" s="31">
        <f t="shared" si="186"/>
        <v>26000</v>
      </c>
      <c r="J1923" s="31">
        <f t="shared" si="187"/>
        <v>1820.0000000000002</v>
      </c>
      <c r="K1923" s="44">
        <f t="shared" si="188"/>
        <v>4.9863013698630141</v>
      </c>
      <c r="L1923" s="3">
        <f t="shared" si="189"/>
        <v>368.98630136986304</v>
      </c>
      <c r="M1923" s="3">
        <f t="shared" si="190"/>
        <v>22.139178082191783</v>
      </c>
      <c r="N1923" s="67">
        <f t="shared" si="191"/>
        <v>346.84712328767125</v>
      </c>
      <c r="O1923" s="3"/>
      <c r="P1923" s="70" t="s">
        <v>18615</v>
      </c>
      <c r="Q1923" s="2" t="s">
        <v>40</v>
      </c>
      <c r="R1923" s="2" t="s">
        <v>10413</v>
      </c>
      <c r="T1923" t="s">
        <v>18666</v>
      </c>
      <c r="U1923" t="s">
        <v>18652</v>
      </c>
      <c r="V1923" s="104">
        <v>45857</v>
      </c>
      <c r="X1923" s="97"/>
      <c r="Y1923" s="75">
        <v>346.84999999999997</v>
      </c>
    </row>
    <row r="1924" spans="1:25" x14ac:dyDescent="0.25">
      <c r="A1924" s="76">
        <v>1956</v>
      </c>
      <c r="B1924" s="2" t="s">
        <v>10420</v>
      </c>
      <c r="C1924" s="2" t="s">
        <v>10421</v>
      </c>
      <c r="D1924" s="2" t="s">
        <v>10411</v>
      </c>
      <c r="E1924" s="2" t="s">
        <v>6913</v>
      </c>
      <c r="F1924" s="2" t="s">
        <v>10422</v>
      </c>
      <c r="G1924" s="2" t="s">
        <v>31</v>
      </c>
      <c r="H1924" s="17">
        <v>26</v>
      </c>
      <c r="I1924" s="31">
        <f t="shared" si="186"/>
        <v>26000</v>
      </c>
      <c r="J1924" s="31">
        <f t="shared" si="187"/>
        <v>1820.0000000000002</v>
      </c>
      <c r="K1924" s="44">
        <f t="shared" si="188"/>
        <v>4.9863013698630141</v>
      </c>
      <c r="L1924" s="3">
        <f t="shared" si="189"/>
        <v>368.98630136986304</v>
      </c>
      <c r="M1924" s="3">
        <f t="shared" si="190"/>
        <v>22.139178082191783</v>
      </c>
      <c r="N1924" s="67">
        <f t="shared" si="191"/>
        <v>346.84712328767125</v>
      </c>
      <c r="O1924" s="3"/>
      <c r="P1924" s="70" t="s">
        <v>18615</v>
      </c>
      <c r="Q1924" s="2" t="s">
        <v>40</v>
      </c>
      <c r="R1924" s="2" t="s">
        <v>10423</v>
      </c>
      <c r="T1924" t="s">
        <v>18666</v>
      </c>
      <c r="U1924" t="s">
        <v>18652</v>
      </c>
      <c r="V1924" s="104">
        <v>45857</v>
      </c>
      <c r="X1924" s="97"/>
      <c r="Y1924" s="75">
        <v>346.84999999999997</v>
      </c>
    </row>
    <row r="1925" spans="1:25" x14ac:dyDescent="0.25">
      <c r="A1925" s="76">
        <v>1957</v>
      </c>
      <c r="B1925" s="2" t="s">
        <v>4761</v>
      </c>
      <c r="C1925" s="2" t="s">
        <v>4762</v>
      </c>
      <c r="D1925" s="2" t="s">
        <v>4763</v>
      </c>
      <c r="E1925" s="2" t="s">
        <v>2864</v>
      </c>
      <c r="F1925" s="2" t="s">
        <v>4764</v>
      </c>
      <c r="G1925" s="2" t="s">
        <v>31</v>
      </c>
      <c r="H1925" s="17">
        <v>100</v>
      </c>
      <c r="I1925" s="31">
        <f t="shared" si="186"/>
        <v>100000</v>
      </c>
      <c r="J1925" s="31">
        <f t="shared" si="187"/>
        <v>7000.0000000000009</v>
      </c>
      <c r="K1925" s="44">
        <f t="shared" si="188"/>
        <v>19.178082191780824</v>
      </c>
      <c r="L1925" s="3">
        <f t="shared" si="189"/>
        <v>1419.178082191781</v>
      </c>
      <c r="M1925" s="3">
        <f t="shared" si="190"/>
        <v>85.150684931506859</v>
      </c>
      <c r="N1925" s="67">
        <f t="shared" si="191"/>
        <v>1334.027397260274</v>
      </c>
      <c r="O1925" s="3"/>
      <c r="P1925" s="70" t="s">
        <v>18615</v>
      </c>
      <c r="Q1925" s="2" t="s">
        <v>40</v>
      </c>
      <c r="R1925" s="2" t="s">
        <v>4765</v>
      </c>
      <c r="T1925" t="s">
        <v>18666</v>
      </c>
      <c r="U1925" t="s">
        <v>18652</v>
      </c>
      <c r="V1925" s="104">
        <v>45857</v>
      </c>
      <c r="X1925" s="97"/>
      <c r="Y1925" s="75">
        <v>1334.03</v>
      </c>
    </row>
    <row r="1926" spans="1:25" x14ac:dyDescent="0.25">
      <c r="A1926" s="76">
        <v>1958</v>
      </c>
      <c r="B1926" s="2" t="s">
        <v>14334</v>
      </c>
      <c r="C1926" s="2" t="s">
        <v>14335</v>
      </c>
      <c r="D1926" s="2" t="s">
        <v>14336</v>
      </c>
      <c r="E1926" s="2" t="s">
        <v>14337</v>
      </c>
      <c r="F1926" s="2" t="s">
        <v>14338</v>
      </c>
      <c r="G1926" s="2" t="s">
        <v>282</v>
      </c>
      <c r="H1926" s="17">
        <v>1000</v>
      </c>
      <c r="I1926" s="31">
        <f t="shared" si="186"/>
        <v>1000000</v>
      </c>
      <c r="J1926" s="31">
        <f t="shared" si="187"/>
        <v>70000</v>
      </c>
      <c r="K1926" s="44">
        <f t="shared" si="188"/>
        <v>191.78082191780823</v>
      </c>
      <c r="L1926" s="3">
        <f t="shared" si="189"/>
        <v>14191.780821917808</v>
      </c>
      <c r="M1926" s="3">
        <f t="shared" si="190"/>
        <v>851.50684931506839</v>
      </c>
      <c r="N1926" s="67">
        <f t="shared" si="191"/>
        <v>13340.273972602739</v>
      </c>
      <c r="O1926" s="3"/>
      <c r="P1926" s="70" t="s">
        <v>18615</v>
      </c>
      <c r="Q1926" s="2" t="s">
        <v>40</v>
      </c>
      <c r="R1926" s="2" t="s">
        <v>14339</v>
      </c>
      <c r="T1926" t="s">
        <v>18666</v>
      </c>
      <c r="U1926" t="s">
        <v>18652</v>
      </c>
      <c r="V1926" s="104">
        <v>45857</v>
      </c>
      <c r="X1926" s="97"/>
      <c r="Y1926" s="75">
        <v>13340.28</v>
      </c>
    </row>
    <row r="1927" spans="1:25" x14ac:dyDescent="0.25">
      <c r="A1927" s="76">
        <v>1959</v>
      </c>
      <c r="B1927" s="2" t="s">
        <v>4404</v>
      </c>
      <c r="C1927" s="2" t="s">
        <v>4405</v>
      </c>
      <c r="D1927" s="2" t="s">
        <v>4406</v>
      </c>
      <c r="E1927" s="2" t="s">
        <v>4407</v>
      </c>
      <c r="F1927" s="2" t="s">
        <v>4408</v>
      </c>
      <c r="G1927" s="2" t="s">
        <v>268</v>
      </c>
      <c r="H1927" s="17">
        <v>25</v>
      </c>
      <c r="I1927" s="31">
        <f t="shared" si="186"/>
        <v>25000</v>
      </c>
      <c r="J1927" s="31">
        <f t="shared" si="187"/>
        <v>1750.0000000000002</v>
      </c>
      <c r="K1927" s="44">
        <f t="shared" si="188"/>
        <v>4.794520547945206</v>
      </c>
      <c r="L1927" s="3">
        <f t="shared" si="189"/>
        <v>354.79452054794524</v>
      </c>
      <c r="M1927" s="3">
        <f t="shared" si="190"/>
        <v>21.287671232876715</v>
      </c>
      <c r="N1927" s="67">
        <f t="shared" si="191"/>
        <v>333.50684931506851</v>
      </c>
      <c r="O1927" s="3"/>
      <c r="P1927" s="70" t="s">
        <v>18615</v>
      </c>
      <c r="Q1927" s="2" t="s">
        <v>40</v>
      </c>
      <c r="R1927" s="2" t="s">
        <v>4409</v>
      </c>
      <c r="T1927" t="s">
        <v>18666</v>
      </c>
      <c r="U1927" t="s">
        <v>18652</v>
      </c>
      <c r="V1927" s="104">
        <v>45857</v>
      </c>
      <c r="X1927" s="97"/>
      <c r="Y1927" s="75">
        <v>333.51</v>
      </c>
    </row>
    <row r="1928" spans="1:25" x14ac:dyDescent="0.25">
      <c r="A1928" s="76">
        <v>1960</v>
      </c>
      <c r="B1928" s="2" t="s">
        <v>15960</v>
      </c>
      <c r="C1928" s="2" t="s">
        <v>15961</v>
      </c>
      <c r="D1928" s="2" t="s">
        <v>15962</v>
      </c>
      <c r="E1928" s="2" t="s">
        <v>15963</v>
      </c>
      <c r="F1928" s="2" t="s">
        <v>15964</v>
      </c>
      <c r="G1928" s="2" t="s">
        <v>144</v>
      </c>
      <c r="H1928" s="17">
        <v>50</v>
      </c>
      <c r="I1928" s="31">
        <f t="shared" si="186"/>
        <v>50000</v>
      </c>
      <c r="J1928" s="31">
        <f t="shared" si="187"/>
        <v>3500.0000000000005</v>
      </c>
      <c r="K1928" s="44">
        <f t="shared" si="188"/>
        <v>9.589041095890412</v>
      </c>
      <c r="L1928" s="3">
        <f t="shared" si="189"/>
        <v>709.58904109589048</v>
      </c>
      <c r="M1928" s="3">
        <f t="shared" si="190"/>
        <v>42.57534246575343</v>
      </c>
      <c r="N1928" s="67">
        <f t="shared" si="191"/>
        <v>667.01369863013701</v>
      </c>
      <c r="O1928" s="3"/>
      <c r="P1928" s="70" t="s">
        <v>18615</v>
      </c>
      <c r="Q1928" s="2" t="s">
        <v>40</v>
      </c>
      <c r="R1928" s="2" t="s">
        <v>15965</v>
      </c>
      <c r="T1928" t="s">
        <v>18666</v>
      </c>
      <c r="U1928" t="s">
        <v>18652</v>
      </c>
      <c r="V1928" s="104">
        <v>45857</v>
      </c>
      <c r="X1928" s="97"/>
      <c r="Y1928" s="75">
        <v>667.02</v>
      </c>
    </row>
    <row r="1929" spans="1:25" x14ac:dyDescent="0.25">
      <c r="A1929" s="76">
        <v>1961</v>
      </c>
      <c r="B1929" s="2" t="s">
        <v>11353</v>
      </c>
      <c r="C1929" s="2" t="s">
        <v>11354</v>
      </c>
      <c r="D1929" s="2" t="s">
        <v>11355</v>
      </c>
      <c r="E1929" s="2" t="s">
        <v>11356</v>
      </c>
      <c r="F1929" s="2" t="s">
        <v>11357</v>
      </c>
      <c r="G1929" s="2" t="s">
        <v>23</v>
      </c>
      <c r="H1929" s="17">
        <v>25</v>
      </c>
      <c r="I1929" s="31">
        <f t="shared" si="186"/>
        <v>25000</v>
      </c>
      <c r="J1929" s="31">
        <f t="shared" si="187"/>
        <v>1750.0000000000002</v>
      </c>
      <c r="K1929" s="44">
        <f t="shared" si="188"/>
        <v>4.794520547945206</v>
      </c>
      <c r="L1929" s="3">
        <f t="shared" si="189"/>
        <v>354.79452054794524</v>
      </c>
      <c r="M1929" s="3">
        <f t="shared" si="190"/>
        <v>21.287671232876715</v>
      </c>
      <c r="N1929" s="67">
        <f t="shared" si="191"/>
        <v>333.50684931506851</v>
      </c>
      <c r="O1929" s="3"/>
      <c r="P1929" s="70" t="s">
        <v>18615</v>
      </c>
      <c r="Q1929" s="2" t="s">
        <v>40</v>
      </c>
      <c r="R1929" s="2" t="s">
        <v>11358</v>
      </c>
      <c r="T1929" t="s">
        <v>18666</v>
      </c>
      <c r="U1929" t="s">
        <v>18652</v>
      </c>
      <c r="V1929" s="104">
        <v>45857</v>
      </c>
      <c r="X1929" s="97"/>
      <c r="Y1929" s="75">
        <v>333.51</v>
      </c>
    </row>
    <row r="1930" spans="1:25" x14ac:dyDescent="0.25">
      <c r="A1930" s="76">
        <v>1962</v>
      </c>
      <c r="B1930" s="2" t="s">
        <v>5942</v>
      </c>
      <c r="C1930" s="2" t="s">
        <v>5926</v>
      </c>
      <c r="D1930" s="2" t="s">
        <v>5927</v>
      </c>
      <c r="E1930" s="2" t="s">
        <v>5943</v>
      </c>
      <c r="F1930" s="2" t="s">
        <v>5944</v>
      </c>
      <c r="G1930" s="2" t="s">
        <v>618</v>
      </c>
      <c r="H1930" s="17">
        <v>100</v>
      </c>
      <c r="I1930" s="31">
        <f t="shared" si="186"/>
        <v>100000</v>
      </c>
      <c r="J1930" s="31">
        <f t="shared" si="187"/>
        <v>7000.0000000000009</v>
      </c>
      <c r="K1930" s="44">
        <f t="shared" si="188"/>
        <v>19.178082191780824</v>
      </c>
      <c r="L1930" s="3">
        <f t="shared" si="189"/>
        <v>1419.178082191781</v>
      </c>
      <c r="M1930" s="3">
        <f t="shared" si="190"/>
        <v>85.150684931506859</v>
      </c>
      <c r="N1930" s="67">
        <f t="shared" si="191"/>
        <v>1334.027397260274</v>
      </c>
      <c r="O1930" s="3"/>
      <c r="P1930" s="70" t="s">
        <v>18615</v>
      </c>
      <c r="Q1930" s="2" t="s">
        <v>40</v>
      </c>
      <c r="R1930" s="2" t="s">
        <v>5945</v>
      </c>
      <c r="T1930" t="s">
        <v>18666</v>
      </c>
      <c r="U1930" t="s">
        <v>18652</v>
      </c>
      <c r="V1930" s="104">
        <v>45857</v>
      </c>
      <c r="X1930" s="97"/>
      <c r="Y1930" s="75">
        <v>1334.03</v>
      </c>
    </row>
    <row r="1931" spans="1:25" x14ac:dyDescent="0.25">
      <c r="A1931" s="76">
        <v>1963</v>
      </c>
      <c r="B1931" s="2" t="s">
        <v>15901</v>
      </c>
      <c r="C1931" s="2" t="s">
        <v>15902</v>
      </c>
      <c r="D1931" s="2" t="s">
        <v>15903</v>
      </c>
      <c r="E1931" s="2" t="s">
        <v>15904</v>
      </c>
      <c r="F1931" s="2" t="s">
        <v>15905</v>
      </c>
      <c r="G1931" s="2" t="s">
        <v>31</v>
      </c>
      <c r="H1931" s="17">
        <v>25</v>
      </c>
      <c r="I1931" s="31">
        <f t="shared" si="186"/>
        <v>25000</v>
      </c>
      <c r="J1931" s="31">
        <f t="shared" si="187"/>
        <v>1750.0000000000002</v>
      </c>
      <c r="K1931" s="44">
        <f t="shared" si="188"/>
        <v>4.794520547945206</v>
      </c>
      <c r="L1931" s="3">
        <f t="shared" si="189"/>
        <v>354.79452054794524</v>
      </c>
      <c r="M1931" s="3">
        <f t="shared" si="190"/>
        <v>21.287671232876715</v>
      </c>
      <c r="N1931" s="67">
        <f t="shared" si="191"/>
        <v>333.50684931506851</v>
      </c>
      <c r="O1931" s="3"/>
      <c r="P1931" s="70" t="s">
        <v>18615</v>
      </c>
      <c r="Q1931" s="2" t="s">
        <v>40</v>
      </c>
      <c r="R1931" s="2" t="s">
        <v>15906</v>
      </c>
      <c r="T1931" t="s">
        <v>18666</v>
      </c>
      <c r="U1931" t="s">
        <v>18652</v>
      </c>
      <c r="V1931" s="104">
        <v>45857</v>
      </c>
      <c r="X1931" s="97"/>
      <c r="Y1931" s="75">
        <v>333.51</v>
      </c>
    </row>
    <row r="1932" spans="1:25" x14ac:dyDescent="0.25">
      <c r="A1932" s="76">
        <v>1964</v>
      </c>
      <c r="B1932" s="2" t="s">
        <v>14130</v>
      </c>
      <c r="C1932" s="2" t="s">
        <v>14131</v>
      </c>
      <c r="D1932" s="2" t="s">
        <v>14132</v>
      </c>
      <c r="E1932" s="2" t="s">
        <v>14133</v>
      </c>
      <c r="F1932" s="2" t="s">
        <v>14134</v>
      </c>
      <c r="G1932" s="2" t="s">
        <v>5013</v>
      </c>
      <c r="H1932" s="17">
        <v>200</v>
      </c>
      <c r="I1932" s="31">
        <f t="shared" si="186"/>
        <v>200000</v>
      </c>
      <c r="J1932" s="31">
        <f t="shared" si="187"/>
        <v>14000.000000000002</v>
      </c>
      <c r="K1932" s="44">
        <f t="shared" si="188"/>
        <v>38.356164383561648</v>
      </c>
      <c r="L1932" s="3">
        <f t="shared" si="189"/>
        <v>2838.3561643835619</v>
      </c>
      <c r="M1932" s="3">
        <f t="shared" si="190"/>
        <v>170.30136986301372</v>
      </c>
      <c r="N1932" s="67">
        <f t="shared" si="191"/>
        <v>2668.0547945205481</v>
      </c>
      <c r="O1932" s="3"/>
      <c r="P1932" s="70" t="s">
        <v>18615</v>
      </c>
      <c r="Q1932" s="2" t="s">
        <v>40</v>
      </c>
      <c r="R1932" s="2" t="s">
        <v>14135</v>
      </c>
      <c r="T1932" t="s">
        <v>18666</v>
      </c>
      <c r="U1932" t="s">
        <v>18652</v>
      </c>
      <c r="V1932" s="104">
        <v>45857</v>
      </c>
      <c r="X1932" s="97"/>
      <c r="Y1932" s="75">
        <v>2668.0600000000004</v>
      </c>
    </row>
    <row r="1933" spans="1:25" x14ac:dyDescent="0.25">
      <c r="A1933" s="76">
        <v>1965</v>
      </c>
      <c r="B1933" s="2" t="s">
        <v>16055</v>
      </c>
      <c r="C1933" s="2" t="s">
        <v>16056</v>
      </c>
      <c r="D1933" s="2" t="s">
        <v>16057</v>
      </c>
      <c r="E1933" s="2" t="s">
        <v>16058</v>
      </c>
      <c r="F1933" s="2" t="s">
        <v>16059</v>
      </c>
      <c r="G1933" s="2" t="s">
        <v>166</v>
      </c>
      <c r="H1933" s="17">
        <v>25</v>
      </c>
      <c r="I1933" s="31">
        <f t="shared" si="186"/>
        <v>25000</v>
      </c>
      <c r="J1933" s="31">
        <f t="shared" si="187"/>
        <v>1750.0000000000002</v>
      </c>
      <c r="K1933" s="44">
        <f t="shared" si="188"/>
        <v>4.794520547945206</v>
      </c>
      <c r="L1933" s="3">
        <f t="shared" si="189"/>
        <v>354.79452054794524</v>
      </c>
      <c r="M1933" s="3">
        <f t="shared" si="190"/>
        <v>21.287671232876715</v>
      </c>
      <c r="N1933" s="67">
        <f t="shared" si="191"/>
        <v>333.50684931506851</v>
      </c>
      <c r="O1933" s="3"/>
      <c r="P1933" s="70" t="s">
        <v>18615</v>
      </c>
      <c r="Q1933" s="2" t="s">
        <v>40</v>
      </c>
      <c r="R1933" s="2" t="s">
        <v>16060</v>
      </c>
      <c r="T1933" t="s">
        <v>18666</v>
      </c>
      <c r="U1933" t="s">
        <v>18652</v>
      </c>
      <c r="V1933" s="104">
        <v>45857</v>
      </c>
      <c r="X1933" s="97"/>
      <c r="Y1933" s="75">
        <v>333.51</v>
      </c>
    </row>
    <row r="1934" spans="1:25" x14ac:dyDescent="0.25">
      <c r="A1934" s="76">
        <v>1966</v>
      </c>
      <c r="B1934" s="2" t="s">
        <v>8320</v>
      </c>
      <c r="C1934" s="2" t="s">
        <v>8321</v>
      </c>
      <c r="D1934" s="2" t="s">
        <v>8322</v>
      </c>
      <c r="E1934" s="2" t="s">
        <v>8323</v>
      </c>
      <c r="F1934" s="2" t="s">
        <v>8324</v>
      </c>
      <c r="G1934" s="2" t="s">
        <v>618</v>
      </c>
      <c r="H1934" s="17">
        <v>25</v>
      </c>
      <c r="I1934" s="31">
        <f t="shared" si="186"/>
        <v>25000</v>
      </c>
      <c r="J1934" s="31">
        <f t="shared" si="187"/>
        <v>1750.0000000000002</v>
      </c>
      <c r="K1934" s="44">
        <f t="shared" si="188"/>
        <v>4.794520547945206</v>
      </c>
      <c r="L1934" s="3">
        <f t="shared" si="189"/>
        <v>354.79452054794524</v>
      </c>
      <c r="M1934" s="3">
        <f t="shared" si="190"/>
        <v>21.287671232876715</v>
      </c>
      <c r="N1934" s="67">
        <f t="shared" si="191"/>
        <v>333.50684931506851</v>
      </c>
      <c r="O1934" s="3"/>
      <c r="P1934" s="70" t="s">
        <v>18615</v>
      </c>
      <c r="Q1934" s="2" t="s">
        <v>40</v>
      </c>
      <c r="R1934" s="2" t="s">
        <v>8325</v>
      </c>
      <c r="T1934" t="s">
        <v>18666</v>
      </c>
      <c r="U1934" t="s">
        <v>18652</v>
      </c>
      <c r="V1934" s="104">
        <v>45857</v>
      </c>
      <c r="X1934" s="97"/>
      <c r="Y1934" s="75">
        <v>333.51</v>
      </c>
    </row>
    <row r="1935" spans="1:25" x14ac:dyDescent="0.25">
      <c r="A1935" s="76">
        <v>1967</v>
      </c>
      <c r="B1935" s="2" t="s">
        <v>13268</v>
      </c>
      <c r="C1935" s="2" t="s">
        <v>13269</v>
      </c>
      <c r="D1935" s="2" t="s">
        <v>13270</v>
      </c>
      <c r="E1935" s="2" t="s">
        <v>13271</v>
      </c>
      <c r="F1935" s="2" t="s">
        <v>13272</v>
      </c>
      <c r="G1935" s="2" t="s">
        <v>31</v>
      </c>
      <c r="H1935" s="17">
        <v>30</v>
      </c>
      <c r="I1935" s="31">
        <f t="shared" si="186"/>
        <v>30000</v>
      </c>
      <c r="J1935" s="31">
        <f t="shared" si="187"/>
        <v>2100</v>
      </c>
      <c r="K1935" s="44">
        <f t="shared" si="188"/>
        <v>5.7534246575342465</v>
      </c>
      <c r="L1935" s="3">
        <f t="shared" si="189"/>
        <v>425.75342465753425</v>
      </c>
      <c r="M1935" s="3">
        <f t="shared" si="190"/>
        <v>25.545205479452054</v>
      </c>
      <c r="N1935" s="67">
        <f t="shared" si="191"/>
        <v>400.20821917808217</v>
      </c>
      <c r="O1935" s="3"/>
      <c r="P1935" s="70" t="s">
        <v>18615</v>
      </c>
      <c r="Q1935" s="2" t="s">
        <v>40</v>
      </c>
      <c r="R1935" s="2" t="s">
        <v>13273</v>
      </c>
      <c r="T1935" t="s">
        <v>18666</v>
      </c>
      <c r="U1935" t="s">
        <v>18652</v>
      </c>
      <c r="V1935" s="104">
        <v>45857</v>
      </c>
      <c r="X1935" s="97"/>
      <c r="Y1935" s="75">
        <v>400.21</v>
      </c>
    </row>
    <row r="1936" spans="1:25" x14ac:dyDescent="0.25">
      <c r="A1936" s="76">
        <v>1968</v>
      </c>
      <c r="B1936" s="2" t="s">
        <v>9049</v>
      </c>
      <c r="C1936" s="2" t="s">
        <v>9050</v>
      </c>
      <c r="D1936" s="2" t="s">
        <v>9051</v>
      </c>
      <c r="E1936" s="2" t="s">
        <v>9052</v>
      </c>
      <c r="F1936" s="2" t="s">
        <v>9053</v>
      </c>
      <c r="G1936" s="2" t="s">
        <v>643</v>
      </c>
      <c r="H1936" s="17">
        <v>25</v>
      </c>
      <c r="I1936" s="31">
        <f t="shared" si="186"/>
        <v>25000</v>
      </c>
      <c r="J1936" s="31">
        <f t="shared" si="187"/>
        <v>1750.0000000000002</v>
      </c>
      <c r="K1936" s="44">
        <f t="shared" si="188"/>
        <v>4.794520547945206</v>
      </c>
      <c r="L1936" s="3">
        <f t="shared" si="189"/>
        <v>354.79452054794524</v>
      </c>
      <c r="M1936" s="3">
        <f t="shared" si="190"/>
        <v>21.287671232876715</v>
      </c>
      <c r="N1936" s="67">
        <f t="shared" si="191"/>
        <v>333.50684931506851</v>
      </c>
      <c r="O1936" s="3"/>
      <c r="P1936" s="70" t="s">
        <v>18615</v>
      </c>
      <c r="Q1936" s="2" t="s">
        <v>40</v>
      </c>
      <c r="R1936" s="2" t="s">
        <v>9054</v>
      </c>
      <c r="T1936" t="s">
        <v>18666</v>
      </c>
      <c r="U1936" t="s">
        <v>18652</v>
      </c>
      <c r="V1936" s="104">
        <v>45857</v>
      </c>
      <c r="X1936" s="97"/>
      <c r="Y1936" s="75">
        <v>333.51</v>
      </c>
    </row>
    <row r="1937" spans="1:25" x14ac:dyDescent="0.25">
      <c r="A1937" s="76">
        <v>1969</v>
      </c>
      <c r="B1937" s="2" t="s">
        <v>13547</v>
      </c>
      <c r="C1937" s="2" t="s">
        <v>13548</v>
      </c>
      <c r="D1937" s="2" t="s">
        <v>13549</v>
      </c>
      <c r="E1937" s="2" t="s">
        <v>13550</v>
      </c>
      <c r="F1937" s="2" t="s">
        <v>13551</v>
      </c>
      <c r="G1937" s="2" t="s">
        <v>1055</v>
      </c>
      <c r="H1937" s="17">
        <v>25</v>
      </c>
      <c r="I1937" s="31">
        <f t="shared" si="186"/>
        <v>25000</v>
      </c>
      <c r="J1937" s="31">
        <f t="shared" si="187"/>
        <v>1750.0000000000002</v>
      </c>
      <c r="K1937" s="44">
        <f t="shared" si="188"/>
        <v>4.794520547945206</v>
      </c>
      <c r="L1937" s="3">
        <f t="shared" si="189"/>
        <v>354.79452054794524</v>
      </c>
      <c r="M1937" s="3">
        <f t="shared" si="190"/>
        <v>21.287671232876715</v>
      </c>
      <c r="N1937" s="67">
        <f t="shared" si="191"/>
        <v>333.50684931506851</v>
      </c>
      <c r="O1937" s="3"/>
      <c r="P1937" s="70" t="s">
        <v>18615</v>
      </c>
      <c r="Q1937" s="2" t="s">
        <v>40</v>
      </c>
      <c r="R1937" s="2" t="s">
        <v>13552</v>
      </c>
      <c r="T1937" t="s">
        <v>18666</v>
      </c>
      <c r="U1937" t="s">
        <v>18652</v>
      </c>
      <c r="V1937" s="104">
        <v>45857</v>
      </c>
      <c r="X1937" s="97"/>
      <c r="Y1937" s="75">
        <v>333.51</v>
      </c>
    </row>
    <row r="1938" spans="1:25" x14ac:dyDescent="0.25">
      <c r="A1938" s="76">
        <v>1970</v>
      </c>
      <c r="B1938" s="2" t="s">
        <v>8794</v>
      </c>
      <c r="C1938" s="2" t="s">
        <v>8795</v>
      </c>
      <c r="D1938" s="2" t="s">
        <v>8796</v>
      </c>
      <c r="E1938" s="2" t="s">
        <v>8797</v>
      </c>
      <c r="F1938" s="2" t="s">
        <v>8798</v>
      </c>
      <c r="G1938" s="2" t="s">
        <v>158</v>
      </c>
      <c r="H1938" s="17">
        <v>25</v>
      </c>
      <c r="I1938" s="31">
        <f t="shared" ref="I1938:I2001" si="192">H1938*1000</f>
        <v>25000</v>
      </c>
      <c r="J1938" s="31">
        <f t="shared" ref="J1938:J2001" si="193">I1938*7%</f>
        <v>1750.0000000000002</v>
      </c>
      <c r="K1938" s="44">
        <f t="shared" ref="K1938:K2001" si="194">J1938/365</f>
        <v>4.794520547945206</v>
      </c>
      <c r="L1938" s="3">
        <f t="shared" ref="L1938:L2001" si="195">K1938*74</f>
        <v>354.79452054794524</v>
      </c>
      <c r="M1938" s="3">
        <f t="shared" ref="M1938:M2001" si="196">L1938*6%</f>
        <v>21.287671232876715</v>
      </c>
      <c r="N1938" s="67">
        <f t="shared" ref="N1938:N2001" si="197">L1938-M1938</f>
        <v>333.50684931506851</v>
      </c>
      <c r="O1938" s="3"/>
      <c r="P1938" s="70" t="s">
        <v>18615</v>
      </c>
      <c r="Q1938" s="2" t="s">
        <v>40</v>
      </c>
      <c r="R1938" s="2" t="s">
        <v>8799</v>
      </c>
      <c r="T1938" t="s">
        <v>18666</v>
      </c>
      <c r="U1938" t="s">
        <v>18652</v>
      </c>
      <c r="V1938" s="104">
        <v>45857</v>
      </c>
      <c r="X1938" s="97"/>
      <c r="Y1938" s="75">
        <v>333.51</v>
      </c>
    </row>
    <row r="1939" spans="1:25" x14ac:dyDescent="0.25">
      <c r="A1939" s="76">
        <v>1971</v>
      </c>
      <c r="B1939" s="2" t="s">
        <v>16751</v>
      </c>
      <c r="C1939" s="2" t="s">
        <v>16752</v>
      </c>
      <c r="D1939" s="2" t="s">
        <v>16753</v>
      </c>
      <c r="E1939" s="2" t="s">
        <v>16754</v>
      </c>
      <c r="F1939" s="2" t="s">
        <v>16755</v>
      </c>
      <c r="G1939" s="2" t="s">
        <v>247</v>
      </c>
      <c r="H1939" s="17">
        <v>25</v>
      </c>
      <c r="I1939" s="31">
        <f t="shared" si="192"/>
        <v>25000</v>
      </c>
      <c r="J1939" s="31">
        <f t="shared" si="193"/>
        <v>1750.0000000000002</v>
      </c>
      <c r="K1939" s="44">
        <f t="shared" si="194"/>
        <v>4.794520547945206</v>
      </c>
      <c r="L1939" s="3">
        <f t="shared" si="195"/>
        <v>354.79452054794524</v>
      </c>
      <c r="M1939" s="3">
        <f t="shared" si="196"/>
        <v>21.287671232876715</v>
      </c>
      <c r="N1939" s="67">
        <f t="shared" si="197"/>
        <v>333.50684931506851</v>
      </c>
      <c r="O1939" s="3"/>
      <c r="P1939" s="70" t="s">
        <v>18615</v>
      </c>
      <c r="Q1939" s="2" t="s">
        <v>40</v>
      </c>
      <c r="R1939" s="2" t="s">
        <v>16756</v>
      </c>
      <c r="T1939" t="s">
        <v>18666</v>
      </c>
      <c r="U1939" t="s">
        <v>18652</v>
      </c>
      <c r="V1939" s="104">
        <v>45857</v>
      </c>
      <c r="X1939" s="97"/>
      <c r="Y1939" s="75">
        <v>333.51</v>
      </c>
    </row>
    <row r="1940" spans="1:25" x14ac:dyDescent="0.25">
      <c r="A1940" s="76">
        <v>1972</v>
      </c>
      <c r="B1940" s="2" t="s">
        <v>16436</v>
      </c>
      <c r="C1940" s="2" t="s">
        <v>16437</v>
      </c>
      <c r="D1940" s="2" t="s">
        <v>16438</v>
      </c>
      <c r="E1940" s="2" t="s">
        <v>16439</v>
      </c>
      <c r="F1940" s="2" t="s">
        <v>16440</v>
      </c>
      <c r="G1940" s="2" t="s">
        <v>268</v>
      </c>
      <c r="H1940" s="17">
        <v>25</v>
      </c>
      <c r="I1940" s="31">
        <f t="shared" si="192"/>
        <v>25000</v>
      </c>
      <c r="J1940" s="31">
        <f t="shared" si="193"/>
        <v>1750.0000000000002</v>
      </c>
      <c r="K1940" s="44">
        <f t="shared" si="194"/>
        <v>4.794520547945206</v>
      </c>
      <c r="L1940" s="3">
        <f t="shared" si="195"/>
        <v>354.79452054794524</v>
      </c>
      <c r="M1940" s="3">
        <f t="shared" si="196"/>
        <v>21.287671232876715</v>
      </c>
      <c r="N1940" s="67">
        <f t="shared" si="197"/>
        <v>333.50684931506851</v>
      </c>
      <c r="O1940" s="3"/>
      <c r="P1940" s="70" t="s">
        <v>18615</v>
      </c>
      <c r="Q1940" s="2" t="s">
        <v>40</v>
      </c>
      <c r="R1940" s="2" t="s">
        <v>16441</v>
      </c>
      <c r="T1940" t="s">
        <v>18666</v>
      </c>
      <c r="U1940" t="s">
        <v>18652</v>
      </c>
      <c r="V1940" s="104">
        <v>45857</v>
      </c>
      <c r="X1940" s="97"/>
      <c r="Y1940" s="75">
        <v>333.51</v>
      </c>
    </row>
    <row r="1941" spans="1:25" x14ac:dyDescent="0.25">
      <c r="A1941" s="76">
        <v>1973</v>
      </c>
      <c r="B1941" s="2" t="s">
        <v>1006</v>
      </c>
      <c r="C1941" s="2" t="s">
        <v>1007</v>
      </c>
      <c r="D1941" s="2" t="s">
        <v>1008</v>
      </c>
      <c r="E1941" s="2" t="s">
        <v>1009</v>
      </c>
      <c r="F1941" s="2" t="s">
        <v>1010</v>
      </c>
      <c r="G1941" s="2" t="s">
        <v>876</v>
      </c>
      <c r="H1941" s="17">
        <v>25</v>
      </c>
      <c r="I1941" s="31">
        <f t="shared" si="192"/>
        <v>25000</v>
      </c>
      <c r="J1941" s="31">
        <f t="shared" si="193"/>
        <v>1750.0000000000002</v>
      </c>
      <c r="K1941" s="44">
        <f t="shared" si="194"/>
        <v>4.794520547945206</v>
      </c>
      <c r="L1941" s="3">
        <f t="shared" si="195"/>
        <v>354.79452054794524</v>
      </c>
      <c r="M1941" s="3">
        <f t="shared" si="196"/>
        <v>21.287671232876715</v>
      </c>
      <c r="N1941" s="67">
        <f t="shared" si="197"/>
        <v>333.50684931506851</v>
      </c>
      <c r="O1941" s="3"/>
      <c r="P1941" s="70" t="s">
        <v>18615</v>
      </c>
      <c r="Q1941" s="2" t="s">
        <v>40</v>
      </c>
      <c r="R1941" s="2" t="s">
        <v>1011</v>
      </c>
      <c r="T1941" t="s">
        <v>18666</v>
      </c>
      <c r="U1941" t="s">
        <v>18652</v>
      </c>
      <c r="V1941" s="104">
        <v>45857</v>
      </c>
      <c r="X1941" s="97"/>
      <c r="Y1941" s="75">
        <v>333.51</v>
      </c>
    </row>
    <row r="1942" spans="1:25" x14ac:dyDescent="0.25">
      <c r="A1942" s="76">
        <v>1974</v>
      </c>
      <c r="B1942" s="2" t="s">
        <v>2851</v>
      </c>
      <c r="C1942" s="2" t="s">
        <v>2852</v>
      </c>
      <c r="D1942" s="2" t="s">
        <v>2853</v>
      </c>
      <c r="E1942" s="2" t="s">
        <v>2854</v>
      </c>
      <c r="F1942" s="2" t="s">
        <v>2855</v>
      </c>
      <c r="G1942" s="2" t="s">
        <v>296</v>
      </c>
      <c r="H1942" s="17">
        <v>50</v>
      </c>
      <c r="I1942" s="31">
        <f t="shared" si="192"/>
        <v>50000</v>
      </c>
      <c r="J1942" s="31">
        <f t="shared" si="193"/>
        <v>3500.0000000000005</v>
      </c>
      <c r="K1942" s="44">
        <f t="shared" si="194"/>
        <v>9.589041095890412</v>
      </c>
      <c r="L1942" s="3">
        <f t="shared" si="195"/>
        <v>709.58904109589048</v>
      </c>
      <c r="M1942" s="3">
        <f t="shared" si="196"/>
        <v>42.57534246575343</v>
      </c>
      <c r="N1942" s="67">
        <f t="shared" si="197"/>
        <v>667.01369863013701</v>
      </c>
      <c r="O1942" s="3"/>
      <c r="P1942" s="70" t="s">
        <v>18615</v>
      </c>
      <c r="Q1942" s="2" t="s">
        <v>40</v>
      </c>
      <c r="R1942" s="2" t="s">
        <v>2856</v>
      </c>
      <c r="T1942" t="s">
        <v>18666</v>
      </c>
      <c r="U1942" t="s">
        <v>18652</v>
      </c>
      <c r="V1942" s="104">
        <v>45857</v>
      </c>
      <c r="X1942" s="97"/>
      <c r="Y1942" s="75">
        <v>667.02</v>
      </c>
    </row>
    <row r="1943" spans="1:25" x14ac:dyDescent="0.25">
      <c r="A1943" s="76">
        <v>1975</v>
      </c>
      <c r="B1943" s="2" t="s">
        <v>364</v>
      </c>
      <c r="C1943" s="2" t="s">
        <v>365</v>
      </c>
      <c r="D1943" s="2" t="s">
        <v>366</v>
      </c>
      <c r="E1943" s="2" t="s">
        <v>367</v>
      </c>
      <c r="F1943" s="2" t="s">
        <v>368</v>
      </c>
      <c r="G1943" s="2" t="s">
        <v>296</v>
      </c>
      <c r="H1943" s="17">
        <v>25</v>
      </c>
      <c r="I1943" s="31">
        <f t="shared" si="192"/>
        <v>25000</v>
      </c>
      <c r="J1943" s="31">
        <f t="shared" si="193"/>
        <v>1750.0000000000002</v>
      </c>
      <c r="K1943" s="44">
        <f t="shared" si="194"/>
        <v>4.794520547945206</v>
      </c>
      <c r="L1943" s="3">
        <f t="shared" si="195"/>
        <v>354.79452054794524</v>
      </c>
      <c r="M1943" s="3">
        <f t="shared" si="196"/>
        <v>21.287671232876715</v>
      </c>
      <c r="N1943" s="67">
        <f t="shared" si="197"/>
        <v>333.50684931506851</v>
      </c>
      <c r="O1943" s="3"/>
      <c r="P1943" s="70" t="s">
        <v>18615</v>
      </c>
      <c r="Q1943" s="2" t="s">
        <v>40</v>
      </c>
      <c r="R1943" s="2" t="s">
        <v>369</v>
      </c>
      <c r="T1943" t="s">
        <v>18666</v>
      </c>
      <c r="U1943" t="s">
        <v>18652</v>
      </c>
      <c r="V1943" s="104">
        <v>45857</v>
      </c>
      <c r="X1943" s="97"/>
      <c r="Y1943" s="75">
        <v>333.51</v>
      </c>
    </row>
    <row r="1944" spans="1:25" x14ac:dyDescent="0.25">
      <c r="A1944" s="76">
        <v>1976</v>
      </c>
      <c r="B1944" s="2" t="s">
        <v>16350</v>
      </c>
      <c r="C1944" s="2" t="s">
        <v>16351</v>
      </c>
      <c r="D1944" s="2" t="s">
        <v>16352</v>
      </c>
      <c r="E1944" s="2" t="s">
        <v>16353</v>
      </c>
      <c r="F1944" s="2" t="s">
        <v>16354</v>
      </c>
      <c r="G1944" s="2" t="s">
        <v>233</v>
      </c>
      <c r="H1944" s="17">
        <v>100</v>
      </c>
      <c r="I1944" s="31">
        <f t="shared" si="192"/>
        <v>100000</v>
      </c>
      <c r="J1944" s="31">
        <f t="shared" si="193"/>
        <v>7000.0000000000009</v>
      </c>
      <c r="K1944" s="44">
        <f t="shared" si="194"/>
        <v>19.178082191780824</v>
      </c>
      <c r="L1944" s="3">
        <f t="shared" si="195"/>
        <v>1419.178082191781</v>
      </c>
      <c r="M1944" s="3">
        <f t="shared" si="196"/>
        <v>85.150684931506859</v>
      </c>
      <c r="N1944" s="67">
        <f t="shared" si="197"/>
        <v>1334.027397260274</v>
      </c>
      <c r="O1944" s="3"/>
      <c r="P1944" s="70" t="s">
        <v>18615</v>
      </c>
      <c r="Q1944" s="2" t="s">
        <v>40</v>
      </c>
      <c r="R1944" s="2" t="s">
        <v>16355</v>
      </c>
      <c r="T1944" t="s">
        <v>18666</v>
      </c>
      <c r="U1944" t="s">
        <v>18652</v>
      </c>
      <c r="V1944" s="104">
        <v>45857</v>
      </c>
      <c r="X1944" s="97"/>
      <c r="Y1944" s="75">
        <v>1334.03</v>
      </c>
    </row>
    <row r="1945" spans="1:25" x14ac:dyDescent="0.25">
      <c r="A1945" s="76">
        <v>1977</v>
      </c>
      <c r="B1945" s="2" t="s">
        <v>12351</v>
      </c>
      <c r="C1945" s="2" t="s">
        <v>12352</v>
      </c>
      <c r="D1945" s="2" t="s">
        <v>12353</v>
      </c>
      <c r="E1945" s="2" t="s">
        <v>12354</v>
      </c>
      <c r="F1945" s="2" t="s">
        <v>12355</v>
      </c>
      <c r="G1945" s="2" t="s">
        <v>1315</v>
      </c>
      <c r="H1945" s="17">
        <v>25</v>
      </c>
      <c r="I1945" s="31">
        <f t="shared" si="192"/>
        <v>25000</v>
      </c>
      <c r="J1945" s="31">
        <f t="shared" si="193"/>
        <v>1750.0000000000002</v>
      </c>
      <c r="K1945" s="44">
        <f t="shared" si="194"/>
        <v>4.794520547945206</v>
      </c>
      <c r="L1945" s="3">
        <f t="shared" si="195"/>
        <v>354.79452054794524</v>
      </c>
      <c r="M1945" s="3">
        <f t="shared" si="196"/>
        <v>21.287671232876715</v>
      </c>
      <c r="N1945" s="67">
        <f t="shared" si="197"/>
        <v>333.50684931506851</v>
      </c>
      <c r="O1945" s="3"/>
      <c r="P1945" s="70" t="s">
        <v>18615</v>
      </c>
      <c r="Q1945" s="2" t="s">
        <v>40</v>
      </c>
      <c r="R1945" s="2" t="s">
        <v>12356</v>
      </c>
      <c r="T1945" t="s">
        <v>18666</v>
      </c>
      <c r="U1945" t="s">
        <v>18652</v>
      </c>
      <c r="V1945" s="104">
        <v>45857</v>
      </c>
      <c r="X1945" s="97"/>
      <c r="Y1945" s="75">
        <v>333.51</v>
      </c>
    </row>
    <row r="1946" spans="1:25" x14ac:dyDescent="0.25">
      <c r="A1946" s="76">
        <v>1978</v>
      </c>
      <c r="B1946" s="2" t="s">
        <v>15143</v>
      </c>
      <c r="C1946" s="2" t="s">
        <v>15144</v>
      </c>
      <c r="D1946" s="2" t="s">
        <v>15145</v>
      </c>
      <c r="E1946" s="2" t="s">
        <v>15146</v>
      </c>
      <c r="F1946" s="2" t="s">
        <v>15147</v>
      </c>
      <c r="G1946" s="2" t="s">
        <v>876</v>
      </c>
      <c r="H1946" s="17">
        <v>90</v>
      </c>
      <c r="I1946" s="31">
        <f t="shared" si="192"/>
        <v>90000</v>
      </c>
      <c r="J1946" s="31">
        <f t="shared" si="193"/>
        <v>6300.0000000000009</v>
      </c>
      <c r="K1946" s="44">
        <f t="shared" si="194"/>
        <v>17.260273972602743</v>
      </c>
      <c r="L1946" s="3">
        <f t="shared" si="195"/>
        <v>1277.260273972603</v>
      </c>
      <c r="M1946" s="3">
        <f t="shared" si="196"/>
        <v>76.63561643835618</v>
      </c>
      <c r="N1946" s="67">
        <f t="shared" si="197"/>
        <v>1200.6246575342468</v>
      </c>
      <c r="O1946" s="3"/>
      <c r="P1946" s="70" t="s">
        <v>18615</v>
      </c>
      <c r="Q1946" s="2" t="s">
        <v>40</v>
      </c>
      <c r="R1946" s="2" t="s">
        <v>15148</v>
      </c>
      <c r="T1946" t="s">
        <v>18666</v>
      </c>
      <c r="U1946" t="s">
        <v>18652</v>
      </c>
      <c r="V1946" s="104">
        <v>45857</v>
      </c>
      <c r="X1946" s="97"/>
      <c r="Y1946" s="75">
        <v>1200.6299999999999</v>
      </c>
    </row>
    <row r="1947" spans="1:25" x14ac:dyDescent="0.25">
      <c r="A1947" s="76">
        <v>1979</v>
      </c>
      <c r="B1947" s="2" t="s">
        <v>545</v>
      </c>
      <c r="C1947" s="2" t="s">
        <v>546</v>
      </c>
      <c r="D1947" s="2" t="s">
        <v>547</v>
      </c>
      <c r="E1947" s="2" t="s">
        <v>548</v>
      </c>
      <c r="F1947" s="2" t="s">
        <v>549</v>
      </c>
      <c r="G1947" s="2" t="s">
        <v>39</v>
      </c>
      <c r="H1947" s="17">
        <v>25</v>
      </c>
      <c r="I1947" s="31">
        <f t="shared" si="192"/>
        <v>25000</v>
      </c>
      <c r="J1947" s="31">
        <f t="shared" si="193"/>
        <v>1750.0000000000002</v>
      </c>
      <c r="K1947" s="44">
        <f t="shared" si="194"/>
        <v>4.794520547945206</v>
      </c>
      <c r="L1947" s="3">
        <f t="shared" si="195"/>
        <v>354.79452054794524</v>
      </c>
      <c r="M1947" s="3">
        <f t="shared" si="196"/>
        <v>21.287671232876715</v>
      </c>
      <c r="N1947" s="67">
        <f t="shared" si="197"/>
        <v>333.50684931506851</v>
      </c>
      <c r="O1947" s="3"/>
      <c r="P1947" s="70" t="s">
        <v>18615</v>
      </c>
      <c r="Q1947" s="2" t="s">
        <v>40</v>
      </c>
      <c r="R1947" s="2" t="s">
        <v>550</v>
      </c>
      <c r="T1947" t="s">
        <v>18666</v>
      </c>
      <c r="U1947" t="s">
        <v>18652</v>
      </c>
      <c r="V1947" s="104">
        <v>45857</v>
      </c>
      <c r="X1947" s="97"/>
      <c r="Y1947" s="75">
        <v>333.51</v>
      </c>
    </row>
    <row r="1948" spans="1:25" x14ac:dyDescent="0.25">
      <c r="A1948" s="76">
        <v>1980</v>
      </c>
      <c r="B1948" s="2" t="s">
        <v>1677</v>
      </c>
      <c r="C1948" s="2" t="s">
        <v>1678</v>
      </c>
      <c r="D1948" s="2" t="s">
        <v>1679</v>
      </c>
      <c r="E1948" s="2" t="s">
        <v>1680</v>
      </c>
      <c r="F1948" s="2" t="s">
        <v>1681</v>
      </c>
      <c r="G1948" s="2" t="s">
        <v>381</v>
      </c>
      <c r="H1948" s="17">
        <v>25</v>
      </c>
      <c r="I1948" s="31">
        <f t="shared" si="192"/>
        <v>25000</v>
      </c>
      <c r="J1948" s="31">
        <f t="shared" si="193"/>
        <v>1750.0000000000002</v>
      </c>
      <c r="K1948" s="44">
        <f t="shared" si="194"/>
        <v>4.794520547945206</v>
      </c>
      <c r="L1948" s="3">
        <f t="shared" si="195"/>
        <v>354.79452054794524</v>
      </c>
      <c r="M1948" s="3">
        <f t="shared" si="196"/>
        <v>21.287671232876715</v>
      </c>
      <c r="N1948" s="67">
        <f t="shared" si="197"/>
        <v>333.50684931506851</v>
      </c>
      <c r="O1948" s="3"/>
      <c r="P1948" s="70" t="s">
        <v>18615</v>
      </c>
      <c r="Q1948" s="2" t="s">
        <v>40</v>
      </c>
      <c r="R1948" s="2" t="s">
        <v>1682</v>
      </c>
      <c r="T1948" t="s">
        <v>18666</v>
      </c>
      <c r="U1948" t="s">
        <v>18652</v>
      </c>
      <c r="V1948" s="104">
        <v>45857</v>
      </c>
      <c r="X1948" s="97"/>
      <c r="Y1948" s="75">
        <v>333.51</v>
      </c>
    </row>
    <row r="1949" spans="1:25" x14ac:dyDescent="0.25">
      <c r="A1949" s="76">
        <v>1981</v>
      </c>
      <c r="B1949" s="2" t="s">
        <v>195</v>
      </c>
      <c r="C1949" s="2" t="s">
        <v>196</v>
      </c>
      <c r="D1949" s="2" t="s">
        <v>197</v>
      </c>
      <c r="E1949" s="2" t="s">
        <v>198</v>
      </c>
      <c r="F1949" s="2" t="s">
        <v>199</v>
      </c>
      <c r="G1949" s="2" t="s">
        <v>31</v>
      </c>
      <c r="H1949" s="17">
        <v>25</v>
      </c>
      <c r="I1949" s="31">
        <f t="shared" si="192"/>
        <v>25000</v>
      </c>
      <c r="J1949" s="31">
        <f t="shared" si="193"/>
        <v>1750.0000000000002</v>
      </c>
      <c r="K1949" s="44">
        <f t="shared" si="194"/>
        <v>4.794520547945206</v>
      </c>
      <c r="L1949" s="3">
        <f t="shared" si="195"/>
        <v>354.79452054794524</v>
      </c>
      <c r="M1949" s="3">
        <f t="shared" si="196"/>
        <v>21.287671232876715</v>
      </c>
      <c r="N1949" s="67">
        <f t="shared" si="197"/>
        <v>333.50684931506851</v>
      </c>
      <c r="O1949" s="3"/>
      <c r="P1949" s="70" t="s">
        <v>18615</v>
      </c>
      <c r="Q1949" s="2" t="s">
        <v>40</v>
      </c>
      <c r="R1949" s="2" t="s">
        <v>200</v>
      </c>
      <c r="T1949" t="s">
        <v>18666</v>
      </c>
      <c r="U1949" t="s">
        <v>18652</v>
      </c>
      <c r="V1949" s="104">
        <v>45857</v>
      </c>
      <c r="X1949" s="97"/>
      <c r="Y1949" s="75">
        <v>333.51</v>
      </c>
    </row>
    <row r="1950" spans="1:25" x14ac:dyDescent="0.25">
      <c r="A1950" s="76">
        <v>1982</v>
      </c>
      <c r="B1950" s="2" t="s">
        <v>3329</v>
      </c>
      <c r="C1950" s="2" t="s">
        <v>3330</v>
      </c>
      <c r="D1950" s="2" t="s">
        <v>3331</v>
      </c>
      <c r="E1950" s="2" t="s">
        <v>3332</v>
      </c>
      <c r="F1950" s="2" t="s">
        <v>3333</v>
      </c>
      <c r="G1950" s="2" t="s">
        <v>31</v>
      </c>
      <c r="H1950" s="17">
        <v>200</v>
      </c>
      <c r="I1950" s="31">
        <f t="shared" si="192"/>
        <v>200000</v>
      </c>
      <c r="J1950" s="31">
        <f t="shared" si="193"/>
        <v>14000.000000000002</v>
      </c>
      <c r="K1950" s="44">
        <f t="shared" si="194"/>
        <v>38.356164383561648</v>
      </c>
      <c r="L1950" s="3">
        <f t="shared" si="195"/>
        <v>2838.3561643835619</v>
      </c>
      <c r="M1950" s="3">
        <f t="shared" si="196"/>
        <v>170.30136986301372</v>
      </c>
      <c r="N1950" s="67">
        <f t="shared" si="197"/>
        <v>2668.0547945205481</v>
      </c>
      <c r="O1950" s="3"/>
      <c r="P1950" s="70" t="s">
        <v>18615</v>
      </c>
      <c r="Q1950" s="2" t="s">
        <v>40</v>
      </c>
      <c r="R1950" s="2" t="s">
        <v>3334</v>
      </c>
      <c r="T1950" t="s">
        <v>18666</v>
      </c>
      <c r="U1950" t="s">
        <v>18652</v>
      </c>
      <c r="V1950" s="104">
        <v>45857</v>
      </c>
      <c r="X1950" s="97"/>
      <c r="Y1950" s="75">
        <v>2668.0600000000004</v>
      </c>
    </row>
    <row r="1951" spans="1:25" x14ac:dyDescent="0.25">
      <c r="A1951" s="76">
        <v>1983</v>
      </c>
      <c r="B1951" s="2" t="s">
        <v>15010</v>
      </c>
      <c r="C1951" s="2" t="s">
        <v>15011</v>
      </c>
      <c r="D1951" s="2" t="s">
        <v>15012</v>
      </c>
      <c r="E1951" s="2" t="s">
        <v>15013</v>
      </c>
      <c r="F1951" s="2" t="s">
        <v>15014</v>
      </c>
      <c r="G1951" s="2" t="s">
        <v>5013</v>
      </c>
      <c r="H1951" s="17">
        <v>100</v>
      </c>
      <c r="I1951" s="31">
        <f t="shared" si="192"/>
        <v>100000</v>
      </c>
      <c r="J1951" s="31">
        <f t="shared" si="193"/>
        <v>7000.0000000000009</v>
      </c>
      <c r="K1951" s="44">
        <f t="shared" si="194"/>
        <v>19.178082191780824</v>
      </c>
      <c r="L1951" s="3">
        <f t="shared" si="195"/>
        <v>1419.178082191781</v>
      </c>
      <c r="M1951" s="3">
        <f t="shared" si="196"/>
        <v>85.150684931506859</v>
      </c>
      <c r="N1951" s="67">
        <f t="shared" si="197"/>
        <v>1334.027397260274</v>
      </c>
      <c r="O1951" s="3"/>
      <c r="P1951" s="70" t="s">
        <v>18615</v>
      </c>
      <c r="Q1951" s="2" t="s">
        <v>40</v>
      </c>
      <c r="R1951" s="2" t="s">
        <v>15015</v>
      </c>
      <c r="T1951" t="s">
        <v>18666</v>
      </c>
      <c r="U1951" t="s">
        <v>18652</v>
      </c>
      <c r="V1951" s="104">
        <v>45857</v>
      </c>
      <c r="X1951" s="97"/>
      <c r="Y1951" s="75">
        <v>1334.03</v>
      </c>
    </row>
    <row r="1952" spans="1:25" x14ac:dyDescent="0.25">
      <c r="A1952" s="76">
        <v>1984</v>
      </c>
      <c r="B1952" s="2" t="s">
        <v>9664</v>
      </c>
      <c r="C1952" s="2" t="s">
        <v>9665</v>
      </c>
      <c r="D1952" s="2" t="s">
        <v>9666</v>
      </c>
      <c r="E1952" s="2" t="s">
        <v>9667</v>
      </c>
      <c r="F1952" s="2" t="s">
        <v>9668</v>
      </c>
      <c r="G1952" s="2" t="s">
        <v>524</v>
      </c>
      <c r="H1952" s="17">
        <v>25</v>
      </c>
      <c r="I1952" s="31">
        <f t="shared" si="192"/>
        <v>25000</v>
      </c>
      <c r="J1952" s="31">
        <f t="shared" si="193"/>
        <v>1750.0000000000002</v>
      </c>
      <c r="K1952" s="44">
        <f t="shared" si="194"/>
        <v>4.794520547945206</v>
      </c>
      <c r="L1952" s="3">
        <f t="shared" si="195"/>
        <v>354.79452054794524</v>
      </c>
      <c r="M1952" s="3">
        <f t="shared" si="196"/>
        <v>21.287671232876715</v>
      </c>
      <c r="N1952" s="67">
        <f t="shared" si="197"/>
        <v>333.50684931506851</v>
      </c>
      <c r="O1952" s="3"/>
      <c r="P1952" s="70" t="s">
        <v>18615</v>
      </c>
      <c r="Q1952" s="2" t="s">
        <v>40</v>
      </c>
      <c r="R1952" s="2" t="s">
        <v>9669</v>
      </c>
      <c r="T1952" t="s">
        <v>18666</v>
      </c>
      <c r="U1952" t="s">
        <v>18652</v>
      </c>
      <c r="V1952" s="104">
        <v>45857</v>
      </c>
      <c r="X1952" s="97"/>
      <c r="Y1952" s="75">
        <v>333.51</v>
      </c>
    </row>
    <row r="1953" spans="1:25" x14ac:dyDescent="0.25">
      <c r="A1953" s="76">
        <v>1985</v>
      </c>
      <c r="B1953" s="2" t="s">
        <v>5244</v>
      </c>
      <c r="C1953" s="2" t="s">
        <v>5245</v>
      </c>
      <c r="D1953" s="2" t="s">
        <v>5246</v>
      </c>
      <c r="E1953" s="2" t="s">
        <v>5247</v>
      </c>
      <c r="F1953" s="2" t="s">
        <v>5248</v>
      </c>
      <c r="G1953" s="2" t="s">
        <v>1315</v>
      </c>
      <c r="H1953" s="17">
        <v>30</v>
      </c>
      <c r="I1953" s="31">
        <f t="shared" si="192"/>
        <v>30000</v>
      </c>
      <c r="J1953" s="31">
        <f t="shared" si="193"/>
        <v>2100</v>
      </c>
      <c r="K1953" s="44">
        <f t="shared" si="194"/>
        <v>5.7534246575342465</v>
      </c>
      <c r="L1953" s="3">
        <f t="shared" si="195"/>
        <v>425.75342465753425</v>
      </c>
      <c r="M1953" s="3">
        <f t="shared" si="196"/>
        <v>25.545205479452054</v>
      </c>
      <c r="N1953" s="67">
        <f t="shared" si="197"/>
        <v>400.20821917808217</v>
      </c>
      <c r="O1953" s="3"/>
      <c r="P1953" s="70" t="s">
        <v>18615</v>
      </c>
      <c r="Q1953" s="2" t="s">
        <v>40</v>
      </c>
      <c r="R1953" s="2" t="s">
        <v>5249</v>
      </c>
      <c r="T1953" t="s">
        <v>18666</v>
      </c>
      <c r="U1953" t="s">
        <v>18652</v>
      </c>
      <c r="V1953" s="104">
        <v>45857</v>
      </c>
      <c r="X1953" s="97"/>
      <c r="Y1953" s="75">
        <v>400.21</v>
      </c>
    </row>
    <row r="1954" spans="1:25" x14ac:dyDescent="0.25">
      <c r="A1954" s="76">
        <v>1986</v>
      </c>
      <c r="B1954" s="2" t="s">
        <v>3548</v>
      </c>
      <c r="C1954" s="2" t="s">
        <v>3549</v>
      </c>
      <c r="D1954" s="2" t="s">
        <v>3550</v>
      </c>
      <c r="E1954" s="2" t="s">
        <v>3551</v>
      </c>
      <c r="F1954" s="2" t="s">
        <v>3552</v>
      </c>
      <c r="G1954" s="2" t="s">
        <v>226</v>
      </c>
      <c r="H1954" s="17">
        <v>25</v>
      </c>
      <c r="I1954" s="31">
        <f t="shared" si="192"/>
        <v>25000</v>
      </c>
      <c r="J1954" s="31">
        <f t="shared" si="193"/>
        <v>1750.0000000000002</v>
      </c>
      <c r="K1954" s="44">
        <f t="shared" si="194"/>
        <v>4.794520547945206</v>
      </c>
      <c r="L1954" s="3">
        <f t="shared" si="195"/>
        <v>354.79452054794524</v>
      </c>
      <c r="M1954" s="3">
        <f t="shared" si="196"/>
        <v>21.287671232876715</v>
      </c>
      <c r="N1954" s="67">
        <f t="shared" si="197"/>
        <v>333.50684931506851</v>
      </c>
      <c r="O1954" s="3"/>
      <c r="P1954" s="70" t="s">
        <v>18615</v>
      </c>
      <c r="Q1954" s="2" t="s">
        <v>40</v>
      </c>
      <c r="R1954" s="2" t="s">
        <v>3553</v>
      </c>
      <c r="T1954" t="s">
        <v>18666</v>
      </c>
      <c r="U1954" t="s">
        <v>18652</v>
      </c>
      <c r="V1954" s="104">
        <v>45857</v>
      </c>
      <c r="X1954" s="97"/>
      <c r="Y1954" s="75">
        <v>333.51</v>
      </c>
    </row>
    <row r="1955" spans="1:25" x14ac:dyDescent="0.25">
      <c r="A1955" s="76">
        <v>1987</v>
      </c>
      <c r="B1955" s="2" t="s">
        <v>3962</v>
      </c>
      <c r="C1955" s="2" t="s">
        <v>3963</v>
      </c>
      <c r="D1955" s="2" t="s">
        <v>3964</v>
      </c>
      <c r="E1955" s="2" t="s">
        <v>3965</v>
      </c>
      <c r="F1955" s="2" t="s">
        <v>3966</v>
      </c>
      <c r="G1955" s="2" t="s">
        <v>226</v>
      </c>
      <c r="H1955" s="17">
        <v>600</v>
      </c>
      <c r="I1955" s="31">
        <f t="shared" si="192"/>
        <v>600000</v>
      </c>
      <c r="J1955" s="31">
        <f t="shared" si="193"/>
        <v>42000.000000000007</v>
      </c>
      <c r="K1955" s="44">
        <f t="shared" si="194"/>
        <v>115.06849315068496</v>
      </c>
      <c r="L1955" s="3">
        <f t="shared" si="195"/>
        <v>8515.0684931506876</v>
      </c>
      <c r="M1955" s="3">
        <f t="shared" si="196"/>
        <v>510.90410958904124</v>
      </c>
      <c r="N1955" s="67">
        <f t="shared" si="197"/>
        <v>8004.164383561646</v>
      </c>
      <c r="O1955" s="3"/>
      <c r="P1955" s="70" t="s">
        <v>18615</v>
      </c>
      <c r="Q1955" s="2" t="s">
        <v>40</v>
      </c>
      <c r="R1955" s="2" t="s">
        <v>3967</v>
      </c>
      <c r="T1955" t="s">
        <v>18666</v>
      </c>
      <c r="U1955" t="s">
        <v>18652</v>
      </c>
      <c r="V1955" s="104">
        <v>45857</v>
      </c>
      <c r="X1955" s="97"/>
      <c r="Y1955" s="75">
        <v>8004.17</v>
      </c>
    </row>
    <row r="1956" spans="1:25" x14ac:dyDescent="0.25">
      <c r="A1956" s="76">
        <v>1988</v>
      </c>
      <c r="B1956" s="2" t="s">
        <v>14625</v>
      </c>
      <c r="C1956" s="2" t="s">
        <v>14626</v>
      </c>
      <c r="D1956" s="2" t="s">
        <v>14627</v>
      </c>
      <c r="E1956" s="2" t="s">
        <v>14628</v>
      </c>
      <c r="F1956" s="2" t="s">
        <v>14629</v>
      </c>
      <c r="G1956" s="2" t="s">
        <v>381</v>
      </c>
      <c r="H1956" s="17">
        <v>25</v>
      </c>
      <c r="I1956" s="31">
        <f t="shared" si="192"/>
        <v>25000</v>
      </c>
      <c r="J1956" s="31">
        <f t="shared" si="193"/>
        <v>1750.0000000000002</v>
      </c>
      <c r="K1956" s="44">
        <f t="shared" si="194"/>
        <v>4.794520547945206</v>
      </c>
      <c r="L1956" s="3">
        <f t="shared" si="195"/>
        <v>354.79452054794524</v>
      </c>
      <c r="M1956" s="3">
        <f t="shared" si="196"/>
        <v>21.287671232876715</v>
      </c>
      <c r="N1956" s="67">
        <f t="shared" si="197"/>
        <v>333.50684931506851</v>
      </c>
      <c r="O1956" s="3"/>
      <c r="P1956" s="70" t="s">
        <v>18615</v>
      </c>
      <c r="Q1956" s="2" t="s">
        <v>40</v>
      </c>
      <c r="R1956" s="2" t="s">
        <v>14630</v>
      </c>
      <c r="T1956" t="s">
        <v>18666</v>
      </c>
      <c r="U1956" t="s">
        <v>18652</v>
      </c>
      <c r="V1956" s="104">
        <v>45857</v>
      </c>
      <c r="X1956" s="97"/>
      <c r="Y1956" s="75">
        <v>333.51</v>
      </c>
    </row>
    <row r="1957" spans="1:25" x14ac:dyDescent="0.25">
      <c r="A1957" s="76">
        <v>1989</v>
      </c>
      <c r="B1957" s="2" t="s">
        <v>10463</v>
      </c>
      <c r="C1957" s="2" t="s">
        <v>10464</v>
      </c>
      <c r="D1957" s="2" t="s">
        <v>10465</v>
      </c>
      <c r="E1957" s="2" t="s">
        <v>10466</v>
      </c>
      <c r="F1957" s="2" t="s">
        <v>10467</v>
      </c>
      <c r="G1957" s="2" t="s">
        <v>750</v>
      </c>
      <c r="H1957" s="17">
        <v>25</v>
      </c>
      <c r="I1957" s="31">
        <f t="shared" si="192"/>
        <v>25000</v>
      </c>
      <c r="J1957" s="31">
        <f t="shared" si="193"/>
        <v>1750.0000000000002</v>
      </c>
      <c r="K1957" s="44">
        <f t="shared" si="194"/>
        <v>4.794520547945206</v>
      </c>
      <c r="L1957" s="3">
        <f t="shared" si="195"/>
        <v>354.79452054794524</v>
      </c>
      <c r="M1957" s="3">
        <f t="shared" si="196"/>
        <v>21.287671232876715</v>
      </c>
      <c r="N1957" s="67">
        <f t="shared" si="197"/>
        <v>333.50684931506851</v>
      </c>
      <c r="O1957" s="3"/>
      <c r="P1957" s="70" t="s">
        <v>18615</v>
      </c>
      <c r="Q1957" s="2" t="s">
        <v>40</v>
      </c>
      <c r="R1957" s="2" t="s">
        <v>10468</v>
      </c>
      <c r="T1957" t="s">
        <v>18666</v>
      </c>
      <c r="U1957" t="s">
        <v>18652</v>
      </c>
      <c r="V1957" s="104">
        <v>45857</v>
      </c>
      <c r="X1957" s="97"/>
      <c r="Y1957" s="75">
        <v>333.51</v>
      </c>
    </row>
    <row r="1958" spans="1:25" x14ac:dyDescent="0.25">
      <c r="A1958" s="76">
        <v>1990</v>
      </c>
      <c r="B1958" s="2" t="s">
        <v>13095</v>
      </c>
      <c r="C1958" s="2" t="s">
        <v>13096</v>
      </c>
      <c r="D1958" s="2" t="s">
        <v>13097</v>
      </c>
      <c r="E1958" s="2" t="s">
        <v>13098</v>
      </c>
      <c r="F1958" s="2" t="s">
        <v>13099</v>
      </c>
      <c r="G1958" s="2" t="s">
        <v>151</v>
      </c>
      <c r="H1958" s="17">
        <v>25</v>
      </c>
      <c r="I1958" s="31">
        <f t="shared" si="192"/>
        <v>25000</v>
      </c>
      <c r="J1958" s="31">
        <f t="shared" si="193"/>
        <v>1750.0000000000002</v>
      </c>
      <c r="K1958" s="44">
        <f t="shared" si="194"/>
        <v>4.794520547945206</v>
      </c>
      <c r="L1958" s="3">
        <f t="shared" si="195"/>
        <v>354.79452054794524</v>
      </c>
      <c r="M1958" s="3">
        <f t="shared" si="196"/>
        <v>21.287671232876715</v>
      </c>
      <c r="N1958" s="67">
        <f t="shared" si="197"/>
        <v>333.50684931506851</v>
      </c>
      <c r="O1958" s="3"/>
      <c r="P1958" s="70" t="s">
        <v>18615</v>
      </c>
      <c r="Q1958" s="2" t="s">
        <v>40</v>
      </c>
      <c r="R1958" s="2" t="s">
        <v>13100</v>
      </c>
      <c r="T1958" t="s">
        <v>18666</v>
      </c>
      <c r="U1958" t="s">
        <v>18652</v>
      </c>
      <c r="V1958" s="104">
        <v>45857</v>
      </c>
      <c r="X1958" s="97"/>
      <c r="Y1958" s="75">
        <v>333.51</v>
      </c>
    </row>
    <row r="1959" spans="1:25" x14ac:dyDescent="0.25">
      <c r="A1959" s="76">
        <v>1991</v>
      </c>
      <c r="B1959" s="2" t="s">
        <v>14233</v>
      </c>
      <c r="C1959" s="2" t="s">
        <v>14234</v>
      </c>
      <c r="D1959" s="2" t="s">
        <v>14235</v>
      </c>
      <c r="E1959" s="2" t="s">
        <v>14236</v>
      </c>
      <c r="F1959" s="2" t="s">
        <v>14237</v>
      </c>
      <c r="G1959" s="2" t="s">
        <v>144</v>
      </c>
      <c r="H1959" s="17">
        <v>100</v>
      </c>
      <c r="I1959" s="31">
        <f t="shared" si="192"/>
        <v>100000</v>
      </c>
      <c r="J1959" s="31">
        <f t="shared" si="193"/>
        <v>7000.0000000000009</v>
      </c>
      <c r="K1959" s="44">
        <f t="shared" si="194"/>
        <v>19.178082191780824</v>
      </c>
      <c r="L1959" s="3">
        <f t="shared" si="195"/>
        <v>1419.178082191781</v>
      </c>
      <c r="M1959" s="3">
        <f t="shared" si="196"/>
        <v>85.150684931506859</v>
      </c>
      <c r="N1959" s="67">
        <f t="shared" si="197"/>
        <v>1334.027397260274</v>
      </c>
      <c r="O1959" s="3"/>
      <c r="P1959" s="70" t="s">
        <v>18615</v>
      </c>
      <c r="Q1959" s="2" t="s">
        <v>40</v>
      </c>
      <c r="R1959" s="2" t="s">
        <v>14238</v>
      </c>
      <c r="T1959" t="s">
        <v>18666</v>
      </c>
      <c r="U1959" t="s">
        <v>18652</v>
      </c>
      <c r="V1959" s="104">
        <v>45857</v>
      </c>
      <c r="X1959" s="97"/>
      <c r="Y1959" s="75">
        <v>1334.03</v>
      </c>
    </row>
    <row r="1960" spans="1:25" x14ac:dyDescent="0.25">
      <c r="A1960" s="76">
        <v>1992</v>
      </c>
      <c r="B1960" s="2" t="s">
        <v>270</v>
      </c>
      <c r="C1960" s="2" t="s">
        <v>271</v>
      </c>
      <c r="D1960" s="2" t="s">
        <v>272</v>
      </c>
      <c r="E1960" s="2" t="s">
        <v>273</v>
      </c>
      <c r="F1960" s="2" t="s">
        <v>274</v>
      </c>
      <c r="G1960" s="2" t="s">
        <v>275</v>
      </c>
      <c r="H1960" s="17">
        <v>25</v>
      </c>
      <c r="I1960" s="31">
        <f t="shared" si="192"/>
        <v>25000</v>
      </c>
      <c r="J1960" s="31">
        <f t="shared" si="193"/>
        <v>1750.0000000000002</v>
      </c>
      <c r="K1960" s="44">
        <f t="shared" si="194"/>
        <v>4.794520547945206</v>
      </c>
      <c r="L1960" s="3">
        <f t="shared" si="195"/>
        <v>354.79452054794524</v>
      </c>
      <c r="M1960" s="3">
        <f t="shared" si="196"/>
        <v>21.287671232876715</v>
      </c>
      <c r="N1960" s="67">
        <f t="shared" si="197"/>
        <v>333.50684931506851</v>
      </c>
      <c r="O1960" s="3"/>
      <c r="P1960" s="70" t="s">
        <v>18615</v>
      </c>
      <c r="Q1960" s="2" t="s">
        <v>40</v>
      </c>
      <c r="R1960" s="2" t="s">
        <v>276</v>
      </c>
      <c r="T1960" t="s">
        <v>18666</v>
      </c>
      <c r="U1960" t="s">
        <v>18652</v>
      </c>
      <c r="V1960" s="104">
        <v>45857</v>
      </c>
      <c r="X1960" s="97"/>
      <c r="Y1960" s="75">
        <v>333.51</v>
      </c>
    </row>
    <row r="1961" spans="1:25" x14ac:dyDescent="0.25">
      <c r="A1961" s="76">
        <v>1993</v>
      </c>
      <c r="B1961" s="2" t="s">
        <v>4866</v>
      </c>
      <c r="C1961" s="2" t="s">
        <v>4867</v>
      </c>
      <c r="D1961" s="2" t="s">
        <v>4868</v>
      </c>
      <c r="E1961" s="2" t="s">
        <v>4869</v>
      </c>
      <c r="F1961" s="2" t="s">
        <v>4870</v>
      </c>
      <c r="G1961" s="2" t="s">
        <v>687</v>
      </c>
      <c r="H1961" s="17">
        <v>25</v>
      </c>
      <c r="I1961" s="31">
        <f t="shared" si="192"/>
        <v>25000</v>
      </c>
      <c r="J1961" s="31">
        <f t="shared" si="193"/>
        <v>1750.0000000000002</v>
      </c>
      <c r="K1961" s="44">
        <f t="shared" si="194"/>
        <v>4.794520547945206</v>
      </c>
      <c r="L1961" s="3">
        <f t="shared" si="195"/>
        <v>354.79452054794524</v>
      </c>
      <c r="M1961" s="3">
        <f t="shared" si="196"/>
        <v>21.287671232876715</v>
      </c>
      <c r="N1961" s="67">
        <f t="shared" si="197"/>
        <v>333.50684931506851</v>
      </c>
      <c r="O1961" s="3"/>
      <c r="P1961" s="70" t="s">
        <v>18615</v>
      </c>
      <c r="Q1961" s="2" t="s">
        <v>40</v>
      </c>
      <c r="R1961" s="2" t="s">
        <v>4871</v>
      </c>
      <c r="T1961" t="s">
        <v>18666</v>
      </c>
      <c r="U1961" t="s">
        <v>18652</v>
      </c>
      <c r="V1961" s="104">
        <v>45857</v>
      </c>
      <c r="X1961" s="97"/>
      <c r="Y1961" s="75">
        <v>333.51</v>
      </c>
    </row>
    <row r="1962" spans="1:25" x14ac:dyDescent="0.25">
      <c r="A1962" s="76">
        <v>1994</v>
      </c>
      <c r="B1962" s="2" t="s">
        <v>7549</v>
      </c>
      <c r="C1962" s="2" t="s">
        <v>7550</v>
      </c>
      <c r="D1962" s="2" t="s">
        <v>7551</v>
      </c>
      <c r="E1962" s="2" t="s">
        <v>7552</v>
      </c>
      <c r="F1962" s="2" t="s">
        <v>7553</v>
      </c>
      <c r="G1962" s="2" t="s">
        <v>23</v>
      </c>
      <c r="H1962" s="17">
        <v>25</v>
      </c>
      <c r="I1962" s="31">
        <f t="shared" si="192"/>
        <v>25000</v>
      </c>
      <c r="J1962" s="31">
        <f t="shared" si="193"/>
        <v>1750.0000000000002</v>
      </c>
      <c r="K1962" s="44">
        <f t="shared" si="194"/>
        <v>4.794520547945206</v>
      </c>
      <c r="L1962" s="3">
        <f t="shared" si="195"/>
        <v>354.79452054794524</v>
      </c>
      <c r="M1962" s="3">
        <f t="shared" si="196"/>
        <v>21.287671232876715</v>
      </c>
      <c r="N1962" s="67">
        <f t="shared" si="197"/>
        <v>333.50684931506851</v>
      </c>
      <c r="O1962" s="3"/>
      <c r="P1962" s="70" t="s">
        <v>18615</v>
      </c>
      <c r="Q1962" s="2" t="s">
        <v>40</v>
      </c>
      <c r="R1962" s="2" t="s">
        <v>7554</v>
      </c>
      <c r="T1962" t="s">
        <v>18666</v>
      </c>
      <c r="U1962" t="s">
        <v>18652</v>
      </c>
      <c r="V1962" s="104">
        <v>45857</v>
      </c>
      <c r="X1962" s="97"/>
      <c r="Y1962" s="75">
        <v>333.51</v>
      </c>
    </row>
    <row r="1963" spans="1:25" x14ac:dyDescent="0.25">
      <c r="A1963" s="76">
        <v>1995</v>
      </c>
      <c r="B1963" s="2" t="s">
        <v>3506</v>
      </c>
      <c r="C1963" s="2" t="s">
        <v>3507</v>
      </c>
      <c r="D1963" s="2" t="s">
        <v>3508</v>
      </c>
      <c r="E1963" s="2" t="s">
        <v>3509</v>
      </c>
      <c r="F1963" s="2" t="s">
        <v>3510</v>
      </c>
      <c r="G1963" s="2" t="s">
        <v>31</v>
      </c>
      <c r="H1963" s="17">
        <v>500</v>
      </c>
      <c r="I1963" s="31">
        <f t="shared" si="192"/>
        <v>500000</v>
      </c>
      <c r="J1963" s="31">
        <f t="shared" si="193"/>
        <v>35000</v>
      </c>
      <c r="K1963" s="44">
        <f t="shared" si="194"/>
        <v>95.890410958904113</v>
      </c>
      <c r="L1963" s="3">
        <f t="shared" si="195"/>
        <v>7095.8904109589039</v>
      </c>
      <c r="M1963" s="3">
        <f t="shared" si="196"/>
        <v>425.7534246575342</v>
      </c>
      <c r="N1963" s="67">
        <f t="shared" si="197"/>
        <v>6670.1369863013697</v>
      </c>
      <c r="O1963" s="3"/>
      <c r="P1963" s="70" t="s">
        <v>18615</v>
      </c>
      <c r="Q1963" s="2" t="s">
        <v>40</v>
      </c>
      <c r="R1963" s="2" t="s">
        <v>3511</v>
      </c>
      <c r="T1963" t="s">
        <v>18666</v>
      </c>
      <c r="U1963" t="s">
        <v>18652</v>
      </c>
      <c r="V1963" s="104">
        <v>45857</v>
      </c>
      <c r="X1963" s="97"/>
      <c r="Y1963" s="75">
        <v>6670.14</v>
      </c>
    </row>
    <row r="1964" spans="1:25" x14ac:dyDescent="0.25">
      <c r="A1964" s="76">
        <v>1996</v>
      </c>
      <c r="B1964" s="2" t="s">
        <v>13972</v>
      </c>
      <c r="C1964" s="2" t="s">
        <v>13973</v>
      </c>
      <c r="D1964" s="2" t="s">
        <v>13974</v>
      </c>
      <c r="E1964" s="2" t="s">
        <v>13975</v>
      </c>
      <c r="F1964" s="2" t="s">
        <v>13976</v>
      </c>
      <c r="G1964" s="2" t="s">
        <v>31</v>
      </c>
      <c r="H1964" s="17">
        <v>200</v>
      </c>
      <c r="I1964" s="31">
        <f t="shared" si="192"/>
        <v>200000</v>
      </c>
      <c r="J1964" s="31">
        <f t="shared" si="193"/>
        <v>14000.000000000002</v>
      </c>
      <c r="K1964" s="44">
        <f t="shared" si="194"/>
        <v>38.356164383561648</v>
      </c>
      <c r="L1964" s="3">
        <f t="shared" si="195"/>
        <v>2838.3561643835619</v>
      </c>
      <c r="M1964" s="3">
        <f t="shared" si="196"/>
        <v>170.30136986301372</v>
      </c>
      <c r="N1964" s="67">
        <f t="shared" si="197"/>
        <v>2668.0547945205481</v>
      </c>
      <c r="O1964" s="3"/>
      <c r="P1964" s="70" t="s">
        <v>18615</v>
      </c>
      <c r="Q1964" s="2" t="s">
        <v>40</v>
      </c>
      <c r="R1964" s="2" t="s">
        <v>13977</v>
      </c>
      <c r="T1964" t="s">
        <v>18666</v>
      </c>
      <c r="U1964" t="s">
        <v>18652</v>
      </c>
      <c r="V1964" s="104">
        <v>45857</v>
      </c>
      <c r="X1964" s="97"/>
      <c r="Y1964" s="75">
        <v>2668.0600000000004</v>
      </c>
    </row>
    <row r="1965" spans="1:25" x14ac:dyDescent="0.25">
      <c r="A1965" s="76">
        <v>1997</v>
      </c>
      <c r="B1965" s="2" t="s">
        <v>11790</v>
      </c>
      <c r="C1965" s="2" t="s">
        <v>11791</v>
      </c>
      <c r="D1965" s="2" t="s">
        <v>11792</v>
      </c>
      <c r="E1965" s="2" t="s">
        <v>11793</v>
      </c>
      <c r="F1965" s="2" t="s">
        <v>11794</v>
      </c>
      <c r="G1965" s="2" t="s">
        <v>381</v>
      </c>
      <c r="H1965" s="17">
        <v>25</v>
      </c>
      <c r="I1965" s="31">
        <f t="shared" si="192"/>
        <v>25000</v>
      </c>
      <c r="J1965" s="31">
        <f t="shared" si="193"/>
        <v>1750.0000000000002</v>
      </c>
      <c r="K1965" s="44">
        <f t="shared" si="194"/>
        <v>4.794520547945206</v>
      </c>
      <c r="L1965" s="3">
        <f t="shared" si="195"/>
        <v>354.79452054794524</v>
      </c>
      <c r="M1965" s="3">
        <f t="shared" si="196"/>
        <v>21.287671232876715</v>
      </c>
      <c r="N1965" s="67">
        <f t="shared" si="197"/>
        <v>333.50684931506851</v>
      </c>
      <c r="O1965" s="3"/>
      <c r="P1965" s="70" t="s">
        <v>18615</v>
      </c>
      <c r="Q1965" s="2" t="s">
        <v>40</v>
      </c>
      <c r="R1965" s="2" t="s">
        <v>11795</v>
      </c>
      <c r="T1965" t="s">
        <v>18666</v>
      </c>
      <c r="U1965" t="s">
        <v>18652</v>
      </c>
      <c r="V1965" s="104">
        <v>45857</v>
      </c>
      <c r="X1965" s="97"/>
      <c r="Y1965" s="75">
        <v>333.51</v>
      </c>
    </row>
    <row r="1966" spans="1:25" x14ac:dyDescent="0.25">
      <c r="A1966" s="76">
        <v>1998</v>
      </c>
      <c r="B1966" s="2" t="s">
        <v>5924</v>
      </c>
      <c r="C1966" s="2" t="s">
        <v>5925</v>
      </c>
      <c r="D1966" s="2" t="s">
        <v>5926</v>
      </c>
      <c r="E1966" s="2" t="s">
        <v>5927</v>
      </c>
      <c r="F1966" s="2" t="s">
        <v>5928</v>
      </c>
      <c r="G1966" s="2" t="s">
        <v>618</v>
      </c>
      <c r="H1966" s="17">
        <v>25</v>
      </c>
      <c r="I1966" s="31">
        <f t="shared" si="192"/>
        <v>25000</v>
      </c>
      <c r="J1966" s="31">
        <f t="shared" si="193"/>
        <v>1750.0000000000002</v>
      </c>
      <c r="K1966" s="44">
        <f t="shared" si="194"/>
        <v>4.794520547945206</v>
      </c>
      <c r="L1966" s="3">
        <f t="shared" si="195"/>
        <v>354.79452054794524</v>
      </c>
      <c r="M1966" s="3">
        <f t="shared" si="196"/>
        <v>21.287671232876715</v>
      </c>
      <c r="N1966" s="67">
        <f t="shared" si="197"/>
        <v>333.50684931506851</v>
      </c>
      <c r="O1966" s="3"/>
      <c r="P1966" s="70" t="s">
        <v>18615</v>
      </c>
      <c r="Q1966" s="2" t="s">
        <v>40</v>
      </c>
      <c r="R1966" s="2" t="s">
        <v>5929</v>
      </c>
      <c r="T1966" t="s">
        <v>18666</v>
      </c>
      <c r="U1966" t="s">
        <v>18652</v>
      </c>
      <c r="V1966" s="104">
        <v>45857</v>
      </c>
      <c r="X1966" s="97"/>
      <c r="Y1966" s="75">
        <v>333.51</v>
      </c>
    </row>
    <row r="1967" spans="1:25" x14ac:dyDescent="0.25">
      <c r="A1967" s="76">
        <v>1999</v>
      </c>
      <c r="B1967" s="2" t="s">
        <v>2609</v>
      </c>
      <c r="C1967" s="2" t="s">
        <v>2575</v>
      </c>
      <c r="D1967" s="2" t="s">
        <v>2576</v>
      </c>
      <c r="E1967" s="2" t="s">
        <v>2610</v>
      </c>
      <c r="F1967" s="2" t="s">
        <v>2611</v>
      </c>
      <c r="G1967" s="2" t="s">
        <v>587</v>
      </c>
      <c r="H1967" s="17">
        <v>25</v>
      </c>
      <c r="I1967" s="31">
        <f t="shared" si="192"/>
        <v>25000</v>
      </c>
      <c r="J1967" s="31">
        <f t="shared" si="193"/>
        <v>1750.0000000000002</v>
      </c>
      <c r="K1967" s="44">
        <f t="shared" si="194"/>
        <v>4.794520547945206</v>
      </c>
      <c r="L1967" s="3">
        <f t="shared" si="195"/>
        <v>354.79452054794524</v>
      </c>
      <c r="M1967" s="3">
        <f t="shared" si="196"/>
        <v>21.287671232876715</v>
      </c>
      <c r="N1967" s="67">
        <f t="shared" si="197"/>
        <v>333.50684931506851</v>
      </c>
      <c r="O1967" s="3"/>
      <c r="P1967" s="70" t="s">
        <v>18615</v>
      </c>
      <c r="Q1967" s="2" t="s">
        <v>40</v>
      </c>
      <c r="R1967" s="2" t="s">
        <v>2612</v>
      </c>
      <c r="T1967" t="s">
        <v>18666</v>
      </c>
      <c r="U1967" t="s">
        <v>18652</v>
      </c>
      <c r="V1967" s="104">
        <v>45857</v>
      </c>
      <c r="X1967" s="97"/>
      <c r="Y1967" s="75">
        <v>333.51</v>
      </c>
    </row>
    <row r="1968" spans="1:25" x14ac:dyDescent="0.25">
      <c r="A1968" s="76">
        <v>2000</v>
      </c>
      <c r="B1968" s="2" t="s">
        <v>6094</v>
      </c>
      <c r="C1968" s="2" t="s">
        <v>6095</v>
      </c>
      <c r="D1968" s="2" t="s">
        <v>6096</v>
      </c>
      <c r="E1968" s="2" t="s">
        <v>6097</v>
      </c>
      <c r="F1968" s="2" t="s">
        <v>6098</v>
      </c>
      <c r="G1968" s="2" t="s">
        <v>282</v>
      </c>
      <c r="H1968" s="17">
        <v>100</v>
      </c>
      <c r="I1968" s="31">
        <f t="shared" si="192"/>
        <v>100000</v>
      </c>
      <c r="J1968" s="31">
        <f t="shared" si="193"/>
        <v>7000.0000000000009</v>
      </c>
      <c r="K1968" s="44">
        <f t="shared" si="194"/>
        <v>19.178082191780824</v>
      </c>
      <c r="L1968" s="3">
        <f t="shared" si="195"/>
        <v>1419.178082191781</v>
      </c>
      <c r="M1968" s="3">
        <f t="shared" si="196"/>
        <v>85.150684931506859</v>
      </c>
      <c r="N1968" s="67">
        <f t="shared" si="197"/>
        <v>1334.027397260274</v>
      </c>
      <c r="O1968" s="3"/>
      <c r="P1968" s="70" t="s">
        <v>18615</v>
      </c>
      <c r="Q1968" s="2" t="s">
        <v>40</v>
      </c>
      <c r="R1968" s="2" t="s">
        <v>6099</v>
      </c>
      <c r="T1968" t="s">
        <v>18666</v>
      </c>
      <c r="U1968" t="s">
        <v>18652</v>
      </c>
      <c r="V1968" s="104">
        <v>45857</v>
      </c>
      <c r="X1968" s="97"/>
      <c r="Y1968" s="75">
        <v>1334.03</v>
      </c>
    </row>
    <row r="1969" spans="1:25" x14ac:dyDescent="0.25">
      <c r="A1969" s="76">
        <v>2001</v>
      </c>
      <c r="B1969" s="2" t="s">
        <v>11454</v>
      </c>
      <c r="C1969" s="2" t="s">
        <v>11455</v>
      </c>
      <c r="D1969" s="2" t="s">
        <v>11456</v>
      </c>
      <c r="E1969" s="2" t="s">
        <v>11457</v>
      </c>
      <c r="F1969" s="2" t="s">
        <v>11458</v>
      </c>
      <c r="G1969" s="2" t="s">
        <v>328</v>
      </c>
      <c r="H1969" s="17">
        <v>300</v>
      </c>
      <c r="I1969" s="31">
        <f t="shared" si="192"/>
        <v>300000</v>
      </c>
      <c r="J1969" s="31">
        <f t="shared" si="193"/>
        <v>21000.000000000004</v>
      </c>
      <c r="K1969" s="44">
        <f t="shared" si="194"/>
        <v>57.534246575342479</v>
      </c>
      <c r="L1969" s="3">
        <f t="shared" si="195"/>
        <v>4257.5342465753438</v>
      </c>
      <c r="M1969" s="3">
        <f t="shared" si="196"/>
        <v>255.45205479452062</v>
      </c>
      <c r="N1969" s="67">
        <f t="shared" si="197"/>
        <v>4002.082191780823</v>
      </c>
      <c r="O1969" s="3"/>
      <c r="P1969" s="70" t="s">
        <v>18615</v>
      </c>
      <c r="Q1969" s="2" t="s">
        <v>40</v>
      </c>
      <c r="R1969" s="2" t="s">
        <v>11459</v>
      </c>
      <c r="T1969" t="s">
        <v>18666</v>
      </c>
      <c r="U1969" t="s">
        <v>18652</v>
      </c>
      <c r="V1969" s="104">
        <v>45857</v>
      </c>
      <c r="X1969" s="97"/>
      <c r="Y1969" s="75">
        <v>4002.09</v>
      </c>
    </row>
    <row r="1970" spans="1:25" x14ac:dyDescent="0.25">
      <c r="A1970" s="76">
        <v>2002</v>
      </c>
      <c r="B1970" s="2" t="s">
        <v>4169</v>
      </c>
      <c r="C1970" s="2" t="s">
        <v>4170</v>
      </c>
      <c r="D1970" s="2" t="s">
        <v>4171</v>
      </c>
      <c r="E1970" s="2" t="s">
        <v>4172</v>
      </c>
      <c r="F1970" s="2" t="s">
        <v>4173</v>
      </c>
      <c r="G1970" s="2" t="s">
        <v>166</v>
      </c>
      <c r="H1970" s="17">
        <v>30</v>
      </c>
      <c r="I1970" s="31">
        <f t="shared" si="192"/>
        <v>30000</v>
      </c>
      <c r="J1970" s="31">
        <f t="shared" si="193"/>
        <v>2100</v>
      </c>
      <c r="K1970" s="44">
        <f t="shared" si="194"/>
        <v>5.7534246575342465</v>
      </c>
      <c r="L1970" s="3">
        <f t="shared" si="195"/>
        <v>425.75342465753425</v>
      </c>
      <c r="M1970" s="3">
        <f t="shared" si="196"/>
        <v>25.545205479452054</v>
      </c>
      <c r="N1970" s="67">
        <f t="shared" si="197"/>
        <v>400.20821917808217</v>
      </c>
      <c r="O1970" s="3"/>
      <c r="P1970" s="70" t="s">
        <v>18615</v>
      </c>
      <c r="Q1970" s="2" t="s">
        <v>40</v>
      </c>
      <c r="R1970" s="2" t="s">
        <v>4174</v>
      </c>
      <c r="T1970" t="s">
        <v>18666</v>
      </c>
      <c r="U1970" t="s">
        <v>18652</v>
      </c>
      <c r="V1970" s="104">
        <v>45857</v>
      </c>
      <c r="X1970" s="97"/>
      <c r="Y1970" s="75">
        <v>400.21</v>
      </c>
    </row>
    <row r="1971" spans="1:25" x14ac:dyDescent="0.25">
      <c r="A1971" s="76">
        <v>2003</v>
      </c>
      <c r="B1971" s="2" t="s">
        <v>6041</v>
      </c>
      <c r="C1971" s="2" t="s">
        <v>6042</v>
      </c>
      <c r="D1971" s="2" t="s">
        <v>6043</v>
      </c>
      <c r="E1971" s="2" t="s">
        <v>6044</v>
      </c>
      <c r="F1971" s="2" t="s">
        <v>6045</v>
      </c>
      <c r="G1971" s="2" t="s">
        <v>186</v>
      </c>
      <c r="H1971" s="17">
        <v>25</v>
      </c>
      <c r="I1971" s="31">
        <f t="shared" si="192"/>
        <v>25000</v>
      </c>
      <c r="J1971" s="31">
        <f t="shared" si="193"/>
        <v>1750.0000000000002</v>
      </c>
      <c r="K1971" s="44">
        <f t="shared" si="194"/>
        <v>4.794520547945206</v>
      </c>
      <c r="L1971" s="3">
        <f t="shared" si="195"/>
        <v>354.79452054794524</v>
      </c>
      <c r="M1971" s="3">
        <f t="shared" si="196"/>
        <v>21.287671232876715</v>
      </c>
      <c r="N1971" s="67">
        <f t="shared" si="197"/>
        <v>333.50684931506851</v>
      </c>
      <c r="O1971" s="3"/>
      <c r="P1971" s="70" t="s">
        <v>18615</v>
      </c>
      <c r="Q1971" s="2" t="s">
        <v>40</v>
      </c>
      <c r="R1971" s="2" t="s">
        <v>6046</v>
      </c>
      <c r="T1971" t="s">
        <v>18666</v>
      </c>
      <c r="U1971" t="s">
        <v>18652</v>
      </c>
      <c r="V1971" s="104">
        <v>45857</v>
      </c>
      <c r="X1971" s="97"/>
      <c r="Y1971" s="75">
        <v>333.51</v>
      </c>
    </row>
    <row r="1972" spans="1:25" x14ac:dyDescent="0.25">
      <c r="A1972" s="76">
        <v>2004</v>
      </c>
      <c r="B1972" s="2" t="s">
        <v>13295</v>
      </c>
      <c r="C1972" s="2" t="s">
        <v>13296</v>
      </c>
      <c r="D1972" s="2" t="s">
        <v>13297</v>
      </c>
      <c r="E1972" s="2" t="s">
        <v>13298</v>
      </c>
      <c r="F1972" s="2" t="s">
        <v>13299</v>
      </c>
      <c r="G1972" s="2" t="s">
        <v>31</v>
      </c>
      <c r="H1972" s="17">
        <v>30</v>
      </c>
      <c r="I1972" s="31">
        <f t="shared" si="192"/>
        <v>30000</v>
      </c>
      <c r="J1972" s="31">
        <f t="shared" si="193"/>
        <v>2100</v>
      </c>
      <c r="K1972" s="44">
        <f t="shared" si="194"/>
        <v>5.7534246575342465</v>
      </c>
      <c r="L1972" s="3">
        <f t="shared" si="195"/>
        <v>425.75342465753425</v>
      </c>
      <c r="M1972" s="3">
        <f t="shared" si="196"/>
        <v>25.545205479452054</v>
      </c>
      <c r="N1972" s="67">
        <f t="shared" si="197"/>
        <v>400.20821917808217</v>
      </c>
      <c r="O1972" s="3"/>
      <c r="P1972" s="70" t="s">
        <v>18615</v>
      </c>
      <c r="Q1972" s="2" t="s">
        <v>40</v>
      </c>
      <c r="R1972" s="2" t="s">
        <v>13300</v>
      </c>
      <c r="T1972" t="s">
        <v>18666</v>
      </c>
      <c r="U1972" t="s">
        <v>18652</v>
      </c>
      <c r="V1972" s="104">
        <v>45857</v>
      </c>
      <c r="X1972" s="97"/>
      <c r="Y1972" s="75">
        <v>400.21</v>
      </c>
    </row>
    <row r="1973" spans="1:25" x14ac:dyDescent="0.25">
      <c r="A1973" s="76">
        <v>2005</v>
      </c>
      <c r="B1973" s="2" t="s">
        <v>14952</v>
      </c>
      <c r="C1973" s="2" t="s">
        <v>14953</v>
      </c>
      <c r="D1973" s="2" t="s">
        <v>14954</v>
      </c>
      <c r="E1973" s="2" t="s">
        <v>14955</v>
      </c>
      <c r="F1973" s="2" t="s">
        <v>11310</v>
      </c>
      <c r="G1973" s="2" t="s">
        <v>31</v>
      </c>
      <c r="H1973" s="17">
        <v>25</v>
      </c>
      <c r="I1973" s="31">
        <f t="shared" si="192"/>
        <v>25000</v>
      </c>
      <c r="J1973" s="31">
        <f t="shared" si="193"/>
        <v>1750.0000000000002</v>
      </c>
      <c r="K1973" s="44">
        <f t="shared" si="194"/>
        <v>4.794520547945206</v>
      </c>
      <c r="L1973" s="3">
        <f t="shared" si="195"/>
        <v>354.79452054794524</v>
      </c>
      <c r="M1973" s="3">
        <f t="shared" si="196"/>
        <v>21.287671232876715</v>
      </c>
      <c r="N1973" s="67">
        <f t="shared" si="197"/>
        <v>333.50684931506851</v>
      </c>
      <c r="O1973" s="3"/>
      <c r="P1973" s="70" t="s">
        <v>18615</v>
      </c>
      <c r="Q1973" s="2" t="s">
        <v>40</v>
      </c>
      <c r="R1973" s="2" t="s">
        <v>14956</v>
      </c>
      <c r="T1973" t="s">
        <v>18666</v>
      </c>
      <c r="U1973" t="s">
        <v>18652</v>
      </c>
      <c r="V1973" s="104">
        <v>45857</v>
      </c>
      <c r="X1973" s="97"/>
      <c r="Y1973" s="75">
        <v>333.51</v>
      </c>
    </row>
    <row r="1974" spans="1:25" x14ac:dyDescent="0.25">
      <c r="A1974" s="76">
        <v>2006</v>
      </c>
      <c r="B1974" s="2" t="s">
        <v>10697</v>
      </c>
      <c r="C1974" s="2" t="s">
        <v>10698</v>
      </c>
      <c r="D1974" s="2" t="s">
        <v>10699</v>
      </c>
      <c r="E1974" s="2" t="s">
        <v>10700</v>
      </c>
      <c r="F1974" s="2" t="s">
        <v>10701</v>
      </c>
      <c r="G1974" s="2" t="s">
        <v>1136</v>
      </c>
      <c r="H1974" s="17">
        <v>25</v>
      </c>
      <c r="I1974" s="31">
        <f t="shared" si="192"/>
        <v>25000</v>
      </c>
      <c r="J1974" s="31">
        <f t="shared" si="193"/>
        <v>1750.0000000000002</v>
      </c>
      <c r="K1974" s="44">
        <f t="shared" si="194"/>
        <v>4.794520547945206</v>
      </c>
      <c r="L1974" s="3">
        <f t="shared" si="195"/>
        <v>354.79452054794524</v>
      </c>
      <c r="M1974" s="3">
        <f t="shared" si="196"/>
        <v>21.287671232876715</v>
      </c>
      <c r="N1974" s="67">
        <f t="shared" si="197"/>
        <v>333.50684931506851</v>
      </c>
      <c r="O1974" s="3"/>
      <c r="P1974" s="70" t="s">
        <v>18615</v>
      </c>
      <c r="Q1974" s="2" t="s">
        <v>40</v>
      </c>
      <c r="R1974" s="2" t="s">
        <v>10702</v>
      </c>
      <c r="T1974" t="s">
        <v>18666</v>
      </c>
      <c r="U1974" t="s">
        <v>18652</v>
      </c>
      <c r="V1974" s="104">
        <v>45857</v>
      </c>
      <c r="X1974" s="97"/>
      <c r="Y1974" s="75">
        <v>333.51</v>
      </c>
    </row>
    <row r="1975" spans="1:25" x14ac:dyDescent="0.25">
      <c r="A1975" s="76">
        <v>2007</v>
      </c>
      <c r="B1975" s="2" t="s">
        <v>2102</v>
      </c>
      <c r="C1975" s="2" t="s">
        <v>2103</v>
      </c>
      <c r="D1975" s="2" t="s">
        <v>2104</v>
      </c>
      <c r="E1975" s="2" t="s">
        <v>2105</v>
      </c>
      <c r="F1975" s="2" t="s">
        <v>2106</v>
      </c>
      <c r="G1975" s="2" t="s">
        <v>31</v>
      </c>
      <c r="H1975" s="17">
        <v>30</v>
      </c>
      <c r="I1975" s="31">
        <f t="shared" si="192"/>
        <v>30000</v>
      </c>
      <c r="J1975" s="31">
        <f t="shared" si="193"/>
        <v>2100</v>
      </c>
      <c r="K1975" s="44">
        <f t="shared" si="194"/>
        <v>5.7534246575342465</v>
      </c>
      <c r="L1975" s="3">
        <f t="shared" si="195"/>
        <v>425.75342465753425</v>
      </c>
      <c r="M1975" s="3">
        <f t="shared" si="196"/>
        <v>25.545205479452054</v>
      </c>
      <c r="N1975" s="67">
        <f t="shared" si="197"/>
        <v>400.20821917808217</v>
      </c>
      <c r="O1975" s="3"/>
      <c r="P1975" s="70" t="s">
        <v>18615</v>
      </c>
      <c r="Q1975" s="2" t="s">
        <v>40</v>
      </c>
      <c r="R1975" s="2" t="s">
        <v>2107</v>
      </c>
      <c r="T1975" t="s">
        <v>18666</v>
      </c>
      <c r="U1975" t="s">
        <v>18652</v>
      </c>
      <c r="V1975" s="104">
        <v>45857</v>
      </c>
      <c r="X1975" s="97"/>
      <c r="Y1975" s="75">
        <v>400.21</v>
      </c>
    </row>
    <row r="1976" spans="1:25" x14ac:dyDescent="0.25">
      <c r="A1976" s="76">
        <v>2008</v>
      </c>
      <c r="B1976" s="2" t="s">
        <v>10383</v>
      </c>
      <c r="C1976" s="2" t="s">
        <v>10384</v>
      </c>
      <c r="D1976" s="2" t="s">
        <v>10385</v>
      </c>
      <c r="E1976" s="2" t="s">
        <v>10386</v>
      </c>
      <c r="F1976" s="2" t="s">
        <v>10387</v>
      </c>
      <c r="G1976" s="2" t="s">
        <v>31</v>
      </c>
      <c r="H1976" s="17">
        <v>500</v>
      </c>
      <c r="I1976" s="31">
        <f t="shared" si="192"/>
        <v>500000</v>
      </c>
      <c r="J1976" s="31">
        <f t="shared" si="193"/>
        <v>35000</v>
      </c>
      <c r="K1976" s="44">
        <f t="shared" si="194"/>
        <v>95.890410958904113</v>
      </c>
      <c r="L1976" s="3">
        <f t="shared" si="195"/>
        <v>7095.8904109589039</v>
      </c>
      <c r="M1976" s="3">
        <f t="shared" si="196"/>
        <v>425.7534246575342</v>
      </c>
      <c r="N1976" s="67">
        <f t="shared" si="197"/>
        <v>6670.1369863013697</v>
      </c>
      <c r="O1976" s="3"/>
      <c r="P1976" s="70" t="s">
        <v>18615</v>
      </c>
      <c r="Q1976" s="2" t="s">
        <v>40</v>
      </c>
      <c r="R1976" s="2" t="s">
        <v>10388</v>
      </c>
      <c r="T1976" t="s">
        <v>18666</v>
      </c>
      <c r="U1976" t="s">
        <v>18652</v>
      </c>
      <c r="V1976" s="104">
        <v>45857</v>
      </c>
      <c r="X1976" s="97"/>
      <c r="Y1976" s="75">
        <v>6670.14</v>
      </c>
    </row>
    <row r="1977" spans="1:25" x14ac:dyDescent="0.25">
      <c r="A1977" s="76">
        <v>2009</v>
      </c>
      <c r="B1977" s="2" t="s">
        <v>15618</v>
      </c>
      <c r="C1977" s="2" t="s">
        <v>15619</v>
      </c>
      <c r="D1977" s="2" t="s">
        <v>15620</v>
      </c>
      <c r="E1977" s="2" t="s">
        <v>15621</v>
      </c>
      <c r="F1977" s="2" t="s">
        <v>15622</v>
      </c>
      <c r="G1977" s="2" t="s">
        <v>750</v>
      </c>
      <c r="H1977" s="17">
        <v>25</v>
      </c>
      <c r="I1977" s="31">
        <f t="shared" si="192"/>
        <v>25000</v>
      </c>
      <c r="J1977" s="31">
        <f t="shared" si="193"/>
        <v>1750.0000000000002</v>
      </c>
      <c r="K1977" s="44">
        <f t="shared" si="194"/>
        <v>4.794520547945206</v>
      </c>
      <c r="L1977" s="3">
        <f t="shared" si="195"/>
        <v>354.79452054794524</v>
      </c>
      <c r="M1977" s="3">
        <f t="shared" si="196"/>
        <v>21.287671232876715</v>
      </c>
      <c r="N1977" s="67">
        <f t="shared" si="197"/>
        <v>333.50684931506851</v>
      </c>
      <c r="O1977" s="3"/>
      <c r="P1977" s="70" t="s">
        <v>18615</v>
      </c>
      <c r="Q1977" s="2" t="s">
        <v>40</v>
      </c>
      <c r="R1977" s="2" t="s">
        <v>15623</v>
      </c>
      <c r="T1977" t="s">
        <v>18666</v>
      </c>
      <c r="U1977" t="s">
        <v>18652</v>
      </c>
      <c r="V1977" s="104">
        <v>45857</v>
      </c>
      <c r="X1977" s="97"/>
      <c r="Y1977" s="75">
        <v>333.51</v>
      </c>
    </row>
    <row r="1978" spans="1:25" x14ac:dyDescent="0.25">
      <c r="A1978" s="76">
        <v>2010</v>
      </c>
      <c r="B1978" s="2" t="s">
        <v>8753</v>
      </c>
      <c r="C1978" s="2" t="s">
        <v>8754</v>
      </c>
      <c r="D1978" s="2" t="s">
        <v>8755</v>
      </c>
      <c r="E1978" s="2" t="s">
        <v>8756</v>
      </c>
      <c r="F1978" s="2" t="s">
        <v>8757</v>
      </c>
      <c r="G1978" s="2" t="s">
        <v>362</v>
      </c>
      <c r="H1978" s="17">
        <v>65</v>
      </c>
      <c r="I1978" s="31">
        <f t="shared" si="192"/>
        <v>65000</v>
      </c>
      <c r="J1978" s="31">
        <f t="shared" si="193"/>
        <v>4550</v>
      </c>
      <c r="K1978" s="44">
        <f t="shared" si="194"/>
        <v>12.465753424657533</v>
      </c>
      <c r="L1978" s="3">
        <f t="shared" si="195"/>
        <v>922.46575342465746</v>
      </c>
      <c r="M1978" s="3">
        <f t="shared" si="196"/>
        <v>55.347945205479448</v>
      </c>
      <c r="N1978" s="67">
        <f t="shared" si="197"/>
        <v>867.11780821917796</v>
      </c>
      <c r="O1978" s="3"/>
      <c r="P1978" s="70" t="s">
        <v>18615</v>
      </c>
      <c r="Q1978" s="2" t="s">
        <v>40</v>
      </c>
      <c r="R1978" s="2" t="s">
        <v>8758</v>
      </c>
      <c r="T1978" t="s">
        <v>18666</v>
      </c>
      <c r="U1978" t="s">
        <v>18652</v>
      </c>
      <c r="V1978" s="104">
        <v>45857</v>
      </c>
      <c r="X1978" s="97"/>
      <c r="Y1978" s="75">
        <v>867.12</v>
      </c>
    </row>
    <row r="1979" spans="1:25" x14ac:dyDescent="0.25">
      <c r="A1979" s="76">
        <v>2011</v>
      </c>
      <c r="B1979" s="2" t="s">
        <v>13390</v>
      </c>
      <c r="C1979" s="2" t="s">
        <v>13391</v>
      </c>
      <c r="D1979" s="2" t="s">
        <v>13392</v>
      </c>
      <c r="E1979" s="2" t="s">
        <v>13393</v>
      </c>
      <c r="F1979" s="2" t="s">
        <v>13394</v>
      </c>
      <c r="G1979" s="2" t="s">
        <v>39</v>
      </c>
      <c r="H1979" s="17">
        <v>26</v>
      </c>
      <c r="I1979" s="31">
        <f t="shared" si="192"/>
        <v>26000</v>
      </c>
      <c r="J1979" s="31">
        <f t="shared" si="193"/>
        <v>1820.0000000000002</v>
      </c>
      <c r="K1979" s="44">
        <f t="shared" si="194"/>
        <v>4.9863013698630141</v>
      </c>
      <c r="L1979" s="3">
        <f t="shared" si="195"/>
        <v>368.98630136986304</v>
      </c>
      <c r="M1979" s="3">
        <f t="shared" si="196"/>
        <v>22.139178082191783</v>
      </c>
      <c r="N1979" s="67">
        <f t="shared" si="197"/>
        <v>346.84712328767125</v>
      </c>
      <c r="O1979" s="3"/>
      <c r="P1979" s="70" t="s">
        <v>18615</v>
      </c>
      <c r="Q1979" s="2" t="s">
        <v>40</v>
      </c>
      <c r="R1979" s="2" t="s">
        <v>13395</v>
      </c>
      <c r="T1979" t="s">
        <v>18666</v>
      </c>
      <c r="U1979" t="s">
        <v>18652</v>
      </c>
      <c r="V1979" s="104">
        <v>45857</v>
      </c>
      <c r="X1979" s="97"/>
      <c r="Y1979" s="75">
        <v>346.84999999999997</v>
      </c>
    </row>
    <row r="1980" spans="1:25" x14ac:dyDescent="0.25">
      <c r="A1980" s="76">
        <v>2012</v>
      </c>
      <c r="B1980" s="2" t="s">
        <v>1559</v>
      </c>
      <c r="C1980" s="2" t="s">
        <v>1560</v>
      </c>
      <c r="D1980" s="2" t="s">
        <v>1561</v>
      </c>
      <c r="E1980" s="2" t="s">
        <v>1562</v>
      </c>
      <c r="F1980" s="2" t="s">
        <v>1563</v>
      </c>
      <c r="G1980" s="2" t="s">
        <v>835</v>
      </c>
      <c r="H1980" s="17">
        <v>1000</v>
      </c>
      <c r="I1980" s="31">
        <f t="shared" si="192"/>
        <v>1000000</v>
      </c>
      <c r="J1980" s="31">
        <f t="shared" si="193"/>
        <v>70000</v>
      </c>
      <c r="K1980" s="44">
        <f t="shared" si="194"/>
        <v>191.78082191780823</v>
      </c>
      <c r="L1980" s="3">
        <f t="shared" si="195"/>
        <v>14191.780821917808</v>
      </c>
      <c r="M1980" s="3">
        <f t="shared" si="196"/>
        <v>851.50684931506839</v>
      </c>
      <c r="N1980" s="67">
        <f t="shared" si="197"/>
        <v>13340.273972602739</v>
      </c>
      <c r="O1980" s="3"/>
      <c r="P1980" s="70" t="s">
        <v>18615</v>
      </c>
      <c r="Q1980" s="2" t="s">
        <v>40</v>
      </c>
      <c r="R1980" s="2" t="s">
        <v>1564</v>
      </c>
      <c r="T1980" t="s">
        <v>18666</v>
      </c>
      <c r="U1980" t="s">
        <v>18652</v>
      </c>
      <c r="V1980" s="104">
        <v>45857</v>
      </c>
      <c r="X1980" s="97"/>
      <c r="Y1980" s="75">
        <v>13340.28</v>
      </c>
    </row>
    <row r="1981" spans="1:25" x14ac:dyDescent="0.25">
      <c r="A1981" s="76">
        <v>2013</v>
      </c>
      <c r="B1981" s="2" t="s">
        <v>12669</v>
      </c>
      <c r="C1981" s="2" t="s">
        <v>12670</v>
      </c>
      <c r="D1981" s="2" t="s">
        <v>12671</v>
      </c>
      <c r="E1981" s="2" t="s">
        <v>12672</v>
      </c>
      <c r="F1981" s="2" t="s">
        <v>12673</v>
      </c>
      <c r="G1981" s="2" t="s">
        <v>193</v>
      </c>
      <c r="H1981" s="17">
        <v>25</v>
      </c>
      <c r="I1981" s="31">
        <f t="shared" si="192"/>
        <v>25000</v>
      </c>
      <c r="J1981" s="31">
        <f t="shared" si="193"/>
        <v>1750.0000000000002</v>
      </c>
      <c r="K1981" s="44">
        <f t="shared" si="194"/>
        <v>4.794520547945206</v>
      </c>
      <c r="L1981" s="3">
        <f t="shared" si="195"/>
        <v>354.79452054794524</v>
      </c>
      <c r="M1981" s="3">
        <f t="shared" si="196"/>
        <v>21.287671232876715</v>
      </c>
      <c r="N1981" s="67">
        <f t="shared" si="197"/>
        <v>333.50684931506851</v>
      </c>
      <c r="O1981" s="3"/>
      <c r="P1981" s="70" t="s">
        <v>18615</v>
      </c>
      <c r="Q1981" s="2" t="s">
        <v>40</v>
      </c>
      <c r="R1981" s="2" t="s">
        <v>12674</v>
      </c>
      <c r="T1981" t="s">
        <v>18666</v>
      </c>
      <c r="U1981" t="s">
        <v>18652</v>
      </c>
      <c r="V1981" s="104">
        <v>45857</v>
      </c>
      <c r="X1981" s="97"/>
      <c r="Y1981" s="75">
        <v>333.51</v>
      </c>
    </row>
    <row r="1982" spans="1:25" x14ac:dyDescent="0.25">
      <c r="A1982" s="76">
        <v>2014</v>
      </c>
      <c r="B1982" s="2" t="s">
        <v>12306</v>
      </c>
      <c r="C1982" s="2" t="s">
        <v>12307</v>
      </c>
      <c r="D1982" s="2" t="s">
        <v>12308</v>
      </c>
      <c r="E1982" s="2" t="s">
        <v>12309</v>
      </c>
      <c r="F1982" s="2" t="s">
        <v>12310</v>
      </c>
      <c r="G1982" s="2" t="s">
        <v>61</v>
      </c>
      <c r="H1982" s="17">
        <v>30</v>
      </c>
      <c r="I1982" s="31">
        <f t="shared" si="192"/>
        <v>30000</v>
      </c>
      <c r="J1982" s="31">
        <f t="shared" si="193"/>
        <v>2100</v>
      </c>
      <c r="K1982" s="44">
        <f t="shared" si="194"/>
        <v>5.7534246575342465</v>
      </c>
      <c r="L1982" s="3">
        <f t="shared" si="195"/>
        <v>425.75342465753425</v>
      </c>
      <c r="M1982" s="3">
        <f t="shared" si="196"/>
        <v>25.545205479452054</v>
      </c>
      <c r="N1982" s="67">
        <f t="shared" si="197"/>
        <v>400.20821917808217</v>
      </c>
      <c r="O1982" s="3"/>
      <c r="P1982" s="70" t="s">
        <v>18615</v>
      </c>
      <c r="Q1982" s="2" t="s">
        <v>40</v>
      </c>
      <c r="R1982" s="2" t="s">
        <v>12311</v>
      </c>
      <c r="T1982" t="s">
        <v>18666</v>
      </c>
      <c r="U1982" t="s">
        <v>18652</v>
      </c>
      <c r="V1982" s="104">
        <v>45857</v>
      </c>
      <c r="X1982" s="97"/>
      <c r="Y1982" s="75">
        <v>400.21</v>
      </c>
    </row>
    <row r="1983" spans="1:25" x14ac:dyDescent="0.25">
      <c r="A1983" s="76">
        <v>2015</v>
      </c>
      <c r="B1983" s="2" t="s">
        <v>11915</v>
      </c>
      <c r="C1983" s="2" t="s">
        <v>11916</v>
      </c>
      <c r="D1983" s="2" t="s">
        <v>11917</v>
      </c>
      <c r="E1983" s="2" t="s">
        <v>11918</v>
      </c>
      <c r="F1983" s="2" t="s">
        <v>11919</v>
      </c>
      <c r="G1983" s="2" t="s">
        <v>23</v>
      </c>
      <c r="H1983" s="17">
        <v>25</v>
      </c>
      <c r="I1983" s="31">
        <f t="shared" si="192"/>
        <v>25000</v>
      </c>
      <c r="J1983" s="31">
        <f t="shared" si="193"/>
        <v>1750.0000000000002</v>
      </c>
      <c r="K1983" s="44">
        <f t="shared" si="194"/>
        <v>4.794520547945206</v>
      </c>
      <c r="L1983" s="3">
        <f t="shared" si="195"/>
        <v>354.79452054794524</v>
      </c>
      <c r="M1983" s="3">
        <f t="shared" si="196"/>
        <v>21.287671232876715</v>
      </c>
      <c r="N1983" s="67">
        <f t="shared" si="197"/>
        <v>333.50684931506851</v>
      </c>
      <c r="O1983" s="3"/>
      <c r="P1983" s="70" t="s">
        <v>18615</v>
      </c>
      <c r="Q1983" s="2" t="s">
        <v>40</v>
      </c>
      <c r="R1983" s="2" t="s">
        <v>11920</v>
      </c>
      <c r="T1983" t="s">
        <v>18666</v>
      </c>
      <c r="U1983" t="s">
        <v>18652</v>
      </c>
      <c r="V1983" s="104">
        <v>45857</v>
      </c>
      <c r="X1983" s="97"/>
      <c r="Y1983" s="75">
        <v>333.51</v>
      </c>
    </row>
    <row r="1984" spans="1:25" x14ac:dyDescent="0.25">
      <c r="A1984" s="76">
        <v>2016</v>
      </c>
      <c r="B1984" s="2" t="s">
        <v>2406</v>
      </c>
      <c r="C1984" s="2" t="s">
        <v>2371</v>
      </c>
      <c r="D1984" s="2" t="s">
        <v>2372</v>
      </c>
      <c r="E1984" s="2" t="s">
        <v>2407</v>
      </c>
      <c r="F1984" s="2" t="s">
        <v>2408</v>
      </c>
      <c r="G1984" s="2" t="s">
        <v>750</v>
      </c>
      <c r="H1984" s="17">
        <v>25</v>
      </c>
      <c r="I1984" s="31">
        <f t="shared" si="192"/>
        <v>25000</v>
      </c>
      <c r="J1984" s="31">
        <f t="shared" si="193"/>
        <v>1750.0000000000002</v>
      </c>
      <c r="K1984" s="44">
        <f t="shared" si="194"/>
        <v>4.794520547945206</v>
      </c>
      <c r="L1984" s="3">
        <f t="shared" si="195"/>
        <v>354.79452054794524</v>
      </c>
      <c r="M1984" s="3">
        <f t="shared" si="196"/>
        <v>21.287671232876715</v>
      </c>
      <c r="N1984" s="67">
        <f t="shared" si="197"/>
        <v>333.50684931506851</v>
      </c>
      <c r="O1984" s="3"/>
      <c r="P1984" s="70" t="s">
        <v>18615</v>
      </c>
      <c r="Q1984" s="2" t="s">
        <v>40</v>
      </c>
      <c r="R1984" s="2" t="s">
        <v>2409</v>
      </c>
      <c r="T1984" t="s">
        <v>18666</v>
      </c>
      <c r="U1984" t="s">
        <v>18652</v>
      </c>
      <c r="V1984" s="104">
        <v>45857</v>
      </c>
      <c r="X1984" s="97"/>
      <c r="Y1984" s="75">
        <v>333.51</v>
      </c>
    </row>
    <row r="1985" spans="1:25" x14ac:dyDescent="0.25">
      <c r="A1985" s="76">
        <v>2017</v>
      </c>
      <c r="B1985" s="2" t="s">
        <v>12417</v>
      </c>
      <c r="C1985" s="2" t="s">
        <v>12418</v>
      </c>
      <c r="D1985" s="2" t="s">
        <v>12419</v>
      </c>
      <c r="E1985" s="2" t="s">
        <v>12420</v>
      </c>
      <c r="F1985" s="2" t="s">
        <v>12421</v>
      </c>
      <c r="G1985" s="2" t="s">
        <v>876</v>
      </c>
      <c r="H1985" s="17">
        <v>25</v>
      </c>
      <c r="I1985" s="31">
        <f t="shared" si="192"/>
        <v>25000</v>
      </c>
      <c r="J1985" s="31">
        <f t="shared" si="193"/>
        <v>1750.0000000000002</v>
      </c>
      <c r="K1985" s="44">
        <f t="shared" si="194"/>
        <v>4.794520547945206</v>
      </c>
      <c r="L1985" s="3">
        <f t="shared" si="195"/>
        <v>354.79452054794524</v>
      </c>
      <c r="M1985" s="3">
        <f t="shared" si="196"/>
        <v>21.287671232876715</v>
      </c>
      <c r="N1985" s="67">
        <f t="shared" si="197"/>
        <v>333.50684931506851</v>
      </c>
      <c r="O1985" s="3"/>
      <c r="P1985" s="70" t="s">
        <v>18615</v>
      </c>
      <c r="Q1985" s="2" t="s">
        <v>40</v>
      </c>
      <c r="R1985" s="2" t="s">
        <v>12422</v>
      </c>
      <c r="T1985" t="s">
        <v>18666</v>
      </c>
      <c r="U1985" t="s">
        <v>18652</v>
      </c>
      <c r="V1985" s="104">
        <v>45857</v>
      </c>
      <c r="X1985" s="97"/>
      <c r="Y1985" s="75">
        <v>333.51</v>
      </c>
    </row>
    <row r="1986" spans="1:25" x14ac:dyDescent="0.25">
      <c r="A1986" s="76">
        <v>2018</v>
      </c>
      <c r="B1986" s="2" t="s">
        <v>10171</v>
      </c>
      <c r="C1986" s="2" t="s">
        <v>10172</v>
      </c>
      <c r="D1986" s="2" t="s">
        <v>10173</v>
      </c>
      <c r="E1986" s="2" t="s">
        <v>10174</v>
      </c>
      <c r="F1986" s="2" t="s">
        <v>10175</v>
      </c>
      <c r="G1986" s="2" t="s">
        <v>54</v>
      </c>
      <c r="H1986" s="17">
        <v>30</v>
      </c>
      <c r="I1986" s="31">
        <f t="shared" si="192"/>
        <v>30000</v>
      </c>
      <c r="J1986" s="31">
        <f t="shared" si="193"/>
        <v>2100</v>
      </c>
      <c r="K1986" s="44">
        <f t="shared" si="194"/>
        <v>5.7534246575342465</v>
      </c>
      <c r="L1986" s="3">
        <f t="shared" si="195"/>
        <v>425.75342465753425</v>
      </c>
      <c r="M1986" s="3">
        <f t="shared" si="196"/>
        <v>25.545205479452054</v>
      </c>
      <c r="N1986" s="67">
        <f t="shared" si="197"/>
        <v>400.20821917808217</v>
      </c>
      <c r="O1986" s="3"/>
      <c r="P1986" s="70" t="s">
        <v>18615</v>
      </c>
      <c r="Q1986" s="2" t="s">
        <v>40</v>
      </c>
      <c r="R1986" s="2" t="s">
        <v>10176</v>
      </c>
      <c r="T1986" t="s">
        <v>18666</v>
      </c>
      <c r="U1986" t="s">
        <v>18652</v>
      </c>
      <c r="V1986" s="104">
        <v>45857</v>
      </c>
      <c r="X1986" s="97"/>
      <c r="Y1986" s="75">
        <v>400.21</v>
      </c>
    </row>
    <row r="1987" spans="1:25" x14ac:dyDescent="0.25">
      <c r="A1987" s="76">
        <v>2019</v>
      </c>
      <c r="B1987" s="2" t="s">
        <v>7501</v>
      </c>
      <c r="C1987" s="2" t="s">
        <v>7502</v>
      </c>
      <c r="D1987" s="2" t="s">
        <v>7503</v>
      </c>
      <c r="E1987" s="2" t="s">
        <v>7504</v>
      </c>
      <c r="F1987" s="2" t="s">
        <v>7505</v>
      </c>
      <c r="G1987" s="2" t="s">
        <v>1104</v>
      </c>
      <c r="H1987" s="17">
        <v>50</v>
      </c>
      <c r="I1987" s="31">
        <f t="shared" si="192"/>
        <v>50000</v>
      </c>
      <c r="J1987" s="31">
        <f t="shared" si="193"/>
        <v>3500.0000000000005</v>
      </c>
      <c r="K1987" s="44">
        <f t="shared" si="194"/>
        <v>9.589041095890412</v>
      </c>
      <c r="L1987" s="3">
        <f t="shared" si="195"/>
        <v>709.58904109589048</v>
      </c>
      <c r="M1987" s="3">
        <f t="shared" si="196"/>
        <v>42.57534246575343</v>
      </c>
      <c r="N1987" s="67">
        <f t="shared" si="197"/>
        <v>667.01369863013701</v>
      </c>
      <c r="O1987" s="3"/>
      <c r="P1987" s="70" t="s">
        <v>18615</v>
      </c>
      <c r="Q1987" s="2" t="s">
        <v>40</v>
      </c>
      <c r="R1987" s="2" t="s">
        <v>7506</v>
      </c>
      <c r="T1987" t="s">
        <v>18666</v>
      </c>
      <c r="U1987" t="s">
        <v>18652</v>
      </c>
      <c r="V1987" s="104">
        <v>45857</v>
      </c>
      <c r="X1987" s="97"/>
      <c r="Y1987" s="75">
        <v>667.02</v>
      </c>
    </row>
    <row r="1988" spans="1:25" x14ac:dyDescent="0.25">
      <c r="A1988" s="76">
        <v>2020</v>
      </c>
      <c r="B1988" s="2" t="s">
        <v>13520</v>
      </c>
      <c r="C1988" s="2" t="s">
        <v>7992</v>
      </c>
      <c r="D1988" s="2" t="s">
        <v>7065</v>
      </c>
      <c r="E1988" s="2" t="s">
        <v>13521</v>
      </c>
      <c r="F1988" s="2" t="s">
        <v>13522</v>
      </c>
      <c r="G1988" s="2" t="s">
        <v>233</v>
      </c>
      <c r="H1988" s="17">
        <v>25</v>
      </c>
      <c r="I1988" s="31">
        <f t="shared" si="192"/>
        <v>25000</v>
      </c>
      <c r="J1988" s="31">
        <f t="shared" si="193"/>
        <v>1750.0000000000002</v>
      </c>
      <c r="K1988" s="44">
        <f t="shared" si="194"/>
        <v>4.794520547945206</v>
      </c>
      <c r="L1988" s="3">
        <f t="shared" si="195"/>
        <v>354.79452054794524</v>
      </c>
      <c r="M1988" s="3">
        <f t="shared" si="196"/>
        <v>21.287671232876715</v>
      </c>
      <c r="N1988" s="67">
        <f t="shared" si="197"/>
        <v>333.50684931506851</v>
      </c>
      <c r="O1988" s="3"/>
      <c r="P1988" s="70" t="s">
        <v>18615</v>
      </c>
      <c r="Q1988" s="2" t="s">
        <v>40</v>
      </c>
      <c r="R1988" s="2" t="s">
        <v>13523</v>
      </c>
      <c r="T1988" t="s">
        <v>18666</v>
      </c>
      <c r="U1988" t="s">
        <v>18652</v>
      </c>
      <c r="V1988" s="104">
        <v>45857</v>
      </c>
      <c r="X1988" s="97"/>
      <c r="Y1988" s="75">
        <v>333.51</v>
      </c>
    </row>
    <row r="1989" spans="1:25" x14ac:dyDescent="0.25">
      <c r="A1989" s="76">
        <v>2021</v>
      </c>
      <c r="B1989" s="2" t="s">
        <v>4924</v>
      </c>
      <c r="C1989" s="2" t="s">
        <v>4925</v>
      </c>
      <c r="D1989" s="2" t="s">
        <v>4926</v>
      </c>
      <c r="E1989" s="2" t="s">
        <v>4100</v>
      </c>
      <c r="F1989" s="2" t="s">
        <v>4927</v>
      </c>
      <c r="G1989" s="2" t="s">
        <v>524</v>
      </c>
      <c r="H1989" s="17">
        <v>25</v>
      </c>
      <c r="I1989" s="31">
        <f t="shared" si="192"/>
        <v>25000</v>
      </c>
      <c r="J1989" s="31">
        <f t="shared" si="193"/>
        <v>1750.0000000000002</v>
      </c>
      <c r="K1989" s="44">
        <f t="shared" si="194"/>
        <v>4.794520547945206</v>
      </c>
      <c r="L1989" s="3">
        <f t="shared" si="195"/>
        <v>354.79452054794524</v>
      </c>
      <c r="M1989" s="3">
        <f t="shared" si="196"/>
        <v>21.287671232876715</v>
      </c>
      <c r="N1989" s="67">
        <f t="shared" si="197"/>
        <v>333.50684931506851</v>
      </c>
      <c r="O1989" s="3"/>
      <c r="P1989" s="70" t="s">
        <v>18615</v>
      </c>
      <c r="Q1989" s="2" t="s">
        <v>40</v>
      </c>
      <c r="R1989" s="2" t="s">
        <v>4928</v>
      </c>
      <c r="T1989" t="s">
        <v>18666</v>
      </c>
      <c r="U1989" t="s">
        <v>18652</v>
      </c>
      <c r="V1989" s="104">
        <v>45857</v>
      </c>
      <c r="X1989" s="97"/>
      <c r="Y1989" s="75">
        <v>333.51</v>
      </c>
    </row>
    <row r="1990" spans="1:25" x14ac:dyDescent="0.25">
      <c r="A1990" s="76">
        <v>2022</v>
      </c>
      <c r="B1990" s="2" t="s">
        <v>2542</v>
      </c>
      <c r="C1990" s="2" t="s">
        <v>2543</v>
      </c>
      <c r="D1990" s="2" t="s">
        <v>2544</v>
      </c>
      <c r="E1990" s="2" t="s">
        <v>2545</v>
      </c>
      <c r="F1990" s="2" t="s">
        <v>2546</v>
      </c>
      <c r="G1990" s="2" t="s">
        <v>23</v>
      </c>
      <c r="H1990" s="17">
        <v>25</v>
      </c>
      <c r="I1990" s="31">
        <f t="shared" si="192"/>
        <v>25000</v>
      </c>
      <c r="J1990" s="31">
        <f t="shared" si="193"/>
        <v>1750.0000000000002</v>
      </c>
      <c r="K1990" s="44">
        <f t="shared" si="194"/>
        <v>4.794520547945206</v>
      </c>
      <c r="L1990" s="3">
        <f t="shared" si="195"/>
        <v>354.79452054794524</v>
      </c>
      <c r="M1990" s="3">
        <f t="shared" si="196"/>
        <v>21.287671232876715</v>
      </c>
      <c r="N1990" s="67">
        <f t="shared" si="197"/>
        <v>333.50684931506851</v>
      </c>
      <c r="O1990" s="3"/>
      <c r="P1990" s="70" t="s">
        <v>18615</v>
      </c>
      <c r="Q1990" s="2" t="s">
        <v>40</v>
      </c>
      <c r="R1990" s="2" t="s">
        <v>2547</v>
      </c>
      <c r="T1990" t="s">
        <v>18666</v>
      </c>
      <c r="U1990" t="s">
        <v>18652</v>
      </c>
      <c r="V1990" s="104">
        <v>45857</v>
      </c>
      <c r="X1990" s="97"/>
      <c r="Y1990" s="75">
        <v>333.51</v>
      </c>
    </row>
    <row r="1991" spans="1:25" x14ac:dyDescent="0.25">
      <c r="A1991" s="76">
        <v>2023</v>
      </c>
      <c r="B1991" s="2" t="s">
        <v>2108</v>
      </c>
      <c r="C1991" s="2" t="s">
        <v>2109</v>
      </c>
      <c r="D1991" s="2" t="s">
        <v>2110</v>
      </c>
      <c r="E1991" s="2" t="s">
        <v>2111</v>
      </c>
      <c r="F1991" s="2" t="s">
        <v>2112</v>
      </c>
      <c r="G1991" s="2" t="s">
        <v>282</v>
      </c>
      <c r="H1991" s="17">
        <v>25</v>
      </c>
      <c r="I1991" s="31">
        <f t="shared" si="192"/>
        <v>25000</v>
      </c>
      <c r="J1991" s="31">
        <f t="shared" si="193"/>
        <v>1750.0000000000002</v>
      </c>
      <c r="K1991" s="44">
        <f t="shared" si="194"/>
        <v>4.794520547945206</v>
      </c>
      <c r="L1991" s="3">
        <f t="shared" si="195"/>
        <v>354.79452054794524</v>
      </c>
      <c r="M1991" s="3">
        <f t="shared" si="196"/>
        <v>21.287671232876715</v>
      </c>
      <c r="N1991" s="67">
        <f t="shared" si="197"/>
        <v>333.50684931506851</v>
      </c>
      <c r="O1991" s="3"/>
      <c r="P1991" s="70" t="s">
        <v>18615</v>
      </c>
      <c r="Q1991" s="2" t="s">
        <v>40</v>
      </c>
      <c r="R1991" s="2" t="s">
        <v>2113</v>
      </c>
      <c r="T1991" t="s">
        <v>18666</v>
      </c>
      <c r="U1991" t="s">
        <v>18652</v>
      </c>
      <c r="V1991" s="104">
        <v>45857</v>
      </c>
      <c r="X1991" s="97"/>
      <c r="Y1991" s="75">
        <v>333.51</v>
      </c>
    </row>
    <row r="1992" spans="1:25" x14ac:dyDescent="0.25">
      <c r="A1992" s="76">
        <v>2024</v>
      </c>
      <c r="B1992" s="2" t="s">
        <v>7596</v>
      </c>
      <c r="C1992" s="2" t="s">
        <v>7597</v>
      </c>
      <c r="D1992" s="2" t="s">
        <v>7598</v>
      </c>
      <c r="E1992" s="2" t="s">
        <v>5675</v>
      </c>
      <c r="F1992" s="2" t="s">
        <v>7599</v>
      </c>
      <c r="G1992" s="2" t="s">
        <v>186</v>
      </c>
      <c r="H1992" s="17">
        <v>25</v>
      </c>
      <c r="I1992" s="31">
        <f t="shared" si="192"/>
        <v>25000</v>
      </c>
      <c r="J1992" s="31">
        <f t="shared" si="193"/>
        <v>1750.0000000000002</v>
      </c>
      <c r="K1992" s="44">
        <f t="shared" si="194"/>
        <v>4.794520547945206</v>
      </c>
      <c r="L1992" s="3">
        <f t="shared" si="195"/>
        <v>354.79452054794524</v>
      </c>
      <c r="M1992" s="3">
        <f t="shared" si="196"/>
        <v>21.287671232876715</v>
      </c>
      <c r="N1992" s="67">
        <f t="shared" si="197"/>
        <v>333.50684931506851</v>
      </c>
      <c r="O1992" s="3"/>
      <c r="P1992" s="70" t="s">
        <v>18615</v>
      </c>
      <c r="Q1992" s="2" t="s">
        <v>40</v>
      </c>
      <c r="R1992" s="2" t="s">
        <v>7600</v>
      </c>
      <c r="T1992" t="s">
        <v>18666</v>
      </c>
      <c r="U1992" t="s">
        <v>18652</v>
      </c>
      <c r="V1992" s="104">
        <v>45857</v>
      </c>
      <c r="X1992" s="97"/>
      <c r="Y1992" s="75">
        <v>333.51</v>
      </c>
    </row>
    <row r="1993" spans="1:25" x14ac:dyDescent="0.25">
      <c r="A1993" s="76">
        <v>2025</v>
      </c>
      <c r="B1993" s="2" t="s">
        <v>17306</v>
      </c>
      <c r="C1993" s="2" t="s">
        <v>17307</v>
      </c>
      <c r="D1993" s="2" t="s">
        <v>17308</v>
      </c>
      <c r="E1993" s="2" t="s">
        <v>17309</v>
      </c>
      <c r="F1993" s="2" t="s">
        <v>17310</v>
      </c>
      <c r="G1993" s="2" t="s">
        <v>1823</v>
      </c>
      <c r="H1993" s="17">
        <v>25</v>
      </c>
      <c r="I1993" s="31">
        <f t="shared" si="192"/>
        <v>25000</v>
      </c>
      <c r="J1993" s="31">
        <f t="shared" si="193"/>
        <v>1750.0000000000002</v>
      </c>
      <c r="K1993" s="44">
        <f t="shared" si="194"/>
        <v>4.794520547945206</v>
      </c>
      <c r="L1993" s="3">
        <f t="shared" si="195"/>
        <v>354.79452054794524</v>
      </c>
      <c r="M1993" s="3">
        <f t="shared" si="196"/>
        <v>21.287671232876715</v>
      </c>
      <c r="N1993" s="67">
        <f t="shared" si="197"/>
        <v>333.50684931506851</v>
      </c>
      <c r="O1993" s="3"/>
      <c r="P1993" s="70" t="s">
        <v>18615</v>
      </c>
      <c r="Q1993" s="2" t="s">
        <v>40</v>
      </c>
      <c r="R1993" s="2" t="s">
        <v>17311</v>
      </c>
      <c r="T1993" t="s">
        <v>18666</v>
      </c>
      <c r="U1993" t="s">
        <v>18652</v>
      </c>
      <c r="V1993" s="104">
        <v>45857</v>
      </c>
      <c r="X1993" s="97"/>
      <c r="Y1993" s="75">
        <v>333.51</v>
      </c>
    </row>
    <row r="1994" spans="1:25" x14ac:dyDescent="0.25">
      <c r="A1994" s="76">
        <v>2026</v>
      </c>
      <c r="B1994" s="2" t="s">
        <v>10994</v>
      </c>
      <c r="C1994" s="2" t="s">
        <v>10995</v>
      </c>
      <c r="D1994" s="2" t="s">
        <v>10996</v>
      </c>
      <c r="E1994" s="2" t="s">
        <v>5874</v>
      </c>
      <c r="F1994" s="2" t="s">
        <v>10997</v>
      </c>
      <c r="G1994" s="2" t="s">
        <v>362</v>
      </c>
      <c r="H1994" s="17">
        <v>25</v>
      </c>
      <c r="I1994" s="31">
        <f t="shared" si="192"/>
        <v>25000</v>
      </c>
      <c r="J1994" s="31">
        <f t="shared" si="193"/>
        <v>1750.0000000000002</v>
      </c>
      <c r="K1994" s="44">
        <f t="shared" si="194"/>
        <v>4.794520547945206</v>
      </c>
      <c r="L1994" s="3">
        <f t="shared" si="195"/>
        <v>354.79452054794524</v>
      </c>
      <c r="M1994" s="3">
        <f t="shared" si="196"/>
        <v>21.287671232876715</v>
      </c>
      <c r="N1994" s="67">
        <f t="shared" si="197"/>
        <v>333.50684931506851</v>
      </c>
      <c r="O1994" s="3"/>
      <c r="P1994" s="70" t="s">
        <v>18615</v>
      </c>
      <c r="Q1994" s="2" t="s">
        <v>40</v>
      </c>
      <c r="R1994" s="2" t="s">
        <v>10998</v>
      </c>
      <c r="T1994" t="s">
        <v>18666</v>
      </c>
      <c r="U1994" t="s">
        <v>18652</v>
      </c>
      <c r="V1994" s="104">
        <v>45857</v>
      </c>
      <c r="X1994" s="97"/>
      <c r="Y1994" s="75">
        <v>333.51</v>
      </c>
    </row>
    <row r="1995" spans="1:25" x14ac:dyDescent="0.25">
      <c r="A1995" s="76">
        <v>2027</v>
      </c>
      <c r="B1995" s="2" t="s">
        <v>17519</v>
      </c>
      <c r="C1995" s="2" t="s">
        <v>17520</v>
      </c>
      <c r="D1995" s="2" t="s">
        <v>17521</v>
      </c>
      <c r="E1995" s="2" t="s">
        <v>17522</v>
      </c>
      <c r="F1995" s="2" t="s">
        <v>17523</v>
      </c>
      <c r="G1995" s="2" t="s">
        <v>517</v>
      </c>
      <c r="H1995" s="17">
        <v>25</v>
      </c>
      <c r="I1995" s="31">
        <f t="shared" si="192"/>
        <v>25000</v>
      </c>
      <c r="J1995" s="31">
        <f t="shared" si="193"/>
        <v>1750.0000000000002</v>
      </c>
      <c r="K1995" s="44">
        <f t="shared" si="194"/>
        <v>4.794520547945206</v>
      </c>
      <c r="L1995" s="3">
        <f t="shared" si="195"/>
        <v>354.79452054794524</v>
      </c>
      <c r="M1995" s="3">
        <f t="shared" si="196"/>
        <v>21.287671232876715</v>
      </c>
      <c r="N1995" s="67">
        <f t="shared" si="197"/>
        <v>333.50684931506851</v>
      </c>
      <c r="O1995" s="3"/>
      <c r="P1995" s="70" t="s">
        <v>18615</v>
      </c>
      <c r="Q1995" s="2" t="s">
        <v>40</v>
      </c>
      <c r="R1995" s="2" t="s">
        <v>17524</v>
      </c>
      <c r="T1995" t="s">
        <v>18666</v>
      </c>
      <c r="U1995" t="s">
        <v>18652</v>
      </c>
      <c r="V1995" s="104">
        <v>45857</v>
      </c>
      <c r="X1995" s="97"/>
      <c r="Y1995" s="75">
        <v>333.51</v>
      </c>
    </row>
    <row r="1996" spans="1:25" x14ac:dyDescent="0.25">
      <c r="A1996" s="76">
        <v>2028</v>
      </c>
      <c r="B1996" s="2" t="s">
        <v>1981</v>
      </c>
      <c r="C1996" s="2" t="s">
        <v>1982</v>
      </c>
      <c r="D1996" s="2" t="s">
        <v>1983</v>
      </c>
      <c r="E1996" s="2" t="s">
        <v>1984</v>
      </c>
      <c r="F1996" s="2" t="s">
        <v>1985</v>
      </c>
      <c r="G1996" s="2" t="s">
        <v>31</v>
      </c>
      <c r="H1996" s="17">
        <v>200</v>
      </c>
      <c r="I1996" s="31">
        <f t="shared" si="192"/>
        <v>200000</v>
      </c>
      <c r="J1996" s="31">
        <f t="shared" si="193"/>
        <v>14000.000000000002</v>
      </c>
      <c r="K1996" s="44">
        <f t="shared" si="194"/>
        <v>38.356164383561648</v>
      </c>
      <c r="L1996" s="3">
        <f t="shared" si="195"/>
        <v>2838.3561643835619</v>
      </c>
      <c r="M1996" s="3">
        <f t="shared" si="196"/>
        <v>170.30136986301372</v>
      </c>
      <c r="N1996" s="67">
        <f t="shared" si="197"/>
        <v>2668.0547945205481</v>
      </c>
      <c r="O1996" s="3"/>
      <c r="P1996" s="70" t="s">
        <v>18615</v>
      </c>
      <c r="Q1996" s="2" t="s">
        <v>40</v>
      </c>
      <c r="R1996" s="2" t="s">
        <v>1986</v>
      </c>
      <c r="T1996" t="s">
        <v>18666</v>
      </c>
      <c r="U1996" t="s">
        <v>18652</v>
      </c>
      <c r="V1996" s="104">
        <v>45857</v>
      </c>
      <c r="X1996" s="97"/>
      <c r="Y1996" s="75">
        <v>2668.0600000000004</v>
      </c>
    </row>
    <row r="1997" spans="1:25" x14ac:dyDescent="0.25">
      <c r="A1997" s="76">
        <v>2029</v>
      </c>
      <c r="B1997" s="2" t="s">
        <v>17483</v>
      </c>
      <c r="C1997" s="2" t="s">
        <v>17484</v>
      </c>
      <c r="D1997" s="2" t="s">
        <v>17485</v>
      </c>
      <c r="E1997" s="2" t="s">
        <v>17486</v>
      </c>
      <c r="F1997" s="2" t="s">
        <v>17487</v>
      </c>
      <c r="G1997" s="2" t="s">
        <v>718</v>
      </c>
      <c r="H1997" s="17">
        <v>25</v>
      </c>
      <c r="I1997" s="31">
        <f t="shared" si="192"/>
        <v>25000</v>
      </c>
      <c r="J1997" s="31">
        <f t="shared" si="193"/>
        <v>1750.0000000000002</v>
      </c>
      <c r="K1997" s="44">
        <f t="shared" si="194"/>
        <v>4.794520547945206</v>
      </c>
      <c r="L1997" s="3">
        <f t="shared" si="195"/>
        <v>354.79452054794524</v>
      </c>
      <c r="M1997" s="3">
        <f t="shared" si="196"/>
        <v>21.287671232876715</v>
      </c>
      <c r="N1997" s="67">
        <f t="shared" si="197"/>
        <v>333.50684931506851</v>
      </c>
      <c r="O1997" s="3"/>
      <c r="P1997" s="70" t="s">
        <v>18615</v>
      </c>
      <c r="Q1997" s="2" t="s">
        <v>40</v>
      </c>
      <c r="R1997" s="2" t="s">
        <v>17488</v>
      </c>
      <c r="T1997" t="s">
        <v>18666</v>
      </c>
      <c r="U1997" t="s">
        <v>18652</v>
      </c>
      <c r="V1997" s="104">
        <v>45857</v>
      </c>
      <c r="X1997" s="97"/>
      <c r="Y1997" s="75">
        <v>333.51</v>
      </c>
    </row>
    <row r="1998" spans="1:25" x14ac:dyDescent="0.25">
      <c r="A1998" s="76">
        <v>2030</v>
      </c>
      <c r="B1998" s="2" t="s">
        <v>3956</v>
      </c>
      <c r="C1998" s="2" t="s">
        <v>3957</v>
      </c>
      <c r="D1998" s="2" t="s">
        <v>3958</v>
      </c>
      <c r="E1998" s="2" t="s">
        <v>3959</v>
      </c>
      <c r="F1998" s="2" t="s">
        <v>3960</v>
      </c>
      <c r="G1998" s="2" t="s">
        <v>268</v>
      </c>
      <c r="H1998" s="17">
        <v>25</v>
      </c>
      <c r="I1998" s="31">
        <f t="shared" si="192"/>
        <v>25000</v>
      </c>
      <c r="J1998" s="31">
        <f t="shared" si="193"/>
        <v>1750.0000000000002</v>
      </c>
      <c r="K1998" s="44">
        <f t="shared" si="194"/>
        <v>4.794520547945206</v>
      </c>
      <c r="L1998" s="3">
        <f t="shared" si="195"/>
        <v>354.79452054794524</v>
      </c>
      <c r="M1998" s="3">
        <f t="shared" si="196"/>
        <v>21.287671232876715</v>
      </c>
      <c r="N1998" s="67">
        <f t="shared" si="197"/>
        <v>333.50684931506851</v>
      </c>
      <c r="O1998" s="3"/>
      <c r="P1998" s="70" t="s">
        <v>18615</v>
      </c>
      <c r="Q1998" s="2" t="s">
        <v>40</v>
      </c>
      <c r="R1998" s="2" t="s">
        <v>3961</v>
      </c>
      <c r="T1998" t="s">
        <v>18666</v>
      </c>
      <c r="U1998" t="s">
        <v>18652</v>
      </c>
      <c r="V1998" s="104">
        <v>45857</v>
      </c>
      <c r="X1998" s="97"/>
      <c r="Y1998" s="75">
        <v>333.51</v>
      </c>
    </row>
    <row r="1999" spans="1:25" x14ac:dyDescent="0.25">
      <c r="A1999" s="76">
        <v>2031</v>
      </c>
      <c r="B1999" s="2" t="s">
        <v>8260</v>
      </c>
      <c r="C1999" s="2" t="s">
        <v>8261</v>
      </c>
      <c r="D1999" s="2" t="s">
        <v>8262</v>
      </c>
      <c r="E1999" s="2" t="s">
        <v>8263</v>
      </c>
      <c r="F1999" s="2" t="s">
        <v>8264</v>
      </c>
      <c r="G1999" s="2" t="s">
        <v>31</v>
      </c>
      <c r="H1999" s="17">
        <v>25</v>
      </c>
      <c r="I1999" s="31">
        <f t="shared" si="192"/>
        <v>25000</v>
      </c>
      <c r="J1999" s="31">
        <f t="shared" si="193"/>
        <v>1750.0000000000002</v>
      </c>
      <c r="K1999" s="44">
        <f t="shared" si="194"/>
        <v>4.794520547945206</v>
      </c>
      <c r="L1999" s="3">
        <f t="shared" si="195"/>
        <v>354.79452054794524</v>
      </c>
      <c r="M1999" s="3">
        <f t="shared" si="196"/>
        <v>21.287671232876715</v>
      </c>
      <c r="N1999" s="67">
        <f t="shared" si="197"/>
        <v>333.50684931506851</v>
      </c>
      <c r="O1999" s="3"/>
      <c r="P1999" s="70" t="s">
        <v>18615</v>
      </c>
      <c r="Q1999" s="2" t="s">
        <v>40</v>
      </c>
      <c r="R1999" s="2" t="s">
        <v>8265</v>
      </c>
      <c r="T1999" t="s">
        <v>18666</v>
      </c>
      <c r="U1999" t="s">
        <v>18652</v>
      </c>
      <c r="V1999" s="104">
        <v>45857</v>
      </c>
      <c r="X1999" s="97"/>
      <c r="Y1999" s="75">
        <v>333.51</v>
      </c>
    </row>
    <row r="2000" spans="1:25" x14ac:dyDescent="0.25">
      <c r="A2000" s="76">
        <v>2032</v>
      </c>
      <c r="B2000" s="2" t="s">
        <v>818</v>
      </c>
      <c r="C2000" s="2" t="s">
        <v>819</v>
      </c>
      <c r="D2000" s="2" t="s">
        <v>820</v>
      </c>
      <c r="E2000" s="2" t="s">
        <v>821</v>
      </c>
      <c r="F2000" s="2" t="s">
        <v>822</v>
      </c>
      <c r="G2000" s="2" t="s">
        <v>186</v>
      </c>
      <c r="H2000" s="17">
        <v>25</v>
      </c>
      <c r="I2000" s="31">
        <f t="shared" si="192"/>
        <v>25000</v>
      </c>
      <c r="J2000" s="31">
        <f t="shared" si="193"/>
        <v>1750.0000000000002</v>
      </c>
      <c r="K2000" s="44">
        <f t="shared" si="194"/>
        <v>4.794520547945206</v>
      </c>
      <c r="L2000" s="3">
        <f t="shared" si="195"/>
        <v>354.79452054794524</v>
      </c>
      <c r="M2000" s="3">
        <f t="shared" si="196"/>
        <v>21.287671232876715</v>
      </c>
      <c r="N2000" s="67">
        <f t="shared" si="197"/>
        <v>333.50684931506851</v>
      </c>
      <c r="O2000" s="3"/>
      <c r="P2000" s="70" t="s">
        <v>18615</v>
      </c>
      <c r="Q2000" s="2" t="s">
        <v>40</v>
      </c>
      <c r="R2000" s="2" t="s">
        <v>823</v>
      </c>
      <c r="T2000" t="s">
        <v>18666</v>
      </c>
      <c r="U2000" t="s">
        <v>18652</v>
      </c>
      <c r="V2000" s="104">
        <v>45857</v>
      </c>
      <c r="X2000" s="97"/>
      <c r="Y2000" s="75">
        <v>333.51</v>
      </c>
    </row>
    <row r="2001" spans="1:25" x14ac:dyDescent="0.25">
      <c r="A2001" s="76">
        <v>2033</v>
      </c>
      <c r="B2001" s="2" t="s">
        <v>10118</v>
      </c>
      <c r="C2001" s="2" t="s">
        <v>10119</v>
      </c>
      <c r="D2001" s="2" t="s">
        <v>10120</v>
      </c>
      <c r="E2001" s="2" t="s">
        <v>10121</v>
      </c>
      <c r="F2001" s="2" t="s">
        <v>10122</v>
      </c>
      <c r="G2001" s="2" t="s">
        <v>1823</v>
      </c>
      <c r="H2001" s="17">
        <v>25</v>
      </c>
      <c r="I2001" s="31">
        <f t="shared" si="192"/>
        <v>25000</v>
      </c>
      <c r="J2001" s="31">
        <f t="shared" si="193"/>
        <v>1750.0000000000002</v>
      </c>
      <c r="K2001" s="44">
        <f t="shared" si="194"/>
        <v>4.794520547945206</v>
      </c>
      <c r="L2001" s="3">
        <f t="shared" si="195"/>
        <v>354.79452054794524</v>
      </c>
      <c r="M2001" s="3">
        <f t="shared" si="196"/>
        <v>21.287671232876715</v>
      </c>
      <c r="N2001" s="67">
        <f t="shared" si="197"/>
        <v>333.50684931506851</v>
      </c>
      <c r="O2001" s="3"/>
      <c r="P2001" s="70" t="s">
        <v>18615</v>
      </c>
      <c r="Q2001" s="2" t="s">
        <v>40</v>
      </c>
      <c r="R2001" s="2" t="s">
        <v>10123</v>
      </c>
      <c r="T2001" t="s">
        <v>18666</v>
      </c>
      <c r="U2001" t="s">
        <v>18652</v>
      </c>
      <c r="V2001" s="104">
        <v>45857</v>
      </c>
      <c r="X2001" s="97"/>
      <c r="Y2001" s="75">
        <v>333.51</v>
      </c>
    </row>
    <row r="2002" spans="1:25" x14ac:dyDescent="0.25">
      <c r="A2002" s="76">
        <v>2034</v>
      </c>
      <c r="B2002" s="2" t="s">
        <v>4727</v>
      </c>
      <c r="C2002" s="2" t="s">
        <v>4728</v>
      </c>
      <c r="D2002" s="2" t="s">
        <v>4729</v>
      </c>
      <c r="E2002" s="2" t="s">
        <v>4730</v>
      </c>
      <c r="F2002" s="2" t="s">
        <v>4731</v>
      </c>
      <c r="G2002" s="2" t="s">
        <v>226</v>
      </c>
      <c r="H2002" s="17">
        <v>25</v>
      </c>
      <c r="I2002" s="31">
        <f t="shared" ref="I2002:I2065" si="198">H2002*1000</f>
        <v>25000</v>
      </c>
      <c r="J2002" s="31">
        <f t="shared" ref="J2002:J2065" si="199">I2002*7%</f>
        <v>1750.0000000000002</v>
      </c>
      <c r="K2002" s="44">
        <f t="shared" ref="K2002:K2065" si="200">J2002/365</f>
        <v>4.794520547945206</v>
      </c>
      <c r="L2002" s="3">
        <f t="shared" ref="L2002:L2065" si="201">K2002*74</f>
        <v>354.79452054794524</v>
      </c>
      <c r="M2002" s="3">
        <f t="shared" ref="M2002:M2065" si="202">L2002*6%</f>
        <v>21.287671232876715</v>
      </c>
      <c r="N2002" s="67">
        <f t="shared" ref="N2002:N2065" si="203">L2002-M2002</f>
        <v>333.50684931506851</v>
      </c>
      <c r="O2002" s="3"/>
      <c r="P2002" s="70" t="s">
        <v>18615</v>
      </c>
      <c r="Q2002" s="2" t="s">
        <v>40</v>
      </c>
      <c r="R2002" s="2" t="s">
        <v>4732</v>
      </c>
      <c r="T2002" t="s">
        <v>18666</v>
      </c>
      <c r="U2002" t="s">
        <v>18652</v>
      </c>
      <c r="V2002" s="104">
        <v>45857</v>
      </c>
      <c r="X2002" s="97"/>
      <c r="Y2002" s="75">
        <v>333.51</v>
      </c>
    </row>
    <row r="2003" spans="1:25" x14ac:dyDescent="0.25">
      <c r="A2003" s="76">
        <v>2035</v>
      </c>
      <c r="B2003" s="2" t="s">
        <v>4428</v>
      </c>
      <c r="C2003" s="2" t="s">
        <v>4429</v>
      </c>
      <c r="D2003" s="2" t="s">
        <v>4430</v>
      </c>
      <c r="E2003" s="2" t="s">
        <v>4431</v>
      </c>
      <c r="F2003" s="2" t="s">
        <v>4432</v>
      </c>
      <c r="G2003" s="2" t="s">
        <v>166</v>
      </c>
      <c r="H2003" s="17">
        <v>25</v>
      </c>
      <c r="I2003" s="31">
        <f t="shared" si="198"/>
        <v>25000</v>
      </c>
      <c r="J2003" s="31">
        <f t="shared" si="199"/>
        <v>1750.0000000000002</v>
      </c>
      <c r="K2003" s="44">
        <f t="shared" si="200"/>
        <v>4.794520547945206</v>
      </c>
      <c r="L2003" s="3">
        <f t="shared" si="201"/>
        <v>354.79452054794524</v>
      </c>
      <c r="M2003" s="3">
        <f t="shared" si="202"/>
        <v>21.287671232876715</v>
      </c>
      <c r="N2003" s="67">
        <f t="shared" si="203"/>
        <v>333.50684931506851</v>
      </c>
      <c r="O2003" s="3"/>
      <c r="P2003" s="70" t="s">
        <v>18615</v>
      </c>
      <c r="Q2003" s="2" t="s">
        <v>40</v>
      </c>
      <c r="R2003" s="2" t="s">
        <v>4433</v>
      </c>
      <c r="T2003" t="s">
        <v>18666</v>
      </c>
      <c r="U2003" t="s">
        <v>18652</v>
      </c>
      <c r="V2003" s="104">
        <v>45857</v>
      </c>
      <c r="X2003" s="97"/>
      <c r="Y2003" s="75">
        <v>333.51</v>
      </c>
    </row>
    <row r="2004" spans="1:25" x14ac:dyDescent="0.25">
      <c r="A2004" s="76">
        <v>2036</v>
      </c>
      <c r="B2004" s="2" t="s">
        <v>6823</v>
      </c>
      <c r="C2004" s="2" t="s">
        <v>6824</v>
      </c>
      <c r="D2004" s="2" t="s">
        <v>6825</v>
      </c>
      <c r="E2004" s="2" t="s">
        <v>6826</v>
      </c>
      <c r="F2004" s="2" t="s">
        <v>6827</v>
      </c>
      <c r="G2004" s="2" t="s">
        <v>718</v>
      </c>
      <c r="H2004" s="17">
        <v>100</v>
      </c>
      <c r="I2004" s="31">
        <f t="shared" si="198"/>
        <v>100000</v>
      </c>
      <c r="J2004" s="31">
        <f t="shared" si="199"/>
        <v>7000.0000000000009</v>
      </c>
      <c r="K2004" s="44">
        <f t="shared" si="200"/>
        <v>19.178082191780824</v>
      </c>
      <c r="L2004" s="3">
        <f t="shared" si="201"/>
        <v>1419.178082191781</v>
      </c>
      <c r="M2004" s="3">
        <f t="shared" si="202"/>
        <v>85.150684931506859</v>
      </c>
      <c r="N2004" s="67">
        <f t="shared" si="203"/>
        <v>1334.027397260274</v>
      </c>
      <c r="O2004" s="3"/>
      <c r="P2004" s="70" t="s">
        <v>18615</v>
      </c>
      <c r="Q2004" s="2" t="s">
        <v>40</v>
      </c>
      <c r="R2004" s="2" t="s">
        <v>6828</v>
      </c>
      <c r="T2004" t="s">
        <v>18666</v>
      </c>
      <c r="U2004" t="s">
        <v>18652</v>
      </c>
      <c r="V2004" s="104">
        <v>45857</v>
      </c>
      <c r="X2004" s="97"/>
      <c r="Y2004" s="75">
        <v>1334.03</v>
      </c>
    </row>
    <row r="2005" spans="1:25" x14ac:dyDescent="0.25">
      <c r="A2005" s="76">
        <v>2037</v>
      </c>
      <c r="B2005" s="2" t="s">
        <v>9670</v>
      </c>
      <c r="C2005" s="2" t="s">
        <v>9671</v>
      </c>
      <c r="D2005" s="2" t="s">
        <v>9672</v>
      </c>
      <c r="E2005" s="2" t="s">
        <v>9673</v>
      </c>
      <c r="F2005" s="2" t="s">
        <v>9674</v>
      </c>
      <c r="G2005" s="2" t="s">
        <v>2380</v>
      </c>
      <c r="H2005" s="17">
        <v>25</v>
      </c>
      <c r="I2005" s="31">
        <f t="shared" si="198"/>
        <v>25000</v>
      </c>
      <c r="J2005" s="31">
        <f t="shared" si="199"/>
        <v>1750.0000000000002</v>
      </c>
      <c r="K2005" s="44">
        <f t="shared" si="200"/>
        <v>4.794520547945206</v>
      </c>
      <c r="L2005" s="3">
        <f t="shared" si="201"/>
        <v>354.79452054794524</v>
      </c>
      <c r="M2005" s="3">
        <f t="shared" si="202"/>
        <v>21.287671232876715</v>
      </c>
      <c r="N2005" s="67">
        <f t="shared" si="203"/>
        <v>333.50684931506851</v>
      </c>
      <c r="O2005" s="3"/>
      <c r="P2005" s="70" t="s">
        <v>18615</v>
      </c>
      <c r="Q2005" s="2" t="s">
        <v>40</v>
      </c>
      <c r="R2005" s="2" t="s">
        <v>9675</v>
      </c>
      <c r="T2005" t="s">
        <v>18666</v>
      </c>
      <c r="U2005" t="s">
        <v>18652</v>
      </c>
      <c r="V2005" s="104">
        <v>45857</v>
      </c>
      <c r="X2005" s="97"/>
      <c r="Y2005" s="75">
        <v>333.51</v>
      </c>
    </row>
    <row r="2006" spans="1:25" x14ac:dyDescent="0.25">
      <c r="A2006" s="76">
        <v>2038</v>
      </c>
      <c r="B2006" s="2" t="s">
        <v>9891</v>
      </c>
      <c r="C2006" s="2" t="s">
        <v>9892</v>
      </c>
      <c r="D2006" s="2" t="s">
        <v>9893</v>
      </c>
      <c r="E2006" s="2" t="s">
        <v>9894</v>
      </c>
      <c r="F2006" s="2" t="s">
        <v>9895</v>
      </c>
      <c r="G2006" s="2" t="s">
        <v>1048</v>
      </c>
      <c r="H2006" s="17">
        <v>25</v>
      </c>
      <c r="I2006" s="31">
        <f t="shared" si="198"/>
        <v>25000</v>
      </c>
      <c r="J2006" s="31">
        <f t="shared" si="199"/>
        <v>1750.0000000000002</v>
      </c>
      <c r="K2006" s="44">
        <f t="shared" si="200"/>
        <v>4.794520547945206</v>
      </c>
      <c r="L2006" s="3">
        <f t="shared" si="201"/>
        <v>354.79452054794524</v>
      </c>
      <c r="M2006" s="3">
        <f t="shared" si="202"/>
        <v>21.287671232876715</v>
      </c>
      <c r="N2006" s="67">
        <f t="shared" si="203"/>
        <v>333.50684931506851</v>
      </c>
      <c r="O2006" s="3"/>
      <c r="P2006" s="70" t="s">
        <v>18615</v>
      </c>
      <c r="Q2006" s="2" t="s">
        <v>40</v>
      </c>
      <c r="R2006" s="2" t="s">
        <v>9896</v>
      </c>
      <c r="T2006" t="s">
        <v>18666</v>
      </c>
      <c r="U2006" t="s">
        <v>18652</v>
      </c>
      <c r="V2006" s="104">
        <v>45857</v>
      </c>
      <c r="X2006" s="97"/>
      <c r="Y2006" s="75">
        <v>333.51</v>
      </c>
    </row>
    <row r="2007" spans="1:25" x14ac:dyDescent="0.25">
      <c r="A2007" s="76">
        <v>2039</v>
      </c>
      <c r="B2007" s="2" t="s">
        <v>1612</v>
      </c>
      <c r="C2007" s="2" t="s">
        <v>1613</v>
      </c>
      <c r="D2007" s="2" t="s">
        <v>1614</v>
      </c>
      <c r="E2007" s="2" t="s">
        <v>1615</v>
      </c>
      <c r="F2007" s="2" t="s">
        <v>1616</v>
      </c>
      <c r="G2007" s="2" t="s">
        <v>233</v>
      </c>
      <c r="H2007" s="17">
        <v>25</v>
      </c>
      <c r="I2007" s="31">
        <f t="shared" si="198"/>
        <v>25000</v>
      </c>
      <c r="J2007" s="31">
        <f t="shared" si="199"/>
        <v>1750.0000000000002</v>
      </c>
      <c r="K2007" s="44">
        <f t="shared" si="200"/>
        <v>4.794520547945206</v>
      </c>
      <c r="L2007" s="3">
        <f t="shared" si="201"/>
        <v>354.79452054794524</v>
      </c>
      <c r="M2007" s="3">
        <f t="shared" si="202"/>
        <v>21.287671232876715</v>
      </c>
      <c r="N2007" s="67">
        <f t="shared" si="203"/>
        <v>333.50684931506851</v>
      </c>
      <c r="O2007" s="3"/>
      <c r="P2007" s="70" t="s">
        <v>18615</v>
      </c>
      <c r="Q2007" s="2" t="s">
        <v>40</v>
      </c>
      <c r="R2007" s="2" t="s">
        <v>1617</v>
      </c>
      <c r="T2007" t="s">
        <v>18666</v>
      </c>
      <c r="U2007" t="s">
        <v>18652</v>
      </c>
      <c r="V2007" s="104">
        <v>45857</v>
      </c>
      <c r="X2007" s="97"/>
      <c r="Y2007" s="75">
        <v>333.51</v>
      </c>
    </row>
    <row r="2008" spans="1:25" x14ac:dyDescent="0.25">
      <c r="A2008" s="76">
        <v>2040</v>
      </c>
      <c r="B2008" s="2" t="s">
        <v>9260</v>
      </c>
      <c r="C2008" s="2" t="s">
        <v>9261</v>
      </c>
      <c r="D2008" s="2" t="s">
        <v>9262</v>
      </c>
      <c r="E2008" s="2" t="s">
        <v>9263</v>
      </c>
      <c r="F2008" s="2" t="s">
        <v>9264</v>
      </c>
      <c r="G2008" s="2" t="s">
        <v>328</v>
      </c>
      <c r="H2008" s="17">
        <v>25</v>
      </c>
      <c r="I2008" s="31">
        <f t="shared" si="198"/>
        <v>25000</v>
      </c>
      <c r="J2008" s="31">
        <f t="shared" si="199"/>
        <v>1750.0000000000002</v>
      </c>
      <c r="K2008" s="44">
        <f t="shared" si="200"/>
        <v>4.794520547945206</v>
      </c>
      <c r="L2008" s="3">
        <f t="shared" si="201"/>
        <v>354.79452054794524</v>
      </c>
      <c r="M2008" s="3">
        <f t="shared" si="202"/>
        <v>21.287671232876715</v>
      </c>
      <c r="N2008" s="67">
        <f t="shared" si="203"/>
        <v>333.50684931506851</v>
      </c>
      <c r="O2008" s="3"/>
      <c r="P2008" s="70" t="s">
        <v>18615</v>
      </c>
      <c r="Q2008" s="2" t="s">
        <v>40</v>
      </c>
      <c r="R2008" s="2" t="s">
        <v>9265</v>
      </c>
      <c r="T2008" t="s">
        <v>18666</v>
      </c>
      <c r="U2008" t="s">
        <v>18652</v>
      </c>
      <c r="V2008" s="104">
        <v>45857</v>
      </c>
      <c r="X2008" s="97"/>
      <c r="Y2008" s="75">
        <v>333.51</v>
      </c>
    </row>
    <row r="2009" spans="1:25" x14ac:dyDescent="0.25">
      <c r="A2009" s="76">
        <v>2041</v>
      </c>
      <c r="B2009" s="2" t="s">
        <v>11619</v>
      </c>
      <c r="C2009" s="2" t="s">
        <v>11620</v>
      </c>
      <c r="D2009" s="2" t="s">
        <v>11621</v>
      </c>
      <c r="E2009" s="2" t="s">
        <v>11622</v>
      </c>
      <c r="F2009" s="2" t="s">
        <v>11623</v>
      </c>
      <c r="G2009" s="2" t="s">
        <v>743</v>
      </c>
      <c r="H2009" s="17">
        <v>25</v>
      </c>
      <c r="I2009" s="31">
        <f t="shared" si="198"/>
        <v>25000</v>
      </c>
      <c r="J2009" s="31">
        <f t="shared" si="199"/>
        <v>1750.0000000000002</v>
      </c>
      <c r="K2009" s="44">
        <f t="shared" si="200"/>
        <v>4.794520547945206</v>
      </c>
      <c r="L2009" s="3">
        <f t="shared" si="201"/>
        <v>354.79452054794524</v>
      </c>
      <c r="M2009" s="3">
        <f t="shared" si="202"/>
        <v>21.287671232876715</v>
      </c>
      <c r="N2009" s="67">
        <f t="shared" si="203"/>
        <v>333.50684931506851</v>
      </c>
      <c r="O2009" s="3"/>
      <c r="P2009" s="70" t="s">
        <v>18615</v>
      </c>
      <c r="Q2009" s="2" t="s">
        <v>40</v>
      </c>
      <c r="R2009" s="2" t="s">
        <v>11624</v>
      </c>
      <c r="T2009" t="s">
        <v>18666</v>
      </c>
      <c r="U2009" t="s">
        <v>18652</v>
      </c>
      <c r="V2009" s="104">
        <v>45857</v>
      </c>
      <c r="X2009" s="97"/>
      <c r="Y2009" s="75">
        <v>333.51</v>
      </c>
    </row>
    <row r="2010" spans="1:25" x14ac:dyDescent="0.25">
      <c r="A2010" s="76">
        <v>2042</v>
      </c>
      <c r="B2010" s="2" t="s">
        <v>11796</v>
      </c>
      <c r="C2010" s="2" t="s">
        <v>11797</v>
      </c>
      <c r="D2010" s="2" t="s">
        <v>11798</v>
      </c>
      <c r="E2010" s="2" t="s">
        <v>11799</v>
      </c>
      <c r="F2010" s="2" t="s">
        <v>11800</v>
      </c>
      <c r="G2010" s="2" t="s">
        <v>23</v>
      </c>
      <c r="H2010" s="17">
        <v>25</v>
      </c>
      <c r="I2010" s="31">
        <f t="shared" si="198"/>
        <v>25000</v>
      </c>
      <c r="J2010" s="31">
        <f t="shared" si="199"/>
        <v>1750.0000000000002</v>
      </c>
      <c r="K2010" s="44">
        <f t="shared" si="200"/>
        <v>4.794520547945206</v>
      </c>
      <c r="L2010" s="3">
        <f t="shared" si="201"/>
        <v>354.79452054794524</v>
      </c>
      <c r="M2010" s="3">
        <f t="shared" si="202"/>
        <v>21.287671232876715</v>
      </c>
      <c r="N2010" s="67">
        <f t="shared" si="203"/>
        <v>333.50684931506851</v>
      </c>
      <c r="O2010" s="3"/>
      <c r="P2010" s="70" t="s">
        <v>18615</v>
      </c>
      <c r="Q2010" s="2" t="s">
        <v>40</v>
      </c>
      <c r="R2010" s="2" t="s">
        <v>11801</v>
      </c>
      <c r="T2010" t="s">
        <v>18666</v>
      </c>
      <c r="U2010" t="s">
        <v>18652</v>
      </c>
      <c r="V2010" s="104">
        <v>45857</v>
      </c>
      <c r="X2010" s="97"/>
      <c r="Y2010" s="75">
        <v>333.51</v>
      </c>
    </row>
    <row r="2011" spans="1:25" x14ac:dyDescent="0.25">
      <c r="A2011" s="76">
        <v>2043</v>
      </c>
      <c r="B2011" s="2" t="s">
        <v>10739</v>
      </c>
      <c r="C2011" s="2" t="s">
        <v>10740</v>
      </c>
      <c r="D2011" s="2" t="s">
        <v>10741</v>
      </c>
      <c r="E2011" s="2" t="s">
        <v>10742</v>
      </c>
      <c r="F2011" s="2" t="s">
        <v>10743</v>
      </c>
      <c r="G2011" s="2" t="s">
        <v>261</v>
      </c>
      <c r="H2011" s="17">
        <v>25</v>
      </c>
      <c r="I2011" s="31">
        <f t="shared" si="198"/>
        <v>25000</v>
      </c>
      <c r="J2011" s="31">
        <f t="shared" si="199"/>
        <v>1750.0000000000002</v>
      </c>
      <c r="K2011" s="44">
        <f t="shared" si="200"/>
        <v>4.794520547945206</v>
      </c>
      <c r="L2011" s="3">
        <f t="shared" si="201"/>
        <v>354.79452054794524</v>
      </c>
      <c r="M2011" s="3">
        <f t="shared" si="202"/>
        <v>21.287671232876715</v>
      </c>
      <c r="N2011" s="67">
        <f t="shared" si="203"/>
        <v>333.50684931506851</v>
      </c>
      <c r="O2011" s="3"/>
      <c r="P2011" s="70" t="s">
        <v>18615</v>
      </c>
      <c r="Q2011" s="2" t="s">
        <v>40</v>
      </c>
      <c r="R2011" s="2" t="s">
        <v>10744</v>
      </c>
      <c r="T2011" t="s">
        <v>18666</v>
      </c>
      <c r="U2011" t="s">
        <v>18652</v>
      </c>
      <c r="V2011" s="104">
        <v>45857</v>
      </c>
      <c r="X2011" s="97"/>
      <c r="Y2011" s="75">
        <v>333.51</v>
      </c>
    </row>
    <row r="2012" spans="1:25" x14ac:dyDescent="0.25">
      <c r="A2012" s="76">
        <v>2044</v>
      </c>
      <c r="B2012" s="2" t="s">
        <v>34</v>
      </c>
      <c r="C2012" s="2" t="s">
        <v>35</v>
      </c>
      <c r="D2012" s="2" t="s">
        <v>36</v>
      </c>
      <c r="E2012" s="2" t="s">
        <v>37</v>
      </c>
      <c r="F2012" s="2" t="s">
        <v>38</v>
      </c>
      <c r="G2012" s="2" t="s">
        <v>39</v>
      </c>
      <c r="H2012" s="17">
        <v>50</v>
      </c>
      <c r="I2012" s="31">
        <f t="shared" si="198"/>
        <v>50000</v>
      </c>
      <c r="J2012" s="31">
        <f t="shared" si="199"/>
        <v>3500.0000000000005</v>
      </c>
      <c r="K2012" s="44">
        <f t="shared" si="200"/>
        <v>9.589041095890412</v>
      </c>
      <c r="L2012" s="3">
        <f t="shared" si="201"/>
        <v>709.58904109589048</v>
      </c>
      <c r="M2012" s="3">
        <f t="shared" si="202"/>
        <v>42.57534246575343</v>
      </c>
      <c r="N2012" s="67">
        <f t="shared" si="203"/>
        <v>667.01369863013701</v>
      </c>
      <c r="O2012" s="3"/>
      <c r="P2012" s="70" t="s">
        <v>18615</v>
      </c>
      <c r="Q2012" s="2" t="s">
        <v>40</v>
      </c>
      <c r="R2012" s="2" t="s">
        <v>41</v>
      </c>
      <c r="T2012" t="s">
        <v>18666</v>
      </c>
      <c r="U2012" t="s">
        <v>18652</v>
      </c>
      <c r="V2012" s="104">
        <v>45857</v>
      </c>
      <c r="X2012" s="97"/>
      <c r="Y2012" s="75">
        <v>667.02</v>
      </c>
    </row>
    <row r="2013" spans="1:25" x14ac:dyDescent="0.25">
      <c r="A2013" s="76">
        <v>2045</v>
      </c>
      <c r="B2013" s="2" t="s">
        <v>7197</v>
      </c>
      <c r="C2013" s="2" t="s">
        <v>7198</v>
      </c>
      <c r="D2013" s="2" t="s">
        <v>7199</v>
      </c>
      <c r="E2013" s="2" t="s">
        <v>7200</v>
      </c>
      <c r="F2013" s="2" t="s">
        <v>7201</v>
      </c>
      <c r="G2013" s="2" t="s">
        <v>247</v>
      </c>
      <c r="H2013" s="17">
        <v>25</v>
      </c>
      <c r="I2013" s="31">
        <f t="shared" si="198"/>
        <v>25000</v>
      </c>
      <c r="J2013" s="31">
        <f t="shared" si="199"/>
        <v>1750.0000000000002</v>
      </c>
      <c r="K2013" s="44">
        <f t="shared" si="200"/>
        <v>4.794520547945206</v>
      </c>
      <c r="L2013" s="3">
        <f t="shared" si="201"/>
        <v>354.79452054794524</v>
      </c>
      <c r="M2013" s="3">
        <f t="shared" si="202"/>
        <v>21.287671232876715</v>
      </c>
      <c r="N2013" s="67">
        <f t="shared" si="203"/>
        <v>333.50684931506851</v>
      </c>
      <c r="O2013" s="3"/>
      <c r="P2013" s="70" t="s">
        <v>18615</v>
      </c>
      <c r="Q2013" s="2" t="s">
        <v>40</v>
      </c>
      <c r="R2013" s="2" t="s">
        <v>7202</v>
      </c>
      <c r="T2013" t="s">
        <v>18666</v>
      </c>
      <c r="U2013" t="s">
        <v>18652</v>
      </c>
      <c r="V2013" s="104">
        <v>45857</v>
      </c>
      <c r="X2013" s="97"/>
      <c r="Y2013" s="75">
        <v>333.51</v>
      </c>
    </row>
    <row r="2014" spans="1:25" x14ac:dyDescent="0.25">
      <c r="A2014" s="76">
        <v>2046</v>
      </c>
      <c r="B2014" s="2" t="s">
        <v>11394</v>
      </c>
      <c r="C2014" s="2" t="s">
        <v>11395</v>
      </c>
      <c r="D2014" s="2" t="s">
        <v>11396</v>
      </c>
      <c r="E2014" s="2" t="s">
        <v>11397</v>
      </c>
      <c r="F2014" s="2" t="s">
        <v>11398</v>
      </c>
      <c r="G2014" s="2" t="s">
        <v>31</v>
      </c>
      <c r="H2014" s="17">
        <v>25</v>
      </c>
      <c r="I2014" s="31">
        <f t="shared" si="198"/>
        <v>25000</v>
      </c>
      <c r="J2014" s="31">
        <f t="shared" si="199"/>
        <v>1750.0000000000002</v>
      </c>
      <c r="K2014" s="44">
        <f t="shared" si="200"/>
        <v>4.794520547945206</v>
      </c>
      <c r="L2014" s="3">
        <f t="shared" si="201"/>
        <v>354.79452054794524</v>
      </c>
      <c r="M2014" s="3">
        <f t="shared" si="202"/>
        <v>21.287671232876715</v>
      </c>
      <c r="N2014" s="67">
        <f t="shared" si="203"/>
        <v>333.50684931506851</v>
      </c>
      <c r="O2014" s="3"/>
      <c r="P2014" s="70" t="s">
        <v>18615</v>
      </c>
      <c r="Q2014" s="2" t="s">
        <v>40</v>
      </c>
      <c r="R2014" s="2" t="s">
        <v>11399</v>
      </c>
      <c r="T2014" t="s">
        <v>18666</v>
      </c>
      <c r="U2014" t="s">
        <v>18652</v>
      </c>
      <c r="V2014" s="104">
        <v>45857</v>
      </c>
      <c r="X2014" s="97"/>
      <c r="Y2014" s="75">
        <v>333.51</v>
      </c>
    </row>
    <row r="2015" spans="1:25" x14ac:dyDescent="0.25">
      <c r="A2015" s="76">
        <v>2047</v>
      </c>
      <c r="B2015" s="2" t="s">
        <v>9358</v>
      </c>
      <c r="C2015" s="2" t="s">
        <v>9359</v>
      </c>
      <c r="D2015" s="2" t="s">
        <v>9360</v>
      </c>
      <c r="E2015" s="2" t="s">
        <v>9361</v>
      </c>
      <c r="F2015" s="2" t="s">
        <v>9362</v>
      </c>
      <c r="G2015" s="2" t="s">
        <v>643</v>
      </c>
      <c r="H2015" s="17">
        <v>25</v>
      </c>
      <c r="I2015" s="31">
        <f t="shared" si="198"/>
        <v>25000</v>
      </c>
      <c r="J2015" s="31">
        <f t="shared" si="199"/>
        <v>1750.0000000000002</v>
      </c>
      <c r="K2015" s="44">
        <f t="shared" si="200"/>
        <v>4.794520547945206</v>
      </c>
      <c r="L2015" s="3">
        <f t="shared" si="201"/>
        <v>354.79452054794524</v>
      </c>
      <c r="M2015" s="3">
        <f t="shared" si="202"/>
        <v>21.287671232876715</v>
      </c>
      <c r="N2015" s="67">
        <f t="shared" si="203"/>
        <v>333.50684931506851</v>
      </c>
      <c r="O2015" s="3"/>
      <c r="P2015" s="70" t="s">
        <v>18615</v>
      </c>
      <c r="Q2015" s="2" t="s">
        <v>40</v>
      </c>
      <c r="R2015" s="2" t="s">
        <v>9363</v>
      </c>
      <c r="T2015" t="s">
        <v>18666</v>
      </c>
      <c r="U2015" t="s">
        <v>18652</v>
      </c>
      <c r="V2015" s="104">
        <v>45857</v>
      </c>
      <c r="X2015" s="97"/>
      <c r="Y2015" s="75">
        <v>333.51</v>
      </c>
    </row>
    <row r="2016" spans="1:25" x14ac:dyDescent="0.25">
      <c r="A2016" s="76">
        <v>2048</v>
      </c>
      <c r="B2016" s="2" t="s">
        <v>10511</v>
      </c>
      <c r="C2016" s="2" t="s">
        <v>10512</v>
      </c>
      <c r="D2016" s="2" t="s">
        <v>10513</v>
      </c>
      <c r="E2016" s="2" t="s">
        <v>10514</v>
      </c>
      <c r="F2016" s="2" t="s">
        <v>10515</v>
      </c>
      <c r="G2016" s="2" t="s">
        <v>750</v>
      </c>
      <c r="H2016" s="17">
        <v>100</v>
      </c>
      <c r="I2016" s="31">
        <f t="shared" si="198"/>
        <v>100000</v>
      </c>
      <c r="J2016" s="31">
        <f t="shared" si="199"/>
        <v>7000.0000000000009</v>
      </c>
      <c r="K2016" s="44">
        <f t="shared" si="200"/>
        <v>19.178082191780824</v>
      </c>
      <c r="L2016" s="3">
        <f t="shared" si="201"/>
        <v>1419.178082191781</v>
      </c>
      <c r="M2016" s="3">
        <f t="shared" si="202"/>
        <v>85.150684931506859</v>
      </c>
      <c r="N2016" s="67">
        <f t="shared" si="203"/>
        <v>1334.027397260274</v>
      </c>
      <c r="O2016" s="3"/>
      <c r="P2016" s="70" t="s">
        <v>18615</v>
      </c>
      <c r="Q2016" s="2" t="s">
        <v>40</v>
      </c>
      <c r="R2016" s="2" t="s">
        <v>10516</v>
      </c>
      <c r="T2016" t="s">
        <v>18666</v>
      </c>
      <c r="U2016" t="s">
        <v>18652</v>
      </c>
      <c r="V2016" s="104">
        <v>45857</v>
      </c>
      <c r="X2016" s="97"/>
      <c r="Y2016" s="75">
        <v>1334.03</v>
      </c>
    </row>
    <row r="2017" spans="1:25" x14ac:dyDescent="0.25">
      <c r="A2017" s="76">
        <v>2049</v>
      </c>
      <c r="B2017" s="2" t="s">
        <v>7353</v>
      </c>
      <c r="C2017" s="2" t="s">
        <v>7354</v>
      </c>
      <c r="D2017" s="2" t="s">
        <v>7355</v>
      </c>
      <c r="E2017" s="2" t="s">
        <v>7356</v>
      </c>
      <c r="F2017" s="2" t="s">
        <v>7357</v>
      </c>
      <c r="G2017" s="2" t="s">
        <v>599</v>
      </c>
      <c r="H2017" s="17">
        <v>25</v>
      </c>
      <c r="I2017" s="31">
        <f t="shared" si="198"/>
        <v>25000</v>
      </c>
      <c r="J2017" s="31">
        <f t="shared" si="199"/>
        <v>1750.0000000000002</v>
      </c>
      <c r="K2017" s="44">
        <f t="shared" si="200"/>
        <v>4.794520547945206</v>
      </c>
      <c r="L2017" s="3">
        <f t="shared" si="201"/>
        <v>354.79452054794524</v>
      </c>
      <c r="M2017" s="3">
        <f t="shared" si="202"/>
        <v>21.287671232876715</v>
      </c>
      <c r="N2017" s="67">
        <f t="shared" si="203"/>
        <v>333.50684931506851</v>
      </c>
      <c r="O2017" s="3"/>
      <c r="P2017" s="70" t="s">
        <v>18615</v>
      </c>
      <c r="Q2017" s="2" t="s">
        <v>40</v>
      </c>
      <c r="R2017" s="2" t="s">
        <v>7358</v>
      </c>
      <c r="T2017" t="s">
        <v>18666</v>
      </c>
      <c r="U2017" t="s">
        <v>18652</v>
      </c>
      <c r="V2017" s="104">
        <v>45857</v>
      </c>
      <c r="X2017" s="97"/>
      <c r="Y2017" s="75">
        <v>333.51</v>
      </c>
    </row>
    <row r="2018" spans="1:25" x14ac:dyDescent="0.25">
      <c r="A2018" s="76">
        <v>2050</v>
      </c>
      <c r="B2018" s="2" t="s">
        <v>7901</v>
      </c>
      <c r="C2018" s="2" t="s">
        <v>7902</v>
      </c>
      <c r="D2018" s="2" t="s">
        <v>7903</v>
      </c>
      <c r="E2018" s="2" t="s">
        <v>7904</v>
      </c>
      <c r="F2018" s="2" t="s">
        <v>7905</v>
      </c>
      <c r="G2018" s="2" t="s">
        <v>328</v>
      </c>
      <c r="H2018" s="17">
        <v>25</v>
      </c>
      <c r="I2018" s="31">
        <f t="shared" si="198"/>
        <v>25000</v>
      </c>
      <c r="J2018" s="31">
        <f t="shared" si="199"/>
        <v>1750.0000000000002</v>
      </c>
      <c r="K2018" s="44">
        <f t="shared" si="200"/>
        <v>4.794520547945206</v>
      </c>
      <c r="L2018" s="3">
        <f t="shared" si="201"/>
        <v>354.79452054794524</v>
      </c>
      <c r="M2018" s="3">
        <f t="shared" si="202"/>
        <v>21.287671232876715</v>
      </c>
      <c r="N2018" s="67">
        <f t="shared" si="203"/>
        <v>333.50684931506851</v>
      </c>
      <c r="O2018" s="3"/>
      <c r="P2018" s="70" t="s">
        <v>18615</v>
      </c>
      <c r="Q2018" s="2" t="s">
        <v>40</v>
      </c>
      <c r="R2018" s="2" t="s">
        <v>7906</v>
      </c>
      <c r="T2018" t="s">
        <v>18666</v>
      </c>
      <c r="U2018" t="s">
        <v>18652</v>
      </c>
      <c r="V2018" s="104">
        <v>45857</v>
      </c>
      <c r="X2018" s="97"/>
      <c r="Y2018" s="75">
        <v>333.51</v>
      </c>
    </row>
    <row r="2019" spans="1:25" x14ac:dyDescent="0.25">
      <c r="A2019" s="76">
        <v>2051</v>
      </c>
      <c r="B2019" s="2" t="s">
        <v>2369</v>
      </c>
      <c r="C2019" s="2" t="s">
        <v>2370</v>
      </c>
      <c r="D2019" s="2" t="s">
        <v>2371</v>
      </c>
      <c r="E2019" s="2" t="s">
        <v>2372</v>
      </c>
      <c r="F2019" s="2" t="s">
        <v>2373</v>
      </c>
      <c r="G2019" s="2" t="s">
        <v>750</v>
      </c>
      <c r="H2019" s="17">
        <v>25</v>
      </c>
      <c r="I2019" s="31">
        <f t="shared" si="198"/>
        <v>25000</v>
      </c>
      <c r="J2019" s="31">
        <f t="shared" si="199"/>
        <v>1750.0000000000002</v>
      </c>
      <c r="K2019" s="44">
        <f t="shared" si="200"/>
        <v>4.794520547945206</v>
      </c>
      <c r="L2019" s="3">
        <f t="shared" si="201"/>
        <v>354.79452054794524</v>
      </c>
      <c r="M2019" s="3">
        <f t="shared" si="202"/>
        <v>21.287671232876715</v>
      </c>
      <c r="N2019" s="67">
        <f t="shared" si="203"/>
        <v>333.50684931506851</v>
      </c>
      <c r="O2019" s="3"/>
      <c r="P2019" s="70" t="s">
        <v>18615</v>
      </c>
      <c r="Q2019" s="2" t="s">
        <v>40</v>
      </c>
      <c r="R2019" s="2" t="s">
        <v>2374</v>
      </c>
      <c r="T2019" t="s">
        <v>18666</v>
      </c>
      <c r="U2019" t="s">
        <v>18652</v>
      </c>
      <c r="V2019" s="104">
        <v>45857</v>
      </c>
      <c r="X2019" s="97"/>
      <c r="Y2019" s="75">
        <v>333.51</v>
      </c>
    </row>
    <row r="2020" spans="1:25" x14ac:dyDescent="0.25">
      <c r="A2020" s="76">
        <v>2052</v>
      </c>
      <c r="B2020" s="2" t="s">
        <v>16967</v>
      </c>
      <c r="C2020" s="2" t="s">
        <v>16968</v>
      </c>
      <c r="D2020" s="2" t="s">
        <v>16969</v>
      </c>
      <c r="E2020" s="2" t="s">
        <v>16970</v>
      </c>
      <c r="F2020" s="2" t="s">
        <v>16971</v>
      </c>
      <c r="G2020" s="2" t="s">
        <v>247</v>
      </c>
      <c r="H2020" s="17">
        <v>25</v>
      </c>
      <c r="I2020" s="31">
        <f t="shared" si="198"/>
        <v>25000</v>
      </c>
      <c r="J2020" s="31">
        <f t="shared" si="199"/>
        <v>1750.0000000000002</v>
      </c>
      <c r="K2020" s="44">
        <f t="shared" si="200"/>
        <v>4.794520547945206</v>
      </c>
      <c r="L2020" s="3">
        <f t="shared" si="201"/>
        <v>354.79452054794524</v>
      </c>
      <c r="M2020" s="3">
        <f t="shared" si="202"/>
        <v>21.287671232876715</v>
      </c>
      <c r="N2020" s="67">
        <f t="shared" si="203"/>
        <v>333.50684931506851</v>
      </c>
      <c r="O2020" s="3"/>
      <c r="P2020" s="70" t="s">
        <v>18615</v>
      </c>
      <c r="Q2020" s="2" t="s">
        <v>40</v>
      </c>
      <c r="R2020" s="2" t="s">
        <v>16972</v>
      </c>
      <c r="T2020" t="s">
        <v>18666</v>
      </c>
      <c r="U2020" t="s">
        <v>18652</v>
      </c>
      <c r="V2020" s="104">
        <v>45857</v>
      </c>
      <c r="X2020" s="97"/>
      <c r="Y2020" s="75">
        <v>333.51</v>
      </c>
    </row>
    <row r="2021" spans="1:25" x14ac:dyDescent="0.25">
      <c r="A2021" s="76">
        <v>2053</v>
      </c>
      <c r="B2021" s="2" t="s">
        <v>2120</v>
      </c>
      <c r="C2021" s="2" t="s">
        <v>2121</v>
      </c>
      <c r="D2021" s="2" t="s">
        <v>2122</v>
      </c>
      <c r="E2021" s="2" t="s">
        <v>2123</v>
      </c>
      <c r="F2021" s="2" t="s">
        <v>2124</v>
      </c>
      <c r="G2021" s="2" t="s">
        <v>618</v>
      </c>
      <c r="H2021" s="17">
        <v>25</v>
      </c>
      <c r="I2021" s="31">
        <f t="shared" si="198"/>
        <v>25000</v>
      </c>
      <c r="J2021" s="31">
        <f t="shared" si="199"/>
        <v>1750.0000000000002</v>
      </c>
      <c r="K2021" s="44">
        <f t="shared" si="200"/>
        <v>4.794520547945206</v>
      </c>
      <c r="L2021" s="3">
        <f t="shared" si="201"/>
        <v>354.79452054794524</v>
      </c>
      <c r="M2021" s="3">
        <f t="shared" si="202"/>
        <v>21.287671232876715</v>
      </c>
      <c r="N2021" s="67">
        <f t="shared" si="203"/>
        <v>333.50684931506851</v>
      </c>
      <c r="O2021" s="3"/>
      <c r="P2021" s="70" t="s">
        <v>18615</v>
      </c>
      <c r="Q2021" s="2" t="s">
        <v>40</v>
      </c>
      <c r="R2021" s="2" t="s">
        <v>2125</v>
      </c>
      <c r="T2021" t="s">
        <v>18666</v>
      </c>
      <c r="U2021" t="s">
        <v>18652</v>
      </c>
      <c r="V2021" s="104">
        <v>45857</v>
      </c>
      <c r="X2021" s="97"/>
      <c r="Y2021" s="75">
        <v>333.51</v>
      </c>
    </row>
    <row r="2022" spans="1:25" x14ac:dyDescent="0.25">
      <c r="A2022" s="76">
        <v>2054</v>
      </c>
      <c r="B2022" s="2" t="s">
        <v>7046</v>
      </c>
      <c r="C2022" s="2" t="s">
        <v>7047</v>
      </c>
      <c r="D2022" s="2" t="s">
        <v>7048</v>
      </c>
      <c r="E2022" s="2" t="s">
        <v>7049</v>
      </c>
      <c r="F2022" s="2" t="s">
        <v>7050</v>
      </c>
      <c r="G2022" s="2" t="s">
        <v>282</v>
      </c>
      <c r="H2022" s="17">
        <v>200</v>
      </c>
      <c r="I2022" s="31">
        <f t="shared" si="198"/>
        <v>200000</v>
      </c>
      <c r="J2022" s="31">
        <f t="shared" si="199"/>
        <v>14000.000000000002</v>
      </c>
      <c r="K2022" s="44">
        <f t="shared" si="200"/>
        <v>38.356164383561648</v>
      </c>
      <c r="L2022" s="3">
        <f t="shared" si="201"/>
        <v>2838.3561643835619</v>
      </c>
      <c r="M2022" s="3">
        <f t="shared" si="202"/>
        <v>170.30136986301372</v>
      </c>
      <c r="N2022" s="67">
        <f t="shared" si="203"/>
        <v>2668.0547945205481</v>
      </c>
      <c r="O2022" s="3"/>
      <c r="P2022" s="70" t="s">
        <v>18615</v>
      </c>
      <c r="Q2022" s="2" t="s">
        <v>40</v>
      </c>
      <c r="R2022" s="2" t="s">
        <v>7051</v>
      </c>
      <c r="T2022" t="s">
        <v>18666</v>
      </c>
      <c r="U2022" t="s">
        <v>18652</v>
      </c>
      <c r="V2022" s="104">
        <v>45857</v>
      </c>
      <c r="X2022" s="97"/>
      <c r="Y2022" s="75">
        <v>2668.0600000000004</v>
      </c>
    </row>
    <row r="2023" spans="1:25" x14ac:dyDescent="0.25">
      <c r="A2023" s="76">
        <v>2055</v>
      </c>
      <c r="B2023" s="2" t="s">
        <v>14940</v>
      </c>
      <c r="C2023" s="2" t="s">
        <v>14941</v>
      </c>
      <c r="D2023" s="2" t="s">
        <v>14942</v>
      </c>
      <c r="E2023" s="2" t="s">
        <v>14943</v>
      </c>
      <c r="F2023" s="2" t="s">
        <v>14944</v>
      </c>
      <c r="G2023" s="2" t="s">
        <v>31</v>
      </c>
      <c r="H2023" s="17">
        <v>50</v>
      </c>
      <c r="I2023" s="31">
        <f t="shared" si="198"/>
        <v>50000</v>
      </c>
      <c r="J2023" s="31">
        <f t="shared" si="199"/>
        <v>3500.0000000000005</v>
      </c>
      <c r="K2023" s="44">
        <f t="shared" si="200"/>
        <v>9.589041095890412</v>
      </c>
      <c r="L2023" s="3">
        <f t="shared" si="201"/>
        <v>709.58904109589048</v>
      </c>
      <c r="M2023" s="3">
        <f t="shared" si="202"/>
        <v>42.57534246575343</v>
      </c>
      <c r="N2023" s="67">
        <f t="shared" si="203"/>
        <v>667.01369863013701</v>
      </c>
      <c r="O2023" s="3"/>
      <c r="P2023" s="70" t="s">
        <v>18615</v>
      </c>
      <c r="Q2023" s="2" t="s">
        <v>40</v>
      </c>
      <c r="R2023" s="2" t="s">
        <v>14945</v>
      </c>
      <c r="T2023" t="s">
        <v>18666</v>
      </c>
      <c r="U2023" t="s">
        <v>18652</v>
      </c>
      <c r="V2023" s="104">
        <v>45857</v>
      </c>
      <c r="X2023" s="97"/>
      <c r="Y2023" s="75">
        <v>667.02</v>
      </c>
    </row>
    <row r="2024" spans="1:25" x14ac:dyDescent="0.25">
      <c r="A2024" s="76">
        <v>2056</v>
      </c>
      <c r="B2024" s="2" t="s">
        <v>9780</v>
      </c>
      <c r="C2024" s="2" t="s">
        <v>9781</v>
      </c>
      <c r="D2024" s="2" t="s">
        <v>9782</v>
      </c>
      <c r="E2024" s="2" t="s">
        <v>9783</v>
      </c>
      <c r="F2024" s="2" t="s">
        <v>9784</v>
      </c>
      <c r="G2024" s="2" t="s">
        <v>381</v>
      </c>
      <c r="H2024" s="17">
        <v>50</v>
      </c>
      <c r="I2024" s="31">
        <f t="shared" si="198"/>
        <v>50000</v>
      </c>
      <c r="J2024" s="31">
        <f t="shared" si="199"/>
        <v>3500.0000000000005</v>
      </c>
      <c r="K2024" s="44">
        <f t="shared" si="200"/>
        <v>9.589041095890412</v>
      </c>
      <c r="L2024" s="3">
        <f t="shared" si="201"/>
        <v>709.58904109589048</v>
      </c>
      <c r="M2024" s="3">
        <f t="shared" si="202"/>
        <v>42.57534246575343</v>
      </c>
      <c r="N2024" s="67">
        <f t="shared" si="203"/>
        <v>667.01369863013701</v>
      </c>
      <c r="O2024" s="3"/>
      <c r="P2024" s="70" t="s">
        <v>18615</v>
      </c>
      <c r="Q2024" s="2" t="s">
        <v>40</v>
      </c>
      <c r="R2024" s="2" t="s">
        <v>9785</v>
      </c>
      <c r="T2024" t="s">
        <v>18666</v>
      </c>
      <c r="U2024" t="s">
        <v>18652</v>
      </c>
      <c r="V2024" s="104">
        <v>45857</v>
      </c>
      <c r="X2024" s="97"/>
      <c r="Y2024" s="75">
        <v>667.02</v>
      </c>
    </row>
    <row r="2025" spans="1:25" x14ac:dyDescent="0.25">
      <c r="A2025" s="76">
        <v>2057</v>
      </c>
      <c r="B2025" s="2" t="s">
        <v>7052</v>
      </c>
      <c r="C2025" s="2" t="s">
        <v>7053</v>
      </c>
      <c r="D2025" s="2" t="s">
        <v>7054</v>
      </c>
      <c r="E2025" s="2" t="s">
        <v>5560</v>
      </c>
      <c r="F2025" s="2" t="s">
        <v>7055</v>
      </c>
      <c r="G2025" s="2" t="s">
        <v>2380</v>
      </c>
      <c r="H2025" s="17">
        <v>25</v>
      </c>
      <c r="I2025" s="31">
        <f t="shared" si="198"/>
        <v>25000</v>
      </c>
      <c r="J2025" s="31">
        <f t="shared" si="199"/>
        <v>1750.0000000000002</v>
      </c>
      <c r="K2025" s="44">
        <f t="shared" si="200"/>
        <v>4.794520547945206</v>
      </c>
      <c r="L2025" s="3">
        <f t="shared" si="201"/>
        <v>354.79452054794524</v>
      </c>
      <c r="M2025" s="3">
        <f t="shared" si="202"/>
        <v>21.287671232876715</v>
      </c>
      <c r="N2025" s="67">
        <f t="shared" si="203"/>
        <v>333.50684931506851</v>
      </c>
      <c r="O2025" s="3"/>
      <c r="P2025" s="70" t="s">
        <v>18615</v>
      </c>
      <c r="Q2025" s="2" t="s">
        <v>40</v>
      </c>
      <c r="R2025" s="2" t="s">
        <v>7056</v>
      </c>
      <c r="T2025" t="s">
        <v>18666</v>
      </c>
      <c r="U2025" t="s">
        <v>18652</v>
      </c>
      <c r="V2025" s="104">
        <v>45857</v>
      </c>
      <c r="X2025" s="97"/>
      <c r="Y2025" s="75">
        <v>333.51</v>
      </c>
    </row>
    <row r="2026" spans="1:25" x14ac:dyDescent="0.25">
      <c r="A2026" s="76">
        <v>2058</v>
      </c>
      <c r="B2026" s="2" t="s">
        <v>16916</v>
      </c>
      <c r="C2026" s="2" t="s">
        <v>16917</v>
      </c>
      <c r="D2026" s="2" t="s">
        <v>16918</v>
      </c>
      <c r="E2026" s="2" t="s">
        <v>14586</v>
      </c>
      <c r="F2026" s="2" t="s">
        <v>16919</v>
      </c>
      <c r="G2026" s="2" t="s">
        <v>2571</v>
      </c>
      <c r="H2026" s="17">
        <v>25</v>
      </c>
      <c r="I2026" s="31">
        <f t="shared" si="198"/>
        <v>25000</v>
      </c>
      <c r="J2026" s="31">
        <f t="shared" si="199"/>
        <v>1750.0000000000002</v>
      </c>
      <c r="K2026" s="44">
        <f t="shared" si="200"/>
        <v>4.794520547945206</v>
      </c>
      <c r="L2026" s="3">
        <f t="shared" si="201"/>
        <v>354.79452054794524</v>
      </c>
      <c r="M2026" s="3">
        <f t="shared" si="202"/>
        <v>21.287671232876715</v>
      </c>
      <c r="N2026" s="67">
        <f t="shared" si="203"/>
        <v>333.50684931506851</v>
      </c>
      <c r="O2026" s="3"/>
      <c r="P2026" s="70" t="s">
        <v>18615</v>
      </c>
      <c r="Q2026" s="2" t="s">
        <v>40</v>
      </c>
      <c r="R2026" s="2" t="s">
        <v>16920</v>
      </c>
      <c r="T2026" t="s">
        <v>18666</v>
      </c>
      <c r="U2026" t="s">
        <v>18652</v>
      </c>
      <c r="V2026" s="104">
        <v>45857</v>
      </c>
      <c r="X2026" s="97"/>
      <c r="Y2026" s="75">
        <v>333.51</v>
      </c>
    </row>
    <row r="2027" spans="1:25" x14ac:dyDescent="0.25">
      <c r="A2027" s="76">
        <v>2059</v>
      </c>
      <c r="B2027" s="2" t="s">
        <v>10312</v>
      </c>
      <c r="C2027" s="2" t="s">
        <v>10313</v>
      </c>
      <c r="D2027" s="2" t="s">
        <v>10314</v>
      </c>
      <c r="E2027" s="2" t="s">
        <v>10315</v>
      </c>
      <c r="F2027" s="2" t="s">
        <v>10316</v>
      </c>
      <c r="G2027" s="2" t="s">
        <v>517</v>
      </c>
      <c r="H2027" s="17">
        <v>50</v>
      </c>
      <c r="I2027" s="31">
        <f t="shared" si="198"/>
        <v>50000</v>
      </c>
      <c r="J2027" s="31">
        <f t="shared" si="199"/>
        <v>3500.0000000000005</v>
      </c>
      <c r="K2027" s="44">
        <f t="shared" si="200"/>
        <v>9.589041095890412</v>
      </c>
      <c r="L2027" s="3">
        <f t="shared" si="201"/>
        <v>709.58904109589048</v>
      </c>
      <c r="M2027" s="3">
        <f t="shared" si="202"/>
        <v>42.57534246575343</v>
      </c>
      <c r="N2027" s="67">
        <f t="shared" si="203"/>
        <v>667.01369863013701</v>
      </c>
      <c r="O2027" s="3"/>
      <c r="P2027" s="70" t="s">
        <v>18615</v>
      </c>
      <c r="Q2027" s="2" t="s">
        <v>40</v>
      </c>
      <c r="R2027" s="2" t="s">
        <v>10317</v>
      </c>
      <c r="T2027" t="s">
        <v>18666</v>
      </c>
      <c r="U2027" t="s">
        <v>18652</v>
      </c>
      <c r="V2027" s="104">
        <v>45857</v>
      </c>
      <c r="X2027" s="97"/>
      <c r="Y2027" s="75">
        <v>667.02</v>
      </c>
    </row>
    <row r="2028" spans="1:25" x14ac:dyDescent="0.25">
      <c r="A2028" s="76">
        <v>2060</v>
      </c>
      <c r="B2028" s="2" t="s">
        <v>10395</v>
      </c>
      <c r="C2028" s="2" t="s">
        <v>10396</v>
      </c>
      <c r="D2028" s="2" t="s">
        <v>10397</v>
      </c>
      <c r="E2028" s="2" t="s">
        <v>10385</v>
      </c>
      <c r="F2028" s="2" t="s">
        <v>10398</v>
      </c>
      <c r="G2028" s="2" t="s">
        <v>618</v>
      </c>
      <c r="H2028" s="17">
        <v>1000</v>
      </c>
      <c r="I2028" s="31">
        <f t="shared" si="198"/>
        <v>1000000</v>
      </c>
      <c r="J2028" s="31">
        <f t="shared" si="199"/>
        <v>70000</v>
      </c>
      <c r="K2028" s="44">
        <f t="shared" si="200"/>
        <v>191.78082191780823</v>
      </c>
      <c r="L2028" s="3">
        <f t="shared" si="201"/>
        <v>14191.780821917808</v>
      </c>
      <c r="M2028" s="3">
        <f t="shared" si="202"/>
        <v>851.50684931506839</v>
      </c>
      <c r="N2028" s="67">
        <f t="shared" si="203"/>
        <v>13340.273972602739</v>
      </c>
      <c r="O2028" s="3"/>
      <c r="P2028" s="70" t="s">
        <v>18615</v>
      </c>
      <c r="Q2028" s="2" t="s">
        <v>40</v>
      </c>
      <c r="R2028" s="2" t="s">
        <v>10399</v>
      </c>
      <c r="T2028" t="s">
        <v>18666</v>
      </c>
      <c r="U2028" t="s">
        <v>18652</v>
      </c>
      <c r="V2028" s="104">
        <v>45857</v>
      </c>
      <c r="X2028" s="97"/>
      <c r="Y2028" s="75">
        <v>13340.28</v>
      </c>
    </row>
    <row r="2029" spans="1:25" x14ac:dyDescent="0.25">
      <c r="A2029" s="76">
        <v>2061</v>
      </c>
      <c r="B2029" s="2" t="s">
        <v>569</v>
      </c>
      <c r="C2029" s="2" t="s">
        <v>570</v>
      </c>
      <c r="D2029" s="2" t="s">
        <v>571</v>
      </c>
      <c r="E2029" s="2" t="s">
        <v>572</v>
      </c>
      <c r="F2029" s="2" t="s">
        <v>573</v>
      </c>
      <c r="G2029" s="2" t="s">
        <v>328</v>
      </c>
      <c r="H2029" s="17">
        <v>25</v>
      </c>
      <c r="I2029" s="31">
        <f t="shared" si="198"/>
        <v>25000</v>
      </c>
      <c r="J2029" s="31">
        <f t="shared" si="199"/>
        <v>1750.0000000000002</v>
      </c>
      <c r="K2029" s="44">
        <f t="shared" si="200"/>
        <v>4.794520547945206</v>
      </c>
      <c r="L2029" s="3">
        <f t="shared" si="201"/>
        <v>354.79452054794524</v>
      </c>
      <c r="M2029" s="3">
        <f t="shared" si="202"/>
        <v>21.287671232876715</v>
      </c>
      <c r="N2029" s="67">
        <f t="shared" si="203"/>
        <v>333.50684931506851</v>
      </c>
      <c r="O2029" s="3"/>
      <c r="P2029" s="70" t="s">
        <v>18615</v>
      </c>
      <c r="Q2029" s="2" t="s">
        <v>40</v>
      </c>
      <c r="R2029" s="2" t="s">
        <v>574</v>
      </c>
      <c r="T2029" t="s">
        <v>18666</v>
      </c>
      <c r="U2029" t="s">
        <v>18652</v>
      </c>
      <c r="V2029" s="104">
        <v>45857</v>
      </c>
      <c r="X2029" s="97"/>
      <c r="Y2029" s="75">
        <v>333.51</v>
      </c>
    </row>
    <row r="2030" spans="1:25" x14ac:dyDescent="0.25">
      <c r="A2030" s="76">
        <v>2062</v>
      </c>
      <c r="B2030" s="2" t="s">
        <v>16191</v>
      </c>
      <c r="C2030" s="2" t="s">
        <v>16192</v>
      </c>
      <c r="D2030" s="2" t="s">
        <v>16193</v>
      </c>
      <c r="E2030" s="2" t="s">
        <v>16194</v>
      </c>
      <c r="F2030" s="2" t="s">
        <v>16195</v>
      </c>
      <c r="G2030" s="2" t="s">
        <v>750</v>
      </c>
      <c r="H2030" s="17">
        <v>25</v>
      </c>
      <c r="I2030" s="31">
        <f t="shared" si="198"/>
        <v>25000</v>
      </c>
      <c r="J2030" s="31">
        <f t="shared" si="199"/>
        <v>1750.0000000000002</v>
      </c>
      <c r="K2030" s="44">
        <f t="shared" si="200"/>
        <v>4.794520547945206</v>
      </c>
      <c r="L2030" s="3">
        <f t="shared" si="201"/>
        <v>354.79452054794524</v>
      </c>
      <c r="M2030" s="3">
        <f t="shared" si="202"/>
        <v>21.287671232876715</v>
      </c>
      <c r="N2030" s="67">
        <f t="shared" si="203"/>
        <v>333.50684931506851</v>
      </c>
      <c r="O2030" s="3"/>
      <c r="P2030" s="70" t="s">
        <v>18615</v>
      </c>
      <c r="Q2030" s="2" t="s">
        <v>40</v>
      </c>
      <c r="R2030" s="2" t="s">
        <v>16196</v>
      </c>
      <c r="T2030" t="s">
        <v>18666</v>
      </c>
      <c r="U2030" t="s">
        <v>18652</v>
      </c>
      <c r="V2030" s="104">
        <v>45857</v>
      </c>
      <c r="X2030" s="97"/>
      <c r="Y2030" s="75">
        <v>333.51</v>
      </c>
    </row>
    <row r="2031" spans="1:25" x14ac:dyDescent="0.25">
      <c r="A2031" s="76">
        <v>2063</v>
      </c>
      <c r="B2031" s="2" t="s">
        <v>14693</v>
      </c>
      <c r="C2031" s="2" t="s">
        <v>14694</v>
      </c>
      <c r="D2031" s="2" t="s">
        <v>14695</v>
      </c>
      <c r="E2031" s="2" t="s">
        <v>14696</v>
      </c>
      <c r="F2031" s="2" t="s">
        <v>14697</v>
      </c>
      <c r="G2031" s="2" t="s">
        <v>750</v>
      </c>
      <c r="H2031" s="17">
        <v>100</v>
      </c>
      <c r="I2031" s="31">
        <f t="shared" si="198"/>
        <v>100000</v>
      </c>
      <c r="J2031" s="31">
        <f t="shared" si="199"/>
        <v>7000.0000000000009</v>
      </c>
      <c r="K2031" s="44">
        <f t="shared" si="200"/>
        <v>19.178082191780824</v>
      </c>
      <c r="L2031" s="3">
        <f t="shared" si="201"/>
        <v>1419.178082191781</v>
      </c>
      <c r="M2031" s="3">
        <f t="shared" si="202"/>
        <v>85.150684931506859</v>
      </c>
      <c r="N2031" s="67">
        <f t="shared" si="203"/>
        <v>1334.027397260274</v>
      </c>
      <c r="O2031" s="3"/>
      <c r="P2031" s="70" t="s">
        <v>18615</v>
      </c>
      <c r="Q2031" s="2" t="s">
        <v>40</v>
      </c>
      <c r="R2031" s="2" t="s">
        <v>14698</v>
      </c>
      <c r="T2031" t="s">
        <v>18666</v>
      </c>
      <c r="U2031" t="s">
        <v>18652</v>
      </c>
      <c r="V2031" s="104">
        <v>45857</v>
      </c>
      <c r="X2031" s="97"/>
      <c r="Y2031" s="75">
        <v>1334.03</v>
      </c>
    </row>
    <row r="2032" spans="1:25" x14ac:dyDescent="0.25">
      <c r="A2032" s="76">
        <v>2064</v>
      </c>
      <c r="B2032" s="2" t="s">
        <v>16647</v>
      </c>
      <c r="C2032" s="2" t="s">
        <v>16648</v>
      </c>
      <c r="D2032" s="2" t="s">
        <v>16649</v>
      </c>
      <c r="E2032" s="2" t="s">
        <v>16650</v>
      </c>
      <c r="F2032" s="2" t="s">
        <v>16651</v>
      </c>
      <c r="G2032" s="2" t="s">
        <v>31</v>
      </c>
      <c r="H2032" s="17">
        <v>25</v>
      </c>
      <c r="I2032" s="31">
        <f t="shared" si="198"/>
        <v>25000</v>
      </c>
      <c r="J2032" s="31">
        <f t="shared" si="199"/>
        <v>1750.0000000000002</v>
      </c>
      <c r="K2032" s="44">
        <f t="shared" si="200"/>
        <v>4.794520547945206</v>
      </c>
      <c r="L2032" s="3">
        <f t="shared" si="201"/>
        <v>354.79452054794524</v>
      </c>
      <c r="M2032" s="3">
        <f t="shared" si="202"/>
        <v>21.287671232876715</v>
      </c>
      <c r="N2032" s="67">
        <f t="shared" si="203"/>
        <v>333.50684931506851</v>
      </c>
      <c r="O2032" s="3"/>
      <c r="P2032" s="70" t="s">
        <v>18615</v>
      </c>
      <c r="Q2032" s="2" t="s">
        <v>40</v>
      </c>
      <c r="R2032" s="2" t="s">
        <v>16652</v>
      </c>
      <c r="T2032" t="s">
        <v>18666</v>
      </c>
      <c r="U2032" t="s">
        <v>18652</v>
      </c>
      <c r="V2032" s="104">
        <v>45857</v>
      </c>
      <c r="X2032" s="97"/>
      <c r="Y2032" s="75">
        <v>333.51</v>
      </c>
    </row>
    <row r="2033" spans="1:25" x14ac:dyDescent="0.25">
      <c r="A2033" s="76">
        <v>2065</v>
      </c>
      <c r="B2033" s="2" t="s">
        <v>4872</v>
      </c>
      <c r="C2033" s="2" t="s">
        <v>4873</v>
      </c>
      <c r="D2033" s="2" t="s">
        <v>4874</v>
      </c>
      <c r="E2033" s="2" t="s">
        <v>4875</v>
      </c>
      <c r="F2033" s="2" t="s">
        <v>4876</v>
      </c>
      <c r="G2033" s="2" t="s">
        <v>247</v>
      </c>
      <c r="H2033" s="17">
        <v>25</v>
      </c>
      <c r="I2033" s="31">
        <f t="shared" si="198"/>
        <v>25000</v>
      </c>
      <c r="J2033" s="31">
        <f t="shared" si="199"/>
        <v>1750.0000000000002</v>
      </c>
      <c r="K2033" s="44">
        <f t="shared" si="200"/>
        <v>4.794520547945206</v>
      </c>
      <c r="L2033" s="3">
        <f t="shared" si="201"/>
        <v>354.79452054794524</v>
      </c>
      <c r="M2033" s="3">
        <f t="shared" si="202"/>
        <v>21.287671232876715</v>
      </c>
      <c r="N2033" s="67">
        <f t="shared" si="203"/>
        <v>333.50684931506851</v>
      </c>
      <c r="O2033" s="3"/>
      <c r="P2033" s="70" t="s">
        <v>18615</v>
      </c>
      <c r="Q2033" s="2" t="s">
        <v>40</v>
      </c>
      <c r="R2033" s="2" t="s">
        <v>4877</v>
      </c>
      <c r="T2033" t="s">
        <v>18666</v>
      </c>
      <c r="U2033" t="s">
        <v>18652</v>
      </c>
      <c r="V2033" s="104">
        <v>45857</v>
      </c>
      <c r="X2033" s="97"/>
      <c r="Y2033" s="75">
        <v>333.51</v>
      </c>
    </row>
    <row r="2034" spans="1:25" x14ac:dyDescent="0.25">
      <c r="A2034" s="76">
        <v>2066</v>
      </c>
      <c r="B2034" s="2" t="s">
        <v>8160</v>
      </c>
      <c r="C2034" s="2" t="s">
        <v>8161</v>
      </c>
      <c r="D2034" s="2" t="s">
        <v>8162</v>
      </c>
      <c r="E2034" s="2" t="s">
        <v>8163</v>
      </c>
      <c r="F2034" s="2" t="s">
        <v>8164</v>
      </c>
      <c r="G2034" s="2" t="s">
        <v>268</v>
      </c>
      <c r="H2034" s="17">
        <v>25</v>
      </c>
      <c r="I2034" s="31">
        <f t="shared" si="198"/>
        <v>25000</v>
      </c>
      <c r="J2034" s="31">
        <f t="shared" si="199"/>
        <v>1750.0000000000002</v>
      </c>
      <c r="K2034" s="44">
        <f t="shared" si="200"/>
        <v>4.794520547945206</v>
      </c>
      <c r="L2034" s="3">
        <f t="shared" si="201"/>
        <v>354.79452054794524</v>
      </c>
      <c r="M2034" s="3">
        <f t="shared" si="202"/>
        <v>21.287671232876715</v>
      </c>
      <c r="N2034" s="67">
        <f t="shared" si="203"/>
        <v>333.50684931506851</v>
      </c>
      <c r="O2034" s="3"/>
      <c r="P2034" s="70" t="s">
        <v>18615</v>
      </c>
      <c r="Q2034" s="2" t="s">
        <v>40</v>
      </c>
      <c r="R2034" s="2" t="s">
        <v>8165</v>
      </c>
      <c r="T2034" t="s">
        <v>18666</v>
      </c>
      <c r="U2034" t="s">
        <v>18652</v>
      </c>
      <c r="V2034" s="104">
        <v>45857</v>
      </c>
      <c r="X2034" s="97"/>
      <c r="Y2034" s="75">
        <v>333.51</v>
      </c>
    </row>
    <row r="2035" spans="1:25" x14ac:dyDescent="0.25">
      <c r="A2035" s="76">
        <v>2067</v>
      </c>
      <c r="B2035" s="2" t="s">
        <v>11963</v>
      </c>
      <c r="C2035" s="2" t="s">
        <v>11964</v>
      </c>
      <c r="D2035" s="2" t="s">
        <v>11965</v>
      </c>
      <c r="E2035" s="2" t="s">
        <v>11966</v>
      </c>
      <c r="F2035" s="2" t="s">
        <v>11967</v>
      </c>
      <c r="G2035" s="2" t="s">
        <v>328</v>
      </c>
      <c r="H2035" s="17">
        <v>25</v>
      </c>
      <c r="I2035" s="31">
        <f t="shared" si="198"/>
        <v>25000</v>
      </c>
      <c r="J2035" s="31">
        <f t="shared" si="199"/>
        <v>1750.0000000000002</v>
      </c>
      <c r="K2035" s="44">
        <f t="shared" si="200"/>
        <v>4.794520547945206</v>
      </c>
      <c r="L2035" s="3">
        <f t="shared" si="201"/>
        <v>354.79452054794524</v>
      </c>
      <c r="M2035" s="3">
        <f t="shared" si="202"/>
        <v>21.287671232876715</v>
      </c>
      <c r="N2035" s="67">
        <f t="shared" si="203"/>
        <v>333.50684931506851</v>
      </c>
      <c r="O2035" s="3"/>
      <c r="P2035" s="70" t="s">
        <v>18615</v>
      </c>
      <c r="Q2035" s="2" t="s">
        <v>40</v>
      </c>
      <c r="R2035" s="2" t="s">
        <v>11968</v>
      </c>
      <c r="T2035" t="s">
        <v>18666</v>
      </c>
      <c r="U2035" t="s">
        <v>18652</v>
      </c>
      <c r="V2035" s="104">
        <v>45857</v>
      </c>
      <c r="X2035" s="97"/>
      <c r="Y2035" s="75">
        <v>333.51</v>
      </c>
    </row>
    <row r="2036" spans="1:25" x14ac:dyDescent="0.25">
      <c r="A2036" s="76">
        <v>2068</v>
      </c>
      <c r="B2036" s="2" t="s">
        <v>9079</v>
      </c>
      <c r="C2036" s="2" t="s">
        <v>9080</v>
      </c>
      <c r="D2036" s="2" t="s">
        <v>9081</v>
      </c>
      <c r="E2036" s="2" t="s">
        <v>9082</v>
      </c>
      <c r="F2036" s="2" t="s">
        <v>9083</v>
      </c>
      <c r="G2036" s="2" t="s">
        <v>1048</v>
      </c>
      <c r="H2036" s="17">
        <v>25</v>
      </c>
      <c r="I2036" s="31">
        <f t="shared" si="198"/>
        <v>25000</v>
      </c>
      <c r="J2036" s="31">
        <f t="shared" si="199"/>
        <v>1750.0000000000002</v>
      </c>
      <c r="K2036" s="44">
        <f t="shared" si="200"/>
        <v>4.794520547945206</v>
      </c>
      <c r="L2036" s="3">
        <f t="shared" si="201"/>
        <v>354.79452054794524</v>
      </c>
      <c r="M2036" s="3">
        <f t="shared" si="202"/>
        <v>21.287671232876715</v>
      </c>
      <c r="N2036" s="67">
        <f t="shared" si="203"/>
        <v>333.50684931506851</v>
      </c>
      <c r="O2036" s="3"/>
      <c r="P2036" s="70" t="s">
        <v>18615</v>
      </c>
      <c r="Q2036" s="2" t="s">
        <v>40</v>
      </c>
      <c r="R2036" s="2" t="s">
        <v>9084</v>
      </c>
      <c r="T2036" t="s">
        <v>18666</v>
      </c>
      <c r="U2036" t="s">
        <v>18652</v>
      </c>
      <c r="V2036" s="104">
        <v>45857</v>
      </c>
      <c r="X2036" s="97"/>
      <c r="Y2036" s="75">
        <v>333.51</v>
      </c>
    </row>
    <row r="2037" spans="1:25" x14ac:dyDescent="0.25">
      <c r="A2037" s="76">
        <v>2069</v>
      </c>
      <c r="B2037" s="2" t="s">
        <v>6059</v>
      </c>
      <c r="C2037" s="2" t="s">
        <v>6060</v>
      </c>
      <c r="D2037" s="2" t="s">
        <v>6061</v>
      </c>
      <c r="E2037" s="2" t="s">
        <v>6062</v>
      </c>
      <c r="F2037" s="2" t="s">
        <v>6063</v>
      </c>
      <c r="G2037" s="2" t="s">
        <v>580</v>
      </c>
      <c r="H2037" s="17">
        <v>1000</v>
      </c>
      <c r="I2037" s="31">
        <f t="shared" si="198"/>
        <v>1000000</v>
      </c>
      <c r="J2037" s="31">
        <f t="shared" si="199"/>
        <v>70000</v>
      </c>
      <c r="K2037" s="44">
        <f t="shared" si="200"/>
        <v>191.78082191780823</v>
      </c>
      <c r="L2037" s="3">
        <f t="shared" si="201"/>
        <v>14191.780821917808</v>
      </c>
      <c r="M2037" s="3">
        <f t="shared" si="202"/>
        <v>851.50684931506839</v>
      </c>
      <c r="N2037" s="67">
        <f t="shared" si="203"/>
        <v>13340.273972602739</v>
      </c>
      <c r="O2037" s="3"/>
      <c r="P2037" s="70" t="s">
        <v>18615</v>
      </c>
      <c r="Q2037" s="2" t="s">
        <v>40</v>
      </c>
      <c r="R2037" s="2" t="s">
        <v>6064</v>
      </c>
      <c r="T2037" t="s">
        <v>18666</v>
      </c>
      <c r="U2037" t="s">
        <v>18652</v>
      </c>
      <c r="V2037" s="104">
        <v>45857</v>
      </c>
      <c r="X2037" s="97"/>
      <c r="Y2037" s="75">
        <v>13340.28</v>
      </c>
    </row>
    <row r="2038" spans="1:25" x14ac:dyDescent="0.25">
      <c r="A2038" s="76">
        <v>2070</v>
      </c>
      <c r="B2038" s="2" t="s">
        <v>3602</v>
      </c>
      <c r="C2038" s="2" t="s">
        <v>3603</v>
      </c>
      <c r="D2038" s="2" t="s">
        <v>3604</v>
      </c>
      <c r="E2038" s="2" t="s">
        <v>3605</v>
      </c>
      <c r="F2038" s="2" t="s">
        <v>3606</v>
      </c>
      <c r="G2038" s="2" t="s">
        <v>254</v>
      </c>
      <c r="H2038" s="17">
        <v>100</v>
      </c>
      <c r="I2038" s="31">
        <f t="shared" si="198"/>
        <v>100000</v>
      </c>
      <c r="J2038" s="31">
        <f t="shared" si="199"/>
        <v>7000.0000000000009</v>
      </c>
      <c r="K2038" s="44">
        <f t="shared" si="200"/>
        <v>19.178082191780824</v>
      </c>
      <c r="L2038" s="3">
        <f t="shared" si="201"/>
        <v>1419.178082191781</v>
      </c>
      <c r="M2038" s="3">
        <f t="shared" si="202"/>
        <v>85.150684931506859</v>
      </c>
      <c r="N2038" s="67">
        <f t="shared" si="203"/>
        <v>1334.027397260274</v>
      </c>
      <c r="O2038" s="3"/>
      <c r="P2038" s="70" t="s">
        <v>18615</v>
      </c>
      <c r="Q2038" s="2" t="s">
        <v>40</v>
      </c>
      <c r="R2038" s="2" t="s">
        <v>3607</v>
      </c>
      <c r="T2038" t="s">
        <v>18666</v>
      </c>
      <c r="U2038" t="s">
        <v>18652</v>
      </c>
      <c r="V2038" s="104">
        <v>45857</v>
      </c>
      <c r="X2038" s="97"/>
      <c r="Y2038" s="75">
        <v>1334.03</v>
      </c>
    </row>
    <row r="2039" spans="1:25" x14ac:dyDescent="0.25">
      <c r="A2039" s="76">
        <v>2071</v>
      </c>
      <c r="B2039" s="2" t="s">
        <v>17376</v>
      </c>
      <c r="C2039" s="2" t="s">
        <v>17377</v>
      </c>
      <c r="D2039" s="2" t="s">
        <v>17378</v>
      </c>
      <c r="E2039" s="2" t="s">
        <v>2455</v>
      </c>
      <c r="F2039" s="2" t="s">
        <v>17379</v>
      </c>
      <c r="G2039" s="2" t="s">
        <v>2571</v>
      </c>
      <c r="H2039" s="17">
        <v>700</v>
      </c>
      <c r="I2039" s="31">
        <f t="shared" si="198"/>
        <v>700000</v>
      </c>
      <c r="J2039" s="31">
        <f t="shared" si="199"/>
        <v>49000.000000000007</v>
      </c>
      <c r="K2039" s="44">
        <f t="shared" si="200"/>
        <v>134.24657534246577</v>
      </c>
      <c r="L2039" s="3">
        <f t="shared" si="201"/>
        <v>9934.2465753424676</v>
      </c>
      <c r="M2039" s="3">
        <f t="shared" si="202"/>
        <v>596.05479452054806</v>
      </c>
      <c r="N2039" s="67">
        <f t="shared" si="203"/>
        <v>9338.1917808219187</v>
      </c>
      <c r="O2039" s="3"/>
      <c r="P2039" s="70" t="s">
        <v>18615</v>
      </c>
      <c r="Q2039" s="2" t="s">
        <v>40</v>
      </c>
      <c r="R2039" s="2" t="s">
        <v>17380</v>
      </c>
      <c r="T2039" t="s">
        <v>18666</v>
      </c>
      <c r="U2039" t="s">
        <v>18652</v>
      </c>
      <c r="V2039" s="104">
        <v>45857</v>
      </c>
      <c r="X2039" s="97"/>
      <c r="Y2039" s="75">
        <v>9338.2000000000007</v>
      </c>
    </row>
    <row r="2040" spans="1:25" x14ac:dyDescent="0.25">
      <c r="A2040" s="76">
        <v>2072</v>
      </c>
      <c r="B2040" s="2" t="s">
        <v>5102</v>
      </c>
      <c r="C2040" s="2" t="s">
        <v>5103</v>
      </c>
      <c r="D2040" s="2" t="s">
        <v>5104</v>
      </c>
      <c r="E2040" s="2" t="s">
        <v>5105</v>
      </c>
      <c r="F2040" s="2" t="s">
        <v>5106</v>
      </c>
      <c r="G2040" s="2" t="s">
        <v>158</v>
      </c>
      <c r="H2040" s="17">
        <v>25</v>
      </c>
      <c r="I2040" s="31">
        <f t="shared" si="198"/>
        <v>25000</v>
      </c>
      <c r="J2040" s="31">
        <f t="shared" si="199"/>
        <v>1750.0000000000002</v>
      </c>
      <c r="K2040" s="44">
        <f t="shared" si="200"/>
        <v>4.794520547945206</v>
      </c>
      <c r="L2040" s="3">
        <f t="shared" si="201"/>
        <v>354.79452054794524</v>
      </c>
      <c r="M2040" s="3">
        <f t="shared" si="202"/>
        <v>21.287671232876715</v>
      </c>
      <c r="N2040" s="67">
        <f t="shared" si="203"/>
        <v>333.50684931506851</v>
      </c>
      <c r="O2040" s="3"/>
      <c r="P2040" s="70" t="s">
        <v>18615</v>
      </c>
      <c r="Q2040" s="2" t="s">
        <v>40</v>
      </c>
      <c r="R2040" s="2" t="s">
        <v>5107</v>
      </c>
      <c r="T2040" t="s">
        <v>18666</v>
      </c>
      <c r="U2040" t="s">
        <v>18652</v>
      </c>
      <c r="V2040" s="104">
        <v>45857</v>
      </c>
      <c r="X2040" s="97"/>
      <c r="Y2040" s="75">
        <v>333.51</v>
      </c>
    </row>
    <row r="2041" spans="1:25" x14ac:dyDescent="0.25">
      <c r="A2041" s="76">
        <v>2073</v>
      </c>
      <c r="B2041" s="2" t="s">
        <v>2030</v>
      </c>
      <c r="C2041" s="2" t="s">
        <v>2031</v>
      </c>
      <c r="D2041" s="2" t="s">
        <v>2032</v>
      </c>
      <c r="E2041" s="2" t="s">
        <v>2033</v>
      </c>
      <c r="F2041" s="2" t="s">
        <v>2034</v>
      </c>
      <c r="G2041" s="2" t="s">
        <v>151</v>
      </c>
      <c r="H2041" s="17">
        <v>25</v>
      </c>
      <c r="I2041" s="31">
        <f t="shared" si="198"/>
        <v>25000</v>
      </c>
      <c r="J2041" s="31">
        <f t="shared" si="199"/>
        <v>1750.0000000000002</v>
      </c>
      <c r="K2041" s="44">
        <f t="shared" si="200"/>
        <v>4.794520547945206</v>
      </c>
      <c r="L2041" s="3">
        <f t="shared" si="201"/>
        <v>354.79452054794524</v>
      </c>
      <c r="M2041" s="3">
        <f t="shared" si="202"/>
        <v>21.287671232876715</v>
      </c>
      <c r="N2041" s="67">
        <f t="shared" si="203"/>
        <v>333.50684931506851</v>
      </c>
      <c r="O2041" s="3"/>
      <c r="P2041" s="70" t="s">
        <v>18615</v>
      </c>
      <c r="Q2041" s="2" t="s">
        <v>40</v>
      </c>
      <c r="R2041" s="2" t="s">
        <v>2035</v>
      </c>
      <c r="T2041" t="s">
        <v>18666</v>
      </c>
      <c r="U2041" t="s">
        <v>18652</v>
      </c>
      <c r="V2041" s="104">
        <v>45857</v>
      </c>
      <c r="X2041" s="97"/>
      <c r="Y2041" s="75">
        <v>333.51</v>
      </c>
    </row>
    <row r="2042" spans="1:25" x14ac:dyDescent="0.25">
      <c r="A2042" s="76">
        <v>2074</v>
      </c>
      <c r="B2042" s="2" t="s">
        <v>2476</v>
      </c>
      <c r="C2042" s="2" t="s">
        <v>2477</v>
      </c>
      <c r="D2042" s="2" t="s">
        <v>2478</v>
      </c>
      <c r="E2042" s="2" t="s">
        <v>2479</v>
      </c>
      <c r="F2042" s="2" t="s">
        <v>2480</v>
      </c>
      <c r="G2042" s="2" t="s">
        <v>1315</v>
      </c>
      <c r="H2042" s="17">
        <v>50</v>
      </c>
      <c r="I2042" s="31">
        <f t="shared" si="198"/>
        <v>50000</v>
      </c>
      <c r="J2042" s="31">
        <f t="shared" si="199"/>
        <v>3500.0000000000005</v>
      </c>
      <c r="K2042" s="44">
        <f t="shared" si="200"/>
        <v>9.589041095890412</v>
      </c>
      <c r="L2042" s="3">
        <f t="shared" si="201"/>
        <v>709.58904109589048</v>
      </c>
      <c r="M2042" s="3">
        <f t="shared" si="202"/>
        <v>42.57534246575343</v>
      </c>
      <c r="N2042" s="67">
        <f t="shared" si="203"/>
        <v>667.01369863013701</v>
      </c>
      <c r="O2042" s="3"/>
      <c r="P2042" s="70" t="s">
        <v>18615</v>
      </c>
      <c r="Q2042" s="2" t="s">
        <v>40</v>
      </c>
      <c r="R2042" s="2" t="s">
        <v>2481</v>
      </c>
      <c r="T2042" t="s">
        <v>18666</v>
      </c>
      <c r="U2042" t="s">
        <v>18652</v>
      </c>
      <c r="V2042" s="104">
        <v>45857</v>
      </c>
      <c r="X2042" s="97"/>
      <c r="Y2042" s="75">
        <v>667.02</v>
      </c>
    </row>
    <row r="2043" spans="1:25" x14ac:dyDescent="0.25">
      <c r="A2043" s="76">
        <v>2075</v>
      </c>
      <c r="B2043" s="2" t="s">
        <v>1099</v>
      </c>
      <c r="C2043" s="2" t="s">
        <v>1100</v>
      </c>
      <c r="D2043" s="2" t="s">
        <v>1101</v>
      </c>
      <c r="E2043" s="2" t="s">
        <v>1102</v>
      </c>
      <c r="F2043" s="2" t="s">
        <v>1103</v>
      </c>
      <c r="G2043" s="2" t="s">
        <v>1104</v>
      </c>
      <c r="H2043" s="17">
        <v>25</v>
      </c>
      <c r="I2043" s="31">
        <f t="shared" si="198"/>
        <v>25000</v>
      </c>
      <c r="J2043" s="31">
        <f t="shared" si="199"/>
        <v>1750.0000000000002</v>
      </c>
      <c r="K2043" s="44">
        <f t="shared" si="200"/>
        <v>4.794520547945206</v>
      </c>
      <c r="L2043" s="3">
        <f t="shared" si="201"/>
        <v>354.79452054794524</v>
      </c>
      <c r="M2043" s="3">
        <f t="shared" si="202"/>
        <v>21.287671232876715</v>
      </c>
      <c r="N2043" s="67">
        <f t="shared" si="203"/>
        <v>333.50684931506851</v>
      </c>
      <c r="O2043" s="3"/>
      <c r="P2043" s="70" t="s">
        <v>18615</v>
      </c>
      <c r="Q2043" s="2" t="s">
        <v>40</v>
      </c>
      <c r="R2043" s="2" t="s">
        <v>1105</v>
      </c>
      <c r="T2043" t="s">
        <v>18666</v>
      </c>
      <c r="U2043" t="s">
        <v>18652</v>
      </c>
      <c r="V2043" s="104">
        <v>45857</v>
      </c>
      <c r="X2043" s="97"/>
      <c r="Y2043" s="75">
        <v>333.51</v>
      </c>
    </row>
    <row r="2044" spans="1:25" x14ac:dyDescent="0.25">
      <c r="A2044" s="76">
        <v>2076</v>
      </c>
      <c r="B2044" s="2" t="s">
        <v>11237</v>
      </c>
      <c r="C2044" s="2" t="s">
        <v>11238</v>
      </c>
      <c r="D2044" s="2" t="s">
        <v>11239</v>
      </c>
      <c r="E2044" s="2" t="s">
        <v>11240</v>
      </c>
      <c r="F2044" s="2" t="s">
        <v>11241</v>
      </c>
      <c r="G2044" s="2" t="s">
        <v>31</v>
      </c>
      <c r="H2044" s="17">
        <v>25</v>
      </c>
      <c r="I2044" s="31">
        <f t="shared" si="198"/>
        <v>25000</v>
      </c>
      <c r="J2044" s="31">
        <f t="shared" si="199"/>
        <v>1750.0000000000002</v>
      </c>
      <c r="K2044" s="44">
        <f t="shared" si="200"/>
        <v>4.794520547945206</v>
      </c>
      <c r="L2044" s="3">
        <f t="shared" si="201"/>
        <v>354.79452054794524</v>
      </c>
      <c r="M2044" s="3">
        <f t="shared" si="202"/>
        <v>21.287671232876715</v>
      </c>
      <c r="N2044" s="67">
        <f t="shared" si="203"/>
        <v>333.50684931506851</v>
      </c>
      <c r="O2044" s="3"/>
      <c r="P2044" s="70" t="s">
        <v>18615</v>
      </c>
      <c r="Q2044" s="2" t="s">
        <v>40</v>
      </c>
      <c r="R2044" s="2" t="s">
        <v>11242</v>
      </c>
      <c r="T2044" t="s">
        <v>18666</v>
      </c>
      <c r="U2044" t="s">
        <v>18652</v>
      </c>
      <c r="V2044" s="104">
        <v>45857</v>
      </c>
      <c r="X2044" s="97"/>
      <c r="Y2044" s="75">
        <v>333.51</v>
      </c>
    </row>
    <row r="2045" spans="1:25" x14ac:dyDescent="0.25">
      <c r="A2045" s="76">
        <v>2077</v>
      </c>
      <c r="B2045" s="2" t="s">
        <v>1687</v>
      </c>
      <c r="C2045" s="2" t="s">
        <v>1688</v>
      </c>
      <c r="D2045" s="2" t="s">
        <v>1689</v>
      </c>
      <c r="E2045" s="2" t="s">
        <v>1690</v>
      </c>
      <c r="F2045" s="2" t="s">
        <v>1691</v>
      </c>
      <c r="G2045" s="2" t="s">
        <v>381</v>
      </c>
      <c r="H2045" s="17">
        <v>25</v>
      </c>
      <c r="I2045" s="31">
        <f t="shared" si="198"/>
        <v>25000</v>
      </c>
      <c r="J2045" s="31">
        <f t="shared" si="199"/>
        <v>1750.0000000000002</v>
      </c>
      <c r="K2045" s="44">
        <f t="shared" si="200"/>
        <v>4.794520547945206</v>
      </c>
      <c r="L2045" s="3">
        <f t="shared" si="201"/>
        <v>354.79452054794524</v>
      </c>
      <c r="M2045" s="3">
        <f t="shared" si="202"/>
        <v>21.287671232876715</v>
      </c>
      <c r="N2045" s="67">
        <f t="shared" si="203"/>
        <v>333.50684931506851</v>
      </c>
      <c r="O2045" s="3"/>
      <c r="P2045" s="70" t="s">
        <v>18615</v>
      </c>
      <c r="Q2045" s="2" t="s">
        <v>40</v>
      </c>
      <c r="R2045" s="2" t="s">
        <v>1692</v>
      </c>
      <c r="T2045" t="s">
        <v>18666</v>
      </c>
      <c r="U2045" t="s">
        <v>18652</v>
      </c>
      <c r="V2045" s="104">
        <v>45857</v>
      </c>
      <c r="X2045" s="97"/>
      <c r="Y2045" s="75">
        <v>333.51</v>
      </c>
    </row>
    <row r="2046" spans="1:25" x14ac:dyDescent="0.25">
      <c r="A2046" s="76">
        <v>2078</v>
      </c>
      <c r="B2046" s="2" t="s">
        <v>14829</v>
      </c>
      <c r="C2046" s="2" t="s">
        <v>14830</v>
      </c>
      <c r="D2046" s="2" t="s">
        <v>14831</v>
      </c>
      <c r="E2046" s="2" t="s">
        <v>14832</v>
      </c>
      <c r="F2046" s="2" t="s">
        <v>14833</v>
      </c>
      <c r="G2046" s="2" t="s">
        <v>381</v>
      </c>
      <c r="H2046" s="17">
        <v>25</v>
      </c>
      <c r="I2046" s="31">
        <f t="shared" si="198"/>
        <v>25000</v>
      </c>
      <c r="J2046" s="31">
        <f t="shared" si="199"/>
        <v>1750.0000000000002</v>
      </c>
      <c r="K2046" s="44">
        <f t="shared" si="200"/>
        <v>4.794520547945206</v>
      </c>
      <c r="L2046" s="3">
        <f t="shared" si="201"/>
        <v>354.79452054794524</v>
      </c>
      <c r="M2046" s="3">
        <f t="shared" si="202"/>
        <v>21.287671232876715</v>
      </c>
      <c r="N2046" s="67">
        <f t="shared" si="203"/>
        <v>333.50684931506851</v>
      </c>
      <c r="O2046" s="3"/>
      <c r="P2046" s="70" t="s">
        <v>18615</v>
      </c>
      <c r="Q2046" s="2" t="s">
        <v>40</v>
      </c>
      <c r="R2046" s="2" t="s">
        <v>14834</v>
      </c>
      <c r="T2046" t="s">
        <v>18666</v>
      </c>
      <c r="U2046" t="s">
        <v>18652</v>
      </c>
      <c r="V2046" s="104">
        <v>45857</v>
      </c>
      <c r="X2046" s="97"/>
      <c r="Y2046" s="75">
        <v>333.51</v>
      </c>
    </row>
    <row r="2047" spans="1:25" x14ac:dyDescent="0.25">
      <c r="A2047" s="76">
        <v>2079</v>
      </c>
      <c r="B2047" s="2" t="s">
        <v>18245</v>
      </c>
      <c r="C2047" s="2" t="s">
        <v>18246</v>
      </c>
      <c r="D2047" s="2" t="s">
        <v>18247</v>
      </c>
      <c r="E2047" s="2" t="s">
        <v>18248</v>
      </c>
      <c r="F2047" s="2" t="s">
        <v>18249</v>
      </c>
      <c r="G2047" s="2" t="s">
        <v>750</v>
      </c>
      <c r="H2047" s="17">
        <v>300</v>
      </c>
      <c r="I2047" s="31">
        <f t="shared" si="198"/>
        <v>300000</v>
      </c>
      <c r="J2047" s="31">
        <f t="shared" si="199"/>
        <v>21000.000000000004</v>
      </c>
      <c r="K2047" s="44">
        <f t="shared" si="200"/>
        <v>57.534246575342479</v>
      </c>
      <c r="L2047" s="3">
        <f t="shared" si="201"/>
        <v>4257.5342465753438</v>
      </c>
      <c r="M2047" s="3">
        <f t="shared" si="202"/>
        <v>255.45205479452062</v>
      </c>
      <c r="N2047" s="67">
        <f t="shared" si="203"/>
        <v>4002.082191780823</v>
      </c>
      <c r="O2047" s="3"/>
      <c r="P2047" s="70" t="s">
        <v>18615</v>
      </c>
      <c r="Q2047" s="2" t="s">
        <v>40</v>
      </c>
      <c r="R2047" s="2" t="s">
        <v>18250</v>
      </c>
      <c r="T2047" t="s">
        <v>18666</v>
      </c>
      <c r="U2047" t="s">
        <v>18652</v>
      </c>
      <c r="V2047" s="104">
        <v>45857</v>
      </c>
      <c r="X2047" s="97"/>
      <c r="Y2047" s="75">
        <v>4002.09</v>
      </c>
    </row>
    <row r="2048" spans="1:25" x14ac:dyDescent="0.25">
      <c r="A2048" s="76">
        <v>2080</v>
      </c>
      <c r="B2048" s="2" t="s">
        <v>7619</v>
      </c>
      <c r="C2048" s="2" t="s">
        <v>7620</v>
      </c>
      <c r="D2048" s="2" t="s">
        <v>7502</v>
      </c>
      <c r="E2048" s="2" t="s">
        <v>7503</v>
      </c>
      <c r="F2048" s="2" t="s">
        <v>7621</v>
      </c>
      <c r="G2048" s="2" t="s">
        <v>1104</v>
      </c>
      <c r="H2048" s="17">
        <v>25</v>
      </c>
      <c r="I2048" s="31">
        <f t="shared" si="198"/>
        <v>25000</v>
      </c>
      <c r="J2048" s="31">
        <f t="shared" si="199"/>
        <v>1750.0000000000002</v>
      </c>
      <c r="K2048" s="44">
        <f t="shared" si="200"/>
        <v>4.794520547945206</v>
      </c>
      <c r="L2048" s="3">
        <f t="shared" si="201"/>
        <v>354.79452054794524</v>
      </c>
      <c r="M2048" s="3">
        <f t="shared" si="202"/>
        <v>21.287671232876715</v>
      </c>
      <c r="N2048" s="67">
        <f t="shared" si="203"/>
        <v>333.50684931506851</v>
      </c>
      <c r="O2048" s="3"/>
      <c r="P2048" s="70" t="s">
        <v>18615</v>
      </c>
      <c r="Q2048" s="2" t="s">
        <v>40</v>
      </c>
      <c r="R2048" s="2" t="s">
        <v>7622</v>
      </c>
      <c r="T2048" t="s">
        <v>18666</v>
      </c>
      <c r="U2048" t="s">
        <v>18652</v>
      </c>
      <c r="V2048" s="104">
        <v>45857</v>
      </c>
      <c r="X2048" s="97"/>
      <c r="Y2048" s="75">
        <v>333.51</v>
      </c>
    </row>
    <row r="2049" spans="1:25" x14ac:dyDescent="0.25">
      <c r="A2049" s="76">
        <v>2081</v>
      </c>
      <c r="B2049" s="2" t="s">
        <v>16119</v>
      </c>
      <c r="C2049" s="2" t="s">
        <v>16120</v>
      </c>
      <c r="D2049" s="2" t="s">
        <v>16121</v>
      </c>
      <c r="E2049" s="2" t="s">
        <v>16122</v>
      </c>
      <c r="F2049" s="2" t="s">
        <v>16123</v>
      </c>
      <c r="G2049" s="2" t="s">
        <v>517</v>
      </c>
      <c r="H2049" s="17">
        <v>100</v>
      </c>
      <c r="I2049" s="31">
        <f t="shared" si="198"/>
        <v>100000</v>
      </c>
      <c r="J2049" s="31">
        <f t="shared" si="199"/>
        <v>7000.0000000000009</v>
      </c>
      <c r="K2049" s="44">
        <f t="shared" si="200"/>
        <v>19.178082191780824</v>
      </c>
      <c r="L2049" s="3">
        <f t="shared" si="201"/>
        <v>1419.178082191781</v>
      </c>
      <c r="M2049" s="3">
        <f t="shared" si="202"/>
        <v>85.150684931506859</v>
      </c>
      <c r="N2049" s="67">
        <f t="shared" si="203"/>
        <v>1334.027397260274</v>
      </c>
      <c r="O2049" s="3"/>
      <c r="P2049" s="70" t="s">
        <v>18615</v>
      </c>
      <c r="Q2049" s="2" t="s">
        <v>40</v>
      </c>
      <c r="R2049" s="2" t="s">
        <v>16124</v>
      </c>
      <c r="T2049" t="s">
        <v>18666</v>
      </c>
      <c r="U2049" t="s">
        <v>18652</v>
      </c>
      <c r="V2049" s="104">
        <v>45857</v>
      </c>
      <c r="X2049" s="97"/>
      <c r="Y2049" s="75">
        <v>1334.03</v>
      </c>
    </row>
    <row r="2050" spans="1:25" x14ac:dyDescent="0.25">
      <c r="A2050" s="76">
        <v>2082</v>
      </c>
      <c r="B2050" s="2" t="s">
        <v>849</v>
      </c>
      <c r="C2050" s="2" t="s">
        <v>850</v>
      </c>
      <c r="D2050" s="2" t="s">
        <v>851</v>
      </c>
      <c r="E2050" s="2" t="s">
        <v>852</v>
      </c>
      <c r="F2050" s="2" t="s">
        <v>853</v>
      </c>
      <c r="G2050" s="2" t="s">
        <v>31</v>
      </c>
      <c r="H2050" s="17">
        <v>25</v>
      </c>
      <c r="I2050" s="31">
        <f t="shared" si="198"/>
        <v>25000</v>
      </c>
      <c r="J2050" s="31">
        <f t="shared" si="199"/>
        <v>1750.0000000000002</v>
      </c>
      <c r="K2050" s="44">
        <f t="shared" si="200"/>
        <v>4.794520547945206</v>
      </c>
      <c r="L2050" s="3">
        <f t="shared" si="201"/>
        <v>354.79452054794524</v>
      </c>
      <c r="M2050" s="3">
        <f t="shared" si="202"/>
        <v>21.287671232876715</v>
      </c>
      <c r="N2050" s="67">
        <f t="shared" si="203"/>
        <v>333.50684931506851</v>
      </c>
      <c r="O2050" s="3"/>
      <c r="P2050" s="70" t="s">
        <v>18615</v>
      </c>
      <c r="Q2050" s="2" t="s">
        <v>40</v>
      </c>
      <c r="R2050" s="2" t="s">
        <v>854</v>
      </c>
      <c r="T2050" t="s">
        <v>18666</v>
      </c>
      <c r="U2050" t="s">
        <v>18652</v>
      </c>
      <c r="V2050" s="104">
        <v>45857</v>
      </c>
      <c r="X2050" s="97"/>
      <c r="Y2050" s="75">
        <v>333.51</v>
      </c>
    </row>
    <row r="2051" spans="1:25" x14ac:dyDescent="0.25">
      <c r="A2051" s="76">
        <v>2083</v>
      </c>
      <c r="B2051" s="2" t="s">
        <v>3189</v>
      </c>
      <c r="C2051" s="2" t="s">
        <v>3190</v>
      </c>
      <c r="D2051" s="2" t="s">
        <v>3191</v>
      </c>
      <c r="E2051" s="2" t="s">
        <v>3192</v>
      </c>
      <c r="F2051" s="2" t="s">
        <v>3193</v>
      </c>
      <c r="G2051" s="2" t="s">
        <v>750</v>
      </c>
      <c r="H2051" s="17">
        <v>25</v>
      </c>
      <c r="I2051" s="31">
        <f t="shared" si="198"/>
        <v>25000</v>
      </c>
      <c r="J2051" s="31">
        <f t="shared" si="199"/>
        <v>1750.0000000000002</v>
      </c>
      <c r="K2051" s="44">
        <f t="shared" si="200"/>
        <v>4.794520547945206</v>
      </c>
      <c r="L2051" s="3">
        <f t="shared" si="201"/>
        <v>354.79452054794524</v>
      </c>
      <c r="M2051" s="3">
        <f t="shared" si="202"/>
        <v>21.287671232876715</v>
      </c>
      <c r="N2051" s="67">
        <f t="shared" si="203"/>
        <v>333.50684931506851</v>
      </c>
      <c r="O2051" s="3"/>
      <c r="P2051" s="70" t="s">
        <v>18615</v>
      </c>
      <c r="Q2051" s="2" t="s">
        <v>40</v>
      </c>
      <c r="R2051" s="2" t="s">
        <v>3194</v>
      </c>
      <c r="T2051" t="s">
        <v>18666</v>
      </c>
      <c r="U2051" t="s">
        <v>18652</v>
      </c>
      <c r="V2051" s="104">
        <v>45857</v>
      </c>
      <c r="X2051" s="97"/>
      <c r="Y2051" s="75">
        <v>333.51</v>
      </c>
    </row>
    <row r="2052" spans="1:25" x14ac:dyDescent="0.25">
      <c r="A2052" s="76">
        <v>2084</v>
      </c>
      <c r="B2052" s="2" t="s">
        <v>18412</v>
      </c>
      <c r="C2052" s="2" t="s">
        <v>18191</v>
      </c>
      <c r="D2052" s="2" t="s">
        <v>18413</v>
      </c>
      <c r="E2052" s="2" t="s">
        <v>18414</v>
      </c>
      <c r="F2052" s="2" t="s">
        <v>18415</v>
      </c>
      <c r="G2052" s="2" t="s">
        <v>1048</v>
      </c>
      <c r="H2052" s="17">
        <v>25</v>
      </c>
      <c r="I2052" s="31">
        <f t="shared" si="198"/>
        <v>25000</v>
      </c>
      <c r="J2052" s="31">
        <f t="shared" si="199"/>
        <v>1750.0000000000002</v>
      </c>
      <c r="K2052" s="44">
        <f t="shared" si="200"/>
        <v>4.794520547945206</v>
      </c>
      <c r="L2052" s="3">
        <f t="shared" si="201"/>
        <v>354.79452054794524</v>
      </c>
      <c r="M2052" s="3">
        <f t="shared" si="202"/>
        <v>21.287671232876715</v>
      </c>
      <c r="N2052" s="67">
        <f t="shared" si="203"/>
        <v>333.50684931506851</v>
      </c>
      <c r="O2052" s="3"/>
      <c r="P2052" s="70" t="s">
        <v>18615</v>
      </c>
      <c r="Q2052" s="2" t="s">
        <v>40</v>
      </c>
      <c r="R2052" s="2" t="s">
        <v>18416</v>
      </c>
      <c r="T2052" t="s">
        <v>18666</v>
      </c>
      <c r="U2052" t="s">
        <v>18652</v>
      </c>
      <c r="V2052" s="104">
        <v>45857</v>
      </c>
      <c r="X2052" s="97"/>
      <c r="Y2052" s="75">
        <v>333.51</v>
      </c>
    </row>
    <row r="2053" spans="1:25" x14ac:dyDescent="0.25">
      <c r="A2053" s="76">
        <v>2085</v>
      </c>
      <c r="B2053" s="2" t="s">
        <v>10031</v>
      </c>
      <c r="C2053" s="2" t="s">
        <v>10032</v>
      </c>
      <c r="D2053" s="2" t="s">
        <v>10033</v>
      </c>
      <c r="E2053" s="2" t="s">
        <v>2448</v>
      </c>
      <c r="F2053" s="2" t="s">
        <v>10034</v>
      </c>
      <c r="G2053" s="2" t="s">
        <v>599</v>
      </c>
      <c r="H2053" s="17">
        <v>25</v>
      </c>
      <c r="I2053" s="31">
        <f t="shared" si="198"/>
        <v>25000</v>
      </c>
      <c r="J2053" s="31">
        <f t="shared" si="199"/>
        <v>1750.0000000000002</v>
      </c>
      <c r="K2053" s="44">
        <f t="shared" si="200"/>
        <v>4.794520547945206</v>
      </c>
      <c r="L2053" s="3">
        <f t="shared" si="201"/>
        <v>354.79452054794524</v>
      </c>
      <c r="M2053" s="3">
        <f t="shared" si="202"/>
        <v>21.287671232876715</v>
      </c>
      <c r="N2053" s="67">
        <f t="shared" si="203"/>
        <v>333.50684931506851</v>
      </c>
      <c r="O2053" s="3"/>
      <c r="P2053" s="70" t="s">
        <v>18615</v>
      </c>
      <c r="Q2053" s="2" t="s">
        <v>40</v>
      </c>
      <c r="R2053" s="2" t="s">
        <v>10035</v>
      </c>
      <c r="T2053" t="s">
        <v>18666</v>
      </c>
      <c r="U2053" t="s">
        <v>18652</v>
      </c>
      <c r="V2053" s="104">
        <v>45857</v>
      </c>
      <c r="X2053" s="97"/>
      <c r="Y2053" s="75">
        <v>333.51</v>
      </c>
    </row>
    <row r="2054" spans="1:25" x14ac:dyDescent="0.25">
      <c r="A2054" s="76">
        <v>2086</v>
      </c>
      <c r="B2054" s="2" t="s">
        <v>2937</v>
      </c>
      <c r="C2054" s="2" t="s">
        <v>2938</v>
      </c>
      <c r="D2054" s="2" t="s">
        <v>2939</v>
      </c>
      <c r="E2054" s="2" t="s">
        <v>2940</v>
      </c>
      <c r="F2054" s="2" t="s">
        <v>2941</v>
      </c>
      <c r="G2054" s="2" t="s">
        <v>517</v>
      </c>
      <c r="H2054" s="17">
        <v>50</v>
      </c>
      <c r="I2054" s="31">
        <f t="shared" si="198"/>
        <v>50000</v>
      </c>
      <c r="J2054" s="31">
        <f t="shared" si="199"/>
        <v>3500.0000000000005</v>
      </c>
      <c r="K2054" s="44">
        <f t="shared" si="200"/>
        <v>9.589041095890412</v>
      </c>
      <c r="L2054" s="3">
        <f t="shared" si="201"/>
        <v>709.58904109589048</v>
      </c>
      <c r="M2054" s="3">
        <f t="shared" si="202"/>
        <v>42.57534246575343</v>
      </c>
      <c r="N2054" s="67">
        <f t="shared" si="203"/>
        <v>667.01369863013701</v>
      </c>
      <c r="O2054" s="3"/>
      <c r="P2054" s="70" t="s">
        <v>18615</v>
      </c>
      <c r="Q2054" s="2" t="s">
        <v>40</v>
      </c>
      <c r="R2054" s="2" t="s">
        <v>2942</v>
      </c>
      <c r="T2054" t="s">
        <v>18666</v>
      </c>
      <c r="U2054" t="s">
        <v>18652</v>
      </c>
      <c r="V2054" s="104">
        <v>45857</v>
      </c>
      <c r="X2054" s="97"/>
      <c r="Y2054" s="75">
        <v>667.02</v>
      </c>
    </row>
    <row r="2055" spans="1:25" x14ac:dyDescent="0.25">
      <c r="A2055" s="76">
        <v>2087</v>
      </c>
      <c r="B2055" s="2" t="s">
        <v>1748</v>
      </c>
      <c r="C2055" s="2" t="s">
        <v>1749</v>
      </c>
      <c r="D2055" s="2" t="s">
        <v>1750</v>
      </c>
      <c r="E2055" s="2" t="s">
        <v>1751</v>
      </c>
      <c r="F2055" s="2" t="s">
        <v>1752</v>
      </c>
      <c r="G2055" s="2" t="s">
        <v>151</v>
      </c>
      <c r="H2055" s="17">
        <v>25</v>
      </c>
      <c r="I2055" s="31">
        <f t="shared" si="198"/>
        <v>25000</v>
      </c>
      <c r="J2055" s="31">
        <f t="shared" si="199"/>
        <v>1750.0000000000002</v>
      </c>
      <c r="K2055" s="44">
        <f t="shared" si="200"/>
        <v>4.794520547945206</v>
      </c>
      <c r="L2055" s="3">
        <f t="shared" si="201"/>
        <v>354.79452054794524</v>
      </c>
      <c r="M2055" s="3">
        <f t="shared" si="202"/>
        <v>21.287671232876715</v>
      </c>
      <c r="N2055" s="67">
        <f t="shared" si="203"/>
        <v>333.50684931506851</v>
      </c>
      <c r="O2055" s="3"/>
      <c r="P2055" s="70" t="s">
        <v>18615</v>
      </c>
      <c r="Q2055" s="2" t="s">
        <v>40</v>
      </c>
      <c r="R2055" s="2" t="s">
        <v>1753</v>
      </c>
      <c r="T2055" t="s">
        <v>18666</v>
      </c>
      <c r="U2055" t="s">
        <v>18652</v>
      </c>
      <c r="V2055" s="104">
        <v>45857</v>
      </c>
      <c r="X2055" s="97"/>
      <c r="Y2055" s="75">
        <v>333.51</v>
      </c>
    </row>
    <row r="2056" spans="1:25" x14ac:dyDescent="0.25">
      <c r="A2056" s="76">
        <v>2088</v>
      </c>
      <c r="B2056" s="2" t="s">
        <v>17353</v>
      </c>
      <c r="C2056" s="2" t="s">
        <v>17354</v>
      </c>
      <c r="D2056" s="2" t="s">
        <v>17355</v>
      </c>
      <c r="E2056" s="2" t="s">
        <v>17356</v>
      </c>
      <c r="F2056" s="2" t="s">
        <v>17357</v>
      </c>
      <c r="G2056" s="2" t="s">
        <v>166</v>
      </c>
      <c r="H2056" s="17">
        <v>100</v>
      </c>
      <c r="I2056" s="31">
        <f t="shared" si="198"/>
        <v>100000</v>
      </c>
      <c r="J2056" s="31">
        <f t="shared" si="199"/>
        <v>7000.0000000000009</v>
      </c>
      <c r="K2056" s="44">
        <f t="shared" si="200"/>
        <v>19.178082191780824</v>
      </c>
      <c r="L2056" s="3">
        <f t="shared" si="201"/>
        <v>1419.178082191781</v>
      </c>
      <c r="M2056" s="3">
        <f t="shared" si="202"/>
        <v>85.150684931506859</v>
      </c>
      <c r="N2056" s="67">
        <f t="shared" si="203"/>
        <v>1334.027397260274</v>
      </c>
      <c r="O2056" s="3"/>
      <c r="P2056" s="70" t="s">
        <v>18615</v>
      </c>
      <c r="Q2056" s="2" t="s">
        <v>40</v>
      </c>
      <c r="R2056" s="2" t="s">
        <v>17358</v>
      </c>
      <c r="T2056" t="s">
        <v>18666</v>
      </c>
      <c r="U2056" t="s">
        <v>18652</v>
      </c>
      <c r="V2056" s="104">
        <v>45857</v>
      </c>
      <c r="X2056" s="97"/>
      <c r="Y2056" s="75">
        <v>1334.03</v>
      </c>
    </row>
    <row r="2057" spans="1:25" x14ac:dyDescent="0.25">
      <c r="A2057" s="76">
        <v>2089</v>
      </c>
      <c r="B2057" s="2" t="s">
        <v>14239</v>
      </c>
      <c r="C2057" s="2" t="s">
        <v>14235</v>
      </c>
      <c r="D2057" s="2" t="s">
        <v>14240</v>
      </c>
      <c r="E2057" s="2" t="s">
        <v>14241</v>
      </c>
      <c r="F2057" s="2" t="s">
        <v>14242</v>
      </c>
      <c r="G2057" s="2" t="s">
        <v>144</v>
      </c>
      <c r="H2057" s="17">
        <v>100</v>
      </c>
      <c r="I2057" s="31">
        <f t="shared" si="198"/>
        <v>100000</v>
      </c>
      <c r="J2057" s="31">
        <f t="shared" si="199"/>
        <v>7000.0000000000009</v>
      </c>
      <c r="K2057" s="44">
        <f t="shared" si="200"/>
        <v>19.178082191780824</v>
      </c>
      <c r="L2057" s="3">
        <f t="shared" si="201"/>
        <v>1419.178082191781</v>
      </c>
      <c r="M2057" s="3">
        <f t="shared" si="202"/>
        <v>85.150684931506859</v>
      </c>
      <c r="N2057" s="67">
        <f t="shared" si="203"/>
        <v>1334.027397260274</v>
      </c>
      <c r="O2057" s="3"/>
      <c r="P2057" s="70" t="s">
        <v>18615</v>
      </c>
      <c r="Q2057" s="2" t="s">
        <v>40</v>
      </c>
      <c r="R2057" s="2" t="s">
        <v>14243</v>
      </c>
      <c r="T2057" t="s">
        <v>18666</v>
      </c>
      <c r="U2057" t="s">
        <v>18652</v>
      </c>
      <c r="V2057" s="104">
        <v>45857</v>
      </c>
      <c r="X2057" s="97"/>
      <c r="Y2057" s="75">
        <v>1334.03</v>
      </c>
    </row>
    <row r="2058" spans="1:25" x14ac:dyDescent="0.25">
      <c r="A2058" s="76">
        <v>2090</v>
      </c>
      <c r="B2058" s="2" t="s">
        <v>5386</v>
      </c>
      <c r="C2058" s="2" t="s">
        <v>5387</v>
      </c>
      <c r="D2058" s="2" t="s">
        <v>5388</v>
      </c>
      <c r="E2058" s="2" t="s">
        <v>5389</v>
      </c>
      <c r="F2058" s="2" t="s">
        <v>5390</v>
      </c>
      <c r="G2058" s="2" t="s">
        <v>23</v>
      </c>
      <c r="H2058" s="17">
        <v>25</v>
      </c>
      <c r="I2058" s="31">
        <f t="shared" si="198"/>
        <v>25000</v>
      </c>
      <c r="J2058" s="31">
        <f t="shared" si="199"/>
        <v>1750.0000000000002</v>
      </c>
      <c r="K2058" s="44">
        <f t="shared" si="200"/>
        <v>4.794520547945206</v>
      </c>
      <c r="L2058" s="3">
        <f t="shared" si="201"/>
        <v>354.79452054794524</v>
      </c>
      <c r="M2058" s="3">
        <f t="shared" si="202"/>
        <v>21.287671232876715</v>
      </c>
      <c r="N2058" s="67">
        <f t="shared" si="203"/>
        <v>333.50684931506851</v>
      </c>
      <c r="O2058" s="3"/>
      <c r="P2058" s="70" t="s">
        <v>18615</v>
      </c>
      <c r="Q2058" s="2" t="s">
        <v>40</v>
      </c>
      <c r="R2058" s="2" t="s">
        <v>5391</v>
      </c>
      <c r="T2058" t="s">
        <v>18666</v>
      </c>
      <c r="U2058" t="s">
        <v>18652</v>
      </c>
      <c r="V2058" s="104">
        <v>45857</v>
      </c>
      <c r="X2058" s="97"/>
      <c r="Y2058" s="75">
        <v>333.51</v>
      </c>
    </row>
    <row r="2059" spans="1:25" x14ac:dyDescent="0.25">
      <c r="A2059" s="76">
        <v>2091</v>
      </c>
      <c r="B2059" s="2" t="s">
        <v>13793</v>
      </c>
      <c r="C2059" s="2" t="s">
        <v>13794</v>
      </c>
      <c r="D2059" s="2" t="s">
        <v>13795</v>
      </c>
      <c r="E2059" s="2" t="s">
        <v>13796</v>
      </c>
      <c r="F2059" s="2" t="s">
        <v>13797</v>
      </c>
      <c r="G2059" s="2" t="s">
        <v>31</v>
      </c>
      <c r="H2059" s="17">
        <v>25</v>
      </c>
      <c r="I2059" s="31">
        <f t="shared" si="198"/>
        <v>25000</v>
      </c>
      <c r="J2059" s="31">
        <f t="shared" si="199"/>
        <v>1750.0000000000002</v>
      </c>
      <c r="K2059" s="44">
        <f t="shared" si="200"/>
        <v>4.794520547945206</v>
      </c>
      <c r="L2059" s="3">
        <f t="shared" si="201"/>
        <v>354.79452054794524</v>
      </c>
      <c r="M2059" s="3">
        <f t="shared" si="202"/>
        <v>21.287671232876715</v>
      </c>
      <c r="N2059" s="67">
        <f t="shared" si="203"/>
        <v>333.50684931506851</v>
      </c>
      <c r="O2059" s="3"/>
      <c r="P2059" s="70" t="s">
        <v>18615</v>
      </c>
      <c r="Q2059" s="2" t="s">
        <v>40</v>
      </c>
      <c r="R2059" s="2" t="s">
        <v>13798</v>
      </c>
      <c r="T2059" t="s">
        <v>18666</v>
      </c>
      <c r="U2059" t="s">
        <v>18652</v>
      </c>
      <c r="V2059" s="104">
        <v>45857</v>
      </c>
      <c r="X2059" s="97"/>
      <c r="Y2059" s="75">
        <v>333.51</v>
      </c>
    </row>
    <row r="2060" spans="1:25" x14ac:dyDescent="0.25">
      <c r="A2060" s="76">
        <v>2092</v>
      </c>
      <c r="B2060" s="2" t="s">
        <v>11371</v>
      </c>
      <c r="C2060" s="2" t="s">
        <v>11372</v>
      </c>
      <c r="D2060" s="2" t="s">
        <v>11373</v>
      </c>
      <c r="E2060" s="2" t="s">
        <v>11374</v>
      </c>
      <c r="F2060" s="2" t="s">
        <v>11375</v>
      </c>
      <c r="G2060" s="2" t="s">
        <v>750</v>
      </c>
      <c r="H2060" s="17">
        <v>25</v>
      </c>
      <c r="I2060" s="31">
        <f t="shared" si="198"/>
        <v>25000</v>
      </c>
      <c r="J2060" s="31">
        <f t="shared" si="199"/>
        <v>1750.0000000000002</v>
      </c>
      <c r="K2060" s="44">
        <f t="shared" si="200"/>
        <v>4.794520547945206</v>
      </c>
      <c r="L2060" s="3">
        <f t="shared" si="201"/>
        <v>354.79452054794524</v>
      </c>
      <c r="M2060" s="3">
        <f t="shared" si="202"/>
        <v>21.287671232876715</v>
      </c>
      <c r="N2060" s="67">
        <f t="shared" si="203"/>
        <v>333.50684931506851</v>
      </c>
      <c r="O2060" s="3"/>
      <c r="P2060" s="70" t="s">
        <v>18615</v>
      </c>
      <c r="Q2060" s="2" t="s">
        <v>40</v>
      </c>
      <c r="R2060" s="2" t="s">
        <v>11376</v>
      </c>
      <c r="T2060" t="s">
        <v>18666</v>
      </c>
      <c r="U2060" t="s">
        <v>18652</v>
      </c>
      <c r="V2060" s="104">
        <v>45857</v>
      </c>
      <c r="X2060" s="97"/>
      <c r="Y2060" s="75">
        <v>333.51</v>
      </c>
    </row>
    <row r="2061" spans="1:25" x14ac:dyDescent="0.25">
      <c r="A2061" s="76">
        <v>2093</v>
      </c>
      <c r="B2061" s="2" t="s">
        <v>3413</v>
      </c>
      <c r="C2061" s="2" t="s">
        <v>3414</v>
      </c>
      <c r="D2061" s="2" t="s">
        <v>3415</v>
      </c>
      <c r="E2061" s="2" t="s">
        <v>3416</v>
      </c>
      <c r="F2061" s="2" t="s">
        <v>3417</v>
      </c>
      <c r="G2061" s="2" t="s">
        <v>1424</v>
      </c>
      <c r="H2061" s="17">
        <v>100</v>
      </c>
      <c r="I2061" s="31">
        <f t="shared" si="198"/>
        <v>100000</v>
      </c>
      <c r="J2061" s="31">
        <f t="shared" si="199"/>
        <v>7000.0000000000009</v>
      </c>
      <c r="K2061" s="44">
        <f t="shared" si="200"/>
        <v>19.178082191780824</v>
      </c>
      <c r="L2061" s="3">
        <f t="shared" si="201"/>
        <v>1419.178082191781</v>
      </c>
      <c r="M2061" s="3">
        <f t="shared" si="202"/>
        <v>85.150684931506859</v>
      </c>
      <c r="N2061" s="67">
        <f t="shared" si="203"/>
        <v>1334.027397260274</v>
      </c>
      <c r="O2061" s="3"/>
      <c r="P2061" s="70" t="s">
        <v>18615</v>
      </c>
      <c r="Q2061" s="2" t="s">
        <v>40</v>
      </c>
      <c r="R2061" s="2" t="s">
        <v>3418</v>
      </c>
      <c r="T2061" t="s">
        <v>18666</v>
      </c>
      <c r="U2061" t="s">
        <v>18652</v>
      </c>
      <c r="V2061" s="104">
        <v>45857</v>
      </c>
      <c r="X2061" s="97"/>
      <c r="Y2061" s="75">
        <v>1334.03</v>
      </c>
    </row>
    <row r="2062" spans="1:25" x14ac:dyDescent="0.25">
      <c r="A2062" s="76">
        <v>2094</v>
      </c>
      <c r="B2062" s="2" t="s">
        <v>14436</v>
      </c>
      <c r="C2062" s="2" t="s">
        <v>14437</v>
      </c>
      <c r="D2062" s="2" t="s">
        <v>14438</v>
      </c>
      <c r="E2062" s="2" t="s">
        <v>14439</v>
      </c>
      <c r="F2062" s="2" t="s">
        <v>14440</v>
      </c>
      <c r="G2062" s="2" t="s">
        <v>123</v>
      </c>
      <c r="H2062" s="17">
        <v>25</v>
      </c>
      <c r="I2062" s="31">
        <f t="shared" si="198"/>
        <v>25000</v>
      </c>
      <c r="J2062" s="31">
        <f t="shared" si="199"/>
        <v>1750.0000000000002</v>
      </c>
      <c r="K2062" s="44">
        <f t="shared" si="200"/>
        <v>4.794520547945206</v>
      </c>
      <c r="L2062" s="3">
        <f t="shared" si="201"/>
        <v>354.79452054794524</v>
      </c>
      <c r="M2062" s="3">
        <f t="shared" si="202"/>
        <v>21.287671232876715</v>
      </c>
      <c r="N2062" s="67">
        <f t="shared" si="203"/>
        <v>333.50684931506851</v>
      </c>
      <c r="O2062" s="3"/>
      <c r="P2062" s="70" t="s">
        <v>18615</v>
      </c>
      <c r="Q2062" s="2" t="s">
        <v>40</v>
      </c>
      <c r="R2062" s="2" t="s">
        <v>14441</v>
      </c>
      <c r="T2062" t="s">
        <v>18666</v>
      </c>
      <c r="U2062" t="s">
        <v>18652</v>
      </c>
      <c r="V2062" s="104">
        <v>45857</v>
      </c>
      <c r="X2062" s="97"/>
      <c r="Y2062" s="75">
        <v>333.51</v>
      </c>
    </row>
    <row r="2063" spans="1:25" x14ac:dyDescent="0.25">
      <c r="A2063" s="76">
        <v>2095</v>
      </c>
      <c r="B2063" s="2" t="s">
        <v>2072</v>
      </c>
      <c r="C2063" s="2" t="s">
        <v>2073</v>
      </c>
      <c r="D2063" s="2" t="s">
        <v>2074</v>
      </c>
      <c r="E2063" s="2" t="s">
        <v>2075</v>
      </c>
      <c r="F2063" s="2" t="s">
        <v>2076</v>
      </c>
      <c r="G2063" s="2" t="s">
        <v>31</v>
      </c>
      <c r="H2063" s="17">
        <v>25</v>
      </c>
      <c r="I2063" s="31">
        <f t="shared" si="198"/>
        <v>25000</v>
      </c>
      <c r="J2063" s="31">
        <f t="shared" si="199"/>
        <v>1750.0000000000002</v>
      </c>
      <c r="K2063" s="44">
        <f t="shared" si="200"/>
        <v>4.794520547945206</v>
      </c>
      <c r="L2063" s="3">
        <f t="shared" si="201"/>
        <v>354.79452054794524</v>
      </c>
      <c r="M2063" s="3">
        <f t="shared" si="202"/>
        <v>21.287671232876715</v>
      </c>
      <c r="N2063" s="67">
        <f t="shared" si="203"/>
        <v>333.50684931506851</v>
      </c>
      <c r="O2063" s="3"/>
      <c r="P2063" s="70" t="s">
        <v>18615</v>
      </c>
      <c r="Q2063" s="2" t="s">
        <v>40</v>
      </c>
      <c r="R2063" s="2" t="s">
        <v>2077</v>
      </c>
      <c r="T2063" t="s">
        <v>18666</v>
      </c>
      <c r="U2063" t="s">
        <v>18652</v>
      </c>
      <c r="V2063" s="104">
        <v>45857</v>
      </c>
      <c r="X2063" s="97"/>
      <c r="Y2063" s="75">
        <v>333.51</v>
      </c>
    </row>
    <row r="2064" spans="1:25" x14ac:dyDescent="0.25">
      <c r="A2064" s="76">
        <v>2096</v>
      </c>
      <c r="B2064" s="2" t="s">
        <v>4057</v>
      </c>
      <c r="C2064" s="2" t="s">
        <v>4058</v>
      </c>
      <c r="D2064" s="2" t="s">
        <v>4059</v>
      </c>
      <c r="E2064" s="2" t="s">
        <v>4060</v>
      </c>
      <c r="F2064" s="2" t="s">
        <v>4061</v>
      </c>
      <c r="G2064" s="2" t="s">
        <v>186</v>
      </c>
      <c r="H2064" s="17">
        <v>25</v>
      </c>
      <c r="I2064" s="31">
        <f t="shared" si="198"/>
        <v>25000</v>
      </c>
      <c r="J2064" s="31">
        <f t="shared" si="199"/>
        <v>1750.0000000000002</v>
      </c>
      <c r="K2064" s="44">
        <f t="shared" si="200"/>
        <v>4.794520547945206</v>
      </c>
      <c r="L2064" s="3">
        <f t="shared" si="201"/>
        <v>354.79452054794524</v>
      </c>
      <c r="M2064" s="3">
        <f t="shared" si="202"/>
        <v>21.287671232876715</v>
      </c>
      <c r="N2064" s="67">
        <f t="shared" si="203"/>
        <v>333.50684931506851</v>
      </c>
      <c r="O2064" s="3"/>
      <c r="P2064" s="70" t="s">
        <v>18615</v>
      </c>
      <c r="Q2064" s="2" t="s">
        <v>40</v>
      </c>
      <c r="R2064" s="2" t="s">
        <v>4062</v>
      </c>
      <c r="T2064" t="s">
        <v>18666</v>
      </c>
      <c r="U2064" t="s">
        <v>18652</v>
      </c>
      <c r="V2064" s="104">
        <v>45857</v>
      </c>
      <c r="X2064" s="97"/>
      <c r="Y2064" s="75">
        <v>333.51</v>
      </c>
    </row>
    <row r="2065" spans="1:25" x14ac:dyDescent="0.25">
      <c r="A2065" s="76">
        <v>2097</v>
      </c>
      <c r="B2065" s="2" t="s">
        <v>63</v>
      </c>
      <c r="C2065" s="2" t="s">
        <v>64</v>
      </c>
      <c r="D2065" s="2" t="s">
        <v>65</v>
      </c>
      <c r="E2065" s="2" t="s">
        <v>66</v>
      </c>
      <c r="F2065" s="2" t="s">
        <v>67</v>
      </c>
      <c r="G2065" s="2" t="s">
        <v>31</v>
      </c>
      <c r="H2065" s="17">
        <v>25</v>
      </c>
      <c r="I2065" s="31">
        <f t="shared" si="198"/>
        <v>25000</v>
      </c>
      <c r="J2065" s="31">
        <f t="shared" si="199"/>
        <v>1750.0000000000002</v>
      </c>
      <c r="K2065" s="44">
        <f t="shared" si="200"/>
        <v>4.794520547945206</v>
      </c>
      <c r="L2065" s="3">
        <f t="shared" si="201"/>
        <v>354.79452054794524</v>
      </c>
      <c r="M2065" s="3">
        <f t="shared" si="202"/>
        <v>21.287671232876715</v>
      </c>
      <c r="N2065" s="67">
        <f t="shared" si="203"/>
        <v>333.50684931506851</v>
      </c>
      <c r="O2065" s="3"/>
      <c r="P2065" s="70" t="s">
        <v>18615</v>
      </c>
      <c r="Q2065" s="2" t="s">
        <v>40</v>
      </c>
      <c r="R2065" s="2" t="s">
        <v>68</v>
      </c>
      <c r="T2065" t="s">
        <v>18666</v>
      </c>
      <c r="U2065" t="s">
        <v>18652</v>
      </c>
      <c r="V2065" s="104">
        <v>45857</v>
      </c>
      <c r="X2065" s="97"/>
      <c r="Y2065" s="75">
        <v>333.51</v>
      </c>
    </row>
    <row r="2066" spans="1:25" x14ac:dyDescent="0.25">
      <c r="A2066" s="76">
        <v>2098</v>
      </c>
      <c r="B2066" s="2" t="s">
        <v>17294</v>
      </c>
      <c r="C2066" s="2" t="s">
        <v>17295</v>
      </c>
      <c r="D2066" s="2" t="s">
        <v>17296</v>
      </c>
      <c r="E2066" s="2" t="s">
        <v>17297</v>
      </c>
      <c r="F2066" s="2" t="s">
        <v>17298</v>
      </c>
      <c r="G2066" s="2" t="s">
        <v>31</v>
      </c>
      <c r="H2066" s="17">
        <v>25</v>
      </c>
      <c r="I2066" s="31">
        <f t="shared" ref="I2066:I2129" si="204">H2066*1000</f>
        <v>25000</v>
      </c>
      <c r="J2066" s="31">
        <f t="shared" ref="J2066:J2129" si="205">I2066*7%</f>
        <v>1750.0000000000002</v>
      </c>
      <c r="K2066" s="44">
        <f t="shared" ref="K2066:K2129" si="206">J2066/365</f>
        <v>4.794520547945206</v>
      </c>
      <c r="L2066" s="3">
        <f t="shared" ref="L2066:L2129" si="207">K2066*74</f>
        <v>354.79452054794524</v>
      </c>
      <c r="M2066" s="3">
        <f t="shared" ref="M2066:M2129" si="208">L2066*6%</f>
        <v>21.287671232876715</v>
      </c>
      <c r="N2066" s="67">
        <f t="shared" ref="N2066:N2129" si="209">L2066-M2066</f>
        <v>333.50684931506851</v>
      </c>
      <c r="O2066" s="3"/>
      <c r="P2066" s="70" t="s">
        <v>18615</v>
      </c>
      <c r="Q2066" s="2" t="s">
        <v>40</v>
      </c>
      <c r="R2066" s="2" t="s">
        <v>17299</v>
      </c>
      <c r="T2066" t="s">
        <v>18666</v>
      </c>
      <c r="U2066" t="s">
        <v>18652</v>
      </c>
      <c r="V2066" s="104">
        <v>45857</v>
      </c>
      <c r="X2066" s="97"/>
      <c r="Y2066" s="75">
        <v>333.51</v>
      </c>
    </row>
    <row r="2067" spans="1:25" x14ac:dyDescent="0.25">
      <c r="A2067" s="76">
        <v>2099</v>
      </c>
      <c r="B2067" s="2" t="s">
        <v>4766</v>
      </c>
      <c r="C2067" s="2" t="s">
        <v>4767</v>
      </c>
      <c r="D2067" s="2" t="s">
        <v>4768</v>
      </c>
      <c r="E2067" s="2" t="s">
        <v>4769</v>
      </c>
      <c r="F2067" s="2" t="s">
        <v>4770</v>
      </c>
      <c r="G2067" s="2" t="s">
        <v>31</v>
      </c>
      <c r="H2067" s="17">
        <v>50</v>
      </c>
      <c r="I2067" s="31">
        <f t="shared" si="204"/>
        <v>50000</v>
      </c>
      <c r="J2067" s="31">
        <f t="shared" si="205"/>
        <v>3500.0000000000005</v>
      </c>
      <c r="K2067" s="44">
        <f t="shared" si="206"/>
        <v>9.589041095890412</v>
      </c>
      <c r="L2067" s="3">
        <f t="shared" si="207"/>
        <v>709.58904109589048</v>
      </c>
      <c r="M2067" s="3">
        <f t="shared" si="208"/>
        <v>42.57534246575343</v>
      </c>
      <c r="N2067" s="67">
        <f t="shared" si="209"/>
        <v>667.01369863013701</v>
      </c>
      <c r="O2067" s="3"/>
      <c r="P2067" s="70" t="s">
        <v>18615</v>
      </c>
      <c r="Q2067" s="2" t="s">
        <v>40</v>
      </c>
      <c r="R2067" s="2" t="s">
        <v>4771</v>
      </c>
      <c r="T2067" t="s">
        <v>18666</v>
      </c>
      <c r="U2067" t="s">
        <v>18652</v>
      </c>
      <c r="V2067" s="104">
        <v>45857</v>
      </c>
      <c r="X2067" s="97"/>
      <c r="Y2067" s="75">
        <v>667.02</v>
      </c>
    </row>
    <row r="2068" spans="1:25" x14ac:dyDescent="0.25">
      <c r="A2068" s="76">
        <v>2100</v>
      </c>
      <c r="B2068" s="2" t="s">
        <v>17932</v>
      </c>
      <c r="C2068" s="2" t="s">
        <v>17933</v>
      </c>
      <c r="D2068" s="2" t="s">
        <v>17934</v>
      </c>
      <c r="E2068" s="2" t="s">
        <v>17935</v>
      </c>
      <c r="F2068" s="2" t="s">
        <v>17936</v>
      </c>
      <c r="G2068" s="2" t="s">
        <v>31</v>
      </c>
      <c r="H2068" s="17">
        <v>50</v>
      </c>
      <c r="I2068" s="31">
        <f t="shared" si="204"/>
        <v>50000</v>
      </c>
      <c r="J2068" s="31">
        <f t="shared" si="205"/>
        <v>3500.0000000000005</v>
      </c>
      <c r="K2068" s="44">
        <f t="shared" si="206"/>
        <v>9.589041095890412</v>
      </c>
      <c r="L2068" s="3">
        <f t="shared" si="207"/>
        <v>709.58904109589048</v>
      </c>
      <c r="M2068" s="3">
        <f t="shared" si="208"/>
        <v>42.57534246575343</v>
      </c>
      <c r="N2068" s="67">
        <f t="shared" si="209"/>
        <v>667.01369863013701</v>
      </c>
      <c r="O2068" s="3"/>
      <c r="P2068" s="70" t="s">
        <v>18615</v>
      </c>
      <c r="Q2068" s="2" t="s">
        <v>40</v>
      </c>
      <c r="R2068" s="2" t="s">
        <v>17937</v>
      </c>
      <c r="T2068" t="s">
        <v>18666</v>
      </c>
      <c r="U2068" t="s">
        <v>18652</v>
      </c>
      <c r="V2068" s="104">
        <v>45857</v>
      </c>
      <c r="X2068" s="97"/>
      <c r="Y2068" s="75">
        <v>667.02</v>
      </c>
    </row>
    <row r="2069" spans="1:25" x14ac:dyDescent="0.25">
      <c r="A2069" s="76">
        <v>2101</v>
      </c>
      <c r="B2069" s="2" t="s">
        <v>13787</v>
      </c>
      <c r="C2069" s="2" t="s">
        <v>13788</v>
      </c>
      <c r="D2069" s="2" t="s">
        <v>13789</v>
      </c>
      <c r="E2069" s="2" t="s">
        <v>13790</v>
      </c>
      <c r="F2069" s="2" t="s">
        <v>13791</v>
      </c>
      <c r="G2069" s="2" t="s">
        <v>31</v>
      </c>
      <c r="H2069" s="17">
        <v>200</v>
      </c>
      <c r="I2069" s="31">
        <f t="shared" si="204"/>
        <v>200000</v>
      </c>
      <c r="J2069" s="31">
        <f t="shared" si="205"/>
        <v>14000.000000000002</v>
      </c>
      <c r="K2069" s="44">
        <f t="shared" si="206"/>
        <v>38.356164383561648</v>
      </c>
      <c r="L2069" s="3">
        <f t="shared" si="207"/>
        <v>2838.3561643835619</v>
      </c>
      <c r="M2069" s="3">
        <f t="shared" si="208"/>
        <v>170.30136986301372</v>
      </c>
      <c r="N2069" s="67">
        <f t="shared" si="209"/>
        <v>2668.0547945205481</v>
      </c>
      <c r="O2069" s="3"/>
      <c r="P2069" s="70" t="s">
        <v>18615</v>
      </c>
      <c r="Q2069" s="2" t="s">
        <v>40</v>
      </c>
      <c r="R2069" s="2" t="s">
        <v>13792</v>
      </c>
      <c r="T2069" t="s">
        <v>18666</v>
      </c>
      <c r="U2069" t="s">
        <v>18652</v>
      </c>
      <c r="V2069" s="104">
        <v>45857</v>
      </c>
      <c r="X2069" s="97"/>
      <c r="Y2069" s="75">
        <v>2668.0600000000004</v>
      </c>
    </row>
    <row r="2070" spans="1:25" x14ac:dyDescent="0.25">
      <c r="A2070" s="76">
        <v>2102</v>
      </c>
      <c r="B2070" s="2" t="s">
        <v>3465</v>
      </c>
      <c r="C2070" s="2" t="s">
        <v>3466</v>
      </c>
      <c r="D2070" s="2" t="s">
        <v>3467</v>
      </c>
      <c r="E2070" s="2" t="s">
        <v>3468</v>
      </c>
      <c r="F2070" s="2" t="s">
        <v>3469</v>
      </c>
      <c r="G2070" s="2" t="s">
        <v>517</v>
      </c>
      <c r="H2070" s="17">
        <v>25</v>
      </c>
      <c r="I2070" s="31">
        <f t="shared" si="204"/>
        <v>25000</v>
      </c>
      <c r="J2070" s="31">
        <f t="shared" si="205"/>
        <v>1750.0000000000002</v>
      </c>
      <c r="K2070" s="44">
        <f t="shared" si="206"/>
        <v>4.794520547945206</v>
      </c>
      <c r="L2070" s="3">
        <f t="shared" si="207"/>
        <v>354.79452054794524</v>
      </c>
      <c r="M2070" s="3">
        <f t="shared" si="208"/>
        <v>21.287671232876715</v>
      </c>
      <c r="N2070" s="67">
        <f t="shared" si="209"/>
        <v>333.50684931506851</v>
      </c>
      <c r="O2070" s="3"/>
      <c r="P2070" s="70" t="s">
        <v>18636</v>
      </c>
      <c r="Q2070" s="2" t="s">
        <v>219</v>
      </c>
      <c r="R2070" s="2" t="s">
        <v>3470</v>
      </c>
      <c r="T2070" t="s">
        <v>18666</v>
      </c>
      <c r="U2070" t="s">
        <v>18652</v>
      </c>
      <c r="V2070" s="104">
        <v>45857</v>
      </c>
      <c r="X2070" s="97"/>
      <c r="Y2070" s="75">
        <v>333.51</v>
      </c>
    </row>
    <row r="2071" spans="1:25" x14ac:dyDescent="0.25">
      <c r="A2071" s="76">
        <v>2103</v>
      </c>
      <c r="B2071" s="2" t="s">
        <v>9873</v>
      </c>
      <c r="C2071" s="2" t="s">
        <v>9874</v>
      </c>
      <c r="D2071" s="2" t="s">
        <v>9875</v>
      </c>
      <c r="E2071" s="2" t="s">
        <v>9876</v>
      </c>
      <c r="F2071" s="2" t="s">
        <v>9877</v>
      </c>
      <c r="G2071" s="2" t="s">
        <v>587</v>
      </c>
      <c r="H2071" s="17">
        <v>40</v>
      </c>
      <c r="I2071" s="31">
        <f t="shared" si="204"/>
        <v>40000</v>
      </c>
      <c r="J2071" s="31">
        <f t="shared" si="205"/>
        <v>2800.0000000000005</v>
      </c>
      <c r="K2071" s="44">
        <f t="shared" si="206"/>
        <v>7.6712328767123301</v>
      </c>
      <c r="L2071" s="3">
        <f t="shared" si="207"/>
        <v>567.67123287671245</v>
      </c>
      <c r="M2071" s="3">
        <f t="shared" si="208"/>
        <v>34.060273972602744</v>
      </c>
      <c r="N2071" s="67">
        <f t="shared" si="209"/>
        <v>533.61095890410968</v>
      </c>
      <c r="O2071" s="3"/>
      <c r="P2071" s="70" t="s">
        <v>18636</v>
      </c>
      <c r="Q2071" s="2" t="s">
        <v>219</v>
      </c>
      <c r="R2071" s="2" t="s">
        <v>9878</v>
      </c>
      <c r="T2071" t="s">
        <v>18666</v>
      </c>
      <c r="U2071" t="s">
        <v>18652</v>
      </c>
      <c r="V2071" s="104">
        <v>45857</v>
      </c>
      <c r="X2071" s="97"/>
      <c r="Y2071" s="75">
        <v>533.62</v>
      </c>
    </row>
    <row r="2072" spans="1:25" x14ac:dyDescent="0.25">
      <c r="A2072" s="76">
        <v>2104</v>
      </c>
      <c r="B2072" s="2" t="s">
        <v>1208</v>
      </c>
      <c r="C2072" s="2" t="s">
        <v>1209</v>
      </c>
      <c r="D2072" s="2" t="s">
        <v>1210</v>
      </c>
      <c r="E2072" s="2" t="s">
        <v>1211</v>
      </c>
      <c r="F2072" s="2" t="s">
        <v>1212</v>
      </c>
      <c r="G2072" s="2" t="s">
        <v>186</v>
      </c>
      <c r="H2072" s="17">
        <v>50</v>
      </c>
      <c r="I2072" s="31">
        <f t="shared" si="204"/>
        <v>50000</v>
      </c>
      <c r="J2072" s="31">
        <f t="shared" si="205"/>
        <v>3500.0000000000005</v>
      </c>
      <c r="K2072" s="44">
        <f t="shared" si="206"/>
        <v>9.589041095890412</v>
      </c>
      <c r="L2072" s="3">
        <f t="shared" si="207"/>
        <v>709.58904109589048</v>
      </c>
      <c r="M2072" s="3">
        <f t="shared" si="208"/>
        <v>42.57534246575343</v>
      </c>
      <c r="N2072" s="67">
        <f t="shared" si="209"/>
        <v>667.01369863013701</v>
      </c>
      <c r="O2072" s="3"/>
      <c r="P2072" s="70" t="s">
        <v>18636</v>
      </c>
      <c r="Q2072" s="2" t="s">
        <v>219</v>
      </c>
      <c r="R2072" s="2" t="s">
        <v>1213</v>
      </c>
      <c r="T2072" t="s">
        <v>18666</v>
      </c>
      <c r="U2072" t="s">
        <v>18652</v>
      </c>
      <c r="V2072" s="104">
        <v>45857</v>
      </c>
      <c r="X2072" s="97"/>
      <c r="Y2072" s="75">
        <v>667.02</v>
      </c>
    </row>
    <row r="2073" spans="1:25" x14ac:dyDescent="0.25">
      <c r="A2073" s="76">
        <v>2105</v>
      </c>
      <c r="B2073" s="2" t="s">
        <v>17225</v>
      </c>
      <c r="C2073" s="2" t="s">
        <v>17226</v>
      </c>
      <c r="D2073" s="2" t="s">
        <v>17227</v>
      </c>
      <c r="E2073" s="2" t="s">
        <v>17228</v>
      </c>
      <c r="F2073" s="2" t="s">
        <v>17229</v>
      </c>
      <c r="G2073" s="2" t="s">
        <v>618</v>
      </c>
      <c r="H2073" s="17">
        <v>25</v>
      </c>
      <c r="I2073" s="31">
        <f t="shared" si="204"/>
        <v>25000</v>
      </c>
      <c r="J2073" s="31">
        <f t="shared" si="205"/>
        <v>1750.0000000000002</v>
      </c>
      <c r="K2073" s="44">
        <f t="shared" si="206"/>
        <v>4.794520547945206</v>
      </c>
      <c r="L2073" s="3">
        <f t="shared" si="207"/>
        <v>354.79452054794524</v>
      </c>
      <c r="M2073" s="3">
        <f t="shared" si="208"/>
        <v>21.287671232876715</v>
      </c>
      <c r="N2073" s="67">
        <f t="shared" si="209"/>
        <v>333.50684931506851</v>
      </c>
      <c r="O2073" s="3"/>
      <c r="P2073" s="70" t="s">
        <v>18636</v>
      </c>
      <c r="Q2073" s="2" t="s">
        <v>219</v>
      </c>
      <c r="R2073" s="2" t="s">
        <v>17230</v>
      </c>
      <c r="T2073" t="s">
        <v>18666</v>
      </c>
      <c r="U2073" t="s">
        <v>18652</v>
      </c>
      <c r="V2073" s="104">
        <v>45857</v>
      </c>
      <c r="X2073" s="97"/>
      <c r="Y2073" s="75">
        <v>333.51</v>
      </c>
    </row>
    <row r="2074" spans="1:25" x14ac:dyDescent="0.25">
      <c r="A2074" s="76">
        <v>2106</v>
      </c>
      <c r="B2074" s="2" t="s">
        <v>1584</v>
      </c>
      <c r="C2074" s="2" t="s">
        <v>1585</v>
      </c>
      <c r="D2074" s="2" t="s">
        <v>1586</v>
      </c>
      <c r="E2074" s="2" t="s">
        <v>1587</v>
      </c>
      <c r="F2074" s="2" t="s">
        <v>1588</v>
      </c>
      <c r="G2074" s="2" t="s">
        <v>282</v>
      </c>
      <c r="H2074" s="17">
        <v>25</v>
      </c>
      <c r="I2074" s="31">
        <f t="shared" si="204"/>
        <v>25000</v>
      </c>
      <c r="J2074" s="31">
        <f t="shared" si="205"/>
        <v>1750.0000000000002</v>
      </c>
      <c r="K2074" s="44">
        <f t="shared" si="206"/>
        <v>4.794520547945206</v>
      </c>
      <c r="L2074" s="3">
        <f t="shared" si="207"/>
        <v>354.79452054794524</v>
      </c>
      <c r="M2074" s="3">
        <f t="shared" si="208"/>
        <v>21.287671232876715</v>
      </c>
      <c r="N2074" s="67">
        <f t="shared" si="209"/>
        <v>333.50684931506851</v>
      </c>
      <c r="O2074" s="3"/>
      <c r="P2074" s="70" t="s">
        <v>18636</v>
      </c>
      <c r="Q2074" s="2" t="s">
        <v>219</v>
      </c>
      <c r="R2074" s="2" t="s">
        <v>1589</v>
      </c>
      <c r="T2074" t="s">
        <v>18666</v>
      </c>
      <c r="U2074" t="s">
        <v>18652</v>
      </c>
      <c r="V2074" s="104">
        <v>45857</v>
      </c>
      <c r="X2074" s="97"/>
      <c r="Y2074" s="75">
        <v>333.51</v>
      </c>
    </row>
    <row r="2075" spans="1:25" x14ac:dyDescent="0.25">
      <c r="A2075" s="76">
        <v>2107</v>
      </c>
      <c r="B2075" s="2" t="s">
        <v>3620</v>
      </c>
      <c r="C2075" s="2" t="s">
        <v>3621</v>
      </c>
      <c r="D2075" s="2" t="s">
        <v>3622</v>
      </c>
      <c r="E2075" s="2" t="s">
        <v>3623</v>
      </c>
      <c r="F2075" s="2" t="s">
        <v>3624</v>
      </c>
      <c r="G2075" s="2" t="s">
        <v>247</v>
      </c>
      <c r="H2075" s="17">
        <v>250</v>
      </c>
      <c r="I2075" s="31">
        <f t="shared" si="204"/>
        <v>250000</v>
      </c>
      <c r="J2075" s="31">
        <f t="shared" si="205"/>
        <v>17500</v>
      </c>
      <c r="K2075" s="44">
        <f t="shared" si="206"/>
        <v>47.945205479452056</v>
      </c>
      <c r="L2075" s="3">
        <f t="shared" si="207"/>
        <v>3547.9452054794519</v>
      </c>
      <c r="M2075" s="3">
        <f t="shared" si="208"/>
        <v>212.8767123287671</v>
      </c>
      <c r="N2075" s="67">
        <f t="shared" si="209"/>
        <v>3335.0684931506848</v>
      </c>
      <c r="O2075" s="3"/>
      <c r="P2075" s="70" t="s">
        <v>18636</v>
      </c>
      <c r="Q2075" s="2" t="s">
        <v>219</v>
      </c>
      <c r="R2075" s="2" t="s">
        <v>3625</v>
      </c>
      <c r="T2075" t="s">
        <v>18666</v>
      </c>
      <c r="U2075" t="s">
        <v>18652</v>
      </c>
      <c r="V2075" s="104">
        <v>45857</v>
      </c>
      <c r="X2075" s="97"/>
      <c r="Y2075" s="75">
        <v>3335.07</v>
      </c>
    </row>
    <row r="2076" spans="1:25" x14ac:dyDescent="0.25">
      <c r="A2076" s="76">
        <v>2108</v>
      </c>
      <c r="B2076" s="2" t="s">
        <v>17995</v>
      </c>
      <c r="C2076" s="2" t="s">
        <v>17996</v>
      </c>
      <c r="D2076" s="2" t="s">
        <v>17997</v>
      </c>
      <c r="E2076" s="2" t="s">
        <v>17998</v>
      </c>
      <c r="F2076" s="2" t="s">
        <v>17999</v>
      </c>
      <c r="G2076" s="2" t="s">
        <v>876</v>
      </c>
      <c r="H2076" s="17">
        <v>25</v>
      </c>
      <c r="I2076" s="31">
        <f t="shared" si="204"/>
        <v>25000</v>
      </c>
      <c r="J2076" s="31">
        <f t="shared" si="205"/>
        <v>1750.0000000000002</v>
      </c>
      <c r="K2076" s="44">
        <f t="shared" si="206"/>
        <v>4.794520547945206</v>
      </c>
      <c r="L2076" s="3">
        <f t="shared" si="207"/>
        <v>354.79452054794524</v>
      </c>
      <c r="M2076" s="3">
        <f t="shared" si="208"/>
        <v>21.287671232876715</v>
      </c>
      <c r="N2076" s="67">
        <f t="shared" si="209"/>
        <v>333.50684931506851</v>
      </c>
      <c r="O2076" s="3"/>
      <c r="P2076" s="70" t="s">
        <v>18636</v>
      </c>
      <c r="Q2076" s="2" t="s">
        <v>219</v>
      </c>
      <c r="R2076" s="2" t="s">
        <v>18000</v>
      </c>
      <c r="T2076" t="s">
        <v>18666</v>
      </c>
      <c r="U2076" t="s">
        <v>18652</v>
      </c>
      <c r="V2076" s="104">
        <v>45857</v>
      </c>
      <c r="X2076" s="97"/>
      <c r="Y2076" s="75">
        <v>333.51</v>
      </c>
    </row>
    <row r="2077" spans="1:25" x14ac:dyDescent="0.25">
      <c r="A2077" s="76">
        <v>2109</v>
      </c>
      <c r="B2077" s="2" t="s">
        <v>7837</v>
      </c>
      <c r="C2077" s="2" t="s">
        <v>7838</v>
      </c>
      <c r="D2077" s="2" t="s">
        <v>7839</v>
      </c>
      <c r="E2077" s="2" t="s">
        <v>7840</v>
      </c>
      <c r="F2077" s="2" t="s">
        <v>7841</v>
      </c>
      <c r="G2077" s="2" t="s">
        <v>31</v>
      </c>
      <c r="H2077" s="17">
        <v>25</v>
      </c>
      <c r="I2077" s="31">
        <f t="shared" si="204"/>
        <v>25000</v>
      </c>
      <c r="J2077" s="31">
        <f t="shared" si="205"/>
        <v>1750.0000000000002</v>
      </c>
      <c r="K2077" s="44">
        <f t="shared" si="206"/>
        <v>4.794520547945206</v>
      </c>
      <c r="L2077" s="3">
        <f t="shared" si="207"/>
        <v>354.79452054794524</v>
      </c>
      <c r="M2077" s="3">
        <f t="shared" si="208"/>
        <v>21.287671232876715</v>
      </c>
      <c r="N2077" s="67">
        <f t="shared" si="209"/>
        <v>333.50684931506851</v>
      </c>
      <c r="O2077" s="3"/>
      <c r="P2077" s="70" t="s">
        <v>18636</v>
      </c>
      <c r="Q2077" s="2" t="s">
        <v>219</v>
      </c>
      <c r="R2077" s="2" t="s">
        <v>7842</v>
      </c>
      <c r="T2077" t="s">
        <v>18666</v>
      </c>
      <c r="U2077" t="s">
        <v>18652</v>
      </c>
      <c r="V2077" s="104">
        <v>45857</v>
      </c>
      <c r="X2077" s="97"/>
      <c r="Y2077" s="75">
        <v>333.51</v>
      </c>
    </row>
    <row r="2078" spans="1:25" x14ac:dyDescent="0.25">
      <c r="A2078" s="76">
        <v>2110</v>
      </c>
      <c r="B2078" s="2" t="s">
        <v>1723</v>
      </c>
      <c r="C2078" s="2" t="s">
        <v>1724</v>
      </c>
      <c r="D2078" s="2" t="s">
        <v>1725</v>
      </c>
      <c r="E2078" s="2" t="s">
        <v>1726</v>
      </c>
      <c r="F2078" s="2" t="s">
        <v>1727</v>
      </c>
      <c r="G2078" s="2" t="s">
        <v>1570</v>
      </c>
      <c r="H2078" s="17">
        <v>25</v>
      </c>
      <c r="I2078" s="31">
        <f t="shared" si="204"/>
        <v>25000</v>
      </c>
      <c r="J2078" s="31">
        <f t="shared" si="205"/>
        <v>1750.0000000000002</v>
      </c>
      <c r="K2078" s="44">
        <f t="shared" si="206"/>
        <v>4.794520547945206</v>
      </c>
      <c r="L2078" s="3">
        <f t="shared" si="207"/>
        <v>354.79452054794524</v>
      </c>
      <c r="M2078" s="3">
        <f t="shared" si="208"/>
        <v>21.287671232876715</v>
      </c>
      <c r="N2078" s="67">
        <f t="shared" si="209"/>
        <v>333.50684931506851</v>
      </c>
      <c r="O2078" s="3"/>
      <c r="P2078" s="70" t="s">
        <v>18636</v>
      </c>
      <c r="Q2078" s="2" t="s">
        <v>219</v>
      </c>
      <c r="R2078" s="2" t="s">
        <v>1728</v>
      </c>
      <c r="T2078" t="s">
        <v>18666</v>
      </c>
      <c r="U2078" t="s">
        <v>18652</v>
      </c>
      <c r="V2078" s="104">
        <v>45857</v>
      </c>
      <c r="X2078" s="97"/>
      <c r="Y2078" s="75">
        <v>333.51</v>
      </c>
    </row>
    <row r="2079" spans="1:25" x14ac:dyDescent="0.25">
      <c r="A2079" s="76">
        <v>2111</v>
      </c>
      <c r="B2079" s="2" t="s">
        <v>11276</v>
      </c>
      <c r="C2079" s="2" t="s">
        <v>11277</v>
      </c>
      <c r="D2079" s="2" t="s">
        <v>11278</v>
      </c>
      <c r="E2079" s="2" t="s">
        <v>11279</v>
      </c>
      <c r="F2079" s="2" t="s">
        <v>11280</v>
      </c>
      <c r="G2079" s="2" t="s">
        <v>151</v>
      </c>
      <c r="H2079" s="17">
        <v>25</v>
      </c>
      <c r="I2079" s="31">
        <f t="shared" si="204"/>
        <v>25000</v>
      </c>
      <c r="J2079" s="31">
        <f t="shared" si="205"/>
        <v>1750.0000000000002</v>
      </c>
      <c r="K2079" s="44">
        <f t="shared" si="206"/>
        <v>4.794520547945206</v>
      </c>
      <c r="L2079" s="3">
        <f t="shared" si="207"/>
        <v>354.79452054794524</v>
      </c>
      <c r="M2079" s="3">
        <f t="shared" si="208"/>
        <v>21.287671232876715</v>
      </c>
      <c r="N2079" s="67">
        <f t="shared" si="209"/>
        <v>333.50684931506851</v>
      </c>
      <c r="O2079" s="3"/>
      <c r="P2079" s="70" t="s">
        <v>18636</v>
      </c>
      <c r="Q2079" s="2" t="s">
        <v>219</v>
      </c>
      <c r="R2079" s="2" t="s">
        <v>11281</v>
      </c>
      <c r="T2079" t="s">
        <v>18666</v>
      </c>
      <c r="U2079" t="s">
        <v>18652</v>
      </c>
      <c r="V2079" s="104">
        <v>45857</v>
      </c>
      <c r="X2079" s="97"/>
      <c r="Y2079" s="75">
        <v>333.51</v>
      </c>
    </row>
    <row r="2080" spans="1:25" x14ac:dyDescent="0.25">
      <c r="A2080" s="76">
        <v>2112</v>
      </c>
      <c r="B2080" s="2" t="s">
        <v>13214</v>
      </c>
      <c r="C2080" s="2" t="s">
        <v>13215</v>
      </c>
      <c r="D2080" s="2" t="s">
        <v>13216</v>
      </c>
      <c r="E2080" s="2" t="s">
        <v>13217</v>
      </c>
      <c r="F2080" s="2" t="s">
        <v>13218</v>
      </c>
      <c r="G2080" s="2" t="s">
        <v>1570</v>
      </c>
      <c r="H2080" s="17">
        <v>25</v>
      </c>
      <c r="I2080" s="31">
        <f t="shared" si="204"/>
        <v>25000</v>
      </c>
      <c r="J2080" s="31">
        <f t="shared" si="205"/>
        <v>1750.0000000000002</v>
      </c>
      <c r="K2080" s="44">
        <f t="shared" si="206"/>
        <v>4.794520547945206</v>
      </c>
      <c r="L2080" s="3">
        <f t="shared" si="207"/>
        <v>354.79452054794524</v>
      </c>
      <c r="M2080" s="3">
        <f t="shared" si="208"/>
        <v>21.287671232876715</v>
      </c>
      <c r="N2080" s="67">
        <f t="shared" si="209"/>
        <v>333.50684931506851</v>
      </c>
      <c r="O2080" s="3"/>
      <c r="P2080" s="70" t="s">
        <v>18636</v>
      </c>
      <c r="Q2080" s="2" t="s">
        <v>219</v>
      </c>
      <c r="R2080" s="2" t="s">
        <v>13219</v>
      </c>
      <c r="T2080" t="s">
        <v>18666</v>
      </c>
      <c r="U2080" t="s">
        <v>18652</v>
      </c>
      <c r="V2080" s="104">
        <v>45857</v>
      </c>
      <c r="X2080" s="97"/>
      <c r="Y2080" s="75">
        <v>333.51</v>
      </c>
    </row>
    <row r="2081" spans="1:25" x14ac:dyDescent="0.25">
      <c r="A2081" s="76">
        <v>2113</v>
      </c>
      <c r="B2081" s="2" t="s">
        <v>6513</v>
      </c>
      <c r="C2081" s="2" t="s">
        <v>6514</v>
      </c>
      <c r="D2081" s="2" t="s">
        <v>6515</v>
      </c>
      <c r="E2081" s="2" t="s">
        <v>6516</v>
      </c>
      <c r="F2081" s="2" t="s">
        <v>6517</v>
      </c>
      <c r="G2081" s="2" t="s">
        <v>23</v>
      </c>
      <c r="H2081" s="17">
        <v>50</v>
      </c>
      <c r="I2081" s="31">
        <f t="shared" si="204"/>
        <v>50000</v>
      </c>
      <c r="J2081" s="31">
        <f t="shared" si="205"/>
        <v>3500.0000000000005</v>
      </c>
      <c r="K2081" s="44">
        <f t="shared" si="206"/>
        <v>9.589041095890412</v>
      </c>
      <c r="L2081" s="3">
        <f t="shared" si="207"/>
        <v>709.58904109589048</v>
      </c>
      <c r="M2081" s="3">
        <f t="shared" si="208"/>
        <v>42.57534246575343</v>
      </c>
      <c r="N2081" s="67">
        <f t="shared" si="209"/>
        <v>667.01369863013701</v>
      </c>
      <c r="O2081" s="3"/>
      <c r="P2081" s="70" t="s">
        <v>18636</v>
      </c>
      <c r="Q2081" s="2" t="s">
        <v>219</v>
      </c>
      <c r="R2081" s="2" t="s">
        <v>6518</v>
      </c>
      <c r="T2081" t="s">
        <v>18666</v>
      </c>
      <c r="U2081" t="s">
        <v>18652</v>
      </c>
      <c r="V2081" s="104">
        <v>45857</v>
      </c>
      <c r="X2081" s="97"/>
      <c r="Y2081" s="75">
        <v>667.02</v>
      </c>
    </row>
    <row r="2082" spans="1:25" x14ac:dyDescent="0.25">
      <c r="A2082" s="76">
        <v>2114</v>
      </c>
      <c r="B2082" s="2" t="s">
        <v>2024</v>
      </c>
      <c r="C2082" s="2" t="s">
        <v>2025</v>
      </c>
      <c r="D2082" s="2" t="s">
        <v>2026</v>
      </c>
      <c r="E2082" s="2" t="s">
        <v>2027</v>
      </c>
      <c r="F2082" s="2" t="s">
        <v>2028</v>
      </c>
      <c r="G2082" s="2" t="s">
        <v>261</v>
      </c>
      <c r="H2082" s="17">
        <v>25</v>
      </c>
      <c r="I2082" s="31">
        <f t="shared" si="204"/>
        <v>25000</v>
      </c>
      <c r="J2082" s="31">
        <f t="shared" si="205"/>
        <v>1750.0000000000002</v>
      </c>
      <c r="K2082" s="44">
        <f t="shared" si="206"/>
        <v>4.794520547945206</v>
      </c>
      <c r="L2082" s="3">
        <f t="shared" si="207"/>
        <v>354.79452054794524</v>
      </c>
      <c r="M2082" s="3">
        <f t="shared" si="208"/>
        <v>21.287671232876715</v>
      </c>
      <c r="N2082" s="67">
        <f t="shared" si="209"/>
        <v>333.50684931506851</v>
      </c>
      <c r="O2082" s="3"/>
      <c r="P2082" s="70" t="s">
        <v>18636</v>
      </c>
      <c r="Q2082" s="2" t="s">
        <v>219</v>
      </c>
      <c r="R2082" s="2" t="s">
        <v>2029</v>
      </c>
      <c r="T2082" t="s">
        <v>18666</v>
      </c>
      <c r="U2082" t="s">
        <v>18652</v>
      </c>
      <c r="V2082" s="104">
        <v>45857</v>
      </c>
      <c r="X2082" s="97"/>
      <c r="Y2082" s="75">
        <v>333.51</v>
      </c>
    </row>
    <row r="2083" spans="1:25" x14ac:dyDescent="0.25">
      <c r="A2083" s="76">
        <v>2115</v>
      </c>
      <c r="B2083" s="2" t="s">
        <v>3117</v>
      </c>
      <c r="C2083" s="2" t="s">
        <v>3118</v>
      </c>
      <c r="D2083" s="2" t="s">
        <v>3119</v>
      </c>
      <c r="E2083" s="2" t="s">
        <v>3120</v>
      </c>
      <c r="F2083" s="2" t="s">
        <v>3121</v>
      </c>
      <c r="G2083" s="2" t="s">
        <v>233</v>
      </c>
      <c r="H2083" s="17">
        <v>25</v>
      </c>
      <c r="I2083" s="31">
        <f t="shared" si="204"/>
        <v>25000</v>
      </c>
      <c r="J2083" s="31">
        <f t="shared" si="205"/>
        <v>1750.0000000000002</v>
      </c>
      <c r="K2083" s="44">
        <f t="shared" si="206"/>
        <v>4.794520547945206</v>
      </c>
      <c r="L2083" s="3">
        <f t="shared" si="207"/>
        <v>354.79452054794524</v>
      </c>
      <c r="M2083" s="3">
        <f t="shared" si="208"/>
        <v>21.287671232876715</v>
      </c>
      <c r="N2083" s="67">
        <f t="shared" si="209"/>
        <v>333.50684931506851</v>
      </c>
      <c r="O2083" s="3"/>
      <c r="P2083" s="70" t="s">
        <v>18636</v>
      </c>
      <c r="Q2083" s="2" t="s">
        <v>219</v>
      </c>
      <c r="R2083" s="2" t="s">
        <v>3122</v>
      </c>
      <c r="T2083" t="s">
        <v>18666</v>
      </c>
      <c r="U2083" t="s">
        <v>18652</v>
      </c>
      <c r="V2083" s="104">
        <v>45857</v>
      </c>
      <c r="X2083" s="97"/>
      <c r="Y2083" s="75">
        <v>333.51</v>
      </c>
    </row>
    <row r="2084" spans="1:25" x14ac:dyDescent="0.25">
      <c r="A2084" s="76">
        <v>2116</v>
      </c>
      <c r="B2084" s="2" t="s">
        <v>11430</v>
      </c>
      <c r="C2084" s="2" t="s">
        <v>11431</v>
      </c>
      <c r="D2084" s="2" t="s">
        <v>11432</v>
      </c>
      <c r="E2084" s="2" t="s">
        <v>11433</v>
      </c>
      <c r="F2084" s="2" t="s">
        <v>11434</v>
      </c>
      <c r="G2084" s="2" t="s">
        <v>835</v>
      </c>
      <c r="H2084" s="17">
        <v>25</v>
      </c>
      <c r="I2084" s="31">
        <f t="shared" si="204"/>
        <v>25000</v>
      </c>
      <c r="J2084" s="31">
        <f t="shared" si="205"/>
        <v>1750.0000000000002</v>
      </c>
      <c r="K2084" s="44">
        <f t="shared" si="206"/>
        <v>4.794520547945206</v>
      </c>
      <c r="L2084" s="3">
        <f t="shared" si="207"/>
        <v>354.79452054794524</v>
      </c>
      <c r="M2084" s="3">
        <f t="shared" si="208"/>
        <v>21.287671232876715</v>
      </c>
      <c r="N2084" s="67">
        <f t="shared" si="209"/>
        <v>333.50684931506851</v>
      </c>
      <c r="O2084" s="3"/>
      <c r="P2084" s="70" t="s">
        <v>18636</v>
      </c>
      <c r="Q2084" s="2" t="s">
        <v>219</v>
      </c>
      <c r="R2084" s="2" t="s">
        <v>11435</v>
      </c>
      <c r="T2084" t="s">
        <v>18666</v>
      </c>
      <c r="U2084" t="s">
        <v>18652</v>
      </c>
      <c r="V2084" s="104">
        <v>45857</v>
      </c>
      <c r="X2084" s="97"/>
      <c r="Y2084" s="75">
        <v>333.51</v>
      </c>
    </row>
    <row r="2085" spans="1:25" x14ac:dyDescent="0.25">
      <c r="A2085" s="76">
        <v>2117</v>
      </c>
      <c r="B2085" s="2" t="s">
        <v>17201</v>
      </c>
      <c r="C2085" s="2" t="s">
        <v>17202</v>
      </c>
      <c r="D2085" s="2" t="s">
        <v>17203</v>
      </c>
      <c r="E2085" s="2" t="s">
        <v>17204</v>
      </c>
      <c r="F2085" s="2" t="s">
        <v>17205</v>
      </c>
      <c r="G2085" s="2" t="s">
        <v>362</v>
      </c>
      <c r="H2085" s="17">
        <v>25</v>
      </c>
      <c r="I2085" s="31">
        <f t="shared" si="204"/>
        <v>25000</v>
      </c>
      <c r="J2085" s="31">
        <f t="shared" si="205"/>
        <v>1750.0000000000002</v>
      </c>
      <c r="K2085" s="44">
        <f t="shared" si="206"/>
        <v>4.794520547945206</v>
      </c>
      <c r="L2085" s="3">
        <f t="shared" si="207"/>
        <v>354.79452054794524</v>
      </c>
      <c r="M2085" s="3">
        <f t="shared" si="208"/>
        <v>21.287671232876715</v>
      </c>
      <c r="N2085" s="67">
        <f t="shared" si="209"/>
        <v>333.50684931506851</v>
      </c>
      <c r="O2085" s="3"/>
      <c r="P2085" s="70" t="s">
        <v>18636</v>
      </c>
      <c r="Q2085" s="2" t="s">
        <v>219</v>
      </c>
      <c r="R2085" s="2" t="s">
        <v>17206</v>
      </c>
      <c r="T2085" t="s">
        <v>18666</v>
      </c>
      <c r="U2085" t="s">
        <v>18652</v>
      </c>
      <c r="V2085" s="104">
        <v>45857</v>
      </c>
      <c r="X2085" s="97"/>
      <c r="Y2085" s="75">
        <v>333.51</v>
      </c>
    </row>
    <row r="2086" spans="1:25" x14ac:dyDescent="0.25">
      <c r="A2086" s="76">
        <v>2118</v>
      </c>
      <c r="B2086" s="2" t="s">
        <v>3353</v>
      </c>
      <c r="C2086" s="2" t="s">
        <v>3354</v>
      </c>
      <c r="D2086" s="2" t="s">
        <v>3355</v>
      </c>
      <c r="E2086" s="2" t="s">
        <v>3356</v>
      </c>
      <c r="F2086" s="2" t="s">
        <v>3357</v>
      </c>
      <c r="G2086" s="2" t="s">
        <v>247</v>
      </c>
      <c r="H2086" s="17">
        <v>25</v>
      </c>
      <c r="I2086" s="31">
        <f t="shared" si="204"/>
        <v>25000</v>
      </c>
      <c r="J2086" s="31">
        <f t="shared" si="205"/>
        <v>1750.0000000000002</v>
      </c>
      <c r="K2086" s="44">
        <f t="shared" si="206"/>
        <v>4.794520547945206</v>
      </c>
      <c r="L2086" s="3">
        <f t="shared" si="207"/>
        <v>354.79452054794524</v>
      </c>
      <c r="M2086" s="3">
        <f t="shared" si="208"/>
        <v>21.287671232876715</v>
      </c>
      <c r="N2086" s="67">
        <f t="shared" si="209"/>
        <v>333.50684931506851</v>
      </c>
      <c r="O2086" s="3"/>
      <c r="P2086" s="70" t="s">
        <v>18636</v>
      </c>
      <c r="Q2086" s="2" t="s">
        <v>219</v>
      </c>
      <c r="R2086" s="2" t="s">
        <v>3358</v>
      </c>
      <c r="T2086" t="s">
        <v>18666</v>
      </c>
      <c r="U2086" t="s">
        <v>18652</v>
      </c>
      <c r="V2086" s="104">
        <v>45857</v>
      </c>
      <c r="X2086" s="97"/>
      <c r="Y2086" s="75">
        <v>333.51</v>
      </c>
    </row>
    <row r="2087" spans="1:25" x14ac:dyDescent="0.25">
      <c r="A2087" s="76">
        <v>2119</v>
      </c>
      <c r="B2087" s="2" t="s">
        <v>1238</v>
      </c>
      <c r="C2087" s="2" t="s">
        <v>1239</v>
      </c>
      <c r="D2087" s="2" t="s">
        <v>1240</v>
      </c>
      <c r="E2087" s="2" t="s">
        <v>1241</v>
      </c>
      <c r="F2087" s="2" t="s">
        <v>1242</v>
      </c>
      <c r="G2087" s="2" t="s">
        <v>1055</v>
      </c>
      <c r="H2087" s="17">
        <v>25</v>
      </c>
      <c r="I2087" s="31">
        <f t="shared" si="204"/>
        <v>25000</v>
      </c>
      <c r="J2087" s="31">
        <f t="shared" si="205"/>
        <v>1750.0000000000002</v>
      </c>
      <c r="K2087" s="44">
        <f t="shared" si="206"/>
        <v>4.794520547945206</v>
      </c>
      <c r="L2087" s="3">
        <f t="shared" si="207"/>
        <v>354.79452054794524</v>
      </c>
      <c r="M2087" s="3">
        <f t="shared" si="208"/>
        <v>21.287671232876715</v>
      </c>
      <c r="N2087" s="67">
        <f t="shared" si="209"/>
        <v>333.50684931506851</v>
      </c>
      <c r="O2087" s="3"/>
      <c r="P2087" s="70" t="s">
        <v>18636</v>
      </c>
      <c r="Q2087" s="2" t="s">
        <v>219</v>
      </c>
      <c r="R2087" s="2" t="s">
        <v>1243</v>
      </c>
      <c r="T2087" t="s">
        <v>18666</v>
      </c>
      <c r="U2087" t="s">
        <v>18652</v>
      </c>
      <c r="V2087" s="104">
        <v>45857</v>
      </c>
      <c r="X2087" s="97"/>
      <c r="Y2087" s="75">
        <v>333.51</v>
      </c>
    </row>
    <row r="2088" spans="1:25" x14ac:dyDescent="0.25">
      <c r="A2088" s="76">
        <v>2120</v>
      </c>
      <c r="B2088" s="2" t="s">
        <v>1516</v>
      </c>
      <c r="C2088" s="2" t="s">
        <v>1517</v>
      </c>
      <c r="D2088" s="2" t="s">
        <v>1518</v>
      </c>
      <c r="E2088" s="2" t="s">
        <v>1519</v>
      </c>
      <c r="F2088" s="2" t="s">
        <v>1520</v>
      </c>
      <c r="G2088" s="2" t="s">
        <v>31</v>
      </c>
      <c r="H2088" s="17">
        <v>25</v>
      </c>
      <c r="I2088" s="31">
        <f t="shared" si="204"/>
        <v>25000</v>
      </c>
      <c r="J2088" s="31">
        <f t="shared" si="205"/>
        <v>1750.0000000000002</v>
      </c>
      <c r="K2088" s="44">
        <f t="shared" si="206"/>
        <v>4.794520547945206</v>
      </c>
      <c r="L2088" s="3">
        <f t="shared" si="207"/>
        <v>354.79452054794524</v>
      </c>
      <c r="M2088" s="3">
        <f t="shared" si="208"/>
        <v>21.287671232876715</v>
      </c>
      <c r="N2088" s="67">
        <f t="shared" si="209"/>
        <v>333.50684931506851</v>
      </c>
      <c r="O2088" s="3"/>
      <c r="P2088" s="70" t="s">
        <v>18636</v>
      </c>
      <c r="Q2088" s="2" t="s">
        <v>219</v>
      </c>
      <c r="R2088" s="2" t="s">
        <v>1521</v>
      </c>
      <c r="T2088" t="s">
        <v>18666</v>
      </c>
      <c r="U2088" t="s">
        <v>18652</v>
      </c>
      <c r="V2088" s="104">
        <v>45857</v>
      </c>
      <c r="X2088" s="97"/>
      <c r="Y2088" s="75">
        <v>333.51</v>
      </c>
    </row>
    <row r="2089" spans="1:25" x14ac:dyDescent="0.25">
      <c r="A2089" s="76">
        <v>2121</v>
      </c>
      <c r="B2089" s="2" t="s">
        <v>12567</v>
      </c>
      <c r="C2089" s="2" t="s">
        <v>12568</v>
      </c>
      <c r="D2089" s="2" t="s">
        <v>12569</v>
      </c>
      <c r="E2089" s="2" t="s">
        <v>12570</v>
      </c>
      <c r="F2089" s="2" t="s">
        <v>12571</v>
      </c>
      <c r="G2089" s="2" t="s">
        <v>618</v>
      </c>
      <c r="H2089" s="17">
        <v>25</v>
      </c>
      <c r="I2089" s="31">
        <f t="shared" si="204"/>
        <v>25000</v>
      </c>
      <c r="J2089" s="31">
        <f t="shared" si="205"/>
        <v>1750.0000000000002</v>
      </c>
      <c r="K2089" s="44">
        <f t="shared" si="206"/>
        <v>4.794520547945206</v>
      </c>
      <c r="L2089" s="3">
        <f t="shared" si="207"/>
        <v>354.79452054794524</v>
      </c>
      <c r="M2089" s="3">
        <f t="shared" si="208"/>
        <v>21.287671232876715</v>
      </c>
      <c r="N2089" s="67">
        <f t="shared" si="209"/>
        <v>333.50684931506851</v>
      </c>
      <c r="O2089" s="3"/>
      <c r="P2089" s="70" t="s">
        <v>18636</v>
      </c>
      <c r="Q2089" s="2" t="s">
        <v>219</v>
      </c>
      <c r="R2089" s="2" t="s">
        <v>12572</v>
      </c>
      <c r="T2089" t="s">
        <v>18666</v>
      </c>
      <c r="U2089" t="s">
        <v>18652</v>
      </c>
      <c r="V2089" s="104">
        <v>45857</v>
      </c>
      <c r="X2089" s="97"/>
      <c r="Y2089" s="75">
        <v>333.51</v>
      </c>
    </row>
    <row r="2090" spans="1:25" x14ac:dyDescent="0.25">
      <c r="A2090" s="76">
        <v>2122</v>
      </c>
      <c r="B2090" s="2" t="s">
        <v>6490</v>
      </c>
      <c r="C2090" s="2" t="s">
        <v>6242</v>
      </c>
      <c r="D2090" s="2" t="s">
        <v>6491</v>
      </c>
      <c r="E2090" s="2" t="s">
        <v>6492</v>
      </c>
      <c r="F2090" s="2" t="s">
        <v>6493</v>
      </c>
      <c r="G2090" s="2" t="s">
        <v>2680</v>
      </c>
      <c r="H2090" s="17">
        <v>25</v>
      </c>
      <c r="I2090" s="31">
        <f t="shared" si="204"/>
        <v>25000</v>
      </c>
      <c r="J2090" s="31">
        <f t="shared" si="205"/>
        <v>1750.0000000000002</v>
      </c>
      <c r="K2090" s="44">
        <f t="shared" si="206"/>
        <v>4.794520547945206</v>
      </c>
      <c r="L2090" s="3">
        <f t="shared" si="207"/>
        <v>354.79452054794524</v>
      </c>
      <c r="M2090" s="3">
        <f t="shared" si="208"/>
        <v>21.287671232876715</v>
      </c>
      <c r="N2090" s="67">
        <f t="shared" si="209"/>
        <v>333.50684931506851</v>
      </c>
      <c r="O2090" s="3"/>
      <c r="P2090" s="70" t="s">
        <v>18636</v>
      </c>
      <c r="Q2090" s="2" t="s">
        <v>219</v>
      </c>
      <c r="R2090" s="2" t="s">
        <v>6494</v>
      </c>
      <c r="T2090" t="s">
        <v>18666</v>
      </c>
      <c r="U2090" t="s">
        <v>18652</v>
      </c>
      <c r="V2090" s="104">
        <v>45857</v>
      </c>
      <c r="X2090" s="97"/>
      <c r="Y2090" s="75">
        <v>333.51</v>
      </c>
    </row>
    <row r="2091" spans="1:25" x14ac:dyDescent="0.25">
      <c r="A2091" s="76">
        <v>2123</v>
      </c>
      <c r="B2091" s="2" t="s">
        <v>15111</v>
      </c>
      <c r="C2091" s="2" t="s">
        <v>15112</v>
      </c>
      <c r="D2091" s="2" t="s">
        <v>15113</v>
      </c>
      <c r="E2091" s="2" t="s">
        <v>15114</v>
      </c>
      <c r="F2091" s="2" t="s">
        <v>15115</v>
      </c>
      <c r="G2091" s="2" t="s">
        <v>517</v>
      </c>
      <c r="H2091" s="17">
        <v>25</v>
      </c>
      <c r="I2091" s="31">
        <f t="shared" si="204"/>
        <v>25000</v>
      </c>
      <c r="J2091" s="31">
        <f t="shared" si="205"/>
        <v>1750.0000000000002</v>
      </c>
      <c r="K2091" s="44">
        <f t="shared" si="206"/>
        <v>4.794520547945206</v>
      </c>
      <c r="L2091" s="3">
        <f t="shared" si="207"/>
        <v>354.79452054794524</v>
      </c>
      <c r="M2091" s="3">
        <f t="shared" si="208"/>
        <v>21.287671232876715</v>
      </c>
      <c r="N2091" s="67">
        <f t="shared" si="209"/>
        <v>333.50684931506851</v>
      </c>
      <c r="O2091" s="3"/>
      <c r="P2091" s="70" t="s">
        <v>18636</v>
      </c>
      <c r="Q2091" s="2" t="s">
        <v>219</v>
      </c>
      <c r="R2091" s="2" t="s">
        <v>15116</v>
      </c>
      <c r="T2091" t="s">
        <v>18666</v>
      </c>
      <c r="U2091" t="s">
        <v>18652</v>
      </c>
      <c r="V2091" s="104">
        <v>45857</v>
      </c>
      <c r="X2091" s="97"/>
      <c r="Y2091" s="75">
        <v>333.51</v>
      </c>
    </row>
    <row r="2092" spans="1:25" x14ac:dyDescent="0.25">
      <c r="A2092" s="76">
        <v>2124</v>
      </c>
      <c r="B2092" s="2" t="s">
        <v>5881</v>
      </c>
      <c r="C2092" s="2" t="s">
        <v>5882</v>
      </c>
      <c r="D2092" s="2" t="s">
        <v>5883</v>
      </c>
      <c r="E2092" s="2" t="s">
        <v>5884</v>
      </c>
      <c r="F2092" s="2" t="s">
        <v>5885</v>
      </c>
      <c r="G2092" s="2" t="s">
        <v>517</v>
      </c>
      <c r="H2092" s="17">
        <v>25</v>
      </c>
      <c r="I2092" s="31">
        <f t="shared" si="204"/>
        <v>25000</v>
      </c>
      <c r="J2092" s="31">
        <f t="shared" si="205"/>
        <v>1750.0000000000002</v>
      </c>
      <c r="K2092" s="44">
        <f t="shared" si="206"/>
        <v>4.794520547945206</v>
      </c>
      <c r="L2092" s="3">
        <f t="shared" si="207"/>
        <v>354.79452054794524</v>
      </c>
      <c r="M2092" s="3">
        <f t="shared" si="208"/>
        <v>21.287671232876715</v>
      </c>
      <c r="N2092" s="67">
        <f t="shared" si="209"/>
        <v>333.50684931506851</v>
      </c>
      <c r="O2092" s="3"/>
      <c r="P2092" s="70" t="s">
        <v>18636</v>
      </c>
      <c r="Q2092" s="2" t="s">
        <v>219</v>
      </c>
      <c r="R2092" s="2" t="s">
        <v>5886</v>
      </c>
      <c r="T2092" t="s">
        <v>18666</v>
      </c>
      <c r="U2092" t="s">
        <v>18652</v>
      </c>
      <c r="V2092" s="104">
        <v>45857</v>
      </c>
      <c r="X2092" s="97"/>
      <c r="Y2092" s="75">
        <v>333.51</v>
      </c>
    </row>
    <row r="2093" spans="1:25" x14ac:dyDescent="0.25">
      <c r="A2093" s="76">
        <v>2125</v>
      </c>
      <c r="B2093" s="2" t="s">
        <v>213</v>
      </c>
      <c r="C2093" s="2" t="s">
        <v>214</v>
      </c>
      <c r="D2093" s="2" t="s">
        <v>215</v>
      </c>
      <c r="E2093" s="2" t="s">
        <v>216</v>
      </c>
      <c r="F2093" s="2" t="s">
        <v>217</v>
      </c>
      <c r="G2093" s="2" t="s">
        <v>218</v>
      </c>
      <c r="H2093" s="17">
        <v>25</v>
      </c>
      <c r="I2093" s="31">
        <f t="shared" si="204"/>
        <v>25000</v>
      </c>
      <c r="J2093" s="31">
        <f t="shared" si="205"/>
        <v>1750.0000000000002</v>
      </c>
      <c r="K2093" s="44">
        <f t="shared" si="206"/>
        <v>4.794520547945206</v>
      </c>
      <c r="L2093" s="3">
        <f t="shared" si="207"/>
        <v>354.79452054794524</v>
      </c>
      <c r="M2093" s="3">
        <f t="shared" si="208"/>
        <v>21.287671232876715</v>
      </c>
      <c r="N2093" s="67">
        <f t="shared" si="209"/>
        <v>333.50684931506851</v>
      </c>
      <c r="O2093" s="3"/>
      <c r="P2093" s="70" t="s">
        <v>18636</v>
      </c>
      <c r="Q2093" s="2" t="s">
        <v>219</v>
      </c>
      <c r="R2093" s="2" t="s">
        <v>220</v>
      </c>
      <c r="T2093" t="s">
        <v>18666</v>
      </c>
      <c r="U2093" t="s">
        <v>18652</v>
      </c>
      <c r="V2093" s="104">
        <v>45857</v>
      </c>
      <c r="X2093" s="97"/>
      <c r="Y2093" s="75">
        <v>333.51</v>
      </c>
    </row>
    <row r="2094" spans="1:25" x14ac:dyDescent="0.25">
      <c r="A2094" s="76">
        <v>2126</v>
      </c>
      <c r="B2094" s="2" t="s">
        <v>17914</v>
      </c>
      <c r="C2094" s="2" t="s">
        <v>17915</v>
      </c>
      <c r="D2094" s="2" t="s">
        <v>17916</v>
      </c>
      <c r="E2094" s="2" t="s">
        <v>17917</v>
      </c>
      <c r="F2094" s="2" t="s">
        <v>17918</v>
      </c>
      <c r="G2094" s="2" t="s">
        <v>144</v>
      </c>
      <c r="H2094" s="17">
        <v>25</v>
      </c>
      <c r="I2094" s="31">
        <f t="shared" si="204"/>
        <v>25000</v>
      </c>
      <c r="J2094" s="31">
        <f t="shared" si="205"/>
        <v>1750.0000000000002</v>
      </c>
      <c r="K2094" s="44">
        <f t="shared" si="206"/>
        <v>4.794520547945206</v>
      </c>
      <c r="L2094" s="3">
        <f t="shared" si="207"/>
        <v>354.79452054794524</v>
      </c>
      <c r="M2094" s="3">
        <f t="shared" si="208"/>
        <v>21.287671232876715</v>
      </c>
      <c r="N2094" s="67">
        <f t="shared" si="209"/>
        <v>333.50684931506851</v>
      </c>
      <c r="O2094" s="3"/>
      <c r="P2094" s="70" t="s">
        <v>18608</v>
      </c>
      <c r="Q2094" s="2" t="s">
        <v>24</v>
      </c>
      <c r="R2094" s="2" t="s">
        <v>17919</v>
      </c>
      <c r="T2094" t="s">
        <v>18666</v>
      </c>
      <c r="U2094" t="s">
        <v>18652</v>
      </c>
      <c r="V2094" s="104">
        <v>45857</v>
      </c>
      <c r="X2094" s="97"/>
      <c r="Y2094" s="75">
        <v>333.51</v>
      </c>
    </row>
    <row r="2095" spans="1:25" x14ac:dyDescent="0.25">
      <c r="A2095" s="76">
        <v>2127</v>
      </c>
      <c r="B2095" s="2" t="s">
        <v>15813</v>
      </c>
      <c r="C2095" s="2" t="s">
        <v>15814</v>
      </c>
      <c r="D2095" s="2" t="s">
        <v>15815</v>
      </c>
      <c r="E2095" s="2" t="s">
        <v>15816</v>
      </c>
      <c r="F2095" s="2" t="s">
        <v>15817</v>
      </c>
      <c r="G2095" s="2" t="s">
        <v>268</v>
      </c>
      <c r="H2095" s="17">
        <v>50</v>
      </c>
      <c r="I2095" s="31">
        <f t="shared" si="204"/>
        <v>50000</v>
      </c>
      <c r="J2095" s="31">
        <f t="shared" si="205"/>
        <v>3500.0000000000005</v>
      </c>
      <c r="K2095" s="44">
        <f t="shared" si="206"/>
        <v>9.589041095890412</v>
      </c>
      <c r="L2095" s="3">
        <f t="shared" si="207"/>
        <v>709.58904109589048</v>
      </c>
      <c r="M2095" s="3">
        <f t="shared" si="208"/>
        <v>42.57534246575343</v>
      </c>
      <c r="N2095" s="67">
        <f t="shared" si="209"/>
        <v>667.01369863013701</v>
      </c>
      <c r="O2095" s="3"/>
      <c r="P2095" s="70" t="s">
        <v>18608</v>
      </c>
      <c r="Q2095" s="2" t="s">
        <v>24</v>
      </c>
      <c r="R2095" s="2" t="s">
        <v>15818</v>
      </c>
      <c r="T2095" t="s">
        <v>18666</v>
      </c>
      <c r="U2095" t="s">
        <v>18652</v>
      </c>
      <c r="V2095" s="104">
        <v>45857</v>
      </c>
      <c r="X2095" s="97"/>
      <c r="Y2095" s="75">
        <v>667.02</v>
      </c>
    </row>
    <row r="2096" spans="1:25" x14ac:dyDescent="0.25">
      <c r="A2096" s="76">
        <v>2128</v>
      </c>
      <c r="B2096" s="2" t="s">
        <v>15344</v>
      </c>
      <c r="C2096" s="2" t="s">
        <v>15345</v>
      </c>
      <c r="D2096" s="2" t="s">
        <v>15346</v>
      </c>
      <c r="E2096" s="2" t="s">
        <v>15347</v>
      </c>
      <c r="F2096" s="2" t="s">
        <v>15348</v>
      </c>
      <c r="G2096" s="2" t="s">
        <v>282</v>
      </c>
      <c r="H2096" s="17">
        <v>25</v>
      </c>
      <c r="I2096" s="31">
        <f t="shared" si="204"/>
        <v>25000</v>
      </c>
      <c r="J2096" s="31">
        <f t="shared" si="205"/>
        <v>1750.0000000000002</v>
      </c>
      <c r="K2096" s="44">
        <f t="shared" si="206"/>
        <v>4.794520547945206</v>
      </c>
      <c r="L2096" s="3">
        <f t="shared" si="207"/>
        <v>354.79452054794524</v>
      </c>
      <c r="M2096" s="3">
        <f t="shared" si="208"/>
        <v>21.287671232876715</v>
      </c>
      <c r="N2096" s="67">
        <f t="shared" si="209"/>
        <v>333.50684931506851</v>
      </c>
      <c r="O2096" s="3"/>
      <c r="P2096" s="70" t="s">
        <v>18608</v>
      </c>
      <c r="Q2096" s="2" t="s">
        <v>24</v>
      </c>
      <c r="R2096" s="2" t="s">
        <v>15349</v>
      </c>
      <c r="T2096" t="s">
        <v>18666</v>
      </c>
      <c r="U2096" t="s">
        <v>18652</v>
      </c>
      <c r="V2096" s="104">
        <v>45857</v>
      </c>
      <c r="X2096" s="97"/>
      <c r="Y2096" s="75">
        <v>333.51</v>
      </c>
    </row>
    <row r="2097" spans="1:25" x14ac:dyDescent="0.25">
      <c r="A2097" s="76">
        <v>2129</v>
      </c>
      <c r="B2097" s="2" t="s">
        <v>3425</v>
      </c>
      <c r="C2097" s="2" t="s">
        <v>3426</v>
      </c>
      <c r="D2097" s="2" t="s">
        <v>3427</v>
      </c>
      <c r="E2097" s="2" t="s">
        <v>3428</v>
      </c>
      <c r="F2097" s="2" t="s">
        <v>3429</v>
      </c>
      <c r="G2097" s="2" t="s">
        <v>587</v>
      </c>
      <c r="H2097" s="17">
        <v>25</v>
      </c>
      <c r="I2097" s="31">
        <f t="shared" si="204"/>
        <v>25000</v>
      </c>
      <c r="J2097" s="31">
        <f t="shared" si="205"/>
        <v>1750.0000000000002</v>
      </c>
      <c r="K2097" s="44">
        <f t="shared" si="206"/>
        <v>4.794520547945206</v>
      </c>
      <c r="L2097" s="3">
        <f t="shared" si="207"/>
        <v>354.79452054794524</v>
      </c>
      <c r="M2097" s="3">
        <f t="shared" si="208"/>
        <v>21.287671232876715</v>
      </c>
      <c r="N2097" s="67">
        <f t="shared" si="209"/>
        <v>333.50684931506851</v>
      </c>
      <c r="O2097" s="3"/>
      <c r="P2097" s="70" t="s">
        <v>18608</v>
      </c>
      <c r="Q2097" s="2" t="s">
        <v>24</v>
      </c>
      <c r="R2097" s="2" t="s">
        <v>3430</v>
      </c>
      <c r="T2097" t="s">
        <v>18666</v>
      </c>
      <c r="U2097" t="s">
        <v>18652</v>
      </c>
      <c r="V2097" s="104">
        <v>45857</v>
      </c>
      <c r="X2097" s="97"/>
      <c r="Y2097" s="75">
        <v>333.51</v>
      </c>
    </row>
    <row r="2098" spans="1:25" x14ac:dyDescent="0.25">
      <c r="A2098" s="76">
        <v>2130</v>
      </c>
      <c r="B2098" s="2" t="s">
        <v>15972</v>
      </c>
      <c r="C2098" s="2" t="s">
        <v>15973</v>
      </c>
      <c r="D2098" s="2" t="s">
        <v>15974</v>
      </c>
      <c r="E2098" s="2" t="s">
        <v>15975</v>
      </c>
      <c r="F2098" s="2" t="s">
        <v>15976</v>
      </c>
      <c r="G2098" s="2" t="s">
        <v>750</v>
      </c>
      <c r="H2098" s="17">
        <v>35</v>
      </c>
      <c r="I2098" s="31">
        <f t="shared" si="204"/>
        <v>35000</v>
      </c>
      <c r="J2098" s="31">
        <f t="shared" si="205"/>
        <v>2450.0000000000005</v>
      </c>
      <c r="K2098" s="44">
        <f t="shared" si="206"/>
        <v>6.7123287671232887</v>
      </c>
      <c r="L2098" s="3">
        <f t="shared" si="207"/>
        <v>496.71232876712338</v>
      </c>
      <c r="M2098" s="3">
        <f t="shared" si="208"/>
        <v>29.802739726027401</v>
      </c>
      <c r="N2098" s="67">
        <f t="shared" si="209"/>
        <v>466.90958904109596</v>
      </c>
      <c r="O2098" s="3"/>
      <c r="P2098" s="70" t="s">
        <v>18608</v>
      </c>
      <c r="Q2098" s="2" t="s">
        <v>24</v>
      </c>
      <c r="R2098" s="2" t="s">
        <v>15977</v>
      </c>
      <c r="T2098" t="s">
        <v>18666</v>
      </c>
      <c r="U2098" t="s">
        <v>18652</v>
      </c>
      <c r="V2098" s="104">
        <v>45857</v>
      </c>
      <c r="X2098" s="97"/>
      <c r="Y2098" s="75">
        <v>466.90999999999997</v>
      </c>
    </row>
    <row r="2099" spans="1:25" x14ac:dyDescent="0.25">
      <c r="A2099" s="76">
        <v>2131</v>
      </c>
      <c r="B2099" s="2" t="s">
        <v>12063</v>
      </c>
      <c r="C2099" s="2" t="s">
        <v>12064</v>
      </c>
      <c r="D2099" s="2" t="s">
        <v>12065</v>
      </c>
      <c r="E2099" s="2" t="s">
        <v>12066</v>
      </c>
      <c r="F2099" s="2" t="s">
        <v>12067</v>
      </c>
      <c r="G2099" s="2" t="s">
        <v>74</v>
      </c>
      <c r="H2099" s="17">
        <v>25</v>
      </c>
      <c r="I2099" s="31">
        <f t="shared" si="204"/>
        <v>25000</v>
      </c>
      <c r="J2099" s="31">
        <f t="shared" si="205"/>
        <v>1750.0000000000002</v>
      </c>
      <c r="K2099" s="44">
        <f t="shared" si="206"/>
        <v>4.794520547945206</v>
      </c>
      <c r="L2099" s="3">
        <f t="shared" si="207"/>
        <v>354.79452054794524</v>
      </c>
      <c r="M2099" s="3">
        <f t="shared" si="208"/>
        <v>21.287671232876715</v>
      </c>
      <c r="N2099" s="67">
        <f t="shared" si="209"/>
        <v>333.50684931506851</v>
      </c>
      <c r="O2099" s="3"/>
      <c r="P2099" s="70" t="s">
        <v>18608</v>
      </c>
      <c r="Q2099" s="2" t="s">
        <v>24</v>
      </c>
      <c r="R2099" s="2" t="s">
        <v>12068</v>
      </c>
      <c r="T2099" t="s">
        <v>18666</v>
      </c>
      <c r="U2099" t="s">
        <v>18652</v>
      </c>
      <c r="V2099" s="104">
        <v>45857</v>
      </c>
      <c r="X2099" s="97"/>
      <c r="Y2099" s="75">
        <v>333.51</v>
      </c>
    </row>
    <row r="2100" spans="1:25" x14ac:dyDescent="0.25">
      <c r="A2100" s="76">
        <v>2132</v>
      </c>
      <c r="B2100" s="2" t="s">
        <v>6705</v>
      </c>
      <c r="C2100" s="2" t="s">
        <v>6706</v>
      </c>
      <c r="D2100" s="2" t="s">
        <v>6707</v>
      </c>
      <c r="E2100" s="2" t="s">
        <v>6708</v>
      </c>
      <c r="F2100" s="2" t="s">
        <v>6709</v>
      </c>
      <c r="G2100" s="2" t="s">
        <v>39</v>
      </c>
      <c r="H2100" s="17">
        <v>25</v>
      </c>
      <c r="I2100" s="31">
        <f t="shared" si="204"/>
        <v>25000</v>
      </c>
      <c r="J2100" s="31">
        <f t="shared" si="205"/>
        <v>1750.0000000000002</v>
      </c>
      <c r="K2100" s="44">
        <f t="shared" si="206"/>
        <v>4.794520547945206</v>
      </c>
      <c r="L2100" s="3">
        <f t="shared" si="207"/>
        <v>354.79452054794524</v>
      </c>
      <c r="M2100" s="3">
        <f t="shared" si="208"/>
        <v>21.287671232876715</v>
      </c>
      <c r="N2100" s="67">
        <f t="shared" si="209"/>
        <v>333.50684931506851</v>
      </c>
      <c r="O2100" s="3"/>
      <c r="P2100" s="70" t="s">
        <v>18608</v>
      </c>
      <c r="Q2100" s="2" t="s">
        <v>24</v>
      </c>
      <c r="R2100" s="2" t="s">
        <v>6710</v>
      </c>
      <c r="T2100" t="s">
        <v>18666</v>
      </c>
      <c r="U2100" t="s">
        <v>18652</v>
      </c>
      <c r="V2100" s="104">
        <v>45857</v>
      </c>
      <c r="X2100" s="97"/>
      <c r="Y2100" s="75">
        <v>333.51</v>
      </c>
    </row>
    <row r="2101" spans="1:25" x14ac:dyDescent="0.25">
      <c r="A2101" s="76">
        <v>2133</v>
      </c>
      <c r="B2101" s="2" t="s">
        <v>3207</v>
      </c>
      <c r="C2101" s="2" t="s">
        <v>3208</v>
      </c>
      <c r="D2101" s="2" t="s">
        <v>3209</v>
      </c>
      <c r="E2101" s="2" t="s">
        <v>3210</v>
      </c>
      <c r="F2101" s="2" t="s">
        <v>3211</v>
      </c>
      <c r="G2101" s="2" t="s">
        <v>31</v>
      </c>
      <c r="H2101" s="17">
        <v>100</v>
      </c>
      <c r="I2101" s="31">
        <f t="shared" si="204"/>
        <v>100000</v>
      </c>
      <c r="J2101" s="31">
        <f t="shared" si="205"/>
        <v>7000.0000000000009</v>
      </c>
      <c r="K2101" s="44">
        <f t="shared" si="206"/>
        <v>19.178082191780824</v>
      </c>
      <c r="L2101" s="3">
        <f t="shared" si="207"/>
        <v>1419.178082191781</v>
      </c>
      <c r="M2101" s="3">
        <f t="shared" si="208"/>
        <v>85.150684931506859</v>
      </c>
      <c r="N2101" s="67">
        <f t="shared" si="209"/>
        <v>1334.027397260274</v>
      </c>
      <c r="O2101" s="3"/>
      <c r="P2101" s="70" t="s">
        <v>18608</v>
      </c>
      <c r="Q2101" s="2" t="s">
        <v>24</v>
      </c>
      <c r="R2101" s="2" t="s">
        <v>3212</v>
      </c>
      <c r="T2101" t="s">
        <v>18666</v>
      </c>
      <c r="U2101" t="s">
        <v>18652</v>
      </c>
      <c r="V2101" s="104">
        <v>45857</v>
      </c>
      <c r="X2101" s="97"/>
      <c r="Y2101" s="75">
        <v>1334.03</v>
      </c>
    </row>
    <row r="2102" spans="1:25" x14ac:dyDescent="0.25">
      <c r="A2102" s="76">
        <v>2134</v>
      </c>
      <c r="B2102" s="2" t="s">
        <v>5232</v>
      </c>
      <c r="C2102" s="2" t="s">
        <v>5233</v>
      </c>
      <c r="D2102" s="2" t="s">
        <v>5234</v>
      </c>
      <c r="E2102" s="2" t="s">
        <v>5235</v>
      </c>
      <c r="F2102" s="2" t="s">
        <v>5236</v>
      </c>
      <c r="G2102" s="2" t="s">
        <v>39</v>
      </c>
      <c r="H2102" s="17">
        <v>50</v>
      </c>
      <c r="I2102" s="31">
        <f t="shared" si="204"/>
        <v>50000</v>
      </c>
      <c r="J2102" s="31">
        <f t="shared" si="205"/>
        <v>3500.0000000000005</v>
      </c>
      <c r="K2102" s="44">
        <f t="shared" si="206"/>
        <v>9.589041095890412</v>
      </c>
      <c r="L2102" s="3">
        <f t="shared" si="207"/>
        <v>709.58904109589048</v>
      </c>
      <c r="M2102" s="3">
        <f t="shared" si="208"/>
        <v>42.57534246575343</v>
      </c>
      <c r="N2102" s="67">
        <f t="shared" si="209"/>
        <v>667.01369863013701</v>
      </c>
      <c r="O2102" s="3"/>
      <c r="P2102" s="70" t="s">
        <v>18608</v>
      </c>
      <c r="Q2102" s="2" t="s">
        <v>24</v>
      </c>
      <c r="R2102" s="2" t="s">
        <v>5237</v>
      </c>
      <c r="T2102" t="s">
        <v>18666</v>
      </c>
      <c r="U2102" t="s">
        <v>18652</v>
      </c>
      <c r="V2102" s="104">
        <v>45857</v>
      </c>
      <c r="X2102" s="97"/>
      <c r="Y2102" s="75">
        <v>667.02</v>
      </c>
    </row>
    <row r="2103" spans="1:25" x14ac:dyDescent="0.25">
      <c r="A2103" s="76">
        <v>2135</v>
      </c>
      <c r="B2103" s="2" t="s">
        <v>7578</v>
      </c>
      <c r="C2103" s="2" t="s">
        <v>7579</v>
      </c>
      <c r="D2103" s="2" t="s">
        <v>7580</v>
      </c>
      <c r="E2103" s="2" t="s">
        <v>7581</v>
      </c>
      <c r="F2103" s="2" t="s">
        <v>7582</v>
      </c>
      <c r="G2103" s="2" t="s">
        <v>580</v>
      </c>
      <c r="H2103" s="17">
        <v>300</v>
      </c>
      <c r="I2103" s="31">
        <f t="shared" si="204"/>
        <v>300000</v>
      </c>
      <c r="J2103" s="31">
        <f t="shared" si="205"/>
        <v>21000.000000000004</v>
      </c>
      <c r="K2103" s="44">
        <f t="shared" si="206"/>
        <v>57.534246575342479</v>
      </c>
      <c r="L2103" s="3">
        <f t="shared" si="207"/>
        <v>4257.5342465753438</v>
      </c>
      <c r="M2103" s="3">
        <f t="shared" si="208"/>
        <v>255.45205479452062</v>
      </c>
      <c r="N2103" s="67">
        <f t="shared" si="209"/>
        <v>4002.082191780823</v>
      </c>
      <c r="O2103" s="3"/>
      <c r="P2103" s="70" t="s">
        <v>18608</v>
      </c>
      <c r="Q2103" s="2" t="s">
        <v>24</v>
      </c>
      <c r="R2103" s="2" t="s">
        <v>7583</v>
      </c>
      <c r="T2103" t="s">
        <v>18666</v>
      </c>
      <c r="U2103" t="s">
        <v>18652</v>
      </c>
      <c r="V2103" s="104">
        <v>45857</v>
      </c>
      <c r="X2103" s="97"/>
      <c r="Y2103" s="75">
        <v>4002.09</v>
      </c>
    </row>
    <row r="2104" spans="1:25" x14ac:dyDescent="0.25">
      <c r="A2104" s="76">
        <v>2136</v>
      </c>
      <c r="B2104" s="2" t="s">
        <v>11602</v>
      </c>
      <c r="C2104" s="2" t="s">
        <v>11603</v>
      </c>
      <c r="D2104" s="2" t="s">
        <v>11583</v>
      </c>
      <c r="E2104" s="2" t="s">
        <v>2864</v>
      </c>
      <c r="F2104" s="2" t="s">
        <v>11604</v>
      </c>
      <c r="G2104" s="2" t="s">
        <v>31</v>
      </c>
      <c r="H2104" s="17">
        <v>25</v>
      </c>
      <c r="I2104" s="31">
        <f t="shared" si="204"/>
        <v>25000</v>
      </c>
      <c r="J2104" s="31">
        <f t="shared" si="205"/>
        <v>1750.0000000000002</v>
      </c>
      <c r="K2104" s="44">
        <f t="shared" si="206"/>
        <v>4.794520547945206</v>
      </c>
      <c r="L2104" s="3">
        <f t="shared" si="207"/>
        <v>354.79452054794524</v>
      </c>
      <c r="M2104" s="3">
        <f t="shared" si="208"/>
        <v>21.287671232876715</v>
      </c>
      <c r="N2104" s="67">
        <f t="shared" si="209"/>
        <v>333.50684931506851</v>
      </c>
      <c r="O2104" s="3"/>
      <c r="P2104" s="70" t="s">
        <v>18608</v>
      </c>
      <c r="Q2104" s="2" t="s">
        <v>24</v>
      </c>
      <c r="R2104" s="2" t="s">
        <v>11605</v>
      </c>
      <c r="T2104" t="s">
        <v>18666</v>
      </c>
      <c r="U2104" t="s">
        <v>18652</v>
      </c>
      <c r="V2104" s="104">
        <v>45857</v>
      </c>
      <c r="X2104" s="97"/>
      <c r="Y2104" s="75">
        <v>333.51</v>
      </c>
    </row>
    <row r="2105" spans="1:25" x14ac:dyDescent="0.25">
      <c r="A2105" s="76">
        <v>2137</v>
      </c>
      <c r="B2105" s="2" t="s">
        <v>11067</v>
      </c>
      <c r="C2105" s="2" t="s">
        <v>11068</v>
      </c>
      <c r="D2105" s="2" t="s">
        <v>11069</v>
      </c>
      <c r="E2105" s="2" t="s">
        <v>11070</v>
      </c>
      <c r="F2105" s="2" t="s">
        <v>11071</v>
      </c>
      <c r="G2105" s="2" t="s">
        <v>381</v>
      </c>
      <c r="H2105" s="17">
        <v>25</v>
      </c>
      <c r="I2105" s="31">
        <f t="shared" si="204"/>
        <v>25000</v>
      </c>
      <c r="J2105" s="31">
        <f t="shared" si="205"/>
        <v>1750.0000000000002</v>
      </c>
      <c r="K2105" s="44">
        <f t="shared" si="206"/>
        <v>4.794520547945206</v>
      </c>
      <c r="L2105" s="3">
        <f t="shared" si="207"/>
        <v>354.79452054794524</v>
      </c>
      <c r="M2105" s="3">
        <f t="shared" si="208"/>
        <v>21.287671232876715</v>
      </c>
      <c r="N2105" s="67">
        <f t="shared" si="209"/>
        <v>333.50684931506851</v>
      </c>
      <c r="O2105" s="3"/>
      <c r="P2105" s="70" t="s">
        <v>18608</v>
      </c>
      <c r="Q2105" s="2" t="s">
        <v>24</v>
      </c>
      <c r="R2105" s="2" t="s">
        <v>11072</v>
      </c>
      <c r="T2105" t="s">
        <v>18666</v>
      </c>
      <c r="U2105" t="s">
        <v>18652</v>
      </c>
      <c r="V2105" s="104">
        <v>45857</v>
      </c>
      <c r="X2105" s="97"/>
      <c r="Y2105" s="75">
        <v>333.51</v>
      </c>
    </row>
    <row r="2106" spans="1:25" x14ac:dyDescent="0.25">
      <c r="A2106" s="76">
        <v>2138</v>
      </c>
      <c r="B2106" s="2" t="s">
        <v>15890</v>
      </c>
      <c r="C2106" s="2" t="s">
        <v>15891</v>
      </c>
      <c r="D2106" s="2" t="s">
        <v>15892</v>
      </c>
      <c r="E2106" s="2" t="s">
        <v>15893</v>
      </c>
      <c r="F2106" s="2" t="s">
        <v>15894</v>
      </c>
      <c r="G2106" s="2" t="s">
        <v>247</v>
      </c>
      <c r="H2106" s="17">
        <v>25</v>
      </c>
      <c r="I2106" s="31">
        <f t="shared" si="204"/>
        <v>25000</v>
      </c>
      <c r="J2106" s="31">
        <f t="shared" si="205"/>
        <v>1750.0000000000002</v>
      </c>
      <c r="K2106" s="44">
        <f t="shared" si="206"/>
        <v>4.794520547945206</v>
      </c>
      <c r="L2106" s="3">
        <f t="shared" si="207"/>
        <v>354.79452054794524</v>
      </c>
      <c r="M2106" s="3">
        <f t="shared" si="208"/>
        <v>21.287671232876715</v>
      </c>
      <c r="N2106" s="67">
        <f t="shared" si="209"/>
        <v>333.50684931506851</v>
      </c>
      <c r="O2106" s="3"/>
      <c r="P2106" s="70" t="s">
        <v>18608</v>
      </c>
      <c r="Q2106" s="2" t="s">
        <v>24</v>
      </c>
      <c r="R2106" s="2" t="s">
        <v>15895</v>
      </c>
      <c r="T2106" t="s">
        <v>18666</v>
      </c>
      <c r="U2106" t="s">
        <v>18652</v>
      </c>
      <c r="V2106" s="104">
        <v>45857</v>
      </c>
      <c r="X2106" s="97"/>
      <c r="Y2106" s="75">
        <v>333.51</v>
      </c>
    </row>
    <row r="2107" spans="1:25" x14ac:dyDescent="0.25">
      <c r="A2107" s="76">
        <v>2139</v>
      </c>
      <c r="B2107" s="2" t="s">
        <v>2182</v>
      </c>
      <c r="C2107" s="2" t="s">
        <v>2183</v>
      </c>
      <c r="D2107" s="2" t="s">
        <v>2184</v>
      </c>
      <c r="E2107" s="2" t="s">
        <v>2185</v>
      </c>
      <c r="F2107" s="2" t="s">
        <v>2186</v>
      </c>
      <c r="G2107" s="2" t="s">
        <v>61</v>
      </c>
      <c r="H2107" s="17">
        <v>350</v>
      </c>
      <c r="I2107" s="31">
        <f t="shared" si="204"/>
        <v>350000</v>
      </c>
      <c r="J2107" s="31">
        <f t="shared" si="205"/>
        <v>24500.000000000004</v>
      </c>
      <c r="K2107" s="44">
        <f t="shared" si="206"/>
        <v>67.123287671232887</v>
      </c>
      <c r="L2107" s="3">
        <f t="shared" si="207"/>
        <v>4967.1232876712338</v>
      </c>
      <c r="M2107" s="3">
        <f t="shared" si="208"/>
        <v>298.02739726027403</v>
      </c>
      <c r="N2107" s="67">
        <f t="shared" si="209"/>
        <v>4669.0958904109593</v>
      </c>
      <c r="O2107" s="3"/>
      <c r="P2107" s="70" t="s">
        <v>18608</v>
      </c>
      <c r="Q2107" s="2" t="s">
        <v>24</v>
      </c>
      <c r="R2107" s="2" t="s">
        <v>2187</v>
      </c>
      <c r="T2107" t="s">
        <v>18666</v>
      </c>
      <c r="U2107" t="s">
        <v>18652</v>
      </c>
      <c r="V2107" s="104">
        <v>45857</v>
      </c>
      <c r="X2107" s="97"/>
      <c r="Y2107" s="75">
        <v>4669.1000000000004</v>
      </c>
    </row>
    <row r="2108" spans="1:25" x14ac:dyDescent="0.25">
      <c r="A2108" s="76">
        <v>2140</v>
      </c>
      <c r="B2108" s="2" t="s">
        <v>8896</v>
      </c>
      <c r="C2108" s="2" t="s">
        <v>8897</v>
      </c>
      <c r="D2108" s="2" t="s">
        <v>8898</v>
      </c>
      <c r="E2108" s="2" t="s">
        <v>8899</v>
      </c>
      <c r="F2108" s="2" t="s">
        <v>8900</v>
      </c>
      <c r="G2108" s="2" t="s">
        <v>1136</v>
      </c>
      <c r="H2108" s="17">
        <v>25</v>
      </c>
      <c r="I2108" s="31">
        <f t="shared" si="204"/>
        <v>25000</v>
      </c>
      <c r="J2108" s="31">
        <f t="shared" si="205"/>
        <v>1750.0000000000002</v>
      </c>
      <c r="K2108" s="44">
        <f t="shared" si="206"/>
        <v>4.794520547945206</v>
      </c>
      <c r="L2108" s="3">
        <f t="shared" si="207"/>
        <v>354.79452054794524</v>
      </c>
      <c r="M2108" s="3">
        <f t="shared" si="208"/>
        <v>21.287671232876715</v>
      </c>
      <c r="N2108" s="67">
        <f t="shared" si="209"/>
        <v>333.50684931506851</v>
      </c>
      <c r="O2108" s="3"/>
      <c r="P2108" s="70" t="s">
        <v>18608</v>
      </c>
      <c r="Q2108" s="2" t="s">
        <v>24</v>
      </c>
      <c r="R2108" s="2" t="s">
        <v>8901</v>
      </c>
      <c r="T2108" t="s">
        <v>18666</v>
      </c>
      <c r="U2108" t="s">
        <v>18652</v>
      </c>
      <c r="V2108" s="104">
        <v>45857</v>
      </c>
      <c r="X2108" s="97"/>
      <c r="Y2108" s="75">
        <v>333.51</v>
      </c>
    </row>
    <row r="2109" spans="1:25" x14ac:dyDescent="0.25">
      <c r="A2109" s="76">
        <v>2141</v>
      </c>
      <c r="B2109" s="2" t="s">
        <v>11144</v>
      </c>
      <c r="C2109" s="2" t="s">
        <v>11145</v>
      </c>
      <c r="D2109" s="2" t="s">
        <v>11146</v>
      </c>
      <c r="E2109" s="2" t="s">
        <v>11147</v>
      </c>
      <c r="F2109" s="2" t="s">
        <v>11148</v>
      </c>
      <c r="G2109" s="2" t="s">
        <v>31</v>
      </c>
      <c r="H2109" s="17">
        <v>100</v>
      </c>
      <c r="I2109" s="31">
        <f t="shared" si="204"/>
        <v>100000</v>
      </c>
      <c r="J2109" s="31">
        <f t="shared" si="205"/>
        <v>7000.0000000000009</v>
      </c>
      <c r="K2109" s="44">
        <f t="shared" si="206"/>
        <v>19.178082191780824</v>
      </c>
      <c r="L2109" s="3">
        <f t="shared" si="207"/>
        <v>1419.178082191781</v>
      </c>
      <c r="M2109" s="3">
        <f t="shared" si="208"/>
        <v>85.150684931506859</v>
      </c>
      <c r="N2109" s="67">
        <f t="shared" si="209"/>
        <v>1334.027397260274</v>
      </c>
      <c r="O2109" s="3"/>
      <c r="P2109" s="70" t="s">
        <v>18608</v>
      </c>
      <c r="Q2109" s="2" t="s">
        <v>24</v>
      </c>
      <c r="R2109" s="2" t="s">
        <v>11149</v>
      </c>
      <c r="T2109" t="s">
        <v>18666</v>
      </c>
      <c r="U2109" t="s">
        <v>18652</v>
      </c>
      <c r="V2109" s="104">
        <v>45857</v>
      </c>
      <c r="X2109" s="97"/>
      <c r="Y2109" s="75">
        <v>1334.03</v>
      </c>
    </row>
    <row r="2110" spans="1:25" x14ac:dyDescent="0.25">
      <c r="A2110" s="76">
        <v>2142</v>
      </c>
      <c r="B2110" s="2" t="s">
        <v>17548</v>
      </c>
      <c r="C2110" s="2" t="s">
        <v>17549</v>
      </c>
      <c r="D2110" s="2" t="s">
        <v>17550</v>
      </c>
      <c r="E2110" s="2" t="s">
        <v>17551</v>
      </c>
      <c r="F2110" s="2" t="s">
        <v>17552</v>
      </c>
      <c r="G2110" s="2" t="s">
        <v>31</v>
      </c>
      <c r="H2110" s="17">
        <v>100</v>
      </c>
      <c r="I2110" s="31">
        <f t="shared" si="204"/>
        <v>100000</v>
      </c>
      <c r="J2110" s="31">
        <f t="shared" si="205"/>
        <v>7000.0000000000009</v>
      </c>
      <c r="K2110" s="44">
        <f t="shared" si="206"/>
        <v>19.178082191780824</v>
      </c>
      <c r="L2110" s="3">
        <f t="shared" si="207"/>
        <v>1419.178082191781</v>
      </c>
      <c r="M2110" s="3">
        <f t="shared" si="208"/>
        <v>85.150684931506859</v>
      </c>
      <c r="N2110" s="67">
        <f t="shared" si="209"/>
        <v>1334.027397260274</v>
      </c>
      <c r="O2110" s="3"/>
      <c r="P2110" s="70" t="s">
        <v>18608</v>
      </c>
      <c r="Q2110" s="2" t="s">
        <v>24</v>
      </c>
      <c r="R2110" s="2" t="s">
        <v>17553</v>
      </c>
      <c r="T2110" t="s">
        <v>18666</v>
      </c>
      <c r="U2110" t="s">
        <v>18652</v>
      </c>
      <c r="V2110" s="104">
        <v>45857</v>
      </c>
      <c r="X2110" s="97"/>
      <c r="Y2110" s="75">
        <v>1334.03</v>
      </c>
    </row>
    <row r="2111" spans="1:25" x14ac:dyDescent="0.25">
      <c r="A2111" s="76">
        <v>2143</v>
      </c>
      <c r="B2111" s="2" t="s">
        <v>17868</v>
      </c>
      <c r="C2111" s="2" t="s">
        <v>17869</v>
      </c>
      <c r="D2111" s="2" t="s">
        <v>17870</v>
      </c>
      <c r="E2111" s="2" t="s">
        <v>17871</v>
      </c>
      <c r="F2111" s="2" t="s">
        <v>17872</v>
      </c>
      <c r="G2111" s="2" t="s">
        <v>275</v>
      </c>
      <c r="H2111" s="17">
        <v>25</v>
      </c>
      <c r="I2111" s="31">
        <f t="shared" si="204"/>
        <v>25000</v>
      </c>
      <c r="J2111" s="31">
        <f t="shared" si="205"/>
        <v>1750.0000000000002</v>
      </c>
      <c r="K2111" s="44">
        <f t="shared" si="206"/>
        <v>4.794520547945206</v>
      </c>
      <c r="L2111" s="3">
        <f t="shared" si="207"/>
        <v>354.79452054794524</v>
      </c>
      <c r="M2111" s="3">
        <f t="shared" si="208"/>
        <v>21.287671232876715</v>
      </c>
      <c r="N2111" s="67">
        <f t="shared" si="209"/>
        <v>333.50684931506851</v>
      </c>
      <c r="O2111" s="3"/>
      <c r="P2111" s="70" t="s">
        <v>18608</v>
      </c>
      <c r="Q2111" s="2" t="s">
        <v>24</v>
      </c>
      <c r="R2111" s="2" t="s">
        <v>17873</v>
      </c>
      <c r="T2111" t="s">
        <v>18666</v>
      </c>
      <c r="U2111" t="s">
        <v>18652</v>
      </c>
      <c r="V2111" s="104">
        <v>45857</v>
      </c>
      <c r="X2111" s="97"/>
      <c r="Y2111" s="75">
        <v>333.51</v>
      </c>
    </row>
    <row r="2112" spans="1:25" x14ac:dyDescent="0.25">
      <c r="A2112" s="76">
        <v>2144</v>
      </c>
      <c r="B2112" s="2" t="s">
        <v>12792</v>
      </c>
      <c r="C2112" s="2" t="s">
        <v>12793</v>
      </c>
      <c r="D2112" s="2" t="s">
        <v>12794</v>
      </c>
      <c r="E2112" s="2" t="s">
        <v>12795</v>
      </c>
      <c r="F2112" s="2" t="s">
        <v>12796</v>
      </c>
      <c r="G2112" s="2" t="s">
        <v>799</v>
      </c>
      <c r="H2112" s="17">
        <v>25</v>
      </c>
      <c r="I2112" s="31">
        <f t="shared" si="204"/>
        <v>25000</v>
      </c>
      <c r="J2112" s="31">
        <f t="shared" si="205"/>
        <v>1750.0000000000002</v>
      </c>
      <c r="K2112" s="44">
        <f t="shared" si="206"/>
        <v>4.794520547945206</v>
      </c>
      <c r="L2112" s="3">
        <f t="shared" si="207"/>
        <v>354.79452054794524</v>
      </c>
      <c r="M2112" s="3">
        <f t="shared" si="208"/>
        <v>21.287671232876715</v>
      </c>
      <c r="N2112" s="67">
        <f t="shared" si="209"/>
        <v>333.50684931506851</v>
      </c>
      <c r="O2112" s="3"/>
      <c r="P2112" s="70" t="s">
        <v>18608</v>
      </c>
      <c r="Q2112" s="2" t="s">
        <v>24</v>
      </c>
      <c r="R2112" s="2" t="s">
        <v>12797</v>
      </c>
      <c r="T2112" t="s">
        <v>18666</v>
      </c>
      <c r="U2112" t="s">
        <v>18652</v>
      </c>
      <c r="V2112" s="104">
        <v>45857</v>
      </c>
      <c r="X2112" s="97"/>
      <c r="Y2112" s="75">
        <v>333.51</v>
      </c>
    </row>
    <row r="2113" spans="1:25" x14ac:dyDescent="0.25">
      <c r="A2113" s="76">
        <v>2145</v>
      </c>
      <c r="B2113" s="2" t="s">
        <v>7671</v>
      </c>
      <c r="C2113" s="2" t="s">
        <v>7672</v>
      </c>
      <c r="D2113" s="2" t="s">
        <v>7673</v>
      </c>
      <c r="E2113" s="2" t="s">
        <v>7674</v>
      </c>
      <c r="F2113" s="2" t="s">
        <v>7675</v>
      </c>
      <c r="G2113" s="2" t="s">
        <v>247</v>
      </c>
      <c r="H2113" s="17">
        <v>200</v>
      </c>
      <c r="I2113" s="31">
        <f t="shared" si="204"/>
        <v>200000</v>
      </c>
      <c r="J2113" s="31">
        <f t="shared" si="205"/>
        <v>14000.000000000002</v>
      </c>
      <c r="K2113" s="44">
        <f t="shared" si="206"/>
        <v>38.356164383561648</v>
      </c>
      <c r="L2113" s="3">
        <f t="shared" si="207"/>
        <v>2838.3561643835619</v>
      </c>
      <c r="M2113" s="3">
        <f t="shared" si="208"/>
        <v>170.30136986301372</v>
      </c>
      <c r="N2113" s="67">
        <f t="shared" si="209"/>
        <v>2668.0547945205481</v>
      </c>
      <c r="O2113" s="3"/>
      <c r="P2113" s="70" t="s">
        <v>18608</v>
      </c>
      <c r="Q2113" s="2" t="s">
        <v>24</v>
      </c>
      <c r="R2113" s="2" t="s">
        <v>7676</v>
      </c>
      <c r="T2113" t="s">
        <v>18666</v>
      </c>
      <c r="U2113" t="s">
        <v>18652</v>
      </c>
      <c r="V2113" s="104">
        <v>45857</v>
      </c>
      <c r="X2113" s="97"/>
      <c r="Y2113" s="75">
        <v>2668.0600000000004</v>
      </c>
    </row>
    <row r="2114" spans="1:25" x14ac:dyDescent="0.25">
      <c r="A2114" s="76">
        <v>2146</v>
      </c>
      <c r="B2114" s="2" t="s">
        <v>2728</v>
      </c>
      <c r="C2114" s="2" t="s">
        <v>2729</v>
      </c>
      <c r="D2114" s="2" t="s">
        <v>2730</v>
      </c>
      <c r="E2114" s="2" t="s">
        <v>2731</v>
      </c>
      <c r="F2114" s="2" t="s">
        <v>2732</v>
      </c>
      <c r="G2114" s="2" t="s">
        <v>580</v>
      </c>
      <c r="H2114" s="17">
        <v>25</v>
      </c>
      <c r="I2114" s="31">
        <f t="shared" si="204"/>
        <v>25000</v>
      </c>
      <c r="J2114" s="31">
        <f t="shared" si="205"/>
        <v>1750.0000000000002</v>
      </c>
      <c r="K2114" s="44">
        <f t="shared" si="206"/>
        <v>4.794520547945206</v>
      </c>
      <c r="L2114" s="3">
        <f t="shared" si="207"/>
        <v>354.79452054794524</v>
      </c>
      <c r="M2114" s="3">
        <f t="shared" si="208"/>
        <v>21.287671232876715</v>
      </c>
      <c r="N2114" s="67">
        <f t="shared" si="209"/>
        <v>333.50684931506851</v>
      </c>
      <c r="O2114" s="3"/>
      <c r="P2114" s="70" t="s">
        <v>18608</v>
      </c>
      <c r="Q2114" s="2" t="s">
        <v>24</v>
      </c>
      <c r="R2114" s="2" t="s">
        <v>2733</v>
      </c>
      <c r="T2114" t="s">
        <v>18666</v>
      </c>
      <c r="U2114" t="s">
        <v>18652</v>
      </c>
      <c r="V2114" s="104">
        <v>45857</v>
      </c>
      <c r="X2114" s="97"/>
      <c r="Y2114" s="75">
        <v>333.51</v>
      </c>
    </row>
    <row r="2115" spans="1:25" x14ac:dyDescent="0.25">
      <c r="A2115" s="76">
        <v>2147</v>
      </c>
      <c r="B2115" s="2" t="s">
        <v>14757</v>
      </c>
      <c r="C2115" s="2" t="s">
        <v>14758</v>
      </c>
      <c r="D2115" s="2" t="s">
        <v>14759</v>
      </c>
      <c r="E2115" s="2" t="s">
        <v>14760</v>
      </c>
      <c r="F2115" s="2" t="s">
        <v>14761</v>
      </c>
      <c r="G2115" s="2" t="s">
        <v>517</v>
      </c>
      <c r="H2115" s="17">
        <v>25</v>
      </c>
      <c r="I2115" s="31">
        <f t="shared" si="204"/>
        <v>25000</v>
      </c>
      <c r="J2115" s="31">
        <f t="shared" si="205"/>
        <v>1750.0000000000002</v>
      </c>
      <c r="K2115" s="44">
        <f t="shared" si="206"/>
        <v>4.794520547945206</v>
      </c>
      <c r="L2115" s="3">
        <f t="shared" si="207"/>
        <v>354.79452054794524</v>
      </c>
      <c r="M2115" s="3">
        <f t="shared" si="208"/>
        <v>21.287671232876715</v>
      </c>
      <c r="N2115" s="67">
        <f t="shared" si="209"/>
        <v>333.50684931506851</v>
      </c>
      <c r="O2115" s="3"/>
      <c r="P2115" s="70" t="s">
        <v>18608</v>
      </c>
      <c r="Q2115" s="2" t="s">
        <v>24</v>
      </c>
      <c r="R2115" s="2" t="s">
        <v>14762</v>
      </c>
      <c r="T2115" t="s">
        <v>18666</v>
      </c>
      <c r="U2115" t="s">
        <v>18652</v>
      </c>
      <c r="V2115" s="104">
        <v>45857</v>
      </c>
      <c r="X2115" s="97"/>
      <c r="Y2115" s="75">
        <v>333.51</v>
      </c>
    </row>
    <row r="2116" spans="1:25" x14ac:dyDescent="0.25">
      <c r="A2116" s="76">
        <v>2148</v>
      </c>
      <c r="B2116" s="2" t="s">
        <v>3231</v>
      </c>
      <c r="C2116" s="2" t="s">
        <v>3232</v>
      </c>
      <c r="D2116" s="2" t="s">
        <v>3233</v>
      </c>
      <c r="E2116" s="2" t="s">
        <v>3234</v>
      </c>
      <c r="F2116" s="2" t="s">
        <v>3235</v>
      </c>
      <c r="G2116" s="2" t="s">
        <v>282</v>
      </c>
      <c r="H2116" s="17">
        <v>25</v>
      </c>
      <c r="I2116" s="31">
        <f t="shared" si="204"/>
        <v>25000</v>
      </c>
      <c r="J2116" s="31">
        <f t="shared" si="205"/>
        <v>1750.0000000000002</v>
      </c>
      <c r="K2116" s="44">
        <f t="shared" si="206"/>
        <v>4.794520547945206</v>
      </c>
      <c r="L2116" s="3">
        <f t="shared" si="207"/>
        <v>354.79452054794524</v>
      </c>
      <c r="M2116" s="3">
        <f t="shared" si="208"/>
        <v>21.287671232876715</v>
      </c>
      <c r="N2116" s="67">
        <f t="shared" si="209"/>
        <v>333.50684931506851</v>
      </c>
      <c r="O2116" s="3"/>
      <c r="P2116" s="70" t="s">
        <v>18608</v>
      </c>
      <c r="Q2116" s="2" t="s">
        <v>24</v>
      </c>
      <c r="R2116" s="2" t="s">
        <v>3236</v>
      </c>
      <c r="T2116" t="s">
        <v>18666</v>
      </c>
      <c r="U2116" t="s">
        <v>18652</v>
      </c>
      <c r="V2116" s="104">
        <v>45857</v>
      </c>
      <c r="X2116" s="97"/>
      <c r="Y2116" s="75">
        <v>333.51</v>
      </c>
    </row>
    <row r="2117" spans="1:25" x14ac:dyDescent="0.25">
      <c r="A2117" s="76">
        <v>2149</v>
      </c>
      <c r="B2117" s="2" t="s">
        <v>12902</v>
      </c>
      <c r="C2117" s="2" t="s">
        <v>12903</v>
      </c>
      <c r="D2117" s="2" t="s">
        <v>12904</v>
      </c>
      <c r="E2117" s="2" t="s">
        <v>12905</v>
      </c>
      <c r="F2117" s="2" t="s">
        <v>12906</v>
      </c>
      <c r="G2117" s="2" t="s">
        <v>835</v>
      </c>
      <c r="H2117" s="17">
        <v>25</v>
      </c>
      <c r="I2117" s="31">
        <f t="shared" si="204"/>
        <v>25000</v>
      </c>
      <c r="J2117" s="31">
        <f t="shared" si="205"/>
        <v>1750.0000000000002</v>
      </c>
      <c r="K2117" s="44">
        <f t="shared" si="206"/>
        <v>4.794520547945206</v>
      </c>
      <c r="L2117" s="3">
        <f t="shared" si="207"/>
        <v>354.79452054794524</v>
      </c>
      <c r="M2117" s="3">
        <f t="shared" si="208"/>
        <v>21.287671232876715</v>
      </c>
      <c r="N2117" s="67">
        <f t="shared" si="209"/>
        <v>333.50684931506851</v>
      </c>
      <c r="O2117" s="3"/>
      <c r="P2117" s="70" t="s">
        <v>18608</v>
      </c>
      <c r="Q2117" s="2" t="s">
        <v>24</v>
      </c>
      <c r="R2117" s="2" t="s">
        <v>12907</v>
      </c>
      <c r="T2117" t="s">
        <v>18666</v>
      </c>
      <c r="U2117" t="s">
        <v>18652</v>
      </c>
      <c r="V2117" s="104">
        <v>45857</v>
      </c>
      <c r="X2117" s="97"/>
      <c r="Y2117" s="75">
        <v>333.51</v>
      </c>
    </row>
    <row r="2118" spans="1:25" x14ac:dyDescent="0.25">
      <c r="A2118" s="76">
        <v>2150</v>
      </c>
      <c r="B2118" s="2" t="s">
        <v>8643</v>
      </c>
      <c r="C2118" s="2" t="s">
        <v>8644</v>
      </c>
      <c r="D2118" s="2" t="s">
        <v>8645</v>
      </c>
      <c r="E2118" s="2" t="s">
        <v>8646</v>
      </c>
      <c r="F2118" s="2" t="s">
        <v>8647</v>
      </c>
      <c r="G2118" s="2" t="s">
        <v>31</v>
      </c>
      <c r="H2118" s="17">
        <v>25</v>
      </c>
      <c r="I2118" s="31">
        <f t="shared" si="204"/>
        <v>25000</v>
      </c>
      <c r="J2118" s="31">
        <f t="shared" si="205"/>
        <v>1750.0000000000002</v>
      </c>
      <c r="K2118" s="44">
        <f t="shared" si="206"/>
        <v>4.794520547945206</v>
      </c>
      <c r="L2118" s="3">
        <f t="shared" si="207"/>
        <v>354.79452054794524</v>
      </c>
      <c r="M2118" s="3">
        <f t="shared" si="208"/>
        <v>21.287671232876715</v>
      </c>
      <c r="N2118" s="67">
        <f t="shared" si="209"/>
        <v>333.50684931506851</v>
      </c>
      <c r="O2118" s="3"/>
      <c r="P2118" s="70" t="s">
        <v>18608</v>
      </c>
      <c r="Q2118" s="2" t="s">
        <v>24</v>
      </c>
      <c r="R2118" s="2" t="s">
        <v>8648</v>
      </c>
      <c r="T2118" t="s">
        <v>18666</v>
      </c>
      <c r="U2118" t="s">
        <v>18652</v>
      </c>
      <c r="V2118" s="104">
        <v>45857</v>
      </c>
      <c r="X2118" s="97"/>
      <c r="Y2118" s="75">
        <v>333.51</v>
      </c>
    </row>
    <row r="2119" spans="1:25" x14ac:dyDescent="0.25">
      <c r="A2119" s="76">
        <v>2151</v>
      </c>
      <c r="B2119" s="2" t="s">
        <v>17812</v>
      </c>
      <c r="C2119" s="2" t="s">
        <v>17813</v>
      </c>
      <c r="D2119" s="2" t="s">
        <v>17814</v>
      </c>
      <c r="E2119" s="2" t="s">
        <v>17815</v>
      </c>
      <c r="F2119" s="2" t="s">
        <v>17816</v>
      </c>
      <c r="G2119" s="2" t="s">
        <v>247</v>
      </c>
      <c r="H2119" s="17">
        <v>25</v>
      </c>
      <c r="I2119" s="31">
        <f t="shared" si="204"/>
        <v>25000</v>
      </c>
      <c r="J2119" s="31">
        <f t="shared" si="205"/>
        <v>1750.0000000000002</v>
      </c>
      <c r="K2119" s="44">
        <f t="shared" si="206"/>
        <v>4.794520547945206</v>
      </c>
      <c r="L2119" s="3">
        <f t="shared" si="207"/>
        <v>354.79452054794524</v>
      </c>
      <c r="M2119" s="3">
        <f t="shared" si="208"/>
        <v>21.287671232876715</v>
      </c>
      <c r="N2119" s="67">
        <f t="shared" si="209"/>
        <v>333.50684931506851</v>
      </c>
      <c r="O2119" s="3"/>
      <c r="P2119" s="70" t="s">
        <v>18608</v>
      </c>
      <c r="Q2119" s="2" t="s">
        <v>24</v>
      </c>
      <c r="R2119" s="2" t="s">
        <v>17817</v>
      </c>
      <c r="T2119" t="s">
        <v>18666</v>
      </c>
      <c r="U2119" t="s">
        <v>18652</v>
      </c>
      <c r="V2119" s="104">
        <v>45857</v>
      </c>
      <c r="X2119" s="97"/>
      <c r="Y2119" s="75">
        <v>333.51</v>
      </c>
    </row>
    <row r="2120" spans="1:25" x14ac:dyDescent="0.25">
      <c r="A2120" s="76">
        <v>2152</v>
      </c>
      <c r="B2120" s="2" t="s">
        <v>6259</v>
      </c>
      <c r="C2120" s="2" t="s">
        <v>6260</v>
      </c>
      <c r="D2120" s="2" t="s">
        <v>6261</v>
      </c>
      <c r="E2120" s="2" t="s">
        <v>6262</v>
      </c>
      <c r="F2120" s="2" t="s">
        <v>6263</v>
      </c>
      <c r="G2120" s="2" t="s">
        <v>4994</v>
      </c>
      <c r="H2120" s="17">
        <v>30</v>
      </c>
      <c r="I2120" s="31">
        <f t="shared" si="204"/>
        <v>30000</v>
      </c>
      <c r="J2120" s="31">
        <f t="shared" si="205"/>
        <v>2100</v>
      </c>
      <c r="K2120" s="44">
        <f t="shared" si="206"/>
        <v>5.7534246575342465</v>
      </c>
      <c r="L2120" s="3">
        <f t="shared" si="207"/>
        <v>425.75342465753425</v>
      </c>
      <c r="M2120" s="3">
        <f t="shared" si="208"/>
        <v>25.545205479452054</v>
      </c>
      <c r="N2120" s="67">
        <f t="shared" si="209"/>
        <v>400.20821917808217</v>
      </c>
      <c r="O2120" s="3"/>
      <c r="P2120" s="70" t="s">
        <v>18608</v>
      </c>
      <c r="Q2120" s="2" t="s">
        <v>24</v>
      </c>
      <c r="R2120" s="2" t="s">
        <v>6264</v>
      </c>
      <c r="T2120" t="s">
        <v>18666</v>
      </c>
      <c r="U2120" t="s">
        <v>18652</v>
      </c>
      <c r="V2120" s="104">
        <v>45857</v>
      </c>
      <c r="X2120" s="97"/>
      <c r="Y2120" s="75">
        <v>400.21</v>
      </c>
    </row>
    <row r="2121" spans="1:25" x14ac:dyDescent="0.25">
      <c r="A2121" s="76">
        <v>2153</v>
      </c>
      <c r="B2121" s="2" t="s">
        <v>3796</v>
      </c>
      <c r="C2121" s="2" t="s">
        <v>3797</v>
      </c>
      <c r="D2121" s="2" t="s">
        <v>3779</v>
      </c>
      <c r="E2121" s="2" t="s">
        <v>3780</v>
      </c>
      <c r="F2121" s="2" t="s">
        <v>3798</v>
      </c>
      <c r="G2121" s="2" t="s">
        <v>412</v>
      </c>
      <c r="H2121" s="17">
        <v>25</v>
      </c>
      <c r="I2121" s="31">
        <f t="shared" si="204"/>
        <v>25000</v>
      </c>
      <c r="J2121" s="31">
        <f t="shared" si="205"/>
        <v>1750.0000000000002</v>
      </c>
      <c r="K2121" s="44">
        <f t="shared" si="206"/>
        <v>4.794520547945206</v>
      </c>
      <c r="L2121" s="3">
        <f t="shared" si="207"/>
        <v>354.79452054794524</v>
      </c>
      <c r="M2121" s="3">
        <f t="shared" si="208"/>
        <v>21.287671232876715</v>
      </c>
      <c r="N2121" s="67">
        <f t="shared" si="209"/>
        <v>333.50684931506851</v>
      </c>
      <c r="O2121" s="3"/>
      <c r="P2121" s="70" t="s">
        <v>18608</v>
      </c>
      <c r="Q2121" s="2" t="s">
        <v>24</v>
      </c>
      <c r="R2121" s="2" t="s">
        <v>3799</v>
      </c>
      <c r="T2121" t="s">
        <v>18666</v>
      </c>
      <c r="U2121" t="s">
        <v>18652</v>
      </c>
      <c r="V2121" s="104">
        <v>45857</v>
      </c>
      <c r="X2121" s="97"/>
      <c r="Y2121" s="75">
        <v>333.51</v>
      </c>
    </row>
    <row r="2122" spans="1:25" x14ac:dyDescent="0.25">
      <c r="A2122" s="76">
        <v>2154</v>
      </c>
      <c r="B2122" s="2" t="s">
        <v>9388</v>
      </c>
      <c r="C2122" s="2" t="s">
        <v>9389</v>
      </c>
      <c r="D2122" s="2" t="s">
        <v>9390</v>
      </c>
      <c r="E2122" s="2" t="s">
        <v>9391</v>
      </c>
      <c r="F2122" s="2" t="s">
        <v>9392</v>
      </c>
      <c r="G2122" s="2" t="s">
        <v>166</v>
      </c>
      <c r="H2122" s="17">
        <v>25</v>
      </c>
      <c r="I2122" s="31">
        <f t="shared" si="204"/>
        <v>25000</v>
      </c>
      <c r="J2122" s="31">
        <f t="shared" si="205"/>
        <v>1750.0000000000002</v>
      </c>
      <c r="K2122" s="44">
        <f t="shared" si="206"/>
        <v>4.794520547945206</v>
      </c>
      <c r="L2122" s="3">
        <f t="shared" si="207"/>
        <v>354.79452054794524</v>
      </c>
      <c r="M2122" s="3">
        <f t="shared" si="208"/>
        <v>21.287671232876715</v>
      </c>
      <c r="N2122" s="67">
        <f t="shared" si="209"/>
        <v>333.50684931506851</v>
      </c>
      <c r="O2122" s="3"/>
      <c r="P2122" s="70" t="s">
        <v>18608</v>
      </c>
      <c r="Q2122" s="2" t="s">
        <v>24</v>
      </c>
      <c r="R2122" s="2" t="s">
        <v>9393</v>
      </c>
      <c r="T2122" t="s">
        <v>18666</v>
      </c>
      <c r="U2122" t="s">
        <v>18652</v>
      </c>
      <c r="V2122" s="104">
        <v>45857</v>
      </c>
      <c r="X2122" s="97"/>
      <c r="Y2122" s="75">
        <v>333.51</v>
      </c>
    </row>
    <row r="2123" spans="1:25" x14ac:dyDescent="0.25">
      <c r="A2123" s="76">
        <v>2155</v>
      </c>
      <c r="B2123" s="2" t="s">
        <v>9400</v>
      </c>
      <c r="C2123" s="2" t="s">
        <v>9401</v>
      </c>
      <c r="D2123" s="2" t="s">
        <v>9390</v>
      </c>
      <c r="E2123" s="2" t="s">
        <v>9391</v>
      </c>
      <c r="F2123" s="2" t="s">
        <v>9402</v>
      </c>
      <c r="G2123" s="2" t="s">
        <v>166</v>
      </c>
      <c r="H2123" s="17">
        <v>25</v>
      </c>
      <c r="I2123" s="31">
        <f t="shared" si="204"/>
        <v>25000</v>
      </c>
      <c r="J2123" s="31">
        <f t="shared" si="205"/>
        <v>1750.0000000000002</v>
      </c>
      <c r="K2123" s="44">
        <f t="shared" si="206"/>
        <v>4.794520547945206</v>
      </c>
      <c r="L2123" s="3">
        <f t="shared" si="207"/>
        <v>354.79452054794524</v>
      </c>
      <c r="M2123" s="3">
        <f t="shared" si="208"/>
        <v>21.287671232876715</v>
      </c>
      <c r="N2123" s="67">
        <f t="shared" si="209"/>
        <v>333.50684931506851</v>
      </c>
      <c r="O2123" s="3"/>
      <c r="P2123" s="70" t="s">
        <v>18608</v>
      </c>
      <c r="Q2123" s="2" t="s">
        <v>24</v>
      </c>
      <c r="R2123" s="2" t="s">
        <v>9403</v>
      </c>
      <c r="T2123" t="s">
        <v>18666</v>
      </c>
      <c r="U2123" t="s">
        <v>18652</v>
      </c>
      <c r="V2123" s="104">
        <v>45857</v>
      </c>
      <c r="X2123" s="97"/>
      <c r="Y2123" s="75">
        <v>333.51</v>
      </c>
    </row>
    <row r="2124" spans="1:25" x14ac:dyDescent="0.25">
      <c r="A2124" s="76">
        <v>2156</v>
      </c>
      <c r="B2124" s="2" t="s">
        <v>12015</v>
      </c>
      <c r="C2124" s="2" t="s">
        <v>12016</v>
      </c>
      <c r="D2124" s="2" t="s">
        <v>12017</v>
      </c>
      <c r="E2124" s="2" t="s">
        <v>12018</v>
      </c>
      <c r="F2124" s="2" t="s">
        <v>12019</v>
      </c>
      <c r="G2124" s="2" t="s">
        <v>381</v>
      </c>
      <c r="H2124" s="17">
        <v>25</v>
      </c>
      <c r="I2124" s="31">
        <f t="shared" si="204"/>
        <v>25000</v>
      </c>
      <c r="J2124" s="31">
        <f t="shared" si="205"/>
        <v>1750.0000000000002</v>
      </c>
      <c r="K2124" s="44">
        <f t="shared" si="206"/>
        <v>4.794520547945206</v>
      </c>
      <c r="L2124" s="3">
        <f t="shared" si="207"/>
        <v>354.79452054794524</v>
      </c>
      <c r="M2124" s="3">
        <f t="shared" si="208"/>
        <v>21.287671232876715</v>
      </c>
      <c r="N2124" s="67">
        <f t="shared" si="209"/>
        <v>333.50684931506851</v>
      </c>
      <c r="O2124" s="3"/>
      <c r="P2124" s="70" t="s">
        <v>18608</v>
      </c>
      <c r="Q2124" s="2" t="s">
        <v>24</v>
      </c>
      <c r="R2124" s="2" t="s">
        <v>12020</v>
      </c>
      <c r="T2124" t="s">
        <v>18666</v>
      </c>
      <c r="U2124" t="s">
        <v>18652</v>
      </c>
      <c r="V2124" s="104">
        <v>45857</v>
      </c>
      <c r="X2124" s="97"/>
      <c r="Y2124" s="75">
        <v>333.51</v>
      </c>
    </row>
    <row r="2125" spans="1:25" x14ac:dyDescent="0.25">
      <c r="A2125" s="76">
        <v>2157</v>
      </c>
      <c r="B2125" s="2" t="s">
        <v>11061</v>
      </c>
      <c r="C2125" s="2" t="s">
        <v>11062</v>
      </c>
      <c r="D2125" s="2" t="s">
        <v>11063</v>
      </c>
      <c r="E2125" s="2" t="s">
        <v>11064</v>
      </c>
      <c r="F2125" s="2" t="s">
        <v>11065</v>
      </c>
      <c r="G2125" s="2" t="s">
        <v>1315</v>
      </c>
      <c r="H2125" s="17">
        <v>25</v>
      </c>
      <c r="I2125" s="31">
        <f t="shared" si="204"/>
        <v>25000</v>
      </c>
      <c r="J2125" s="31">
        <f t="shared" si="205"/>
        <v>1750.0000000000002</v>
      </c>
      <c r="K2125" s="44">
        <f t="shared" si="206"/>
        <v>4.794520547945206</v>
      </c>
      <c r="L2125" s="3">
        <f t="shared" si="207"/>
        <v>354.79452054794524</v>
      </c>
      <c r="M2125" s="3">
        <f t="shared" si="208"/>
        <v>21.287671232876715</v>
      </c>
      <c r="N2125" s="67">
        <f t="shared" si="209"/>
        <v>333.50684931506851</v>
      </c>
      <c r="O2125" s="3"/>
      <c r="P2125" s="70" t="s">
        <v>18608</v>
      </c>
      <c r="Q2125" s="2" t="s">
        <v>24</v>
      </c>
      <c r="R2125" s="2" t="s">
        <v>11066</v>
      </c>
      <c r="T2125" t="s">
        <v>18666</v>
      </c>
      <c r="U2125" t="s">
        <v>18652</v>
      </c>
      <c r="V2125" s="104">
        <v>45857</v>
      </c>
      <c r="X2125" s="97"/>
      <c r="Y2125" s="75">
        <v>333.51</v>
      </c>
    </row>
    <row r="2126" spans="1:25" x14ac:dyDescent="0.25">
      <c r="A2126" s="76">
        <v>2158</v>
      </c>
      <c r="B2126" s="2" t="s">
        <v>5575</v>
      </c>
      <c r="C2126" s="2" t="s">
        <v>5576</v>
      </c>
      <c r="D2126" s="2" t="s">
        <v>5577</v>
      </c>
      <c r="E2126" s="2" t="s">
        <v>5578</v>
      </c>
      <c r="F2126" s="2" t="s">
        <v>5579</v>
      </c>
      <c r="G2126" s="2" t="s">
        <v>381</v>
      </c>
      <c r="H2126" s="17">
        <v>25</v>
      </c>
      <c r="I2126" s="31">
        <f t="shared" si="204"/>
        <v>25000</v>
      </c>
      <c r="J2126" s="31">
        <f t="shared" si="205"/>
        <v>1750.0000000000002</v>
      </c>
      <c r="K2126" s="44">
        <f t="shared" si="206"/>
        <v>4.794520547945206</v>
      </c>
      <c r="L2126" s="3">
        <f t="shared" si="207"/>
        <v>354.79452054794524</v>
      </c>
      <c r="M2126" s="3">
        <f t="shared" si="208"/>
        <v>21.287671232876715</v>
      </c>
      <c r="N2126" s="67">
        <f t="shared" si="209"/>
        <v>333.50684931506851</v>
      </c>
      <c r="O2126" s="3"/>
      <c r="P2126" s="70" t="s">
        <v>18608</v>
      </c>
      <c r="Q2126" s="2" t="s">
        <v>24</v>
      </c>
      <c r="R2126" s="2" t="s">
        <v>5580</v>
      </c>
      <c r="T2126" t="s">
        <v>18666</v>
      </c>
      <c r="U2126" t="s">
        <v>18652</v>
      </c>
      <c r="V2126" s="104">
        <v>45857</v>
      </c>
      <c r="X2126" s="97"/>
      <c r="Y2126" s="75">
        <v>333.51</v>
      </c>
    </row>
    <row r="2127" spans="1:25" x14ac:dyDescent="0.25">
      <c r="A2127" s="76">
        <v>2159</v>
      </c>
      <c r="B2127" s="2" t="s">
        <v>5587</v>
      </c>
      <c r="C2127" s="2" t="s">
        <v>5588</v>
      </c>
      <c r="D2127" s="2" t="s">
        <v>5589</v>
      </c>
      <c r="E2127" s="2" t="s">
        <v>5590</v>
      </c>
      <c r="F2127" s="2" t="s">
        <v>5591</v>
      </c>
      <c r="G2127" s="2" t="s">
        <v>381</v>
      </c>
      <c r="H2127" s="17">
        <v>25</v>
      </c>
      <c r="I2127" s="31">
        <f t="shared" si="204"/>
        <v>25000</v>
      </c>
      <c r="J2127" s="31">
        <f t="shared" si="205"/>
        <v>1750.0000000000002</v>
      </c>
      <c r="K2127" s="44">
        <f t="shared" si="206"/>
        <v>4.794520547945206</v>
      </c>
      <c r="L2127" s="3">
        <f t="shared" si="207"/>
        <v>354.79452054794524</v>
      </c>
      <c r="M2127" s="3">
        <f t="shared" si="208"/>
        <v>21.287671232876715</v>
      </c>
      <c r="N2127" s="67">
        <f t="shared" si="209"/>
        <v>333.50684931506851</v>
      </c>
      <c r="O2127" s="3"/>
      <c r="P2127" s="70" t="s">
        <v>18608</v>
      </c>
      <c r="Q2127" s="2" t="s">
        <v>24</v>
      </c>
      <c r="R2127" s="2" t="s">
        <v>5592</v>
      </c>
      <c r="T2127" t="s">
        <v>18666</v>
      </c>
      <c r="U2127" t="s">
        <v>18652</v>
      </c>
      <c r="V2127" s="104">
        <v>45857</v>
      </c>
      <c r="X2127" s="97"/>
      <c r="Y2127" s="75">
        <v>333.51</v>
      </c>
    </row>
    <row r="2128" spans="1:25" x14ac:dyDescent="0.25">
      <c r="A2128" s="76">
        <v>2160</v>
      </c>
      <c r="B2128" s="2" t="s">
        <v>5286</v>
      </c>
      <c r="C2128" s="2" t="s">
        <v>5287</v>
      </c>
      <c r="D2128" s="2" t="s">
        <v>5288</v>
      </c>
      <c r="E2128" s="2" t="s">
        <v>5289</v>
      </c>
      <c r="F2128" s="2" t="s">
        <v>5290</v>
      </c>
      <c r="G2128" s="2" t="s">
        <v>5013</v>
      </c>
      <c r="H2128" s="17">
        <v>25</v>
      </c>
      <c r="I2128" s="31">
        <f t="shared" si="204"/>
        <v>25000</v>
      </c>
      <c r="J2128" s="31">
        <f t="shared" si="205"/>
        <v>1750.0000000000002</v>
      </c>
      <c r="K2128" s="44">
        <f t="shared" si="206"/>
        <v>4.794520547945206</v>
      </c>
      <c r="L2128" s="3">
        <f t="shared" si="207"/>
        <v>354.79452054794524</v>
      </c>
      <c r="M2128" s="3">
        <f t="shared" si="208"/>
        <v>21.287671232876715</v>
      </c>
      <c r="N2128" s="67">
        <f t="shared" si="209"/>
        <v>333.50684931506851</v>
      </c>
      <c r="O2128" s="3"/>
      <c r="P2128" s="70" t="s">
        <v>18608</v>
      </c>
      <c r="Q2128" s="2" t="s">
        <v>24</v>
      </c>
      <c r="R2128" s="2" t="s">
        <v>5291</v>
      </c>
      <c r="T2128" t="s">
        <v>18666</v>
      </c>
      <c r="U2128" t="s">
        <v>18652</v>
      </c>
      <c r="V2128" s="104">
        <v>45857</v>
      </c>
      <c r="X2128" s="97"/>
      <c r="Y2128" s="75">
        <v>333.51</v>
      </c>
    </row>
    <row r="2129" spans="1:25" x14ac:dyDescent="0.25">
      <c r="A2129" s="76">
        <v>2161</v>
      </c>
      <c r="B2129" s="2" t="s">
        <v>4351</v>
      </c>
      <c r="C2129" s="2" t="s">
        <v>4352</v>
      </c>
      <c r="D2129" s="2" t="s">
        <v>4353</v>
      </c>
      <c r="E2129" s="2" t="s">
        <v>4354</v>
      </c>
      <c r="F2129" s="2" t="s">
        <v>4355</v>
      </c>
      <c r="G2129" s="2" t="s">
        <v>193</v>
      </c>
      <c r="H2129" s="17">
        <v>25</v>
      </c>
      <c r="I2129" s="31">
        <f t="shared" si="204"/>
        <v>25000</v>
      </c>
      <c r="J2129" s="31">
        <f t="shared" si="205"/>
        <v>1750.0000000000002</v>
      </c>
      <c r="K2129" s="44">
        <f t="shared" si="206"/>
        <v>4.794520547945206</v>
      </c>
      <c r="L2129" s="3">
        <f t="shared" si="207"/>
        <v>354.79452054794524</v>
      </c>
      <c r="M2129" s="3">
        <f t="shared" si="208"/>
        <v>21.287671232876715</v>
      </c>
      <c r="N2129" s="67">
        <f t="shared" si="209"/>
        <v>333.50684931506851</v>
      </c>
      <c r="O2129" s="3"/>
      <c r="P2129" s="70" t="s">
        <v>18608</v>
      </c>
      <c r="Q2129" s="2" t="s">
        <v>24</v>
      </c>
      <c r="R2129" s="2" t="s">
        <v>4356</v>
      </c>
      <c r="T2129" t="s">
        <v>18666</v>
      </c>
      <c r="U2129" t="s">
        <v>18652</v>
      </c>
      <c r="V2129" s="104">
        <v>45857</v>
      </c>
      <c r="X2129" s="97"/>
      <c r="Y2129" s="75">
        <v>333.51</v>
      </c>
    </row>
    <row r="2130" spans="1:25" x14ac:dyDescent="0.25">
      <c r="A2130" s="76">
        <v>2162</v>
      </c>
      <c r="B2130" s="2" t="s">
        <v>18452</v>
      </c>
      <c r="C2130" s="2" t="s">
        <v>18453</v>
      </c>
      <c r="D2130" s="2" t="s">
        <v>18454</v>
      </c>
      <c r="E2130" s="2" t="s">
        <v>18455</v>
      </c>
      <c r="F2130" s="2" t="s">
        <v>18456</v>
      </c>
      <c r="G2130" s="2" t="s">
        <v>618</v>
      </c>
      <c r="H2130" s="17">
        <v>25</v>
      </c>
      <c r="I2130" s="31">
        <f t="shared" ref="I2130:I2193" si="210">H2130*1000</f>
        <v>25000</v>
      </c>
      <c r="J2130" s="31">
        <f t="shared" ref="J2130:J2193" si="211">I2130*7%</f>
        <v>1750.0000000000002</v>
      </c>
      <c r="K2130" s="44">
        <f t="shared" ref="K2130:K2193" si="212">J2130/365</f>
        <v>4.794520547945206</v>
      </c>
      <c r="L2130" s="3">
        <f t="shared" ref="L2130:L2193" si="213">K2130*74</f>
        <v>354.79452054794524</v>
      </c>
      <c r="M2130" s="3">
        <f t="shared" ref="M2130:M2193" si="214">L2130*6%</f>
        <v>21.287671232876715</v>
      </c>
      <c r="N2130" s="67">
        <f t="shared" ref="N2130:N2193" si="215">L2130-M2130</f>
        <v>333.50684931506851</v>
      </c>
      <c r="O2130" s="3"/>
      <c r="P2130" s="70" t="s">
        <v>18608</v>
      </c>
      <c r="Q2130" s="2" t="s">
        <v>24</v>
      </c>
      <c r="R2130" s="2" t="s">
        <v>18457</v>
      </c>
      <c r="T2130" t="s">
        <v>18666</v>
      </c>
      <c r="U2130" t="s">
        <v>18652</v>
      </c>
      <c r="V2130" s="104">
        <v>45857</v>
      </c>
      <c r="X2130" s="97"/>
      <c r="Y2130" s="75">
        <v>333.51</v>
      </c>
    </row>
    <row r="2131" spans="1:25" x14ac:dyDescent="0.25">
      <c r="A2131" s="76">
        <v>2163</v>
      </c>
      <c r="B2131" s="2" t="s">
        <v>5615</v>
      </c>
      <c r="C2131" s="2" t="s">
        <v>5616</v>
      </c>
      <c r="D2131" s="2" t="s">
        <v>5617</v>
      </c>
      <c r="E2131" s="2" t="s">
        <v>5618</v>
      </c>
      <c r="F2131" s="2" t="s">
        <v>5619</v>
      </c>
      <c r="G2131" s="2" t="s">
        <v>1055</v>
      </c>
      <c r="H2131" s="17">
        <v>25</v>
      </c>
      <c r="I2131" s="31">
        <f t="shared" si="210"/>
        <v>25000</v>
      </c>
      <c r="J2131" s="31">
        <f t="shared" si="211"/>
        <v>1750.0000000000002</v>
      </c>
      <c r="K2131" s="44">
        <f t="shared" si="212"/>
        <v>4.794520547945206</v>
      </c>
      <c r="L2131" s="3">
        <f t="shared" si="213"/>
        <v>354.79452054794524</v>
      </c>
      <c r="M2131" s="3">
        <f t="shared" si="214"/>
        <v>21.287671232876715</v>
      </c>
      <c r="N2131" s="67">
        <f t="shared" si="215"/>
        <v>333.50684931506851</v>
      </c>
      <c r="O2131" s="3"/>
      <c r="P2131" s="70" t="s">
        <v>18608</v>
      </c>
      <c r="Q2131" s="2" t="s">
        <v>24</v>
      </c>
      <c r="R2131" s="2" t="s">
        <v>5620</v>
      </c>
      <c r="T2131" t="s">
        <v>18666</v>
      </c>
      <c r="U2131" t="s">
        <v>18652</v>
      </c>
      <c r="V2131" s="104">
        <v>45857</v>
      </c>
      <c r="X2131" s="97"/>
      <c r="Y2131" s="75">
        <v>333.51</v>
      </c>
    </row>
    <row r="2132" spans="1:25" x14ac:dyDescent="0.25">
      <c r="A2132" s="76">
        <v>2164</v>
      </c>
      <c r="B2132" s="2" t="s">
        <v>1590</v>
      </c>
      <c r="C2132" s="2" t="s">
        <v>1591</v>
      </c>
      <c r="D2132" s="2" t="s">
        <v>1592</v>
      </c>
      <c r="E2132" s="2" t="s">
        <v>1593</v>
      </c>
      <c r="F2132" s="2" t="s">
        <v>1594</v>
      </c>
      <c r="G2132" s="2" t="s">
        <v>750</v>
      </c>
      <c r="H2132" s="17">
        <v>25</v>
      </c>
      <c r="I2132" s="31">
        <f t="shared" si="210"/>
        <v>25000</v>
      </c>
      <c r="J2132" s="31">
        <f t="shared" si="211"/>
        <v>1750.0000000000002</v>
      </c>
      <c r="K2132" s="44">
        <f t="shared" si="212"/>
        <v>4.794520547945206</v>
      </c>
      <c r="L2132" s="3">
        <f t="shared" si="213"/>
        <v>354.79452054794524</v>
      </c>
      <c r="M2132" s="3">
        <f t="shared" si="214"/>
        <v>21.287671232876715</v>
      </c>
      <c r="N2132" s="67">
        <f t="shared" si="215"/>
        <v>333.50684931506851</v>
      </c>
      <c r="O2132" s="3"/>
      <c r="P2132" s="70" t="s">
        <v>18608</v>
      </c>
      <c r="Q2132" s="2" t="s">
        <v>24</v>
      </c>
      <c r="R2132" s="2" t="s">
        <v>1595</v>
      </c>
      <c r="T2132" t="s">
        <v>18666</v>
      </c>
      <c r="U2132" t="s">
        <v>18652</v>
      </c>
      <c r="V2132" s="104">
        <v>45857</v>
      </c>
      <c r="X2132" s="97"/>
      <c r="Y2132" s="75">
        <v>333.51</v>
      </c>
    </row>
    <row r="2133" spans="1:25" x14ac:dyDescent="0.25">
      <c r="A2133" s="76">
        <v>2165</v>
      </c>
      <c r="B2133" s="2" t="s">
        <v>15878</v>
      </c>
      <c r="C2133" s="2" t="s">
        <v>15879</v>
      </c>
      <c r="D2133" s="2" t="s">
        <v>15880</v>
      </c>
      <c r="E2133" s="2" t="s">
        <v>15881</v>
      </c>
      <c r="F2133" s="2" t="s">
        <v>15882</v>
      </c>
      <c r="G2133" s="2" t="s">
        <v>4994</v>
      </c>
      <c r="H2133" s="17">
        <v>25</v>
      </c>
      <c r="I2133" s="31">
        <f t="shared" si="210"/>
        <v>25000</v>
      </c>
      <c r="J2133" s="31">
        <f t="shared" si="211"/>
        <v>1750.0000000000002</v>
      </c>
      <c r="K2133" s="44">
        <f t="shared" si="212"/>
        <v>4.794520547945206</v>
      </c>
      <c r="L2133" s="3">
        <f t="shared" si="213"/>
        <v>354.79452054794524</v>
      </c>
      <c r="M2133" s="3">
        <f t="shared" si="214"/>
        <v>21.287671232876715</v>
      </c>
      <c r="N2133" s="67">
        <f t="shared" si="215"/>
        <v>333.50684931506851</v>
      </c>
      <c r="O2133" s="3"/>
      <c r="P2133" s="70" t="s">
        <v>18608</v>
      </c>
      <c r="Q2133" s="2" t="s">
        <v>24</v>
      </c>
      <c r="R2133" s="2" t="s">
        <v>15883</v>
      </c>
      <c r="T2133" t="s">
        <v>18666</v>
      </c>
      <c r="U2133" t="s">
        <v>18652</v>
      </c>
      <c r="V2133" s="104">
        <v>45857</v>
      </c>
      <c r="X2133" s="97"/>
      <c r="Y2133" s="75">
        <v>333.51</v>
      </c>
    </row>
    <row r="2134" spans="1:25" x14ac:dyDescent="0.25">
      <c r="A2134" s="76">
        <v>2166</v>
      </c>
      <c r="B2134" s="2" t="s">
        <v>1772</v>
      </c>
      <c r="C2134" s="2" t="s">
        <v>1773</v>
      </c>
      <c r="D2134" s="2" t="s">
        <v>325</v>
      </c>
      <c r="E2134" s="2" t="s">
        <v>1774</v>
      </c>
      <c r="F2134" s="2" t="s">
        <v>1775</v>
      </c>
      <c r="G2134" s="2" t="s">
        <v>328</v>
      </c>
      <c r="H2134" s="17">
        <v>25</v>
      </c>
      <c r="I2134" s="31">
        <f t="shared" si="210"/>
        <v>25000</v>
      </c>
      <c r="J2134" s="31">
        <f t="shared" si="211"/>
        <v>1750.0000000000002</v>
      </c>
      <c r="K2134" s="44">
        <f t="shared" si="212"/>
        <v>4.794520547945206</v>
      </c>
      <c r="L2134" s="3">
        <f t="shared" si="213"/>
        <v>354.79452054794524</v>
      </c>
      <c r="M2134" s="3">
        <f t="shared" si="214"/>
        <v>21.287671232876715</v>
      </c>
      <c r="N2134" s="67">
        <f t="shared" si="215"/>
        <v>333.50684931506851</v>
      </c>
      <c r="O2134" s="3"/>
      <c r="P2134" s="70" t="s">
        <v>18608</v>
      </c>
      <c r="Q2134" s="2" t="s">
        <v>24</v>
      </c>
      <c r="R2134" s="2" t="s">
        <v>1776</v>
      </c>
      <c r="T2134" t="s">
        <v>18666</v>
      </c>
      <c r="U2134" t="s">
        <v>18652</v>
      </c>
      <c r="V2134" s="104">
        <v>45857</v>
      </c>
      <c r="X2134" s="97"/>
      <c r="Y2134" s="75">
        <v>333.51</v>
      </c>
    </row>
    <row r="2135" spans="1:25" x14ac:dyDescent="0.25">
      <c r="A2135" s="76">
        <v>2167</v>
      </c>
      <c r="B2135" s="2" t="s">
        <v>6443</v>
      </c>
      <c r="C2135" s="2" t="s">
        <v>6444</v>
      </c>
      <c r="D2135" s="2" t="s">
        <v>6445</v>
      </c>
      <c r="E2135" s="2" t="s">
        <v>6446</v>
      </c>
      <c r="F2135" s="2" t="s">
        <v>6447</v>
      </c>
      <c r="G2135" s="2" t="s">
        <v>1017</v>
      </c>
      <c r="H2135" s="17">
        <v>300</v>
      </c>
      <c r="I2135" s="31">
        <f t="shared" si="210"/>
        <v>300000</v>
      </c>
      <c r="J2135" s="31">
        <f t="shared" si="211"/>
        <v>21000.000000000004</v>
      </c>
      <c r="K2135" s="44">
        <f t="shared" si="212"/>
        <v>57.534246575342479</v>
      </c>
      <c r="L2135" s="3">
        <f t="shared" si="213"/>
        <v>4257.5342465753438</v>
      </c>
      <c r="M2135" s="3">
        <f t="shared" si="214"/>
        <v>255.45205479452062</v>
      </c>
      <c r="N2135" s="67">
        <f t="shared" si="215"/>
        <v>4002.082191780823</v>
      </c>
      <c r="O2135" s="3"/>
      <c r="P2135" s="70" t="s">
        <v>18608</v>
      </c>
      <c r="Q2135" s="2" t="s">
        <v>24</v>
      </c>
      <c r="R2135" s="2" t="s">
        <v>6448</v>
      </c>
      <c r="T2135" t="s">
        <v>18666</v>
      </c>
      <c r="U2135" t="s">
        <v>18652</v>
      </c>
      <c r="V2135" s="104">
        <v>45857</v>
      </c>
      <c r="X2135" s="97"/>
      <c r="Y2135" s="75">
        <v>4002.09</v>
      </c>
    </row>
    <row r="2136" spans="1:25" x14ac:dyDescent="0.25">
      <c r="A2136" s="76">
        <v>2168</v>
      </c>
      <c r="B2136" s="2" t="s">
        <v>1256</v>
      </c>
      <c r="C2136" s="2" t="s">
        <v>1257</v>
      </c>
      <c r="D2136" s="2" t="s">
        <v>1258</v>
      </c>
      <c r="E2136" s="2" t="s">
        <v>1259</v>
      </c>
      <c r="F2136" s="2" t="s">
        <v>1260</v>
      </c>
      <c r="G2136" s="2" t="s">
        <v>835</v>
      </c>
      <c r="H2136" s="17">
        <v>100</v>
      </c>
      <c r="I2136" s="31">
        <f t="shared" si="210"/>
        <v>100000</v>
      </c>
      <c r="J2136" s="31">
        <f t="shared" si="211"/>
        <v>7000.0000000000009</v>
      </c>
      <c r="K2136" s="44">
        <f t="shared" si="212"/>
        <v>19.178082191780824</v>
      </c>
      <c r="L2136" s="3">
        <f t="shared" si="213"/>
        <v>1419.178082191781</v>
      </c>
      <c r="M2136" s="3">
        <f t="shared" si="214"/>
        <v>85.150684931506859</v>
      </c>
      <c r="N2136" s="67">
        <f t="shared" si="215"/>
        <v>1334.027397260274</v>
      </c>
      <c r="O2136" s="3"/>
      <c r="P2136" s="70" t="s">
        <v>18608</v>
      </c>
      <c r="Q2136" s="2" t="s">
        <v>24</v>
      </c>
      <c r="R2136" s="2" t="s">
        <v>1261</v>
      </c>
      <c r="T2136" t="s">
        <v>18666</v>
      </c>
      <c r="U2136" t="s">
        <v>18652</v>
      </c>
      <c r="V2136" s="104">
        <v>45857</v>
      </c>
      <c r="X2136" s="97"/>
      <c r="Y2136" s="75">
        <v>1334.03</v>
      </c>
    </row>
    <row r="2137" spans="1:25" x14ac:dyDescent="0.25">
      <c r="A2137" s="76">
        <v>2169</v>
      </c>
      <c r="B2137" s="2" t="s">
        <v>10318</v>
      </c>
      <c r="C2137" s="2" t="s">
        <v>10319</v>
      </c>
      <c r="D2137" s="2" t="s">
        <v>10320</v>
      </c>
      <c r="E2137" s="2" t="s">
        <v>7992</v>
      </c>
      <c r="F2137" s="2" t="s">
        <v>10321</v>
      </c>
      <c r="G2137" s="2" t="s">
        <v>226</v>
      </c>
      <c r="H2137" s="17">
        <v>25</v>
      </c>
      <c r="I2137" s="31">
        <f t="shared" si="210"/>
        <v>25000</v>
      </c>
      <c r="J2137" s="31">
        <f t="shared" si="211"/>
        <v>1750.0000000000002</v>
      </c>
      <c r="K2137" s="44">
        <f t="shared" si="212"/>
        <v>4.794520547945206</v>
      </c>
      <c r="L2137" s="3">
        <f t="shared" si="213"/>
        <v>354.79452054794524</v>
      </c>
      <c r="M2137" s="3">
        <f t="shared" si="214"/>
        <v>21.287671232876715</v>
      </c>
      <c r="N2137" s="67">
        <f t="shared" si="215"/>
        <v>333.50684931506851</v>
      </c>
      <c r="O2137" s="3"/>
      <c r="P2137" s="70" t="s">
        <v>18608</v>
      </c>
      <c r="Q2137" s="2" t="s">
        <v>24</v>
      </c>
      <c r="R2137" s="2" t="s">
        <v>10322</v>
      </c>
      <c r="T2137" t="s">
        <v>18666</v>
      </c>
      <c r="U2137" t="s">
        <v>18652</v>
      </c>
      <c r="V2137" s="104">
        <v>45857</v>
      </c>
      <c r="X2137" s="97"/>
      <c r="Y2137" s="75">
        <v>333.51</v>
      </c>
    </row>
    <row r="2138" spans="1:25" x14ac:dyDescent="0.25">
      <c r="A2138" s="76">
        <v>2170</v>
      </c>
      <c r="B2138" s="2" t="s">
        <v>11535</v>
      </c>
      <c r="C2138" s="2" t="s">
        <v>11536</v>
      </c>
      <c r="D2138" s="2" t="s">
        <v>19</v>
      </c>
      <c r="E2138" s="2" t="s">
        <v>20</v>
      </c>
      <c r="F2138" s="2" t="s">
        <v>11537</v>
      </c>
      <c r="G2138" s="2" t="s">
        <v>23</v>
      </c>
      <c r="H2138" s="17">
        <v>25</v>
      </c>
      <c r="I2138" s="31">
        <f t="shared" si="210"/>
        <v>25000</v>
      </c>
      <c r="J2138" s="31">
        <f t="shared" si="211"/>
        <v>1750.0000000000002</v>
      </c>
      <c r="K2138" s="44">
        <f t="shared" si="212"/>
        <v>4.794520547945206</v>
      </c>
      <c r="L2138" s="3">
        <f t="shared" si="213"/>
        <v>354.79452054794524</v>
      </c>
      <c r="M2138" s="3">
        <f t="shared" si="214"/>
        <v>21.287671232876715</v>
      </c>
      <c r="N2138" s="67">
        <f t="shared" si="215"/>
        <v>333.50684931506851</v>
      </c>
      <c r="O2138" s="3"/>
      <c r="P2138" s="70" t="s">
        <v>18608</v>
      </c>
      <c r="Q2138" s="2" t="s">
        <v>24</v>
      </c>
      <c r="R2138" s="2" t="s">
        <v>11538</v>
      </c>
      <c r="T2138" t="s">
        <v>18666</v>
      </c>
      <c r="U2138" t="s">
        <v>18652</v>
      </c>
      <c r="V2138" s="104">
        <v>45857</v>
      </c>
      <c r="X2138" s="97"/>
      <c r="Y2138" s="75">
        <v>333.51</v>
      </c>
    </row>
    <row r="2139" spans="1:25" x14ac:dyDescent="0.25">
      <c r="A2139" s="76">
        <v>2171</v>
      </c>
      <c r="B2139" s="2" t="s">
        <v>1019</v>
      </c>
      <c r="C2139" s="2" t="s">
        <v>1020</v>
      </c>
      <c r="D2139" s="2" t="s">
        <v>1021</v>
      </c>
      <c r="E2139" s="2" t="s">
        <v>1022</v>
      </c>
      <c r="F2139" s="2" t="s">
        <v>1023</v>
      </c>
      <c r="G2139" s="2" t="s">
        <v>247</v>
      </c>
      <c r="H2139" s="17">
        <v>500</v>
      </c>
      <c r="I2139" s="31">
        <f t="shared" si="210"/>
        <v>500000</v>
      </c>
      <c r="J2139" s="31">
        <f t="shared" si="211"/>
        <v>35000</v>
      </c>
      <c r="K2139" s="44">
        <f t="shared" si="212"/>
        <v>95.890410958904113</v>
      </c>
      <c r="L2139" s="3">
        <f t="shared" si="213"/>
        <v>7095.8904109589039</v>
      </c>
      <c r="M2139" s="3">
        <f t="shared" si="214"/>
        <v>425.7534246575342</v>
      </c>
      <c r="N2139" s="67">
        <f t="shared" si="215"/>
        <v>6670.1369863013697</v>
      </c>
      <c r="O2139" s="3"/>
      <c r="P2139" s="70" t="s">
        <v>18608</v>
      </c>
      <c r="Q2139" s="2" t="s">
        <v>24</v>
      </c>
      <c r="R2139" s="2" t="s">
        <v>1024</v>
      </c>
      <c r="T2139" t="s">
        <v>18666</v>
      </c>
      <c r="U2139" t="s">
        <v>18652</v>
      </c>
      <c r="V2139" s="104">
        <v>45857</v>
      </c>
      <c r="X2139" s="97"/>
      <c r="Y2139" s="75">
        <v>6670.14</v>
      </c>
    </row>
    <row r="2140" spans="1:25" x14ac:dyDescent="0.25">
      <c r="A2140" s="76">
        <v>2172</v>
      </c>
      <c r="B2140" s="2" t="s">
        <v>12317</v>
      </c>
      <c r="C2140" s="2" t="s">
        <v>12318</v>
      </c>
      <c r="D2140" s="2" t="s">
        <v>12319</v>
      </c>
      <c r="E2140" s="2" t="s">
        <v>12320</v>
      </c>
      <c r="F2140" s="2" t="s">
        <v>12321</v>
      </c>
      <c r="G2140" s="2" t="s">
        <v>835</v>
      </c>
      <c r="H2140" s="17">
        <v>25</v>
      </c>
      <c r="I2140" s="31">
        <f t="shared" si="210"/>
        <v>25000</v>
      </c>
      <c r="J2140" s="31">
        <f t="shared" si="211"/>
        <v>1750.0000000000002</v>
      </c>
      <c r="K2140" s="44">
        <f t="shared" si="212"/>
        <v>4.794520547945206</v>
      </c>
      <c r="L2140" s="3">
        <f t="shared" si="213"/>
        <v>354.79452054794524</v>
      </c>
      <c r="M2140" s="3">
        <f t="shared" si="214"/>
        <v>21.287671232876715</v>
      </c>
      <c r="N2140" s="67">
        <f t="shared" si="215"/>
        <v>333.50684931506851</v>
      </c>
      <c r="O2140" s="3"/>
      <c r="P2140" s="70" t="s">
        <v>18608</v>
      </c>
      <c r="Q2140" s="2" t="s">
        <v>24</v>
      </c>
      <c r="R2140" s="2" t="s">
        <v>12322</v>
      </c>
      <c r="T2140" t="s">
        <v>18666</v>
      </c>
      <c r="U2140" t="s">
        <v>18652</v>
      </c>
      <c r="V2140" s="104">
        <v>45857</v>
      </c>
      <c r="X2140" s="97"/>
      <c r="Y2140" s="75">
        <v>333.51</v>
      </c>
    </row>
    <row r="2141" spans="1:25" x14ac:dyDescent="0.25">
      <c r="A2141" s="76">
        <v>2173</v>
      </c>
      <c r="B2141" s="2" t="s">
        <v>7149</v>
      </c>
      <c r="C2141" s="2" t="s">
        <v>7150</v>
      </c>
      <c r="D2141" s="2" t="s">
        <v>7151</v>
      </c>
      <c r="E2141" s="2" t="s">
        <v>7152</v>
      </c>
      <c r="F2141" s="2" t="s">
        <v>7153</v>
      </c>
      <c r="G2141" s="2" t="s">
        <v>39</v>
      </c>
      <c r="H2141" s="17">
        <v>25</v>
      </c>
      <c r="I2141" s="31">
        <f t="shared" si="210"/>
        <v>25000</v>
      </c>
      <c r="J2141" s="31">
        <f t="shared" si="211"/>
        <v>1750.0000000000002</v>
      </c>
      <c r="K2141" s="44">
        <f t="shared" si="212"/>
        <v>4.794520547945206</v>
      </c>
      <c r="L2141" s="3">
        <f t="shared" si="213"/>
        <v>354.79452054794524</v>
      </c>
      <c r="M2141" s="3">
        <f t="shared" si="214"/>
        <v>21.287671232876715</v>
      </c>
      <c r="N2141" s="67">
        <f t="shared" si="215"/>
        <v>333.50684931506851</v>
      </c>
      <c r="O2141" s="3"/>
      <c r="P2141" s="70" t="s">
        <v>18608</v>
      </c>
      <c r="Q2141" s="2" t="s">
        <v>24</v>
      </c>
      <c r="R2141" s="2" t="s">
        <v>7154</v>
      </c>
      <c r="T2141" t="s">
        <v>18666</v>
      </c>
      <c r="U2141" t="s">
        <v>18652</v>
      </c>
      <c r="V2141" s="104">
        <v>45857</v>
      </c>
      <c r="X2141" s="97"/>
      <c r="Y2141" s="75">
        <v>333.51</v>
      </c>
    </row>
    <row r="2142" spans="1:25" x14ac:dyDescent="0.25">
      <c r="A2142" s="76">
        <v>2174</v>
      </c>
      <c r="B2142" s="2" t="s">
        <v>9248</v>
      </c>
      <c r="C2142" s="2" t="s">
        <v>9249</v>
      </c>
      <c r="D2142" s="2" t="s">
        <v>9250</v>
      </c>
      <c r="E2142" s="2" t="s">
        <v>9251</v>
      </c>
      <c r="F2142" s="2" t="s">
        <v>9252</v>
      </c>
      <c r="G2142" s="2" t="s">
        <v>31</v>
      </c>
      <c r="H2142" s="17">
        <v>50</v>
      </c>
      <c r="I2142" s="31">
        <f t="shared" si="210"/>
        <v>50000</v>
      </c>
      <c r="J2142" s="31">
        <f t="shared" si="211"/>
        <v>3500.0000000000005</v>
      </c>
      <c r="K2142" s="44">
        <f t="shared" si="212"/>
        <v>9.589041095890412</v>
      </c>
      <c r="L2142" s="3">
        <f t="shared" si="213"/>
        <v>709.58904109589048</v>
      </c>
      <c r="M2142" s="3">
        <f t="shared" si="214"/>
        <v>42.57534246575343</v>
      </c>
      <c r="N2142" s="67">
        <f t="shared" si="215"/>
        <v>667.01369863013701</v>
      </c>
      <c r="O2142" s="3"/>
      <c r="P2142" s="70" t="s">
        <v>18608</v>
      </c>
      <c r="Q2142" s="2" t="s">
        <v>24</v>
      </c>
      <c r="R2142" s="2" t="s">
        <v>9253</v>
      </c>
      <c r="T2142" t="s">
        <v>18666</v>
      </c>
      <c r="U2142" t="s">
        <v>18652</v>
      </c>
      <c r="V2142" s="104">
        <v>45857</v>
      </c>
      <c r="X2142" s="97"/>
      <c r="Y2142" s="75">
        <v>667.02</v>
      </c>
    </row>
    <row r="2143" spans="1:25" x14ac:dyDescent="0.25">
      <c r="A2143" s="76">
        <v>2175</v>
      </c>
      <c r="B2143" s="2" t="s">
        <v>10586</v>
      </c>
      <c r="C2143" s="2" t="s">
        <v>10587</v>
      </c>
      <c r="D2143" s="2" t="s">
        <v>10588</v>
      </c>
      <c r="E2143" s="2" t="s">
        <v>10589</v>
      </c>
      <c r="F2143" s="2" t="s">
        <v>10590</v>
      </c>
      <c r="G2143" s="2" t="s">
        <v>1055</v>
      </c>
      <c r="H2143" s="17">
        <v>25</v>
      </c>
      <c r="I2143" s="31">
        <f t="shared" si="210"/>
        <v>25000</v>
      </c>
      <c r="J2143" s="31">
        <f t="shared" si="211"/>
        <v>1750.0000000000002</v>
      </c>
      <c r="K2143" s="44">
        <f t="shared" si="212"/>
        <v>4.794520547945206</v>
      </c>
      <c r="L2143" s="3">
        <f t="shared" si="213"/>
        <v>354.79452054794524</v>
      </c>
      <c r="M2143" s="3">
        <f t="shared" si="214"/>
        <v>21.287671232876715</v>
      </c>
      <c r="N2143" s="67">
        <f t="shared" si="215"/>
        <v>333.50684931506851</v>
      </c>
      <c r="O2143" s="3"/>
      <c r="P2143" s="70" t="s">
        <v>18608</v>
      </c>
      <c r="Q2143" s="2" t="s">
        <v>24</v>
      </c>
      <c r="R2143" s="2" t="s">
        <v>10591</v>
      </c>
      <c r="T2143" t="s">
        <v>18666</v>
      </c>
      <c r="U2143" t="s">
        <v>18652</v>
      </c>
      <c r="V2143" s="104">
        <v>45857</v>
      </c>
      <c r="X2143" s="97"/>
      <c r="Y2143" s="75">
        <v>333.51</v>
      </c>
    </row>
    <row r="2144" spans="1:25" x14ac:dyDescent="0.25">
      <c r="A2144" s="76">
        <v>2176</v>
      </c>
      <c r="B2144" s="2" t="s">
        <v>17617</v>
      </c>
      <c r="C2144" s="2" t="s">
        <v>17618</v>
      </c>
      <c r="D2144" s="2" t="s">
        <v>17619</v>
      </c>
      <c r="E2144" s="2" t="s">
        <v>7579</v>
      </c>
      <c r="F2144" s="2" t="s">
        <v>17620</v>
      </c>
      <c r="G2144" s="2" t="s">
        <v>580</v>
      </c>
      <c r="H2144" s="17">
        <v>50</v>
      </c>
      <c r="I2144" s="31">
        <f t="shared" si="210"/>
        <v>50000</v>
      </c>
      <c r="J2144" s="31">
        <f t="shared" si="211"/>
        <v>3500.0000000000005</v>
      </c>
      <c r="K2144" s="44">
        <f t="shared" si="212"/>
        <v>9.589041095890412</v>
      </c>
      <c r="L2144" s="3">
        <f t="shared" si="213"/>
        <v>709.58904109589048</v>
      </c>
      <c r="M2144" s="3">
        <f t="shared" si="214"/>
        <v>42.57534246575343</v>
      </c>
      <c r="N2144" s="67">
        <f t="shared" si="215"/>
        <v>667.01369863013701</v>
      </c>
      <c r="O2144" s="3"/>
      <c r="P2144" s="70" t="s">
        <v>18608</v>
      </c>
      <c r="Q2144" s="2" t="s">
        <v>24</v>
      </c>
      <c r="R2144" s="2" t="s">
        <v>17621</v>
      </c>
      <c r="T2144" t="s">
        <v>18666</v>
      </c>
      <c r="U2144" t="s">
        <v>18652</v>
      </c>
      <c r="V2144" s="104">
        <v>45857</v>
      </c>
      <c r="X2144" s="97"/>
      <c r="Y2144" s="75">
        <v>667.02</v>
      </c>
    </row>
    <row r="2145" spans="1:25" x14ac:dyDescent="0.25">
      <c r="A2145" s="76">
        <v>2177</v>
      </c>
      <c r="B2145" s="2" t="s">
        <v>4646</v>
      </c>
      <c r="C2145" s="2" t="s">
        <v>4647</v>
      </c>
      <c r="D2145" s="2" t="s">
        <v>4648</v>
      </c>
      <c r="E2145" s="2" t="s">
        <v>4649</v>
      </c>
      <c r="F2145" s="2" t="s">
        <v>4650</v>
      </c>
      <c r="G2145" s="2" t="s">
        <v>166</v>
      </c>
      <c r="H2145" s="17">
        <v>25</v>
      </c>
      <c r="I2145" s="31">
        <f t="shared" si="210"/>
        <v>25000</v>
      </c>
      <c r="J2145" s="31">
        <f t="shared" si="211"/>
        <v>1750.0000000000002</v>
      </c>
      <c r="K2145" s="44">
        <f t="shared" si="212"/>
        <v>4.794520547945206</v>
      </c>
      <c r="L2145" s="3">
        <f t="shared" si="213"/>
        <v>354.79452054794524</v>
      </c>
      <c r="M2145" s="3">
        <f t="shared" si="214"/>
        <v>21.287671232876715</v>
      </c>
      <c r="N2145" s="67">
        <f t="shared" si="215"/>
        <v>333.50684931506851</v>
      </c>
      <c r="O2145" s="3"/>
      <c r="P2145" s="70" t="s">
        <v>18608</v>
      </c>
      <c r="Q2145" s="2" t="s">
        <v>24</v>
      </c>
      <c r="R2145" s="2" t="s">
        <v>4651</v>
      </c>
      <c r="T2145" t="s">
        <v>18666</v>
      </c>
      <c r="U2145" t="s">
        <v>18652</v>
      </c>
      <c r="V2145" s="104">
        <v>45857</v>
      </c>
      <c r="X2145" s="97"/>
      <c r="Y2145" s="75">
        <v>333.51</v>
      </c>
    </row>
    <row r="2146" spans="1:25" x14ac:dyDescent="0.25">
      <c r="A2146" s="76">
        <v>2178</v>
      </c>
      <c r="B2146" s="2" t="s">
        <v>17708</v>
      </c>
      <c r="C2146" s="2" t="s">
        <v>12424</v>
      </c>
      <c r="D2146" s="2" t="s">
        <v>17709</v>
      </c>
      <c r="E2146" s="2" t="s">
        <v>17710</v>
      </c>
      <c r="F2146" s="2" t="s">
        <v>17711</v>
      </c>
      <c r="G2146" s="2" t="s">
        <v>186</v>
      </c>
      <c r="H2146" s="17">
        <v>25</v>
      </c>
      <c r="I2146" s="31">
        <f t="shared" si="210"/>
        <v>25000</v>
      </c>
      <c r="J2146" s="31">
        <f t="shared" si="211"/>
        <v>1750.0000000000002</v>
      </c>
      <c r="K2146" s="44">
        <f t="shared" si="212"/>
        <v>4.794520547945206</v>
      </c>
      <c r="L2146" s="3">
        <f t="shared" si="213"/>
        <v>354.79452054794524</v>
      </c>
      <c r="M2146" s="3">
        <f t="shared" si="214"/>
        <v>21.287671232876715</v>
      </c>
      <c r="N2146" s="67">
        <f t="shared" si="215"/>
        <v>333.50684931506851</v>
      </c>
      <c r="O2146" s="3"/>
      <c r="P2146" s="70" t="s">
        <v>18608</v>
      </c>
      <c r="Q2146" s="2" t="s">
        <v>24</v>
      </c>
      <c r="R2146" s="2" t="s">
        <v>17712</v>
      </c>
      <c r="T2146" t="s">
        <v>18666</v>
      </c>
      <c r="U2146" t="s">
        <v>18652</v>
      </c>
      <c r="V2146" s="104">
        <v>45857</v>
      </c>
      <c r="X2146" s="97"/>
      <c r="Y2146" s="75">
        <v>333.51</v>
      </c>
    </row>
    <row r="2147" spans="1:25" x14ac:dyDescent="0.25">
      <c r="A2147" s="76">
        <v>2179</v>
      </c>
      <c r="B2147" s="2" t="s">
        <v>10141</v>
      </c>
      <c r="C2147" s="2" t="s">
        <v>10142</v>
      </c>
      <c r="D2147" s="2" t="s">
        <v>10143</v>
      </c>
      <c r="E2147" s="2" t="s">
        <v>10144</v>
      </c>
      <c r="F2147" s="2" t="s">
        <v>10145</v>
      </c>
      <c r="G2147" s="2" t="s">
        <v>101</v>
      </c>
      <c r="H2147" s="17">
        <v>25</v>
      </c>
      <c r="I2147" s="31">
        <f t="shared" si="210"/>
        <v>25000</v>
      </c>
      <c r="J2147" s="31">
        <f t="shared" si="211"/>
        <v>1750.0000000000002</v>
      </c>
      <c r="K2147" s="44">
        <f t="shared" si="212"/>
        <v>4.794520547945206</v>
      </c>
      <c r="L2147" s="3">
        <f t="shared" si="213"/>
        <v>354.79452054794524</v>
      </c>
      <c r="M2147" s="3">
        <f t="shared" si="214"/>
        <v>21.287671232876715</v>
      </c>
      <c r="N2147" s="67">
        <f t="shared" si="215"/>
        <v>333.50684931506851</v>
      </c>
      <c r="O2147" s="3"/>
      <c r="P2147" s="70" t="s">
        <v>18608</v>
      </c>
      <c r="Q2147" s="2" t="s">
        <v>24</v>
      </c>
      <c r="R2147" s="2" t="s">
        <v>10146</v>
      </c>
      <c r="T2147" t="s">
        <v>18666</v>
      </c>
      <c r="U2147" t="s">
        <v>18652</v>
      </c>
      <c r="V2147" s="104">
        <v>45857</v>
      </c>
      <c r="X2147" s="97"/>
      <c r="Y2147" s="75">
        <v>333.51</v>
      </c>
    </row>
    <row r="2148" spans="1:25" x14ac:dyDescent="0.25">
      <c r="A2148" s="76">
        <v>2180</v>
      </c>
      <c r="B2148" s="2" t="s">
        <v>9786</v>
      </c>
      <c r="C2148" s="2" t="s">
        <v>9787</v>
      </c>
      <c r="D2148" s="2" t="s">
        <v>9788</v>
      </c>
      <c r="E2148" s="2" t="s">
        <v>9789</v>
      </c>
      <c r="F2148" s="2" t="s">
        <v>9790</v>
      </c>
      <c r="G2148" s="2" t="s">
        <v>1315</v>
      </c>
      <c r="H2148" s="17">
        <v>25</v>
      </c>
      <c r="I2148" s="31">
        <f t="shared" si="210"/>
        <v>25000</v>
      </c>
      <c r="J2148" s="31">
        <f t="shared" si="211"/>
        <v>1750.0000000000002</v>
      </c>
      <c r="K2148" s="44">
        <f t="shared" si="212"/>
        <v>4.794520547945206</v>
      </c>
      <c r="L2148" s="3">
        <f t="shared" si="213"/>
        <v>354.79452054794524</v>
      </c>
      <c r="M2148" s="3">
        <f t="shared" si="214"/>
        <v>21.287671232876715</v>
      </c>
      <c r="N2148" s="67">
        <f t="shared" si="215"/>
        <v>333.50684931506851</v>
      </c>
      <c r="O2148" s="3"/>
      <c r="P2148" s="70" t="s">
        <v>18608</v>
      </c>
      <c r="Q2148" s="2" t="s">
        <v>24</v>
      </c>
      <c r="R2148" s="2" t="s">
        <v>9791</v>
      </c>
      <c r="T2148" t="s">
        <v>18666</v>
      </c>
      <c r="U2148" t="s">
        <v>18652</v>
      </c>
      <c r="V2148" s="104">
        <v>45857</v>
      </c>
      <c r="X2148" s="97"/>
      <c r="Y2148" s="75">
        <v>333.51</v>
      </c>
    </row>
    <row r="2149" spans="1:25" x14ac:dyDescent="0.25">
      <c r="A2149" s="76">
        <v>2181</v>
      </c>
      <c r="B2149" s="2" t="s">
        <v>6620</v>
      </c>
      <c r="C2149" s="2" t="s">
        <v>6621</v>
      </c>
      <c r="D2149" s="2" t="s">
        <v>6622</v>
      </c>
      <c r="E2149" s="2" t="s">
        <v>6623</v>
      </c>
      <c r="F2149" s="2" t="s">
        <v>6624</v>
      </c>
      <c r="G2149" s="2" t="s">
        <v>1017</v>
      </c>
      <c r="H2149" s="17">
        <v>100</v>
      </c>
      <c r="I2149" s="31">
        <f t="shared" si="210"/>
        <v>100000</v>
      </c>
      <c r="J2149" s="31">
        <f t="shared" si="211"/>
        <v>7000.0000000000009</v>
      </c>
      <c r="K2149" s="44">
        <f t="shared" si="212"/>
        <v>19.178082191780824</v>
      </c>
      <c r="L2149" s="3">
        <f t="shared" si="213"/>
        <v>1419.178082191781</v>
      </c>
      <c r="M2149" s="3">
        <f t="shared" si="214"/>
        <v>85.150684931506859</v>
      </c>
      <c r="N2149" s="67">
        <f t="shared" si="215"/>
        <v>1334.027397260274</v>
      </c>
      <c r="O2149" s="3"/>
      <c r="P2149" s="70" t="s">
        <v>18608</v>
      </c>
      <c r="Q2149" s="2" t="s">
        <v>24</v>
      </c>
      <c r="R2149" s="2" t="s">
        <v>6625</v>
      </c>
      <c r="T2149" t="s">
        <v>18666</v>
      </c>
      <c r="U2149" t="s">
        <v>18652</v>
      </c>
      <c r="V2149" s="104">
        <v>45857</v>
      </c>
      <c r="X2149" s="97"/>
      <c r="Y2149" s="75">
        <v>1334.03</v>
      </c>
    </row>
    <row r="2150" spans="1:25" x14ac:dyDescent="0.25">
      <c r="A2150" s="76">
        <v>2182</v>
      </c>
      <c r="B2150" s="2" t="s">
        <v>4127</v>
      </c>
      <c r="C2150" s="2" t="s">
        <v>4128</v>
      </c>
      <c r="D2150" s="2" t="s">
        <v>4129</v>
      </c>
      <c r="E2150" s="2" t="s">
        <v>4130</v>
      </c>
      <c r="F2150" s="2" t="s">
        <v>4131</v>
      </c>
      <c r="G2150" s="2" t="s">
        <v>39</v>
      </c>
      <c r="H2150" s="17">
        <v>25</v>
      </c>
      <c r="I2150" s="31">
        <f t="shared" si="210"/>
        <v>25000</v>
      </c>
      <c r="J2150" s="31">
        <f t="shared" si="211"/>
        <v>1750.0000000000002</v>
      </c>
      <c r="K2150" s="44">
        <f t="shared" si="212"/>
        <v>4.794520547945206</v>
      </c>
      <c r="L2150" s="3">
        <f t="shared" si="213"/>
        <v>354.79452054794524</v>
      </c>
      <c r="M2150" s="3">
        <f t="shared" si="214"/>
        <v>21.287671232876715</v>
      </c>
      <c r="N2150" s="67">
        <f t="shared" si="215"/>
        <v>333.50684931506851</v>
      </c>
      <c r="O2150" s="3"/>
      <c r="P2150" s="70" t="s">
        <v>18608</v>
      </c>
      <c r="Q2150" s="2" t="s">
        <v>24</v>
      </c>
      <c r="R2150" s="2" t="s">
        <v>4132</v>
      </c>
      <c r="T2150" t="s">
        <v>18666</v>
      </c>
      <c r="U2150" t="s">
        <v>18652</v>
      </c>
      <c r="V2150" s="104">
        <v>45857</v>
      </c>
      <c r="X2150" s="97"/>
      <c r="Y2150" s="75">
        <v>333.51</v>
      </c>
    </row>
    <row r="2151" spans="1:25" x14ac:dyDescent="0.25">
      <c r="A2151" s="76">
        <v>2183</v>
      </c>
      <c r="B2151" s="2" t="s">
        <v>10347</v>
      </c>
      <c r="C2151" s="2" t="s">
        <v>10348</v>
      </c>
      <c r="D2151" s="2" t="s">
        <v>10349</v>
      </c>
      <c r="E2151" s="2" t="s">
        <v>10350</v>
      </c>
      <c r="F2151" s="2" t="s">
        <v>10351</v>
      </c>
      <c r="G2151" s="2" t="s">
        <v>31</v>
      </c>
      <c r="H2151" s="17">
        <v>50</v>
      </c>
      <c r="I2151" s="31">
        <f t="shared" si="210"/>
        <v>50000</v>
      </c>
      <c r="J2151" s="31">
        <f t="shared" si="211"/>
        <v>3500.0000000000005</v>
      </c>
      <c r="K2151" s="44">
        <f t="shared" si="212"/>
        <v>9.589041095890412</v>
      </c>
      <c r="L2151" s="3">
        <f t="shared" si="213"/>
        <v>709.58904109589048</v>
      </c>
      <c r="M2151" s="3">
        <f t="shared" si="214"/>
        <v>42.57534246575343</v>
      </c>
      <c r="N2151" s="67">
        <f t="shared" si="215"/>
        <v>667.01369863013701</v>
      </c>
      <c r="O2151" s="3"/>
      <c r="P2151" s="70" t="s">
        <v>18608</v>
      </c>
      <c r="Q2151" s="2" t="s">
        <v>24</v>
      </c>
      <c r="R2151" s="2" t="s">
        <v>10352</v>
      </c>
      <c r="T2151" t="s">
        <v>18666</v>
      </c>
      <c r="U2151" t="s">
        <v>18652</v>
      </c>
      <c r="V2151" s="104">
        <v>45857</v>
      </c>
      <c r="X2151" s="97"/>
      <c r="Y2151" s="75">
        <v>667.02</v>
      </c>
    </row>
    <row r="2152" spans="1:25" x14ac:dyDescent="0.25">
      <c r="A2152" s="76">
        <v>2184</v>
      </c>
      <c r="B2152" s="2" t="s">
        <v>14053</v>
      </c>
      <c r="C2152" s="2" t="s">
        <v>14054</v>
      </c>
      <c r="D2152" s="2" t="s">
        <v>14055</v>
      </c>
      <c r="E2152" s="2" t="s">
        <v>14056</v>
      </c>
      <c r="F2152" s="2" t="s">
        <v>14057</v>
      </c>
      <c r="G2152" s="2" t="s">
        <v>1055</v>
      </c>
      <c r="H2152" s="17">
        <v>25</v>
      </c>
      <c r="I2152" s="31">
        <f t="shared" si="210"/>
        <v>25000</v>
      </c>
      <c r="J2152" s="31">
        <f t="shared" si="211"/>
        <v>1750.0000000000002</v>
      </c>
      <c r="K2152" s="44">
        <f t="shared" si="212"/>
        <v>4.794520547945206</v>
      </c>
      <c r="L2152" s="3">
        <f t="shared" si="213"/>
        <v>354.79452054794524</v>
      </c>
      <c r="M2152" s="3">
        <f t="shared" si="214"/>
        <v>21.287671232876715</v>
      </c>
      <c r="N2152" s="67">
        <f t="shared" si="215"/>
        <v>333.50684931506851</v>
      </c>
      <c r="O2152" s="3"/>
      <c r="P2152" s="70" t="s">
        <v>18608</v>
      </c>
      <c r="Q2152" s="2" t="s">
        <v>24</v>
      </c>
      <c r="R2152" s="2" t="s">
        <v>14058</v>
      </c>
      <c r="T2152" t="s">
        <v>18666</v>
      </c>
      <c r="U2152" t="s">
        <v>18652</v>
      </c>
      <c r="V2152" s="104">
        <v>45857</v>
      </c>
      <c r="X2152" s="97"/>
      <c r="Y2152" s="75">
        <v>333.51</v>
      </c>
    </row>
    <row r="2153" spans="1:25" x14ac:dyDescent="0.25">
      <c r="A2153" s="76">
        <v>2185</v>
      </c>
      <c r="B2153" s="2" t="s">
        <v>1292</v>
      </c>
      <c r="C2153" s="2" t="s">
        <v>1293</v>
      </c>
      <c r="D2153" s="2" t="s">
        <v>1294</v>
      </c>
      <c r="E2153" s="2" t="s">
        <v>1295</v>
      </c>
      <c r="F2153" s="2" t="s">
        <v>1296</v>
      </c>
      <c r="G2153" s="2" t="s">
        <v>835</v>
      </c>
      <c r="H2153" s="17">
        <v>25</v>
      </c>
      <c r="I2153" s="31">
        <f t="shared" si="210"/>
        <v>25000</v>
      </c>
      <c r="J2153" s="31">
        <f t="shared" si="211"/>
        <v>1750.0000000000002</v>
      </c>
      <c r="K2153" s="44">
        <f t="shared" si="212"/>
        <v>4.794520547945206</v>
      </c>
      <c r="L2153" s="3">
        <f t="shared" si="213"/>
        <v>354.79452054794524</v>
      </c>
      <c r="M2153" s="3">
        <f t="shared" si="214"/>
        <v>21.287671232876715</v>
      </c>
      <c r="N2153" s="67">
        <f t="shared" si="215"/>
        <v>333.50684931506851</v>
      </c>
      <c r="O2153" s="3"/>
      <c r="P2153" s="70" t="s">
        <v>18608</v>
      </c>
      <c r="Q2153" s="2" t="s">
        <v>24</v>
      </c>
      <c r="R2153" s="2" t="s">
        <v>1297</v>
      </c>
      <c r="T2153" t="s">
        <v>18666</v>
      </c>
      <c r="U2153" t="s">
        <v>18652</v>
      </c>
      <c r="V2153" s="104">
        <v>45857</v>
      </c>
      <c r="X2153" s="97"/>
      <c r="Y2153" s="75">
        <v>333.51</v>
      </c>
    </row>
    <row r="2154" spans="1:25" x14ac:dyDescent="0.25">
      <c r="A2154" s="76">
        <v>2186</v>
      </c>
      <c r="B2154" s="2" t="s">
        <v>3596</v>
      </c>
      <c r="C2154" s="2" t="s">
        <v>3597</v>
      </c>
      <c r="D2154" s="2" t="s">
        <v>3598</v>
      </c>
      <c r="E2154" s="2" t="s">
        <v>3599</v>
      </c>
      <c r="F2154" s="2" t="s">
        <v>3600</v>
      </c>
      <c r="G2154" s="2" t="s">
        <v>31</v>
      </c>
      <c r="H2154" s="17">
        <v>25</v>
      </c>
      <c r="I2154" s="31">
        <f t="shared" si="210"/>
        <v>25000</v>
      </c>
      <c r="J2154" s="31">
        <f t="shared" si="211"/>
        <v>1750.0000000000002</v>
      </c>
      <c r="K2154" s="44">
        <f t="shared" si="212"/>
        <v>4.794520547945206</v>
      </c>
      <c r="L2154" s="3">
        <f t="shared" si="213"/>
        <v>354.79452054794524</v>
      </c>
      <c r="M2154" s="3">
        <f t="shared" si="214"/>
        <v>21.287671232876715</v>
      </c>
      <c r="N2154" s="67">
        <f t="shared" si="215"/>
        <v>333.50684931506851</v>
      </c>
      <c r="O2154" s="3"/>
      <c r="P2154" s="70" t="s">
        <v>18608</v>
      </c>
      <c r="Q2154" s="2" t="s">
        <v>24</v>
      </c>
      <c r="R2154" s="2" t="s">
        <v>3601</v>
      </c>
      <c r="T2154" t="s">
        <v>18666</v>
      </c>
      <c r="U2154" t="s">
        <v>18652</v>
      </c>
      <c r="V2154" s="104">
        <v>45857</v>
      </c>
      <c r="X2154" s="97"/>
      <c r="Y2154" s="75">
        <v>333.51</v>
      </c>
    </row>
    <row r="2155" spans="1:25" x14ac:dyDescent="0.25">
      <c r="A2155" s="76">
        <v>2187</v>
      </c>
      <c r="B2155" s="2" t="s">
        <v>5611</v>
      </c>
      <c r="C2155" s="2" t="s">
        <v>5589</v>
      </c>
      <c r="D2155" s="2" t="s">
        <v>5590</v>
      </c>
      <c r="E2155" s="2" t="s">
        <v>5612</v>
      </c>
      <c r="F2155" s="2" t="s">
        <v>5613</v>
      </c>
      <c r="G2155" s="2" t="s">
        <v>381</v>
      </c>
      <c r="H2155" s="17">
        <v>25</v>
      </c>
      <c r="I2155" s="31">
        <f t="shared" si="210"/>
        <v>25000</v>
      </c>
      <c r="J2155" s="31">
        <f t="shared" si="211"/>
        <v>1750.0000000000002</v>
      </c>
      <c r="K2155" s="44">
        <f t="shared" si="212"/>
        <v>4.794520547945206</v>
      </c>
      <c r="L2155" s="3">
        <f t="shared" si="213"/>
        <v>354.79452054794524</v>
      </c>
      <c r="M2155" s="3">
        <f t="shared" si="214"/>
        <v>21.287671232876715</v>
      </c>
      <c r="N2155" s="67">
        <f t="shared" si="215"/>
        <v>333.50684931506851</v>
      </c>
      <c r="O2155" s="3"/>
      <c r="P2155" s="70" t="s">
        <v>18608</v>
      </c>
      <c r="Q2155" s="2" t="s">
        <v>24</v>
      </c>
      <c r="R2155" s="2" t="s">
        <v>5614</v>
      </c>
      <c r="T2155" t="s">
        <v>18666</v>
      </c>
      <c r="U2155" t="s">
        <v>18652</v>
      </c>
      <c r="V2155" s="104">
        <v>45857</v>
      </c>
      <c r="X2155" s="97"/>
      <c r="Y2155" s="75">
        <v>333.51</v>
      </c>
    </row>
    <row r="2156" spans="1:25" x14ac:dyDescent="0.25">
      <c r="A2156" s="76">
        <v>2188</v>
      </c>
      <c r="B2156" s="2" t="s">
        <v>2470</v>
      </c>
      <c r="C2156" s="2" t="s">
        <v>2471</v>
      </c>
      <c r="D2156" s="2" t="s">
        <v>2472</v>
      </c>
      <c r="E2156" s="2" t="s">
        <v>2473</v>
      </c>
      <c r="F2156" s="2" t="s">
        <v>2474</v>
      </c>
      <c r="G2156" s="2" t="s">
        <v>1055</v>
      </c>
      <c r="H2156" s="17">
        <v>25</v>
      </c>
      <c r="I2156" s="31">
        <f t="shared" si="210"/>
        <v>25000</v>
      </c>
      <c r="J2156" s="31">
        <f t="shared" si="211"/>
        <v>1750.0000000000002</v>
      </c>
      <c r="K2156" s="44">
        <f t="shared" si="212"/>
        <v>4.794520547945206</v>
      </c>
      <c r="L2156" s="3">
        <f t="shared" si="213"/>
        <v>354.79452054794524</v>
      </c>
      <c r="M2156" s="3">
        <f t="shared" si="214"/>
        <v>21.287671232876715</v>
      </c>
      <c r="N2156" s="67">
        <f t="shared" si="215"/>
        <v>333.50684931506851</v>
      </c>
      <c r="O2156" s="3"/>
      <c r="P2156" s="70" t="s">
        <v>18608</v>
      </c>
      <c r="Q2156" s="2" t="s">
        <v>24</v>
      </c>
      <c r="R2156" s="2" t="s">
        <v>2475</v>
      </c>
      <c r="T2156" t="s">
        <v>18666</v>
      </c>
      <c r="U2156" t="s">
        <v>18652</v>
      </c>
      <c r="V2156" s="104">
        <v>45857</v>
      </c>
      <c r="X2156" s="97"/>
      <c r="Y2156" s="75">
        <v>333.51</v>
      </c>
    </row>
    <row r="2157" spans="1:25" x14ac:dyDescent="0.25">
      <c r="A2157" s="76">
        <v>2189</v>
      </c>
      <c r="B2157" s="2" t="s">
        <v>15819</v>
      </c>
      <c r="C2157" s="2" t="s">
        <v>15820</v>
      </c>
      <c r="D2157" s="2" t="s">
        <v>15821</v>
      </c>
      <c r="E2157" s="2" t="s">
        <v>15822</v>
      </c>
      <c r="F2157" s="2" t="s">
        <v>15823</v>
      </c>
      <c r="G2157" s="2" t="s">
        <v>2380</v>
      </c>
      <c r="H2157" s="17">
        <v>25</v>
      </c>
      <c r="I2157" s="31">
        <f t="shared" si="210"/>
        <v>25000</v>
      </c>
      <c r="J2157" s="31">
        <f t="shared" si="211"/>
        <v>1750.0000000000002</v>
      </c>
      <c r="K2157" s="44">
        <f t="shared" si="212"/>
        <v>4.794520547945206</v>
      </c>
      <c r="L2157" s="3">
        <f t="shared" si="213"/>
        <v>354.79452054794524</v>
      </c>
      <c r="M2157" s="3">
        <f t="shared" si="214"/>
        <v>21.287671232876715</v>
      </c>
      <c r="N2157" s="67">
        <f t="shared" si="215"/>
        <v>333.50684931506851</v>
      </c>
      <c r="O2157" s="3"/>
      <c r="P2157" s="70" t="s">
        <v>18608</v>
      </c>
      <c r="Q2157" s="2" t="s">
        <v>24</v>
      </c>
      <c r="R2157" s="2" t="s">
        <v>15824</v>
      </c>
      <c r="T2157" t="s">
        <v>18666</v>
      </c>
      <c r="U2157" t="s">
        <v>18652</v>
      </c>
      <c r="V2157" s="104">
        <v>45857</v>
      </c>
      <c r="X2157" s="97"/>
      <c r="Y2157" s="75">
        <v>333.51</v>
      </c>
    </row>
    <row r="2158" spans="1:25" x14ac:dyDescent="0.25">
      <c r="A2158" s="76">
        <v>2190</v>
      </c>
      <c r="B2158" s="2" t="s">
        <v>6972</v>
      </c>
      <c r="C2158" s="2" t="s">
        <v>6973</v>
      </c>
      <c r="D2158" s="2" t="s">
        <v>6974</v>
      </c>
      <c r="E2158" s="2" t="s">
        <v>6975</v>
      </c>
      <c r="F2158" s="2" t="s">
        <v>6976</v>
      </c>
      <c r="G2158" s="2" t="s">
        <v>23</v>
      </c>
      <c r="H2158" s="17">
        <v>25</v>
      </c>
      <c r="I2158" s="31">
        <f t="shared" si="210"/>
        <v>25000</v>
      </c>
      <c r="J2158" s="31">
        <f t="shared" si="211"/>
        <v>1750.0000000000002</v>
      </c>
      <c r="K2158" s="44">
        <f t="shared" si="212"/>
        <v>4.794520547945206</v>
      </c>
      <c r="L2158" s="3">
        <f t="shared" si="213"/>
        <v>354.79452054794524</v>
      </c>
      <c r="M2158" s="3">
        <f t="shared" si="214"/>
        <v>21.287671232876715</v>
      </c>
      <c r="N2158" s="67">
        <f t="shared" si="215"/>
        <v>333.50684931506851</v>
      </c>
      <c r="O2158" s="3"/>
      <c r="P2158" s="70" t="s">
        <v>18608</v>
      </c>
      <c r="Q2158" s="2" t="s">
        <v>24</v>
      </c>
      <c r="R2158" s="2" t="s">
        <v>6977</v>
      </c>
      <c r="T2158" t="s">
        <v>18666</v>
      </c>
      <c r="U2158" t="s">
        <v>18652</v>
      </c>
      <c r="V2158" s="104">
        <v>45857</v>
      </c>
      <c r="X2158" s="97"/>
      <c r="Y2158" s="75">
        <v>333.51</v>
      </c>
    </row>
    <row r="2159" spans="1:25" x14ac:dyDescent="0.25">
      <c r="A2159" s="76">
        <v>2191</v>
      </c>
      <c r="B2159" s="2" t="s">
        <v>12490</v>
      </c>
      <c r="C2159" s="2" t="s">
        <v>12491</v>
      </c>
      <c r="D2159" s="2" t="s">
        <v>12492</v>
      </c>
      <c r="E2159" s="2" t="s">
        <v>12493</v>
      </c>
      <c r="F2159" s="2" t="s">
        <v>12494</v>
      </c>
      <c r="G2159" s="2" t="s">
        <v>643</v>
      </c>
      <c r="H2159" s="17">
        <v>25</v>
      </c>
      <c r="I2159" s="31">
        <f t="shared" si="210"/>
        <v>25000</v>
      </c>
      <c r="J2159" s="31">
        <f t="shared" si="211"/>
        <v>1750.0000000000002</v>
      </c>
      <c r="K2159" s="44">
        <f t="shared" si="212"/>
        <v>4.794520547945206</v>
      </c>
      <c r="L2159" s="3">
        <f t="shared" si="213"/>
        <v>354.79452054794524</v>
      </c>
      <c r="M2159" s="3">
        <f t="shared" si="214"/>
        <v>21.287671232876715</v>
      </c>
      <c r="N2159" s="67">
        <f t="shared" si="215"/>
        <v>333.50684931506851</v>
      </c>
      <c r="O2159" s="3"/>
      <c r="P2159" s="70" t="s">
        <v>18608</v>
      </c>
      <c r="Q2159" s="2" t="s">
        <v>24</v>
      </c>
      <c r="R2159" s="2" t="s">
        <v>12495</v>
      </c>
      <c r="T2159" t="s">
        <v>18666</v>
      </c>
      <c r="U2159" t="s">
        <v>18652</v>
      </c>
      <c r="V2159" s="104">
        <v>45857</v>
      </c>
      <c r="X2159" s="97"/>
      <c r="Y2159" s="75">
        <v>333.51</v>
      </c>
    </row>
    <row r="2160" spans="1:25" x14ac:dyDescent="0.25">
      <c r="A2160" s="76">
        <v>2192</v>
      </c>
      <c r="B2160" s="2" t="s">
        <v>16395</v>
      </c>
      <c r="C2160" s="2" t="s">
        <v>16396</v>
      </c>
      <c r="D2160" s="2" t="s">
        <v>16397</v>
      </c>
      <c r="E2160" s="2" t="s">
        <v>16398</v>
      </c>
      <c r="F2160" s="2" t="s">
        <v>16399</v>
      </c>
      <c r="G2160" s="2" t="s">
        <v>275</v>
      </c>
      <c r="H2160" s="17">
        <v>25</v>
      </c>
      <c r="I2160" s="31">
        <f t="shared" si="210"/>
        <v>25000</v>
      </c>
      <c r="J2160" s="31">
        <f t="shared" si="211"/>
        <v>1750.0000000000002</v>
      </c>
      <c r="K2160" s="44">
        <f t="shared" si="212"/>
        <v>4.794520547945206</v>
      </c>
      <c r="L2160" s="3">
        <f t="shared" si="213"/>
        <v>354.79452054794524</v>
      </c>
      <c r="M2160" s="3">
        <f t="shared" si="214"/>
        <v>21.287671232876715</v>
      </c>
      <c r="N2160" s="67">
        <f t="shared" si="215"/>
        <v>333.50684931506851</v>
      </c>
      <c r="O2160" s="3"/>
      <c r="P2160" s="70" t="s">
        <v>18608</v>
      </c>
      <c r="Q2160" s="2" t="s">
        <v>24</v>
      </c>
      <c r="R2160" s="2" t="s">
        <v>16400</v>
      </c>
      <c r="T2160" t="s">
        <v>18666</v>
      </c>
      <c r="U2160" t="s">
        <v>18652</v>
      </c>
      <c r="V2160" s="104">
        <v>45857</v>
      </c>
      <c r="X2160" s="97"/>
      <c r="Y2160" s="75">
        <v>333.51</v>
      </c>
    </row>
    <row r="2161" spans="1:25" x14ac:dyDescent="0.25">
      <c r="A2161" s="76">
        <v>2193</v>
      </c>
      <c r="B2161" s="2" t="s">
        <v>7108</v>
      </c>
      <c r="C2161" s="2" t="s">
        <v>7109</v>
      </c>
      <c r="D2161" s="2" t="s">
        <v>7110</v>
      </c>
      <c r="E2161" s="2" t="s">
        <v>7111</v>
      </c>
      <c r="F2161" s="2" t="s">
        <v>7112</v>
      </c>
      <c r="G2161" s="2" t="s">
        <v>31</v>
      </c>
      <c r="H2161" s="17">
        <v>30</v>
      </c>
      <c r="I2161" s="31">
        <f t="shared" si="210"/>
        <v>30000</v>
      </c>
      <c r="J2161" s="31">
        <f t="shared" si="211"/>
        <v>2100</v>
      </c>
      <c r="K2161" s="44">
        <f t="shared" si="212"/>
        <v>5.7534246575342465</v>
      </c>
      <c r="L2161" s="3">
        <f t="shared" si="213"/>
        <v>425.75342465753425</v>
      </c>
      <c r="M2161" s="3">
        <f t="shared" si="214"/>
        <v>25.545205479452054</v>
      </c>
      <c r="N2161" s="67">
        <f t="shared" si="215"/>
        <v>400.20821917808217</v>
      </c>
      <c r="O2161" s="3"/>
      <c r="P2161" s="70" t="s">
        <v>18608</v>
      </c>
      <c r="Q2161" s="2" t="s">
        <v>24</v>
      </c>
      <c r="R2161" s="2" t="s">
        <v>7113</v>
      </c>
      <c r="T2161" t="s">
        <v>18666</v>
      </c>
      <c r="U2161" t="s">
        <v>18652</v>
      </c>
      <c r="V2161" s="104">
        <v>45857</v>
      </c>
      <c r="X2161" s="97"/>
      <c r="Y2161" s="75">
        <v>400.21</v>
      </c>
    </row>
    <row r="2162" spans="1:25" x14ac:dyDescent="0.25">
      <c r="A2162" s="76">
        <v>2194</v>
      </c>
      <c r="B2162" s="2" t="s">
        <v>10225</v>
      </c>
      <c r="C2162" s="2" t="s">
        <v>10226</v>
      </c>
      <c r="D2162" s="2" t="s">
        <v>10227</v>
      </c>
      <c r="E2162" s="2" t="s">
        <v>10228</v>
      </c>
      <c r="F2162" s="2" t="s">
        <v>10229</v>
      </c>
      <c r="G2162" s="2" t="s">
        <v>580</v>
      </c>
      <c r="H2162" s="17">
        <v>25</v>
      </c>
      <c r="I2162" s="31">
        <f t="shared" si="210"/>
        <v>25000</v>
      </c>
      <c r="J2162" s="31">
        <f t="shared" si="211"/>
        <v>1750.0000000000002</v>
      </c>
      <c r="K2162" s="44">
        <f t="shared" si="212"/>
        <v>4.794520547945206</v>
      </c>
      <c r="L2162" s="3">
        <f t="shared" si="213"/>
        <v>354.79452054794524</v>
      </c>
      <c r="M2162" s="3">
        <f t="shared" si="214"/>
        <v>21.287671232876715</v>
      </c>
      <c r="N2162" s="67">
        <f t="shared" si="215"/>
        <v>333.50684931506851</v>
      </c>
      <c r="O2162" s="3"/>
      <c r="P2162" s="70" t="s">
        <v>18608</v>
      </c>
      <c r="Q2162" s="2" t="s">
        <v>24</v>
      </c>
      <c r="R2162" s="2" t="s">
        <v>10230</v>
      </c>
      <c r="T2162" t="s">
        <v>18666</v>
      </c>
      <c r="U2162" t="s">
        <v>18652</v>
      </c>
      <c r="V2162" s="104">
        <v>45857</v>
      </c>
      <c r="X2162" s="97"/>
      <c r="Y2162" s="75">
        <v>333.51</v>
      </c>
    </row>
    <row r="2163" spans="1:25" x14ac:dyDescent="0.25">
      <c r="A2163" s="76">
        <v>2195</v>
      </c>
      <c r="B2163" s="2" t="s">
        <v>8456</v>
      </c>
      <c r="C2163" s="2" t="s">
        <v>8457</v>
      </c>
      <c r="D2163" s="2" t="s">
        <v>8458</v>
      </c>
      <c r="E2163" s="2" t="s">
        <v>8459</v>
      </c>
      <c r="F2163" s="2" t="s">
        <v>8460</v>
      </c>
      <c r="G2163" s="2" t="s">
        <v>1315</v>
      </c>
      <c r="H2163" s="17">
        <v>50</v>
      </c>
      <c r="I2163" s="31">
        <f t="shared" si="210"/>
        <v>50000</v>
      </c>
      <c r="J2163" s="31">
        <f t="shared" si="211"/>
        <v>3500.0000000000005</v>
      </c>
      <c r="K2163" s="44">
        <f t="shared" si="212"/>
        <v>9.589041095890412</v>
      </c>
      <c r="L2163" s="3">
        <f t="shared" si="213"/>
        <v>709.58904109589048</v>
      </c>
      <c r="M2163" s="3">
        <f t="shared" si="214"/>
        <v>42.57534246575343</v>
      </c>
      <c r="N2163" s="67">
        <f t="shared" si="215"/>
        <v>667.01369863013701</v>
      </c>
      <c r="O2163" s="3"/>
      <c r="P2163" s="70" t="s">
        <v>18608</v>
      </c>
      <c r="Q2163" s="2" t="s">
        <v>24</v>
      </c>
      <c r="R2163" s="2" t="s">
        <v>8461</v>
      </c>
      <c r="T2163" t="s">
        <v>18666</v>
      </c>
      <c r="U2163" t="s">
        <v>18652</v>
      </c>
      <c r="V2163" s="104">
        <v>45857</v>
      </c>
      <c r="X2163" s="97"/>
      <c r="Y2163" s="75">
        <v>667.02</v>
      </c>
    </row>
    <row r="2164" spans="1:25" x14ac:dyDescent="0.25">
      <c r="A2164" s="76">
        <v>2196</v>
      </c>
      <c r="B2164" s="2" t="s">
        <v>17008</v>
      </c>
      <c r="C2164" s="2" t="s">
        <v>11042</v>
      </c>
      <c r="D2164" s="2" t="s">
        <v>17009</v>
      </c>
      <c r="E2164" s="2" t="s">
        <v>17010</v>
      </c>
      <c r="F2164" s="2" t="s">
        <v>17011</v>
      </c>
      <c r="G2164" s="2" t="s">
        <v>524</v>
      </c>
      <c r="H2164" s="17">
        <v>25</v>
      </c>
      <c r="I2164" s="31">
        <f t="shared" si="210"/>
        <v>25000</v>
      </c>
      <c r="J2164" s="31">
        <f t="shared" si="211"/>
        <v>1750.0000000000002</v>
      </c>
      <c r="K2164" s="44">
        <f t="shared" si="212"/>
        <v>4.794520547945206</v>
      </c>
      <c r="L2164" s="3">
        <f t="shared" si="213"/>
        <v>354.79452054794524</v>
      </c>
      <c r="M2164" s="3">
        <f t="shared" si="214"/>
        <v>21.287671232876715</v>
      </c>
      <c r="N2164" s="67">
        <f t="shared" si="215"/>
        <v>333.50684931506851</v>
      </c>
      <c r="O2164" s="3"/>
      <c r="P2164" s="70" t="s">
        <v>18608</v>
      </c>
      <c r="Q2164" s="2" t="s">
        <v>24</v>
      </c>
      <c r="R2164" s="2" t="s">
        <v>17012</v>
      </c>
      <c r="T2164" t="s">
        <v>18666</v>
      </c>
      <c r="U2164" t="s">
        <v>18652</v>
      </c>
      <c r="V2164" s="104">
        <v>45857</v>
      </c>
      <c r="X2164" s="97"/>
      <c r="Y2164" s="75">
        <v>333.51</v>
      </c>
    </row>
    <row r="2165" spans="1:25" x14ac:dyDescent="0.25">
      <c r="A2165" s="76">
        <v>2197</v>
      </c>
      <c r="B2165" s="2" t="s">
        <v>2798</v>
      </c>
      <c r="C2165" s="2" t="s">
        <v>2799</v>
      </c>
      <c r="D2165" s="2" t="s">
        <v>2800</v>
      </c>
      <c r="E2165" s="2" t="s">
        <v>2801</v>
      </c>
      <c r="F2165" s="2" t="s">
        <v>2802</v>
      </c>
      <c r="G2165" s="2" t="s">
        <v>151</v>
      </c>
      <c r="H2165" s="17">
        <v>25</v>
      </c>
      <c r="I2165" s="31">
        <f t="shared" si="210"/>
        <v>25000</v>
      </c>
      <c r="J2165" s="31">
        <f t="shared" si="211"/>
        <v>1750.0000000000002</v>
      </c>
      <c r="K2165" s="44">
        <f t="shared" si="212"/>
        <v>4.794520547945206</v>
      </c>
      <c r="L2165" s="3">
        <f t="shared" si="213"/>
        <v>354.79452054794524</v>
      </c>
      <c r="M2165" s="3">
        <f t="shared" si="214"/>
        <v>21.287671232876715</v>
      </c>
      <c r="N2165" s="67">
        <f t="shared" si="215"/>
        <v>333.50684931506851</v>
      </c>
      <c r="O2165" s="3"/>
      <c r="P2165" s="70" t="s">
        <v>18608</v>
      </c>
      <c r="Q2165" s="2" t="s">
        <v>24</v>
      </c>
      <c r="R2165" s="2" t="s">
        <v>2803</v>
      </c>
      <c r="T2165" t="s">
        <v>18666</v>
      </c>
      <c r="U2165" t="s">
        <v>18652</v>
      </c>
      <c r="V2165" s="104">
        <v>45857</v>
      </c>
      <c r="X2165" s="97"/>
      <c r="Y2165" s="75">
        <v>333.51</v>
      </c>
    </row>
    <row r="2166" spans="1:25" x14ac:dyDescent="0.25">
      <c r="A2166" s="76">
        <v>2198</v>
      </c>
      <c r="B2166" s="2" t="s">
        <v>12908</v>
      </c>
      <c r="C2166" s="2" t="s">
        <v>12909</v>
      </c>
      <c r="D2166" s="2" t="s">
        <v>12910</v>
      </c>
      <c r="E2166" s="2" t="s">
        <v>12911</v>
      </c>
      <c r="F2166" s="2" t="s">
        <v>12912</v>
      </c>
      <c r="G2166" s="2" t="s">
        <v>309</v>
      </c>
      <c r="H2166" s="17">
        <v>25</v>
      </c>
      <c r="I2166" s="31">
        <f t="shared" si="210"/>
        <v>25000</v>
      </c>
      <c r="J2166" s="31">
        <f t="shared" si="211"/>
        <v>1750.0000000000002</v>
      </c>
      <c r="K2166" s="44">
        <f t="shared" si="212"/>
        <v>4.794520547945206</v>
      </c>
      <c r="L2166" s="3">
        <f t="shared" si="213"/>
        <v>354.79452054794524</v>
      </c>
      <c r="M2166" s="3">
        <f t="shared" si="214"/>
        <v>21.287671232876715</v>
      </c>
      <c r="N2166" s="67">
        <f t="shared" si="215"/>
        <v>333.50684931506851</v>
      </c>
      <c r="O2166" s="3"/>
      <c r="P2166" s="70" t="s">
        <v>18608</v>
      </c>
      <c r="Q2166" s="2" t="s">
        <v>24</v>
      </c>
      <c r="R2166" s="2" t="s">
        <v>12913</v>
      </c>
      <c r="T2166" t="s">
        <v>18666</v>
      </c>
      <c r="U2166" t="s">
        <v>18652</v>
      </c>
      <c r="V2166" s="104">
        <v>45857</v>
      </c>
      <c r="X2166" s="97"/>
      <c r="Y2166" s="75">
        <v>333.51</v>
      </c>
    </row>
    <row r="2167" spans="1:25" x14ac:dyDescent="0.25">
      <c r="A2167" s="76">
        <v>2199</v>
      </c>
      <c r="B2167" s="2" t="s">
        <v>1969</v>
      </c>
      <c r="C2167" s="2" t="s">
        <v>1970</v>
      </c>
      <c r="D2167" s="2" t="s">
        <v>1971</v>
      </c>
      <c r="E2167" s="2" t="s">
        <v>1972</v>
      </c>
      <c r="F2167" s="2" t="s">
        <v>1973</v>
      </c>
      <c r="G2167" s="2" t="s">
        <v>296</v>
      </c>
      <c r="H2167" s="17">
        <v>100</v>
      </c>
      <c r="I2167" s="31">
        <f t="shared" si="210"/>
        <v>100000</v>
      </c>
      <c r="J2167" s="31">
        <f t="shared" si="211"/>
        <v>7000.0000000000009</v>
      </c>
      <c r="K2167" s="44">
        <f t="shared" si="212"/>
        <v>19.178082191780824</v>
      </c>
      <c r="L2167" s="3">
        <f t="shared" si="213"/>
        <v>1419.178082191781</v>
      </c>
      <c r="M2167" s="3">
        <f t="shared" si="214"/>
        <v>85.150684931506859</v>
      </c>
      <c r="N2167" s="67">
        <f t="shared" si="215"/>
        <v>1334.027397260274</v>
      </c>
      <c r="O2167" s="3"/>
      <c r="P2167" s="70" t="s">
        <v>18608</v>
      </c>
      <c r="Q2167" s="2" t="s">
        <v>24</v>
      </c>
      <c r="R2167" s="2" t="s">
        <v>1974</v>
      </c>
      <c r="T2167" t="s">
        <v>18666</v>
      </c>
      <c r="U2167" t="s">
        <v>18652</v>
      </c>
      <c r="V2167" s="104">
        <v>45857</v>
      </c>
      <c r="X2167" s="97"/>
      <c r="Y2167" s="75">
        <v>1334.03</v>
      </c>
    </row>
    <row r="2168" spans="1:25" x14ac:dyDescent="0.25">
      <c r="A2168" s="76">
        <v>2200</v>
      </c>
      <c r="B2168" s="2" t="s">
        <v>14310</v>
      </c>
      <c r="C2168" s="2" t="s">
        <v>14311</v>
      </c>
      <c r="D2168" s="2" t="s">
        <v>14312</v>
      </c>
      <c r="E2168" s="2" t="s">
        <v>14313</v>
      </c>
      <c r="F2168" s="2" t="s">
        <v>14314</v>
      </c>
      <c r="G2168" s="2" t="s">
        <v>61</v>
      </c>
      <c r="H2168" s="17">
        <v>25</v>
      </c>
      <c r="I2168" s="31">
        <f t="shared" si="210"/>
        <v>25000</v>
      </c>
      <c r="J2168" s="31">
        <f t="shared" si="211"/>
        <v>1750.0000000000002</v>
      </c>
      <c r="K2168" s="44">
        <f t="shared" si="212"/>
        <v>4.794520547945206</v>
      </c>
      <c r="L2168" s="3">
        <f t="shared" si="213"/>
        <v>354.79452054794524</v>
      </c>
      <c r="M2168" s="3">
        <f t="shared" si="214"/>
        <v>21.287671232876715</v>
      </c>
      <c r="N2168" s="67">
        <f t="shared" si="215"/>
        <v>333.50684931506851</v>
      </c>
      <c r="O2168" s="3"/>
      <c r="P2168" s="70" t="s">
        <v>18608</v>
      </c>
      <c r="Q2168" s="2" t="s">
        <v>24</v>
      </c>
      <c r="R2168" s="2" t="s">
        <v>14315</v>
      </c>
      <c r="T2168" t="s">
        <v>18666</v>
      </c>
      <c r="U2168" t="s">
        <v>18652</v>
      </c>
      <c r="V2168" s="104">
        <v>45857</v>
      </c>
      <c r="X2168" s="97"/>
      <c r="Y2168" s="75">
        <v>333.51</v>
      </c>
    </row>
    <row r="2169" spans="1:25" x14ac:dyDescent="0.25">
      <c r="A2169" s="76">
        <v>2201</v>
      </c>
      <c r="B2169" s="2" t="s">
        <v>5734</v>
      </c>
      <c r="C2169" s="2" t="s">
        <v>5735</v>
      </c>
      <c r="D2169" s="2" t="s">
        <v>5736</v>
      </c>
      <c r="E2169" s="2" t="s">
        <v>5737</v>
      </c>
      <c r="F2169" s="2" t="s">
        <v>5738</v>
      </c>
      <c r="G2169" s="2" t="s">
        <v>31</v>
      </c>
      <c r="H2169" s="17">
        <v>200</v>
      </c>
      <c r="I2169" s="31">
        <f t="shared" si="210"/>
        <v>200000</v>
      </c>
      <c r="J2169" s="31">
        <f t="shared" si="211"/>
        <v>14000.000000000002</v>
      </c>
      <c r="K2169" s="44">
        <f t="shared" si="212"/>
        <v>38.356164383561648</v>
      </c>
      <c r="L2169" s="3">
        <f t="shared" si="213"/>
        <v>2838.3561643835619</v>
      </c>
      <c r="M2169" s="3">
        <f t="shared" si="214"/>
        <v>170.30136986301372</v>
      </c>
      <c r="N2169" s="67">
        <f t="shared" si="215"/>
        <v>2668.0547945205481</v>
      </c>
      <c r="O2169" s="3"/>
      <c r="P2169" s="70" t="s">
        <v>18608</v>
      </c>
      <c r="Q2169" s="2" t="s">
        <v>24</v>
      </c>
      <c r="R2169" s="2" t="s">
        <v>5739</v>
      </c>
      <c r="T2169" t="s">
        <v>18666</v>
      </c>
      <c r="U2169" t="s">
        <v>18652</v>
      </c>
      <c r="V2169" s="104">
        <v>45857</v>
      </c>
      <c r="X2169" s="97"/>
      <c r="Y2169" s="75">
        <v>2668.0600000000004</v>
      </c>
    </row>
    <row r="2170" spans="1:25" x14ac:dyDescent="0.25">
      <c r="A2170" s="76">
        <v>2202</v>
      </c>
      <c r="B2170" s="2" t="s">
        <v>5752</v>
      </c>
      <c r="C2170" s="2" t="s">
        <v>5753</v>
      </c>
      <c r="D2170" s="2" t="s">
        <v>5736</v>
      </c>
      <c r="E2170" s="2" t="s">
        <v>5737</v>
      </c>
      <c r="F2170" s="2" t="s">
        <v>5754</v>
      </c>
      <c r="G2170" s="2" t="s">
        <v>31</v>
      </c>
      <c r="H2170" s="17">
        <v>100</v>
      </c>
      <c r="I2170" s="31">
        <f t="shared" si="210"/>
        <v>100000</v>
      </c>
      <c r="J2170" s="31">
        <f t="shared" si="211"/>
        <v>7000.0000000000009</v>
      </c>
      <c r="K2170" s="44">
        <f t="shared" si="212"/>
        <v>19.178082191780824</v>
      </c>
      <c r="L2170" s="3">
        <f t="shared" si="213"/>
        <v>1419.178082191781</v>
      </c>
      <c r="M2170" s="3">
        <f t="shared" si="214"/>
        <v>85.150684931506859</v>
      </c>
      <c r="N2170" s="67">
        <f t="shared" si="215"/>
        <v>1334.027397260274</v>
      </c>
      <c r="O2170" s="3"/>
      <c r="P2170" s="70" t="s">
        <v>18608</v>
      </c>
      <c r="Q2170" s="2" t="s">
        <v>24</v>
      </c>
      <c r="R2170" s="2" t="s">
        <v>5755</v>
      </c>
      <c r="T2170" t="s">
        <v>18666</v>
      </c>
      <c r="U2170" t="s">
        <v>18652</v>
      </c>
      <c r="V2170" s="104">
        <v>45857</v>
      </c>
      <c r="X2170" s="97"/>
      <c r="Y2170" s="75">
        <v>1334.03</v>
      </c>
    </row>
    <row r="2171" spans="1:25" x14ac:dyDescent="0.25">
      <c r="A2171" s="76">
        <v>2203</v>
      </c>
      <c r="B2171" s="2" t="s">
        <v>12639</v>
      </c>
      <c r="C2171" s="2" t="s">
        <v>12640</v>
      </c>
      <c r="D2171" s="2" t="s">
        <v>12641</v>
      </c>
      <c r="E2171" s="2" t="s">
        <v>12642</v>
      </c>
      <c r="F2171" s="2" t="s">
        <v>12643</v>
      </c>
      <c r="G2171" s="2" t="s">
        <v>580</v>
      </c>
      <c r="H2171" s="17">
        <v>50</v>
      </c>
      <c r="I2171" s="31">
        <f t="shared" si="210"/>
        <v>50000</v>
      </c>
      <c r="J2171" s="31">
        <f t="shared" si="211"/>
        <v>3500.0000000000005</v>
      </c>
      <c r="K2171" s="44">
        <f t="shared" si="212"/>
        <v>9.589041095890412</v>
      </c>
      <c r="L2171" s="3">
        <f t="shared" si="213"/>
        <v>709.58904109589048</v>
      </c>
      <c r="M2171" s="3">
        <f t="shared" si="214"/>
        <v>42.57534246575343</v>
      </c>
      <c r="N2171" s="67">
        <f t="shared" si="215"/>
        <v>667.01369863013701</v>
      </c>
      <c r="O2171" s="3"/>
      <c r="P2171" s="70" t="s">
        <v>18608</v>
      </c>
      <c r="Q2171" s="2" t="s">
        <v>24</v>
      </c>
      <c r="R2171" s="2" t="s">
        <v>12644</v>
      </c>
      <c r="T2171" t="s">
        <v>18666</v>
      </c>
      <c r="U2171" t="s">
        <v>18652</v>
      </c>
      <c r="V2171" s="104">
        <v>45857</v>
      </c>
      <c r="X2171" s="97"/>
      <c r="Y2171" s="75">
        <v>667.02</v>
      </c>
    </row>
    <row r="2172" spans="1:25" x14ac:dyDescent="0.25">
      <c r="A2172" s="76">
        <v>2204</v>
      </c>
      <c r="B2172" s="2" t="s">
        <v>10219</v>
      </c>
      <c r="C2172" s="2" t="s">
        <v>10220</v>
      </c>
      <c r="D2172" s="2" t="s">
        <v>10221</v>
      </c>
      <c r="E2172" s="2" t="s">
        <v>10222</v>
      </c>
      <c r="F2172" s="2" t="s">
        <v>10223</v>
      </c>
      <c r="G2172" s="2" t="s">
        <v>381</v>
      </c>
      <c r="H2172" s="17">
        <v>25</v>
      </c>
      <c r="I2172" s="31">
        <f t="shared" si="210"/>
        <v>25000</v>
      </c>
      <c r="J2172" s="31">
        <f t="shared" si="211"/>
        <v>1750.0000000000002</v>
      </c>
      <c r="K2172" s="44">
        <f t="shared" si="212"/>
        <v>4.794520547945206</v>
      </c>
      <c r="L2172" s="3">
        <f t="shared" si="213"/>
        <v>354.79452054794524</v>
      </c>
      <c r="M2172" s="3">
        <f t="shared" si="214"/>
        <v>21.287671232876715</v>
      </c>
      <c r="N2172" s="67">
        <f t="shared" si="215"/>
        <v>333.50684931506851</v>
      </c>
      <c r="O2172" s="3"/>
      <c r="P2172" s="70" t="s">
        <v>18608</v>
      </c>
      <c r="Q2172" s="2" t="s">
        <v>24</v>
      </c>
      <c r="R2172" s="2" t="s">
        <v>10224</v>
      </c>
      <c r="T2172" t="s">
        <v>18666</v>
      </c>
      <c r="U2172" t="s">
        <v>18652</v>
      </c>
      <c r="V2172" s="104">
        <v>45857</v>
      </c>
      <c r="X2172" s="97"/>
      <c r="Y2172" s="75">
        <v>333.51</v>
      </c>
    </row>
    <row r="2173" spans="1:25" x14ac:dyDescent="0.25">
      <c r="A2173" s="76">
        <v>2205</v>
      </c>
      <c r="B2173" s="2" t="s">
        <v>17472</v>
      </c>
      <c r="C2173" s="2" t="s">
        <v>17473</v>
      </c>
      <c r="D2173" s="2" t="s">
        <v>17474</v>
      </c>
      <c r="E2173" s="2" t="s">
        <v>17475</v>
      </c>
      <c r="F2173" s="2" t="s">
        <v>17476</v>
      </c>
      <c r="G2173" s="2" t="s">
        <v>1315</v>
      </c>
      <c r="H2173" s="17">
        <v>100</v>
      </c>
      <c r="I2173" s="31">
        <f t="shared" si="210"/>
        <v>100000</v>
      </c>
      <c r="J2173" s="31">
        <f t="shared" si="211"/>
        <v>7000.0000000000009</v>
      </c>
      <c r="K2173" s="44">
        <f t="shared" si="212"/>
        <v>19.178082191780824</v>
      </c>
      <c r="L2173" s="3">
        <f t="shared" si="213"/>
        <v>1419.178082191781</v>
      </c>
      <c r="M2173" s="3">
        <f t="shared" si="214"/>
        <v>85.150684931506859</v>
      </c>
      <c r="N2173" s="67">
        <f t="shared" si="215"/>
        <v>1334.027397260274</v>
      </c>
      <c r="O2173" s="3"/>
      <c r="P2173" s="70" t="s">
        <v>18608</v>
      </c>
      <c r="Q2173" s="2" t="s">
        <v>24</v>
      </c>
      <c r="R2173" s="2" t="s">
        <v>17477</v>
      </c>
      <c r="T2173" t="s">
        <v>18666</v>
      </c>
      <c r="U2173" t="s">
        <v>18652</v>
      </c>
      <c r="V2173" s="104">
        <v>45857</v>
      </c>
      <c r="X2173" s="97"/>
      <c r="Y2173" s="75">
        <v>1334.03</v>
      </c>
    </row>
    <row r="2174" spans="1:25" x14ac:dyDescent="0.25">
      <c r="A2174" s="76">
        <v>2206</v>
      </c>
      <c r="B2174" s="2" t="s">
        <v>2394</v>
      </c>
      <c r="C2174" s="2" t="s">
        <v>2395</v>
      </c>
      <c r="D2174" s="2" t="s">
        <v>2396</v>
      </c>
      <c r="E2174" s="2" t="s">
        <v>2397</v>
      </c>
      <c r="F2174" s="2" t="s">
        <v>2398</v>
      </c>
      <c r="G2174" s="2" t="s">
        <v>74</v>
      </c>
      <c r="H2174" s="17">
        <v>25</v>
      </c>
      <c r="I2174" s="31">
        <f t="shared" si="210"/>
        <v>25000</v>
      </c>
      <c r="J2174" s="31">
        <f t="shared" si="211"/>
        <v>1750.0000000000002</v>
      </c>
      <c r="K2174" s="44">
        <f t="shared" si="212"/>
        <v>4.794520547945206</v>
      </c>
      <c r="L2174" s="3">
        <f t="shared" si="213"/>
        <v>354.79452054794524</v>
      </c>
      <c r="M2174" s="3">
        <f t="shared" si="214"/>
        <v>21.287671232876715</v>
      </c>
      <c r="N2174" s="67">
        <f t="shared" si="215"/>
        <v>333.50684931506851</v>
      </c>
      <c r="O2174" s="3"/>
      <c r="P2174" s="70" t="s">
        <v>18608</v>
      </c>
      <c r="Q2174" s="2" t="s">
        <v>24</v>
      </c>
      <c r="R2174" s="2" t="s">
        <v>2399</v>
      </c>
      <c r="T2174" t="s">
        <v>18666</v>
      </c>
      <c r="U2174" t="s">
        <v>18652</v>
      </c>
      <c r="V2174" s="104">
        <v>45857</v>
      </c>
      <c r="X2174" s="97"/>
      <c r="Y2174" s="75">
        <v>333.51</v>
      </c>
    </row>
    <row r="2175" spans="1:25" x14ac:dyDescent="0.25">
      <c r="A2175" s="76">
        <v>2207</v>
      </c>
      <c r="B2175" s="2" t="s">
        <v>4558</v>
      </c>
      <c r="C2175" s="2" t="s">
        <v>4559</v>
      </c>
      <c r="D2175" s="2" t="s">
        <v>4560</v>
      </c>
      <c r="E2175" s="2" t="s">
        <v>4561</v>
      </c>
      <c r="F2175" s="2" t="s">
        <v>4562</v>
      </c>
      <c r="G2175" s="2" t="s">
        <v>517</v>
      </c>
      <c r="H2175" s="17">
        <v>25</v>
      </c>
      <c r="I2175" s="31">
        <f t="shared" si="210"/>
        <v>25000</v>
      </c>
      <c r="J2175" s="31">
        <f t="shared" si="211"/>
        <v>1750.0000000000002</v>
      </c>
      <c r="K2175" s="44">
        <f t="shared" si="212"/>
        <v>4.794520547945206</v>
      </c>
      <c r="L2175" s="3">
        <f t="shared" si="213"/>
        <v>354.79452054794524</v>
      </c>
      <c r="M2175" s="3">
        <f t="shared" si="214"/>
        <v>21.287671232876715</v>
      </c>
      <c r="N2175" s="67">
        <f t="shared" si="215"/>
        <v>333.50684931506851</v>
      </c>
      <c r="O2175" s="3"/>
      <c r="P2175" s="70" t="s">
        <v>18608</v>
      </c>
      <c r="Q2175" s="2" t="s">
        <v>24</v>
      </c>
      <c r="R2175" s="2" t="s">
        <v>4563</v>
      </c>
      <c r="T2175" t="s">
        <v>18666</v>
      </c>
      <c r="U2175" t="s">
        <v>18652</v>
      </c>
      <c r="V2175" s="104">
        <v>45857</v>
      </c>
      <c r="X2175" s="97"/>
      <c r="Y2175" s="75">
        <v>333.51</v>
      </c>
    </row>
    <row r="2176" spans="1:25" x14ac:dyDescent="0.25">
      <c r="A2176" s="76">
        <v>2208</v>
      </c>
      <c r="B2176" s="2" t="s">
        <v>15273</v>
      </c>
      <c r="C2176" s="2" t="s">
        <v>15274</v>
      </c>
      <c r="D2176" s="2" t="s">
        <v>15275</v>
      </c>
      <c r="E2176" s="2" t="s">
        <v>15276</v>
      </c>
      <c r="F2176" s="2" t="s">
        <v>15277</v>
      </c>
      <c r="G2176" s="2" t="s">
        <v>517</v>
      </c>
      <c r="H2176" s="17">
        <v>25</v>
      </c>
      <c r="I2176" s="31">
        <f t="shared" si="210"/>
        <v>25000</v>
      </c>
      <c r="J2176" s="31">
        <f t="shared" si="211"/>
        <v>1750.0000000000002</v>
      </c>
      <c r="K2176" s="44">
        <f t="shared" si="212"/>
        <v>4.794520547945206</v>
      </c>
      <c r="L2176" s="3">
        <f t="shared" si="213"/>
        <v>354.79452054794524</v>
      </c>
      <c r="M2176" s="3">
        <f t="shared" si="214"/>
        <v>21.287671232876715</v>
      </c>
      <c r="N2176" s="67">
        <f t="shared" si="215"/>
        <v>333.50684931506851</v>
      </c>
      <c r="O2176" s="3"/>
      <c r="P2176" s="70" t="s">
        <v>18608</v>
      </c>
      <c r="Q2176" s="2" t="s">
        <v>24</v>
      </c>
      <c r="R2176" s="2" t="s">
        <v>15278</v>
      </c>
      <c r="T2176" t="s">
        <v>18666</v>
      </c>
      <c r="U2176" t="s">
        <v>18652</v>
      </c>
      <c r="V2176" s="104">
        <v>45857</v>
      </c>
      <c r="X2176" s="97"/>
      <c r="Y2176" s="75">
        <v>333.51</v>
      </c>
    </row>
    <row r="2177" spans="1:25" x14ac:dyDescent="0.25">
      <c r="A2177" s="76">
        <v>2209</v>
      </c>
      <c r="B2177" s="2" t="s">
        <v>14817</v>
      </c>
      <c r="C2177" s="2" t="s">
        <v>14818</v>
      </c>
      <c r="D2177" s="2" t="s">
        <v>14819</v>
      </c>
      <c r="E2177" s="2" t="s">
        <v>14820</v>
      </c>
      <c r="F2177" s="2" t="s">
        <v>14821</v>
      </c>
      <c r="G2177" s="2" t="s">
        <v>166</v>
      </c>
      <c r="H2177" s="17">
        <v>25</v>
      </c>
      <c r="I2177" s="31">
        <f t="shared" si="210"/>
        <v>25000</v>
      </c>
      <c r="J2177" s="31">
        <f t="shared" si="211"/>
        <v>1750.0000000000002</v>
      </c>
      <c r="K2177" s="44">
        <f t="shared" si="212"/>
        <v>4.794520547945206</v>
      </c>
      <c r="L2177" s="3">
        <f t="shared" si="213"/>
        <v>354.79452054794524</v>
      </c>
      <c r="M2177" s="3">
        <f t="shared" si="214"/>
        <v>21.287671232876715</v>
      </c>
      <c r="N2177" s="67">
        <f t="shared" si="215"/>
        <v>333.50684931506851</v>
      </c>
      <c r="O2177" s="3"/>
      <c r="P2177" s="70" t="s">
        <v>18608</v>
      </c>
      <c r="Q2177" s="2" t="s">
        <v>24</v>
      </c>
      <c r="R2177" s="2" t="s">
        <v>14822</v>
      </c>
      <c r="T2177" t="s">
        <v>18666</v>
      </c>
      <c r="U2177" t="s">
        <v>18652</v>
      </c>
      <c r="V2177" s="104">
        <v>45857</v>
      </c>
      <c r="X2177" s="97"/>
      <c r="Y2177" s="75">
        <v>333.51</v>
      </c>
    </row>
    <row r="2178" spans="1:25" x14ac:dyDescent="0.25">
      <c r="A2178" s="76">
        <v>2210</v>
      </c>
      <c r="B2178" s="2" t="s">
        <v>15165</v>
      </c>
      <c r="C2178" s="2" t="s">
        <v>15166</v>
      </c>
      <c r="D2178" s="2" t="s">
        <v>14819</v>
      </c>
      <c r="E2178" s="2" t="s">
        <v>14820</v>
      </c>
      <c r="F2178" s="2" t="s">
        <v>15167</v>
      </c>
      <c r="G2178" s="2" t="s">
        <v>144</v>
      </c>
      <c r="H2178" s="17">
        <v>25</v>
      </c>
      <c r="I2178" s="31">
        <f t="shared" si="210"/>
        <v>25000</v>
      </c>
      <c r="J2178" s="31">
        <f t="shared" si="211"/>
        <v>1750.0000000000002</v>
      </c>
      <c r="K2178" s="44">
        <f t="shared" si="212"/>
        <v>4.794520547945206</v>
      </c>
      <c r="L2178" s="3">
        <f t="shared" si="213"/>
        <v>354.79452054794524</v>
      </c>
      <c r="M2178" s="3">
        <f t="shared" si="214"/>
        <v>21.287671232876715</v>
      </c>
      <c r="N2178" s="67">
        <f t="shared" si="215"/>
        <v>333.50684931506851</v>
      </c>
      <c r="O2178" s="3"/>
      <c r="P2178" s="70" t="s">
        <v>18608</v>
      </c>
      <c r="Q2178" s="2" t="s">
        <v>24</v>
      </c>
      <c r="R2178" s="2" t="s">
        <v>15168</v>
      </c>
      <c r="T2178" t="s">
        <v>18666</v>
      </c>
      <c r="U2178" t="s">
        <v>18652</v>
      </c>
      <c r="V2178" s="104">
        <v>45857</v>
      </c>
      <c r="X2178" s="97"/>
      <c r="Y2178" s="75">
        <v>333.51</v>
      </c>
    </row>
    <row r="2179" spans="1:25" x14ac:dyDescent="0.25">
      <c r="A2179" s="76">
        <v>2211</v>
      </c>
      <c r="B2179" s="2" t="s">
        <v>10072</v>
      </c>
      <c r="C2179" s="2" t="s">
        <v>10073</v>
      </c>
      <c r="D2179" s="2" t="s">
        <v>10074</v>
      </c>
      <c r="E2179" s="2" t="s">
        <v>10075</v>
      </c>
      <c r="F2179" s="2" t="s">
        <v>10076</v>
      </c>
      <c r="G2179" s="2" t="s">
        <v>23</v>
      </c>
      <c r="H2179" s="17">
        <v>25</v>
      </c>
      <c r="I2179" s="31">
        <f t="shared" si="210"/>
        <v>25000</v>
      </c>
      <c r="J2179" s="31">
        <f t="shared" si="211"/>
        <v>1750.0000000000002</v>
      </c>
      <c r="K2179" s="44">
        <f t="shared" si="212"/>
        <v>4.794520547945206</v>
      </c>
      <c r="L2179" s="3">
        <f t="shared" si="213"/>
        <v>354.79452054794524</v>
      </c>
      <c r="M2179" s="3">
        <f t="shared" si="214"/>
        <v>21.287671232876715</v>
      </c>
      <c r="N2179" s="67">
        <f t="shared" si="215"/>
        <v>333.50684931506851</v>
      </c>
      <c r="O2179" s="3"/>
      <c r="P2179" s="70" t="s">
        <v>18608</v>
      </c>
      <c r="Q2179" s="2" t="s">
        <v>24</v>
      </c>
      <c r="R2179" s="2" t="s">
        <v>10077</v>
      </c>
      <c r="T2179" t="s">
        <v>18666</v>
      </c>
      <c r="U2179" t="s">
        <v>18652</v>
      </c>
      <c r="V2179" s="104">
        <v>45857</v>
      </c>
      <c r="X2179" s="97"/>
      <c r="Y2179" s="75">
        <v>333.51</v>
      </c>
    </row>
    <row r="2180" spans="1:25" x14ac:dyDescent="0.25">
      <c r="A2180" s="76">
        <v>2212</v>
      </c>
      <c r="B2180" s="2" t="s">
        <v>16084</v>
      </c>
      <c r="C2180" s="2" t="s">
        <v>16085</v>
      </c>
      <c r="D2180" s="2" t="s">
        <v>16086</v>
      </c>
      <c r="E2180" s="2" t="s">
        <v>16087</v>
      </c>
      <c r="F2180" s="2" t="s">
        <v>16088</v>
      </c>
      <c r="G2180" s="2" t="s">
        <v>61</v>
      </c>
      <c r="H2180" s="17">
        <v>25</v>
      </c>
      <c r="I2180" s="31">
        <f t="shared" si="210"/>
        <v>25000</v>
      </c>
      <c r="J2180" s="31">
        <f t="shared" si="211"/>
        <v>1750.0000000000002</v>
      </c>
      <c r="K2180" s="44">
        <f t="shared" si="212"/>
        <v>4.794520547945206</v>
      </c>
      <c r="L2180" s="3">
        <f t="shared" si="213"/>
        <v>354.79452054794524</v>
      </c>
      <c r="M2180" s="3">
        <f t="shared" si="214"/>
        <v>21.287671232876715</v>
      </c>
      <c r="N2180" s="67">
        <f t="shared" si="215"/>
        <v>333.50684931506851</v>
      </c>
      <c r="O2180" s="3"/>
      <c r="P2180" s="70" t="s">
        <v>18608</v>
      </c>
      <c r="Q2180" s="2" t="s">
        <v>24</v>
      </c>
      <c r="R2180" s="2" t="s">
        <v>16089</v>
      </c>
      <c r="T2180" t="s">
        <v>18666</v>
      </c>
      <c r="U2180" t="s">
        <v>18652</v>
      </c>
      <c r="V2180" s="104">
        <v>45857</v>
      </c>
      <c r="X2180" s="97"/>
      <c r="Y2180" s="75">
        <v>333.51</v>
      </c>
    </row>
    <row r="2181" spans="1:25" x14ac:dyDescent="0.25">
      <c r="A2181" s="76">
        <v>2213</v>
      </c>
      <c r="B2181" s="2" t="s">
        <v>11312</v>
      </c>
      <c r="C2181" s="2" t="s">
        <v>11313</v>
      </c>
      <c r="D2181" s="2" t="s">
        <v>11314</v>
      </c>
      <c r="E2181" s="2" t="s">
        <v>3473</v>
      </c>
      <c r="F2181" s="2" t="s">
        <v>11315</v>
      </c>
      <c r="G2181" s="2" t="s">
        <v>618</v>
      </c>
      <c r="H2181" s="17">
        <v>25</v>
      </c>
      <c r="I2181" s="31">
        <f t="shared" si="210"/>
        <v>25000</v>
      </c>
      <c r="J2181" s="31">
        <f t="shared" si="211"/>
        <v>1750.0000000000002</v>
      </c>
      <c r="K2181" s="44">
        <f t="shared" si="212"/>
        <v>4.794520547945206</v>
      </c>
      <c r="L2181" s="3">
        <f t="shared" si="213"/>
        <v>354.79452054794524</v>
      </c>
      <c r="M2181" s="3">
        <f t="shared" si="214"/>
        <v>21.287671232876715</v>
      </c>
      <c r="N2181" s="67">
        <f t="shared" si="215"/>
        <v>333.50684931506851</v>
      </c>
      <c r="O2181" s="3"/>
      <c r="P2181" s="70" t="s">
        <v>18608</v>
      </c>
      <c r="Q2181" s="2" t="s">
        <v>24</v>
      </c>
      <c r="R2181" s="2" t="s">
        <v>11316</v>
      </c>
      <c r="T2181" t="s">
        <v>18666</v>
      </c>
      <c r="U2181" t="s">
        <v>18652</v>
      </c>
      <c r="V2181" s="104">
        <v>45857</v>
      </c>
      <c r="X2181" s="97"/>
      <c r="Y2181" s="75">
        <v>333.51</v>
      </c>
    </row>
    <row r="2182" spans="1:25" x14ac:dyDescent="0.25">
      <c r="A2182" s="76">
        <v>2214</v>
      </c>
      <c r="B2182" s="2" t="s">
        <v>11933</v>
      </c>
      <c r="C2182" s="2" t="s">
        <v>11934</v>
      </c>
      <c r="D2182" s="2" t="s">
        <v>11935</v>
      </c>
      <c r="E2182" s="2" t="s">
        <v>11936</v>
      </c>
      <c r="F2182" s="2" t="s">
        <v>11937</v>
      </c>
      <c r="G2182" s="2" t="s">
        <v>61</v>
      </c>
      <c r="H2182" s="17">
        <v>25</v>
      </c>
      <c r="I2182" s="31">
        <f t="shared" si="210"/>
        <v>25000</v>
      </c>
      <c r="J2182" s="31">
        <f t="shared" si="211"/>
        <v>1750.0000000000002</v>
      </c>
      <c r="K2182" s="44">
        <f t="shared" si="212"/>
        <v>4.794520547945206</v>
      </c>
      <c r="L2182" s="3">
        <f t="shared" si="213"/>
        <v>354.79452054794524</v>
      </c>
      <c r="M2182" s="3">
        <f t="shared" si="214"/>
        <v>21.287671232876715</v>
      </c>
      <c r="N2182" s="67">
        <f t="shared" si="215"/>
        <v>333.50684931506851</v>
      </c>
      <c r="O2182" s="3"/>
      <c r="P2182" s="70" t="s">
        <v>18608</v>
      </c>
      <c r="Q2182" s="2" t="s">
        <v>24</v>
      </c>
      <c r="R2182" s="2" t="s">
        <v>11938</v>
      </c>
      <c r="T2182" t="s">
        <v>18666</v>
      </c>
      <c r="U2182" t="s">
        <v>18652</v>
      </c>
      <c r="V2182" s="104">
        <v>45857</v>
      </c>
      <c r="X2182" s="97"/>
      <c r="Y2182" s="75">
        <v>333.51</v>
      </c>
    </row>
    <row r="2183" spans="1:25" x14ac:dyDescent="0.25">
      <c r="A2183" s="76">
        <v>2215</v>
      </c>
      <c r="B2183" s="2" t="s">
        <v>6591</v>
      </c>
      <c r="C2183" s="2" t="s">
        <v>6592</v>
      </c>
      <c r="D2183" s="2" t="s">
        <v>6593</v>
      </c>
      <c r="E2183" s="2" t="s">
        <v>6594</v>
      </c>
      <c r="F2183" s="2" t="s">
        <v>6595</v>
      </c>
      <c r="G2183" s="2" t="s">
        <v>61</v>
      </c>
      <c r="H2183" s="17">
        <v>25</v>
      </c>
      <c r="I2183" s="31">
        <f t="shared" si="210"/>
        <v>25000</v>
      </c>
      <c r="J2183" s="31">
        <f t="shared" si="211"/>
        <v>1750.0000000000002</v>
      </c>
      <c r="K2183" s="44">
        <f t="shared" si="212"/>
        <v>4.794520547945206</v>
      </c>
      <c r="L2183" s="3">
        <f t="shared" si="213"/>
        <v>354.79452054794524</v>
      </c>
      <c r="M2183" s="3">
        <f t="shared" si="214"/>
        <v>21.287671232876715</v>
      </c>
      <c r="N2183" s="67">
        <f t="shared" si="215"/>
        <v>333.50684931506851</v>
      </c>
      <c r="O2183" s="3"/>
      <c r="P2183" s="70" t="s">
        <v>18608</v>
      </c>
      <c r="Q2183" s="2" t="s">
        <v>24</v>
      </c>
      <c r="R2183" s="2" t="s">
        <v>6596</v>
      </c>
      <c r="T2183" t="s">
        <v>18666</v>
      </c>
      <c r="U2183" t="s">
        <v>18652</v>
      </c>
      <c r="V2183" s="104">
        <v>45857</v>
      </c>
      <c r="X2183" s="97"/>
      <c r="Y2183" s="75">
        <v>333.51</v>
      </c>
    </row>
    <row r="2184" spans="1:25" x14ac:dyDescent="0.25">
      <c r="A2184" s="76">
        <v>2216</v>
      </c>
      <c r="B2184" s="2" t="s">
        <v>12627</v>
      </c>
      <c r="C2184" s="2" t="s">
        <v>12628</v>
      </c>
      <c r="D2184" s="2" t="s">
        <v>12629</v>
      </c>
      <c r="E2184" s="2" t="s">
        <v>12630</v>
      </c>
      <c r="F2184" s="2" t="s">
        <v>12631</v>
      </c>
      <c r="G2184" s="2" t="s">
        <v>61</v>
      </c>
      <c r="H2184" s="17">
        <v>50</v>
      </c>
      <c r="I2184" s="31">
        <f t="shared" si="210"/>
        <v>50000</v>
      </c>
      <c r="J2184" s="31">
        <f t="shared" si="211"/>
        <v>3500.0000000000005</v>
      </c>
      <c r="K2184" s="44">
        <f t="shared" si="212"/>
        <v>9.589041095890412</v>
      </c>
      <c r="L2184" s="3">
        <f t="shared" si="213"/>
        <v>709.58904109589048</v>
      </c>
      <c r="M2184" s="3">
        <f t="shared" si="214"/>
        <v>42.57534246575343</v>
      </c>
      <c r="N2184" s="67">
        <f t="shared" si="215"/>
        <v>667.01369863013701</v>
      </c>
      <c r="O2184" s="3"/>
      <c r="P2184" s="70" t="s">
        <v>18608</v>
      </c>
      <c r="Q2184" s="2" t="s">
        <v>24</v>
      </c>
      <c r="R2184" s="2" t="s">
        <v>12632</v>
      </c>
      <c r="T2184" t="s">
        <v>18666</v>
      </c>
      <c r="U2184" t="s">
        <v>18652</v>
      </c>
      <c r="V2184" s="104">
        <v>45857</v>
      </c>
      <c r="X2184" s="97"/>
      <c r="Y2184" s="75">
        <v>667.02</v>
      </c>
    </row>
    <row r="2185" spans="1:25" x14ac:dyDescent="0.25">
      <c r="A2185" s="76">
        <v>2217</v>
      </c>
      <c r="B2185" s="2" t="s">
        <v>8148</v>
      </c>
      <c r="C2185" s="2" t="s">
        <v>8149</v>
      </c>
      <c r="D2185" s="2" t="s">
        <v>8150</v>
      </c>
      <c r="E2185" s="2" t="s">
        <v>8151</v>
      </c>
      <c r="F2185" s="2" t="s">
        <v>8152</v>
      </c>
      <c r="G2185" s="2" t="s">
        <v>193</v>
      </c>
      <c r="H2185" s="17">
        <v>25</v>
      </c>
      <c r="I2185" s="31">
        <f t="shared" si="210"/>
        <v>25000</v>
      </c>
      <c r="J2185" s="31">
        <f t="shared" si="211"/>
        <v>1750.0000000000002</v>
      </c>
      <c r="K2185" s="44">
        <f t="shared" si="212"/>
        <v>4.794520547945206</v>
      </c>
      <c r="L2185" s="3">
        <f t="shared" si="213"/>
        <v>354.79452054794524</v>
      </c>
      <c r="M2185" s="3">
        <f t="shared" si="214"/>
        <v>21.287671232876715</v>
      </c>
      <c r="N2185" s="67">
        <f t="shared" si="215"/>
        <v>333.50684931506851</v>
      </c>
      <c r="O2185" s="3"/>
      <c r="P2185" s="70" t="s">
        <v>18608</v>
      </c>
      <c r="Q2185" s="2" t="s">
        <v>24</v>
      </c>
      <c r="R2185" s="2" t="s">
        <v>8153</v>
      </c>
      <c r="T2185" t="s">
        <v>18666</v>
      </c>
      <c r="U2185" t="s">
        <v>18652</v>
      </c>
      <c r="V2185" s="104">
        <v>45857</v>
      </c>
      <c r="X2185" s="97"/>
      <c r="Y2185" s="75">
        <v>333.51</v>
      </c>
    </row>
    <row r="2186" spans="1:25" x14ac:dyDescent="0.25">
      <c r="A2186" s="76">
        <v>2218</v>
      </c>
      <c r="B2186" s="2" t="s">
        <v>15756</v>
      </c>
      <c r="C2186" s="2" t="s">
        <v>15757</v>
      </c>
      <c r="D2186" s="2" t="s">
        <v>15758</v>
      </c>
      <c r="E2186" s="2" t="s">
        <v>15759</v>
      </c>
      <c r="F2186" s="2" t="s">
        <v>15760</v>
      </c>
      <c r="G2186" s="2" t="s">
        <v>166</v>
      </c>
      <c r="H2186" s="17">
        <v>30</v>
      </c>
      <c r="I2186" s="31">
        <f t="shared" si="210"/>
        <v>30000</v>
      </c>
      <c r="J2186" s="31">
        <f t="shared" si="211"/>
        <v>2100</v>
      </c>
      <c r="K2186" s="44">
        <f t="shared" si="212"/>
        <v>5.7534246575342465</v>
      </c>
      <c r="L2186" s="3">
        <f t="shared" si="213"/>
        <v>425.75342465753425</v>
      </c>
      <c r="M2186" s="3">
        <f t="shared" si="214"/>
        <v>25.545205479452054</v>
      </c>
      <c r="N2186" s="67">
        <f t="shared" si="215"/>
        <v>400.20821917808217</v>
      </c>
      <c r="O2186" s="3"/>
      <c r="P2186" s="70" t="s">
        <v>18608</v>
      </c>
      <c r="Q2186" s="2" t="s">
        <v>24</v>
      </c>
      <c r="R2186" s="2" t="s">
        <v>15761</v>
      </c>
      <c r="T2186" t="s">
        <v>18666</v>
      </c>
      <c r="U2186" t="s">
        <v>18652</v>
      </c>
      <c r="V2186" s="104">
        <v>45857</v>
      </c>
      <c r="X2186" s="97"/>
      <c r="Y2186" s="75">
        <v>400.21</v>
      </c>
    </row>
    <row r="2187" spans="1:25" x14ac:dyDescent="0.25">
      <c r="A2187" s="76">
        <v>2219</v>
      </c>
      <c r="B2187" s="2" t="s">
        <v>3377</v>
      </c>
      <c r="C2187" s="2" t="s">
        <v>3378</v>
      </c>
      <c r="D2187" s="2" t="s">
        <v>3379</v>
      </c>
      <c r="E2187" s="2" t="s">
        <v>3380</v>
      </c>
      <c r="F2187" s="2" t="s">
        <v>3381</v>
      </c>
      <c r="G2187" s="2" t="s">
        <v>618</v>
      </c>
      <c r="H2187" s="17">
        <v>25</v>
      </c>
      <c r="I2187" s="31">
        <f t="shared" si="210"/>
        <v>25000</v>
      </c>
      <c r="J2187" s="31">
        <f t="shared" si="211"/>
        <v>1750.0000000000002</v>
      </c>
      <c r="K2187" s="44">
        <f t="shared" si="212"/>
        <v>4.794520547945206</v>
      </c>
      <c r="L2187" s="3">
        <f t="shared" si="213"/>
        <v>354.79452054794524</v>
      </c>
      <c r="M2187" s="3">
        <f t="shared" si="214"/>
        <v>21.287671232876715</v>
      </c>
      <c r="N2187" s="67">
        <f t="shared" si="215"/>
        <v>333.50684931506851</v>
      </c>
      <c r="O2187" s="3"/>
      <c r="P2187" s="70" t="s">
        <v>18608</v>
      </c>
      <c r="Q2187" s="2" t="s">
        <v>24</v>
      </c>
      <c r="R2187" s="2" t="s">
        <v>3382</v>
      </c>
      <c r="T2187" t="s">
        <v>18666</v>
      </c>
      <c r="U2187" t="s">
        <v>18652</v>
      </c>
      <c r="V2187" s="104">
        <v>45857</v>
      </c>
      <c r="X2187" s="97"/>
      <c r="Y2187" s="75">
        <v>333.51</v>
      </c>
    </row>
    <row r="2188" spans="1:25" x14ac:dyDescent="0.25">
      <c r="A2188" s="76">
        <v>2220</v>
      </c>
      <c r="B2188" s="2" t="s">
        <v>13225</v>
      </c>
      <c r="C2188" s="2" t="s">
        <v>13226</v>
      </c>
      <c r="D2188" s="2" t="s">
        <v>13227</v>
      </c>
      <c r="E2188" s="2" t="s">
        <v>13228</v>
      </c>
      <c r="F2188" s="2" t="s">
        <v>13229</v>
      </c>
      <c r="G2188" s="2" t="s">
        <v>282</v>
      </c>
      <c r="H2188" s="17">
        <v>25</v>
      </c>
      <c r="I2188" s="31">
        <f t="shared" si="210"/>
        <v>25000</v>
      </c>
      <c r="J2188" s="31">
        <f t="shared" si="211"/>
        <v>1750.0000000000002</v>
      </c>
      <c r="K2188" s="44">
        <f t="shared" si="212"/>
        <v>4.794520547945206</v>
      </c>
      <c r="L2188" s="3">
        <f t="shared" si="213"/>
        <v>354.79452054794524</v>
      </c>
      <c r="M2188" s="3">
        <f t="shared" si="214"/>
        <v>21.287671232876715</v>
      </c>
      <c r="N2188" s="67">
        <f t="shared" si="215"/>
        <v>333.50684931506851</v>
      </c>
      <c r="O2188" s="3"/>
      <c r="P2188" s="70" t="s">
        <v>18608</v>
      </c>
      <c r="Q2188" s="2" t="s">
        <v>24</v>
      </c>
      <c r="R2188" s="2" t="s">
        <v>13230</v>
      </c>
      <c r="T2188" t="s">
        <v>18666</v>
      </c>
      <c r="U2188" t="s">
        <v>18652</v>
      </c>
      <c r="V2188" s="104">
        <v>45857</v>
      </c>
      <c r="X2188" s="97"/>
      <c r="Y2188" s="75">
        <v>333.51</v>
      </c>
    </row>
    <row r="2189" spans="1:25" x14ac:dyDescent="0.25">
      <c r="A2189" s="76">
        <v>2221</v>
      </c>
      <c r="B2189" s="2" t="s">
        <v>12663</v>
      </c>
      <c r="C2189" s="2" t="s">
        <v>12664</v>
      </c>
      <c r="D2189" s="2" t="s">
        <v>12665</v>
      </c>
      <c r="E2189" s="2" t="s">
        <v>12666</v>
      </c>
      <c r="F2189" s="2" t="s">
        <v>12667</v>
      </c>
      <c r="G2189" s="2" t="s">
        <v>1055</v>
      </c>
      <c r="H2189" s="17">
        <v>25</v>
      </c>
      <c r="I2189" s="31">
        <f t="shared" si="210"/>
        <v>25000</v>
      </c>
      <c r="J2189" s="31">
        <f t="shared" si="211"/>
        <v>1750.0000000000002</v>
      </c>
      <c r="K2189" s="44">
        <f t="shared" si="212"/>
        <v>4.794520547945206</v>
      </c>
      <c r="L2189" s="3">
        <f t="shared" si="213"/>
        <v>354.79452054794524</v>
      </c>
      <c r="M2189" s="3">
        <f t="shared" si="214"/>
        <v>21.287671232876715</v>
      </c>
      <c r="N2189" s="67">
        <f t="shared" si="215"/>
        <v>333.50684931506851</v>
      </c>
      <c r="O2189" s="3"/>
      <c r="P2189" s="70" t="s">
        <v>18608</v>
      </c>
      <c r="Q2189" s="2" t="s">
        <v>24</v>
      </c>
      <c r="R2189" s="2" t="s">
        <v>12668</v>
      </c>
      <c r="T2189" t="s">
        <v>18666</v>
      </c>
      <c r="U2189" t="s">
        <v>18652</v>
      </c>
      <c r="V2189" s="104">
        <v>45857</v>
      </c>
      <c r="X2189" s="97"/>
      <c r="Y2189" s="75">
        <v>333.51</v>
      </c>
    </row>
    <row r="2190" spans="1:25" x14ac:dyDescent="0.25">
      <c r="A2190" s="76">
        <v>2222</v>
      </c>
      <c r="B2190" s="2" t="s">
        <v>11258</v>
      </c>
      <c r="C2190" s="2" t="s">
        <v>11259</v>
      </c>
      <c r="D2190" s="2" t="s">
        <v>11260</v>
      </c>
      <c r="E2190" s="2" t="s">
        <v>11261</v>
      </c>
      <c r="F2190" s="2" t="s">
        <v>11262</v>
      </c>
      <c r="G2190" s="2" t="s">
        <v>1315</v>
      </c>
      <c r="H2190" s="17">
        <v>25</v>
      </c>
      <c r="I2190" s="31">
        <f t="shared" si="210"/>
        <v>25000</v>
      </c>
      <c r="J2190" s="31">
        <f t="shared" si="211"/>
        <v>1750.0000000000002</v>
      </c>
      <c r="K2190" s="44">
        <f t="shared" si="212"/>
        <v>4.794520547945206</v>
      </c>
      <c r="L2190" s="3">
        <f t="shared" si="213"/>
        <v>354.79452054794524</v>
      </c>
      <c r="M2190" s="3">
        <f t="shared" si="214"/>
        <v>21.287671232876715</v>
      </c>
      <c r="N2190" s="67">
        <f t="shared" si="215"/>
        <v>333.50684931506851</v>
      </c>
      <c r="O2190" s="3"/>
      <c r="P2190" s="70" t="s">
        <v>18608</v>
      </c>
      <c r="Q2190" s="2" t="s">
        <v>24</v>
      </c>
      <c r="R2190" s="2" t="s">
        <v>11263</v>
      </c>
      <c r="T2190" t="s">
        <v>18666</v>
      </c>
      <c r="U2190" t="s">
        <v>18652</v>
      </c>
      <c r="V2190" s="104">
        <v>45857</v>
      </c>
      <c r="X2190" s="97"/>
      <c r="Y2190" s="75">
        <v>333.51</v>
      </c>
    </row>
    <row r="2191" spans="1:25" x14ac:dyDescent="0.25">
      <c r="A2191" s="76">
        <v>2223</v>
      </c>
      <c r="B2191" s="2" t="s">
        <v>17830</v>
      </c>
      <c r="C2191" s="2" t="s">
        <v>17831</v>
      </c>
      <c r="D2191" s="2" t="s">
        <v>17832</v>
      </c>
      <c r="E2191" s="2" t="s">
        <v>17833</v>
      </c>
      <c r="F2191" s="2" t="s">
        <v>17834</v>
      </c>
      <c r="G2191" s="2" t="s">
        <v>750</v>
      </c>
      <c r="H2191" s="17">
        <v>25</v>
      </c>
      <c r="I2191" s="31">
        <f t="shared" si="210"/>
        <v>25000</v>
      </c>
      <c r="J2191" s="31">
        <f t="shared" si="211"/>
        <v>1750.0000000000002</v>
      </c>
      <c r="K2191" s="44">
        <f t="shared" si="212"/>
        <v>4.794520547945206</v>
      </c>
      <c r="L2191" s="3">
        <f t="shared" si="213"/>
        <v>354.79452054794524</v>
      </c>
      <c r="M2191" s="3">
        <f t="shared" si="214"/>
        <v>21.287671232876715</v>
      </c>
      <c r="N2191" s="67">
        <f t="shared" si="215"/>
        <v>333.50684931506851</v>
      </c>
      <c r="O2191" s="3"/>
      <c r="P2191" s="70" t="s">
        <v>18608</v>
      </c>
      <c r="Q2191" s="2" t="s">
        <v>24</v>
      </c>
      <c r="R2191" s="2" t="s">
        <v>17835</v>
      </c>
      <c r="T2191" t="s">
        <v>18666</v>
      </c>
      <c r="U2191" t="s">
        <v>18652</v>
      </c>
      <c r="V2191" s="104">
        <v>45857</v>
      </c>
      <c r="X2191" s="97"/>
      <c r="Y2191" s="75">
        <v>333.51</v>
      </c>
    </row>
    <row r="2192" spans="1:25" x14ac:dyDescent="0.25">
      <c r="A2192" s="76">
        <v>2224</v>
      </c>
      <c r="B2192" s="2" t="s">
        <v>11220</v>
      </c>
      <c r="C2192" s="2" t="s">
        <v>11221</v>
      </c>
      <c r="D2192" s="2" t="s">
        <v>11162</v>
      </c>
      <c r="E2192" s="2" t="s">
        <v>11222</v>
      </c>
      <c r="F2192" s="2" t="s">
        <v>11223</v>
      </c>
      <c r="G2192" s="2" t="s">
        <v>31</v>
      </c>
      <c r="H2192" s="17">
        <v>25</v>
      </c>
      <c r="I2192" s="31">
        <f t="shared" si="210"/>
        <v>25000</v>
      </c>
      <c r="J2192" s="31">
        <f t="shared" si="211"/>
        <v>1750.0000000000002</v>
      </c>
      <c r="K2192" s="44">
        <f t="shared" si="212"/>
        <v>4.794520547945206</v>
      </c>
      <c r="L2192" s="3">
        <f t="shared" si="213"/>
        <v>354.79452054794524</v>
      </c>
      <c r="M2192" s="3">
        <f t="shared" si="214"/>
        <v>21.287671232876715</v>
      </c>
      <c r="N2192" s="67">
        <f t="shared" si="215"/>
        <v>333.50684931506851</v>
      </c>
      <c r="O2192" s="3"/>
      <c r="P2192" s="70" t="s">
        <v>18608</v>
      </c>
      <c r="Q2192" s="2" t="s">
        <v>24</v>
      </c>
      <c r="R2192" s="2" t="s">
        <v>11224</v>
      </c>
      <c r="T2192" t="s">
        <v>18666</v>
      </c>
      <c r="U2192" t="s">
        <v>18652</v>
      </c>
      <c r="V2192" s="104">
        <v>45857</v>
      </c>
      <c r="X2192" s="97"/>
      <c r="Y2192" s="75">
        <v>333.51</v>
      </c>
    </row>
    <row r="2193" spans="1:25" x14ac:dyDescent="0.25">
      <c r="A2193" s="76">
        <v>2225</v>
      </c>
      <c r="B2193" s="2" t="s">
        <v>15966</v>
      </c>
      <c r="C2193" s="2" t="s">
        <v>15967</v>
      </c>
      <c r="D2193" s="2" t="s">
        <v>15968</v>
      </c>
      <c r="E2193" s="2" t="s">
        <v>15969</v>
      </c>
      <c r="F2193" s="2" t="s">
        <v>15970</v>
      </c>
      <c r="G2193" s="2" t="s">
        <v>1315</v>
      </c>
      <c r="H2193" s="17">
        <v>25</v>
      </c>
      <c r="I2193" s="31">
        <f t="shared" si="210"/>
        <v>25000</v>
      </c>
      <c r="J2193" s="31">
        <f t="shared" si="211"/>
        <v>1750.0000000000002</v>
      </c>
      <c r="K2193" s="44">
        <f t="shared" si="212"/>
        <v>4.794520547945206</v>
      </c>
      <c r="L2193" s="3">
        <f t="shared" si="213"/>
        <v>354.79452054794524</v>
      </c>
      <c r="M2193" s="3">
        <f t="shared" si="214"/>
        <v>21.287671232876715</v>
      </c>
      <c r="N2193" s="67">
        <f t="shared" si="215"/>
        <v>333.50684931506851</v>
      </c>
      <c r="O2193" s="3"/>
      <c r="P2193" s="70" t="s">
        <v>18608</v>
      </c>
      <c r="Q2193" s="2" t="s">
        <v>24</v>
      </c>
      <c r="R2193" s="2" t="s">
        <v>15971</v>
      </c>
      <c r="T2193" t="s">
        <v>18666</v>
      </c>
      <c r="U2193" t="s">
        <v>18652</v>
      </c>
      <c r="V2193" s="104">
        <v>45857</v>
      </c>
      <c r="X2193" s="97"/>
      <c r="Y2193" s="75">
        <v>333.51</v>
      </c>
    </row>
    <row r="2194" spans="1:25" x14ac:dyDescent="0.25">
      <c r="A2194" s="76">
        <v>2226</v>
      </c>
      <c r="B2194" s="2" t="s">
        <v>14930</v>
      </c>
      <c r="C2194" s="2" t="s">
        <v>14931</v>
      </c>
      <c r="D2194" s="2" t="s">
        <v>14932</v>
      </c>
      <c r="E2194" s="2" t="s">
        <v>14933</v>
      </c>
      <c r="F2194" s="2" t="s">
        <v>14934</v>
      </c>
      <c r="G2194" s="2" t="s">
        <v>381</v>
      </c>
      <c r="H2194" s="17">
        <v>25</v>
      </c>
      <c r="I2194" s="31">
        <f t="shared" ref="I2194:I2257" si="216">H2194*1000</f>
        <v>25000</v>
      </c>
      <c r="J2194" s="31">
        <f t="shared" ref="J2194:J2257" si="217">I2194*7%</f>
        <v>1750.0000000000002</v>
      </c>
      <c r="K2194" s="44">
        <f t="shared" ref="K2194:K2257" si="218">J2194/365</f>
        <v>4.794520547945206</v>
      </c>
      <c r="L2194" s="3">
        <f t="shared" ref="L2194:L2257" si="219">K2194*74</f>
        <v>354.79452054794524</v>
      </c>
      <c r="M2194" s="3">
        <f t="shared" ref="M2194:M2257" si="220">L2194*6%</f>
        <v>21.287671232876715</v>
      </c>
      <c r="N2194" s="67">
        <f t="shared" ref="N2194:N2257" si="221">L2194-M2194</f>
        <v>333.50684931506851</v>
      </c>
      <c r="O2194" s="3"/>
      <c r="P2194" s="70" t="s">
        <v>18608</v>
      </c>
      <c r="Q2194" s="2" t="s">
        <v>24</v>
      </c>
      <c r="R2194" s="2" t="s">
        <v>14935</v>
      </c>
      <c r="T2194" t="s">
        <v>18666</v>
      </c>
      <c r="U2194" t="s">
        <v>18652</v>
      </c>
      <c r="V2194" s="104">
        <v>45857</v>
      </c>
      <c r="X2194" s="97"/>
      <c r="Y2194" s="75">
        <v>333.51</v>
      </c>
    </row>
    <row r="2195" spans="1:25" x14ac:dyDescent="0.25">
      <c r="A2195" s="76">
        <v>2227</v>
      </c>
      <c r="B2195" s="2" t="s">
        <v>11197</v>
      </c>
      <c r="C2195" s="2" t="s">
        <v>11198</v>
      </c>
      <c r="D2195" s="2" t="s">
        <v>11199</v>
      </c>
      <c r="E2195" s="2" t="s">
        <v>11200</v>
      </c>
      <c r="F2195" s="2" t="s">
        <v>11201</v>
      </c>
      <c r="G2195" s="2" t="s">
        <v>61</v>
      </c>
      <c r="H2195" s="17">
        <v>25</v>
      </c>
      <c r="I2195" s="31">
        <f t="shared" si="216"/>
        <v>25000</v>
      </c>
      <c r="J2195" s="31">
        <f t="shared" si="217"/>
        <v>1750.0000000000002</v>
      </c>
      <c r="K2195" s="44">
        <f t="shared" si="218"/>
        <v>4.794520547945206</v>
      </c>
      <c r="L2195" s="3">
        <f t="shared" si="219"/>
        <v>354.79452054794524</v>
      </c>
      <c r="M2195" s="3">
        <f t="shared" si="220"/>
        <v>21.287671232876715</v>
      </c>
      <c r="N2195" s="67">
        <f t="shared" si="221"/>
        <v>333.50684931506851</v>
      </c>
      <c r="O2195" s="3"/>
      <c r="P2195" s="70" t="s">
        <v>18608</v>
      </c>
      <c r="Q2195" s="2" t="s">
        <v>24</v>
      </c>
      <c r="R2195" s="2" t="s">
        <v>11202</v>
      </c>
      <c r="T2195" t="s">
        <v>18666</v>
      </c>
      <c r="U2195" t="s">
        <v>18652</v>
      </c>
      <c r="V2195" s="104">
        <v>45857</v>
      </c>
      <c r="X2195" s="97"/>
      <c r="Y2195" s="75">
        <v>333.51</v>
      </c>
    </row>
    <row r="2196" spans="1:25" x14ac:dyDescent="0.25">
      <c r="A2196" s="76">
        <v>2228</v>
      </c>
      <c r="B2196" s="2" t="s">
        <v>17950</v>
      </c>
      <c r="C2196" s="2" t="s">
        <v>17951</v>
      </c>
      <c r="D2196" s="2" t="s">
        <v>17952</v>
      </c>
      <c r="E2196" s="2" t="s">
        <v>17953</v>
      </c>
      <c r="F2196" s="2" t="s">
        <v>17954</v>
      </c>
      <c r="G2196" s="2" t="s">
        <v>31</v>
      </c>
      <c r="H2196" s="17">
        <v>25</v>
      </c>
      <c r="I2196" s="31">
        <f t="shared" si="216"/>
        <v>25000</v>
      </c>
      <c r="J2196" s="31">
        <f t="shared" si="217"/>
        <v>1750.0000000000002</v>
      </c>
      <c r="K2196" s="44">
        <f t="shared" si="218"/>
        <v>4.794520547945206</v>
      </c>
      <c r="L2196" s="3">
        <f t="shared" si="219"/>
        <v>354.79452054794524</v>
      </c>
      <c r="M2196" s="3">
        <f t="shared" si="220"/>
        <v>21.287671232876715</v>
      </c>
      <c r="N2196" s="67">
        <f t="shared" si="221"/>
        <v>333.50684931506851</v>
      </c>
      <c r="O2196" s="3"/>
      <c r="P2196" s="70" t="s">
        <v>18608</v>
      </c>
      <c r="Q2196" s="2" t="s">
        <v>24</v>
      </c>
      <c r="R2196" s="2" t="s">
        <v>17955</v>
      </c>
      <c r="T2196" t="s">
        <v>18666</v>
      </c>
      <c r="U2196" t="s">
        <v>18652</v>
      </c>
      <c r="V2196" s="104">
        <v>45857</v>
      </c>
      <c r="X2196" s="97"/>
      <c r="Y2196" s="75">
        <v>333.51</v>
      </c>
    </row>
    <row r="2197" spans="1:25" x14ac:dyDescent="0.25">
      <c r="A2197" s="76">
        <v>2229</v>
      </c>
      <c r="B2197" s="2" t="s">
        <v>2250</v>
      </c>
      <c r="C2197" s="2" t="s">
        <v>2251</v>
      </c>
      <c r="D2197" s="2" t="s">
        <v>2252</v>
      </c>
      <c r="E2197" s="2" t="s">
        <v>455</v>
      </c>
      <c r="F2197" s="2" t="s">
        <v>2253</v>
      </c>
      <c r="G2197" s="2" t="s">
        <v>23</v>
      </c>
      <c r="H2197" s="17">
        <v>25</v>
      </c>
      <c r="I2197" s="31">
        <f t="shared" si="216"/>
        <v>25000</v>
      </c>
      <c r="J2197" s="31">
        <f t="shared" si="217"/>
        <v>1750.0000000000002</v>
      </c>
      <c r="K2197" s="44">
        <f t="shared" si="218"/>
        <v>4.794520547945206</v>
      </c>
      <c r="L2197" s="3">
        <f t="shared" si="219"/>
        <v>354.79452054794524</v>
      </c>
      <c r="M2197" s="3">
        <f t="shared" si="220"/>
        <v>21.287671232876715</v>
      </c>
      <c r="N2197" s="67">
        <f t="shared" si="221"/>
        <v>333.50684931506851</v>
      </c>
      <c r="O2197" s="3"/>
      <c r="P2197" s="70" t="s">
        <v>18608</v>
      </c>
      <c r="Q2197" s="2" t="s">
        <v>24</v>
      </c>
      <c r="R2197" s="2" t="s">
        <v>2254</v>
      </c>
      <c r="T2197" t="s">
        <v>18666</v>
      </c>
      <c r="U2197" t="s">
        <v>18652</v>
      </c>
      <c r="V2197" s="104">
        <v>45857</v>
      </c>
      <c r="X2197" s="97"/>
      <c r="Y2197" s="75">
        <v>333.51</v>
      </c>
    </row>
    <row r="2198" spans="1:25" x14ac:dyDescent="0.25">
      <c r="A2198" s="76">
        <v>2230</v>
      </c>
      <c r="B2198" s="2" t="s">
        <v>14280</v>
      </c>
      <c r="C2198" s="2" t="s">
        <v>14281</v>
      </c>
      <c r="D2198" s="2" t="s">
        <v>14282</v>
      </c>
      <c r="E2198" s="2" t="s">
        <v>14283</v>
      </c>
      <c r="F2198" s="2" t="s">
        <v>14284</v>
      </c>
      <c r="G2198" s="2" t="s">
        <v>524</v>
      </c>
      <c r="H2198" s="17">
        <v>25</v>
      </c>
      <c r="I2198" s="31">
        <f t="shared" si="216"/>
        <v>25000</v>
      </c>
      <c r="J2198" s="31">
        <f t="shared" si="217"/>
        <v>1750.0000000000002</v>
      </c>
      <c r="K2198" s="44">
        <f t="shared" si="218"/>
        <v>4.794520547945206</v>
      </c>
      <c r="L2198" s="3">
        <f t="shared" si="219"/>
        <v>354.79452054794524</v>
      </c>
      <c r="M2198" s="3">
        <f t="shared" si="220"/>
        <v>21.287671232876715</v>
      </c>
      <c r="N2198" s="67">
        <f t="shared" si="221"/>
        <v>333.50684931506851</v>
      </c>
      <c r="O2198" s="3"/>
      <c r="P2198" s="70" t="s">
        <v>18608</v>
      </c>
      <c r="Q2198" s="2" t="s">
        <v>24</v>
      </c>
      <c r="R2198" s="2" t="s">
        <v>14285</v>
      </c>
      <c r="T2198" t="s">
        <v>18666</v>
      </c>
      <c r="U2198" t="s">
        <v>18652</v>
      </c>
      <c r="V2198" s="104">
        <v>45857</v>
      </c>
      <c r="X2198" s="97"/>
      <c r="Y2198" s="75">
        <v>333.51</v>
      </c>
    </row>
    <row r="2199" spans="1:25" x14ac:dyDescent="0.25">
      <c r="A2199" s="76">
        <v>2231</v>
      </c>
      <c r="B2199" s="2" t="s">
        <v>12525</v>
      </c>
      <c r="C2199" s="2" t="s">
        <v>12526</v>
      </c>
      <c r="D2199" s="2" t="s">
        <v>12527</v>
      </c>
      <c r="E2199" s="2" t="s">
        <v>12528</v>
      </c>
      <c r="F2199" s="2" t="s">
        <v>12529</v>
      </c>
      <c r="G2199" s="2" t="s">
        <v>362</v>
      </c>
      <c r="H2199" s="17">
        <v>25</v>
      </c>
      <c r="I2199" s="31">
        <f t="shared" si="216"/>
        <v>25000</v>
      </c>
      <c r="J2199" s="31">
        <f t="shared" si="217"/>
        <v>1750.0000000000002</v>
      </c>
      <c r="K2199" s="44">
        <f t="shared" si="218"/>
        <v>4.794520547945206</v>
      </c>
      <c r="L2199" s="3">
        <f t="shared" si="219"/>
        <v>354.79452054794524</v>
      </c>
      <c r="M2199" s="3">
        <f t="shared" si="220"/>
        <v>21.287671232876715</v>
      </c>
      <c r="N2199" s="67">
        <f t="shared" si="221"/>
        <v>333.50684931506851</v>
      </c>
      <c r="O2199" s="3"/>
      <c r="P2199" s="70" t="s">
        <v>18608</v>
      </c>
      <c r="Q2199" s="2" t="s">
        <v>24</v>
      </c>
      <c r="R2199" s="2" t="s">
        <v>12530</v>
      </c>
      <c r="T2199" t="s">
        <v>18666</v>
      </c>
      <c r="U2199" t="s">
        <v>18652</v>
      </c>
      <c r="V2199" s="104">
        <v>45857</v>
      </c>
      <c r="X2199" s="97"/>
      <c r="Y2199" s="75">
        <v>333.51</v>
      </c>
    </row>
    <row r="2200" spans="1:25" x14ac:dyDescent="0.25">
      <c r="A2200" s="76">
        <v>2232</v>
      </c>
      <c r="B2200" s="2" t="s">
        <v>7635</v>
      </c>
      <c r="C2200" s="2" t="s">
        <v>7636</v>
      </c>
      <c r="D2200" s="2" t="s">
        <v>7637</v>
      </c>
      <c r="E2200" s="2" t="s">
        <v>7638</v>
      </c>
      <c r="F2200" s="2" t="s">
        <v>7639</v>
      </c>
      <c r="G2200" s="2" t="s">
        <v>517</v>
      </c>
      <c r="H2200" s="17">
        <v>200</v>
      </c>
      <c r="I2200" s="31">
        <f t="shared" si="216"/>
        <v>200000</v>
      </c>
      <c r="J2200" s="31">
        <f t="shared" si="217"/>
        <v>14000.000000000002</v>
      </c>
      <c r="K2200" s="44">
        <f t="shared" si="218"/>
        <v>38.356164383561648</v>
      </c>
      <c r="L2200" s="3">
        <f t="shared" si="219"/>
        <v>2838.3561643835619</v>
      </c>
      <c r="M2200" s="3">
        <f t="shared" si="220"/>
        <v>170.30136986301372</v>
      </c>
      <c r="N2200" s="67">
        <f t="shared" si="221"/>
        <v>2668.0547945205481</v>
      </c>
      <c r="O2200" s="3"/>
      <c r="P2200" s="70" t="s">
        <v>18608</v>
      </c>
      <c r="Q2200" s="2" t="s">
        <v>24</v>
      </c>
      <c r="R2200" s="2" t="s">
        <v>7640</v>
      </c>
      <c r="T2200" t="s">
        <v>18666</v>
      </c>
      <c r="U2200" t="s">
        <v>18652</v>
      </c>
      <c r="V2200" s="104">
        <v>45857</v>
      </c>
      <c r="X2200" s="97"/>
      <c r="Y2200" s="75">
        <v>2668.0600000000004</v>
      </c>
    </row>
    <row r="2201" spans="1:25" x14ac:dyDescent="0.25">
      <c r="A2201" s="76">
        <v>2233</v>
      </c>
      <c r="B2201" s="2" t="s">
        <v>11881</v>
      </c>
      <c r="C2201" s="2" t="s">
        <v>11882</v>
      </c>
      <c r="D2201" s="2" t="s">
        <v>11883</v>
      </c>
      <c r="E2201" s="2" t="s">
        <v>3168</v>
      </c>
      <c r="F2201" s="2" t="s">
        <v>11884</v>
      </c>
      <c r="G2201" s="2" t="s">
        <v>510</v>
      </c>
      <c r="H2201" s="17">
        <v>25</v>
      </c>
      <c r="I2201" s="31">
        <f t="shared" si="216"/>
        <v>25000</v>
      </c>
      <c r="J2201" s="31">
        <f t="shared" si="217"/>
        <v>1750.0000000000002</v>
      </c>
      <c r="K2201" s="44">
        <f t="shared" si="218"/>
        <v>4.794520547945206</v>
      </c>
      <c r="L2201" s="3">
        <f t="shared" si="219"/>
        <v>354.79452054794524</v>
      </c>
      <c r="M2201" s="3">
        <f t="shared" si="220"/>
        <v>21.287671232876715</v>
      </c>
      <c r="N2201" s="67">
        <f t="shared" si="221"/>
        <v>333.50684931506851</v>
      </c>
      <c r="O2201" s="3"/>
      <c r="P2201" s="70" t="s">
        <v>18608</v>
      </c>
      <c r="Q2201" s="2" t="s">
        <v>24</v>
      </c>
      <c r="R2201" s="2" t="s">
        <v>11885</v>
      </c>
      <c r="T2201" t="s">
        <v>18666</v>
      </c>
      <c r="U2201" t="s">
        <v>18652</v>
      </c>
      <c r="V2201" s="104">
        <v>45857</v>
      </c>
      <c r="X2201" s="97"/>
      <c r="Y2201" s="75">
        <v>333.51</v>
      </c>
    </row>
    <row r="2202" spans="1:25" x14ac:dyDescent="0.25">
      <c r="A2202" s="76">
        <v>2234</v>
      </c>
      <c r="B2202" s="2" t="s">
        <v>8154</v>
      </c>
      <c r="C2202" s="2" t="s">
        <v>8155</v>
      </c>
      <c r="D2202" s="2" t="s">
        <v>8156</v>
      </c>
      <c r="E2202" s="2" t="s">
        <v>8157</v>
      </c>
      <c r="F2202" s="2" t="s">
        <v>8158</v>
      </c>
      <c r="G2202" s="2" t="s">
        <v>151</v>
      </c>
      <c r="H2202" s="17">
        <v>25</v>
      </c>
      <c r="I2202" s="31">
        <f t="shared" si="216"/>
        <v>25000</v>
      </c>
      <c r="J2202" s="31">
        <f t="shared" si="217"/>
        <v>1750.0000000000002</v>
      </c>
      <c r="K2202" s="44">
        <f t="shared" si="218"/>
        <v>4.794520547945206</v>
      </c>
      <c r="L2202" s="3">
        <f t="shared" si="219"/>
        <v>354.79452054794524</v>
      </c>
      <c r="M2202" s="3">
        <f t="shared" si="220"/>
        <v>21.287671232876715</v>
      </c>
      <c r="N2202" s="67">
        <f t="shared" si="221"/>
        <v>333.50684931506851</v>
      </c>
      <c r="O2202" s="3"/>
      <c r="P2202" s="70" t="s">
        <v>18608</v>
      </c>
      <c r="Q2202" s="2" t="s">
        <v>24</v>
      </c>
      <c r="R2202" s="2" t="s">
        <v>8159</v>
      </c>
      <c r="T2202" t="s">
        <v>18666</v>
      </c>
      <c r="U2202" t="s">
        <v>18652</v>
      </c>
      <c r="V2202" s="104">
        <v>45857</v>
      </c>
      <c r="X2202" s="97"/>
      <c r="Y2202" s="75">
        <v>333.51</v>
      </c>
    </row>
    <row r="2203" spans="1:25" x14ac:dyDescent="0.25">
      <c r="A2203" s="76">
        <v>2235</v>
      </c>
      <c r="B2203" s="2" t="s">
        <v>10691</v>
      </c>
      <c r="C2203" s="2" t="s">
        <v>10692</v>
      </c>
      <c r="D2203" s="2" t="s">
        <v>10693</v>
      </c>
      <c r="E2203" s="2" t="s">
        <v>10694</v>
      </c>
      <c r="F2203" s="2" t="s">
        <v>10695</v>
      </c>
      <c r="G2203" s="2" t="s">
        <v>750</v>
      </c>
      <c r="H2203" s="17">
        <v>25</v>
      </c>
      <c r="I2203" s="31">
        <f t="shared" si="216"/>
        <v>25000</v>
      </c>
      <c r="J2203" s="31">
        <f t="shared" si="217"/>
        <v>1750.0000000000002</v>
      </c>
      <c r="K2203" s="44">
        <f t="shared" si="218"/>
        <v>4.794520547945206</v>
      </c>
      <c r="L2203" s="3">
        <f t="shared" si="219"/>
        <v>354.79452054794524</v>
      </c>
      <c r="M2203" s="3">
        <f t="shared" si="220"/>
        <v>21.287671232876715</v>
      </c>
      <c r="N2203" s="67">
        <f t="shared" si="221"/>
        <v>333.50684931506851</v>
      </c>
      <c r="O2203" s="3"/>
      <c r="P2203" s="70" t="s">
        <v>18608</v>
      </c>
      <c r="Q2203" s="2" t="s">
        <v>24</v>
      </c>
      <c r="R2203" s="2" t="s">
        <v>10696</v>
      </c>
      <c r="T2203" t="s">
        <v>18666</v>
      </c>
      <c r="U2203" t="s">
        <v>18652</v>
      </c>
      <c r="V2203" s="104">
        <v>45857</v>
      </c>
      <c r="X2203" s="97"/>
      <c r="Y2203" s="75">
        <v>333.51</v>
      </c>
    </row>
    <row r="2204" spans="1:25" x14ac:dyDescent="0.25">
      <c r="A2204" s="76">
        <v>2236</v>
      </c>
      <c r="B2204" s="2" t="s">
        <v>878</v>
      </c>
      <c r="C2204" s="2" t="s">
        <v>879</v>
      </c>
      <c r="D2204" s="2" t="s">
        <v>880</v>
      </c>
      <c r="E2204" s="2" t="s">
        <v>881</v>
      </c>
      <c r="F2204" s="2" t="s">
        <v>882</v>
      </c>
      <c r="G2204" s="2" t="s">
        <v>268</v>
      </c>
      <c r="H2204" s="17">
        <v>250</v>
      </c>
      <c r="I2204" s="31">
        <f t="shared" si="216"/>
        <v>250000</v>
      </c>
      <c r="J2204" s="31">
        <f t="shared" si="217"/>
        <v>17500</v>
      </c>
      <c r="K2204" s="44">
        <f t="shared" si="218"/>
        <v>47.945205479452056</v>
      </c>
      <c r="L2204" s="3">
        <f t="shared" si="219"/>
        <v>3547.9452054794519</v>
      </c>
      <c r="M2204" s="3">
        <f t="shared" si="220"/>
        <v>212.8767123287671</v>
      </c>
      <c r="N2204" s="67">
        <f t="shared" si="221"/>
        <v>3335.0684931506848</v>
      </c>
      <c r="O2204" s="3"/>
      <c r="P2204" s="70" t="s">
        <v>18608</v>
      </c>
      <c r="Q2204" s="2" t="s">
        <v>24</v>
      </c>
      <c r="R2204" s="2" t="s">
        <v>883</v>
      </c>
      <c r="T2204" t="s">
        <v>18666</v>
      </c>
      <c r="U2204" t="s">
        <v>18652</v>
      </c>
      <c r="V2204" s="104">
        <v>45857</v>
      </c>
      <c r="X2204" s="97"/>
      <c r="Y2204" s="75">
        <v>3335.07</v>
      </c>
    </row>
    <row r="2205" spans="1:25" x14ac:dyDescent="0.25">
      <c r="A2205" s="76">
        <v>2237</v>
      </c>
      <c r="B2205" s="2" t="s">
        <v>7341</v>
      </c>
      <c r="C2205" s="2" t="s">
        <v>7342</v>
      </c>
      <c r="D2205" s="2" t="s">
        <v>7343</v>
      </c>
      <c r="E2205" s="2" t="s">
        <v>7344</v>
      </c>
      <c r="F2205" s="2" t="s">
        <v>7345</v>
      </c>
      <c r="G2205" s="2" t="s">
        <v>166</v>
      </c>
      <c r="H2205" s="17">
        <v>25</v>
      </c>
      <c r="I2205" s="31">
        <f t="shared" si="216"/>
        <v>25000</v>
      </c>
      <c r="J2205" s="31">
        <f t="shared" si="217"/>
        <v>1750.0000000000002</v>
      </c>
      <c r="K2205" s="44">
        <f t="shared" si="218"/>
        <v>4.794520547945206</v>
      </c>
      <c r="L2205" s="3">
        <f t="shared" si="219"/>
        <v>354.79452054794524</v>
      </c>
      <c r="M2205" s="3">
        <f t="shared" si="220"/>
        <v>21.287671232876715</v>
      </c>
      <c r="N2205" s="67">
        <f t="shared" si="221"/>
        <v>333.50684931506851</v>
      </c>
      <c r="O2205" s="3"/>
      <c r="P2205" s="70" t="s">
        <v>18608</v>
      </c>
      <c r="Q2205" s="2" t="s">
        <v>24</v>
      </c>
      <c r="R2205" s="2" t="s">
        <v>7346</v>
      </c>
      <c r="T2205" t="s">
        <v>18666</v>
      </c>
      <c r="U2205" t="s">
        <v>18652</v>
      </c>
      <c r="V2205" s="104">
        <v>45857</v>
      </c>
      <c r="X2205" s="97"/>
      <c r="Y2205" s="75">
        <v>333.51</v>
      </c>
    </row>
    <row r="2206" spans="1:25" x14ac:dyDescent="0.25">
      <c r="A2206" s="76">
        <v>2238</v>
      </c>
      <c r="B2206" s="2" t="s">
        <v>15768</v>
      </c>
      <c r="C2206" s="2" t="s">
        <v>15769</v>
      </c>
      <c r="D2206" s="2" t="s">
        <v>15770</v>
      </c>
      <c r="E2206" s="2" t="s">
        <v>15771</v>
      </c>
      <c r="F2206" s="2" t="s">
        <v>15772</v>
      </c>
      <c r="G2206" s="2" t="s">
        <v>247</v>
      </c>
      <c r="H2206" s="17">
        <v>30</v>
      </c>
      <c r="I2206" s="31">
        <f t="shared" si="216"/>
        <v>30000</v>
      </c>
      <c r="J2206" s="31">
        <f t="shared" si="217"/>
        <v>2100</v>
      </c>
      <c r="K2206" s="44">
        <f t="shared" si="218"/>
        <v>5.7534246575342465</v>
      </c>
      <c r="L2206" s="3">
        <f t="shared" si="219"/>
        <v>425.75342465753425</v>
      </c>
      <c r="M2206" s="3">
        <f t="shared" si="220"/>
        <v>25.545205479452054</v>
      </c>
      <c r="N2206" s="67">
        <f t="shared" si="221"/>
        <v>400.20821917808217</v>
      </c>
      <c r="O2206" s="3"/>
      <c r="P2206" s="70" t="s">
        <v>18608</v>
      </c>
      <c r="Q2206" s="2" t="s">
        <v>24</v>
      </c>
      <c r="R2206" s="2" t="s">
        <v>15773</v>
      </c>
      <c r="T2206" t="s">
        <v>18666</v>
      </c>
      <c r="U2206" t="s">
        <v>18652</v>
      </c>
      <c r="V2206" s="104">
        <v>45857</v>
      </c>
      <c r="X2206" s="97"/>
      <c r="Y2206" s="75">
        <v>400.21</v>
      </c>
    </row>
    <row r="2207" spans="1:25" x14ac:dyDescent="0.25">
      <c r="A2207" s="76">
        <v>2239</v>
      </c>
      <c r="B2207" s="2" t="s">
        <v>12439</v>
      </c>
      <c r="C2207" s="2" t="s">
        <v>12440</v>
      </c>
      <c r="D2207" s="2" t="s">
        <v>12441</v>
      </c>
      <c r="E2207" s="2" t="s">
        <v>12442</v>
      </c>
      <c r="F2207" s="2" t="s">
        <v>12443</v>
      </c>
      <c r="G2207" s="2" t="s">
        <v>268</v>
      </c>
      <c r="H2207" s="17">
        <v>25</v>
      </c>
      <c r="I2207" s="31">
        <f t="shared" si="216"/>
        <v>25000</v>
      </c>
      <c r="J2207" s="31">
        <f t="shared" si="217"/>
        <v>1750.0000000000002</v>
      </c>
      <c r="K2207" s="44">
        <f t="shared" si="218"/>
        <v>4.794520547945206</v>
      </c>
      <c r="L2207" s="3">
        <f t="shared" si="219"/>
        <v>354.79452054794524</v>
      </c>
      <c r="M2207" s="3">
        <f t="shared" si="220"/>
        <v>21.287671232876715</v>
      </c>
      <c r="N2207" s="67">
        <f t="shared" si="221"/>
        <v>333.50684931506851</v>
      </c>
      <c r="O2207" s="3"/>
      <c r="P2207" s="70" t="s">
        <v>18608</v>
      </c>
      <c r="Q2207" s="2" t="s">
        <v>24</v>
      </c>
      <c r="R2207" s="2" t="s">
        <v>12444</v>
      </c>
      <c r="T2207" t="s">
        <v>18666</v>
      </c>
      <c r="U2207" t="s">
        <v>18652</v>
      </c>
      <c r="V2207" s="104">
        <v>45857</v>
      </c>
      <c r="X2207" s="97"/>
      <c r="Y2207" s="75">
        <v>333.51</v>
      </c>
    </row>
    <row r="2208" spans="1:25" x14ac:dyDescent="0.25">
      <c r="A2208" s="76">
        <v>2240</v>
      </c>
      <c r="B2208" s="2" t="s">
        <v>1353</v>
      </c>
      <c r="C2208" s="2" t="s">
        <v>1354</v>
      </c>
      <c r="D2208" s="2" t="s">
        <v>1355</v>
      </c>
      <c r="E2208" s="2" t="s">
        <v>1356</v>
      </c>
      <c r="F2208" s="2" t="s">
        <v>1357</v>
      </c>
      <c r="G2208" s="2" t="s">
        <v>750</v>
      </c>
      <c r="H2208" s="17">
        <v>50</v>
      </c>
      <c r="I2208" s="31">
        <f t="shared" si="216"/>
        <v>50000</v>
      </c>
      <c r="J2208" s="31">
        <f t="shared" si="217"/>
        <v>3500.0000000000005</v>
      </c>
      <c r="K2208" s="44">
        <f t="shared" si="218"/>
        <v>9.589041095890412</v>
      </c>
      <c r="L2208" s="3">
        <f t="shared" si="219"/>
        <v>709.58904109589048</v>
      </c>
      <c r="M2208" s="3">
        <f t="shared" si="220"/>
        <v>42.57534246575343</v>
      </c>
      <c r="N2208" s="67">
        <f t="shared" si="221"/>
        <v>667.01369863013701</v>
      </c>
      <c r="O2208" s="3"/>
      <c r="P2208" s="70" t="s">
        <v>18608</v>
      </c>
      <c r="Q2208" s="2" t="s">
        <v>24</v>
      </c>
      <c r="R2208" s="2" t="s">
        <v>1358</v>
      </c>
      <c r="T2208" t="s">
        <v>18666</v>
      </c>
      <c r="U2208" t="s">
        <v>18652</v>
      </c>
      <c r="V2208" s="104">
        <v>45857</v>
      </c>
      <c r="X2208" s="97"/>
      <c r="Y2208" s="75">
        <v>667.02</v>
      </c>
    </row>
    <row r="2209" spans="1:25" x14ac:dyDescent="0.25">
      <c r="A2209" s="76">
        <v>2241</v>
      </c>
      <c r="B2209" s="2" t="s">
        <v>5930</v>
      </c>
      <c r="C2209" s="2" t="s">
        <v>5931</v>
      </c>
      <c r="D2209" s="2" t="s">
        <v>5932</v>
      </c>
      <c r="E2209" s="2" t="s">
        <v>5933</v>
      </c>
      <c r="F2209" s="2" t="s">
        <v>5934</v>
      </c>
      <c r="G2209" s="2" t="s">
        <v>31</v>
      </c>
      <c r="H2209" s="17">
        <v>25</v>
      </c>
      <c r="I2209" s="31">
        <f t="shared" si="216"/>
        <v>25000</v>
      </c>
      <c r="J2209" s="31">
        <f t="shared" si="217"/>
        <v>1750.0000000000002</v>
      </c>
      <c r="K2209" s="44">
        <f t="shared" si="218"/>
        <v>4.794520547945206</v>
      </c>
      <c r="L2209" s="3">
        <f t="shared" si="219"/>
        <v>354.79452054794524</v>
      </c>
      <c r="M2209" s="3">
        <f t="shared" si="220"/>
        <v>21.287671232876715</v>
      </c>
      <c r="N2209" s="67">
        <f t="shared" si="221"/>
        <v>333.50684931506851</v>
      </c>
      <c r="O2209" s="3"/>
      <c r="P2209" s="70" t="s">
        <v>18608</v>
      </c>
      <c r="Q2209" s="2" t="s">
        <v>24</v>
      </c>
      <c r="R2209" s="2" t="s">
        <v>5935</v>
      </c>
      <c r="T2209" t="s">
        <v>18666</v>
      </c>
      <c r="U2209" t="s">
        <v>18652</v>
      </c>
      <c r="V2209" s="104">
        <v>45857</v>
      </c>
      <c r="X2209" s="97"/>
      <c r="Y2209" s="75">
        <v>333.51</v>
      </c>
    </row>
    <row r="2210" spans="1:25" x14ac:dyDescent="0.25">
      <c r="A2210" s="76">
        <v>2242</v>
      </c>
      <c r="B2210" s="2" t="s">
        <v>11323</v>
      </c>
      <c r="C2210" s="2" t="s">
        <v>11324</v>
      </c>
      <c r="D2210" s="2" t="s">
        <v>11325</v>
      </c>
      <c r="E2210" s="2" t="s">
        <v>11326</v>
      </c>
      <c r="F2210" s="2" t="s">
        <v>11327</v>
      </c>
      <c r="G2210" s="2" t="s">
        <v>151</v>
      </c>
      <c r="H2210" s="17">
        <v>50</v>
      </c>
      <c r="I2210" s="31">
        <f t="shared" si="216"/>
        <v>50000</v>
      </c>
      <c r="J2210" s="31">
        <f t="shared" si="217"/>
        <v>3500.0000000000005</v>
      </c>
      <c r="K2210" s="44">
        <f t="shared" si="218"/>
        <v>9.589041095890412</v>
      </c>
      <c r="L2210" s="3">
        <f t="shared" si="219"/>
        <v>709.58904109589048</v>
      </c>
      <c r="M2210" s="3">
        <f t="shared" si="220"/>
        <v>42.57534246575343</v>
      </c>
      <c r="N2210" s="67">
        <f t="shared" si="221"/>
        <v>667.01369863013701</v>
      </c>
      <c r="O2210" s="3"/>
      <c r="P2210" s="70" t="s">
        <v>18608</v>
      </c>
      <c r="Q2210" s="2" t="s">
        <v>24</v>
      </c>
      <c r="R2210" s="2" t="s">
        <v>11328</v>
      </c>
      <c r="T2210" t="s">
        <v>18666</v>
      </c>
      <c r="U2210" t="s">
        <v>18652</v>
      </c>
      <c r="V2210" s="104">
        <v>45857</v>
      </c>
      <c r="X2210" s="97"/>
      <c r="Y2210" s="75">
        <v>667.02</v>
      </c>
    </row>
    <row r="2211" spans="1:25" x14ac:dyDescent="0.25">
      <c r="A2211" s="76">
        <v>2243</v>
      </c>
      <c r="B2211" s="2" t="s">
        <v>9760</v>
      </c>
      <c r="C2211" s="2" t="s">
        <v>9761</v>
      </c>
      <c r="D2211" s="2" t="s">
        <v>6931</v>
      </c>
      <c r="E2211" s="2" t="s">
        <v>6932</v>
      </c>
      <c r="F2211" s="2" t="s">
        <v>9762</v>
      </c>
      <c r="G2211" s="2" t="s">
        <v>381</v>
      </c>
      <c r="H2211" s="17">
        <v>500</v>
      </c>
      <c r="I2211" s="31">
        <f t="shared" si="216"/>
        <v>500000</v>
      </c>
      <c r="J2211" s="31">
        <f t="shared" si="217"/>
        <v>35000</v>
      </c>
      <c r="K2211" s="44">
        <f t="shared" si="218"/>
        <v>95.890410958904113</v>
      </c>
      <c r="L2211" s="3">
        <f t="shared" si="219"/>
        <v>7095.8904109589039</v>
      </c>
      <c r="M2211" s="3">
        <f t="shared" si="220"/>
        <v>425.7534246575342</v>
      </c>
      <c r="N2211" s="67">
        <f t="shared" si="221"/>
        <v>6670.1369863013697</v>
      </c>
      <c r="O2211" s="3"/>
      <c r="P2211" s="70" t="s">
        <v>18608</v>
      </c>
      <c r="Q2211" s="2" t="s">
        <v>24</v>
      </c>
      <c r="R2211" s="2" t="s">
        <v>9763</v>
      </c>
      <c r="T2211" t="s">
        <v>18666</v>
      </c>
      <c r="U2211" t="s">
        <v>18652</v>
      </c>
      <c r="V2211" s="104">
        <v>45857</v>
      </c>
      <c r="X2211" s="97"/>
      <c r="Y2211" s="75">
        <v>6670.14</v>
      </c>
    </row>
    <row r="2212" spans="1:25" x14ac:dyDescent="0.25">
      <c r="A2212" s="76">
        <v>2244</v>
      </c>
      <c r="B2212" s="2" t="s">
        <v>14154</v>
      </c>
      <c r="C2212" s="2" t="s">
        <v>14155</v>
      </c>
      <c r="D2212" s="2" t="s">
        <v>6931</v>
      </c>
      <c r="E2212" s="2" t="s">
        <v>6932</v>
      </c>
      <c r="F2212" s="2" t="s">
        <v>14156</v>
      </c>
      <c r="G2212" s="2" t="s">
        <v>381</v>
      </c>
      <c r="H2212" s="17">
        <v>500</v>
      </c>
      <c r="I2212" s="31">
        <f t="shared" si="216"/>
        <v>500000</v>
      </c>
      <c r="J2212" s="31">
        <f t="shared" si="217"/>
        <v>35000</v>
      </c>
      <c r="K2212" s="44">
        <f t="shared" si="218"/>
        <v>95.890410958904113</v>
      </c>
      <c r="L2212" s="3">
        <f t="shared" si="219"/>
        <v>7095.8904109589039</v>
      </c>
      <c r="M2212" s="3">
        <f t="shared" si="220"/>
        <v>425.7534246575342</v>
      </c>
      <c r="N2212" s="67">
        <f t="shared" si="221"/>
        <v>6670.1369863013697</v>
      </c>
      <c r="O2212" s="3"/>
      <c r="P2212" s="70" t="s">
        <v>18608</v>
      </c>
      <c r="Q2212" s="2" t="s">
        <v>24</v>
      </c>
      <c r="R2212" s="2" t="s">
        <v>14157</v>
      </c>
      <c r="T2212" t="s">
        <v>18666</v>
      </c>
      <c r="U2212" t="s">
        <v>18652</v>
      </c>
      <c r="V2212" s="104">
        <v>45857</v>
      </c>
      <c r="X2212" s="97"/>
      <c r="Y2212" s="75">
        <v>6670.14</v>
      </c>
    </row>
    <row r="2213" spans="1:25" x14ac:dyDescent="0.25">
      <c r="A2213" s="76">
        <v>2245</v>
      </c>
      <c r="B2213" s="2" t="s">
        <v>15250</v>
      </c>
      <c r="C2213" s="2" t="s">
        <v>15251</v>
      </c>
      <c r="D2213" s="2" t="s">
        <v>15252</v>
      </c>
      <c r="E2213" s="2" t="s">
        <v>15253</v>
      </c>
      <c r="F2213" s="2" t="s">
        <v>15254</v>
      </c>
      <c r="G2213" s="2" t="s">
        <v>101</v>
      </c>
      <c r="H2213" s="17">
        <v>25</v>
      </c>
      <c r="I2213" s="31">
        <f t="shared" si="216"/>
        <v>25000</v>
      </c>
      <c r="J2213" s="31">
        <f t="shared" si="217"/>
        <v>1750.0000000000002</v>
      </c>
      <c r="K2213" s="44">
        <f t="shared" si="218"/>
        <v>4.794520547945206</v>
      </c>
      <c r="L2213" s="3">
        <f t="shared" si="219"/>
        <v>354.79452054794524</v>
      </c>
      <c r="M2213" s="3">
        <f t="shared" si="220"/>
        <v>21.287671232876715</v>
      </c>
      <c r="N2213" s="67">
        <f t="shared" si="221"/>
        <v>333.50684931506851</v>
      </c>
      <c r="O2213" s="3"/>
      <c r="P2213" s="70" t="s">
        <v>18608</v>
      </c>
      <c r="Q2213" s="2" t="s">
        <v>24</v>
      </c>
      <c r="R2213" s="2" t="s">
        <v>15255</v>
      </c>
      <c r="T2213" t="s">
        <v>18666</v>
      </c>
      <c r="U2213" t="s">
        <v>18652</v>
      </c>
      <c r="V2213" s="104">
        <v>45857</v>
      </c>
      <c r="X2213" s="97"/>
      <c r="Y2213" s="75">
        <v>333.51</v>
      </c>
    </row>
    <row r="2214" spans="1:25" x14ac:dyDescent="0.25">
      <c r="A2214" s="76">
        <v>2246</v>
      </c>
      <c r="B2214" s="2" t="s">
        <v>17747</v>
      </c>
      <c r="C2214" s="2" t="s">
        <v>17748</v>
      </c>
      <c r="D2214" s="2" t="s">
        <v>17749</v>
      </c>
      <c r="E2214" s="2" t="s">
        <v>17750</v>
      </c>
      <c r="F2214" s="2" t="s">
        <v>17751</v>
      </c>
      <c r="G2214" s="2" t="s">
        <v>296</v>
      </c>
      <c r="H2214" s="17">
        <v>25</v>
      </c>
      <c r="I2214" s="31">
        <f t="shared" si="216"/>
        <v>25000</v>
      </c>
      <c r="J2214" s="31">
        <f t="shared" si="217"/>
        <v>1750.0000000000002</v>
      </c>
      <c r="K2214" s="44">
        <f t="shared" si="218"/>
        <v>4.794520547945206</v>
      </c>
      <c r="L2214" s="3">
        <f t="shared" si="219"/>
        <v>354.79452054794524</v>
      </c>
      <c r="M2214" s="3">
        <f t="shared" si="220"/>
        <v>21.287671232876715</v>
      </c>
      <c r="N2214" s="67">
        <f t="shared" si="221"/>
        <v>333.50684931506851</v>
      </c>
      <c r="O2214" s="3"/>
      <c r="P2214" s="70" t="s">
        <v>18608</v>
      </c>
      <c r="Q2214" s="2" t="s">
        <v>24</v>
      </c>
      <c r="R2214" s="2" t="s">
        <v>17752</v>
      </c>
      <c r="T2214" t="s">
        <v>18666</v>
      </c>
      <c r="U2214" t="s">
        <v>18652</v>
      </c>
      <c r="V2214" s="104">
        <v>45857</v>
      </c>
      <c r="X2214" s="97"/>
      <c r="Y2214" s="75">
        <v>333.51</v>
      </c>
    </row>
    <row r="2215" spans="1:25" x14ac:dyDescent="0.25">
      <c r="A2215" s="76">
        <v>2247</v>
      </c>
      <c r="B2215" s="2" t="s">
        <v>9570</v>
      </c>
      <c r="C2215" s="2" t="s">
        <v>9571</v>
      </c>
      <c r="D2215" s="2" t="s">
        <v>9572</v>
      </c>
      <c r="E2215" s="2" t="s">
        <v>9573</v>
      </c>
      <c r="F2215" s="2" t="s">
        <v>9574</v>
      </c>
      <c r="G2215" s="2" t="s">
        <v>158</v>
      </c>
      <c r="H2215" s="17">
        <v>25</v>
      </c>
      <c r="I2215" s="31">
        <f t="shared" si="216"/>
        <v>25000</v>
      </c>
      <c r="J2215" s="31">
        <f t="shared" si="217"/>
        <v>1750.0000000000002</v>
      </c>
      <c r="K2215" s="44">
        <f t="shared" si="218"/>
        <v>4.794520547945206</v>
      </c>
      <c r="L2215" s="3">
        <f t="shared" si="219"/>
        <v>354.79452054794524</v>
      </c>
      <c r="M2215" s="3">
        <f t="shared" si="220"/>
        <v>21.287671232876715</v>
      </c>
      <c r="N2215" s="67">
        <f t="shared" si="221"/>
        <v>333.50684931506851</v>
      </c>
      <c r="O2215" s="3"/>
      <c r="P2215" s="70" t="s">
        <v>18608</v>
      </c>
      <c r="Q2215" s="2" t="s">
        <v>24</v>
      </c>
      <c r="R2215" s="2" t="s">
        <v>9575</v>
      </c>
      <c r="T2215" t="s">
        <v>18666</v>
      </c>
      <c r="U2215" t="s">
        <v>18652</v>
      </c>
      <c r="V2215" s="104">
        <v>45857</v>
      </c>
      <c r="X2215" s="97"/>
      <c r="Y2215" s="75">
        <v>333.51</v>
      </c>
    </row>
    <row r="2216" spans="1:25" x14ac:dyDescent="0.25">
      <c r="A2216" s="76">
        <v>2248</v>
      </c>
      <c r="B2216" s="2" t="s">
        <v>1927</v>
      </c>
      <c r="C2216" s="2" t="s">
        <v>1928</v>
      </c>
      <c r="D2216" s="2" t="s">
        <v>1929</v>
      </c>
      <c r="E2216" s="2" t="s">
        <v>1930</v>
      </c>
      <c r="F2216" s="2" t="s">
        <v>1931</v>
      </c>
      <c r="G2216" s="2" t="s">
        <v>247</v>
      </c>
      <c r="H2216" s="17">
        <v>25</v>
      </c>
      <c r="I2216" s="31">
        <f t="shared" si="216"/>
        <v>25000</v>
      </c>
      <c r="J2216" s="31">
        <f t="shared" si="217"/>
        <v>1750.0000000000002</v>
      </c>
      <c r="K2216" s="44">
        <f t="shared" si="218"/>
        <v>4.794520547945206</v>
      </c>
      <c r="L2216" s="3">
        <f t="shared" si="219"/>
        <v>354.79452054794524</v>
      </c>
      <c r="M2216" s="3">
        <f t="shared" si="220"/>
        <v>21.287671232876715</v>
      </c>
      <c r="N2216" s="67">
        <f t="shared" si="221"/>
        <v>333.50684931506851</v>
      </c>
      <c r="O2216" s="3"/>
      <c r="P2216" s="70" t="s">
        <v>18608</v>
      </c>
      <c r="Q2216" s="2" t="s">
        <v>24</v>
      </c>
      <c r="R2216" s="2" t="s">
        <v>1932</v>
      </c>
      <c r="T2216" t="s">
        <v>18666</v>
      </c>
      <c r="U2216" t="s">
        <v>18652</v>
      </c>
      <c r="V2216" s="104">
        <v>45857</v>
      </c>
      <c r="X2216" s="97"/>
      <c r="Y2216" s="75">
        <v>333.51</v>
      </c>
    </row>
    <row r="2217" spans="1:25" x14ac:dyDescent="0.25">
      <c r="A2217" s="76">
        <v>2249</v>
      </c>
      <c r="B2217" s="2" t="s">
        <v>14840</v>
      </c>
      <c r="C2217" s="2" t="s">
        <v>14841</v>
      </c>
      <c r="D2217" s="2" t="s">
        <v>14842</v>
      </c>
      <c r="E2217" s="2" t="s">
        <v>14843</v>
      </c>
      <c r="F2217" s="2" t="s">
        <v>14844</v>
      </c>
      <c r="G2217" s="2" t="s">
        <v>1048</v>
      </c>
      <c r="H2217" s="17">
        <v>25</v>
      </c>
      <c r="I2217" s="31">
        <f t="shared" si="216"/>
        <v>25000</v>
      </c>
      <c r="J2217" s="31">
        <f t="shared" si="217"/>
        <v>1750.0000000000002</v>
      </c>
      <c r="K2217" s="44">
        <f t="shared" si="218"/>
        <v>4.794520547945206</v>
      </c>
      <c r="L2217" s="3">
        <f t="shared" si="219"/>
        <v>354.79452054794524</v>
      </c>
      <c r="M2217" s="3">
        <f t="shared" si="220"/>
        <v>21.287671232876715</v>
      </c>
      <c r="N2217" s="67">
        <f t="shared" si="221"/>
        <v>333.50684931506851</v>
      </c>
      <c r="O2217" s="3"/>
      <c r="P2217" s="70" t="s">
        <v>18608</v>
      </c>
      <c r="Q2217" s="2" t="s">
        <v>24</v>
      </c>
      <c r="R2217" s="2" t="s">
        <v>14845</v>
      </c>
      <c r="T2217" t="s">
        <v>18666</v>
      </c>
      <c r="U2217" t="s">
        <v>18652</v>
      </c>
      <c r="V2217" s="104">
        <v>45857</v>
      </c>
      <c r="X2217" s="97"/>
      <c r="Y2217" s="75">
        <v>333.51</v>
      </c>
    </row>
    <row r="2218" spans="1:25" x14ac:dyDescent="0.25">
      <c r="A2218" s="76">
        <v>2250</v>
      </c>
      <c r="B2218" s="2" t="s">
        <v>6295</v>
      </c>
      <c r="C2218" s="2" t="s">
        <v>6296</v>
      </c>
      <c r="D2218" s="2" t="s">
        <v>6297</v>
      </c>
      <c r="E2218" s="2" t="s">
        <v>6298</v>
      </c>
      <c r="F2218" s="2" t="s">
        <v>6299</v>
      </c>
      <c r="G2218" s="2" t="s">
        <v>282</v>
      </c>
      <c r="H2218" s="17">
        <v>25</v>
      </c>
      <c r="I2218" s="31">
        <f t="shared" si="216"/>
        <v>25000</v>
      </c>
      <c r="J2218" s="31">
        <f t="shared" si="217"/>
        <v>1750.0000000000002</v>
      </c>
      <c r="K2218" s="44">
        <f t="shared" si="218"/>
        <v>4.794520547945206</v>
      </c>
      <c r="L2218" s="3">
        <f t="shared" si="219"/>
        <v>354.79452054794524</v>
      </c>
      <c r="M2218" s="3">
        <f t="shared" si="220"/>
        <v>21.287671232876715</v>
      </c>
      <c r="N2218" s="67">
        <f t="shared" si="221"/>
        <v>333.50684931506851</v>
      </c>
      <c r="O2218" s="3"/>
      <c r="P2218" s="70" t="s">
        <v>18608</v>
      </c>
      <c r="Q2218" s="2" t="s">
        <v>24</v>
      </c>
      <c r="R2218" s="2" t="s">
        <v>6300</v>
      </c>
      <c r="T2218" t="s">
        <v>18666</v>
      </c>
      <c r="U2218" t="s">
        <v>18652</v>
      </c>
      <c r="V2218" s="104">
        <v>45857</v>
      </c>
      <c r="X2218" s="97"/>
      <c r="Y2218" s="75">
        <v>333.51</v>
      </c>
    </row>
    <row r="2219" spans="1:25" x14ac:dyDescent="0.25">
      <c r="A2219" s="76">
        <v>2251</v>
      </c>
      <c r="B2219" s="2" t="s">
        <v>3672</v>
      </c>
      <c r="C2219" s="2" t="s">
        <v>3673</v>
      </c>
      <c r="D2219" s="2" t="s">
        <v>3674</v>
      </c>
      <c r="E2219" s="2" t="s">
        <v>3675</v>
      </c>
      <c r="F2219" s="2" t="s">
        <v>3676</v>
      </c>
      <c r="G2219" s="2" t="s">
        <v>328</v>
      </c>
      <c r="H2219" s="17">
        <v>50</v>
      </c>
      <c r="I2219" s="31">
        <f t="shared" si="216"/>
        <v>50000</v>
      </c>
      <c r="J2219" s="31">
        <f t="shared" si="217"/>
        <v>3500.0000000000005</v>
      </c>
      <c r="K2219" s="44">
        <f t="shared" si="218"/>
        <v>9.589041095890412</v>
      </c>
      <c r="L2219" s="3">
        <f t="shared" si="219"/>
        <v>709.58904109589048</v>
      </c>
      <c r="M2219" s="3">
        <f t="shared" si="220"/>
        <v>42.57534246575343</v>
      </c>
      <c r="N2219" s="67">
        <f t="shared" si="221"/>
        <v>667.01369863013701</v>
      </c>
      <c r="O2219" s="3"/>
      <c r="P2219" s="70" t="s">
        <v>18608</v>
      </c>
      <c r="Q2219" s="2" t="s">
        <v>24</v>
      </c>
      <c r="R2219" s="2" t="s">
        <v>3677</v>
      </c>
      <c r="T2219" t="s">
        <v>18666</v>
      </c>
      <c r="U2219" t="s">
        <v>18652</v>
      </c>
      <c r="V2219" s="104">
        <v>45857</v>
      </c>
      <c r="X2219" s="97"/>
      <c r="Y2219" s="75">
        <v>667.02</v>
      </c>
    </row>
    <row r="2220" spans="1:25" x14ac:dyDescent="0.25">
      <c r="A2220" s="76">
        <v>2252</v>
      </c>
      <c r="B2220" s="2" t="s">
        <v>745</v>
      </c>
      <c r="C2220" s="2" t="s">
        <v>746</v>
      </c>
      <c r="D2220" s="2" t="s">
        <v>747</v>
      </c>
      <c r="E2220" s="2" t="s">
        <v>748</v>
      </c>
      <c r="F2220" s="2" t="s">
        <v>749</v>
      </c>
      <c r="G2220" s="2" t="s">
        <v>750</v>
      </c>
      <c r="H2220" s="17">
        <v>60</v>
      </c>
      <c r="I2220" s="31">
        <f t="shared" si="216"/>
        <v>60000</v>
      </c>
      <c r="J2220" s="31">
        <f t="shared" si="217"/>
        <v>4200</v>
      </c>
      <c r="K2220" s="44">
        <f t="shared" si="218"/>
        <v>11.506849315068493</v>
      </c>
      <c r="L2220" s="3">
        <f t="shared" si="219"/>
        <v>851.50684931506851</v>
      </c>
      <c r="M2220" s="3">
        <f t="shared" si="220"/>
        <v>51.090410958904108</v>
      </c>
      <c r="N2220" s="67">
        <f t="shared" si="221"/>
        <v>800.41643835616435</v>
      </c>
      <c r="O2220" s="3"/>
      <c r="P2220" s="70" t="s">
        <v>18608</v>
      </c>
      <c r="Q2220" s="2" t="s">
        <v>24</v>
      </c>
      <c r="R2220" s="2" t="s">
        <v>751</v>
      </c>
      <c r="T2220" t="s">
        <v>18666</v>
      </c>
      <c r="U2220" t="s">
        <v>18652</v>
      </c>
      <c r="V2220" s="104">
        <v>45857</v>
      </c>
      <c r="X2220" s="97"/>
      <c r="Y2220" s="75">
        <v>800.42</v>
      </c>
    </row>
    <row r="2221" spans="1:25" x14ac:dyDescent="0.25">
      <c r="A2221" s="76">
        <v>2253</v>
      </c>
      <c r="B2221" s="2" t="s">
        <v>8729</v>
      </c>
      <c r="C2221" s="2" t="s">
        <v>8730</v>
      </c>
      <c r="D2221" s="2" t="s">
        <v>8731</v>
      </c>
      <c r="E2221" s="2" t="s">
        <v>8732</v>
      </c>
      <c r="F2221" s="2" t="s">
        <v>8733</v>
      </c>
      <c r="G2221" s="2" t="s">
        <v>31</v>
      </c>
      <c r="H2221" s="17">
        <v>50</v>
      </c>
      <c r="I2221" s="31">
        <f t="shared" si="216"/>
        <v>50000</v>
      </c>
      <c r="J2221" s="31">
        <f t="shared" si="217"/>
        <v>3500.0000000000005</v>
      </c>
      <c r="K2221" s="44">
        <f t="shared" si="218"/>
        <v>9.589041095890412</v>
      </c>
      <c r="L2221" s="3">
        <f t="shared" si="219"/>
        <v>709.58904109589048</v>
      </c>
      <c r="M2221" s="3">
        <f t="shared" si="220"/>
        <v>42.57534246575343</v>
      </c>
      <c r="N2221" s="67">
        <f t="shared" si="221"/>
        <v>667.01369863013701</v>
      </c>
      <c r="O2221" s="3"/>
      <c r="P2221" s="70" t="s">
        <v>18608</v>
      </c>
      <c r="Q2221" s="2" t="s">
        <v>24</v>
      </c>
      <c r="R2221" s="2" t="s">
        <v>8734</v>
      </c>
      <c r="T2221" t="s">
        <v>18666</v>
      </c>
      <c r="U2221" t="s">
        <v>18652</v>
      </c>
      <c r="V2221" s="104">
        <v>45857</v>
      </c>
      <c r="X2221" s="97"/>
      <c r="Y2221" s="75">
        <v>667.02</v>
      </c>
    </row>
    <row r="2222" spans="1:25" x14ac:dyDescent="0.25">
      <c r="A2222" s="76">
        <v>2254</v>
      </c>
      <c r="B2222" s="2" t="s">
        <v>7925</v>
      </c>
      <c r="C2222" s="2" t="s">
        <v>7926</v>
      </c>
      <c r="D2222" s="2" t="s">
        <v>7927</v>
      </c>
      <c r="E2222" s="2" t="s">
        <v>7928</v>
      </c>
      <c r="F2222" s="2" t="s">
        <v>7929</v>
      </c>
      <c r="G2222" s="2" t="s">
        <v>144</v>
      </c>
      <c r="H2222" s="17">
        <v>25</v>
      </c>
      <c r="I2222" s="31">
        <f t="shared" si="216"/>
        <v>25000</v>
      </c>
      <c r="J2222" s="31">
        <f t="shared" si="217"/>
        <v>1750.0000000000002</v>
      </c>
      <c r="K2222" s="44">
        <f t="shared" si="218"/>
        <v>4.794520547945206</v>
      </c>
      <c r="L2222" s="3">
        <f t="shared" si="219"/>
        <v>354.79452054794524</v>
      </c>
      <c r="M2222" s="3">
        <f t="shared" si="220"/>
        <v>21.287671232876715</v>
      </c>
      <c r="N2222" s="67">
        <f t="shared" si="221"/>
        <v>333.50684931506851</v>
      </c>
      <c r="O2222" s="3"/>
      <c r="P2222" s="70" t="s">
        <v>18608</v>
      </c>
      <c r="Q2222" s="2" t="s">
        <v>24</v>
      </c>
      <c r="R2222" s="2" t="s">
        <v>7930</v>
      </c>
      <c r="T2222" t="s">
        <v>18666</v>
      </c>
      <c r="U2222" t="s">
        <v>18652</v>
      </c>
      <c r="V2222" s="104">
        <v>45857</v>
      </c>
      <c r="X2222" s="97"/>
      <c r="Y2222" s="75">
        <v>333.51</v>
      </c>
    </row>
    <row r="2223" spans="1:25" x14ac:dyDescent="0.25">
      <c r="A2223" s="76">
        <v>2255</v>
      </c>
      <c r="B2223" s="2" t="s">
        <v>2530</v>
      </c>
      <c r="C2223" s="2" t="s">
        <v>2531</v>
      </c>
      <c r="D2223" s="2" t="s">
        <v>2532</v>
      </c>
      <c r="E2223" s="2" t="s">
        <v>2533</v>
      </c>
      <c r="F2223" s="2" t="s">
        <v>2534</v>
      </c>
      <c r="G2223" s="2" t="s">
        <v>31</v>
      </c>
      <c r="H2223" s="17">
        <v>25</v>
      </c>
      <c r="I2223" s="31">
        <f t="shared" si="216"/>
        <v>25000</v>
      </c>
      <c r="J2223" s="31">
        <f t="shared" si="217"/>
        <v>1750.0000000000002</v>
      </c>
      <c r="K2223" s="44">
        <f t="shared" si="218"/>
        <v>4.794520547945206</v>
      </c>
      <c r="L2223" s="3">
        <f t="shared" si="219"/>
        <v>354.79452054794524</v>
      </c>
      <c r="M2223" s="3">
        <f t="shared" si="220"/>
        <v>21.287671232876715</v>
      </c>
      <c r="N2223" s="67">
        <f t="shared" si="221"/>
        <v>333.50684931506851</v>
      </c>
      <c r="O2223" s="3"/>
      <c r="P2223" s="70" t="s">
        <v>18608</v>
      </c>
      <c r="Q2223" s="2" t="s">
        <v>24</v>
      </c>
      <c r="R2223" s="2" t="s">
        <v>2535</v>
      </c>
      <c r="T2223" t="s">
        <v>18666</v>
      </c>
      <c r="U2223" t="s">
        <v>18652</v>
      </c>
      <c r="V2223" s="104">
        <v>45857</v>
      </c>
      <c r="X2223" s="97"/>
      <c r="Y2223" s="75">
        <v>333.51</v>
      </c>
    </row>
    <row r="2224" spans="1:25" x14ac:dyDescent="0.25">
      <c r="A2224" s="76">
        <v>2256</v>
      </c>
      <c r="B2224" s="2" t="s">
        <v>13686</v>
      </c>
      <c r="C2224" s="2" t="s">
        <v>13687</v>
      </c>
      <c r="D2224" s="2" t="s">
        <v>13688</v>
      </c>
      <c r="E2224" s="2" t="s">
        <v>13689</v>
      </c>
      <c r="F2224" s="2" t="s">
        <v>13690</v>
      </c>
      <c r="G2224" s="2" t="s">
        <v>743</v>
      </c>
      <c r="H2224" s="17">
        <v>25</v>
      </c>
      <c r="I2224" s="31">
        <f t="shared" si="216"/>
        <v>25000</v>
      </c>
      <c r="J2224" s="31">
        <f t="shared" si="217"/>
        <v>1750.0000000000002</v>
      </c>
      <c r="K2224" s="44">
        <f t="shared" si="218"/>
        <v>4.794520547945206</v>
      </c>
      <c r="L2224" s="3">
        <f t="shared" si="219"/>
        <v>354.79452054794524</v>
      </c>
      <c r="M2224" s="3">
        <f t="shared" si="220"/>
        <v>21.287671232876715</v>
      </c>
      <c r="N2224" s="67">
        <f t="shared" si="221"/>
        <v>333.50684931506851</v>
      </c>
      <c r="O2224" s="3"/>
      <c r="P2224" s="70" t="s">
        <v>18608</v>
      </c>
      <c r="Q2224" s="2" t="s">
        <v>24</v>
      </c>
      <c r="R2224" s="2" t="s">
        <v>13691</v>
      </c>
      <c r="T2224" t="s">
        <v>18666</v>
      </c>
      <c r="U2224" t="s">
        <v>18652</v>
      </c>
      <c r="V2224" s="104">
        <v>45857</v>
      </c>
      <c r="X2224" s="97"/>
      <c r="Y2224" s="75">
        <v>333.51</v>
      </c>
    </row>
    <row r="2225" spans="1:25" x14ac:dyDescent="0.25">
      <c r="A2225" s="76">
        <v>2257</v>
      </c>
      <c r="B2225" s="2" t="s">
        <v>4274</v>
      </c>
      <c r="C2225" s="2" t="s">
        <v>4275</v>
      </c>
      <c r="D2225" s="2" t="s">
        <v>4276</v>
      </c>
      <c r="E2225" s="2" t="s">
        <v>4277</v>
      </c>
      <c r="F2225" s="2" t="s">
        <v>4278</v>
      </c>
      <c r="G2225" s="2" t="s">
        <v>226</v>
      </c>
      <c r="H2225" s="17">
        <v>25</v>
      </c>
      <c r="I2225" s="31">
        <f t="shared" si="216"/>
        <v>25000</v>
      </c>
      <c r="J2225" s="31">
        <f t="shared" si="217"/>
        <v>1750.0000000000002</v>
      </c>
      <c r="K2225" s="44">
        <f t="shared" si="218"/>
        <v>4.794520547945206</v>
      </c>
      <c r="L2225" s="3">
        <f t="shared" si="219"/>
        <v>354.79452054794524</v>
      </c>
      <c r="M2225" s="3">
        <f t="shared" si="220"/>
        <v>21.287671232876715</v>
      </c>
      <c r="N2225" s="67">
        <f t="shared" si="221"/>
        <v>333.50684931506851</v>
      </c>
      <c r="O2225" s="3"/>
      <c r="P2225" s="70" t="s">
        <v>18608</v>
      </c>
      <c r="Q2225" s="2" t="s">
        <v>24</v>
      </c>
      <c r="R2225" s="2" t="s">
        <v>4279</v>
      </c>
      <c r="T2225" t="s">
        <v>18666</v>
      </c>
      <c r="U2225" t="s">
        <v>18652</v>
      </c>
      <c r="V2225" s="104">
        <v>45857</v>
      </c>
      <c r="X2225" s="97"/>
      <c r="Y2225" s="75">
        <v>333.51</v>
      </c>
    </row>
    <row r="2226" spans="1:25" x14ac:dyDescent="0.25">
      <c r="A2226" s="76">
        <v>2258</v>
      </c>
      <c r="B2226" s="2" t="s">
        <v>9775</v>
      </c>
      <c r="C2226" s="2" t="s">
        <v>9776</v>
      </c>
      <c r="D2226" s="2" t="s">
        <v>8085</v>
      </c>
      <c r="E2226" s="2" t="s">
        <v>9777</v>
      </c>
      <c r="F2226" s="2" t="s">
        <v>9778</v>
      </c>
      <c r="G2226" s="2" t="s">
        <v>247</v>
      </c>
      <c r="H2226" s="17">
        <v>200</v>
      </c>
      <c r="I2226" s="31">
        <f t="shared" si="216"/>
        <v>200000</v>
      </c>
      <c r="J2226" s="31">
        <f t="shared" si="217"/>
        <v>14000.000000000002</v>
      </c>
      <c r="K2226" s="44">
        <f t="shared" si="218"/>
        <v>38.356164383561648</v>
      </c>
      <c r="L2226" s="3">
        <f t="shared" si="219"/>
        <v>2838.3561643835619</v>
      </c>
      <c r="M2226" s="3">
        <f t="shared" si="220"/>
        <v>170.30136986301372</v>
      </c>
      <c r="N2226" s="67">
        <f t="shared" si="221"/>
        <v>2668.0547945205481</v>
      </c>
      <c r="O2226" s="3"/>
      <c r="P2226" s="70" t="s">
        <v>18608</v>
      </c>
      <c r="Q2226" s="2" t="s">
        <v>24</v>
      </c>
      <c r="R2226" s="2" t="s">
        <v>9779</v>
      </c>
      <c r="T2226" t="s">
        <v>18666</v>
      </c>
      <c r="U2226" t="s">
        <v>18652</v>
      </c>
      <c r="V2226" s="104">
        <v>45857</v>
      </c>
      <c r="X2226" s="97"/>
      <c r="Y2226" s="75">
        <v>2668.0600000000004</v>
      </c>
    </row>
    <row r="2227" spans="1:25" x14ac:dyDescent="0.25">
      <c r="A2227" s="76">
        <v>2259</v>
      </c>
      <c r="B2227" s="2" t="s">
        <v>14211</v>
      </c>
      <c r="C2227" s="2" t="s">
        <v>14212</v>
      </c>
      <c r="D2227" s="2" t="s">
        <v>14213</v>
      </c>
      <c r="E2227" s="2" t="s">
        <v>14214</v>
      </c>
      <c r="F2227" s="2" t="s">
        <v>14215</v>
      </c>
      <c r="G2227" s="2" t="s">
        <v>268</v>
      </c>
      <c r="H2227" s="17">
        <v>25</v>
      </c>
      <c r="I2227" s="31">
        <f t="shared" si="216"/>
        <v>25000</v>
      </c>
      <c r="J2227" s="31">
        <f t="shared" si="217"/>
        <v>1750.0000000000002</v>
      </c>
      <c r="K2227" s="44">
        <f t="shared" si="218"/>
        <v>4.794520547945206</v>
      </c>
      <c r="L2227" s="3">
        <f t="shared" si="219"/>
        <v>354.79452054794524</v>
      </c>
      <c r="M2227" s="3">
        <f t="shared" si="220"/>
        <v>21.287671232876715</v>
      </c>
      <c r="N2227" s="67">
        <f t="shared" si="221"/>
        <v>333.50684931506851</v>
      </c>
      <c r="O2227" s="3"/>
      <c r="P2227" s="70" t="s">
        <v>18608</v>
      </c>
      <c r="Q2227" s="2" t="s">
        <v>24</v>
      </c>
      <c r="R2227" s="2" t="s">
        <v>14216</v>
      </c>
      <c r="T2227" t="s">
        <v>18666</v>
      </c>
      <c r="U2227" t="s">
        <v>18652</v>
      </c>
      <c r="V2227" s="104">
        <v>45857</v>
      </c>
      <c r="X2227" s="97"/>
      <c r="Y2227" s="75">
        <v>333.51</v>
      </c>
    </row>
    <row r="2228" spans="1:25" x14ac:dyDescent="0.25">
      <c r="A2228" s="76">
        <v>2260</v>
      </c>
      <c r="B2228" s="2" t="s">
        <v>5563</v>
      </c>
      <c r="C2228" s="2" t="s">
        <v>5564</v>
      </c>
      <c r="D2228" s="2" t="s">
        <v>5565</v>
      </c>
      <c r="E2228" s="2" t="s">
        <v>5566</v>
      </c>
      <c r="F2228" s="2" t="s">
        <v>5567</v>
      </c>
      <c r="G2228" s="2" t="s">
        <v>510</v>
      </c>
      <c r="H2228" s="17">
        <v>25</v>
      </c>
      <c r="I2228" s="31">
        <f t="shared" si="216"/>
        <v>25000</v>
      </c>
      <c r="J2228" s="31">
        <f t="shared" si="217"/>
        <v>1750.0000000000002</v>
      </c>
      <c r="K2228" s="44">
        <f t="shared" si="218"/>
        <v>4.794520547945206</v>
      </c>
      <c r="L2228" s="3">
        <f t="shared" si="219"/>
        <v>354.79452054794524</v>
      </c>
      <c r="M2228" s="3">
        <f t="shared" si="220"/>
        <v>21.287671232876715</v>
      </c>
      <c r="N2228" s="67">
        <f t="shared" si="221"/>
        <v>333.50684931506851</v>
      </c>
      <c r="O2228" s="3"/>
      <c r="P2228" s="70" t="s">
        <v>18608</v>
      </c>
      <c r="Q2228" s="2" t="s">
        <v>24</v>
      </c>
      <c r="R2228" s="2" t="s">
        <v>5568</v>
      </c>
      <c r="T2228" t="s">
        <v>18666</v>
      </c>
      <c r="U2228" t="s">
        <v>18652</v>
      </c>
      <c r="V2228" s="104">
        <v>45857</v>
      </c>
      <c r="X2228" s="97"/>
      <c r="Y2228" s="75">
        <v>333.51</v>
      </c>
    </row>
    <row r="2229" spans="1:25" x14ac:dyDescent="0.25">
      <c r="A2229" s="76">
        <v>2261</v>
      </c>
      <c r="B2229" s="2" t="s">
        <v>1214</v>
      </c>
      <c r="C2229" s="2" t="s">
        <v>1215</v>
      </c>
      <c r="D2229" s="2" t="s">
        <v>1216</v>
      </c>
      <c r="E2229" s="2" t="s">
        <v>1217</v>
      </c>
      <c r="F2229" s="2" t="s">
        <v>1218</v>
      </c>
      <c r="G2229" s="2" t="s">
        <v>517</v>
      </c>
      <c r="H2229" s="17">
        <v>25</v>
      </c>
      <c r="I2229" s="31">
        <f t="shared" si="216"/>
        <v>25000</v>
      </c>
      <c r="J2229" s="31">
        <f t="shared" si="217"/>
        <v>1750.0000000000002</v>
      </c>
      <c r="K2229" s="44">
        <f t="shared" si="218"/>
        <v>4.794520547945206</v>
      </c>
      <c r="L2229" s="3">
        <f t="shared" si="219"/>
        <v>354.79452054794524</v>
      </c>
      <c r="M2229" s="3">
        <f t="shared" si="220"/>
        <v>21.287671232876715</v>
      </c>
      <c r="N2229" s="67">
        <f t="shared" si="221"/>
        <v>333.50684931506851</v>
      </c>
      <c r="O2229" s="3"/>
      <c r="P2229" s="70" t="s">
        <v>18608</v>
      </c>
      <c r="Q2229" s="2" t="s">
        <v>24</v>
      </c>
      <c r="R2229" s="2" t="s">
        <v>1219</v>
      </c>
      <c r="T2229" t="s">
        <v>18666</v>
      </c>
      <c r="U2229" t="s">
        <v>18652</v>
      </c>
      <c r="V2229" s="104">
        <v>45857</v>
      </c>
      <c r="X2229" s="97"/>
      <c r="Y2229" s="75">
        <v>333.51</v>
      </c>
    </row>
    <row r="2230" spans="1:25" x14ac:dyDescent="0.25">
      <c r="A2230" s="76">
        <v>2262</v>
      </c>
      <c r="B2230" s="2" t="s">
        <v>6561</v>
      </c>
      <c r="C2230" s="2" t="s">
        <v>6562</v>
      </c>
      <c r="D2230" s="2" t="s">
        <v>6563</v>
      </c>
      <c r="E2230" s="2" t="s">
        <v>6564</v>
      </c>
      <c r="F2230" s="2" t="s">
        <v>6565</v>
      </c>
      <c r="G2230" s="2" t="s">
        <v>151</v>
      </c>
      <c r="H2230" s="17">
        <v>100</v>
      </c>
      <c r="I2230" s="31">
        <f t="shared" si="216"/>
        <v>100000</v>
      </c>
      <c r="J2230" s="31">
        <f t="shared" si="217"/>
        <v>7000.0000000000009</v>
      </c>
      <c r="K2230" s="44">
        <f t="shared" si="218"/>
        <v>19.178082191780824</v>
      </c>
      <c r="L2230" s="3">
        <f t="shared" si="219"/>
        <v>1419.178082191781</v>
      </c>
      <c r="M2230" s="3">
        <f t="shared" si="220"/>
        <v>85.150684931506859</v>
      </c>
      <c r="N2230" s="67">
        <f t="shared" si="221"/>
        <v>1334.027397260274</v>
      </c>
      <c r="O2230" s="3"/>
      <c r="P2230" s="70" t="s">
        <v>18608</v>
      </c>
      <c r="Q2230" s="2" t="s">
        <v>24</v>
      </c>
      <c r="R2230" s="2" t="s">
        <v>6566</v>
      </c>
      <c r="T2230" t="s">
        <v>18666</v>
      </c>
      <c r="U2230" t="s">
        <v>18652</v>
      </c>
      <c r="V2230" s="104">
        <v>45857</v>
      </c>
      <c r="X2230" s="97"/>
      <c r="Y2230" s="75">
        <v>1334.03</v>
      </c>
    </row>
    <row r="2231" spans="1:25" x14ac:dyDescent="0.25">
      <c r="A2231" s="76">
        <v>2263</v>
      </c>
      <c r="B2231" s="2" t="s">
        <v>10846</v>
      </c>
      <c r="C2231" s="2" t="s">
        <v>10847</v>
      </c>
      <c r="D2231" s="2" t="s">
        <v>10848</v>
      </c>
      <c r="E2231" s="2" t="s">
        <v>10849</v>
      </c>
      <c r="F2231" s="2" t="s">
        <v>10850</v>
      </c>
      <c r="G2231" s="2" t="s">
        <v>240</v>
      </c>
      <c r="H2231" s="17">
        <v>25</v>
      </c>
      <c r="I2231" s="31">
        <f t="shared" si="216"/>
        <v>25000</v>
      </c>
      <c r="J2231" s="31">
        <f t="shared" si="217"/>
        <v>1750.0000000000002</v>
      </c>
      <c r="K2231" s="44">
        <f t="shared" si="218"/>
        <v>4.794520547945206</v>
      </c>
      <c r="L2231" s="3">
        <f t="shared" si="219"/>
        <v>354.79452054794524</v>
      </c>
      <c r="M2231" s="3">
        <f t="shared" si="220"/>
        <v>21.287671232876715</v>
      </c>
      <c r="N2231" s="67">
        <f t="shared" si="221"/>
        <v>333.50684931506851</v>
      </c>
      <c r="O2231" s="3"/>
      <c r="P2231" s="70" t="s">
        <v>18608</v>
      </c>
      <c r="Q2231" s="2" t="s">
        <v>24</v>
      </c>
      <c r="R2231" s="2" t="s">
        <v>10851</v>
      </c>
      <c r="T2231" t="s">
        <v>18666</v>
      </c>
      <c r="U2231" t="s">
        <v>18652</v>
      </c>
      <c r="V2231" s="104">
        <v>45857</v>
      </c>
      <c r="X2231" s="97"/>
      <c r="Y2231" s="75">
        <v>333.51</v>
      </c>
    </row>
    <row r="2232" spans="1:25" x14ac:dyDescent="0.25">
      <c r="A2232" s="76">
        <v>2264</v>
      </c>
      <c r="B2232" s="2" t="s">
        <v>903</v>
      </c>
      <c r="C2232" s="2" t="s">
        <v>904</v>
      </c>
      <c r="D2232" s="2" t="s">
        <v>905</v>
      </c>
      <c r="E2232" s="2" t="s">
        <v>906</v>
      </c>
      <c r="F2232" s="2" t="s">
        <v>907</v>
      </c>
      <c r="G2232" s="2" t="s">
        <v>151</v>
      </c>
      <c r="H2232" s="17">
        <v>50</v>
      </c>
      <c r="I2232" s="31">
        <f t="shared" si="216"/>
        <v>50000</v>
      </c>
      <c r="J2232" s="31">
        <f t="shared" si="217"/>
        <v>3500.0000000000005</v>
      </c>
      <c r="K2232" s="44">
        <f t="shared" si="218"/>
        <v>9.589041095890412</v>
      </c>
      <c r="L2232" s="3">
        <f t="shared" si="219"/>
        <v>709.58904109589048</v>
      </c>
      <c r="M2232" s="3">
        <f t="shared" si="220"/>
        <v>42.57534246575343</v>
      </c>
      <c r="N2232" s="67">
        <f t="shared" si="221"/>
        <v>667.01369863013701</v>
      </c>
      <c r="O2232" s="3"/>
      <c r="P2232" s="70" t="s">
        <v>18608</v>
      </c>
      <c r="Q2232" s="2" t="s">
        <v>24</v>
      </c>
      <c r="R2232" s="2" t="s">
        <v>908</v>
      </c>
      <c r="T2232" t="s">
        <v>18666</v>
      </c>
      <c r="U2232" t="s">
        <v>18652</v>
      </c>
      <c r="V2232" s="104">
        <v>45857</v>
      </c>
      <c r="X2232" s="97"/>
      <c r="Y2232" s="75">
        <v>667.02</v>
      </c>
    </row>
    <row r="2233" spans="1:25" x14ac:dyDescent="0.25">
      <c r="A2233" s="76">
        <v>2265</v>
      </c>
      <c r="B2233" s="2" t="s">
        <v>6978</v>
      </c>
      <c r="C2233" s="2" t="s">
        <v>6979</v>
      </c>
      <c r="D2233" s="2" t="s">
        <v>6980</v>
      </c>
      <c r="E2233" s="2" t="s">
        <v>6981</v>
      </c>
      <c r="F2233" s="2" t="s">
        <v>6982</v>
      </c>
      <c r="G2233" s="2" t="s">
        <v>61</v>
      </c>
      <c r="H2233" s="17">
        <v>25</v>
      </c>
      <c r="I2233" s="31">
        <f t="shared" si="216"/>
        <v>25000</v>
      </c>
      <c r="J2233" s="31">
        <f t="shared" si="217"/>
        <v>1750.0000000000002</v>
      </c>
      <c r="K2233" s="44">
        <f t="shared" si="218"/>
        <v>4.794520547945206</v>
      </c>
      <c r="L2233" s="3">
        <f t="shared" si="219"/>
        <v>354.79452054794524</v>
      </c>
      <c r="M2233" s="3">
        <f t="shared" si="220"/>
        <v>21.287671232876715</v>
      </c>
      <c r="N2233" s="67">
        <f t="shared" si="221"/>
        <v>333.50684931506851</v>
      </c>
      <c r="O2233" s="3"/>
      <c r="P2233" s="70" t="s">
        <v>18608</v>
      </c>
      <c r="Q2233" s="2" t="s">
        <v>24</v>
      </c>
      <c r="R2233" s="2" t="s">
        <v>6983</v>
      </c>
      <c r="T2233" t="s">
        <v>18666</v>
      </c>
      <c r="U2233" t="s">
        <v>18652</v>
      </c>
      <c r="V2233" s="104">
        <v>45857</v>
      </c>
      <c r="X2233" s="97"/>
      <c r="Y2233" s="75">
        <v>333.51</v>
      </c>
    </row>
    <row r="2234" spans="1:25" x14ac:dyDescent="0.25">
      <c r="A2234" s="76">
        <v>2266</v>
      </c>
      <c r="B2234" s="2" t="s">
        <v>2206</v>
      </c>
      <c r="C2234" s="2" t="s">
        <v>2207</v>
      </c>
      <c r="D2234" s="2" t="s">
        <v>1737</v>
      </c>
      <c r="E2234" s="2" t="s">
        <v>1738</v>
      </c>
      <c r="F2234" s="2" t="s">
        <v>2208</v>
      </c>
      <c r="G2234" s="2" t="s">
        <v>517</v>
      </c>
      <c r="H2234" s="17">
        <v>25</v>
      </c>
      <c r="I2234" s="31">
        <f t="shared" si="216"/>
        <v>25000</v>
      </c>
      <c r="J2234" s="31">
        <f t="shared" si="217"/>
        <v>1750.0000000000002</v>
      </c>
      <c r="K2234" s="44">
        <f t="shared" si="218"/>
        <v>4.794520547945206</v>
      </c>
      <c r="L2234" s="3">
        <f t="shared" si="219"/>
        <v>354.79452054794524</v>
      </c>
      <c r="M2234" s="3">
        <f t="shared" si="220"/>
        <v>21.287671232876715</v>
      </c>
      <c r="N2234" s="67">
        <f t="shared" si="221"/>
        <v>333.50684931506851</v>
      </c>
      <c r="O2234" s="3"/>
      <c r="P2234" s="70" t="s">
        <v>18608</v>
      </c>
      <c r="Q2234" s="2" t="s">
        <v>24</v>
      </c>
      <c r="R2234" s="2" t="s">
        <v>2209</v>
      </c>
      <c r="T2234" t="s">
        <v>18666</v>
      </c>
      <c r="U2234" t="s">
        <v>18652</v>
      </c>
      <c r="V2234" s="104">
        <v>45857</v>
      </c>
      <c r="X2234" s="97"/>
      <c r="Y2234" s="75">
        <v>333.51</v>
      </c>
    </row>
    <row r="2235" spans="1:25" x14ac:dyDescent="0.25">
      <c r="A2235" s="76">
        <v>2267</v>
      </c>
      <c r="B2235" s="2" t="s">
        <v>12879</v>
      </c>
      <c r="C2235" s="2" t="s">
        <v>12880</v>
      </c>
      <c r="D2235" s="2" t="s">
        <v>12881</v>
      </c>
      <c r="E2235" s="2" t="s">
        <v>12882</v>
      </c>
      <c r="F2235" s="2" t="s">
        <v>12883</v>
      </c>
      <c r="G2235" s="2" t="s">
        <v>31</v>
      </c>
      <c r="H2235" s="17">
        <v>100</v>
      </c>
      <c r="I2235" s="31">
        <f t="shared" si="216"/>
        <v>100000</v>
      </c>
      <c r="J2235" s="31">
        <f t="shared" si="217"/>
        <v>7000.0000000000009</v>
      </c>
      <c r="K2235" s="44">
        <f t="shared" si="218"/>
        <v>19.178082191780824</v>
      </c>
      <c r="L2235" s="3">
        <f t="shared" si="219"/>
        <v>1419.178082191781</v>
      </c>
      <c r="M2235" s="3">
        <f t="shared" si="220"/>
        <v>85.150684931506859</v>
      </c>
      <c r="N2235" s="67">
        <f t="shared" si="221"/>
        <v>1334.027397260274</v>
      </c>
      <c r="O2235" s="3"/>
      <c r="P2235" s="70" t="s">
        <v>18608</v>
      </c>
      <c r="Q2235" s="2" t="s">
        <v>24</v>
      </c>
      <c r="R2235" s="2" t="s">
        <v>12884</v>
      </c>
      <c r="T2235" t="s">
        <v>18666</v>
      </c>
      <c r="U2235" t="s">
        <v>18652</v>
      </c>
      <c r="V2235" s="104">
        <v>45857</v>
      </c>
      <c r="X2235" s="97"/>
      <c r="Y2235" s="75">
        <v>1334.03</v>
      </c>
    </row>
    <row r="2236" spans="1:25" x14ac:dyDescent="0.25">
      <c r="A2236" s="76">
        <v>2268</v>
      </c>
      <c r="B2236" s="2" t="s">
        <v>18142</v>
      </c>
      <c r="C2236" s="2" t="s">
        <v>18143</v>
      </c>
      <c r="D2236" s="2" t="s">
        <v>18144</v>
      </c>
      <c r="E2236" s="2" t="s">
        <v>18145</v>
      </c>
      <c r="F2236" s="2" t="s">
        <v>18146</v>
      </c>
      <c r="G2236" s="2" t="s">
        <v>1315</v>
      </c>
      <c r="H2236" s="17">
        <v>200</v>
      </c>
      <c r="I2236" s="31">
        <f t="shared" si="216"/>
        <v>200000</v>
      </c>
      <c r="J2236" s="31">
        <f t="shared" si="217"/>
        <v>14000.000000000002</v>
      </c>
      <c r="K2236" s="44">
        <f t="shared" si="218"/>
        <v>38.356164383561648</v>
      </c>
      <c r="L2236" s="3">
        <f t="shared" si="219"/>
        <v>2838.3561643835619</v>
      </c>
      <c r="M2236" s="3">
        <f t="shared" si="220"/>
        <v>170.30136986301372</v>
      </c>
      <c r="N2236" s="67">
        <f t="shared" si="221"/>
        <v>2668.0547945205481</v>
      </c>
      <c r="O2236" s="3"/>
      <c r="P2236" s="70" t="s">
        <v>18608</v>
      </c>
      <c r="Q2236" s="2" t="s">
        <v>24</v>
      </c>
      <c r="R2236" s="2" t="s">
        <v>18147</v>
      </c>
      <c r="T2236" t="s">
        <v>18666</v>
      </c>
      <c r="U2236" t="s">
        <v>18652</v>
      </c>
      <c r="V2236" s="104">
        <v>45857</v>
      </c>
      <c r="X2236" s="97"/>
      <c r="Y2236" s="75">
        <v>2668.0600000000004</v>
      </c>
    </row>
    <row r="2237" spans="1:25" x14ac:dyDescent="0.25">
      <c r="A2237" s="76">
        <v>2269</v>
      </c>
      <c r="B2237" s="2" t="s">
        <v>15451</v>
      </c>
      <c r="C2237" s="2" t="s">
        <v>15452</v>
      </c>
      <c r="D2237" s="2" t="s">
        <v>15453</v>
      </c>
      <c r="E2237" s="2" t="s">
        <v>15454</v>
      </c>
      <c r="F2237" s="2" t="s">
        <v>15455</v>
      </c>
      <c r="G2237" s="2" t="s">
        <v>835</v>
      </c>
      <c r="H2237" s="17">
        <v>25</v>
      </c>
      <c r="I2237" s="31">
        <f t="shared" si="216"/>
        <v>25000</v>
      </c>
      <c r="J2237" s="31">
        <f t="shared" si="217"/>
        <v>1750.0000000000002</v>
      </c>
      <c r="K2237" s="44">
        <f t="shared" si="218"/>
        <v>4.794520547945206</v>
      </c>
      <c r="L2237" s="3">
        <f t="shared" si="219"/>
        <v>354.79452054794524</v>
      </c>
      <c r="M2237" s="3">
        <f t="shared" si="220"/>
        <v>21.287671232876715</v>
      </c>
      <c r="N2237" s="67">
        <f t="shared" si="221"/>
        <v>333.50684931506851</v>
      </c>
      <c r="O2237" s="3"/>
      <c r="P2237" s="70" t="s">
        <v>18608</v>
      </c>
      <c r="Q2237" s="2" t="s">
        <v>24</v>
      </c>
      <c r="R2237" s="2" t="s">
        <v>15456</v>
      </c>
      <c r="T2237" t="s">
        <v>18666</v>
      </c>
      <c r="U2237" t="s">
        <v>18652</v>
      </c>
      <c r="V2237" s="104">
        <v>45857</v>
      </c>
      <c r="X2237" s="97"/>
      <c r="Y2237" s="75">
        <v>333.51</v>
      </c>
    </row>
    <row r="2238" spans="1:25" x14ac:dyDescent="0.25">
      <c r="A2238" s="76">
        <v>2270</v>
      </c>
      <c r="B2238" s="2" t="s">
        <v>1456</v>
      </c>
      <c r="C2238" s="2" t="s">
        <v>1457</v>
      </c>
      <c r="D2238" s="2" t="s">
        <v>1458</v>
      </c>
      <c r="E2238" s="2" t="s">
        <v>1459</v>
      </c>
      <c r="F2238" s="2" t="s">
        <v>1460</v>
      </c>
      <c r="G2238" s="2" t="s">
        <v>39</v>
      </c>
      <c r="H2238" s="17">
        <v>200</v>
      </c>
      <c r="I2238" s="31">
        <f t="shared" si="216"/>
        <v>200000</v>
      </c>
      <c r="J2238" s="31">
        <f t="shared" si="217"/>
        <v>14000.000000000002</v>
      </c>
      <c r="K2238" s="44">
        <f t="shared" si="218"/>
        <v>38.356164383561648</v>
      </c>
      <c r="L2238" s="3">
        <f t="shared" si="219"/>
        <v>2838.3561643835619</v>
      </c>
      <c r="M2238" s="3">
        <f t="shared" si="220"/>
        <v>170.30136986301372</v>
      </c>
      <c r="N2238" s="67">
        <f t="shared" si="221"/>
        <v>2668.0547945205481</v>
      </c>
      <c r="O2238" s="3"/>
      <c r="P2238" s="70" t="s">
        <v>18608</v>
      </c>
      <c r="Q2238" s="2" t="s">
        <v>24</v>
      </c>
      <c r="R2238" s="2" t="s">
        <v>1461</v>
      </c>
      <c r="T2238" t="s">
        <v>18666</v>
      </c>
      <c r="U2238" t="s">
        <v>18652</v>
      </c>
      <c r="V2238" s="104">
        <v>45857</v>
      </c>
      <c r="X2238" s="97"/>
      <c r="Y2238" s="75">
        <v>2668.0600000000004</v>
      </c>
    </row>
    <row r="2239" spans="1:25" x14ac:dyDescent="0.25">
      <c r="A2239" s="76">
        <v>2271</v>
      </c>
      <c r="B2239" s="2" t="s">
        <v>6154</v>
      </c>
      <c r="C2239" s="2" t="s">
        <v>6155</v>
      </c>
      <c r="D2239" s="2" t="s">
        <v>6156</v>
      </c>
      <c r="E2239" s="2" t="s">
        <v>6157</v>
      </c>
      <c r="F2239" s="2" t="s">
        <v>6158</v>
      </c>
      <c r="G2239" s="2" t="s">
        <v>2380</v>
      </c>
      <c r="H2239" s="17">
        <v>100</v>
      </c>
      <c r="I2239" s="31">
        <f t="shared" si="216"/>
        <v>100000</v>
      </c>
      <c r="J2239" s="31">
        <f t="shared" si="217"/>
        <v>7000.0000000000009</v>
      </c>
      <c r="K2239" s="44">
        <f t="shared" si="218"/>
        <v>19.178082191780824</v>
      </c>
      <c r="L2239" s="3">
        <f t="shared" si="219"/>
        <v>1419.178082191781</v>
      </c>
      <c r="M2239" s="3">
        <f t="shared" si="220"/>
        <v>85.150684931506859</v>
      </c>
      <c r="N2239" s="67">
        <f t="shared" si="221"/>
        <v>1334.027397260274</v>
      </c>
      <c r="O2239" s="3"/>
      <c r="P2239" s="70" t="s">
        <v>18608</v>
      </c>
      <c r="Q2239" s="2" t="s">
        <v>24</v>
      </c>
      <c r="R2239" s="2" t="s">
        <v>6159</v>
      </c>
      <c r="T2239" t="s">
        <v>18666</v>
      </c>
      <c r="U2239" t="s">
        <v>18652</v>
      </c>
      <c r="V2239" s="104">
        <v>45857</v>
      </c>
      <c r="X2239" s="97"/>
      <c r="Y2239" s="75">
        <v>1334.03</v>
      </c>
    </row>
    <row r="2240" spans="1:25" x14ac:dyDescent="0.25">
      <c r="A2240" s="76">
        <v>2272</v>
      </c>
      <c r="B2240" s="2" t="s">
        <v>8002</v>
      </c>
      <c r="C2240" s="2" t="s">
        <v>8003</v>
      </c>
      <c r="D2240" s="2" t="s">
        <v>8004</v>
      </c>
      <c r="E2240" s="2" t="s">
        <v>8005</v>
      </c>
      <c r="F2240" s="2" t="s">
        <v>8006</v>
      </c>
      <c r="G2240" s="2" t="s">
        <v>580</v>
      </c>
      <c r="H2240" s="17">
        <v>25</v>
      </c>
      <c r="I2240" s="31">
        <f t="shared" si="216"/>
        <v>25000</v>
      </c>
      <c r="J2240" s="31">
        <f t="shared" si="217"/>
        <v>1750.0000000000002</v>
      </c>
      <c r="K2240" s="44">
        <f t="shared" si="218"/>
        <v>4.794520547945206</v>
      </c>
      <c r="L2240" s="3">
        <f t="shared" si="219"/>
        <v>354.79452054794524</v>
      </c>
      <c r="M2240" s="3">
        <f t="shared" si="220"/>
        <v>21.287671232876715</v>
      </c>
      <c r="N2240" s="67">
        <f t="shared" si="221"/>
        <v>333.50684931506851</v>
      </c>
      <c r="O2240" s="3"/>
      <c r="P2240" s="70" t="s">
        <v>18608</v>
      </c>
      <c r="Q2240" s="2" t="s">
        <v>24</v>
      </c>
      <c r="R2240" s="2" t="s">
        <v>8007</v>
      </c>
      <c r="T2240" t="s">
        <v>18666</v>
      </c>
      <c r="U2240" t="s">
        <v>18652</v>
      </c>
      <c r="V2240" s="104">
        <v>45857</v>
      </c>
      <c r="X2240" s="97"/>
      <c r="Y2240" s="75">
        <v>333.51</v>
      </c>
    </row>
    <row r="2241" spans="1:25" x14ac:dyDescent="0.25">
      <c r="A2241" s="76">
        <v>2273</v>
      </c>
      <c r="B2241" s="2" t="s">
        <v>16442</v>
      </c>
      <c r="C2241" s="2" t="s">
        <v>16443</v>
      </c>
      <c r="D2241" s="2" t="s">
        <v>16444</v>
      </c>
      <c r="E2241" s="2" t="s">
        <v>16445</v>
      </c>
      <c r="F2241" s="2" t="s">
        <v>16446</v>
      </c>
      <c r="G2241" s="2" t="s">
        <v>309</v>
      </c>
      <c r="H2241" s="17">
        <v>25</v>
      </c>
      <c r="I2241" s="31">
        <f t="shared" si="216"/>
        <v>25000</v>
      </c>
      <c r="J2241" s="31">
        <f t="shared" si="217"/>
        <v>1750.0000000000002</v>
      </c>
      <c r="K2241" s="44">
        <f t="shared" si="218"/>
        <v>4.794520547945206</v>
      </c>
      <c r="L2241" s="3">
        <f t="shared" si="219"/>
        <v>354.79452054794524</v>
      </c>
      <c r="M2241" s="3">
        <f t="shared" si="220"/>
        <v>21.287671232876715</v>
      </c>
      <c r="N2241" s="67">
        <f t="shared" si="221"/>
        <v>333.50684931506851</v>
      </c>
      <c r="O2241" s="3"/>
      <c r="P2241" s="70" t="s">
        <v>18608</v>
      </c>
      <c r="Q2241" s="2" t="s">
        <v>24</v>
      </c>
      <c r="R2241" s="2" t="s">
        <v>16447</v>
      </c>
      <c r="T2241" t="s">
        <v>18666</v>
      </c>
      <c r="U2241" t="s">
        <v>18652</v>
      </c>
      <c r="V2241" s="104">
        <v>45857</v>
      </c>
      <c r="X2241" s="97"/>
      <c r="Y2241" s="75">
        <v>333.51</v>
      </c>
    </row>
    <row r="2242" spans="1:25" x14ac:dyDescent="0.25">
      <c r="A2242" s="76">
        <v>2274</v>
      </c>
      <c r="B2242" s="2" t="s">
        <v>18446</v>
      </c>
      <c r="C2242" s="2" t="s">
        <v>18447</v>
      </c>
      <c r="D2242" s="2" t="s">
        <v>18448</v>
      </c>
      <c r="E2242" s="2" t="s">
        <v>18449</v>
      </c>
      <c r="F2242" s="2" t="s">
        <v>18450</v>
      </c>
      <c r="G2242" s="2" t="s">
        <v>1823</v>
      </c>
      <c r="H2242" s="17">
        <v>25</v>
      </c>
      <c r="I2242" s="31">
        <f t="shared" si="216"/>
        <v>25000</v>
      </c>
      <c r="J2242" s="31">
        <f t="shared" si="217"/>
        <v>1750.0000000000002</v>
      </c>
      <c r="K2242" s="44">
        <f t="shared" si="218"/>
        <v>4.794520547945206</v>
      </c>
      <c r="L2242" s="3">
        <f t="shared" si="219"/>
        <v>354.79452054794524</v>
      </c>
      <c r="M2242" s="3">
        <f t="shared" si="220"/>
        <v>21.287671232876715</v>
      </c>
      <c r="N2242" s="67">
        <f t="shared" si="221"/>
        <v>333.50684931506851</v>
      </c>
      <c r="O2242" s="3"/>
      <c r="P2242" s="70" t="s">
        <v>18608</v>
      </c>
      <c r="Q2242" s="2" t="s">
        <v>24</v>
      </c>
      <c r="R2242" s="2" t="s">
        <v>18451</v>
      </c>
      <c r="T2242" t="s">
        <v>18666</v>
      </c>
      <c r="U2242" t="s">
        <v>18652</v>
      </c>
      <c r="V2242" s="104">
        <v>45857</v>
      </c>
      <c r="X2242" s="97"/>
      <c r="Y2242" s="75">
        <v>333.51</v>
      </c>
    </row>
    <row r="2243" spans="1:25" x14ac:dyDescent="0.25">
      <c r="A2243" s="76">
        <v>2275</v>
      </c>
      <c r="B2243" s="2" t="s">
        <v>17041</v>
      </c>
      <c r="C2243" s="2" t="s">
        <v>17042</v>
      </c>
      <c r="D2243" s="2" t="s">
        <v>17043</v>
      </c>
      <c r="E2243" s="2" t="s">
        <v>10210</v>
      </c>
      <c r="F2243" s="2" t="s">
        <v>17044</v>
      </c>
      <c r="G2243" s="2" t="s">
        <v>1315</v>
      </c>
      <c r="H2243" s="17">
        <v>25</v>
      </c>
      <c r="I2243" s="31">
        <f t="shared" si="216"/>
        <v>25000</v>
      </c>
      <c r="J2243" s="31">
        <f t="shared" si="217"/>
        <v>1750.0000000000002</v>
      </c>
      <c r="K2243" s="44">
        <f t="shared" si="218"/>
        <v>4.794520547945206</v>
      </c>
      <c r="L2243" s="3">
        <f t="shared" si="219"/>
        <v>354.79452054794524</v>
      </c>
      <c r="M2243" s="3">
        <f t="shared" si="220"/>
        <v>21.287671232876715</v>
      </c>
      <c r="N2243" s="67">
        <f t="shared" si="221"/>
        <v>333.50684931506851</v>
      </c>
      <c r="O2243" s="3"/>
      <c r="P2243" s="70" t="s">
        <v>18608</v>
      </c>
      <c r="Q2243" s="2" t="s">
        <v>24</v>
      </c>
      <c r="R2243" s="2" t="s">
        <v>17045</v>
      </c>
      <c r="T2243" t="s">
        <v>18666</v>
      </c>
      <c r="U2243" t="s">
        <v>18652</v>
      </c>
      <c r="V2243" s="104">
        <v>45857</v>
      </c>
      <c r="X2243" s="97"/>
      <c r="Y2243" s="75">
        <v>333.51</v>
      </c>
    </row>
    <row r="2244" spans="1:25" x14ac:dyDescent="0.25">
      <c r="A2244" s="76">
        <v>2276</v>
      </c>
      <c r="B2244" s="2" t="s">
        <v>13181</v>
      </c>
      <c r="C2244" s="2" t="s">
        <v>13182</v>
      </c>
      <c r="D2244" s="2" t="s">
        <v>13183</v>
      </c>
      <c r="E2244" s="2" t="s">
        <v>13184</v>
      </c>
      <c r="F2244" s="2" t="s">
        <v>13185</v>
      </c>
      <c r="G2244" s="2" t="s">
        <v>1017</v>
      </c>
      <c r="H2244" s="17">
        <v>100</v>
      </c>
      <c r="I2244" s="31">
        <f t="shared" si="216"/>
        <v>100000</v>
      </c>
      <c r="J2244" s="31">
        <f t="shared" si="217"/>
        <v>7000.0000000000009</v>
      </c>
      <c r="K2244" s="44">
        <f t="shared" si="218"/>
        <v>19.178082191780824</v>
      </c>
      <c r="L2244" s="3">
        <f t="shared" si="219"/>
        <v>1419.178082191781</v>
      </c>
      <c r="M2244" s="3">
        <f t="shared" si="220"/>
        <v>85.150684931506859</v>
      </c>
      <c r="N2244" s="67">
        <f t="shared" si="221"/>
        <v>1334.027397260274</v>
      </c>
      <c r="O2244" s="3"/>
      <c r="P2244" s="70" t="s">
        <v>18608</v>
      </c>
      <c r="Q2244" s="2" t="s">
        <v>24</v>
      </c>
      <c r="R2244" s="2" t="s">
        <v>13186</v>
      </c>
      <c r="T2244" t="s">
        <v>18666</v>
      </c>
      <c r="U2244" t="s">
        <v>18652</v>
      </c>
      <c r="V2244" s="104">
        <v>45857</v>
      </c>
      <c r="X2244" s="97"/>
      <c r="Y2244" s="75">
        <v>1334.03</v>
      </c>
    </row>
    <row r="2245" spans="1:25" x14ac:dyDescent="0.25">
      <c r="A2245" s="76">
        <v>2277</v>
      </c>
      <c r="B2245" s="2" t="s">
        <v>17002</v>
      </c>
      <c r="C2245" s="2" t="s">
        <v>17003</v>
      </c>
      <c r="D2245" s="2" t="s">
        <v>17004</v>
      </c>
      <c r="E2245" s="2" t="s">
        <v>17005</v>
      </c>
      <c r="F2245" s="2" t="s">
        <v>17006</v>
      </c>
      <c r="G2245" s="2" t="s">
        <v>2680</v>
      </c>
      <c r="H2245" s="17">
        <v>25</v>
      </c>
      <c r="I2245" s="31">
        <f t="shared" si="216"/>
        <v>25000</v>
      </c>
      <c r="J2245" s="31">
        <f t="shared" si="217"/>
        <v>1750.0000000000002</v>
      </c>
      <c r="K2245" s="44">
        <f t="shared" si="218"/>
        <v>4.794520547945206</v>
      </c>
      <c r="L2245" s="3">
        <f t="shared" si="219"/>
        <v>354.79452054794524</v>
      </c>
      <c r="M2245" s="3">
        <f t="shared" si="220"/>
        <v>21.287671232876715</v>
      </c>
      <c r="N2245" s="67">
        <f t="shared" si="221"/>
        <v>333.50684931506851</v>
      </c>
      <c r="O2245" s="3"/>
      <c r="P2245" s="70" t="s">
        <v>18608</v>
      </c>
      <c r="Q2245" s="2" t="s">
        <v>24</v>
      </c>
      <c r="R2245" s="2" t="s">
        <v>17007</v>
      </c>
      <c r="T2245" t="s">
        <v>18666</v>
      </c>
      <c r="U2245" t="s">
        <v>18652</v>
      </c>
      <c r="V2245" s="104">
        <v>45857</v>
      </c>
      <c r="X2245" s="97"/>
      <c r="Y2245" s="75">
        <v>333.51</v>
      </c>
    </row>
    <row r="2246" spans="1:25" x14ac:dyDescent="0.25">
      <c r="A2246" s="76">
        <v>2278</v>
      </c>
      <c r="B2246" s="2" t="s">
        <v>14148</v>
      </c>
      <c r="C2246" s="2" t="s">
        <v>14149</v>
      </c>
      <c r="D2246" s="2" t="s">
        <v>14150</v>
      </c>
      <c r="E2246" s="2" t="s">
        <v>14151</v>
      </c>
      <c r="F2246" s="2" t="s">
        <v>14152</v>
      </c>
      <c r="G2246" s="2" t="s">
        <v>275</v>
      </c>
      <c r="H2246" s="17">
        <v>25</v>
      </c>
      <c r="I2246" s="31">
        <f t="shared" si="216"/>
        <v>25000</v>
      </c>
      <c r="J2246" s="31">
        <f t="shared" si="217"/>
        <v>1750.0000000000002</v>
      </c>
      <c r="K2246" s="44">
        <f t="shared" si="218"/>
        <v>4.794520547945206</v>
      </c>
      <c r="L2246" s="3">
        <f t="shared" si="219"/>
        <v>354.79452054794524</v>
      </c>
      <c r="M2246" s="3">
        <f t="shared" si="220"/>
        <v>21.287671232876715</v>
      </c>
      <c r="N2246" s="67">
        <f t="shared" si="221"/>
        <v>333.50684931506851</v>
      </c>
      <c r="O2246" s="3"/>
      <c r="P2246" s="70" t="s">
        <v>18608</v>
      </c>
      <c r="Q2246" s="2" t="s">
        <v>24</v>
      </c>
      <c r="R2246" s="2" t="s">
        <v>14153</v>
      </c>
      <c r="T2246" t="s">
        <v>18666</v>
      </c>
      <c r="U2246" t="s">
        <v>18652</v>
      </c>
      <c r="V2246" s="104">
        <v>45857</v>
      </c>
      <c r="X2246" s="97"/>
      <c r="Y2246" s="75">
        <v>333.51</v>
      </c>
    </row>
    <row r="2247" spans="1:25" x14ac:dyDescent="0.25">
      <c r="A2247" s="76">
        <v>2279</v>
      </c>
      <c r="B2247" s="2" t="s">
        <v>13881</v>
      </c>
      <c r="C2247" s="2" t="s">
        <v>13882</v>
      </c>
      <c r="D2247" s="2" t="s">
        <v>6492</v>
      </c>
      <c r="E2247" s="2" t="s">
        <v>740</v>
      </c>
      <c r="F2247" s="2" t="s">
        <v>13883</v>
      </c>
      <c r="G2247" s="2" t="s">
        <v>282</v>
      </c>
      <c r="H2247" s="17">
        <v>25</v>
      </c>
      <c r="I2247" s="31">
        <f t="shared" si="216"/>
        <v>25000</v>
      </c>
      <c r="J2247" s="31">
        <f t="shared" si="217"/>
        <v>1750.0000000000002</v>
      </c>
      <c r="K2247" s="44">
        <f t="shared" si="218"/>
        <v>4.794520547945206</v>
      </c>
      <c r="L2247" s="3">
        <f t="shared" si="219"/>
        <v>354.79452054794524</v>
      </c>
      <c r="M2247" s="3">
        <f t="shared" si="220"/>
        <v>21.287671232876715</v>
      </c>
      <c r="N2247" s="67">
        <f t="shared" si="221"/>
        <v>333.50684931506851</v>
      </c>
      <c r="O2247" s="3"/>
      <c r="P2247" s="70" t="s">
        <v>18608</v>
      </c>
      <c r="Q2247" s="2" t="s">
        <v>24</v>
      </c>
      <c r="R2247" s="2" t="s">
        <v>13884</v>
      </c>
      <c r="T2247" t="s">
        <v>18666</v>
      </c>
      <c r="U2247" t="s">
        <v>18652</v>
      </c>
      <c r="V2247" s="104">
        <v>45857</v>
      </c>
      <c r="X2247" s="97"/>
      <c r="Y2247" s="75">
        <v>333.51</v>
      </c>
    </row>
    <row r="2248" spans="1:25" x14ac:dyDescent="0.25">
      <c r="A2248" s="76">
        <v>2280</v>
      </c>
      <c r="B2248" s="2" t="s">
        <v>16252</v>
      </c>
      <c r="C2248" s="2" t="s">
        <v>16253</v>
      </c>
      <c r="D2248" s="2" t="s">
        <v>16254</v>
      </c>
      <c r="E2248" s="2" t="s">
        <v>16255</v>
      </c>
      <c r="F2248" s="2" t="s">
        <v>16256</v>
      </c>
      <c r="G2248" s="2" t="s">
        <v>240</v>
      </c>
      <c r="H2248" s="17">
        <v>100</v>
      </c>
      <c r="I2248" s="31">
        <f t="shared" si="216"/>
        <v>100000</v>
      </c>
      <c r="J2248" s="31">
        <f t="shared" si="217"/>
        <v>7000.0000000000009</v>
      </c>
      <c r="K2248" s="44">
        <f t="shared" si="218"/>
        <v>19.178082191780824</v>
      </c>
      <c r="L2248" s="3">
        <f t="shared" si="219"/>
        <v>1419.178082191781</v>
      </c>
      <c r="M2248" s="3">
        <f t="shared" si="220"/>
        <v>85.150684931506859</v>
      </c>
      <c r="N2248" s="67">
        <f t="shared" si="221"/>
        <v>1334.027397260274</v>
      </c>
      <c r="O2248" s="3"/>
      <c r="P2248" s="70" t="s">
        <v>18608</v>
      </c>
      <c r="Q2248" s="2" t="s">
        <v>24</v>
      </c>
      <c r="R2248" s="2" t="s">
        <v>16257</v>
      </c>
      <c r="T2248" t="s">
        <v>18666</v>
      </c>
      <c r="U2248" t="s">
        <v>18652</v>
      </c>
      <c r="V2248" s="104">
        <v>45857</v>
      </c>
      <c r="X2248" s="97"/>
      <c r="Y2248" s="75">
        <v>1334.03</v>
      </c>
    </row>
    <row r="2249" spans="1:25" x14ac:dyDescent="0.25">
      <c r="A2249" s="76">
        <v>2281</v>
      </c>
      <c r="B2249" s="2" t="s">
        <v>4630</v>
      </c>
      <c r="C2249" s="2" t="s">
        <v>4631</v>
      </c>
      <c r="D2249" s="2" t="s">
        <v>4632</v>
      </c>
      <c r="E2249" s="2" t="s">
        <v>4631</v>
      </c>
      <c r="F2249" s="2" t="s">
        <v>4633</v>
      </c>
      <c r="G2249" s="2" t="s">
        <v>599</v>
      </c>
      <c r="H2249" s="17">
        <v>25</v>
      </c>
      <c r="I2249" s="31">
        <f t="shared" si="216"/>
        <v>25000</v>
      </c>
      <c r="J2249" s="31">
        <f t="shared" si="217"/>
        <v>1750.0000000000002</v>
      </c>
      <c r="K2249" s="44">
        <f t="shared" si="218"/>
        <v>4.794520547945206</v>
      </c>
      <c r="L2249" s="3">
        <f t="shared" si="219"/>
        <v>354.79452054794524</v>
      </c>
      <c r="M2249" s="3">
        <f t="shared" si="220"/>
        <v>21.287671232876715</v>
      </c>
      <c r="N2249" s="67">
        <f t="shared" si="221"/>
        <v>333.50684931506851</v>
      </c>
      <c r="O2249" s="3"/>
      <c r="P2249" s="70" t="s">
        <v>18608</v>
      </c>
      <c r="Q2249" s="2" t="s">
        <v>24</v>
      </c>
      <c r="R2249" s="2" t="s">
        <v>4634</v>
      </c>
      <c r="T2249" t="s">
        <v>18666</v>
      </c>
      <c r="U2249" t="s">
        <v>18652</v>
      </c>
      <c r="V2249" s="104">
        <v>45857</v>
      </c>
      <c r="X2249" s="97"/>
      <c r="Y2249" s="75">
        <v>333.51</v>
      </c>
    </row>
    <row r="2250" spans="1:25" x14ac:dyDescent="0.25">
      <c r="A2250" s="76">
        <v>2282</v>
      </c>
      <c r="B2250" s="2" t="s">
        <v>10090</v>
      </c>
      <c r="C2250" s="2" t="s">
        <v>10091</v>
      </c>
      <c r="D2250" s="2" t="s">
        <v>10092</v>
      </c>
      <c r="E2250" s="2" t="s">
        <v>10093</v>
      </c>
      <c r="F2250" s="2" t="s">
        <v>10094</v>
      </c>
      <c r="G2250" s="2" t="s">
        <v>799</v>
      </c>
      <c r="H2250" s="17">
        <v>25</v>
      </c>
      <c r="I2250" s="31">
        <f t="shared" si="216"/>
        <v>25000</v>
      </c>
      <c r="J2250" s="31">
        <f t="shared" si="217"/>
        <v>1750.0000000000002</v>
      </c>
      <c r="K2250" s="44">
        <f t="shared" si="218"/>
        <v>4.794520547945206</v>
      </c>
      <c r="L2250" s="3">
        <f t="shared" si="219"/>
        <v>354.79452054794524</v>
      </c>
      <c r="M2250" s="3">
        <f t="shared" si="220"/>
        <v>21.287671232876715</v>
      </c>
      <c r="N2250" s="67">
        <f t="shared" si="221"/>
        <v>333.50684931506851</v>
      </c>
      <c r="O2250" s="3"/>
      <c r="P2250" s="70" t="s">
        <v>18608</v>
      </c>
      <c r="Q2250" s="2" t="s">
        <v>24</v>
      </c>
      <c r="R2250" s="2" t="s">
        <v>10095</v>
      </c>
      <c r="T2250" t="s">
        <v>18666</v>
      </c>
      <c r="U2250" t="s">
        <v>18652</v>
      </c>
      <c r="V2250" s="104">
        <v>45857</v>
      </c>
      <c r="X2250" s="97"/>
      <c r="Y2250" s="75">
        <v>333.51</v>
      </c>
    </row>
    <row r="2251" spans="1:25" x14ac:dyDescent="0.25">
      <c r="A2251" s="76">
        <v>2283</v>
      </c>
      <c r="B2251" s="2" t="s">
        <v>12009</v>
      </c>
      <c r="C2251" s="2" t="s">
        <v>12010</v>
      </c>
      <c r="D2251" s="2" t="s">
        <v>12011</v>
      </c>
      <c r="E2251" s="2" t="s">
        <v>12012</v>
      </c>
      <c r="F2251" s="2" t="s">
        <v>12013</v>
      </c>
      <c r="G2251" s="2" t="s">
        <v>381</v>
      </c>
      <c r="H2251" s="17">
        <v>25</v>
      </c>
      <c r="I2251" s="31">
        <f t="shared" si="216"/>
        <v>25000</v>
      </c>
      <c r="J2251" s="31">
        <f t="shared" si="217"/>
        <v>1750.0000000000002</v>
      </c>
      <c r="K2251" s="44">
        <f t="shared" si="218"/>
        <v>4.794520547945206</v>
      </c>
      <c r="L2251" s="3">
        <f t="shared" si="219"/>
        <v>354.79452054794524</v>
      </c>
      <c r="M2251" s="3">
        <f t="shared" si="220"/>
        <v>21.287671232876715</v>
      </c>
      <c r="N2251" s="67">
        <f t="shared" si="221"/>
        <v>333.50684931506851</v>
      </c>
      <c r="O2251" s="3"/>
      <c r="P2251" s="70" t="s">
        <v>18608</v>
      </c>
      <c r="Q2251" s="2" t="s">
        <v>24</v>
      </c>
      <c r="R2251" s="2" t="s">
        <v>12014</v>
      </c>
      <c r="T2251" t="s">
        <v>18666</v>
      </c>
      <c r="U2251" t="s">
        <v>18652</v>
      </c>
      <c r="V2251" s="104">
        <v>45857</v>
      </c>
      <c r="X2251" s="97"/>
      <c r="Y2251" s="75">
        <v>333.51</v>
      </c>
    </row>
    <row r="2252" spans="1:25" x14ac:dyDescent="0.25">
      <c r="A2252" s="76">
        <v>2284</v>
      </c>
      <c r="B2252" s="2" t="s">
        <v>17062</v>
      </c>
      <c r="C2252" s="2" t="s">
        <v>17063</v>
      </c>
      <c r="D2252" s="2" t="s">
        <v>17064</v>
      </c>
      <c r="E2252" s="2" t="s">
        <v>17065</v>
      </c>
      <c r="F2252" s="2" t="s">
        <v>17066</v>
      </c>
      <c r="G2252" s="2" t="s">
        <v>1048</v>
      </c>
      <c r="H2252" s="17">
        <v>50</v>
      </c>
      <c r="I2252" s="31">
        <f t="shared" si="216"/>
        <v>50000</v>
      </c>
      <c r="J2252" s="31">
        <f t="shared" si="217"/>
        <v>3500.0000000000005</v>
      </c>
      <c r="K2252" s="44">
        <f t="shared" si="218"/>
        <v>9.589041095890412</v>
      </c>
      <c r="L2252" s="3">
        <f t="shared" si="219"/>
        <v>709.58904109589048</v>
      </c>
      <c r="M2252" s="3">
        <f t="shared" si="220"/>
        <v>42.57534246575343</v>
      </c>
      <c r="N2252" s="67">
        <f t="shared" si="221"/>
        <v>667.01369863013701</v>
      </c>
      <c r="O2252" s="3"/>
      <c r="P2252" s="70" t="s">
        <v>18608</v>
      </c>
      <c r="Q2252" s="2" t="s">
        <v>24</v>
      </c>
      <c r="R2252" s="2" t="s">
        <v>17067</v>
      </c>
      <c r="T2252" t="s">
        <v>18666</v>
      </c>
      <c r="U2252" t="s">
        <v>18652</v>
      </c>
      <c r="V2252" s="104">
        <v>45857</v>
      </c>
      <c r="X2252" s="97"/>
      <c r="Y2252" s="75">
        <v>667.02</v>
      </c>
    </row>
    <row r="2253" spans="1:25" x14ac:dyDescent="0.25">
      <c r="A2253" s="76">
        <v>2285</v>
      </c>
      <c r="B2253" s="2" t="s">
        <v>6918</v>
      </c>
      <c r="C2253" s="2" t="s">
        <v>6919</v>
      </c>
      <c r="D2253" s="2" t="s">
        <v>6920</v>
      </c>
      <c r="E2253" s="2" t="s">
        <v>6921</v>
      </c>
      <c r="F2253" s="2" t="s">
        <v>6922</v>
      </c>
      <c r="G2253" s="2" t="s">
        <v>835</v>
      </c>
      <c r="H2253" s="17">
        <v>25</v>
      </c>
      <c r="I2253" s="31">
        <f t="shared" si="216"/>
        <v>25000</v>
      </c>
      <c r="J2253" s="31">
        <f t="shared" si="217"/>
        <v>1750.0000000000002</v>
      </c>
      <c r="K2253" s="44">
        <f t="shared" si="218"/>
        <v>4.794520547945206</v>
      </c>
      <c r="L2253" s="3">
        <f t="shared" si="219"/>
        <v>354.79452054794524</v>
      </c>
      <c r="M2253" s="3">
        <f t="shared" si="220"/>
        <v>21.287671232876715</v>
      </c>
      <c r="N2253" s="67">
        <f t="shared" si="221"/>
        <v>333.50684931506851</v>
      </c>
      <c r="O2253" s="3"/>
      <c r="P2253" s="70" t="s">
        <v>18608</v>
      </c>
      <c r="Q2253" s="2" t="s">
        <v>24</v>
      </c>
      <c r="R2253" s="2" t="s">
        <v>6923</v>
      </c>
      <c r="T2253" t="s">
        <v>18666</v>
      </c>
      <c r="U2253" t="s">
        <v>18652</v>
      </c>
      <c r="V2253" s="104">
        <v>45857</v>
      </c>
      <c r="X2253" s="97"/>
      <c r="Y2253" s="75">
        <v>333.51</v>
      </c>
    </row>
    <row r="2254" spans="1:25" x14ac:dyDescent="0.25">
      <c r="A2254" s="76">
        <v>2286</v>
      </c>
      <c r="B2254" s="2" t="s">
        <v>6984</v>
      </c>
      <c r="C2254" s="2" t="s">
        <v>6985</v>
      </c>
      <c r="D2254" s="2" t="s">
        <v>6986</v>
      </c>
      <c r="E2254" s="2" t="s">
        <v>6987</v>
      </c>
      <c r="F2254" s="2" t="s">
        <v>6988</v>
      </c>
      <c r="G2254" s="2" t="s">
        <v>23</v>
      </c>
      <c r="H2254" s="17">
        <v>25</v>
      </c>
      <c r="I2254" s="31">
        <f t="shared" si="216"/>
        <v>25000</v>
      </c>
      <c r="J2254" s="31">
        <f t="shared" si="217"/>
        <v>1750.0000000000002</v>
      </c>
      <c r="K2254" s="44">
        <f t="shared" si="218"/>
        <v>4.794520547945206</v>
      </c>
      <c r="L2254" s="3">
        <f t="shared" si="219"/>
        <v>354.79452054794524</v>
      </c>
      <c r="M2254" s="3">
        <f t="shared" si="220"/>
        <v>21.287671232876715</v>
      </c>
      <c r="N2254" s="67">
        <f t="shared" si="221"/>
        <v>333.50684931506851</v>
      </c>
      <c r="O2254" s="3"/>
      <c r="P2254" s="70" t="s">
        <v>18608</v>
      </c>
      <c r="Q2254" s="2" t="s">
        <v>24</v>
      </c>
      <c r="R2254" s="2" t="s">
        <v>6989</v>
      </c>
      <c r="T2254" t="s">
        <v>18666</v>
      </c>
      <c r="U2254" t="s">
        <v>18652</v>
      </c>
      <c r="V2254" s="104">
        <v>45857</v>
      </c>
      <c r="X2254" s="97"/>
      <c r="Y2254" s="75">
        <v>333.51</v>
      </c>
    </row>
    <row r="2255" spans="1:25" x14ac:dyDescent="0.25">
      <c r="A2255" s="76">
        <v>2287</v>
      </c>
      <c r="B2255" s="2" t="s">
        <v>17253</v>
      </c>
      <c r="C2255" s="2" t="s">
        <v>17254</v>
      </c>
      <c r="D2255" s="2" t="s">
        <v>17255</v>
      </c>
      <c r="E2255" s="2" t="s">
        <v>17256</v>
      </c>
      <c r="F2255" s="2" t="s">
        <v>17257</v>
      </c>
      <c r="G2255" s="2" t="s">
        <v>3399</v>
      </c>
      <c r="H2255" s="17">
        <v>25</v>
      </c>
      <c r="I2255" s="31">
        <f t="shared" si="216"/>
        <v>25000</v>
      </c>
      <c r="J2255" s="31">
        <f t="shared" si="217"/>
        <v>1750.0000000000002</v>
      </c>
      <c r="K2255" s="44">
        <f t="shared" si="218"/>
        <v>4.794520547945206</v>
      </c>
      <c r="L2255" s="3">
        <f t="shared" si="219"/>
        <v>354.79452054794524</v>
      </c>
      <c r="M2255" s="3">
        <f t="shared" si="220"/>
        <v>21.287671232876715</v>
      </c>
      <c r="N2255" s="67">
        <f t="shared" si="221"/>
        <v>333.50684931506851</v>
      </c>
      <c r="O2255" s="3"/>
      <c r="P2255" s="70" t="s">
        <v>18608</v>
      </c>
      <c r="Q2255" s="2" t="s">
        <v>24</v>
      </c>
      <c r="R2255" s="2" t="s">
        <v>17258</v>
      </c>
      <c r="T2255" t="s">
        <v>18666</v>
      </c>
      <c r="U2255" t="s">
        <v>18652</v>
      </c>
      <c r="V2255" s="104">
        <v>45857</v>
      </c>
      <c r="X2255" s="97"/>
      <c r="Y2255" s="75">
        <v>333.51</v>
      </c>
    </row>
    <row r="2256" spans="1:25" x14ac:dyDescent="0.25">
      <c r="A2256" s="76">
        <v>2288</v>
      </c>
      <c r="B2256" s="2" t="s">
        <v>6764</v>
      </c>
      <c r="C2256" s="2" t="s">
        <v>6765</v>
      </c>
      <c r="D2256" s="2" t="s">
        <v>6766</v>
      </c>
      <c r="E2256" s="2" t="s">
        <v>6767</v>
      </c>
      <c r="F2256" s="2" t="s">
        <v>6768</v>
      </c>
      <c r="G2256" s="2" t="s">
        <v>517</v>
      </c>
      <c r="H2256" s="17">
        <v>50</v>
      </c>
      <c r="I2256" s="31">
        <f t="shared" si="216"/>
        <v>50000</v>
      </c>
      <c r="J2256" s="31">
        <f t="shared" si="217"/>
        <v>3500.0000000000005</v>
      </c>
      <c r="K2256" s="44">
        <f t="shared" si="218"/>
        <v>9.589041095890412</v>
      </c>
      <c r="L2256" s="3">
        <f t="shared" si="219"/>
        <v>709.58904109589048</v>
      </c>
      <c r="M2256" s="3">
        <f t="shared" si="220"/>
        <v>42.57534246575343</v>
      </c>
      <c r="N2256" s="67">
        <f t="shared" si="221"/>
        <v>667.01369863013701</v>
      </c>
      <c r="O2256" s="3"/>
      <c r="P2256" s="70" t="s">
        <v>18608</v>
      </c>
      <c r="Q2256" s="2" t="s">
        <v>24</v>
      </c>
      <c r="R2256" s="2" t="s">
        <v>6769</v>
      </c>
      <c r="T2256" t="s">
        <v>18666</v>
      </c>
      <c r="U2256" t="s">
        <v>18652</v>
      </c>
      <c r="V2256" s="104">
        <v>45857</v>
      </c>
      <c r="X2256" s="97"/>
      <c r="Y2256" s="75">
        <v>667.02</v>
      </c>
    </row>
    <row r="2257" spans="1:25" x14ac:dyDescent="0.25">
      <c r="A2257" s="76">
        <v>2289</v>
      </c>
      <c r="B2257" s="2" t="s">
        <v>15048</v>
      </c>
      <c r="C2257" s="2" t="s">
        <v>15049</v>
      </c>
      <c r="D2257" s="2" t="s">
        <v>15050</v>
      </c>
      <c r="E2257" s="2" t="s">
        <v>12468</v>
      </c>
      <c r="F2257" s="2" t="s">
        <v>15051</v>
      </c>
      <c r="G2257" s="2" t="s">
        <v>226</v>
      </c>
      <c r="H2257" s="17">
        <v>500</v>
      </c>
      <c r="I2257" s="31">
        <f t="shared" si="216"/>
        <v>500000</v>
      </c>
      <c r="J2257" s="31">
        <f t="shared" si="217"/>
        <v>35000</v>
      </c>
      <c r="K2257" s="44">
        <f t="shared" si="218"/>
        <v>95.890410958904113</v>
      </c>
      <c r="L2257" s="3">
        <f t="shared" si="219"/>
        <v>7095.8904109589039</v>
      </c>
      <c r="M2257" s="3">
        <f t="shared" si="220"/>
        <v>425.7534246575342</v>
      </c>
      <c r="N2257" s="67">
        <f t="shared" si="221"/>
        <v>6670.1369863013697</v>
      </c>
      <c r="O2257" s="3"/>
      <c r="P2257" s="70" t="s">
        <v>18608</v>
      </c>
      <c r="Q2257" s="2" t="s">
        <v>24</v>
      </c>
      <c r="R2257" s="2" t="s">
        <v>15052</v>
      </c>
      <c r="T2257" t="s">
        <v>18666</v>
      </c>
      <c r="U2257" t="s">
        <v>18652</v>
      </c>
      <c r="V2257" s="104">
        <v>45857</v>
      </c>
      <c r="X2257" s="97"/>
      <c r="Y2257" s="75">
        <v>6670.14</v>
      </c>
    </row>
    <row r="2258" spans="1:25" x14ac:dyDescent="0.25">
      <c r="A2258" s="76">
        <v>2290</v>
      </c>
      <c r="B2258" s="2" t="s">
        <v>481</v>
      </c>
      <c r="C2258" s="2" t="s">
        <v>482</v>
      </c>
      <c r="D2258" s="2" t="s">
        <v>483</v>
      </c>
      <c r="E2258" s="2" t="s">
        <v>484</v>
      </c>
      <c r="F2258" s="2" t="s">
        <v>485</v>
      </c>
      <c r="G2258" s="2" t="s">
        <v>328</v>
      </c>
      <c r="H2258" s="17">
        <v>100</v>
      </c>
      <c r="I2258" s="31">
        <f t="shared" ref="I2258:I2321" si="222">H2258*1000</f>
        <v>100000</v>
      </c>
      <c r="J2258" s="31">
        <f t="shared" ref="J2258:J2321" si="223">I2258*7%</f>
        <v>7000.0000000000009</v>
      </c>
      <c r="K2258" s="44">
        <f t="shared" ref="K2258:K2321" si="224">J2258/365</f>
        <v>19.178082191780824</v>
      </c>
      <c r="L2258" s="3">
        <f t="shared" ref="L2258:L2321" si="225">K2258*74</f>
        <v>1419.178082191781</v>
      </c>
      <c r="M2258" s="3">
        <f t="shared" ref="M2258:M2321" si="226">L2258*6%</f>
        <v>85.150684931506859</v>
      </c>
      <c r="N2258" s="67">
        <f t="shared" ref="N2258:N2321" si="227">L2258-M2258</f>
        <v>1334.027397260274</v>
      </c>
      <c r="O2258" s="3"/>
      <c r="P2258" s="70" t="s">
        <v>18608</v>
      </c>
      <c r="Q2258" s="2" t="s">
        <v>24</v>
      </c>
      <c r="R2258" s="2" t="s">
        <v>486</v>
      </c>
      <c r="T2258" t="s">
        <v>18666</v>
      </c>
      <c r="U2258" t="s">
        <v>18652</v>
      </c>
      <c r="V2258" s="104">
        <v>45857</v>
      </c>
      <c r="X2258" s="97"/>
      <c r="Y2258" s="75">
        <v>1334.03</v>
      </c>
    </row>
    <row r="2259" spans="1:25" x14ac:dyDescent="0.25">
      <c r="A2259" s="76">
        <v>2291</v>
      </c>
      <c r="B2259" s="2" t="s">
        <v>8326</v>
      </c>
      <c r="C2259" s="2" t="s">
        <v>8327</v>
      </c>
      <c r="D2259" s="2" t="s">
        <v>8328</v>
      </c>
      <c r="E2259" s="2" t="s">
        <v>8329</v>
      </c>
      <c r="F2259" s="2" t="s">
        <v>8330</v>
      </c>
      <c r="G2259" s="2" t="s">
        <v>835</v>
      </c>
      <c r="H2259" s="17">
        <v>25</v>
      </c>
      <c r="I2259" s="31">
        <f t="shared" si="222"/>
        <v>25000</v>
      </c>
      <c r="J2259" s="31">
        <f t="shared" si="223"/>
        <v>1750.0000000000002</v>
      </c>
      <c r="K2259" s="44">
        <f t="shared" si="224"/>
        <v>4.794520547945206</v>
      </c>
      <c r="L2259" s="3">
        <f t="shared" si="225"/>
        <v>354.79452054794524</v>
      </c>
      <c r="M2259" s="3">
        <f t="shared" si="226"/>
        <v>21.287671232876715</v>
      </c>
      <c r="N2259" s="67">
        <f t="shared" si="227"/>
        <v>333.50684931506851</v>
      </c>
      <c r="O2259" s="3"/>
      <c r="P2259" s="70" t="s">
        <v>18608</v>
      </c>
      <c r="Q2259" s="2" t="s">
        <v>24</v>
      </c>
      <c r="R2259" s="2" t="s">
        <v>8331</v>
      </c>
      <c r="T2259" t="s">
        <v>18666</v>
      </c>
      <c r="U2259" t="s">
        <v>18652</v>
      </c>
      <c r="V2259" s="104">
        <v>45857</v>
      </c>
      <c r="X2259" s="97"/>
      <c r="Y2259" s="75">
        <v>333.51</v>
      </c>
    </row>
    <row r="2260" spans="1:25" x14ac:dyDescent="0.25">
      <c r="A2260" s="76">
        <v>2292</v>
      </c>
      <c r="B2260" s="2" t="s">
        <v>10892</v>
      </c>
      <c r="C2260" s="2" t="s">
        <v>10893</v>
      </c>
      <c r="D2260" s="2" t="s">
        <v>10894</v>
      </c>
      <c r="E2260" s="2" t="s">
        <v>10895</v>
      </c>
      <c r="F2260" s="2" t="s">
        <v>10896</v>
      </c>
      <c r="G2260" s="2" t="s">
        <v>750</v>
      </c>
      <c r="H2260" s="17">
        <v>700</v>
      </c>
      <c r="I2260" s="31">
        <f t="shared" si="222"/>
        <v>700000</v>
      </c>
      <c r="J2260" s="31">
        <f t="shared" si="223"/>
        <v>49000.000000000007</v>
      </c>
      <c r="K2260" s="44">
        <f t="shared" si="224"/>
        <v>134.24657534246577</v>
      </c>
      <c r="L2260" s="3">
        <f t="shared" si="225"/>
        <v>9934.2465753424676</v>
      </c>
      <c r="M2260" s="3">
        <f t="shared" si="226"/>
        <v>596.05479452054806</v>
      </c>
      <c r="N2260" s="67">
        <f t="shared" si="227"/>
        <v>9338.1917808219187</v>
      </c>
      <c r="O2260" s="3"/>
      <c r="P2260" s="70" t="s">
        <v>18608</v>
      </c>
      <c r="Q2260" s="2" t="s">
        <v>24</v>
      </c>
      <c r="R2260" s="2" t="s">
        <v>10897</v>
      </c>
      <c r="T2260" t="s">
        <v>18666</v>
      </c>
      <c r="U2260" t="s">
        <v>18652</v>
      </c>
      <c r="V2260" s="104">
        <v>45857</v>
      </c>
      <c r="X2260" s="97"/>
      <c r="Y2260" s="75">
        <v>9338.2000000000007</v>
      </c>
    </row>
    <row r="2261" spans="1:25" x14ac:dyDescent="0.25">
      <c r="A2261" s="76">
        <v>2293</v>
      </c>
      <c r="B2261" s="2" t="s">
        <v>15612</v>
      </c>
      <c r="C2261" s="2" t="s">
        <v>15613</v>
      </c>
      <c r="D2261" s="2" t="s">
        <v>15614</v>
      </c>
      <c r="E2261" s="2" t="s">
        <v>15615</v>
      </c>
      <c r="F2261" s="2" t="s">
        <v>15616</v>
      </c>
      <c r="G2261" s="2" t="s">
        <v>31</v>
      </c>
      <c r="H2261" s="17">
        <v>500</v>
      </c>
      <c r="I2261" s="31">
        <f t="shared" si="222"/>
        <v>500000</v>
      </c>
      <c r="J2261" s="31">
        <f t="shared" si="223"/>
        <v>35000</v>
      </c>
      <c r="K2261" s="44">
        <f t="shared" si="224"/>
        <v>95.890410958904113</v>
      </c>
      <c r="L2261" s="3">
        <f t="shared" si="225"/>
        <v>7095.8904109589039</v>
      </c>
      <c r="M2261" s="3">
        <f t="shared" si="226"/>
        <v>425.7534246575342</v>
      </c>
      <c r="N2261" s="67">
        <f t="shared" si="227"/>
        <v>6670.1369863013697</v>
      </c>
      <c r="O2261" s="3"/>
      <c r="P2261" s="70" t="s">
        <v>18608</v>
      </c>
      <c r="Q2261" s="2" t="s">
        <v>24</v>
      </c>
      <c r="R2261" s="2" t="s">
        <v>15617</v>
      </c>
      <c r="T2261" t="s">
        <v>18666</v>
      </c>
      <c r="U2261" t="s">
        <v>18652</v>
      </c>
      <c r="V2261" s="104">
        <v>45857</v>
      </c>
      <c r="X2261" s="97"/>
      <c r="Y2261" s="75">
        <v>6670.14</v>
      </c>
    </row>
    <row r="2262" spans="1:25" x14ac:dyDescent="0.25">
      <c r="A2262" s="76">
        <v>2294</v>
      </c>
      <c r="B2262" s="2" t="s">
        <v>2979</v>
      </c>
      <c r="C2262" s="2" t="s">
        <v>2980</v>
      </c>
      <c r="D2262" s="2" t="s">
        <v>2981</v>
      </c>
      <c r="E2262" s="2" t="s">
        <v>2982</v>
      </c>
      <c r="F2262" s="2" t="s">
        <v>2983</v>
      </c>
      <c r="G2262" s="2" t="s">
        <v>835</v>
      </c>
      <c r="H2262" s="17">
        <v>25</v>
      </c>
      <c r="I2262" s="31">
        <f t="shared" si="222"/>
        <v>25000</v>
      </c>
      <c r="J2262" s="31">
        <f t="shared" si="223"/>
        <v>1750.0000000000002</v>
      </c>
      <c r="K2262" s="44">
        <f t="shared" si="224"/>
        <v>4.794520547945206</v>
      </c>
      <c r="L2262" s="3">
        <f t="shared" si="225"/>
        <v>354.79452054794524</v>
      </c>
      <c r="M2262" s="3">
        <f t="shared" si="226"/>
        <v>21.287671232876715</v>
      </c>
      <c r="N2262" s="67">
        <f t="shared" si="227"/>
        <v>333.50684931506851</v>
      </c>
      <c r="O2262" s="3"/>
      <c r="P2262" s="70" t="s">
        <v>18608</v>
      </c>
      <c r="Q2262" s="2" t="s">
        <v>24</v>
      </c>
      <c r="R2262" s="2" t="s">
        <v>2984</v>
      </c>
      <c r="T2262" t="s">
        <v>18666</v>
      </c>
      <c r="U2262" t="s">
        <v>18652</v>
      </c>
      <c r="V2262" s="104">
        <v>45857</v>
      </c>
      <c r="X2262" s="97"/>
      <c r="Y2262" s="75">
        <v>333.51</v>
      </c>
    </row>
    <row r="2263" spans="1:25" x14ac:dyDescent="0.25">
      <c r="A2263" s="76">
        <v>2295</v>
      </c>
      <c r="B2263" s="2" t="s">
        <v>830</v>
      </c>
      <c r="C2263" s="2" t="s">
        <v>831</v>
      </c>
      <c r="D2263" s="2" t="s">
        <v>832</v>
      </c>
      <c r="E2263" s="2" t="s">
        <v>833</v>
      </c>
      <c r="F2263" s="2" t="s">
        <v>834</v>
      </c>
      <c r="G2263" s="2" t="s">
        <v>835</v>
      </c>
      <c r="H2263" s="17">
        <v>100</v>
      </c>
      <c r="I2263" s="31">
        <f t="shared" si="222"/>
        <v>100000</v>
      </c>
      <c r="J2263" s="31">
        <f t="shared" si="223"/>
        <v>7000.0000000000009</v>
      </c>
      <c r="K2263" s="44">
        <f t="shared" si="224"/>
        <v>19.178082191780824</v>
      </c>
      <c r="L2263" s="3">
        <f t="shared" si="225"/>
        <v>1419.178082191781</v>
      </c>
      <c r="M2263" s="3">
        <f t="shared" si="226"/>
        <v>85.150684931506859</v>
      </c>
      <c r="N2263" s="67">
        <f t="shared" si="227"/>
        <v>1334.027397260274</v>
      </c>
      <c r="O2263" s="3"/>
      <c r="P2263" s="70" t="s">
        <v>18608</v>
      </c>
      <c r="Q2263" s="2" t="s">
        <v>24</v>
      </c>
      <c r="R2263" s="2" t="s">
        <v>836</v>
      </c>
      <c r="T2263" t="s">
        <v>18666</v>
      </c>
      <c r="U2263" t="s">
        <v>18652</v>
      </c>
      <c r="V2263" s="104">
        <v>45857</v>
      </c>
      <c r="X2263" s="97"/>
      <c r="Y2263" s="75">
        <v>1334.03</v>
      </c>
    </row>
    <row r="2264" spans="1:25" x14ac:dyDescent="0.25">
      <c r="A2264" s="76">
        <v>2296</v>
      </c>
      <c r="B2264" s="2" t="s">
        <v>16519</v>
      </c>
      <c r="C2264" s="2" t="s">
        <v>14421</v>
      </c>
      <c r="D2264" s="2" t="s">
        <v>16520</v>
      </c>
      <c r="E2264" s="2" t="s">
        <v>14419</v>
      </c>
      <c r="F2264" s="2" t="s">
        <v>16521</v>
      </c>
      <c r="G2264" s="2" t="s">
        <v>31</v>
      </c>
      <c r="H2264" s="17">
        <v>25</v>
      </c>
      <c r="I2264" s="31">
        <f t="shared" si="222"/>
        <v>25000</v>
      </c>
      <c r="J2264" s="31">
        <f t="shared" si="223"/>
        <v>1750.0000000000002</v>
      </c>
      <c r="K2264" s="44">
        <f t="shared" si="224"/>
        <v>4.794520547945206</v>
      </c>
      <c r="L2264" s="3">
        <f t="shared" si="225"/>
        <v>354.79452054794524</v>
      </c>
      <c r="M2264" s="3">
        <f t="shared" si="226"/>
        <v>21.287671232876715</v>
      </c>
      <c r="N2264" s="67">
        <f t="shared" si="227"/>
        <v>333.50684931506851</v>
      </c>
      <c r="O2264" s="3"/>
      <c r="P2264" s="70" t="s">
        <v>18608</v>
      </c>
      <c r="Q2264" s="2" t="s">
        <v>24</v>
      </c>
      <c r="R2264" s="2" t="s">
        <v>16522</v>
      </c>
      <c r="T2264" t="s">
        <v>18666</v>
      </c>
      <c r="U2264" t="s">
        <v>18652</v>
      </c>
      <c r="V2264" s="104">
        <v>45857</v>
      </c>
      <c r="X2264" s="97"/>
      <c r="Y2264" s="75">
        <v>333.51</v>
      </c>
    </row>
    <row r="2265" spans="1:25" x14ac:dyDescent="0.25">
      <c r="A2265" s="76">
        <v>2297</v>
      </c>
      <c r="B2265" s="2" t="s">
        <v>3341</v>
      </c>
      <c r="C2265" s="2" t="s">
        <v>3342</v>
      </c>
      <c r="D2265" s="2" t="s">
        <v>3343</v>
      </c>
      <c r="E2265" s="2" t="s">
        <v>3344</v>
      </c>
      <c r="F2265" s="2" t="s">
        <v>3345</v>
      </c>
      <c r="G2265" s="2" t="s">
        <v>750</v>
      </c>
      <c r="H2265" s="17">
        <v>100</v>
      </c>
      <c r="I2265" s="31">
        <f t="shared" si="222"/>
        <v>100000</v>
      </c>
      <c r="J2265" s="31">
        <f t="shared" si="223"/>
        <v>7000.0000000000009</v>
      </c>
      <c r="K2265" s="44">
        <f t="shared" si="224"/>
        <v>19.178082191780824</v>
      </c>
      <c r="L2265" s="3">
        <f t="shared" si="225"/>
        <v>1419.178082191781</v>
      </c>
      <c r="M2265" s="3">
        <f t="shared" si="226"/>
        <v>85.150684931506859</v>
      </c>
      <c r="N2265" s="67">
        <f t="shared" si="227"/>
        <v>1334.027397260274</v>
      </c>
      <c r="O2265" s="3"/>
      <c r="P2265" s="70" t="s">
        <v>18608</v>
      </c>
      <c r="Q2265" s="2" t="s">
        <v>24</v>
      </c>
      <c r="R2265" s="2" t="s">
        <v>3346</v>
      </c>
      <c r="T2265" t="s">
        <v>18666</v>
      </c>
      <c r="U2265" t="s">
        <v>18652</v>
      </c>
      <c r="V2265" s="104">
        <v>45857</v>
      </c>
      <c r="X2265" s="97"/>
      <c r="Y2265" s="75">
        <v>1334.03</v>
      </c>
    </row>
    <row r="2266" spans="1:25" x14ac:dyDescent="0.25">
      <c r="A2266" s="76">
        <v>2298</v>
      </c>
      <c r="B2266" s="2" t="s">
        <v>14661</v>
      </c>
      <c r="C2266" s="2" t="s">
        <v>14662</v>
      </c>
      <c r="D2266" s="2" t="s">
        <v>11326</v>
      </c>
      <c r="E2266" s="2" t="s">
        <v>14663</v>
      </c>
      <c r="F2266" s="2" t="s">
        <v>102</v>
      </c>
      <c r="G2266" s="2" t="s">
        <v>939</v>
      </c>
      <c r="H2266" s="17">
        <v>25</v>
      </c>
      <c r="I2266" s="31">
        <f t="shared" si="222"/>
        <v>25000</v>
      </c>
      <c r="J2266" s="31">
        <f t="shared" si="223"/>
        <v>1750.0000000000002</v>
      </c>
      <c r="K2266" s="44">
        <f t="shared" si="224"/>
        <v>4.794520547945206</v>
      </c>
      <c r="L2266" s="3">
        <f t="shared" si="225"/>
        <v>354.79452054794524</v>
      </c>
      <c r="M2266" s="3">
        <f t="shared" si="226"/>
        <v>21.287671232876715</v>
      </c>
      <c r="N2266" s="67">
        <f t="shared" si="227"/>
        <v>333.50684931506851</v>
      </c>
      <c r="O2266" s="3"/>
      <c r="P2266" s="70" t="s">
        <v>18608</v>
      </c>
      <c r="Q2266" s="2" t="s">
        <v>24</v>
      </c>
      <c r="R2266" s="2" t="s">
        <v>14664</v>
      </c>
      <c r="T2266" t="s">
        <v>18666</v>
      </c>
      <c r="U2266" t="s">
        <v>18652</v>
      </c>
      <c r="V2266" s="104">
        <v>45857</v>
      </c>
      <c r="X2266" s="97"/>
      <c r="Y2266" s="75">
        <v>333.51</v>
      </c>
    </row>
    <row r="2267" spans="1:25" x14ac:dyDescent="0.25">
      <c r="A2267" s="76">
        <v>2299</v>
      </c>
      <c r="B2267" s="2" t="s">
        <v>14019</v>
      </c>
      <c r="C2267" s="2" t="s">
        <v>14020</v>
      </c>
      <c r="D2267" s="2" t="s">
        <v>14021</v>
      </c>
      <c r="E2267" s="2" t="s">
        <v>14022</v>
      </c>
      <c r="F2267" s="2" t="s">
        <v>14023</v>
      </c>
      <c r="G2267" s="2" t="s">
        <v>296</v>
      </c>
      <c r="H2267" s="17">
        <v>33</v>
      </c>
      <c r="I2267" s="31">
        <f t="shared" si="222"/>
        <v>33000</v>
      </c>
      <c r="J2267" s="31">
        <f t="shared" si="223"/>
        <v>2310</v>
      </c>
      <c r="K2267" s="44">
        <f t="shared" si="224"/>
        <v>6.3287671232876717</v>
      </c>
      <c r="L2267" s="3">
        <f t="shared" si="225"/>
        <v>468.32876712328772</v>
      </c>
      <c r="M2267" s="3">
        <f t="shared" si="226"/>
        <v>28.099726027397264</v>
      </c>
      <c r="N2267" s="67">
        <f t="shared" si="227"/>
        <v>440.22904109589047</v>
      </c>
      <c r="O2267" s="3"/>
      <c r="P2267" s="70" t="s">
        <v>18608</v>
      </c>
      <c r="Q2267" s="2" t="s">
        <v>24</v>
      </c>
      <c r="R2267" s="2" t="s">
        <v>14024</v>
      </c>
      <c r="T2267" t="s">
        <v>18666</v>
      </c>
      <c r="U2267" t="s">
        <v>18652</v>
      </c>
      <c r="V2267" s="104">
        <v>45857</v>
      </c>
      <c r="X2267" s="97"/>
      <c r="Y2267" s="75">
        <v>440.23</v>
      </c>
    </row>
    <row r="2268" spans="1:25" x14ac:dyDescent="0.25">
      <c r="A2268" s="76">
        <v>2300</v>
      </c>
      <c r="B2268" s="2" t="s">
        <v>8655</v>
      </c>
      <c r="C2268" s="2" t="s">
        <v>8656</v>
      </c>
      <c r="D2268" s="2" t="s">
        <v>8657</v>
      </c>
      <c r="E2268" s="2" t="s">
        <v>8658</v>
      </c>
      <c r="F2268" s="2" t="s">
        <v>8659</v>
      </c>
      <c r="G2268" s="2" t="s">
        <v>618</v>
      </c>
      <c r="H2268" s="17">
        <v>25</v>
      </c>
      <c r="I2268" s="31">
        <f t="shared" si="222"/>
        <v>25000</v>
      </c>
      <c r="J2268" s="31">
        <f t="shared" si="223"/>
        <v>1750.0000000000002</v>
      </c>
      <c r="K2268" s="44">
        <f t="shared" si="224"/>
        <v>4.794520547945206</v>
      </c>
      <c r="L2268" s="3">
        <f t="shared" si="225"/>
        <v>354.79452054794524</v>
      </c>
      <c r="M2268" s="3">
        <f t="shared" si="226"/>
        <v>21.287671232876715</v>
      </c>
      <c r="N2268" s="67">
        <f t="shared" si="227"/>
        <v>333.50684931506851</v>
      </c>
      <c r="O2268" s="3"/>
      <c r="P2268" s="70" t="s">
        <v>18608</v>
      </c>
      <c r="Q2268" s="2" t="s">
        <v>24</v>
      </c>
      <c r="R2268" s="2" t="s">
        <v>8660</v>
      </c>
      <c r="T2268" t="s">
        <v>18666</v>
      </c>
      <c r="U2268" t="s">
        <v>18652</v>
      </c>
      <c r="V2268" s="104">
        <v>45857</v>
      </c>
      <c r="X2268" s="97"/>
      <c r="Y2268" s="75">
        <v>333.51</v>
      </c>
    </row>
    <row r="2269" spans="1:25" x14ac:dyDescent="0.25">
      <c r="A2269" s="76">
        <v>2301</v>
      </c>
      <c r="B2269" s="2" t="s">
        <v>15503</v>
      </c>
      <c r="C2269" s="2" t="s">
        <v>15504</v>
      </c>
      <c r="D2269" s="2" t="s">
        <v>15505</v>
      </c>
      <c r="E2269" s="2" t="s">
        <v>15506</v>
      </c>
      <c r="F2269" s="2" t="s">
        <v>15507</v>
      </c>
      <c r="G2269" s="2" t="s">
        <v>750</v>
      </c>
      <c r="H2269" s="17">
        <v>25</v>
      </c>
      <c r="I2269" s="31">
        <f t="shared" si="222"/>
        <v>25000</v>
      </c>
      <c r="J2269" s="31">
        <f t="shared" si="223"/>
        <v>1750.0000000000002</v>
      </c>
      <c r="K2269" s="44">
        <f t="shared" si="224"/>
        <v>4.794520547945206</v>
      </c>
      <c r="L2269" s="3">
        <f t="shared" si="225"/>
        <v>354.79452054794524</v>
      </c>
      <c r="M2269" s="3">
        <f t="shared" si="226"/>
        <v>21.287671232876715</v>
      </c>
      <c r="N2269" s="67">
        <f t="shared" si="227"/>
        <v>333.50684931506851</v>
      </c>
      <c r="O2269" s="3"/>
      <c r="P2269" s="70" t="s">
        <v>18608</v>
      </c>
      <c r="Q2269" s="2" t="s">
        <v>24</v>
      </c>
      <c r="R2269" s="2" t="s">
        <v>15508</v>
      </c>
      <c r="T2269" t="s">
        <v>18666</v>
      </c>
      <c r="U2269" t="s">
        <v>18652</v>
      </c>
      <c r="V2269" s="104">
        <v>45857</v>
      </c>
      <c r="X2269" s="97"/>
      <c r="Y2269" s="75">
        <v>333.51</v>
      </c>
    </row>
    <row r="2270" spans="1:25" x14ac:dyDescent="0.25">
      <c r="A2270" s="76">
        <v>2302</v>
      </c>
      <c r="B2270" s="2" t="s">
        <v>18154</v>
      </c>
      <c r="C2270" s="2" t="s">
        <v>18155</v>
      </c>
      <c r="D2270" s="2" t="s">
        <v>18156</v>
      </c>
      <c r="E2270" s="2" t="s">
        <v>18157</v>
      </c>
      <c r="F2270" s="2" t="s">
        <v>18158</v>
      </c>
      <c r="G2270" s="2" t="s">
        <v>166</v>
      </c>
      <c r="H2270" s="17">
        <v>100</v>
      </c>
      <c r="I2270" s="31">
        <f t="shared" si="222"/>
        <v>100000</v>
      </c>
      <c r="J2270" s="31">
        <f t="shared" si="223"/>
        <v>7000.0000000000009</v>
      </c>
      <c r="K2270" s="44">
        <f t="shared" si="224"/>
        <v>19.178082191780824</v>
      </c>
      <c r="L2270" s="3">
        <f t="shared" si="225"/>
        <v>1419.178082191781</v>
      </c>
      <c r="M2270" s="3">
        <f t="shared" si="226"/>
        <v>85.150684931506859</v>
      </c>
      <c r="N2270" s="67">
        <f t="shared" si="227"/>
        <v>1334.027397260274</v>
      </c>
      <c r="O2270" s="3"/>
      <c r="P2270" s="70" t="s">
        <v>18608</v>
      </c>
      <c r="Q2270" s="2" t="s">
        <v>24</v>
      </c>
      <c r="R2270" s="2" t="s">
        <v>18159</v>
      </c>
      <c r="T2270" t="s">
        <v>18666</v>
      </c>
      <c r="U2270" t="s">
        <v>18652</v>
      </c>
      <c r="V2270" s="104">
        <v>45857</v>
      </c>
      <c r="X2270" s="97"/>
      <c r="Y2270" s="75">
        <v>1334.03</v>
      </c>
    </row>
    <row r="2271" spans="1:25" x14ac:dyDescent="0.25">
      <c r="A2271" s="76">
        <v>2303</v>
      </c>
      <c r="B2271" s="2" t="s">
        <v>18406</v>
      </c>
      <c r="C2271" s="2" t="s">
        <v>18407</v>
      </c>
      <c r="D2271" s="2" t="s">
        <v>18408</v>
      </c>
      <c r="E2271" s="2" t="s">
        <v>18409</v>
      </c>
      <c r="F2271" s="2" t="s">
        <v>18410</v>
      </c>
      <c r="G2271" s="2" t="s">
        <v>876</v>
      </c>
      <c r="H2271" s="17">
        <v>25</v>
      </c>
      <c r="I2271" s="31">
        <f t="shared" si="222"/>
        <v>25000</v>
      </c>
      <c r="J2271" s="31">
        <f t="shared" si="223"/>
        <v>1750.0000000000002</v>
      </c>
      <c r="K2271" s="44">
        <f t="shared" si="224"/>
        <v>4.794520547945206</v>
      </c>
      <c r="L2271" s="3">
        <f t="shared" si="225"/>
        <v>354.79452054794524</v>
      </c>
      <c r="M2271" s="3">
        <f t="shared" si="226"/>
        <v>21.287671232876715</v>
      </c>
      <c r="N2271" s="67">
        <f t="shared" si="227"/>
        <v>333.50684931506851</v>
      </c>
      <c r="O2271" s="3"/>
      <c r="P2271" s="70" t="s">
        <v>18608</v>
      </c>
      <c r="Q2271" s="2" t="s">
        <v>24</v>
      </c>
      <c r="R2271" s="2" t="s">
        <v>18411</v>
      </c>
      <c r="T2271" t="s">
        <v>18666</v>
      </c>
      <c r="U2271" t="s">
        <v>18652</v>
      </c>
      <c r="V2271" s="104">
        <v>45857</v>
      </c>
      <c r="X2271" s="97"/>
      <c r="Y2271" s="75">
        <v>333.51</v>
      </c>
    </row>
    <row r="2272" spans="1:25" x14ac:dyDescent="0.25">
      <c r="A2272" s="76">
        <v>2304</v>
      </c>
      <c r="B2272" s="2" t="s">
        <v>6537</v>
      </c>
      <c r="C2272" s="2" t="s">
        <v>6538</v>
      </c>
      <c r="D2272" s="2" t="s">
        <v>6539</v>
      </c>
      <c r="E2272" s="2" t="s">
        <v>6540</v>
      </c>
      <c r="F2272" s="2" t="s">
        <v>6541</v>
      </c>
      <c r="G2272" s="2" t="s">
        <v>1570</v>
      </c>
      <c r="H2272" s="17">
        <v>25</v>
      </c>
      <c r="I2272" s="31">
        <f t="shared" si="222"/>
        <v>25000</v>
      </c>
      <c r="J2272" s="31">
        <f t="shared" si="223"/>
        <v>1750.0000000000002</v>
      </c>
      <c r="K2272" s="44">
        <f t="shared" si="224"/>
        <v>4.794520547945206</v>
      </c>
      <c r="L2272" s="3">
        <f t="shared" si="225"/>
        <v>354.79452054794524</v>
      </c>
      <c r="M2272" s="3">
        <f t="shared" si="226"/>
        <v>21.287671232876715</v>
      </c>
      <c r="N2272" s="67">
        <f t="shared" si="227"/>
        <v>333.50684931506851</v>
      </c>
      <c r="O2272" s="3"/>
      <c r="P2272" s="70" t="s">
        <v>18608</v>
      </c>
      <c r="Q2272" s="2" t="s">
        <v>24</v>
      </c>
      <c r="R2272" s="2" t="s">
        <v>6542</v>
      </c>
      <c r="T2272" t="s">
        <v>18666</v>
      </c>
      <c r="U2272" t="s">
        <v>18652</v>
      </c>
      <c r="V2272" s="104">
        <v>45857</v>
      </c>
      <c r="X2272" s="97"/>
      <c r="Y2272" s="75">
        <v>333.51</v>
      </c>
    </row>
    <row r="2273" spans="1:25" x14ac:dyDescent="0.25">
      <c r="A2273" s="76">
        <v>2305</v>
      </c>
      <c r="B2273" s="2" t="s">
        <v>18</v>
      </c>
      <c r="C2273" s="2" t="s">
        <v>19</v>
      </c>
      <c r="D2273" s="2" t="s">
        <v>20</v>
      </c>
      <c r="E2273" s="2" t="s">
        <v>21</v>
      </c>
      <c r="F2273" s="2" t="s">
        <v>22</v>
      </c>
      <c r="G2273" s="2" t="s">
        <v>23</v>
      </c>
      <c r="H2273" s="17">
        <v>25</v>
      </c>
      <c r="I2273" s="31">
        <f t="shared" si="222"/>
        <v>25000</v>
      </c>
      <c r="J2273" s="31">
        <f t="shared" si="223"/>
        <v>1750.0000000000002</v>
      </c>
      <c r="K2273" s="44">
        <f t="shared" si="224"/>
        <v>4.794520547945206</v>
      </c>
      <c r="L2273" s="3">
        <f t="shared" si="225"/>
        <v>354.79452054794524</v>
      </c>
      <c r="M2273" s="3">
        <f t="shared" si="226"/>
        <v>21.287671232876715</v>
      </c>
      <c r="N2273" s="67">
        <f t="shared" si="227"/>
        <v>333.50684931506851</v>
      </c>
      <c r="O2273" s="3"/>
      <c r="P2273" s="70" t="s">
        <v>18608</v>
      </c>
      <c r="Q2273" s="2" t="s">
        <v>24</v>
      </c>
      <c r="R2273" s="2" t="s">
        <v>25</v>
      </c>
      <c r="T2273" t="s">
        <v>18666</v>
      </c>
      <c r="U2273" t="s">
        <v>18652</v>
      </c>
      <c r="V2273" s="104">
        <v>45857</v>
      </c>
      <c r="X2273" s="97"/>
      <c r="Y2273" s="75">
        <v>333.51</v>
      </c>
    </row>
    <row r="2274" spans="1:25" x14ac:dyDescent="0.25">
      <c r="A2274" s="76">
        <v>2306</v>
      </c>
      <c r="B2274" s="2" t="s">
        <v>5756</v>
      </c>
      <c r="C2274" s="2" t="s">
        <v>4146</v>
      </c>
      <c r="D2274" s="2" t="s">
        <v>5669</v>
      </c>
      <c r="E2274" s="2" t="s">
        <v>5757</v>
      </c>
      <c r="F2274" s="2" t="s">
        <v>5758</v>
      </c>
      <c r="G2274" s="2" t="s">
        <v>31</v>
      </c>
      <c r="H2274" s="17">
        <v>100</v>
      </c>
      <c r="I2274" s="31">
        <f t="shared" si="222"/>
        <v>100000</v>
      </c>
      <c r="J2274" s="31">
        <f t="shared" si="223"/>
        <v>7000.0000000000009</v>
      </c>
      <c r="K2274" s="44">
        <f t="shared" si="224"/>
        <v>19.178082191780824</v>
      </c>
      <c r="L2274" s="3">
        <f t="shared" si="225"/>
        <v>1419.178082191781</v>
      </c>
      <c r="M2274" s="3">
        <f t="shared" si="226"/>
        <v>85.150684931506859</v>
      </c>
      <c r="N2274" s="67">
        <f t="shared" si="227"/>
        <v>1334.027397260274</v>
      </c>
      <c r="O2274" s="3"/>
      <c r="P2274" s="70" t="s">
        <v>18608</v>
      </c>
      <c r="Q2274" s="2" t="s">
        <v>24</v>
      </c>
      <c r="R2274" s="2" t="s">
        <v>5759</v>
      </c>
      <c r="T2274" t="s">
        <v>18666</v>
      </c>
      <c r="U2274" t="s">
        <v>18652</v>
      </c>
      <c r="V2274" s="104">
        <v>45857</v>
      </c>
      <c r="X2274" s="97"/>
      <c r="Y2274" s="75">
        <v>1334.03</v>
      </c>
    </row>
    <row r="2275" spans="1:25" x14ac:dyDescent="0.25">
      <c r="A2275" s="76">
        <v>2307</v>
      </c>
      <c r="B2275" s="2" t="s">
        <v>5746</v>
      </c>
      <c r="C2275" s="2" t="s">
        <v>5747</v>
      </c>
      <c r="D2275" s="2" t="s">
        <v>5748</v>
      </c>
      <c r="E2275" s="2" t="s">
        <v>5749</v>
      </c>
      <c r="F2275" s="2" t="s">
        <v>5750</v>
      </c>
      <c r="G2275" s="2" t="s">
        <v>2380</v>
      </c>
      <c r="H2275" s="17">
        <v>70</v>
      </c>
      <c r="I2275" s="31">
        <f t="shared" si="222"/>
        <v>70000</v>
      </c>
      <c r="J2275" s="31">
        <f t="shared" si="223"/>
        <v>4900.0000000000009</v>
      </c>
      <c r="K2275" s="44">
        <f t="shared" si="224"/>
        <v>13.424657534246577</v>
      </c>
      <c r="L2275" s="3">
        <f t="shared" si="225"/>
        <v>993.42465753424676</v>
      </c>
      <c r="M2275" s="3">
        <f t="shared" si="226"/>
        <v>59.605479452054801</v>
      </c>
      <c r="N2275" s="67">
        <f t="shared" si="227"/>
        <v>933.81917808219191</v>
      </c>
      <c r="O2275" s="3"/>
      <c r="P2275" s="70" t="s">
        <v>18608</v>
      </c>
      <c r="Q2275" s="2" t="s">
        <v>24</v>
      </c>
      <c r="R2275" s="2" t="s">
        <v>5751</v>
      </c>
      <c r="T2275" t="s">
        <v>18666</v>
      </c>
      <c r="U2275" t="s">
        <v>18652</v>
      </c>
      <c r="V2275" s="104">
        <v>45857</v>
      </c>
      <c r="X2275" s="97"/>
      <c r="Y2275" s="75">
        <v>933.81999999999994</v>
      </c>
    </row>
    <row r="2276" spans="1:25" x14ac:dyDescent="0.25">
      <c r="A2276" s="76">
        <v>2308</v>
      </c>
      <c r="B2276" s="2" t="s">
        <v>17323</v>
      </c>
      <c r="C2276" s="2" t="s">
        <v>17324</v>
      </c>
      <c r="D2276" s="2" t="s">
        <v>17325</v>
      </c>
      <c r="E2276" s="2" t="s">
        <v>17326</v>
      </c>
      <c r="F2276" s="2" t="s">
        <v>17327</v>
      </c>
      <c r="G2276" s="2" t="s">
        <v>23</v>
      </c>
      <c r="H2276" s="17">
        <v>25</v>
      </c>
      <c r="I2276" s="31">
        <f t="shared" si="222"/>
        <v>25000</v>
      </c>
      <c r="J2276" s="31">
        <f t="shared" si="223"/>
        <v>1750.0000000000002</v>
      </c>
      <c r="K2276" s="44">
        <f t="shared" si="224"/>
        <v>4.794520547945206</v>
      </c>
      <c r="L2276" s="3">
        <f t="shared" si="225"/>
        <v>354.79452054794524</v>
      </c>
      <c r="M2276" s="3">
        <f t="shared" si="226"/>
        <v>21.287671232876715</v>
      </c>
      <c r="N2276" s="67">
        <f t="shared" si="227"/>
        <v>333.50684931506851</v>
      </c>
      <c r="O2276" s="3"/>
      <c r="P2276" s="70" t="s">
        <v>18608</v>
      </c>
      <c r="Q2276" s="2" t="s">
        <v>24</v>
      </c>
      <c r="R2276" s="2" t="s">
        <v>17328</v>
      </c>
      <c r="T2276" t="s">
        <v>18666</v>
      </c>
      <c r="U2276" t="s">
        <v>18652</v>
      </c>
      <c r="V2276" s="104">
        <v>45857</v>
      </c>
      <c r="X2276" s="97"/>
      <c r="Y2276" s="75">
        <v>333.51</v>
      </c>
    </row>
    <row r="2277" spans="1:25" x14ac:dyDescent="0.25">
      <c r="A2277" s="76">
        <v>2309</v>
      </c>
      <c r="B2277" s="2" t="s">
        <v>8404</v>
      </c>
      <c r="C2277" s="2" t="s">
        <v>8405</v>
      </c>
      <c r="D2277" s="2" t="s">
        <v>5334</v>
      </c>
      <c r="E2277" s="2" t="s">
        <v>2075</v>
      </c>
      <c r="F2277" s="2" t="s">
        <v>8406</v>
      </c>
      <c r="G2277" s="2" t="s">
        <v>31</v>
      </c>
      <c r="H2277" s="17">
        <v>25</v>
      </c>
      <c r="I2277" s="31">
        <f t="shared" si="222"/>
        <v>25000</v>
      </c>
      <c r="J2277" s="31">
        <f t="shared" si="223"/>
        <v>1750.0000000000002</v>
      </c>
      <c r="K2277" s="44">
        <f t="shared" si="224"/>
        <v>4.794520547945206</v>
      </c>
      <c r="L2277" s="3">
        <f t="shared" si="225"/>
        <v>354.79452054794524</v>
      </c>
      <c r="M2277" s="3">
        <f t="shared" si="226"/>
        <v>21.287671232876715</v>
      </c>
      <c r="N2277" s="67">
        <f t="shared" si="227"/>
        <v>333.50684931506851</v>
      </c>
      <c r="O2277" s="3"/>
      <c r="P2277" s="70" t="s">
        <v>18608</v>
      </c>
      <c r="Q2277" s="2" t="s">
        <v>24</v>
      </c>
      <c r="R2277" s="2" t="s">
        <v>8407</v>
      </c>
      <c r="T2277" t="s">
        <v>18666</v>
      </c>
      <c r="U2277" t="s">
        <v>18652</v>
      </c>
      <c r="V2277" s="104">
        <v>45857</v>
      </c>
      <c r="X2277" s="97"/>
      <c r="Y2277" s="75">
        <v>333.51</v>
      </c>
    </row>
    <row r="2278" spans="1:25" x14ac:dyDescent="0.25">
      <c r="A2278" s="76">
        <v>2310</v>
      </c>
      <c r="B2278" s="2" t="s">
        <v>11039</v>
      </c>
      <c r="C2278" s="2" t="s">
        <v>11040</v>
      </c>
      <c r="D2278" s="2" t="s">
        <v>11041</v>
      </c>
      <c r="E2278" s="2" t="s">
        <v>11042</v>
      </c>
      <c r="F2278" s="2" t="s">
        <v>11043</v>
      </c>
      <c r="G2278" s="2" t="s">
        <v>524</v>
      </c>
      <c r="H2278" s="17">
        <v>25</v>
      </c>
      <c r="I2278" s="31">
        <f t="shared" si="222"/>
        <v>25000</v>
      </c>
      <c r="J2278" s="31">
        <f t="shared" si="223"/>
        <v>1750.0000000000002</v>
      </c>
      <c r="K2278" s="44">
        <f t="shared" si="224"/>
        <v>4.794520547945206</v>
      </c>
      <c r="L2278" s="3">
        <f t="shared" si="225"/>
        <v>354.79452054794524</v>
      </c>
      <c r="M2278" s="3">
        <f t="shared" si="226"/>
        <v>21.287671232876715</v>
      </c>
      <c r="N2278" s="67">
        <f t="shared" si="227"/>
        <v>333.50684931506851</v>
      </c>
      <c r="O2278" s="3"/>
      <c r="P2278" s="70" t="s">
        <v>18608</v>
      </c>
      <c r="Q2278" s="2" t="s">
        <v>24</v>
      </c>
      <c r="R2278" s="2" t="s">
        <v>11044</v>
      </c>
      <c r="T2278" t="s">
        <v>18666</v>
      </c>
      <c r="U2278" t="s">
        <v>18652</v>
      </c>
      <c r="V2278" s="104">
        <v>45857</v>
      </c>
      <c r="X2278" s="97"/>
      <c r="Y2278" s="75">
        <v>333.51</v>
      </c>
    </row>
    <row r="2279" spans="1:25" x14ac:dyDescent="0.25">
      <c r="A2279" s="76">
        <v>2311</v>
      </c>
      <c r="B2279" s="2" t="s">
        <v>16991</v>
      </c>
      <c r="C2279" s="2" t="s">
        <v>16992</v>
      </c>
      <c r="D2279" s="2" t="s">
        <v>16993</v>
      </c>
      <c r="E2279" s="2" t="s">
        <v>3005</v>
      </c>
      <c r="F2279" s="2" t="s">
        <v>16994</v>
      </c>
      <c r="G2279" s="2" t="s">
        <v>2380</v>
      </c>
      <c r="H2279" s="17">
        <v>25</v>
      </c>
      <c r="I2279" s="31">
        <f t="shared" si="222"/>
        <v>25000</v>
      </c>
      <c r="J2279" s="31">
        <f t="shared" si="223"/>
        <v>1750.0000000000002</v>
      </c>
      <c r="K2279" s="44">
        <f t="shared" si="224"/>
        <v>4.794520547945206</v>
      </c>
      <c r="L2279" s="3">
        <f t="shared" si="225"/>
        <v>354.79452054794524</v>
      </c>
      <c r="M2279" s="3">
        <f t="shared" si="226"/>
        <v>21.287671232876715</v>
      </c>
      <c r="N2279" s="67">
        <f t="shared" si="227"/>
        <v>333.50684931506851</v>
      </c>
      <c r="O2279" s="3"/>
      <c r="P2279" s="70" t="s">
        <v>18608</v>
      </c>
      <c r="Q2279" s="2" t="s">
        <v>24</v>
      </c>
      <c r="R2279" s="2" t="s">
        <v>16995</v>
      </c>
      <c r="T2279" t="s">
        <v>18666</v>
      </c>
      <c r="U2279" t="s">
        <v>18652</v>
      </c>
      <c r="V2279" s="104">
        <v>45857</v>
      </c>
      <c r="X2279" s="97"/>
      <c r="Y2279" s="75">
        <v>333.51</v>
      </c>
    </row>
    <row r="2280" spans="1:25" x14ac:dyDescent="0.25">
      <c r="A2280" s="76">
        <v>2312</v>
      </c>
      <c r="B2280" s="2" t="s">
        <v>5002</v>
      </c>
      <c r="C2280" s="2" t="s">
        <v>5003</v>
      </c>
      <c r="D2280" s="2" t="s">
        <v>5004</v>
      </c>
      <c r="E2280" s="2" t="s">
        <v>5005</v>
      </c>
      <c r="F2280" s="2" t="s">
        <v>5006</v>
      </c>
      <c r="G2280" s="2" t="s">
        <v>226</v>
      </c>
      <c r="H2280" s="17">
        <v>200</v>
      </c>
      <c r="I2280" s="31">
        <f t="shared" si="222"/>
        <v>200000</v>
      </c>
      <c r="J2280" s="31">
        <f t="shared" si="223"/>
        <v>14000.000000000002</v>
      </c>
      <c r="K2280" s="44">
        <f t="shared" si="224"/>
        <v>38.356164383561648</v>
      </c>
      <c r="L2280" s="3">
        <f t="shared" si="225"/>
        <v>2838.3561643835619</v>
      </c>
      <c r="M2280" s="3">
        <f t="shared" si="226"/>
        <v>170.30136986301372</v>
      </c>
      <c r="N2280" s="67">
        <f t="shared" si="227"/>
        <v>2668.0547945205481</v>
      </c>
      <c r="O2280" s="3"/>
      <c r="P2280" s="70" t="s">
        <v>18608</v>
      </c>
      <c r="Q2280" s="2" t="s">
        <v>24</v>
      </c>
      <c r="R2280" s="2" t="s">
        <v>5007</v>
      </c>
      <c r="T2280" t="s">
        <v>18666</v>
      </c>
      <c r="U2280" t="s">
        <v>18652</v>
      </c>
      <c r="V2280" s="104">
        <v>45857</v>
      </c>
      <c r="X2280" s="97"/>
      <c r="Y2280" s="75">
        <v>2668.0600000000004</v>
      </c>
    </row>
    <row r="2281" spans="1:25" x14ac:dyDescent="0.25">
      <c r="A2281" s="76">
        <v>2313</v>
      </c>
      <c r="B2281" s="2" t="s">
        <v>15415</v>
      </c>
      <c r="C2281" s="2" t="s">
        <v>15416</v>
      </c>
      <c r="D2281" s="2" t="s">
        <v>15417</v>
      </c>
      <c r="E2281" s="2" t="s">
        <v>15418</v>
      </c>
      <c r="F2281" s="2" t="s">
        <v>15419</v>
      </c>
      <c r="G2281" s="2" t="s">
        <v>186</v>
      </c>
      <c r="H2281" s="17">
        <v>25</v>
      </c>
      <c r="I2281" s="31">
        <f t="shared" si="222"/>
        <v>25000</v>
      </c>
      <c r="J2281" s="31">
        <f t="shared" si="223"/>
        <v>1750.0000000000002</v>
      </c>
      <c r="K2281" s="44">
        <f t="shared" si="224"/>
        <v>4.794520547945206</v>
      </c>
      <c r="L2281" s="3">
        <f t="shared" si="225"/>
        <v>354.79452054794524</v>
      </c>
      <c r="M2281" s="3">
        <f t="shared" si="226"/>
        <v>21.287671232876715</v>
      </c>
      <c r="N2281" s="67">
        <f t="shared" si="227"/>
        <v>333.50684931506851</v>
      </c>
      <c r="O2281" s="3"/>
      <c r="P2281" s="70" t="s">
        <v>18608</v>
      </c>
      <c r="Q2281" s="2" t="s">
        <v>24</v>
      </c>
      <c r="R2281" s="2" t="s">
        <v>15420</v>
      </c>
      <c r="T2281" t="s">
        <v>18666</v>
      </c>
      <c r="U2281" t="s">
        <v>18652</v>
      </c>
      <c r="V2281" s="104">
        <v>45857</v>
      </c>
      <c r="X2281" s="97"/>
      <c r="Y2281" s="75">
        <v>333.51</v>
      </c>
    </row>
    <row r="2282" spans="1:25" x14ac:dyDescent="0.25">
      <c r="A2282" s="76">
        <v>2314</v>
      </c>
      <c r="B2282" s="2" t="s">
        <v>9682</v>
      </c>
      <c r="C2282" s="2" t="s">
        <v>9683</v>
      </c>
      <c r="D2282" s="2" t="s">
        <v>9684</v>
      </c>
      <c r="E2282" s="2" t="s">
        <v>4705</v>
      </c>
      <c r="F2282" s="2" t="s">
        <v>9685</v>
      </c>
      <c r="G2282" s="2" t="s">
        <v>799</v>
      </c>
      <c r="H2282" s="17">
        <v>500</v>
      </c>
      <c r="I2282" s="31">
        <f t="shared" si="222"/>
        <v>500000</v>
      </c>
      <c r="J2282" s="31">
        <f t="shared" si="223"/>
        <v>35000</v>
      </c>
      <c r="K2282" s="44">
        <f t="shared" si="224"/>
        <v>95.890410958904113</v>
      </c>
      <c r="L2282" s="3">
        <f t="shared" si="225"/>
        <v>7095.8904109589039</v>
      </c>
      <c r="M2282" s="3">
        <f t="shared" si="226"/>
        <v>425.7534246575342</v>
      </c>
      <c r="N2282" s="67">
        <f t="shared" si="227"/>
        <v>6670.1369863013697</v>
      </c>
      <c r="O2282" s="3"/>
      <c r="P2282" s="70" t="s">
        <v>18608</v>
      </c>
      <c r="Q2282" s="2" t="s">
        <v>24</v>
      </c>
      <c r="R2282" s="2" t="s">
        <v>9686</v>
      </c>
      <c r="T2282" t="s">
        <v>18666</v>
      </c>
      <c r="U2282" t="s">
        <v>18652</v>
      </c>
      <c r="V2282" s="104">
        <v>45857</v>
      </c>
      <c r="X2282" s="97"/>
      <c r="Y2282" s="75">
        <v>6670.14</v>
      </c>
    </row>
    <row r="2283" spans="1:25" x14ac:dyDescent="0.25">
      <c r="A2283" s="76">
        <v>2315</v>
      </c>
      <c r="B2283" s="2" t="s">
        <v>12675</v>
      </c>
      <c r="C2283" s="2" t="s">
        <v>12676</v>
      </c>
      <c r="D2283" s="2" t="s">
        <v>12677</v>
      </c>
      <c r="E2283" s="2" t="s">
        <v>12678</v>
      </c>
      <c r="F2283" s="2" t="s">
        <v>12679</v>
      </c>
      <c r="G2283" s="2" t="s">
        <v>524</v>
      </c>
      <c r="H2283" s="17">
        <v>25</v>
      </c>
      <c r="I2283" s="31">
        <f t="shared" si="222"/>
        <v>25000</v>
      </c>
      <c r="J2283" s="31">
        <f t="shared" si="223"/>
        <v>1750.0000000000002</v>
      </c>
      <c r="K2283" s="44">
        <f t="shared" si="224"/>
        <v>4.794520547945206</v>
      </c>
      <c r="L2283" s="3">
        <f t="shared" si="225"/>
        <v>354.79452054794524</v>
      </c>
      <c r="M2283" s="3">
        <f t="shared" si="226"/>
        <v>21.287671232876715</v>
      </c>
      <c r="N2283" s="67">
        <f t="shared" si="227"/>
        <v>333.50684931506851</v>
      </c>
      <c r="O2283" s="3"/>
      <c r="P2283" s="70" t="s">
        <v>18608</v>
      </c>
      <c r="Q2283" s="2" t="s">
        <v>24</v>
      </c>
      <c r="R2283" s="2" t="s">
        <v>12680</v>
      </c>
      <c r="T2283" t="s">
        <v>18666</v>
      </c>
      <c r="U2283" t="s">
        <v>18652</v>
      </c>
      <c r="V2283" s="104">
        <v>45857</v>
      </c>
      <c r="X2283" s="97"/>
      <c r="Y2283" s="75">
        <v>333.51</v>
      </c>
    </row>
    <row r="2284" spans="1:25" x14ac:dyDescent="0.25">
      <c r="A2284" s="76">
        <v>2316</v>
      </c>
      <c r="B2284" s="2" t="s">
        <v>16769</v>
      </c>
      <c r="C2284" s="2" t="s">
        <v>16770</v>
      </c>
      <c r="D2284" s="2" t="s">
        <v>16771</v>
      </c>
      <c r="E2284" s="2" t="s">
        <v>16772</v>
      </c>
      <c r="F2284" s="2" t="s">
        <v>16773</v>
      </c>
      <c r="G2284" s="2" t="s">
        <v>296</v>
      </c>
      <c r="H2284" s="17">
        <v>25</v>
      </c>
      <c r="I2284" s="31">
        <f t="shared" si="222"/>
        <v>25000</v>
      </c>
      <c r="J2284" s="31">
        <f t="shared" si="223"/>
        <v>1750.0000000000002</v>
      </c>
      <c r="K2284" s="44">
        <f t="shared" si="224"/>
        <v>4.794520547945206</v>
      </c>
      <c r="L2284" s="3">
        <f t="shared" si="225"/>
        <v>354.79452054794524</v>
      </c>
      <c r="M2284" s="3">
        <f t="shared" si="226"/>
        <v>21.287671232876715</v>
      </c>
      <c r="N2284" s="67">
        <f t="shared" si="227"/>
        <v>333.50684931506851</v>
      </c>
      <c r="O2284" s="3"/>
      <c r="P2284" s="70" t="s">
        <v>18608</v>
      </c>
      <c r="Q2284" s="2" t="s">
        <v>24</v>
      </c>
      <c r="R2284" s="2" t="s">
        <v>16774</v>
      </c>
      <c r="T2284" t="s">
        <v>18666</v>
      </c>
      <c r="U2284" t="s">
        <v>18652</v>
      </c>
      <c r="V2284" s="104">
        <v>45857</v>
      </c>
      <c r="X2284" s="97"/>
      <c r="Y2284" s="75">
        <v>333.51</v>
      </c>
    </row>
    <row r="2285" spans="1:25" x14ac:dyDescent="0.25">
      <c r="A2285" s="76">
        <v>2317</v>
      </c>
      <c r="B2285" s="2" t="s">
        <v>11488</v>
      </c>
      <c r="C2285" s="2" t="s">
        <v>11489</v>
      </c>
      <c r="D2285" s="2" t="s">
        <v>11490</v>
      </c>
      <c r="E2285" s="2" t="s">
        <v>11491</v>
      </c>
      <c r="F2285" s="2" t="s">
        <v>11492</v>
      </c>
      <c r="G2285" s="2" t="s">
        <v>524</v>
      </c>
      <c r="H2285" s="17">
        <v>500</v>
      </c>
      <c r="I2285" s="31">
        <f t="shared" si="222"/>
        <v>500000</v>
      </c>
      <c r="J2285" s="31">
        <f t="shared" si="223"/>
        <v>35000</v>
      </c>
      <c r="K2285" s="44">
        <f t="shared" si="224"/>
        <v>95.890410958904113</v>
      </c>
      <c r="L2285" s="3">
        <f t="shared" si="225"/>
        <v>7095.8904109589039</v>
      </c>
      <c r="M2285" s="3">
        <f t="shared" si="226"/>
        <v>425.7534246575342</v>
      </c>
      <c r="N2285" s="67">
        <f t="shared" si="227"/>
        <v>6670.1369863013697</v>
      </c>
      <c r="O2285" s="3"/>
      <c r="P2285" s="70" t="s">
        <v>18608</v>
      </c>
      <c r="Q2285" s="2" t="s">
        <v>24</v>
      </c>
      <c r="R2285" s="2" t="s">
        <v>11493</v>
      </c>
      <c r="T2285" t="s">
        <v>18666</v>
      </c>
      <c r="U2285" t="s">
        <v>18652</v>
      </c>
      <c r="V2285" s="104">
        <v>45857</v>
      </c>
      <c r="X2285" s="97"/>
      <c r="Y2285" s="75">
        <v>6670.14</v>
      </c>
    </row>
    <row r="2286" spans="1:25" x14ac:dyDescent="0.25">
      <c r="A2286" s="76">
        <v>2318</v>
      </c>
      <c r="B2286" s="2" t="s">
        <v>17495</v>
      </c>
      <c r="C2286" s="2" t="s">
        <v>17496</v>
      </c>
      <c r="D2286" s="2" t="s">
        <v>17497</v>
      </c>
      <c r="E2286" s="2" t="s">
        <v>17498</v>
      </c>
      <c r="F2286" s="2" t="s">
        <v>17499</v>
      </c>
      <c r="G2286" s="2" t="s">
        <v>151</v>
      </c>
      <c r="H2286" s="17">
        <v>25</v>
      </c>
      <c r="I2286" s="31">
        <f t="shared" si="222"/>
        <v>25000</v>
      </c>
      <c r="J2286" s="31">
        <f t="shared" si="223"/>
        <v>1750.0000000000002</v>
      </c>
      <c r="K2286" s="44">
        <f t="shared" si="224"/>
        <v>4.794520547945206</v>
      </c>
      <c r="L2286" s="3">
        <f t="shared" si="225"/>
        <v>354.79452054794524</v>
      </c>
      <c r="M2286" s="3">
        <f t="shared" si="226"/>
        <v>21.287671232876715</v>
      </c>
      <c r="N2286" s="67">
        <f t="shared" si="227"/>
        <v>333.50684931506851</v>
      </c>
      <c r="O2286" s="3"/>
      <c r="P2286" s="70" t="s">
        <v>18608</v>
      </c>
      <c r="Q2286" s="2" t="s">
        <v>24</v>
      </c>
      <c r="R2286" s="2" t="s">
        <v>17500</v>
      </c>
      <c r="T2286" t="s">
        <v>18666</v>
      </c>
      <c r="U2286" t="s">
        <v>18652</v>
      </c>
      <c r="V2286" s="104">
        <v>45857</v>
      </c>
      <c r="X2286" s="97"/>
      <c r="Y2286" s="75">
        <v>333.51</v>
      </c>
    </row>
    <row r="2287" spans="1:25" x14ac:dyDescent="0.25">
      <c r="A2287" s="76">
        <v>2319</v>
      </c>
      <c r="B2287" s="2" t="s">
        <v>8847</v>
      </c>
      <c r="C2287" s="2" t="s">
        <v>8848</v>
      </c>
      <c r="D2287" s="2" t="s">
        <v>8849</v>
      </c>
      <c r="E2287" s="2" t="s">
        <v>490</v>
      </c>
      <c r="F2287" s="2" t="s">
        <v>8850</v>
      </c>
      <c r="G2287" s="2" t="s">
        <v>1048</v>
      </c>
      <c r="H2287" s="17">
        <v>25</v>
      </c>
      <c r="I2287" s="31">
        <f t="shared" si="222"/>
        <v>25000</v>
      </c>
      <c r="J2287" s="31">
        <f t="shared" si="223"/>
        <v>1750.0000000000002</v>
      </c>
      <c r="K2287" s="44">
        <f t="shared" si="224"/>
        <v>4.794520547945206</v>
      </c>
      <c r="L2287" s="3">
        <f t="shared" si="225"/>
        <v>354.79452054794524</v>
      </c>
      <c r="M2287" s="3">
        <f t="shared" si="226"/>
        <v>21.287671232876715</v>
      </c>
      <c r="N2287" s="67">
        <f t="shared" si="227"/>
        <v>333.50684931506851</v>
      </c>
      <c r="O2287" s="3"/>
      <c r="P2287" s="70" t="s">
        <v>18608</v>
      </c>
      <c r="Q2287" s="2" t="s">
        <v>24</v>
      </c>
      <c r="R2287" s="2" t="s">
        <v>8851</v>
      </c>
      <c r="T2287" t="s">
        <v>18666</v>
      </c>
      <c r="U2287" t="s">
        <v>18652</v>
      </c>
      <c r="V2287" s="104">
        <v>45857</v>
      </c>
      <c r="X2287" s="97"/>
      <c r="Y2287" s="75">
        <v>333.51</v>
      </c>
    </row>
    <row r="2288" spans="1:25" x14ac:dyDescent="0.25">
      <c r="A2288" s="76">
        <v>2320</v>
      </c>
      <c r="B2288" s="2" t="s">
        <v>1909</v>
      </c>
      <c r="C2288" s="2" t="s">
        <v>1910</v>
      </c>
      <c r="D2288" s="2" t="s">
        <v>1911</v>
      </c>
      <c r="E2288" s="2" t="s">
        <v>1912</v>
      </c>
      <c r="F2288" s="2" t="s">
        <v>1913</v>
      </c>
      <c r="G2288" s="2" t="s">
        <v>39</v>
      </c>
      <c r="H2288" s="17">
        <v>500</v>
      </c>
      <c r="I2288" s="31">
        <f t="shared" si="222"/>
        <v>500000</v>
      </c>
      <c r="J2288" s="31">
        <f t="shared" si="223"/>
        <v>35000</v>
      </c>
      <c r="K2288" s="44">
        <f t="shared" si="224"/>
        <v>95.890410958904113</v>
      </c>
      <c r="L2288" s="3">
        <f t="shared" si="225"/>
        <v>7095.8904109589039</v>
      </c>
      <c r="M2288" s="3">
        <f t="shared" si="226"/>
        <v>425.7534246575342</v>
      </c>
      <c r="N2288" s="67">
        <f t="shared" si="227"/>
        <v>6670.1369863013697</v>
      </c>
      <c r="O2288" s="3"/>
      <c r="P2288" s="70" t="s">
        <v>18608</v>
      </c>
      <c r="Q2288" s="2" t="s">
        <v>24</v>
      </c>
      <c r="R2288" s="2" t="s">
        <v>1914</v>
      </c>
      <c r="T2288" t="s">
        <v>18666</v>
      </c>
      <c r="U2288" t="s">
        <v>18652</v>
      </c>
      <c r="V2288" s="104">
        <v>45857</v>
      </c>
      <c r="X2288" s="97"/>
      <c r="Y2288" s="75">
        <v>6670.14</v>
      </c>
    </row>
    <row r="2289" spans="1:25" x14ac:dyDescent="0.25">
      <c r="A2289" s="76">
        <v>2321</v>
      </c>
      <c r="B2289" s="2" t="s">
        <v>2410</v>
      </c>
      <c r="C2289" s="2" t="s">
        <v>2411</v>
      </c>
      <c r="D2289" s="2" t="s">
        <v>2412</v>
      </c>
      <c r="E2289" s="2" t="s">
        <v>2413</v>
      </c>
      <c r="F2289" s="2" t="s">
        <v>2414</v>
      </c>
      <c r="G2289" s="2" t="s">
        <v>158</v>
      </c>
      <c r="H2289" s="17">
        <v>225</v>
      </c>
      <c r="I2289" s="31">
        <f t="shared" si="222"/>
        <v>225000</v>
      </c>
      <c r="J2289" s="31">
        <f t="shared" si="223"/>
        <v>15750.000000000002</v>
      </c>
      <c r="K2289" s="44">
        <f t="shared" si="224"/>
        <v>43.150684931506852</v>
      </c>
      <c r="L2289" s="3">
        <f t="shared" si="225"/>
        <v>3193.1506849315069</v>
      </c>
      <c r="M2289" s="3">
        <f t="shared" si="226"/>
        <v>191.58904109589042</v>
      </c>
      <c r="N2289" s="67">
        <f t="shared" si="227"/>
        <v>3001.5616438356165</v>
      </c>
      <c r="O2289" s="3"/>
      <c r="P2289" s="70" t="s">
        <v>18608</v>
      </c>
      <c r="Q2289" s="2" t="s">
        <v>24</v>
      </c>
      <c r="R2289" s="2" t="s">
        <v>2415</v>
      </c>
      <c r="T2289" t="s">
        <v>18666</v>
      </c>
      <c r="U2289" t="s">
        <v>18652</v>
      </c>
      <c r="V2289" s="104">
        <v>45857</v>
      </c>
      <c r="X2289" s="97"/>
      <c r="Y2289" s="75">
        <v>3001.57</v>
      </c>
    </row>
    <row r="2290" spans="1:25" x14ac:dyDescent="0.25">
      <c r="A2290" s="76">
        <v>2322</v>
      </c>
      <c r="B2290" s="2" t="s">
        <v>14553</v>
      </c>
      <c r="C2290" s="2" t="s">
        <v>14554</v>
      </c>
      <c r="D2290" s="2" t="s">
        <v>14555</v>
      </c>
      <c r="E2290" s="2" t="s">
        <v>14556</v>
      </c>
      <c r="F2290" s="2" t="s">
        <v>14557</v>
      </c>
      <c r="G2290" s="2" t="s">
        <v>151</v>
      </c>
      <c r="H2290" s="17">
        <v>50</v>
      </c>
      <c r="I2290" s="31">
        <f t="shared" si="222"/>
        <v>50000</v>
      </c>
      <c r="J2290" s="31">
        <f t="shared" si="223"/>
        <v>3500.0000000000005</v>
      </c>
      <c r="K2290" s="44">
        <f t="shared" si="224"/>
        <v>9.589041095890412</v>
      </c>
      <c r="L2290" s="3">
        <f t="shared" si="225"/>
        <v>709.58904109589048</v>
      </c>
      <c r="M2290" s="3">
        <f t="shared" si="226"/>
        <v>42.57534246575343</v>
      </c>
      <c r="N2290" s="67">
        <f t="shared" si="227"/>
        <v>667.01369863013701</v>
      </c>
      <c r="O2290" s="3"/>
      <c r="P2290" s="70" t="s">
        <v>18608</v>
      </c>
      <c r="Q2290" s="2" t="s">
        <v>24</v>
      </c>
      <c r="R2290" s="2" t="s">
        <v>14558</v>
      </c>
      <c r="T2290" t="s">
        <v>18666</v>
      </c>
      <c r="U2290" t="s">
        <v>18652</v>
      </c>
      <c r="V2290" s="104">
        <v>45857</v>
      </c>
      <c r="X2290" s="97"/>
      <c r="Y2290" s="75">
        <v>667.02</v>
      </c>
    </row>
    <row r="2291" spans="1:25" x14ac:dyDescent="0.25">
      <c r="A2291" s="76">
        <v>2323</v>
      </c>
      <c r="B2291" s="2" t="s">
        <v>2524</v>
      </c>
      <c r="C2291" s="2" t="s">
        <v>2525</v>
      </c>
      <c r="D2291" s="2" t="s">
        <v>2526</v>
      </c>
      <c r="E2291" s="2" t="s">
        <v>2527</v>
      </c>
      <c r="F2291" s="2" t="s">
        <v>2528</v>
      </c>
      <c r="G2291" s="2" t="s">
        <v>144</v>
      </c>
      <c r="H2291" s="17">
        <v>25</v>
      </c>
      <c r="I2291" s="31">
        <f t="shared" si="222"/>
        <v>25000</v>
      </c>
      <c r="J2291" s="31">
        <f t="shared" si="223"/>
        <v>1750.0000000000002</v>
      </c>
      <c r="K2291" s="44">
        <f t="shared" si="224"/>
        <v>4.794520547945206</v>
      </c>
      <c r="L2291" s="3">
        <f t="shared" si="225"/>
        <v>354.79452054794524</v>
      </c>
      <c r="M2291" s="3">
        <f t="shared" si="226"/>
        <v>21.287671232876715</v>
      </c>
      <c r="N2291" s="67">
        <f t="shared" si="227"/>
        <v>333.50684931506851</v>
      </c>
      <c r="O2291" s="3"/>
      <c r="P2291" s="70" t="s">
        <v>18608</v>
      </c>
      <c r="Q2291" s="2" t="s">
        <v>24</v>
      </c>
      <c r="R2291" s="2" t="s">
        <v>2529</v>
      </c>
      <c r="T2291" t="s">
        <v>18666</v>
      </c>
      <c r="U2291" t="s">
        <v>18652</v>
      </c>
      <c r="V2291" s="104">
        <v>45857</v>
      </c>
      <c r="X2291" s="97"/>
      <c r="Y2291" s="75">
        <v>333.51</v>
      </c>
    </row>
    <row r="2292" spans="1:25" x14ac:dyDescent="0.25">
      <c r="A2292" s="76">
        <v>2324</v>
      </c>
      <c r="B2292" s="2" t="s">
        <v>18112</v>
      </c>
      <c r="C2292" s="2" t="s">
        <v>18113</v>
      </c>
      <c r="D2292" s="2" t="s">
        <v>18114</v>
      </c>
      <c r="E2292" s="2" t="s">
        <v>18115</v>
      </c>
      <c r="F2292" s="2" t="s">
        <v>18116</v>
      </c>
      <c r="G2292" s="2" t="s">
        <v>31</v>
      </c>
      <c r="H2292" s="17">
        <v>500</v>
      </c>
      <c r="I2292" s="31">
        <f t="shared" si="222"/>
        <v>500000</v>
      </c>
      <c r="J2292" s="31">
        <f t="shared" si="223"/>
        <v>35000</v>
      </c>
      <c r="K2292" s="44">
        <f t="shared" si="224"/>
        <v>95.890410958904113</v>
      </c>
      <c r="L2292" s="3">
        <f t="shared" si="225"/>
        <v>7095.8904109589039</v>
      </c>
      <c r="M2292" s="3">
        <f t="shared" si="226"/>
        <v>425.7534246575342</v>
      </c>
      <c r="N2292" s="67">
        <f t="shared" si="227"/>
        <v>6670.1369863013697</v>
      </c>
      <c r="O2292" s="3"/>
      <c r="P2292" s="70" t="s">
        <v>18608</v>
      </c>
      <c r="Q2292" s="2" t="s">
        <v>24</v>
      </c>
      <c r="R2292" s="2" t="s">
        <v>18117</v>
      </c>
      <c r="T2292" t="s">
        <v>18666</v>
      </c>
      <c r="U2292" t="s">
        <v>18652</v>
      </c>
      <c r="V2292" s="104">
        <v>45857</v>
      </c>
      <c r="X2292" s="97"/>
      <c r="Y2292" s="75">
        <v>6670.14</v>
      </c>
    </row>
    <row r="2293" spans="1:25" x14ac:dyDescent="0.25">
      <c r="A2293" s="76">
        <v>2325</v>
      </c>
      <c r="B2293" s="2" t="s">
        <v>5621</v>
      </c>
      <c r="C2293" s="2" t="s">
        <v>5622</v>
      </c>
      <c r="D2293" s="2" t="s">
        <v>5623</v>
      </c>
      <c r="E2293" s="2" t="s">
        <v>5624</v>
      </c>
      <c r="F2293" s="2" t="s">
        <v>5625</v>
      </c>
      <c r="G2293" s="2" t="s">
        <v>31</v>
      </c>
      <c r="H2293" s="17">
        <v>25</v>
      </c>
      <c r="I2293" s="31">
        <f t="shared" si="222"/>
        <v>25000</v>
      </c>
      <c r="J2293" s="31">
        <f t="shared" si="223"/>
        <v>1750.0000000000002</v>
      </c>
      <c r="K2293" s="44">
        <f t="shared" si="224"/>
        <v>4.794520547945206</v>
      </c>
      <c r="L2293" s="3">
        <f t="shared" si="225"/>
        <v>354.79452054794524</v>
      </c>
      <c r="M2293" s="3">
        <f t="shared" si="226"/>
        <v>21.287671232876715</v>
      </c>
      <c r="N2293" s="67">
        <f t="shared" si="227"/>
        <v>333.50684931506851</v>
      </c>
      <c r="O2293" s="3"/>
      <c r="P2293" s="70" t="s">
        <v>18608</v>
      </c>
      <c r="Q2293" s="2" t="s">
        <v>24</v>
      </c>
      <c r="R2293" s="2" t="s">
        <v>5626</v>
      </c>
      <c r="T2293" t="s">
        <v>18666</v>
      </c>
      <c r="U2293" t="s">
        <v>18652</v>
      </c>
      <c r="V2293" s="104">
        <v>45857</v>
      </c>
      <c r="X2293" s="97"/>
      <c r="Y2293" s="75">
        <v>333.51</v>
      </c>
    </row>
    <row r="2294" spans="1:25" x14ac:dyDescent="0.25">
      <c r="A2294" s="76">
        <v>2326</v>
      </c>
      <c r="B2294" s="2" t="s">
        <v>18440</v>
      </c>
      <c r="C2294" s="2" t="s">
        <v>18441</v>
      </c>
      <c r="D2294" s="2" t="s">
        <v>18442</v>
      </c>
      <c r="E2294" s="2" t="s">
        <v>18443</v>
      </c>
      <c r="F2294" s="2" t="s">
        <v>18444</v>
      </c>
      <c r="G2294" s="2" t="s">
        <v>750</v>
      </c>
      <c r="H2294" s="17">
        <v>25</v>
      </c>
      <c r="I2294" s="31">
        <f t="shared" si="222"/>
        <v>25000</v>
      </c>
      <c r="J2294" s="31">
        <f t="shared" si="223"/>
        <v>1750.0000000000002</v>
      </c>
      <c r="K2294" s="44">
        <f t="shared" si="224"/>
        <v>4.794520547945206</v>
      </c>
      <c r="L2294" s="3">
        <f t="shared" si="225"/>
        <v>354.79452054794524</v>
      </c>
      <c r="M2294" s="3">
        <f t="shared" si="226"/>
        <v>21.287671232876715</v>
      </c>
      <c r="N2294" s="67">
        <f t="shared" si="227"/>
        <v>333.50684931506851</v>
      </c>
      <c r="O2294" s="3"/>
      <c r="P2294" s="70" t="s">
        <v>18608</v>
      </c>
      <c r="Q2294" s="2" t="s">
        <v>24</v>
      </c>
      <c r="R2294" s="2" t="s">
        <v>18445</v>
      </c>
      <c r="T2294" t="s">
        <v>18666</v>
      </c>
      <c r="U2294" t="s">
        <v>18652</v>
      </c>
      <c r="V2294" s="104">
        <v>45857</v>
      </c>
      <c r="X2294" s="97"/>
      <c r="Y2294" s="75">
        <v>333.51</v>
      </c>
    </row>
    <row r="2295" spans="1:25" x14ac:dyDescent="0.25">
      <c r="A2295" s="76">
        <v>2327</v>
      </c>
      <c r="B2295" s="2" t="s">
        <v>17154</v>
      </c>
      <c r="C2295" s="2" t="s">
        <v>17155</v>
      </c>
      <c r="D2295" s="2" t="s">
        <v>17156</v>
      </c>
      <c r="E2295" s="2" t="s">
        <v>17157</v>
      </c>
      <c r="F2295" s="2" t="s">
        <v>17158</v>
      </c>
      <c r="G2295" s="2" t="s">
        <v>151</v>
      </c>
      <c r="H2295" s="17">
        <v>25</v>
      </c>
      <c r="I2295" s="31">
        <f t="shared" si="222"/>
        <v>25000</v>
      </c>
      <c r="J2295" s="31">
        <f t="shared" si="223"/>
        <v>1750.0000000000002</v>
      </c>
      <c r="K2295" s="44">
        <f t="shared" si="224"/>
        <v>4.794520547945206</v>
      </c>
      <c r="L2295" s="3">
        <f t="shared" si="225"/>
        <v>354.79452054794524</v>
      </c>
      <c r="M2295" s="3">
        <f t="shared" si="226"/>
        <v>21.287671232876715</v>
      </c>
      <c r="N2295" s="67">
        <f t="shared" si="227"/>
        <v>333.50684931506851</v>
      </c>
      <c r="O2295" s="3"/>
      <c r="P2295" s="70" t="s">
        <v>18608</v>
      </c>
      <c r="Q2295" s="2" t="s">
        <v>24</v>
      </c>
      <c r="R2295" s="2" t="s">
        <v>17159</v>
      </c>
      <c r="T2295" t="s">
        <v>18666</v>
      </c>
      <c r="U2295" t="s">
        <v>18652</v>
      </c>
      <c r="V2295" s="104">
        <v>45857</v>
      </c>
      <c r="X2295" s="97"/>
      <c r="Y2295" s="75">
        <v>333.51</v>
      </c>
    </row>
    <row r="2296" spans="1:25" x14ac:dyDescent="0.25">
      <c r="A2296" s="76">
        <v>2328</v>
      </c>
      <c r="B2296" s="2" t="s">
        <v>10781</v>
      </c>
      <c r="C2296" s="2" t="s">
        <v>10782</v>
      </c>
      <c r="D2296" s="2" t="s">
        <v>7152</v>
      </c>
      <c r="E2296" s="2" t="s">
        <v>10783</v>
      </c>
      <c r="F2296" s="2" t="s">
        <v>10784</v>
      </c>
      <c r="G2296" s="2" t="s">
        <v>39</v>
      </c>
      <c r="H2296" s="17">
        <v>25</v>
      </c>
      <c r="I2296" s="31">
        <f t="shared" si="222"/>
        <v>25000</v>
      </c>
      <c r="J2296" s="31">
        <f t="shared" si="223"/>
        <v>1750.0000000000002</v>
      </c>
      <c r="K2296" s="44">
        <f t="shared" si="224"/>
        <v>4.794520547945206</v>
      </c>
      <c r="L2296" s="3">
        <f t="shared" si="225"/>
        <v>354.79452054794524</v>
      </c>
      <c r="M2296" s="3">
        <f t="shared" si="226"/>
        <v>21.287671232876715</v>
      </c>
      <c r="N2296" s="67">
        <f t="shared" si="227"/>
        <v>333.50684931506851</v>
      </c>
      <c r="O2296" s="3"/>
      <c r="P2296" s="70" t="s">
        <v>18608</v>
      </c>
      <c r="Q2296" s="2" t="s">
        <v>24</v>
      </c>
      <c r="R2296" s="2" t="s">
        <v>10785</v>
      </c>
      <c r="T2296" t="s">
        <v>18666</v>
      </c>
      <c r="U2296" t="s">
        <v>18652</v>
      </c>
      <c r="V2296" s="104">
        <v>45857</v>
      </c>
      <c r="X2296" s="97"/>
      <c r="Y2296" s="75">
        <v>333.51</v>
      </c>
    </row>
    <row r="2297" spans="1:25" x14ac:dyDescent="0.25">
      <c r="A2297" s="76">
        <v>2329</v>
      </c>
      <c r="B2297" s="2" t="s">
        <v>14699</v>
      </c>
      <c r="C2297" s="2" t="s">
        <v>14700</v>
      </c>
      <c r="D2297" s="2" t="s">
        <v>14701</v>
      </c>
      <c r="E2297" s="2" t="s">
        <v>14702</v>
      </c>
      <c r="F2297" s="2" t="s">
        <v>14703</v>
      </c>
      <c r="G2297" s="2" t="s">
        <v>939</v>
      </c>
      <c r="H2297" s="17">
        <v>30</v>
      </c>
      <c r="I2297" s="31">
        <f t="shared" si="222"/>
        <v>30000</v>
      </c>
      <c r="J2297" s="31">
        <f t="shared" si="223"/>
        <v>2100</v>
      </c>
      <c r="K2297" s="44">
        <f t="shared" si="224"/>
        <v>5.7534246575342465</v>
      </c>
      <c r="L2297" s="3">
        <f t="shared" si="225"/>
        <v>425.75342465753425</v>
      </c>
      <c r="M2297" s="3">
        <f t="shared" si="226"/>
        <v>25.545205479452054</v>
      </c>
      <c r="N2297" s="67">
        <f t="shared" si="227"/>
        <v>400.20821917808217</v>
      </c>
      <c r="O2297" s="3"/>
      <c r="P2297" s="70" t="s">
        <v>18608</v>
      </c>
      <c r="Q2297" s="2" t="s">
        <v>24</v>
      </c>
      <c r="R2297" s="2" t="s">
        <v>14704</v>
      </c>
      <c r="T2297" t="s">
        <v>18666</v>
      </c>
      <c r="U2297" t="s">
        <v>18652</v>
      </c>
      <c r="V2297" s="104">
        <v>45857</v>
      </c>
      <c r="X2297" s="97"/>
      <c r="Y2297" s="75">
        <v>400.21</v>
      </c>
    </row>
    <row r="2298" spans="1:25" x14ac:dyDescent="0.25">
      <c r="A2298" s="76">
        <v>2330</v>
      </c>
      <c r="B2298" s="2" t="s">
        <v>7466</v>
      </c>
      <c r="C2298" s="2" t="s">
        <v>7467</v>
      </c>
      <c r="D2298" s="2" t="s">
        <v>7468</v>
      </c>
      <c r="E2298" s="2" t="s">
        <v>7469</v>
      </c>
      <c r="F2298" s="2" t="s">
        <v>7470</v>
      </c>
      <c r="G2298" s="2" t="s">
        <v>144</v>
      </c>
      <c r="H2298" s="17">
        <v>25</v>
      </c>
      <c r="I2298" s="31">
        <f t="shared" si="222"/>
        <v>25000</v>
      </c>
      <c r="J2298" s="31">
        <f t="shared" si="223"/>
        <v>1750.0000000000002</v>
      </c>
      <c r="K2298" s="44">
        <f t="shared" si="224"/>
        <v>4.794520547945206</v>
      </c>
      <c r="L2298" s="3">
        <f t="shared" si="225"/>
        <v>354.79452054794524</v>
      </c>
      <c r="M2298" s="3">
        <f t="shared" si="226"/>
        <v>21.287671232876715</v>
      </c>
      <c r="N2298" s="67">
        <f t="shared" si="227"/>
        <v>333.50684931506851</v>
      </c>
      <c r="O2298" s="3"/>
      <c r="P2298" s="70" t="s">
        <v>18608</v>
      </c>
      <c r="Q2298" s="2" t="s">
        <v>24</v>
      </c>
      <c r="R2298" s="2" t="s">
        <v>7471</v>
      </c>
      <c r="T2298" t="s">
        <v>18666</v>
      </c>
      <c r="U2298" t="s">
        <v>18652</v>
      </c>
      <c r="V2298" s="104">
        <v>45857</v>
      </c>
      <c r="X2298" s="97"/>
      <c r="Y2298" s="75">
        <v>333.51</v>
      </c>
    </row>
    <row r="2299" spans="1:25" x14ac:dyDescent="0.25">
      <c r="A2299" s="76">
        <v>2331</v>
      </c>
      <c r="B2299" s="2" t="s">
        <v>11713</v>
      </c>
      <c r="C2299" s="2" t="s">
        <v>11714</v>
      </c>
      <c r="D2299" s="2" t="s">
        <v>11715</v>
      </c>
      <c r="E2299" s="2" t="s">
        <v>11716</v>
      </c>
      <c r="F2299" s="2" t="s">
        <v>11717</v>
      </c>
      <c r="G2299" s="2" t="s">
        <v>275</v>
      </c>
      <c r="H2299" s="17">
        <v>25</v>
      </c>
      <c r="I2299" s="31">
        <f t="shared" si="222"/>
        <v>25000</v>
      </c>
      <c r="J2299" s="31">
        <f t="shared" si="223"/>
        <v>1750.0000000000002</v>
      </c>
      <c r="K2299" s="44">
        <f t="shared" si="224"/>
        <v>4.794520547945206</v>
      </c>
      <c r="L2299" s="3">
        <f t="shared" si="225"/>
        <v>354.79452054794524</v>
      </c>
      <c r="M2299" s="3">
        <f t="shared" si="226"/>
        <v>21.287671232876715</v>
      </c>
      <c r="N2299" s="67">
        <f t="shared" si="227"/>
        <v>333.50684931506851</v>
      </c>
      <c r="O2299" s="3"/>
      <c r="P2299" s="70" t="s">
        <v>18608</v>
      </c>
      <c r="Q2299" s="2" t="s">
        <v>24</v>
      </c>
      <c r="R2299" s="2" t="s">
        <v>11718</v>
      </c>
      <c r="T2299" t="s">
        <v>18666</v>
      </c>
      <c r="U2299" t="s">
        <v>18652</v>
      </c>
      <c r="V2299" s="104">
        <v>45857</v>
      </c>
      <c r="X2299" s="97"/>
      <c r="Y2299" s="75">
        <v>333.51</v>
      </c>
    </row>
    <row r="2300" spans="1:25" x14ac:dyDescent="0.25">
      <c r="A2300" s="76">
        <v>2332</v>
      </c>
      <c r="B2300" s="2" t="s">
        <v>5605</v>
      </c>
      <c r="C2300" s="2" t="s">
        <v>5606</v>
      </c>
      <c r="D2300" s="2" t="s">
        <v>5607</v>
      </c>
      <c r="E2300" s="2" t="s">
        <v>5608</v>
      </c>
      <c r="F2300" s="2" t="s">
        <v>5609</v>
      </c>
      <c r="G2300" s="2" t="s">
        <v>31</v>
      </c>
      <c r="H2300" s="17">
        <v>25</v>
      </c>
      <c r="I2300" s="31">
        <f t="shared" si="222"/>
        <v>25000</v>
      </c>
      <c r="J2300" s="31">
        <f t="shared" si="223"/>
        <v>1750.0000000000002</v>
      </c>
      <c r="K2300" s="44">
        <f t="shared" si="224"/>
        <v>4.794520547945206</v>
      </c>
      <c r="L2300" s="3">
        <f t="shared" si="225"/>
        <v>354.79452054794524</v>
      </c>
      <c r="M2300" s="3">
        <f t="shared" si="226"/>
        <v>21.287671232876715</v>
      </c>
      <c r="N2300" s="67">
        <f t="shared" si="227"/>
        <v>333.50684931506851</v>
      </c>
      <c r="O2300" s="3"/>
      <c r="P2300" s="70" t="s">
        <v>18608</v>
      </c>
      <c r="Q2300" s="2" t="s">
        <v>24</v>
      </c>
      <c r="R2300" s="2" t="s">
        <v>5610</v>
      </c>
      <c r="T2300" t="s">
        <v>18666</v>
      </c>
      <c r="U2300" t="s">
        <v>18652</v>
      </c>
      <c r="V2300" s="104">
        <v>45857</v>
      </c>
      <c r="X2300" s="97"/>
      <c r="Y2300" s="75">
        <v>333.51</v>
      </c>
    </row>
    <row r="2301" spans="1:25" x14ac:dyDescent="0.25">
      <c r="A2301" s="76">
        <v>2333</v>
      </c>
      <c r="B2301" s="2" t="s">
        <v>14448</v>
      </c>
      <c r="C2301" s="2" t="s">
        <v>14449</v>
      </c>
      <c r="D2301" s="2" t="s">
        <v>14450</v>
      </c>
      <c r="E2301" s="2" t="s">
        <v>14451</v>
      </c>
      <c r="F2301" s="2" t="s">
        <v>14452</v>
      </c>
      <c r="G2301" s="2" t="s">
        <v>517</v>
      </c>
      <c r="H2301" s="17">
        <v>25</v>
      </c>
      <c r="I2301" s="31">
        <f t="shared" si="222"/>
        <v>25000</v>
      </c>
      <c r="J2301" s="31">
        <f t="shared" si="223"/>
        <v>1750.0000000000002</v>
      </c>
      <c r="K2301" s="44">
        <f t="shared" si="224"/>
        <v>4.794520547945206</v>
      </c>
      <c r="L2301" s="3">
        <f t="shared" si="225"/>
        <v>354.79452054794524</v>
      </c>
      <c r="M2301" s="3">
        <f t="shared" si="226"/>
        <v>21.287671232876715</v>
      </c>
      <c r="N2301" s="67">
        <f t="shared" si="227"/>
        <v>333.50684931506851</v>
      </c>
      <c r="O2301" s="3"/>
      <c r="P2301" s="70" t="s">
        <v>18608</v>
      </c>
      <c r="Q2301" s="2" t="s">
        <v>24</v>
      </c>
      <c r="R2301" s="2" t="s">
        <v>14453</v>
      </c>
      <c r="T2301" t="s">
        <v>18666</v>
      </c>
      <c r="U2301" t="s">
        <v>18652</v>
      </c>
      <c r="V2301" s="104">
        <v>45857</v>
      </c>
      <c r="X2301" s="97"/>
      <c r="Y2301" s="75">
        <v>333.51</v>
      </c>
    </row>
    <row r="2302" spans="1:25" x14ac:dyDescent="0.25">
      <c r="A2302" s="76">
        <v>2334</v>
      </c>
      <c r="B2302" s="2" t="s">
        <v>9271</v>
      </c>
      <c r="C2302" s="2" t="s">
        <v>9251</v>
      </c>
      <c r="D2302" s="2" t="s">
        <v>9272</v>
      </c>
      <c r="E2302" s="2" t="s">
        <v>9273</v>
      </c>
      <c r="F2302" s="2" t="s">
        <v>9274</v>
      </c>
      <c r="G2302" s="2" t="s">
        <v>31</v>
      </c>
      <c r="H2302" s="17">
        <v>50</v>
      </c>
      <c r="I2302" s="31">
        <f t="shared" si="222"/>
        <v>50000</v>
      </c>
      <c r="J2302" s="31">
        <f t="shared" si="223"/>
        <v>3500.0000000000005</v>
      </c>
      <c r="K2302" s="44">
        <f t="shared" si="224"/>
        <v>9.589041095890412</v>
      </c>
      <c r="L2302" s="3">
        <f t="shared" si="225"/>
        <v>709.58904109589048</v>
      </c>
      <c r="M2302" s="3">
        <f t="shared" si="226"/>
        <v>42.57534246575343</v>
      </c>
      <c r="N2302" s="67">
        <f t="shared" si="227"/>
        <v>667.01369863013701</v>
      </c>
      <c r="O2302" s="3"/>
      <c r="P2302" s="70" t="s">
        <v>18608</v>
      </c>
      <c r="Q2302" s="2" t="s">
        <v>24</v>
      </c>
      <c r="R2302" s="2" t="s">
        <v>9275</v>
      </c>
      <c r="T2302" t="s">
        <v>18666</v>
      </c>
      <c r="U2302" t="s">
        <v>18652</v>
      </c>
      <c r="V2302" s="104">
        <v>45857</v>
      </c>
      <c r="X2302" s="97"/>
      <c r="Y2302" s="75">
        <v>667.02</v>
      </c>
    </row>
    <row r="2303" spans="1:25" x14ac:dyDescent="0.25">
      <c r="A2303" s="76">
        <v>2335</v>
      </c>
      <c r="B2303" s="2" t="s">
        <v>4487</v>
      </c>
      <c r="C2303" s="2" t="s">
        <v>4488</v>
      </c>
      <c r="D2303" s="2" t="s">
        <v>4489</v>
      </c>
      <c r="E2303" s="2" t="s">
        <v>4490</v>
      </c>
      <c r="F2303" s="2" t="s">
        <v>4491</v>
      </c>
      <c r="G2303" s="2" t="s">
        <v>517</v>
      </c>
      <c r="H2303" s="17">
        <v>25</v>
      </c>
      <c r="I2303" s="31">
        <f t="shared" si="222"/>
        <v>25000</v>
      </c>
      <c r="J2303" s="31">
        <f t="shared" si="223"/>
        <v>1750.0000000000002</v>
      </c>
      <c r="K2303" s="44">
        <f t="shared" si="224"/>
        <v>4.794520547945206</v>
      </c>
      <c r="L2303" s="3">
        <f t="shared" si="225"/>
        <v>354.79452054794524</v>
      </c>
      <c r="M2303" s="3">
        <f t="shared" si="226"/>
        <v>21.287671232876715</v>
      </c>
      <c r="N2303" s="67">
        <f t="shared" si="227"/>
        <v>333.50684931506851</v>
      </c>
      <c r="O2303" s="3"/>
      <c r="P2303" s="70" t="s">
        <v>18608</v>
      </c>
      <c r="Q2303" s="2" t="s">
        <v>24</v>
      </c>
      <c r="R2303" s="2" t="s">
        <v>4492</v>
      </c>
      <c r="T2303" t="s">
        <v>18666</v>
      </c>
      <c r="U2303" t="s">
        <v>18652</v>
      </c>
      <c r="V2303" s="104">
        <v>45857</v>
      </c>
      <c r="X2303" s="97"/>
      <c r="Y2303" s="75">
        <v>333.51</v>
      </c>
    </row>
    <row r="2304" spans="1:25" x14ac:dyDescent="0.25">
      <c r="A2304" s="76">
        <v>2336</v>
      </c>
      <c r="B2304" s="2" t="s">
        <v>11957</v>
      </c>
      <c r="C2304" s="2" t="s">
        <v>11958</v>
      </c>
      <c r="D2304" s="2" t="s">
        <v>11959</v>
      </c>
      <c r="E2304" s="2" t="s">
        <v>11960</v>
      </c>
      <c r="F2304" s="2" t="s">
        <v>11961</v>
      </c>
      <c r="G2304" s="2" t="s">
        <v>1315</v>
      </c>
      <c r="H2304" s="17">
        <v>50</v>
      </c>
      <c r="I2304" s="31">
        <f t="shared" si="222"/>
        <v>50000</v>
      </c>
      <c r="J2304" s="31">
        <f t="shared" si="223"/>
        <v>3500.0000000000005</v>
      </c>
      <c r="K2304" s="44">
        <f t="shared" si="224"/>
        <v>9.589041095890412</v>
      </c>
      <c r="L2304" s="3">
        <f t="shared" si="225"/>
        <v>709.58904109589048</v>
      </c>
      <c r="M2304" s="3">
        <f t="shared" si="226"/>
        <v>42.57534246575343</v>
      </c>
      <c r="N2304" s="67">
        <f t="shared" si="227"/>
        <v>667.01369863013701</v>
      </c>
      <c r="O2304" s="3"/>
      <c r="P2304" s="70" t="s">
        <v>18608</v>
      </c>
      <c r="Q2304" s="2" t="s">
        <v>24</v>
      </c>
      <c r="R2304" s="2" t="s">
        <v>11962</v>
      </c>
      <c r="T2304" t="s">
        <v>18666</v>
      </c>
      <c r="U2304" t="s">
        <v>18652</v>
      </c>
      <c r="V2304" s="104">
        <v>45857</v>
      </c>
      <c r="X2304" s="97"/>
      <c r="Y2304" s="75">
        <v>667.02</v>
      </c>
    </row>
    <row r="2305" spans="1:25" x14ac:dyDescent="0.25">
      <c r="A2305" s="76">
        <v>2337</v>
      </c>
      <c r="B2305" s="2" t="s">
        <v>4416</v>
      </c>
      <c r="C2305" s="2" t="s">
        <v>4417</v>
      </c>
      <c r="D2305" s="2" t="s">
        <v>4418</v>
      </c>
      <c r="E2305" s="2" t="s">
        <v>4419</v>
      </c>
      <c r="F2305" s="2" t="s">
        <v>4420</v>
      </c>
      <c r="G2305" s="2" t="s">
        <v>876</v>
      </c>
      <c r="H2305" s="17">
        <v>25</v>
      </c>
      <c r="I2305" s="31">
        <f t="shared" si="222"/>
        <v>25000</v>
      </c>
      <c r="J2305" s="31">
        <f t="shared" si="223"/>
        <v>1750.0000000000002</v>
      </c>
      <c r="K2305" s="44">
        <f t="shared" si="224"/>
        <v>4.794520547945206</v>
      </c>
      <c r="L2305" s="3">
        <f t="shared" si="225"/>
        <v>354.79452054794524</v>
      </c>
      <c r="M2305" s="3">
        <f t="shared" si="226"/>
        <v>21.287671232876715</v>
      </c>
      <c r="N2305" s="67">
        <f t="shared" si="227"/>
        <v>333.50684931506851</v>
      </c>
      <c r="O2305" s="3"/>
      <c r="P2305" s="70" t="s">
        <v>18608</v>
      </c>
      <c r="Q2305" s="2" t="s">
        <v>24</v>
      </c>
      <c r="R2305" s="2" t="s">
        <v>4421</v>
      </c>
      <c r="T2305" t="s">
        <v>18666</v>
      </c>
      <c r="U2305" t="s">
        <v>18652</v>
      </c>
      <c r="V2305" s="104">
        <v>45857</v>
      </c>
      <c r="X2305" s="97"/>
      <c r="Y2305" s="75">
        <v>333.51</v>
      </c>
    </row>
    <row r="2306" spans="1:25" x14ac:dyDescent="0.25">
      <c r="A2306" s="76">
        <v>2338</v>
      </c>
      <c r="B2306" s="2" t="s">
        <v>12585</v>
      </c>
      <c r="C2306" s="2" t="s">
        <v>12586</v>
      </c>
      <c r="D2306" s="2" t="s">
        <v>12587</v>
      </c>
      <c r="E2306" s="2" t="s">
        <v>12588</v>
      </c>
      <c r="F2306" s="2" t="s">
        <v>12589</v>
      </c>
      <c r="G2306" s="2" t="s">
        <v>23</v>
      </c>
      <c r="H2306" s="17">
        <v>50</v>
      </c>
      <c r="I2306" s="31">
        <f t="shared" si="222"/>
        <v>50000</v>
      </c>
      <c r="J2306" s="31">
        <f t="shared" si="223"/>
        <v>3500.0000000000005</v>
      </c>
      <c r="K2306" s="44">
        <f t="shared" si="224"/>
        <v>9.589041095890412</v>
      </c>
      <c r="L2306" s="3">
        <f t="shared" si="225"/>
        <v>709.58904109589048</v>
      </c>
      <c r="M2306" s="3">
        <f t="shared" si="226"/>
        <v>42.57534246575343</v>
      </c>
      <c r="N2306" s="67">
        <f t="shared" si="227"/>
        <v>667.01369863013701</v>
      </c>
      <c r="O2306" s="3"/>
      <c r="P2306" s="70" t="s">
        <v>18608</v>
      </c>
      <c r="Q2306" s="2" t="s">
        <v>24</v>
      </c>
      <c r="R2306" s="2" t="s">
        <v>12590</v>
      </c>
      <c r="T2306" t="s">
        <v>18666</v>
      </c>
      <c r="U2306" t="s">
        <v>18652</v>
      </c>
      <c r="V2306" s="104">
        <v>45857</v>
      </c>
      <c r="X2306" s="97"/>
      <c r="Y2306" s="75">
        <v>667.02</v>
      </c>
    </row>
    <row r="2307" spans="1:25" x14ac:dyDescent="0.25">
      <c r="A2307" s="76">
        <v>2339</v>
      </c>
      <c r="B2307" s="2" t="s">
        <v>15867</v>
      </c>
      <c r="C2307" s="2" t="s">
        <v>15868</v>
      </c>
      <c r="D2307" s="2" t="s">
        <v>15869</v>
      </c>
      <c r="E2307" s="2" t="s">
        <v>15870</v>
      </c>
      <c r="F2307" s="2" t="s">
        <v>15871</v>
      </c>
      <c r="G2307" s="2" t="s">
        <v>381</v>
      </c>
      <c r="H2307" s="17">
        <v>25</v>
      </c>
      <c r="I2307" s="31">
        <f t="shared" si="222"/>
        <v>25000</v>
      </c>
      <c r="J2307" s="31">
        <f t="shared" si="223"/>
        <v>1750.0000000000002</v>
      </c>
      <c r="K2307" s="44">
        <f t="shared" si="224"/>
        <v>4.794520547945206</v>
      </c>
      <c r="L2307" s="3">
        <f t="shared" si="225"/>
        <v>354.79452054794524</v>
      </c>
      <c r="M2307" s="3">
        <f t="shared" si="226"/>
        <v>21.287671232876715</v>
      </c>
      <c r="N2307" s="67">
        <f t="shared" si="227"/>
        <v>333.50684931506851</v>
      </c>
      <c r="O2307" s="3"/>
      <c r="P2307" s="70" t="s">
        <v>18608</v>
      </c>
      <c r="Q2307" s="2" t="s">
        <v>24</v>
      </c>
      <c r="R2307" s="2" t="s">
        <v>15872</v>
      </c>
      <c r="T2307" t="s">
        <v>18666</v>
      </c>
      <c r="U2307" t="s">
        <v>18652</v>
      </c>
      <c r="V2307" s="104">
        <v>45857</v>
      </c>
      <c r="X2307" s="97"/>
      <c r="Y2307" s="75">
        <v>333.51</v>
      </c>
    </row>
    <row r="2308" spans="1:25" x14ac:dyDescent="0.25">
      <c r="A2308" s="76">
        <v>2340</v>
      </c>
      <c r="B2308" s="2" t="s">
        <v>11985</v>
      </c>
      <c r="C2308" s="2" t="s">
        <v>11986</v>
      </c>
      <c r="D2308" s="2" t="s">
        <v>11987</v>
      </c>
      <c r="E2308" s="2" t="s">
        <v>11988</v>
      </c>
      <c r="F2308" s="2" t="s">
        <v>11989</v>
      </c>
      <c r="G2308" s="2" t="s">
        <v>31</v>
      </c>
      <c r="H2308" s="17">
        <v>100</v>
      </c>
      <c r="I2308" s="31">
        <f t="shared" si="222"/>
        <v>100000</v>
      </c>
      <c r="J2308" s="31">
        <f t="shared" si="223"/>
        <v>7000.0000000000009</v>
      </c>
      <c r="K2308" s="44">
        <f t="shared" si="224"/>
        <v>19.178082191780824</v>
      </c>
      <c r="L2308" s="3">
        <f t="shared" si="225"/>
        <v>1419.178082191781</v>
      </c>
      <c r="M2308" s="3">
        <f t="shared" si="226"/>
        <v>85.150684931506859</v>
      </c>
      <c r="N2308" s="67">
        <f t="shared" si="227"/>
        <v>1334.027397260274</v>
      </c>
      <c r="O2308" s="3"/>
      <c r="P2308" s="70" t="s">
        <v>18608</v>
      </c>
      <c r="Q2308" s="2" t="s">
        <v>24</v>
      </c>
      <c r="R2308" s="2" t="s">
        <v>11990</v>
      </c>
      <c r="T2308" t="s">
        <v>18666</v>
      </c>
      <c r="U2308" t="s">
        <v>18652</v>
      </c>
      <c r="V2308" s="104">
        <v>45857</v>
      </c>
      <c r="X2308" s="97"/>
      <c r="Y2308" s="75">
        <v>1334.03</v>
      </c>
    </row>
    <row r="2309" spans="1:25" x14ac:dyDescent="0.25">
      <c r="A2309" s="76">
        <v>2341</v>
      </c>
      <c r="B2309" s="2" t="s">
        <v>7007</v>
      </c>
      <c r="C2309" s="2" t="s">
        <v>7008</v>
      </c>
      <c r="D2309" s="2" t="s">
        <v>7009</v>
      </c>
      <c r="E2309" s="2" t="s">
        <v>7010</v>
      </c>
      <c r="F2309" s="2" t="s">
        <v>7011</v>
      </c>
      <c r="G2309" s="2" t="s">
        <v>74</v>
      </c>
      <c r="H2309" s="17">
        <v>25</v>
      </c>
      <c r="I2309" s="31">
        <f t="shared" si="222"/>
        <v>25000</v>
      </c>
      <c r="J2309" s="31">
        <f t="shared" si="223"/>
        <v>1750.0000000000002</v>
      </c>
      <c r="K2309" s="44">
        <f t="shared" si="224"/>
        <v>4.794520547945206</v>
      </c>
      <c r="L2309" s="3">
        <f t="shared" si="225"/>
        <v>354.79452054794524</v>
      </c>
      <c r="M2309" s="3">
        <f t="shared" si="226"/>
        <v>21.287671232876715</v>
      </c>
      <c r="N2309" s="67">
        <f t="shared" si="227"/>
        <v>333.50684931506851</v>
      </c>
      <c r="O2309" s="3"/>
      <c r="P2309" s="70" t="s">
        <v>18608</v>
      </c>
      <c r="Q2309" s="2" t="s">
        <v>24</v>
      </c>
      <c r="R2309" s="2" t="s">
        <v>7012</v>
      </c>
      <c r="T2309" t="s">
        <v>18666</v>
      </c>
      <c r="U2309" t="s">
        <v>18652</v>
      </c>
      <c r="V2309" s="104">
        <v>45857</v>
      </c>
      <c r="X2309" s="97"/>
      <c r="Y2309" s="75">
        <v>333.51</v>
      </c>
    </row>
    <row r="2310" spans="1:25" x14ac:dyDescent="0.25">
      <c r="A2310" s="76">
        <v>2342</v>
      </c>
      <c r="B2310" s="2" t="s">
        <v>18130</v>
      </c>
      <c r="C2310" s="2" t="s">
        <v>18131</v>
      </c>
      <c r="D2310" s="2" t="s">
        <v>18132</v>
      </c>
      <c r="E2310" s="2" t="s">
        <v>18133</v>
      </c>
      <c r="F2310" s="2" t="s">
        <v>18134</v>
      </c>
      <c r="G2310" s="2" t="s">
        <v>247</v>
      </c>
      <c r="H2310" s="17">
        <v>50</v>
      </c>
      <c r="I2310" s="31">
        <f t="shared" si="222"/>
        <v>50000</v>
      </c>
      <c r="J2310" s="31">
        <f t="shared" si="223"/>
        <v>3500.0000000000005</v>
      </c>
      <c r="K2310" s="44">
        <f t="shared" si="224"/>
        <v>9.589041095890412</v>
      </c>
      <c r="L2310" s="3">
        <f t="shared" si="225"/>
        <v>709.58904109589048</v>
      </c>
      <c r="M2310" s="3">
        <f t="shared" si="226"/>
        <v>42.57534246575343</v>
      </c>
      <c r="N2310" s="67">
        <f t="shared" si="227"/>
        <v>667.01369863013701</v>
      </c>
      <c r="O2310" s="3"/>
      <c r="P2310" s="70" t="s">
        <v>18608</v>
      </c>
      <c r="Q2310" s="2" t="s">
        <v>24</v>
      </c>
      <c r="R2310" s="2" t="s">
        <v>18135</v>
      </c>
      <c r="T2310" t="s">
        <v>18666</v>
      </c>
      <c r="U2310" t="s">
        <v>18652</v>
      </c>
      <c r="V2310" s="104">
        <v>45857</v>
      </c>
      <c r="X2310" s="97"/>
      <c r="Y2310" s="75">
        <v>667.02</v>
      </c>
    </row>
    <row r="2311" spans="1:25" x14ac:dyDescent="0.25">
      <c r="A2311" s="76">
        <v>2343</v>
      </c>
      <c r="B2311" s="2" t="s">
        <v>8589</v>
      </c>
      <c r="C2311" s="2" t="s">
        <v>8590</v>
      </c>
      <c r="D2311" s="2" t="s">
        <v>8591</v>
      </c>
      <c r="E2311" s="2" t="s">
        <v>8592</v>
      </c>
      <c r="F2311" s="2" t="s">
        <v>8593</v>
      </c>
      <c r="G2311" s="2" t="s">
        <v>31</v>
      </c>
      <c r="H2311" s="17">
        <v>25</v>
      </c>
      <c r="I2311" s="31">
        <f t="shared" si="222"/>
        <v>25000</v>
      </c>
      <c r="J2311" s="31">
        <f t="shared" si="223"/>
        <v>1750.0000000000002</v>
      </c>
      <c r="K2311" s="44">
        <f t="shared" si="224"/>
        <v>4.794520547945206</v>
      </c>
      <c r="L2311" s="3">
        <f t="shared" si="225"/>
        <v>354.79452054794524</v>
      </c>
      <c r="M2311" s="3">
        <f t="shared" si="226"/>
        <v>21.287671232876715</v>
      </c>
      <c r="N2311" s="67">
        <f t="shared" si="227"/>
        <v>333.50684931506851</v>
      </c>
      <c r="O2311" s="3"/>
      <c r="P2311" s="70" t="s">
        <v>18608</v>
      </c>
      <c r="Q2311" s="2" t="s">
        <v>24</v>
      </c>
      <c r="R2311" s="2" t="s">
        <v>8594</v>
      </c>
      <c r="T2311" t="s">
        <v>18666</v>
      </c>
      <c r="U2311" t="s">
        <v>18652</v>
      </c>
      <c r="V2311" s="104">
        <v>45857</v>
      </c>
      <c r="X2311" s="97"/>
      <c r="Y2311" s="75">
        <v>333.51</v>
      </c>
    </row>
    <row r="2312" spans="1:25" x14ac:dyDescent="0.25">
      <c r="A2312" s="76">
        <v>2344</v>
      </c>
      <c r="B2312" s="2" t="s">
        <v>17024</v>
      </c>
      <c r="C2312" s="2" t="s">
        <v>17025</v>
      </c>
      <c r="D2312" s="2" t="s">
        <v>17026</v>
      </c>
      <c r="E2312" s="2" t="s">
        <v>17027</v>
      </c>
      <c r="F2312" s="2" t="s">
        <v>17028</v>
      </c>
      <c r="G2312" s="2" t="s">
        <v>1048</v>
      </c>
      <c r="H2312" s="17">
        <v>25</v>
      </c>
      <c r="I2312" s="31">
        <f t="shared" si="222"/>
        <v>25000</v>
      </c>
      <c r="J2312" s="31">
        <f t="shared" si="223"/>
        <v>1750.0000000000002</v>
      </c>
      <c r="K2312" s="44">
        <f t="shared" si="224"/>
        <v>4.794520547945206</v>
      </c>
      <c r="L2312" s="3">
        <f t="shared" si="225"/>
        <v>354.79452054794524</v>
      </c>
      <c r="M2312" s="3">
        <f t="shared" si="226"/>
        <v>21.287671232876715</v>
      </c>
      <c r="N2312" s="67">
        <f t="shared" si="227"/>
        <v>333.50684931506851</v>
      </c>
      <c r="O2312" s="3"/>
      <c r="P2312" s="70" t="s">
        <v>18608</v>
      </c>
      <c r="Q2312" s="2" t="s">
        <v>24</v>
      </c>
      <c r="R2312" s="2" t="s">
        <v>17029</v>
      </c>
      <c r="T2312" t="s">
        <v>18666</v>
      </c>
      <c r="U2312" t="s">
        <v>18652</v>
      </c>
      <c r="V2312" s="104">
        <v>45857</v>
      </c>
      <c r="X2312" s="97"/>
      <c r="Y2312" s="75">
        <v>333.51</v>
      </c>
    </row>
    <row r="2313" spans="1:25" x14ac:dyDescent="0.25">
      <c r="A2313" s="76">
        <v>2345</v>
      </c>
      <c r="B2313" s="2" t="s">
        <v>7873</v>
      </c>
      <c r="C2313" s="2" t="s">
        <v>7874</v>
      </c>
      <c r="D2313" s="2" t="s">
        <v>7875</v>
      </c>
      <c r="E2313" s="2" t="s">
        <v>7876</v>
      </c>
      <c r="F2313" s="2" t="s">
        <v>7877</v>
      </c>
      <c r="G2313" s="2" t="s">
        <v>151</v>
      </c>
      <c r="H2313" s="17">
        <v>25</v>
      </c>
      <c r="I2313" s="31">
        <f t="shared" si="222"/>
        <v>25000</v>
      </c>
      <c r="J2313" s="31">
        <f t="shared" si="223"/>
        <v>1750.0000000000002</v>
      </c>
      <c r="K2313" s="44">
        <f t="shared" si="224"/>
        <v>4.794520547945206</v>
      </c>
      <c r="L2313" s="3">
        <f t="shared" si="225"/>
        <v>354.79452054794524</v>
      </c>
      <c r="M2313" s="3">
        <f t="shared" si="226"/>
        <v>21.287671232876715</v>
      </c>
      <c r="N2313" s="67">
        <f t="shared" si="227"/>
        <v>333.50684931506851</v>
      </c>
      <c r="O2313" s="3"/>
      <c r="P2313" s="70" t="s">
        <v>18608</v>
      </c>
      <c r="Q2313" s="2" t="s">
        <v>24</v>
      </c>
      <c r="R2313" s="2" t="s">
        <v>7878</v>
      </c>
      <c r="T2313" t="s">
        <v>18666</v>
      </c>
      <c r="U2313" t="s">
        <v>18652</v>
      </c>
      <c r="V2313" s="104">
        <v>45857</v>
      </c>
      <c r="X2313" s="97"/>
      <c r="Y2313" s="75">
        <v>333.51</v>
      </c>
    </row>
    <row r="2314" spans="1:25" x14ac:dyDescent="0.25">
      <c r="A2314" s="76">
        <v>2346</v>
      </c>
      <c r="B2314" s="2" t="s">
        <v>2164</v>
      </c>
      <c r="C2314" s="2" t="s">
        <v>2165</v>
      </c>
      <c r="D2314" s="2" t="s">
        <v>2166</v>
      </c>
      <c r="E2314" s="2" t="s">
        <v>2167</v>
      </c>
      <c r="F2314" s="2" t="s">
        <v>2168</v>
      </c>
      <c r="G2314" s="2" t="s">
        <v>39</v>
      </c>
      <c r="H2314" s="17">
        <v>25</v>
      </c>
      <c r="I2314" s="31">
        <f t="shared" si="222"/>
        <v>25000</v>
      </c>
      <c r="J2314" s="31">
        <f t="shared" si="223"/>
        <v>1750.0000000000002</v>
      </c>
      <c r="K2314" s="44">
        <f t="shared" si="224"/>
        <v>4.794520547945206</v>
      </c>
      <c r="L2314" s="3">
        <f t="shared" si="225"/>
        <v>354.79452054794524</v>
      </c>
      <c r="M2314" s="3">
        <f t="shared" si="226"/>
        <v>21.287671232876715</v>
      </c>
      <c r="N2314" s="67">
        <f t="shared" si="227"/>
        <v>333.50684931506851</v>
      </c>
      <c r="O2314" s="3"/>
      <c r="P2314" s="70" t="s">
        <v>18608</v>
      </c>
      <c r="Q2314" s="2" t="s">
        <v>24</v>
      </c>
      <c r="R2314" s="2" t="s">
        <v>2169</v>
      </c>
      <c r="T2314" t="s">
        <v>18666</v>
      </c>
      <c r="U2314" t="s">
        <v>18652</v>
      </c>
      <c r="V2314" s="104">
        <v>45857</v>
      </c>
      <c r="X2314" s="97"/>
      <c r="Y2314" s="75">
        <v>333.51</v>
      </c>
    </row>
    <row r="2315" spans="1:25" x14ac:dyDescent="0.25">
      <c r="A2315" s="76">
        <v>2347</v>
      </c>
      <c r="B2315" s="2" t="s">
        <v>18095</v>
      </c>
      <c r="C2315" s="2" t="s">
        <v>18096</v>
      </c>
      <c r="D2315" s="2" t="s">
        <v>18097</v>
      </c>
      <c r="E2315" s="2" t="s">
        <v>18098</v>
      </c>
      <c r="F2315" s="2" t="s">
        <v>18099</v>
      </c>
      <c r="G2315" s="2" t="s">
        <v>5013</v>
      </c>
      <c r="H2315" s="17">
        <v>25</v>
      </c>
      <c r="I2315" s="31">
        <f t="shared" si="222"/>
        <v>25000</v>
      </c>
      <c r="J2315" s="31">
        <f t="shared" si="223"/>
        <v>1750.0000000000002</v>
      </c>
      <c r="K2315" s="44">
        <f t="shared" si="224"/>
        <v>4.794520547945206</v>
      </c>
      <c r="L2315" s="3">
        <f t="shared" si="225"/>
        <v>354.79452054794524</v>
      </c>
      <c r="M2315" s="3">
        <f t="shared" si="226"/>
        <v>21.287671232876715</v>
      </c>
      <c r="N2315" s="67">
        <f t="shared" si="227"/>
        <v>333.50684931506851</v>
      </c>
      <c r="O2315" s="3"/>
      <c r="P2315" s="70" t="s">
        <v>18608</v>
      </c>
      <c r="Q2315" s="2" t="s">
        <v>24</v>
      </c>
      <c r="R2315" s="2" t="s">
        <v>18100</v>
      </c>
      <c r="T2315" t="s">
        <v>18666</v>
      </c>
      <c r="U2315" t="s">
        <v>18652</v>
      </c>
      <c r="V2315" s="104">
        <v>45857</v>
      </c>
      <c r="X2315" s="97"/>
      <c r="Y2315" s="75">
        <v>333.51</v>
      </c>
    </row>
    <row r="2316" spans="1:25" x14ac:dyDescent="0.25">
      <c r="A2316" s="76">
        <v>2348</v>
      </c>
      <c r="B2316" s="2" t="s">
        <v>15738</v>
      </c>
      <c r="C2316" s="2" t="s">
        <v>15739</v>
      </c>
      <c r="D2316" s="2" t="s">
        <v>15740</v>
      </c>
      <c r="E2316" s="2" t="s">
        <v>15741</v>
      </c>
      <c r="F2316" s="2" t="s">
        <v>15742</v>
      </c>
      <c r="G2316" s="2" t="s">
        <v>1424</v>
      </c>
      <c r="H2316" s="17">
        <v>25</v>
      </c>
      <c r="I2316" s="31">
        <f t="shared" si="222"/>
        <v>25000</v>
      </c>
      <c r="J2316" s="31">
        <f t="shared" si="223"/>
        <v>1750.0000000000002</v>
      </c>
      <c r="K2316" s="44">
        <f t="shared" si="224"/>
        <v>4.794520547945206</v>
      </c>
      <c r="L2316" s="3">
        <f t="shared" si="225"/>
        <v>354.79452054794524</v>
      </c>
      <c r="M2316" s="3">
        <f t="shared" si="226"/>
        <v>21.287671232876715</v>
      </c>
      <c r="N2316" s="67">
        <f t="shared" si="227"/>
        <v>333.50684931506851</v>
      </c>
      <c r="O2316" s="3"/>
      <c r="P2316" s="70" t="s">
        <v>18608</v>
      </c>
      <c r="Q2316" s="2" t="s">
        <v>24</v>
      </c>
      <c r="R2316" s="2" t="s">
        <v>15743</v>
      </c>
      <c r="T2316" t="s">
        <v>18666</v>
      </c>
      <c r="U2316" t="s">
        <v>18652</v>
      </c>
      <c r="V2316" s="104">
        <v>45857</v>
      </c>
      <c r="X2316" s="97"/>
      <c r="Y2316" s="75">
        <v>333.51</v>
      </c>
    </row>
    <row r="2317" spans="1:25" x14ac:dyDescent="0.25">
      <c r="A2317" s="76">
        <v>2349</v>
      </c>
      <c r="B2317" s="2" t="s">
        <v>16798</v>
      </c>
      <c r="C2317" s="2" t="s">
        <v>16799</v>
      </c>
      <c r="D2317" s="2" t="s">
        <v>16800</v>
      </c>
      <c r="E2317" s="2" t="s">
        <v>16801</v>
      </c>
      <c r="F2317" s="2" t="s">
        <v>16802</v>
      </c>
      <c r="G2317" s="2" t="s">
        <v>2137</v>
      </c>
      <c r="H2317" s="17">
        <v>25</v>
      </c>
      <c r="I2317" s="31">
        <f t="shared" si="222"/>
        <v>25000</v>
      </c>
      <c r="J2317" s="31">
        <f t="shared" si="223"/>
        <v>1750.0000000000002</v>
      </c>
      <c r="K2317" s="44">
        <f t="shared" si="224"/>
        <v>4.794520547945206</v>
      </c>
      <c r="L2317" s="3">
        <f t="shared" si="225"/>
        <v>354.79452054794524</v>
      </c>
      <c r="M2317" s="3">
        <f t="shared" si="226"/>
        <v>21.287671232876715</v>
      </c>
      <c r="N2317" s="67">
        <f t="shared" si="227"/>
        <v>333.50684931506851</v>
      </c>
      <c r="O2317" s="3"/>
      <c r="P2317" s="70" t="s">
        <v>18608</v>
      </c>
      <c r="Q2317" s="2" t="s">
        <v>24</v>
      </c>
      <c r="R2317" s="2" t="s">
        <v>16803</v>
      </c>
      <c r="T2317" t="s">
        <v>18666</v>
      </c>
      <c r="U2317" t="s">
        <v>18652</v>
      </c>
      <c r="V2317" s="104">
        <v>45857</v>
      </c>
      <c r="X2317" s="97"/>
      <c r="Y2317" s="75">
        <v>333.51</v>
      </c>
    </row>
    <row r="2318" spans="1:25" x14ac:dyDescent="0.25">
      <c r="A2318" s="76">
        <v>2350</v>
      </c>
      <c r="B2318" s="2" t="s">
        <v>13634</v>
      </c>
      <c r="C2318" s="2" t="s">
        <v>13635</v>
      </c>
      <c r="D2318" s="2" t="s">
        <v>13636</v>
      </c>
      <c r="E2318" s="2" t="s">
        <v>13625</v>
      </c>
      <c r="F2318" s="2" t="s">
        <v>13637</v>
      </c>
      <c r="G2318" s="2" t="s">
        <v>750</v>
      </c>
      <c r="H2318" s="17">
        <v>1000</v>
      </c>
      <c r="I2318" s="31">
        <f t="shared" si="222"/>
        <v>1000000</v>
      </c>
      <c r="J2318" s="31">
        <f t="shared" si="223"/>
        <v>70000</v>
      </c>
      <c r="K2318" s="44">
        <f t="shared" si="224"/>
        <v>191.78082191780823</v>
      </c>
      <c r="L2318" s="3">
        <f t="shared" si="225"/>
        <v>14191.780821917808</v>
      </c>
      <c r="M2318" s="3">
        <f t="shared" si="226"/>
        <v>851.50684931506839</v>
      </c>
      <c r="N2318" s="67">
        <f t="shared" si="227"/>
        <v>13340.273972602739</v>
      </c>
      <c r="O2318" s="3"/>
      <c r="P2318" s="70" t="s">
        <v>18608</v>
      </c>
      <c r="Q2318" s="2" t="s">
        <v>24</v>
      </c>
      <c r="R2318" s="2" t="s">
        <v>13638</v>
      </c>
      <c r="T2318" t="s">
        <v>18666</v>
      </c>
      <c r="U2318" t="s">
        <v>18652</v>
      </c>
      <c r="V2318" s="104">
        <v>45857</v>
      </c>
      <c r="X2318" s="97"/>
      <c r="Y2318" s="75">
        <v>13340.28</v>
      </c>
    </row>
    <row r="2319" spans="1:25" x14ac:dyDescent="0.25">
      <c r="A2319" s="76">
        <v>2351</v>
      </c>
      <c r="B2319" s="2" t="s">
        <v>13664</v>
      </c>
      <c r="C2319" s="2" t="s">
        <v>13665</v>
      </c>
      <c r="D2319" s="2" t="s">
        <v>13624</v>
      </c>
      <c r="E2319" s="2" t="s">
        <v>13625</v>
      </c>
      <c r="F2319" s="2" t="s">
        <v>13666</v>
      </c>
      <c r="G2319" s="2" t="s">
        <v>31</v>
      </c>
      <c r="H2319" s="17">
        <v>1000</v>
      </c>
      <c r="I2319" s="31">
        <f t="shared" si="222"/>
        <v>1000000</v>
      </c>
      <c r="J2319" s="31">
        <f t="shared" si="223"/>
        <v>70000</v>
      </c>
      <c r="K2319" s="44">
        <f t="shared" si="224"/>
        <v>191.78082191780823</v>
      </c>
      <c r="L2319" s="3">
        <f t="shared" si="225"/>
        <v>14191.780821917808</v>
      </c>
      <c r="M2319" s="3">
        <f t="shared" si="226"/>
        <v>851.50684931506839</v>
      </c>
      <c r="N2319" s="67">
        <f t="shared" si="227"/>
        <v>13340.273972602739</v>
      </c>
      <c r="O2319" s="3"/>
      <c r="P2319" s="70" t="s">
        <v>18608</v>
      </c>
      <c r="Q2319" s="2" t="s">
        <v>24</v>
      </c>
      <c r="R2319" s="2" t="s">
        <v>13667</v>
      </c>
      <c r="T2319" t="s">
        <v>18666</v>
      </c>
      <c r="U2319" t="s">
        <v>18652</v>
      </c>
      <c r="V2319" s="104">
        <v>45857</v>
      </c>
      <c r="X2319" s="97"/>
      <c r="Y2319" s="75">
        <v>13340.28</v>
      </c>
    </row>
    <row r="2320" spans="1:25" x14ac:dyDescent="0.25">
      <c r="A2320" s="76">
        <v>2352</v>
      </c>
      <c r="B2320" s="2" t="s">
        <v>13758</v>
      </c>
      <c r="C2320" s="2" t="s">
        <v>13759</v>
      </c>
      <c r="D2320" s="2" t="s">
        <v>13760</v>
      </c>
      <c r="E2320" s="2" t="s">
        <v>13761</v>
      </c>
      <c r="F2320" s="2" t="s">
        <v>13762</v>
      </c>
      <c r="G2320" s="2" t="s">
        <v>61</v>
      </c>
      <c r="H2320" s="17">
        <v>25</v>
      </c>
      <c r="I2320" s="31">
        <f t="shared" si="222"/>
        <v>25000</v>
      </c>
      <c r="J2320" s="31">
        <f t="shared" si="223"/>
        <v>1750.0000000000002</v>
      </c>
      <c r="K2320" s="44">
        <f t="shared" si="224"/>
        <v>4.794520547945206</v>
      </c>
      <c r="L2320" s="3">
        <f t="shared" si="225"/>
        <v>354.79452054794524</v>
      </c>
      <c r="M2320" s="3">
        <f t="shared" si="226"/>
        <v>21.287671232876715</v>
      </c>
      <c r="N2320" s="67">
        <f t="shared" si="227"/>
        <v>333.50684931506851</v>
      </c>
      <c r="O2320" s="3"/>
      <c r="P2320" s="70" t="s">
        <v>18608</v>
      </c>
      <c r="Q2320" s="2" t="s">
        <v>24</v>
      </c>
      <c r="R2320" s="2" t="s">
        <v>13763</v>
      </c>
      <c r="T2320" t="s">
        <v>18666</v>
      </c>
      <c r="U2320" t="s">
        <v>18652</v>
      </c>
      <c r="V2320" s="104">
        <v>45857</v>
      </c>
      <c r="X2320" s="97"/>
      <c r="Y2320" s="75">
        <v>333.51</v>
      </c>
    </row>
    <row r="2321" spans="1:25" x14ac:dyDescent="0.25">
      <c r="A2321" s="76">
        <v>2353</v>
      </c>
      <c r="B2321" s="2" t="s">
        <v>207</v>
      </c>
      <c r="C2321" s="2" t="s">
        <v>208</v>
      </c>
      <c r="D2321" s="2" t="s">
        <v>209</v>
      </c>
      <c r="E2321" s="2" t="s">
        <v>210</v>
      </c>
      <c r="F2321" s="2" t="s">
        <v>211</v>
      </c>
      <c r="G2321" s="2" t="s">
        <v>151</v>
      </c>
      <c r="H2321" s="17">
        <v>25</v>
      </c>
      <c r="I2321" s="31">
        <f t="shared" si="222"/>
        <v>25000</v>
      </c>
      <c r="J2321" s="31">
        <f t="shared" si="223"/>
        <v>1750.0000000000002</v>
      </c>
      <c r="K2321" s="44">
        <f t="shared" si="224"/>
        <v>4.794520547945206</v>
      </c>
      <c r="L2321" s="3">
        <f t="shared" si="225"/>
        <v>354.79452054794524</v>
      </c>
      <c r="M2321" s="3">
        <f t="shared" si="226"/>
        <v>21.287671232876715</v>
      </c>
      <c r="N2321" s="67">
        <f t="shared" si="227"/>
        <v>333.50684931506851</v>
      </c>
      <c r="O2321" s="3"/>
      <c r="P2321" s="70" t="s">
        <v>18608</v>
      </c>
      <c r="Q2321" s="2" t="s">
        <v>24</v>
      </c>
      <c r="R2321" s="2" t="s">
        <v>212</v>
      </c>
      <c r="T2321" t="s">
        <v>18666</v>
      </c>
      <c r="U2321" t="s">
        <v>18652</v>
      </c>
      <c r="V2321" s="104">
        <v>45857</v>
      </c>
      <c r="X2321" s="97"/>
      <c r="Y2321" s="75">
        <v>333.51</v>
      </c>
    </row>
    <row r="2322" spans="1:25" x14ac:dyDescent="0.25">
      <c r="A2322" s="76">
        <v>2354</v>
      </c>
      <c r="B2322" s="2" t="s">
        <v>4941</v>
      </c>
      <c r="C2322" s="2" t="s">
        <v>4942</v>
      </c>
      <c r="D2322" s="2" t="s">
        <v>4943</v>
      </c>
      <c r="E2322" s="2" t="s">
        <v>4944</v>
      </c>
      <c r="F2322" s="2" t="s">
        <v>4945</v>
      </c>
      <c r="G2322" s="2" t="s">
        <v>1055</v>
      </c>
      <c r="H2322" s="17">
        <v>30</v>
      </c>
      <c r="I2322" s="31">
        <f t="shared" ref="I2322:I2385" si="228">H2322*1000</f>
        <v>30000</v>
      </c>
      <c r="J2322" s="31">
        <f t="shared" ref="J2322:J2385" si="229">I2322*7%</f>
        <v>2100</v>
      </c>
      <c r="K2322" s="44">
        <f t="shared" ref="K2322:K2385" si="230">J2322/365</f>
        <v>5.7534246575342465</v>
      </c>
      <c r="L2322" s="3">
        <f t="shared" ref="L2322:L2385" si="231">K2322*74</f>
        <v>425.75342465753425</v>
      </c>
      <c r="M2322" s="3">
        <f t="shared" ref="M2322:M2385" si="232">L2322*6%</f>
        <v>25.545205479452054</v>
      </c>
      <c r="N2322" s="67">
        <f t="shared" ref="N2322:N2385" si="233">L2322-M2322</f>
        <v>400.20821917808217</v>
      </c>
      <c r="O2322" s="3"/>
      <c r="P2322" s="70" t="s">
        <v>18608</v>
      </c>
      <c r="Q2322" s="2" t="s">
        <v>24</v>
      </c>
      <c r="R2322" s="2" t="s">
        <v>4946</v>
      </c>
      <c r="T2322" t="s">
        <v>18666</v>
      </c>
      <c r="U2322" t="s">
        <v>18652</v>
      </c>
      <c r="V2322" s="104">
        <v>45857</v>
      </c>
      <c r="X2322" s="97"/>
      <c r="Y2322" s="75">
        <v>400.21</v>
      </c>
    </row>
    <row r="2323" spans="1:25" x14ac:dyDescent="0.25">
      <c r="A2323" s="76">
        <v>2355</v>
      </c>
      <c r="B2323" s="2" t="s">
        <v>4977</v>
      </c>
      <c r="C2323" s="2" t="s">
        <v>4978</v>
      </c>
      <c r="D2323" s="2" t="s">
        <v>4979</v>
      </c>
      <c r="E2323" s="2" t="s">
        <v>4980</v>
      </c>
      <c r="F2323" s="2" t="s">
        <v>4981</v>
      </c>
      <c r="G2323" s="2" t="s">
        <v>254</v>
      </c>
      <c r="H2323" s="17">
        <v>25</v>
      </c>
      <c r="I2323" s="31">
        <f t="shared" si="228"/>
        <v>25000</v>
      </c>
      <c r="J2323" s="31">
        <f t="shared" si="229"/>
        <v>1750.0000000000002</v>
      </c>
      <c r="K2323" s="44">
        <f t="shared" si="230"/>
        <v>4.794520547945206</v>
      </c>
      <c r="L2323" s="3">
        <f t="shared" si="231"/>
        <v>354.79452054794524</v>
      </c>
      <c r="M2323" s="3">
        <f t="shared" si="232"/>
        <v>21.287671232876715</v>
      </c>
      <c r="N2323" s="67">
        <f t="shared" si="233"/>
        <v>333.50684931506851</v>
      </c>
      <c r="O2323" s="3"/>
      <c r="P2323" s="70" t="s">
        <v>18608</v>
      </c>
      <c r="Q2323" s="2" t="s">
        <v>24</v>
      </c>
      <c r="R2323" s="2" t="s">
        <v>4982</v>
      </c>
      <c r="T2323" t="s">
        <v>18666</v>
      </c>
      <c r="U2323" t="s">
        <v>18652</v>
      </c>
      <c r="V2323" s="104">
        <v>45857</v>
      </c>
      <c r="X2323" s="97"/>
      <c r="Y2323" s="75">
        <v>333.51</v>
      </c>
    </row>
    <row r="2324" spans="1:25" x14ac:dyDescent="0.25">
      <c r="A2324" s="76">
        <v>2356</v>
      </c>
      <c r="B2324" s="2" t="s">
        <v>3778</v>
      </c>
      <c r="C2324" s="2" t="s">
        <v>3779</v>
      </c>
      <c r="D2324" s="2" t="s">
        <v>3780</v>
      </c>
      <c r="E2324" s="2" t="s">
        <v>3781</v>
      </c>
      <c r="F2324" s="2" t="s">
        <v>3782</v>
      </c>
      <c r="G2324" s="2" t="s">
        <v>412</v>
      </c>
      <c r="H2324" s="17">
        <v>50</v>
      </c>
      <c r="I2324" s="31">
        <f t="shared" si="228"/>
        <v>50000</v>
      </c>
      <c r="J2324" s="31">
        <f t="shared" si="229"/>
        <v>3500.0000000000005</v>
      </c>
      <c r="K2324" s="44">
        <f t="shared" si="230"/>
        <v>9.589041095890412</v>
      </c>
      <c r="L2324" s="3">
        <f t="shared" si="231"/>
        <v>709.58904109589048</v>
      </c>
      <c r="M2324" s="3">
        <f t="shared" si="232"/>
        <v>42.57534246575343</v>
      </c>
      <c r="N2324" s="67">
        <f t="shared" si="233"/>
        <v>667.01369863013701</v>
      </c>
      <c r="O2324" s="3"/>
      <c r="P2324" s="70" t="s">
        <v>18608</v>
      </c>
      <c r="Q2324" s="2" t="s">
        <v>24</v>
      </c>
      <c r="R2324" s="2" t="s">
        <v>3783</v>
      </c>
      <c r="T2324" t="s">
        <v>18666</v>
      </c>
      <c r="U2324" t="s">
        <v>18652</v>
      </c>
      <c r="V2324" s="104">
        <v>45857</v>
      </c>
      <c r="X2324" s="97"/>
      <c r="Y2324" s="75">
        <v>667.02</v>
      </c>
    </row>
    <row r="2325" spans="1:25" x14ac:dyDescent="0.25">
      <c r="A2325" s="76">
        <v>2357</v>
      </c>
      <c r="B2325" s="2" t="s">
        <v>18059</v>
      </c>
      <c r="C2325" s="2" t="s">
        <v>18060</v>
      </c>
      <c r="D2325" s="2" t="s">
        <v>18061</v>
      </c>
      <c r="E2325" s="2" t="s">
        <v>18062</v>
      </c>
      <c r="F2325" s="2" t="s">
        <v>18063</v>
      </c>
      <c r="G2325" s="2" t="s">
        <v>39</v>
      </c>
      <c r="H2325" s="17">
        <v>50</v>
      </c>
      <c r="I2325" s="31">
        <f t="shared" si="228"/>
        <v>50000</v>
      </c>
      <c r="J2325" s="31">
        <f t="shared" si="229"/>
        <v>3500.0000000000005</v>
      </c>
      <c r="K2325" s="44">
        <f t="shared" si="230"/>
        <v>9.589041095890412</v>
      </c>
      <c r="L2325" s="3">
        <f t="shared" si="231"/>
        <v>709.58904109589048</v>
      </c>
      <c r="M2325" s="3">
        <f t="shared" si="232"/>
        <v>42.57534246575343</v>
      </c>
      <c r="N2325" s="67">
        <f t="shared" si="233"/>
        <v>667.01369863013701</v>
      </c>
      <c r="O2325" s="3"/>
      <c r="P2325" s="70" t="s">
        <v>18608</v>
      </c>
      <c r="Q2325" s="2" t="s">
        <v>24</v>
      </c>
      <c r="R2325" s="2" t="s">
        <v>18064</v>
      </c>
      <c r="T2325" t="s">
        <v>18666</v>
      </c>
      <c r="U2325" t="s">
        <v>18652</v>
      </c>
      <c r="V2325" s="104">
        <v>45857</v>
      </c>
      <c r="X2325" s="97"/>
      <c r="Y2325" s="75">
        <v>667.02</v>
      </c>
    </row>
    <row r="2326" spans="1:25" x14ac:dyDescent="0.25">
      <c r="A2326" s="76">
        <v>2358</v>
      </c>
      <c r="B2326" s="2" t="s">
        <v>7832</v>
      </c>
      <c r="C2326" s="2" t="s">
        <v>7833</v>
      </c>
      <c r="D2326" s="2" t="s">
        <v>4331</v>
      </c>
      <c r="E2326" s="2" t="s">
        <v>7834</v>
      </c>
      <c r="F2326" s="2" t="s">
        <v>7835</v>
      </c>
      <c r="G2326" s="2" t="s">
        <v>31</v>
      </c>
      <c r="H2326" s="17">
        <v>300</v>
      </c>
      <c r="I2326" s="31">
        <f t="shared" si="228"/>
        <v>300000</v>
      </c>
      <c r="J2326" s="31">
        <f t="shared" si="229"/>
        <v>21000.000000000004</v>
      </c>
      <c r="K2326" s="44">
        <f t="shared" si="230"/>
        <v>57.534246575342479</v>
      </c>
      <c r="L2326" s="3">
        <f t="shared" si="231"/>
        <v>4257.5342465753438</v>
      </c>
      <c r="M2326" s="3">
        <f t="shared" si="232"/>
        <v>255.45205479452062</v>
      </c>
      <c r="N2326" s="67">
        <f t="shared" si="233"/>
        <v>4002.082191780823</v>
      </c>
      <c r="O2326" s="3"/>
      <c r="P2326" s="70" t="s">
        <v>18608</v>
      </c>
      <c r="Q2326" s="2" t="s">
        <v>24</v>
      </c>
      <c r="R2326" s="2" t="s">
        <v>7836</v>
      </c>
      <c r="T2326" t="s">
        <v>18666</v>
      </c>
      <c r="U2326" t="s">
        <v>18652</v>
      </c>
      <c r="V2326" s="104">
        <v>45857</v>
      </c>
      <c r="X2326" s="97"/>
      <c r="Y2326" s="75">
        <v>4002.09</v>
      </c>
    </row>
    <row r="2327" spans="1:25" x14ac:dyDescent="0.25">
      <c r="A2327" s="76">
        <v>2359</v>
      </c>
      <c r="B2327" s="2" t="s">
        <v>15825</v>
      </c>
      <c r="C2327" s="2" t="s">
        <v>15826</v>
      </c>
      <c r="D2327" s="2" t="s">
        <v>15827</v>
      </c>
      <c r="E2327" s="2" t="s">
        <v>15828</v>
      </c>
      <c r="F2327" s="2" t="s">
        <v>15829</v>
      </c>
      <c r="G2327" s="2" t="s">
        <v>268</v>
      </c>
      <c r="H2327" s="17">
        <v>50</v>
      </c>
      <c r="I2327" s="31">
        <f t="shared" si="228"/>
        <v>50000</v>
      </c>
      <c r="J2327" s="31">
        <f t="shared" si="229"/>
        <v>3500.0000000000005</v>
      </c>
      <c r="K2327" s="44">
        <f t="shared" si="230"/>
        <v>9.589041095890412</v>
      </c>
      <c r="L2327" s="3">
        <f t="shared" si="231"/>
        <v>709.58904109589048</v>
      </c>
      <c r="M2327" s="3">
        <f t="shared" si="232"/>
        <v>42.57534246575343</v>
      </c>
      <c r="N2327" s="67">
        <f t="shared" si="233"/>
        <v>667.01369863013701</v>
      </c>
      <c r="O2327" s="3"/>
      <c r="P2327" s="70" t="s">
        <v>18608</v>
      </c>
      <c r="Q2327" s="2" t="s">
        <v>24</v>
      </c>
      <c r="R2327" s="2" t="s">
        <v>15830</v>
      </c>
      <c r="T2327" t="s">
        <v>18666</v>
      </c>
      <c r="U2327" t="s">
        <v>18652</v>
      </c>
      <c r="V2327" s="104">
        <v>45857</v>
      </c>
      <c r="X2327" s="97"/>
      <c r="Y2327" s="75">
        <v>667.02</v>
      </c>
    </row>
    <row r="2328" spans="1:25" x14ac:dyDescent="0.25">
      <c r="A2328" s="76">
        <v>2360</v>
      </c>
      <c r="B2328" s="2" t="s">
        <v>9182</v>
      </c>
      <c r="C2328" s="2" t="s">
        <v>9183</v>
      </c>
      <c r="D2328" s="2" t="s">
        <v>9184</v>
      </c>
      <c r="E2328" s="2" t="s">
        <v>9185</v>
      </c>
      <c r="F2328" s="2" t="s">
        <v>9186</v>
      </c>
      <c r="G2328" s="2" t="s">
        <v>876</v>
      </c>
      <c r="H2328" s="17">
        <v>30</v>
      </c>
      <c r="I2328" s="31">
        <f t="shared" si="228"/>
        <v>30000</v>
      </c>
      <c r="J2328" s="31">
        <f t="shared" si="229"/>
        <v>2100</v>
      </c>
      <c r="K2328" s="44">
        <f t="shared" si="230"/>
        <v>5.7534246575342465</v>
      </c>
      <c r="L2328" s="3">
        <f t="shared" si="231"/>
        <v>425.75342465753425</v>
      </c>
      <c r="M2328" s="3">
        <f t="shared" si="232"/>
        <v>25.545205479452054</v>
      </c>
      <c r="N2328" s="67">
        <f t="shared" si="233"/>
        <v>400.20821917808217</v>
      </c>
      <c r="O2328" s="3"/>
      <c r="P2328" s="70" t="s">
        <v>18608</v>
      </c>
      <c r="Q2328" s="2" t="s">
        <v>24</v>
      </c>
      <c r="R2328" s="2" t="s">
        <v>9187</v>
      </c>
      <c r="T2328" t="s">
        <v>18666</v>
      </c>
      <c r="U2328" t="s">
        <v>18652</v>
      </c>
      <c r="V2328" s="104">
        <v>45857</v>
      </c>
      <c r="X2328" s="97"/>
      <c r="Y2328" s="75">
        <v>400.21</v>
      </c>
    </row>
    <row r="2329" spans="1:25" x14ac:dyDescent="0.25">
      <c r="A2329" s="76">
        <v>2361</v>
      </c>
      <c r="B2329" s="2" t="s">
        <v>10469</v>
      </c>
      <c r="C2329" s="2" t="s">
        <v>10470</v>
      </c>
      <c r="D2329" s="2" t="s">
        <v>10471</v>
      </c>
      <c r="E2329" s="2" t="s">
        <v>10472</v>
      </c>
      <c r="F2329" s="2" t="s">
        <v>10473</v>
      </c>
      <c r="G2329" s="2" t="s">
        <v>1315</v>
      </c>
      <c r="H2329" s="17">
        <v>400</v>
      </c>
      <c r="I2329" s="31">
        <f t="shared" si="228"/>
        <v>400000</v>
      </c>
      <c r="J2329" s="31">
        <f t="shared" si="229"/>
        <v>28000.000000000004</v>
      </c>
      <c r="K2329" s="44">
        <f t="shared" si="230"/>
        <v>76.712328767123296</v>
      </c>
      <c r="L2329" s="3">
        <f t="shared" si="231"/>
        <v>5676.7123287671238</v>
      </c>
      <c r="M2329" s="3">
        <f t="shared" si="232"/>
        <v>340.60273972602744</v>
      </c>
      <c r="N2329" s="67">
        <f t="shared" si="233"/>
        <v>5336.1095890410961</v>
      </c>
      <c r="O2329" s="3"/>
      <c r="P2329" s="70" t="s">
        <v>18608</v>
      </c>
      <c r="Q2329" s="2" t="s">
        <v>24</v>
      </c>
      <c r="R2329" s="2" t="s">
        <v>10474</v>
      </c>
      <c r="T2329" t="s">
        <v>18666</v>
      </c>
      <c r="U2329" t="s">
        <v>18652</v>
      </c>
      <c r="V2329" s="104">
        <v>45857</v>
      </c>
      <c r="X2329" s="97"/>
      <c r="Y2329" s="75">
        <v>5336.1100000000006</v>
      </c>
    </row>
    <row r="2330" spans="1:25" x14ac:dyDescent="0.25">
      <c r="A2330" s="76">
        <v>2362</v>
      </c>
      <c r="B2330" s="2" t="s">
        <v>14681</v>
      </c>
      <c r="C2330" s="2" t="s">
        <v>14682</v>
      </c>
      <c r="D2330" s="2" t="s">
        <v>14683</v>
      </c>
      <c r="E2330" s="2" t="s">
        <v>14684</v>
      </c>
      <c r="F2330" s="2" t="s">
        <v>14685</v>
      </c>
      <c r="G2330" s="2" t="s">
        <v>247</v>
      </c>
      <c r="H2330" s="17">
        <v>25</v>
      </c>
      <c r="I2330" s="31">
        <f t="shared" si="228"/>
        <v>25000</v>
      </c>
      <c r="J2330" s="31">
        <f t="shared" si="229"/>
        <v>1750.0000000000002</v>
      </c>
      <c r="K2330" s="44">
        <f t="shared" si="230"/>
        <v>4.794520547945206</v>
      </c>
      <c r="L2330" s="3">
        <f t="shared" si="231"/>
        <v>354.79452054794524</v>
      </c>
      <c r="M2330" s="3">
        <f t="shared" si="232"/>
        <v>21.287671232876715</v>
      </c>
      <c r="N2330" s="67">
        <f t="shared" si="233"/>
        <v>333.50684931506851</v>
      </c>
      <c r="O2330" s="3"/>
      <c r="P2330" s="70" t="s">
        <v>18608</v>
      </c>
      <c r="Q2330" s="2" t="s">
        <v>24</v>
      </c>
      <c r="R2330" s="2" t="s">
        <v>14686</v>
      </c>
      <c r="T2330" t="s">
        <v>18666</v>
      </c>
      <c r="U2330" t="s">
        <v>18652</v>
      </c>
      <c r="V2330" s="104">
        <v>45857</v>
      </c>
      <c r="X2330" s="97"/>
      <c r="Y2330" s="75">
        <v>333.51</v>
      </c>
    </row>
    <row r="2331" spans="1:25" x14ac:dyDescent="0.25">
      <c r="A2331" s="76">
        <v>2363</v>
      </c>
      <c r="B2331" s="2" t="s">
        <v>15067</v>
      </c>
      <c r="C2331" s="2" t="s">
        <v>15068</v>
      </c>
      <c r="D2331" s="2" t="s">
        <v>15069</v>
      </c>
      <c r="E2331" s="2" t="s">
        <v>15070</v>
      </c>
      <c r="F2331" s="2" t="s">
        <v>15071</v>
      </c>
      <c r="G2331" s="2" t="s">
        <v>31</v>
      </c>
      <c r="H2331" s="17">
        <v>25</v>
      </c>
      <c r="I2331" s="31">
        <f t="shared" si="228"/>
        <v>25000</v>
      </c>
      <c r="J2331" s="31">
        <f t="shared" si="229"/>
        <v>1750.0000000000002</v>
      </c>
      <c r="K2331" s="44">
        <f t="shared" si="230"/>
        <v>4.794520547945206</v>
      </c>
      <c r="L2331" s="3">
        <f t="shared" si="231"/>
        <v>354.79452054794524</v>
      </c>
      <c r="M2331" s="3">
        <f t="shared" si="232"/>
        <v>21.287671232876715</v>
      </c>
      <c r="N2331" s="67">
        <f t="shared" si="233"/>
        <v>333.50684931506851</v>
      </c>
      <c r="O2331" s="3"/>
      <c r="P2331" s="70" t="s">
        <v>18608</v>
      </c>
      <c r="Q2331" s="2" t="s">
        <v>24</v>
      </c>
      <c r="R2331" s="2" t="s">
        <v>15072</v>
      </c>
      <c r="T2331" t="s">
        <v>18666</v>
      </c>
      <c r="U2331" t="s">
        <v>18652</v>
      </c>
      <c r="V2331" s="104">
        <v>45857</v>
      </c>
      <c r="X2331" s="97"/>
      <c r="Y2331" s="75">
        <v>333.51</v>
      </c>
    </row>
    <row r="2332" spans="1:25" x14ac:dyDescent="0.25">
      <c r="A2332" s="76">
        <v>2364</v>
      </c>
      <c r="B2332" s="2" t="s">
        <v>707</v>
      </c>
      <c r="C2332" s="2" t="s">
        <v>708</v>
      </c>
      <c r="D2332" s="2" t="s">
        <v>709</v>
      </c>
      <c r="E2332" s="2" t="s">
        <v>710</v>
      </c>
      <c r="F2332" s="2" t="s">
        <v>711</v>
      </c>
      <c r="G2332" s="2" t="s">
        <v>31</v>
      </c>
      <c r="H2332" s="17">
        <v>25</v>
      </c>
      <c r="I2332" s="31">
        <f t="shared" si="228"/>
        <v>25000</v>
      </c>
      <c r="J2332" s="31">
        <f t="shared" si="229"/>
        <v>1750.0000000000002</v>
      </c>
      <c r="K2332" s="44">
        <f t="shared" si="230"/>
        <v>4.794520547945206</v>
      </c>
      <c r="L2332" s="3">
        <f t="shared" si="231"/>
        <v>354.79452054794524</v>
      </c>
      <c r="M2332" s="3">
        <f t="shared" si="232"/>
        <v>21.287671232876715</v>
      </c>
      <c r="N2332" s="67">
        <f t="shared" si="233"/>
        <v>333.50684931506851</v>
      </c>
      <c r="O2332" s="3"/>
      <c r="P2332" s="70" t="s">
        <v>18608</v>
      </c>
      <c r="Q2332" s="2" t="s">
        <v>24</v>
      </c>
      <c r="R2332" s="2" t="s">
        <v>712</v>
      </c>
      <c r="T2332" t="s">
        <v>18666</v>
      </c>
      <c r="U2332" t="s">
        <v>18652</v>
      </c>
      <c r="V2332" s="104">
        <v>45857</v>
      </c>
      <c r="X2332" s="97"/>
      <c r="Y2332" s="75">
        <v>333.51</v>
      </c>
    </row>
    <row r="2333" spans="1:25" x14ac:dyDescent="0.25">
      <c r="A2333" s="76">
        <v>2365</v>
      </c>
      <c r="B2333" s="2" t="s">
        <v>10553</v>
      </c>
      <c r="C2333" s="2" t="s">
        <v>10554</v>
      </c>
      <c r="D2333" s="2" t="s">
        <v>10555</v>
      </c>
      <c r="E2333" s="2" t="s">
        <v>2299</v>
      </c>
      <c r="F2333" s="2" t="s">
        <v>10556</v>
      </c>
      <c r="G2333" s="2" t="s">
        <v>23</v>
      </c>
      <c r="H2333" s="17">
        <v>25</v>
      </c>
      <c r="I2333" s="31">
        <f t="shared" si="228"/>
        <v>25000</v>
      </c>
      <c r="J2333" s="31">
        <f t="shared" si="229"/>
        <v>1750.0000000000002</v>
      </c>
      <c r="K2333" s="44">
        <f t="shared" si="230"/>
        <v>4.794520547945206</v>
      </c>
      <c r="L2333" s="3">
        <f t="shared" si="231"/>
        <v>354.79452054794524</v>
      </c>
      <c r="M2333" s="3">
        <f t="shared" si="232"/>
        <v>21.287671232876715</v>
      </c>
      <c r="N2333" s="67">
        <f t="shared" si="233"/>
        <v>333.50684931506851</v>
      </c>
      <c r="O2333" s="3"/>
      <c r="P2333" s="70" t="s">
        <v>18608</v>
      </c>
      <c r="Q2333" s="2" t="s">
        <v>24</v>
      </c>
      <c r="R2333" s="2" t="s">
        <v>10557</v>
      </c>
      <c r="T2333" t="s">
        <v>18666</v>
      </c>
      <c r="U2333" t="s">
        <v>18652</v>
      </c>
      <c r="V2333" s="104">
        <v>45857</v>
      </c>
      <c r="X2333" s="97"/>
      <c r="Y2333" s="75">
        <v>333.51</v>
      </c>
    </row>
    <row r="2334" spans="1:25" x14ac:dyDescent="0.25">
      <c r="A2334" s="76">
        <v>2366</v>
      </c>
      <c r="B2334" s="2" t="s">
        <v>15044</v>
      </c>
      <c r="C2334" s="2" t="s">
        <v>15045</v>
      </c>
      <c r="D2334" s="2" t="s">
        <v>11621</v>
      </c>
      <c r="E2334" s="2" t="s">
        <v>8784</v>
      </c>
      <c r="F2334" s="2" t="s">
        <v>15046</v>
      </c>
      <c r="G2334" s="2" t="s">
        <v>31</v>
      </c>
      <c r="H2334" s="17">
        <v>25</v>
      </c>
      <c r="I2334" s="31">
        <f t="shared" si="228"/>
        <v>25000</v>
      </c>
      <c r="J2334" s="31">
        <f t="shared" si="229"/>
        <v>1750.0000000000002</v>
      </c>
      <c r="K2334" s="44">
        <f t="shared" si="230"/>
        <v>4.794520547945206</v>
      </c>
      <c r="L2334" s="3">
        <f t="shared" si="231"/>
        <v>354.79452054794524</v>
      </c>
      <c r="M2334" s="3">
        <f t="shared" si="232"/>
        <v>21.287671232876715</v>
      </c>
      <c r="N2334" s="67">
        <f t="shared" si="233"/>
        <v>333.50684931506851</v>
      </c>
      <c r="O2334" s="3"/>
      <c r="P2334" s="70" t="s">
        <v>18608</v>
      </c>
      <c r="Q2334" s="2" t="s">
        <v>24</v>
      </c>
      <c r="R2334" s="2" t="s">
        <v>15047</v>
      </c>
      <c r="T2334" t="s">
        <v>18666</v>
      </c>
      <c r="U2334" t="s">
        <v>18652</v>
      </c>
      <c r="V2334" s="104">
        <v>45857</v>
      </c>
      <c r="X2334" s="97"/>
      <c r="Y2334" s="75">
        <v>333.51</v>
      </c>
    </row>
    <row r="2335" spans="1:25" x14ac:dyDescent="0.25">
      <c r="A2335" s="76">
        <v>2367</v>
      </c>
      <c r="B2335" s="2" t="s">
        <v>16996</v>
      </c>
      <c r="C2335" s="2" t="s">
        <v>16997</v>
      </c>
      <c r="D2335" s="2" t="s">
        <v>16998</v>
      </c>
      <c r="E2335" s="2" t="s">
        <v>16999</v>
      </c>
      <c r="F2335" s="2" t="s">
        <v>17000</v>
      </c>
      <c r="G2335" s="2" t="s">
        <v>718</v>
      </c>
      <c r="H2335" s="17">
        <v>30</v>
      </c>
      <c r="I2335" s="31">
        <f t="shared" si="228"/>
        <v>30000</v>
      </c>
      <c r="J2335" s="31">
        <f t="shared" si="229"/>
        <v>2100</v>
      </c>
      <c r="K2335" s="44">
        <f t="shared" si="230"/>
        <v>5.7534246575342465</v>
      </c>
      <c r="L2335" s="3">
        <f t="shared" si="231"/>
        <v>425.75342465753425</v>
      </c>
      <c r="M2335" s="3">
        <f t="shared" si="232"/>
        <v>25.545205479452054</v>
      </c>
      <c r="N2335" s="67">
        <f t="shared" si="233"/>
        <v>400.20821917808217</v>
      </c>
      <c r="O2335" s="3"/>
      <c r="P2335" s="70" t="s">
        <v>18608</v>
      </c>
      <c r="Q2335" s="2" t="s">
        <v>24</v>
      </c>
      <c r="R2335" s="2" t="s">
        <v>17001</v>
      </c>
      <c r="T2335" t="s">
        <v>18666</v>
      </c>
      <c r="U2335" t="s">
        <v>18652</v>
      </c>
      <c r="V2335" s="104">
        <v>45857</v>
      </c>
      <c r="X2335" s="97"/>
      <c r="Y2335" s="75">
        <v>400.21</v>
      </c>
    </row>
    <row r="2336" spans="1:25" x14ac:dyDescent="0.25">
      <c r="A2336" s="76">
        <v>2368</v>
      </c>
      <c r="B2336" s="2" t="s">
        <v>18024</v>
      </c>
      <c r="C2336" s="2" t="s">
        <v>18025</v>
      </c>
      <c r="D2336" s="2" t="s">
        <v>18026</v>
      </c>
      <c r="E2336" s="2" t="s">
        <v>18027</v>
      </c>
      <c r="F2336" s="2" t="s">
        <v>18028</v>
      </c>
      <c r="G2336" s="2" t="s">
        <v>517</v>
      </c>
      <c r="H2336" s="17">
        <v>25</v>
      </c>
      <c r="I2336" s="31">
        <f t="shared" si="228"/>
        <v>25000</v>
      </c>
      <c r="J2336" s="31">
        <f t="shared" si="229"/>
        <v>1750.0000000000002</v>
      </c>
      <c r="K2336" s="44">
        <f t="shared" si="230"/>
        <v>4.794520547945206</v>
      </c>
      <c r="L2336" s="3">
        <f t="shared" si="231"/>
        <v>354.79452054794524</v>
      </c>
      <c r="M2336" s="3">
        <f t="shared" si="232"/>
        <v>21.287671232876715</v>
      </c>
      <c r="N2336" s="67">
        <f t="shared" si="233"/>
        <v>333.50684931506851</v>
      </c>
      <c r="O2336" s="3"/>
      <c r="P2336" s="70" t="s">
        <v>18608</v>
      </c>
      <c r="Q2336" s="2" t="s">
        <v>24</v>
      </c>
      <c r="R2336" s="2" t="s">
        <v>18029</v>
      </c>
      <c r="T2336" t="s">
        <v>18666</v>
      </c>
      <c r="U2336" t="s">
        <v>18652</v>
      </c>
      <c r="V2336" s="104">
        <v>45857</v>
      </c>
      <c r="X2336" s="97"/>
      <c r="Y2336" s="75">
        <v>333.51</v>
      </c>
    </row>
    <row r="2337" spans="1:25" x14ac:dyDescent="0.25">
      <c r="A2337" s="76">
        <v>2369</v>
      </c>
      <c r="B2337" s="2" t="s">
        <v>9158</v>
      </c>
      <c r="C2337" s="2" t="s">
        <v>9159</v>
      </c>
      <c r="D2337" s="2" t="s">
        <v>9160</v>
      </c>
      <c r="E2337" s="2" t="s">
        <v>9161</v>
      </c>
      <c r="F2337" s="2" t="s">
        <v>9162</v>
      </c>
      <c r="G2337" s="2" t="s">
        <v>31</v>
      </c>
      <c r="H2337" s="17">
        <v>200</v>
      </c>
      <c r="I2337" s="31">
        <f t="shared" si="228"/>
        <v>200000</v>
      </c>
      <c r="J2337" s="31">
        <f t="shared" si="229"/>
        <v>14000.000000000002</v>
      </c>
      <c r="K2337" s="44">
        <f t="shared" si="230"/>
        <v>38.356164383561648</v>
      </c>
      <c r="L2337" s="3">
        <f t="shared" si="231"/>
        <v>2838.3561643835619</v>
      </c>
      <c r="M2337" s="3">
        <f t="shared" si="232"/>
        <v>170.30136986301372</v>
      </c>
      <c r="N2337" s="67">
        <f t="shared" si="233"/>
        <v>2668.0547945205481</v>
      </c>
      <c r="O2337" s="3"/>
      <c r="P2337" s="70" t="s">
        <v>18608</v>
      </c>
      <c r="Q2337" s="2" t="s">
        <v>24</v>
      </c>
      <c r="R2337" s="2" t="s">
        <v>9163</v>
      </c>
      <c r="T2337" t="s">
        <v>18666</v>
      </c>
      <c r="U2337" t="s">
        <v>18652</v>
      </c>
      <c r="V2337" s="104">
        <v>45857</v>
      </c>
      <c r="X2337" s="97"/>
      <c r="Y2337" s="75">
        <v>2668.0600000000004</v>
      </c>
    </row>
    <row r="2338" spans="1:25" x14ac:dyDescent="0.25">
      <c r="A2338" s="76">
        <v>2370</v>
      </c>
      <c r="B2338" s="2" t="s">
        <v>7405</v>
      </c>
      <c r="C2338" s="2" t="s">
        <v>7406</v>
      </c>
      <c r="D2338" s="2" t="s">
        <v>7407</v>
      </c>
      <c r="E2338" s="2" t="s">
        <v>7408</v>
      </c>
      <c r="F2338" s="2" t="s">
        <v>7409</v>
      </c>
      <c r="G2338" s="2" t="s">
        <v>362</v>
      </c>
      <c r="H2338" s="17">
        <v>25</v>
      </c>
      <c r="I2338" s="31">
        <f t="shared" si="228"/>
        <v>25000</v>
      </c>
      <c r="J2338" s="31">
        <f t="shared" si="229"/>
        <v>1750.0000000000002</v>
      </c>
      <c r="K2338" s="44">
        <f t="shared" si="230"/>
        <v>4.794520547945206</v>
      </c>
      <c r="L2338" s="3">
        <f t="shared" si="231"/>
        <v>354.79452054794524</v>
      </c>
      <c r="M2338" s="3">
        <f t="shared" si="232"/>
        <v>21.287671232876715</v>
      </c>
      <c r="N2338" s="67">
        <f t="shared" si="233"/>
        <v>333.50684931506851</v>
      </c>
      <c r="O2338" s="3"/>
      <c r="P2338" s="70" t="s">
        <v>18608</v>
      </c>
      <c r="Q2338" s="2" t="s">
        <v>24</v>
      </c>
      <c r="R2338" s="2" t="s">
        <v>7410</v>
      </c>
      <c r="T2338" t="s">
        <v>18666</v>
      </c>
      <c r="U2338" t="s">
        <v>18652</v>
      </c>
      <c r="V2338" s="104">
        <v>45857</v>
      </c>
      <c r="X2338" s="97"/>
      <c r="Y2338" s="75">
        <v>333.51</v>
      </c>
    </row>
    <row r="2339" spans="1:25" x14ac:dyDescent="0.25">
      <c r="A2339" s="76">
        <v>2371</v>
      </c>
      <c r="B2339" s="2" t="s">
        <v>6948</v>
      </c>
      <c r="C2339" s="2" t="s">
        <v>6949</v>
      </c>
      <c r="D2339" s="2" t="s">
        <v>6950</v>
      </c>
      <c r="E2339" s="2" t="s">
        <v>6951</v>
      </c>
      <c r="F2339" s="2" t="s">
        <v>6952</v>
      </c>
      <c r="G2339" s="2" t="s">
        <v>31</v>
      </c>
      <c r="H2339" s="17">
        <v>25</v>
      </c>
      <c r="I2339" s="31">
        <f t="shared" si="228"/>
        <v>25000</v>
      </c>
      <c r="J2339" s="31">
        <f t="shared" si="229"/>
        <v>1750.0000000000002</v>
      </c>
      <c r="K2339" s="44">
        <f t="shared" si="230"/>
        <v>4.794520547945206</v>
      </c>
      <c r="L2339" s="3">
        <f t="shared" si="231"/>
        <v>354.79452054794524</v>
      </c>
      <c r="M2339" s="3">
        <f t="shared" si="232"/>
        <v>21.287671232876715</v>
      </c>
      <c r="N2339" s="67">
        <f t="shared" si="233"/>
        <v>333.50684931506851</v>
      </c>
      <c r="O2339" s="3"/>
      <c r="P2339" s="70" t="s">
        <v>18608</v>
      </c>
      <c r="Q2339" s="2" t="s">
        <v>24</v>
      </c>
      <c r="R2339" s="2" t="s">
        <v>6953</v>
      </c>
      <c r="T2339" t="s">
        <v>18666</v>
      </c>
      <c r="U2339" t="s">
        <v>18652</v>
      </c>
      <c r="V2339" s="104">
        <v>45857</v>
      </c>
      <c r="X2339" s="97"/>
      <c r="Y2339" s="75">
        <v>333.51</v>
      </c>
    </row>
    <row r="2340" spans="1:25" x14ac:dyDescent="0.25">
      <c r="A2340" s="76">
        <v>2372</v>
      </c>
      <c r="B2340" s="2" t="s">
        <v>16641</v>
      </c>
      <c r="C2340" s="2" t="s">
        <v>16642</v>
      </c>
      <c r="D2340" s="2" t="s">
        <v>16643</v>
      </c>
      <c r="E2340" s="2" t="s">
        <v>16644</v>
      </c>
      <c r="F2340" s="2" t="s">
        <v>16645</v>
      </c>
      <c r="G2340" s="2" t="s">
        <v>193</v>
      </c>
      <c r="H2340" s="17">
        <v>25</v>
      </c>
      <c r="I2340" s="31">
        <f t="shared" si="228"/>
        <v>25000</v>
      </c>
      <c r="J2340" s="31">
        <f t="shared" si="229"/>
        <v>1750.0000000000002</v>
      </c>
      <c r="K2340" s="44">
        <f t="shared" si="230"/>
        <v>4.794520547945206</v>
      </c>
      <c r="L2340" s="3">
        <f t="shared" si="231"/>
        <v>354.79452054794524</v>
      </c>
      <c r="M2340" s="3">
        <f t="shared" si="232"/>
        <v>21.287671232876715</v>
      </c>
      <c r="N2340" s="67">
        <f t="shared" si="233"/>
        <v>333.50684931506851</v>
      </c>
      <c r="O2340" s="3"/>
      <c r="P2340" s="70" t="s">
        <v>18608</v>
      </c>
      <c r="Q2340" s="2" t="s">
        <v>24</v>
      </c>
      <c r="R2340" s="2" t="s">
        <v>16646</v>
      </c>
      <c r="T2340" t="s">
        <v>18666</v>
      </c>
      <c r="U2340" t="s">
        <v>18652</v>
      </c>
      <c r="V2340" s="104">
        <v>45857</v>
      </c>
      <c r="X2340" s="97"/>
      <c r="Y2340" s="75">
        <v>333.51</v>
      </c>
    </row>
    <row r="2341" spans="1:25" x14ac:dyDescent="0.25">
      <c r="A2341" s="76">
        <v>2373</v>
      </c>
      <c r="B2341" s="2" t="s">
        <v>7809</v>
      </c>
      <c r="C2341" s="2" t="s">
        <v>7810</v>
      </c>
      <c r="D2341" s="2" t="s">
        <v>7811</v>
      </c>
      <c r="E2341" s="2" t="s">
        <v>7812</v>
      </c>
      <c r="F2341" s="2" t="s">
        <v>7813</v>
      </c>
      <c r="G2341" s="2" t="s">
        <v>101</v>
      </c>
      <c r="H2341" s="17">
        <v>25</v>
      </c>
      <c r="I2341" s="31">
        <f t="shared" si="228"/>
        <v>25000</v>
      </c>
      <c r="J2341" s="31">
        <f t="shared" si="229"/>
        <v>1750.0000000000002</v>
      </c>
      <c r="K2341" s="44">
        <f t="shared" si="230"/>
        <v>4.794520547945206</v>
      </c>
      <c r="L2341" s="3">
        <f t="shared" si="231"/>
        <v>354.79452054794524</v>
      </c>
      <c r="M2341" s="3">
        <f t="shared" si="232"/>
        <v>21.287671232876715</v>
      </c>
      <c r="N2341" s="67">
        <f t="shared" si="233"/>
        <v>333.50684931506851</v>
      </c>
      <c r="O2341" s="3"/>
      <c r="P2341" s="70" t="s">
        <v>18608</v>
      </c>
      <c r="Q2341" s="2" t="s">
        <v>24</v>
      </c>
      <c r="R2341" s="2" t="s">
        <v>7814</v>
      </c>
      <c r="T2341" t="s">
        <v>18666</v>
      </c>
      <c r="U2341" t="s">
        <v>18652</v>
      </c>
      <c r="V2341" s="104">
        <v>45857</v>
      </c>
      <c r="X2341" s="97"/>
      <c r="Y2341" s="75">
        <v>333.51</v>
      </c>
    </row>
    <row r="2342" spans="1:25" x14ac:dyDescent="0.25">
      <c r="A2342" s="76">
        <v>2374</v>
      </c>
      <c r="B2342" s="2" t="s">
        <v>6770</v>
      </c>
      <c r="C2342" s="2" t="s">
        <v>6771</v>
      </c>
      <c r="D2342" s="2" t="s">
        <v>6772</v>
      </c>
      <c r="E2342" s="2" t="s">
        <v>6773</v>
      </c>
      <c r="F2342" s="2" t="s">
        <v>6774</v>
      </c>
      <c r="G2342" s="2" t="s">
        <v>1315</v>
      </c>
      <c r="H2342" s="17">
        <v>120</v>
      </c>
      <c r="I2342" s="31">
        <f t="shared" si="228"/>
        <v>120000</v>
      </c>
      <c r="J2342" s="31">
        <f t="shared" si="229"/>
        <v>8400</v>
      </c>
      <c r="K2342" s="44">
        <f t="shared" si="230"/>
        <v>23.013698630136986</v>
      </c>
      <c r="L2342" s="3">
        <f t="shared" si="231"/>
        <v>1703.013698630137</v>
      </c>
      <c r="M2342" s="3">
        <f t="shared" si="232"/>
        <v>102.18082191780822</v>
      </c>
      <c r="N2342" s="67">
        <f t="shared" si="233"/>
        <v>1600.8328767123287</v>
      </c>
      <c r="O2342" s="3"/>
      <c r="P2342" s="70" t="s">
        <v>18608</v>
      </c>
      <c r="Q2342" s="2" t="s">
        <v>24</v>
      </c>
      <c r="R2342" s="2" t="s">
        <v>6775</v>
      </c>
      <c r="T2342" t="s">
        <v>18666</v>
      </c>
      <c r="U2342" t="s">
        <v>18652</v>
      </c>
      <c r="V2342" s="104">
        <v>45857</v>
      </c>
      <c r="X2342" s="97"/>
      <c r="Y2342" s="75">
        <v>1600.84</v>
      </c>
    </row>
    <row r="2343" spans="1:25" x14ac:dyDescent="0.25">
      <c r="A2343" s="76">
        <v>2375</v>
      </c>
      <c r="B2343" s="2" t="s">
        <v>8962</v>
      </c>
      <c r="C2343" s="2" t="s">
        <v>8963</v>
      </c>
      <c r="D2343" s="2" t="s">
        <v>8964</v>
      </c>
      <c r="E2343" s="2" t="s">
        <v>8965</v>
      </c>
      <c r="F2343" s="2" t="s">
        <v>8966</v>
      </c>
      <c r="G2343" s="2" t="s">
        <v>643</v>
      </c>
      <c r="H2343" s="17">
        <v>100</v>
      </c>
      <c r="I2343" s="31">
        <f t="shared" si="228"/>
        <v>100000</v>
      </c>
      <c r="J2343" s="31">
        <f t="shared" si="229"/>
        <v>7000.0000000000009</v>
      </c>
      <c r="K2343" s="44">
        <f t="shared" si="230"/>
        <v>19.178082191780824</v>
      </c>
      <c r="L2343" s="3">
        <f t="shared" si="231"/>
        <v>1419.178082191781</v>
      </c>
      <c r="M2343" s="3">
        <f t="shared" si="232"/>
        <v>85.150684931506859</v>
      </c>
      <c r="N2343" s="67">
        <f t="shared" si="233"/>
        <v>1334.027397260274</v>
      </c>
      <c r="O2343" s="3"/>
      <c r="P2343" s="70" t="s">
        <v>18608</v>
      </c>
      <c r="Q2343" s="2" t="s">
        <v>24</v>
      </c>
      <c r="R2343" s="2" t="s">
        <v>8967</v>
      </c>
      <c r="T2343" t="s">
        <v>18666</v>
      </c>
      <c r="U2343" t="s">
        <v>18652</v>
      </c>
      <c r="V2343" s="104">
        <v>45857</v>
      </c>
      <c r="X2343" s="97"/>
      <c r="Y2343" s="75">
        <v>1334.03</v>
      </c>
    </row>
    <row r="2344" spans="1:25" x14ac:dyDescent="0.25">
      <c r="A2344" s="76">
        <v>2376</v>
      </c>
      <c r="B2344" s="2" t="s">
        <v>17109</v>
      </c>
      <c r="C2344" s="2" t="s">
        <v>17110</v>
      </c>
      <c r="D2344" s="2" t="s">
        <v>17111</v>
      </c>
      <c r="E2344" s="2" t="s">
        <v>17112</v>
      </c>
      <c r="F2344" s="2" t="s">
        <v>17113</v>
      </c>
      <c r="G2344" s="2" t="s">
        <v>381</v>
      </c>
      <c r="H2344" s="17">
        <v>25</v>
      </c>
      <c r="I2344" s="31">
        <f t="shared" si="228"/>
        <v>25000</v>
      </c>
      <c r="J2344" s="31">
        <f t="shared" si="229"/>
        <v>1750.0000000000002</v>
      </c>
      <c r="K2344" s="44">
        <f t="shared" si="230"/>
        <v>4.794520547945206</v>
      </c>
      <c r="L2344" s="3">
        <f t="shared" si="231"/>
        <v>354.79452054794524</v>
      </c>
      <c r="M2344" s="3">
        <f t="shared" si="232"/>
        <v>21.287671232876715</v>
      </c>
      <c r="N2344" s="67">
        <f t="shared" si="233"/>
        <v>333.50684931506851</v>
      </c>
      <c r="O2344" s="3"/>
      <c r="P2344" s="70" t="s">
        <v>18608</v>
      </c>
      <c r="Q2344" s="2" t="s">
        <v>24</v>
      </c>
      <c r="R2344" s="2" t="s">
        <v>17114</v>
      </c>
      <c r="T2344" t="s">
        <v>18666</v>
      </c>
      <c r="U2344" t="s">
        <v>18652</v>
      </c>
      <c r="V2344" s="104">
        <v>45857</v>
      </c>
      <c r="X2344" s="97"/>
      <c r="Y2344" s="75">
        <v>333.51</v>
      </c>
    </row>
    <row r="2345" spans="1:25" x14ac:dyDescent="0.25">
      <c r="A2345" s="76">
        <v>2377</v>
      </c>
      <c r="B2345" s="2" t="s">
        <v>6889</v>
      </c>
      <c r="C2345" s="2" t="s">
        <v>6890</v>
      </c>
      <c r="D2345" s="2" t="s">
        <v>6891</v>
      </c>
      <c r="E2345" s="2" t="s">
        <v>6892</v>
      </c>
      <c r="F2345" s="2" t="s">
        <v>6893</v>
      </c>
      <c r="G2345" s="2" t="s">
        <v>61</v>
      </c>
      <c r="H2345" s="17">
        <v>25</v>
      </c>
      <c r="I2345" s="31">
        <f t="shared" si="228"/>
        <v>25000</v>
      </c>
      <c r="J2345" s="31">
        <f t="shared" si="229"/>
        <v>1750.0000000000002</v>
      </c>
      <c r="K2345" s="44">
        <f t="shared" si="230"/>
        <v>4.794520547945206</v>
      </c>
      <c r="L2345" s="3">
        <f t="shared" si="231"/>
        <v>354.79452054794524</v>
      </c>
      <c r="M2345" s="3">
        <f t="shared" si="232"/>
        <v>21.287671232876715</v>
      </c>
      <c r="N2345" s="67">
        <f t="shared" si="233"/>
        <v>333.50684931506851</v>
      </c>
      <c r="O2345" s="3"/>
      <c r="P2345" s="70" t="s">
        <v>18608</v>
      </c>
      <c r="Q2345" s="2" t="s">
        <v>24</v>
      </c>
      <c r="R2345" s="2" t="s">
        <v>6894</v>
      </c>
      <c r="T2345" t="s">
        <v>18666</v>
      </c>
      <c r="U2345" t="s">
        <v>18652</v>
      </c>
      <c r="V2345" s="104">
        <v>45857</v>
      </c>
      <c r="X2345" s="97"/>
      <c r="Y2345" s="75">
        <v>333.51</v>
      </c>
    </row>
    <row r="2346" spans="1:25" x14ac:dyDescent="0.25">
      <c r="A2346" s="76">
        <v>2378</v>
      </c>
      <c r="B2346" s="2" t="s">
        <v>15039</v>
      </c>
      <c r="C2346" s="2" t="s">
        <v>15040</v>
      </c>
      <c r="D2346" s="2" t="s">
        <v>2964</v>
      </c>
      <c r="E2346" s="2" t="s">
        <v>15041</v>
      </c>
      <c r="F2346" s="2" t="s">
        <v>15042</v>
      </c>
      <c r="G2346" s="2" t="s">
        <v>31</v>
      </c>
      <c r="H2346" s="17">
        <v>25</v>
      </c>
      <c r="I2346" s="31">
        <f t="shared" si="228"/>
        <v>25000</v>
      </c>
      <c r="J2346" s="31">
        <f t="shared" si="229"/>
        <v>1750.0000000000002</v>
      </c>
      <c r="K2346" s="44">
        <f t="shared" si="230"/>
        <v>4.794520547945206</v>
      </c>
      <c r="L2346" s="3">
        <f t="shared" si="231"/>
        <v>354.79452054794524</v>
      </c>
      <c r="M2346" s="3">
        <f t="shared" si="232"/>
        <v>21.287671232876715</v>
      </c>
      <c r="N2346" s="67">
        <f t="shared" si="233"/>
        <v>333.50684931506851</v>
      </c>
      <c r="O2346" s="3"/>
      <c r="P2346" s="70" t="s">
        <v>18608</v>
      </c>
      <c r="Q2346" s="2" t="s">
        <v>24</v>
      </c>
      <c r="R2346" s="2" t="s">
        <v>15043</v>
      </c>
      <c r="T2346" t="s">
        <v>18666</v>
      </c>
      <c r="U2346" t="s">
        <v>18652</v>
      </c>
      <c r="V2346" s="104">
        <v>45857</v>
      </c>
      <c r="X2346" s="97"/>
      <c r="Y2346" s="75">
        <v>333.51</v>
      </c>
    </row>
    <row r="2347" spans="1:25" x14ac:dyDescent="0.25">
      <c r="A2347" s="76">
        <v>2379</v>
      </c>
      <c r="B2347" s="2" t="s">
        <v>15664</v>
      </c>
      <c r="C2347" s="2" t="s">
        <v>15665</v>
      </c>
      <c r="D2347" s="2" t="s">
        <v>15666</v>
      </c>
      <c r="E2347" s="2" t="s">
        <v>15667</v>
      </c>
      <c r="F2347" s="2" t="s">
        <v>15668</v>
      </c>
      <c r="G2347" s="2" t="s">
        <v>296</v>
      </c>
      <c r="H2347" s="17">
        <v>25</v>
      </c>
      <c r="I2347" s="31">
        <f t="shared" si="228"/>
        <v>25000</v>
      </c>
      <c r="J2347" s="31">
        <f t="shared" si="229"/>
        <v>1750.0000000000002</v>
      </c>
      <c r="K2347" s="44">
        <f t="shared" si="230"/>
        <v>4.794520547945206</v>
      </c>
      <c r="L2347" s="3">
        <f t="shared" si="231"/>
        <v>354.79452054794524</v>
      </c>
      <c r="M2347" s="3">
        <f t="shared" si="232"/>
        <v>21.287671232876715</v>
      </c>
      <c r="N2347" s="67">
        <f t="shared" si="233"/>
        <v>333.50684931506851</v>
      </c>
      <c r="O2347" s="3"/>
      <c r="P2347" s="70" t="s">
        <v>18608</v>
      </c>
      <c r="Q2347" s="2" t="s">
        <v>24</v>
      </c>
      <c r="R2347" s="2" t="s">
        <v>15669</v>
      </c>
      <c r="T2347" t="s">
        <v>18666</v>
      </c>
      <c r="U2347" t="s">
        <v>18652</v>
      </c>
      <c r="V2347" s="104">
        <v>45857</v>
      </c>
      <c r="X2347" s="97"/>
      <c r="Y2347" s="75">
        <v>333.51</v>
      </c>
    </row>
    <row r="2348" spans="1:25" x14ac:dyDescent="0.25">
      <c r="A2348" s="76">
        <v>2380</v>
      </c>
      <c r="B2348" s="2" t="s">
        <v>11023</v>
      </c>
      <c r="C2348" s="2" t="s">
        <v>11020</v>
      </c>
      <c r="D2348" s="2" t="s">
        <v>11024</v>
      </c>
      <c r="E2348" s="2" t="s">
        <v>11025</v>
      </c>
      <c r="F2348" s="2" t="s">
        <v>11026</v>
      </c>
      <c r="G2348" s="2" t="s">
        <v>23</v>
      </c>
      <c r="H2348" s="17">
        <v>100</v>
      </c>
      <c r="I2348" s="31">
        <f t="shared" si="228"/>
        <v>100000</v>
      </c>
      <c r="J2348" s="31">
        <f t="shared" si="229"/>
        <v>7000.0000000000009</v>
      </c>
      <c r="K2348" s="44">
        <f t="shared" si="230"/>
        <v>19.178082191780824</v>
      </c>
      <c r="L2348" s="3">
        <f t="shared" si="231"/>
        <v>1419.178082191781</v>
      </c>
      <c r="M2348" s="3">
        <f t="shared" si="232"/>
        <v>85.150684931506859</v>
      </c>
      <c r="N2348" s="67">
        <f t="shared" si="233"/>
        <v>1334.027397260274</v>
      </c>
      <c r="O2348" s="3"/>
      <c r="P2348" s="70" t="s">
        <v>18608</v>
      </c>
      <c r="Q2348" s="2" t="s">
        <v>24</v>
      </c>
      <c r="R2348" s="2" t="s">
        <v>11027</v>
      </c>
      <c r="T2348" t="s">
        <v>18666</v>
      </c>
      <c r="U2348" t="s">
        <v>18652</v>
      </c>
      <c r="V2348" s="104">
        <v>45857</v>
      </c>
      <c r="X2348" s="97"/>
      <c r="Y2348" s="75">
        <v>1334.03</v>
      </c>
    </row>
    <row r="2349" spans="1:25" x14ac:dyDescent="0.25">
      <c r="A2349" s="76">
        <v>2381</v>
      </c>
      <c r="B2349" s="2" t="s">
        <v>4697</v>
      </c>
      <c r="C2349" s="2" t="s">
        <v>4698</v>
      </c>
      <c r="D2349" s="2" t="s">
        <v>4699</v>
      </c>
      <c r="E2349" s="2" t="s">
        <v>4700</v>
      </c>
      <c r="F2349" s="2" t="s">
        <v>4701</v>
      </c>
      <c r="G2349" s="2" t="s">
        <v>1055</v>
      </c>
      <c r="H2349" s="17">
        <v>25</v>
      </c>
      <c r="I2349" s="31">
        <f t="shared" si="228"/>
        <v>25000</v>
      </c>
      <c r="J2349" s="31">
        <f t="shared" si="229"/>
        <v>1750.0000000000002</v>
      </c>
      <c r="K2349" s="44">
        <f t="shared" si="230"/>
        <v>4.794520547945206</v>
      </c>
      <c r="L2349" s="3">
        <f t="shared" si="231"/>
        <v>354.79452054794524</v>
      </c>
      <c r="M2349" s="3">
        <f t="shared" si="232"/>
        <v>21.287671232876715</v>
      </c>
      <c r="N2349" s="67">
        <f t="shared" si="233"/>
        <v>333.50684931506851</v>
      </c>
      <c r="O2349" s="3"/>
      <c r="P2349" s="70" t="s">
        <v>18608</v>
      </c>
      <c r="Q2349" s="2" t="s">
        <v>24</v>
      </c>
      <c r="R2349" s="2" t="s">
        <v>4702</v>
      </c>
      <c r="T2349" t="s">
        <v>18666</v>
      </c>
      <c r="U2349" t="s">
        <v>18652</v>
      </c>
      <c r="V2349" s="104">
        <v>45857</v>
      </c>
      <c r="X2349" s="97"/>
      <c r="Y2349" s="75">
        <v>333.51</v>
      </c>
    </row>
    <row r="2350" spans="1:25" x14ac:dyDescent="0.25">
      <c r="A2350" s="76">
        <v>2382</v>
      </c>
      <c r="B2350" s="2" t="s">
        <v>11731</v>
      </c>
      <c r="C2350" s="2" t="s">
        <v>11732</v>
      </c>
      <c r="D2350" s="2" t="s">
        <v>11733</v>
      </c>
      <c r="E2350" s="2" t="s">
        <v>11734</v>
      </c>
      <c r="F2350" s="2" t="s">
        <v>11735</v>
      </c>
      <c r="G2350" s="2" t="s">
        <v>261</v>
      </c>
      <c r="H2350" s="17">
        <v>25</v>
      </c>
      <c r="I2350" s="31">
        <f t="shared" si="228"/>
        <v>25000</v>
      </c>
      <c r="J2350" s="31">
        <f t="shared" si="229"/>
        <v>1750.0000000000002</v>
      </c>
      <c r="K2350" s="44">
        <f t="shared" si="230"/>
        <v>4.794520547945206</v>
      </c>
      <c r="L2350" s="3">
        <f t="shared" si="231"/>
        <v>354.79452054794524</v>
      </c>
      <c r="M2350" s="3">
        <f t="shared" si="232"/>
        <v>21.287671232876715</v>
      </c>
      <c r="N2350" s="67">
        <f t="shared" si="233"/>
        <v>333.50684931506851</v>
      </c>
      <c r="O2350" s="3"/>
      <c r="P2350" s="70" t="s">
        <v>18608</v>
      </c>
      <c r="Q2350" s="2" t="s">
        <v>24</v>
      </c>
      <c r="R2350" s="2" t="s">
        <v>11736</v>
      </c>
      <c r="T2350" t="s">
        <v>18666</v>
      </c>
      <c r="U2350" t="s">
        <v>18652</v>
      </c>
      <c r="V2350" s="104">
        <v>45857</v>
      </c>
      <c r="X2350" s="97"/>
      <c r="Y2350" s="75">
        <v>333.51</v>
      </c>
    </row>
    <row r="2351" spans="1:25" x14ac:dyDescent="0.25">
      <c r="A2351" s="76">
        <v>2383</v>
      </c>
      <c r="B2351" s="2" t="s">
        <v>8811</v>
      </c>
      <c r="C2351" s="2" t="s">
        <v>8812</v>
      </c>
      <c r="D2351" s="2" t="s">
        <v>8813</v>
      </c>
      <c r="E2351" s="2" t="s">
        <v>8814</v>
      </c>
      <c r="F2351" s="2" t="s">
        <v>8815</v>
      </c>
      <c r="G2351" s="2" t="s">
        <v>799</v>
      </c>
      <c r="H2351" s="17">
        <v>25</v>
      </c>
      <c r="I2351" s="31">
        <f t="shared" si="228"/>
        <v>25000</v>
      </c>
      <c r="J2351" s="31">
        <f t="shared" si="229"/>
        <v>1750.0000000000002</v>
      </c>
      <c r="K2351" s="44">
        <f t="shared" si="230"/>
        <v>4.794520547945206</v>
      </c>
      <c r="L2351" s="3">
        <f t="shared" si="231"/>
        <v>354.79452054794524</v>
      </c>
      <c r="M2351" s="3">
        <f t="shared" si="232"/>
        <v>21.287671232876715</v>
      </c>
      <c r="N2351" s="67">
        <f t="shared" si="233"/>
        <v>333.50684931506851</v>
      </c>
      <c r="O2351" s="3"/>
      <c r="P2351" s="70" t="s">
        <v>18608</v>
      </c>
      <c r="Q2351" s="2" t="s">
        <v>24</v>
      </c>
      <c r="R2351" s="2" t="s">
        <v>8816</v>
      </c>
      <c r="T2351" t="s">
        <v>18666</v>
      </c>
      <c r="U2351" t="s">
        <v>18652</v>
      </c>
      <c r="V2351" s="104">
        <v>45857</v>
      </c>
      <c r="X2351" s="97"/>
      <c r="Y2351" s="75">
        <v>333.51</v>
      </c>
    </row>
    <row r="2352" spans="1:25" x14ac:dyDescent="0.25">
      <c r="A2352" s="76">
        <v>2384</v>
      </c>
      <c r="B2352" s="2" t="s">
        <v>2273</v>
      </c>
      <c r="C2352" s="2" t="s">
        <v>2274</v>
      </c>
      <c r="D2352" s="2" t="s">
        <v>2275</v>
      </c>
      <c r="E2352" s="2" t="s">
        <v>2276</v>
      </c>
      <c r="F2352" s="2" t="s">
        <v>2277</v>
      </c>
      <c r="G2352" s="2" t="s">
        <v>31</v>
      </c>
      <c r="H2352" s="17">
        <v>200</v>
      </c>
      <c r="I2352" s="31">
        <f t="shared" si="228"/>
        <v>200000</v>
      </c>
      <c r="J2352" s="31">
        <f t="shared" si="229"/>
        <v>14000.000000000002</v>
      </c>
      <c r="K2352" s="44">
        <f t="shared" si="230"/>
        <v>38.356164383561648</v>
      </c>
      <c r="L2352" s="3">
        <f t="shared" si="231"/>
        <v>2838.3561643835619</v>
      </c>
      <c r="M2352" s="3">
        <f t="shared" si="232"/>
        <v>170.30136986301372</v>
      </c>
      <c r="N2352" s="67">
        <f t="shared" si="233"/>
        <v>2668.0547945205481</v>
      </c>
      <c r="O2352" s="3"/>
      <c r="P2352" s="70" t="s">
        <v>18608</v>
      </c>
      <c r="Q2352" s="2" t="s">
        <v>24</v>
      </c>
      <c r="R2352" s="2" t="s">
        <v>2278</v>
      </c>
      <c r="T2352" t="s">
        <v>18666</v>
      </c>
      <c r="U2352" t="s">
        <v>18652</v>
      </c>
      <c r="V2352" s="104">
        <v>45857</v>
      </c>
      <c r="X2352" s="97"/>
      <c r="Y2352" s="75">
        <v>2668.0600000000004</v>
      </c>
    </row>
    <row r="2353" spans="1:25" x14ac:dyDescent="0.25">
      <c r="A2353" s="76">
        <v>2385</v>
      </c>
      <c r="B2353" s="2" t="s">
        <v>10284</v>
      </c>
      <c r="C2353" s="2" t="s">
        <v>10285</v>
      </c>
      <c r="D2353" s="2" t="s">
        <v>10286</v>
      </c>
      <c r="E2353" s="2" t="s">
        <v>10287</v>
      </c>
      <c r="F2353" s="2" t="s">
        <v>10288</v>
      </c>
      <c r="G2353" s="2" t="s">
        <v>151</v>
      </c>
      <c r="H2353" s="17">
        <v>100</v>
      </c>
      <c r="I2353" s="31">
        <f t="shared" si="228"/>
        <v>100000</v>
      </c>
      <c r="J2353" s="31">
        <f t="shared" si="229"/>
        <v>7000.0000000000009</v>
      </c>
      <c r="K2353" s="44">
        <f t="shared" si="230"/>
        <v>19.178082191780824</v>
      </c>
      <c r="L2353" s="3">
        <f t="shared" si="231"/>
        <v>1419.178082191781</v>
      </c>
      <c r="M2353" s="3">
        <f t="shared" si="232"/>
        <v>85.150684931506859</v>
      </c>
      <c r="N2353" s="67">
        <f t="shared" si="233"/>
        <v>1334.027397260274</v>
      </c>
      <c r="O2353" s="3"/>
      <c r="P2353" s="70" t="s">
        <v>18608</v>
      </c>
      <c r="Q2353" s="2" t="s">
        <v>24</v>
      </c>
      <c r="R2353" s="2" t="s">
        <v>10289</v>
      </c>
      <c r="T2353" t="s">
        <v>18666</v>
      </c>
      <c r="U2353" t="s">
        <v>18652</v>
      </c>
      <c r="V2353" s="104">
        <v>45857</v>
      </c>
      <c r="X2353" s="97"/>
      <c r="Y2353" s="75">
        <v>1334.03</v>
      </c>
    </row>
    <row r="2354" spans="1:25" x14ac:dyDescent="0.25">
      <c r="A2354" s="76">
        <v>2386</v>
      </c>
      <c r="B2354" s="2" t="s">
        <v>9422</v>
      </c>
      <c r="C2354" s="2" t="s">
        <v>9423</v>
      </c>
      <c r="D2354" s="2" t="s">
        <v>9424</v>
      </c>
      <c r="E2354" s="2" t="s">
        <v>9425</v>
      </c>
      <c r="F2354" s="2" t="s">
        <v>9426</v>
      </c>
      <c r="G2354" s="2" t="s">
        <v>743</v>
      </c>
      <c r="H2354" s="17">
        <v>30</v>
      </c>
      <c r="I2354" s="31">
        <f t="shared" si="228"/>
        <v>30000</v>
      </c>
      <c r="J2354" s="31">
        <f t="shared" si="229"/>
        <v>2100</v>
      </c>
      <c r="K2354" s="44">
        <f t="shared" si="230"/>
        <v>5.7534246575342465</v>
      </c>
      <c r="L2354" s="3">
        <f t="shared" si="231"/>
        <v>425.75342465753425</v>
      </c>
      <c r="M2354" s="3">
        <f t="shared" si="232"/>
        <v>25.545205479452054</v>
      </c>
      <c r="N2354" s="67">
        <f t="shared" si="233"/>
        <v>400.20821917808217</v>
      </c>
      <c r="O2354" s="3"/>
      <c r="P2354" s="70" t="s">
        <v>18608</v>
      </c>
      <c r="Q2354" s="2" t="s">
        <v>24</v>
      </c>
      <c r="R2354" s="2" t="s">
        <v>9427</v>
      </c>
      <c r="T2354" t="s">
        <v>18666</v>
      </c>
      <c r="U2354" t="s">
        <v>18652</v>
      </c>
      <c r="V2354" s="104">
        <v>45857</v>
      </c>
      <c r="X2354" s="97"/>
      <c r="Y2354" s="75">
        <v>400.21</v>
      </c>
    </row>
    <row r="2355" spans="1:25" x14ac:dyDescent="0.25">
      <c r="A2355" s="76">
        <v>2387</v>
      </c>
      <c r="B2355" s="2" t="s">
        <v>2560</v>
      </c>
      <c r="C2355" s="2" t="s">
        <v>2561</v>
      </c>
      <c r="D2355" s="2" t="s">
        <v>2562</v>
      </c>
      <c r="E2355" s="2" t="s">
        <v>2563</v>
      </c>
      <c r="F2355" s="2" t="s">
        <v>2564</v>
      </c>
      <c r="G2355" s="2" t="s">
        <v>718</v>
      </c>
      <c r="H2355" s="17">
        <v>25</v>
      </c>
      <c r="I2355" s="31">
        <f t="shared" si="228"/>
        <v>25000</v>
      </c>
      <c r="J2355" s="31">
        <f t="shared" si="229"/>
        <v>1750.0000000000002</v>
      </c>
      <c r="K2355" s="44">
        <f t="shared" si="230"/>
        <v>4.794520547945206</v>
      </c>
      <c r="L2355" s="3">
        <f t="shared" si="231"/>
        <v>354.79452054794524</v>
      </c>
      <c r="M2355" s="3">
        <f t="shared" si="232"/>
        <v>21.287671232876715</v>
      </c>
      <c r="N2355" s="67">
        <f t="shared" si="233"/>
        <v>333.50684931506851</v>
      </c>
      <c r="O2355" s="3"/>
      <c r="P2355" s="70" t="s">
        <v>18608</v>
      </c>
      <c r="Q2355" s="2" t="s">
        <v>24</v>
      </c>
      <c r="R2355" s="2" t="s">
        <v>2565</v>
      </c>
      <c r="T2355" t="s">
        <v>18666</v>
      </c>
      <c r="U2355" t="s">
        <v>18652</v>
      </c>
      <c r="V2355" s="104">
        <v>45857</v>
      </c>
      <c r="X2355" s="97"/>
      <c r="Y2355" s="75">
        <v>333.51</v>
      </c>
    </row>
    <row r="2356" spans="1:25" x14ac:dyDescent="0.25">
      <c r="A2356" s="76">
        <v>2388</v>
      </c>
      <c r="B2356" s="2" t="s">
        <v>6782</v>
      </c>
      <c r="C2356" s="2" t="s">
        <v>6783</v>
      </c>
      <c r="D2356" s="2" t="s">
        <v>6784</v>
      </c>
      <c r="E2356" s="2" t="s">
        <v>6785</v>
      </c>
      <c r="F2356" s="2" t="s">
        <v>6786</v>
      </c>
      <c r="G2356" s="2" t="s">
        <v>2680</v>
      </c>
      <c r="H2356" s="17">
        <v>100</v>
      </c>
      <c r="I2356" s="31">
        <f t="shared" si="228"/>
        <v>100000</v>
      </c>
      <c r="J2356" s="31">
        <f t="shared" si="229"/>
        <v>7000.0000000000009</v>
      </c>
      <c r="K2356" s="44">
        <f t="shared" si="230"/>
        <v>19.178082191780824</v>
      </c>
      <c r="L2356" s="3">
        <f t="shared" si="231"/>
        <v>1419.178082191781</v>
      </c>
      <c r="M2356" s="3">
        <f t="shared" si="232"/>
        <v>85.150684931506859</v>
      </c>
      <c r="N2356" s="67">
        <f t="shared" si="233"/>
        <v>1334.027397260274</v>
      </c>
      <c r="O2356" s="3"/>
      <c r="P2356" s="70" t="s">
        <v>18608</v>
      </c>
      <c r="Q2356" s="2" t="s">
        <v>24</v>
      </c>
      <c r="R2356" s="2" t="s">
        <v>6787</v>
      </c>
      <c r="T2356" t="s">
        <v>18666</v>
      </c>
      <c r="U2356" t="s">
        <v>18652</v>
      </c>
      <c r="V2356" s="104">
        <v>45857</v>
      </c>
      <c r="X2356" s="97"/>
      <c r="Y2356" s="75">
        <v>1334.03</v>
      </c>
    </row>
    <row r="2357" spans="1:25" x14ac:dyDescent="0.25">
      <c r="A2357" s="76">
        <v>2389</v>
      </c>
      <c r="B2357" s="2" t="s">
        <v>13553</v>
      </c>
      <c r="C2357" s="2" t="s">
        <v>13554</v>
      </c>
      <c r="D2357" s="2" t="s">
        <v>13555</v>
      </c>
      <c r="E2357" s="2" t="s">
        <v>3833</v>
      </c>
      <c r="F2357" s="2" t="s">
        <v>13556</v>
      </c>
      <c r="G2357" s="2" t="s">
        <v>643</v>
      </c>
      <c r="H2357" s="17">
        <v>25</v>
      </c>
      <c r="I2357" s="31">
        <f t="shared" si="228"/>
        <v>25000</v>
      </c>
      <c r="J2357" s="31">
        <f t="shared" si="229"/>
        <v>1750.0000000000002</v>
      </c>
      <c r="K2357" s="44">
        <f t="shared" si="230"/>
        <v>4.794520547945206</v>
      </c>
      <c r="L2357" s="3">
        <f t="shared" si="231"/>
        <v>354.79452054794524</v>
      </c>
      <c r="M2357" s="3">
        <f t="shared" si="232"/>
        <v>21.287671232876715</v>
      </c>
      <c r="N2357" s="67">
        <f t="shared" si="233"/>
        <v>333.50684931506851</v>
      </c>
      <c r="O2357" s="3"/>
      <c r="P2357" s="70" t="s">
        <v>18608</v>
      </c>
      <c r="Q2357" s="2" t="s">
        <v>24</v>
      </c>
      <c r="R2357" s="2" t="s">
        <v>13557</v>
      </c>
      <c r="T2357" t="s">
        <v>18666</v>
      </c>
      <c r="U2357" t="s">
        <v>18652</v>
      </c>
      <c r="V2357" s="104">
        <v>45857</v>
      </c>
      <c r="X2357" s="97"/>
      <c r="Y2357" s="75">
        <v>333.51</v>
      </c>
    </row>
    <row r="2358" spans="1:25" x14ac:dyDescent="0.25">
      <c r="A2358" s="76">
        <v>2390</v>
      </c>
      <c r="B2358" s="2" t="s">
        <v>4947</v>
      </c>
      <c r="C2358" s="2" t="s">
        <v>4948</v>
      </c>
      <c r="D2358" s="2" t="s">
        <v>4949</v>
      </c>
      <c r="E2358" s="2" t="s">
        <v>4950</v>
      </c>
      <c r="F2358" s="2" t="s">
        <v>4951</v>
      </c>
      <c r="G2358" s="2" t="s">
        <v>524</v>
      </c>
      <c r="H2358" s="17">
        <v>25</v>
      </c>
      <c r="I2358" s="31">
        <f t="shared" si="228"/>
        <v>25000</v>
      </c>
      <c r="J2358" s="31">
        <f t="shared" si="229"/>
        <v>1750.0000000000002</v>
      </c>
      <c r="K2358" s="44">
        <f t="shared" si="230"/>
        <v>4.794520547945206</v>
      </c>
      <c r="L2358" s="3">
        <f t="shared" si="231"/>
        <v>354.79452054794524</v>
      </c>
      <c r="M2358" s="3">
        <f t="shared" si="232"/>
        <v>21.287671232876715</v>
      </c>
      <c r="N2358" s="67">
        <f t="shared" si="233"/>
        <v>333.50684931506851</v>
      </c>
      <c r="O2358" s="3"/>
      <c r="P2358" s="70" t="s">
        <v>18608</v>
      </c>
      <c r="Q2358" s="2" t="s">
        <v>24</v>
      </c>
      <c r="R2358" s="2" t="s">
        <v>4952</v>
      </c>
      <c r="T2358" t="s">
        <v>18666</v>
      </c>
      <c r="U2358" t="s">
        <v>18652</v>
      </c>
      <c r="V2358" s="104">
        <v>45857</v>
      </c>
      <c r="X2358" s="97"/>
      <c r="Y2358" s="75">
        <v>333.51</v>
      </c>
    </row>
    <row r="2359" spans="1:25" x14ac:dyDescent="0.25">
      <c r="A2359" s="76">
        <v>2391</v>
      </c>
      <c r="B2359" s="2" t="s">
        <v>6307</v>
      </c>
      <c r="C2359" s="2" t="s">
        <v>6308</v>
      </c>
      <c r="D2359" s="2" t="s">
        <v>6309</v>
      </c>
      <c r="E2359" s="2" t="s">
        <v>6310</v>
      </c>
      <c r="F2359" s="2" t="s">
        <v>6311</v>
      </c>
      <c r="G2359" s="2" t="s">
        <v>226</v>
      </c>
      <c r="H2359" s="17">
        <v>25</v>
      </c>
      <c r="I2359" s="31">
        <f t="shared" si="228"/>
        <v>25000</v>
      </c>
      <c r="J2359" s="31">
        <f t="shared" si="229"/>
        <v>1750.0000000000002</v>
      </c>
      <c r="K2359" s="44">
        <f t="shared" si="230"/>
        <v>4.794520547945206</v>
      </c>
      <c r="L2359" s="3">
        <f t="shared" si="231"/>
        <v>354.79452054794524</v>
      </c>
      <c r="M2359" s="3">
        <f t="shared" si="232"/>
        <v>21.287671232876715</v>
      </c>
      <c r="N2359" s="67">
        <f t="shared" si="233"/>
        <v>333.50684931506851</v>
      </c>
      <c r="O2359" s="3"/>
      <c r="P2359" s="70" t="s">
        <v>18608</v>
      </c>
      <c r="Q2359" s="2" t="s">
        <v>24</v>
      </c>
      <c r="R2359" s="2" t="s">
        <v>6312</v>
      </c>
      <c r="T2359" t="s">
        <v>18666</v>
      </c>
      <c r="U2359" t="s">
        <v>18652</v>
      </c>
      <c r="V2359" s="104">
        <v>45857</v>
      </c>
      <c r="X2359" s="97"/>
      <c r="Y2359" s="75">
        <v>333.51</v>
      </c>
    </row>
    <row r="2360" spans="1:25" x14ac:dyDescent="0.25">
      <c r="A2360" s="76">
        <v>2392</v>
      </c>
      <c r="B2360" s="2" t="s">
        <v>11017</v>
      </c>
      <c r="C2360" s="2" t="s">
        <v>11018</v>
      </c>
      <c r="D2360" s="2" t="s">
        <v>11019</v>
      </c>
      <c r="E2360" s="2" t="s">
        <v>11020</v>
      </c>
      <c r="F2360" s="2" t="s">
        <v>11021</v>
      </c>
      <c r="G2360" s="2" t="s">
        <v>23</v>
      </c>
      <c r="H2360" s="17">
        <v>25</v>
      </c>
      <c r="I2360" s="31">
        <f t="shared" si="228"/>
        <v>25000</v>
      </c>
      <c r="J2360" s="31">
        <f t="shared" si="229"/>
        <v>1750.0000000000002</v>
      </c>
      <c r="K2360" s="44">
        <f t="shared" si="230"/>
        <v>4.794520547945206</v>
      </c>
      <c r="L2360" s="3">
        <f t="shared" si="231"/>
        <v>354.79452054794524</v>
      </c>
      <c r="M2360" s="3">
        <f t="shared" si="232"/>
        <v>21.287671232876715</v>
      </c>
      <c r="N2360" s="67">
        <f t="shared" si="233"/>
        <v>333.50684931506851</v>
      </c>
      <c r="O2360" s="3"/>
      <c r="P2360" s="70" t="s">
        <v>18608</v>
      </c>
      <c r="Q2360" s="2" t="s">
        <v>24</v>
      </c>
      <c r="R2360" s="2" t="s">
        <v>11022</v>
      </c>
      <c r="T2360" t="s">
        <v>18666</v>
      </c>
      <c r="U2360" t="s">
        <v>18652</v>
      </c>
      <c r="V2360" s="104">
        <v>45857</v>
      </c>
      <c r="X2360" s="97"/>
      <c r="Y2360" s="75">
        <v>333.51</v>
      </c>
    </row>
    <row r="2361" spans="1:25" x14ac:dyDescent="0.25">
      <c r="A2361" s="76">
        <v>2393</v>
      </c>
      <c r="B2361" s="2" t="s">
        <v>9751</v>
      </c>
      <c r="C2361" s="2" t="s">
        <v>6933</v>
      </c>
      <c r="D2361" s="2" t="s">
        <v>9752</v>
      </c>
      <c r="E2361" s="2" t="s">
        <v>6931</v>
      </c>
      <c r="F2361" s="2" t="s">
        <v>9753</v>
      </c>
      <c r="G2361" s="2" t="s">
        <v>381</v>
      </c>
      <c r="H2361" s="17">
        <v>300</v>
      </c>
      <c r="I2361" s="31">
        <f t="shared" si="228"/>
        <v>300000</v>
      </c>
      <c r="J2361" s="31">
        <f t="shared" si="229"/>
        <v>21000.000000000004</v>
      </c>
      <c r="K2361" s="44">
        <f t="shared" si="230"/>
        <v>57.534246575342479</v>
      </c>
      <c r="L2361" s="3">
        <f t="shared" si="231"/>
        <v>4257.5342465753438</v>
      </c>
      <c r="M2361" s="3">
        <f t="shared" si="232"/>
        <v>255.45205479452062</v>
      </c>
      <c r="N2361" s="67">
        <f t="shared" si="233"/>
        <v>4002.082191780823</v>
      </c>
      <c r="O2361" s="3"/>
      <c r="P2361" s="70" t="s">
        <v>18608</v>
      </c>
      <c r="Q2361" s="2" t="s">
        <v>24</v>
      </c>
      <c r="R2361" s="2" t="s">
        <v>9754</v>
      </c>
      <c r="T2361" t="s">
        <v>18666</v>
      </c>
      <c r="U2361" t="s">
        <v>18652</v>
      </c>
      <c r="V2361" s="104">
        <v>45857</v>
      </c>
      <c r="X2361" s="97"/>
      <c r="Y2361" s="75">
        <v>4002.09</v>
      </c>
    </row>
    <row r="2362" spans="1:25" x14ac:dyDescent="0.25">
      <c r="A2362" s="76">
        <v>2394</v>
      </c>
      <c r="B2362" s="2" t="s">
        <v>10801</v>
      </c>
      <c r="C2362" s="2" t="s">
        <v>10802</v>
      </c>
      <c r="D2362" s="2" t="s">
        <v>10803</v>
      </c>
      <c r="E2362" s="2" t="s">
        <v>10804</v>
      </c>
      <c r="F2362" s="2" t="s">
        <v>10805</v>
      </c>
      <c r="G2362" s="2" t="s">
        <v>226</v>
      </c>
      <c r="H2362" s="17">
        <v>25</v>
      </c>
      <c r="I2362" s="31">
        <f t="shared" si="228"/>
        <v>25000</v>
      </c>
      <c r="J2362" s="31">
        <f t="shared" si="229"/>
        <v>1750.0000000000002</v>
      </c>
      <c r="K2362" s="44">
        <f t="shared" si="230"/>
        <v>4.794520547945206</v>
      </c>
      <c r="L2362" s="3">
        <f t="shared" si="231"/>
        <v>354.79452054794524</v>
      </c>
      <c r="M2362" s="3">
        <f t="shared" si="232"/>
        <v>21.287671232876715</v>
      </c>
      <c r="N2362" s="67">
        <f t="shared" si="233"/>
        <v>333.50684931506851</v>
      </c>
      <c r="O2362" s="3"/>
      <c r="P2362" s="70" t="s">
        <v>18608</v>
      </c>
      <c r="Q2362" s="2" t="s">
        <v>24</v>
      </c>
      <c r="R2362" s="2" t="s">
        <v>10806</v>
      </c>
      <c r="T2362" t="s">
        <v>18666</v>
      </c>
      <c r="U2362" t="s">
        <v>18652</v>
      </c>
      <c r="V2362" s="104">
        <v>45857</v>
      </c>
      <c r="X2362" s="97"/>
      <c r="Y2362" s="75">
        <v>333.51</v>
      </c>
    </row>
    <row r="2363" spans="1:25" x14ac:dyDescent="0.25">
      <c r="A2363" s="76">
        <v>2395</v>
      </c>
      <c r="B2363" s="2" t="s">
        <v>18285</v>
      </c>
      <c r="C2363" s="2" t="s">
        <v>18286</v>
      </c>
      <c r="D2363" s="2" t="s">
        <v>18287</v>
      </c>
      <c r="E2363" s="2" t="s">
        <v>18288</v>
      </c>
      <c r="F2363" s="2" t="s">
        <v>18289</v>
      </c>
      <c r="G2363" s="2" t="s">
        <v>151</v>
      </c>
      <c r="H2363" s="17">
        <v>25</v>
      </c>
      <c r="I2363" s="31">
        <f t="shared" si="228"/>
        <v>25000</v>
      </c>
      <c r="J2363" s="31">
        <f t="shared" si="229"/>
        <v>1750.0000000000002</v>
      </c>
      <c r="K2363" s="44">
        <f t="shared" si="230"/>
        <v>4.794520547945206</v>
      </c>
      <c r="L2363" s="3">
        <f t="shared" si="231"/>
        <v>354.79452054794524</v>
      </c>
      <c r="M2363" s="3">
        <f t="shared" si="232"/>
        <v>21.287671232876715</v>
      </c>
      <c r="N2363" s="67">
        <f t="shared" si="233"/>
        <v>333.50684931506851</v>
      </c>
      <c r="O2363" s="3"/>
      <c r="P2363" s="70" t="s">
        <v>18608</v>
      </c>
      <c r="Q2363" s="2" t="s">
        <v>24</v>
      </c>
      <c r="R2363" s="2" t="s">
        <v>18290</v>
      </c>
      <c r="T2363" t="s">
        <v>18666</v>
      </c>
      <c r="U2363" t="s">
        <v>18652</v>
      </c>
      <c r="V2363" s="104">
        <v>45857</v>
      </c>
      <c r="X2363" s="97"/>
      <c r="Y2363" s="75">
        <v>333.51</v>
      </c>
    </row>
    <row r="2364" spans="1:25" x14ac:dyDescent="0.25">
      <c r="A2364" s="76">
        <v>2396</v>
      </c>
      <c r="B2364" s="2" t="s">
        <v>15807</v>
      </c>
      <c r="C2364" s="2" t="s">
        <v>15808</v>
      </c>
      <c r="D2364" s="2" t="s">
        <v>15809</v>
      </c>
      <c r="E2364" s="2" t="s">
        <v>15810</v>
      </c>
      <c r="F2364" s="2" t="s">
        <v>15811</v>
      </c>
      <c r="G2364" s="2" t="s">
        <v>517</v>
      </c>
      <c r="H2364" s="17">
        <v>25</v>
      </c>
      <c r="I2364" s="31">
        <f t="shared" si="228"/>
        <v>25000</v>
      </c>
      <c r="J2364" s="31">
        <f t="shared" si="229"/>
        <v>1750.0000000000002</v>
      </c>
      <c r="K2364" s="44">
        <f t="shared" si="230"/>
        <v>4.794520547945206</v>
      </c>
      <c r="L2364" s="3">
        <f t="shared" si="231"/>
        <v>354.79452054794524</v>
      </c>
      <c r="M2364" s="3">
        <f t="shared" si="232"/>
        <v>21.287671232876715</v>
      </c>
      <c r="N2364" s="67">
        <f t="shared" si="233"/>
        <v>333.50684931506851</v>
      </c>
      <c r="O2364" s="3"/>
      <c r="P2364" s="70" t="s">
        <v>18608</v>
      </c>
      <c r="Q2364" s="2" t="s">
        <v>24</v>
      </c>
      <c r="R2364" s="2" t="s">
        <v>15812</v>
      </c>
      <c r="T2364" t="s">
        <v>18666</v>
      </c>
      <c r="U2364" t="s">
        <v>18652</v>
      </c>
      <c r="V2364" s="104">
        <v>45857</v>
      </c>
      <c r="X2364" s="97"/>
      <c r="Y2364" s="75">
        <v>333.51</v>
      </c>
    </row>
    <row r="2365" spans="1:25" x14ac:dyDescent="0.25">
      <c r="A2365" s="76">
        <v>2397</v>
      </c>
      <c r="B2365" s="2" t="s">
        <v>10487</v>
      </c>
      <c r="C2365" s="2" t="s">
        <v>10488</v>
      </c>
      <c r="D2365" s="2" t="s">
        <v>10489</v>
      </c>
      <c r="E2365" s="2" t="s">
        <v>10490</v>
      </c>
      <c r="F2365" s="2" t="s">
        <v>10491</v>
      </c>
      <c r="G2365" s="2" t="s">
        <v>524</v>
      </c>
      <c r="H2365" s="17">
        <v>25</v>
      </c>
      <c r="I2365" s="31">
        <f t="shared" si="228"/>
        <v>25000</v>
      </c>
      <c r="J2365" s="31">
        <f t="shared" si="229"/>
        <v>1750.0000000000002</v>
      </c>
      <c r="K2365" s="44">
        <f t="shared" si="230"/>
        <v>4.794520547945206</v>
      </c>
      <c r="L2365" s="3">
        <f t="shared" si="231"/>
        <v>354.79452054794524</v>
      </c>
      <c r="M2365" s="3">
        <f t="shared" si="232"/>
        <v>21.287671232876715</v>
      </c>
      <c r="N2365" s="67">
        <f t="shared" si="233"/>
        <v>333.50684931506851</v>
      </c>
      <c r="O2365" s="3"/>
      <c r="P2365" s="70" t="s">
        <v>18608</v>
      </c>
      <c r="Q2365" s="2" t="s">
        <v>24</v>
      </c>
      <c r="R2365" s="2" t="s">
        <v>10492</v>
      </c>
      <c r="T2365" t="s">
        <v>18666</v>
      </c>
      <c r="U2365" t="s">
        <v>18652</v>
      </c>
      <c r="V2365" s="104">
        <v>45857</v>
      </c>
      <c r="X2365" s="97"/>
      <c r="Y2365" s="75">
        <v>333.51</v>
      </c>
    </row>
    <row r="2366" spans="1:25" x14ac:dyDescent="0.25">
      <c r="A2366" s="76">
        <v>2398</v>
      </c>
      <c r="B2366" s="2" t="s">
        <v>7319</v>
      </c>
      <c r="C2366" s="2" t="s">
        <v>7320</v>
      </c>
      <c r="D2366" s="2" t="s">
        <v>7321</v>
      </c>
      <c r="E2366" s="2" t="s">
        <v>7322</v>
      </c>
      <c r="F2366" s="2" t="s">
        <v>7323</v>
      </c>
      <c r="G2366" s="2" t="s">
        <v>31</v>
      </c>
      <c r="H2366" s="17">
        <v>200</v>
      </c>
      <c r="I2366" s="31">
        <f t="shared" si="228"/>
        <v>200000</v>
      </c>
      <c r="J2366" s="31">
        <f t="shared" si="229"/>
        <v>14000.000000000002</v>
      </c>
      <c r="K2366" s="44">
        <f t="shared" si="230"/>
        <v>38.356164383561648</v>
      </c>
      <c r="L2366" s="3">
        <f t="shared" si="231"/>
        <v>2838.3561643835619</v>
      </c>
      <c r="M2366" s="3">
        <f t="shared" si="232"/>
        <v>170.30136986301372</v>
      </c>
      <c r="N2366" s="67">
        <f t="shared" si="233"/>
        <v>2668.0547945205481</v>
      </c>
      <c r="O2366" s="3"/>
      <c r="P2366" s="70" t="s">
        <v>18608</v>
      </c>
      <c r="Q2366" s="2" t="s">
        <v>24</v>
      </c>
      <c r="R2366" s="2" t="s">
        <v>7324</v>
      </c>
      <c r="T2366" t="s">
        <v>18666</v>
      </c>
      <c r="U2366" t="s">
        <v>18652</v>
      </c>
      <c r="V2366" s="104">
        <v>45857</v>
      </c>
      <c r="X2366" s="97"/>
      <c r="Y2366" s="75">
        <v>2668.0600000000004</v>
      </c>
    </row>
    <row r="2367" spans="1:25" x14ac:dyDescent="0.25">
      <c r="A2367" s="76">
        <v>2399</v>
      </c>
      <c r="B2367" s="2" t="s">
        <v>4386</v>
      </c>
      <c r="C2367" s="2" t="s">
        <v>4387</v>
      </c>
      <c r="D2367" s="2" t="s">
        <v>4388</v>
      </c>
      <c r="E2367" s="2" t="s">
        <v>4389</v>
      </c>
      <c r="F2367" s="2" t="s">
        <v>4390</v>
      </c>
      <c r="G2367" s="2" t="s">
        <v>31</v>
      </c>
      <c r="H2367" s="17">
        <v>25</v>
      </c>
      <c r="I2367" s="31">
        <f t="shared" si="228"/>
        <v>25000</v>
      </c>
      <c r="J2367" s="31">
        <f t="shared" si="229"/>
        <v>1750.0000000000002</v>
      </c>
      <c r="K2367" s="44">
        <f t="shared" si="230"/>
        <v>4.794520547945206</v>
      </c>
      <c r="L2367" s="3">
        <f t="shared" si="231"/>
        <v>354.79452054794524</v>
      </c>
      <c r="M2367" s="3">
        <f t="shared" si="232"/>
        <v>21.287671232876715</v>
      </c>
      <c r="N2367" s="67">
        <f t="shared" si="233"/>
        <v>333.50684931506851</v>
      </c>
      <c r="O2367" s="3"/>
      <c r="P2367" s="70" t="s">
        <v>18608</v>
      </c>
      <c r="Q2367" s="2" t="s">
        <v>24</v>
      </c>
      <c r="R2367" s="2" t="s">
        <v>4391</v>
      </c>
      <c r="T2367" t="s">
        <v>18666</v>
      </c>
      <c r="U2367" t="s">
        <v>18652</v>
      </c>
      <c r="V2367" s="104">
        <v>45857</v>
      </c>
      <c r="X2367" s="97"/>
      <c r="Y2367" s="75">
        <v>333.51</v>
      </c>
    </row>
    <row r="2368" spans="1:25" x14ac:dyDescent="0.25">
      <c r="A2368" s="76">
        <v>2400</v>
      </c>
      <c r="B2368" s="2" t="s">
        <v>4721</v>
      </c>
      <c r="C2368" s="2" t="s">
        <v>4722</v>
      </c>
      <c r="D2368" s="2" t="s">
        <v>4723</v>
      </c>
      <c r="E2368" s="2" t="s">
        <v>4724</v>
      </c>
      <c r="F2368" s="2" t="s">
        <v>4725</v>
      </c>
      <c r="G2368" s="2" t="s">
        <v>23</v>
      </c>
      <c r="H2368" s="17">
        <v>25</v>
      </c>
      <c r="I2368" s="31">
        <f t="shared" si="228"/>
        <v>25000</v>
      </c>
      <c r="J2368" s="31">
        <f t="shared" si="229"/>
        <v>1750.0000000000002</v>
      </c>
      <c r="K2368" s="44">
        <f t="shared" si="230"/>
        <v>4.794520547945206</v>
      </c>
      <c r="L2368" s="3">
        <f t="shared" si="231"/>
        <v>354.79452054794524</v>
      </c>
      <c r="M2368" s="3">
        <f t="shared" si="232"/>
        <v>21.287671232876715</v>
      </c>
      <c r="N2368" s="67">
        <f t="shared" si="233"/>
        <v>333.50684931506851</v>
      </c>
      <c r="O2368" s="3"/>
      <c r="P2368" s="70" t="s">
        <v>18608</v>
      </c>
      <c r="Q2368" s="2" t="s">
        <v>24</v>
      </c>
      <c r="R2368" s="2" t="s">
        <v>4726</v>
      </c>
      <c r="T2368" t="s">
        <v>18666</v>
      </c>
      <c r="U2368" t="s">
        <v>18652</v>
      </c>
      <c r="V2368" s="104">
        <v>45857</v>
      </c>
      <c r="X2368" s="97"/>
      <c r="Y2368" s="75">
        <v>333.51</v>
      </c>
    </row>
    <row r="2369" spans="1:25" x14ac:dyDescent="0.25">
      <c r="A2369" s="76">
        <v>2401</v>
      </c>
      <c r="B2369" s="2" t="s">
        <v>689</v>
      </c>
      <c r="C2369" s="2" t="s">
        <v>690</v>
      </c>
      <c r="D2369" s="2" t="s">
        <v>691</v>
      </c>
      <c r="E2369" s="2" t="s">
        <v>692</v>
      </c>
      <c r="F2369" s="2" t="s">
        <v>693</v>
      </c>
      <c r="G2369" s="2" t="s">
        <v>296</v>
      </c>
      <c r="H2369" s="17">
        <v>25</v>
      </c>
      <c r="I2369" s="31">
        <f t="shared" si="228"/>
        <v>25000</v>
      </c>
      <c r="J2369" s="31">
        <f t="shared" si="229"/>
        <v>1750.0000000000002</v>
      </c>
      <c r="K2369" s="44">
        <f t="shared" si="230"/>
        <v>4.794520547945206</v>
      </c>
      <c r="L2369" s="3">
        <f t="shared" si="231"/>
        <v>354.79452054794524</v>
      </c>
      <c r="M2369" s="3">
        <f t="shared" si="232"/>
        <v>21.287671232876715</v>
      </c>
      <c r="N2369" s="67">
        <f t="shared" si="233"/>
        <v>333.50684931506851</v>
      </c>
      <c r="O2369" s="3"/>
      <c r="P2369" s="70" t="s">
        <v>18608</v>
      </c>
      <c r="Q2369" s="2" t="s">
        <v>24</v>
      </c>
      <c r="R2369" s="2" t="s">
        <v>694</v>
      </c>
      <c r="T2369" t="s">
        <v>18666</v>
      </c>
      <c r="U2369" t="s">
        <v>18652</v>
      </c>
      <c r="V2369" s="104">
        <v>45857</v>
      </c>
      <c r="X2369" s="97"/>
      <c r="Y2369" s="75">
        <v>333.51</v>
      </c>
    </row>
    <row r="2370" spans="1:25" x14ac:dyDescent="0.25">
      <c r="A2370" s="76">
        <v>2402</v>
      </c>
      <c r="B2370" s="2" t="s">
        <v>8278</v>
      </c>
      <c r="C2370" s="2" t="s">
        <v>8279</v>
      </c>
      <c r="D2370" s="2" t="s">
        <v>8280</v>
      </c>
      <c r="E2370" s="2" t="s">
        <v>8281</v>
      </c>
      <c r="F2370" s="2" t="s">
        <v>8282</v>
      </c>
      <c r="G2370" s="2" t="s">
        <v>240</v>
      </c>
      <c r="H2370" s="17">
        <v>25</v>
      </c>
      <c r="I2370" s="31">
        <f t="shared" si="228"/>
        <v>25000</v>
      </c>
      <c r="J2370" s="31">
        <f t="shared" si="229"/>
        <v>1750.0000000000002</v>
      </c>
      <c r="K2370" s="44">
        <f t="shared" si="230"/>
        <v>4.794520547945206</v>
      </c>
      <c r="L2370" s="3">
        <f t="shared" si="231"/>
        <v>354.79452054794524</v>
      </c>
      <c r="M2370" s="3">
        <f t="shared" si="232"/>
        <v>21.287671232876715</v>
      </c>
      <c r="N2370" s="67">
        <f t="shared" si="233"/>
        <v>333.50684931506851</v>
      </c>
      <c r="O2370" s="3"/>
      <c r="P2370" s="70" t="s">
        <v>18608</v>
      </c>
      <c r="Q2370" s="2" t="s">
        <v>24</v>
      </c>
      <c r="R2370" s="2" t="s">
        <v>8283</v>
      </c>
      <c r="T2370" t="s">
        <v>18666</v>
      </c>
      <c r="U2370" t="s">
        <v>18652</v>
      </c>
      <c r="V2370" s="104">
        <v>45857</v>
      </c>
      <c r="X2370" s="97"/>
      <c r="Y2370" s="75">
        <v>333.51</v>
      </c>
    </row>
    <row r="2371" spans="1:25" x14ac:dyDescent="0.25">
      <c r="A2371" s="76">
        <v>2403</v>
      </c>
      <c r="B2371" s="2" t="s">
        <v>12164</v>
      </c>
      <c r="C2371" s="2" t="s">
        <v>12165</v>
      </c>
      <c r="D2371" s="2" t="s">
        <v>12166</v>
      </c>
      <c r="E2371" s="2" t="s">
        <v>12167</v>
      </c>
      <c r="F2371" s="2" t="s">
        <v>12168</v>
      </c>
      <c r="G2371" s="2" t="s">
        <v>2380</v>
      </c>
      <c r="H2371" s="17">
        <v>100</v>
      </c>
      <c r="I2371" s="31">
        <f t="shared" si="228"/>
        <v>100000</v>
      </c>
      <c r="J2371" s="31">
        <f t="shared" si="229"/>
        <v>7000.0000000000009</v>
      </c>
      <c r="K2371" s="44">
        <f t="shared" si="230"/>
        <v>19.178082191780824</v>
      </c>
      <c r="L2371" s="3">
        <f t="shared" si="231"/>
        <v>1419.178082191781</v>
      </c>
      <c r="M2371" s="3">
        <f t="shared" si="232"/>
        <v>85.150684931506859</v>
      </c>
      <c r="N2371" s="67">
        <f t="shared" si="233"/>
        <v>1334.027397260274</v>
      </c>
      <c r="O2371" s="3"/>
      <c r="P2371" s="70" t="s">
        <v>18608</v>
      </c>
      <c r="Q2371" s="2" t="s">
        <v>24</v>
      </c>
      <c r="R2371" s="2" t="s">
        <v>12169</v>
      </c>
      <c r="T2371" t="s">
        <v>18666</v>
      </c>
      <c r="U2371" t="s">
        <v>18652</v>
      </c>
      <c r="V2371" s="104">
        <v>45857</v>
      </c>
      <c r="X2371" s="97"/>
      <c r="Y2371" s="75">
        <v>1334.03</v>
      </c>
    </row>
    <row r="2372" spans="1:25" x14ac:dyDescent="0.25">
      <c r="A2372" s="76">
        <v>2404</v>
      </c>
      <c r="B2372" s="2" t="s">
        <v>8637</v>
      </c>
      <c r="C2372" s="2" t="s">
        <v>8638</v>
      </c>
      <c r="D2372" s="2" t="s">
        <v>8639</v>
      </c>
      <c r="E2372" s="2" t="s">
        <v>8640</v>
      </c>
      <c r="F2372" s="2" t="s">
        <v>8641</v>
      </c>
      <c r="G2372" s="2" t="s">
        <v>309</v>
      </c>
      <c r="H2372" s="17">
        <v>25</v>
      </c>
      <c r="I2372" s="31">
        <f t="shared" si="228"/>
        <v>25000</v>
      </c>
      <c r="J2372" s="31">
        <f t="shared" si="229"/>
        <v>1750.0000000000002</v>
      </c>
      <c r="K2372" s="44">
        <f t="shared" si="230"/>
        <v>4.794520547945206</v>
      </c>
      <c r="L2372" s="3">
        <f t="shared" si="231"/>
        <v>354.79452054794524</v>
      </c>
      <c r="M2372" s="3">
        <f t="shared" si="232"/>
        <v>21.287671232876715</v>
      </c>
      <c r="N2372" s="67">
        <f t="shared" si="233"/>
        <v>333.50684931506851</v>
      </c>
      <c r="O2372" s="3"/>
      <c r="P2372" s="70" t="s">
        <v>18608</v>
      </c>
      <c r="Q2372" s="2" t="s">
        <v>24</v>
      </c>
      <c r="R2372" s="2" t="s">
        <v>8642</v>
      </c>
      <c r="T2372" t="s">
        <v>18666</v>
      </c>
      <c r="U2372" t="s">
        <v>18652</v>
      </c>
      <c r="V2372" s="104">
        <v>45857</v>
      </c>
      <c r="X2372" s="97"/>
      <c r="Y2372" s="75">
        <v>333.51</v>
      </c>
    </row>
    <row r="2373" spans="1:25" x14ac:dyDescent="0.25">
      <c r="A2373" s="76">
        <v>2405</v>
      </c>
      <c r="B2373" s="2" t="s">
        <v>13812</v>
      </c>
      <c r="C2373" s="2" t="s">
        <v>13813</v>
      </c>
      <c r="D2373" s="2" t="s">
        <v>13814</v>
      </c>
      <c r="E2373" s="2" t="s">
        <v>2051</v>
      </c>
      <c r="F2373" s="2" t="s">
        <v>13815</v>
      </c>
      <c r="G2373" s="2" t="s">
        <v>1315</v>
      </c>
      <c r="H2373" s="17">
        <v>50</v>
      </c>
      <c r="I2373" s="31">
        <f t="shared" si="228"/>
        <v>50000</v>
      </c>
      <c r="J2373" s="31">
        <f t="shared" si="229"/>
        <v>3500.0000000000005</v>
      </c>
      <c r="K2373" s="44">
        <f t="shared" si="230"/>
        <v>9.589041095890412</v>
      </c>
      <c r="L2373" s="3">
        <f t="shared" si="231"/>
        <v>709.58904109589048</v>
      </c>
      <c r="M2373" s="3">
        <f t="shared" si="232"/>
        <v>42.57534246575343</v>
      </c>
      <c r="N2373" s="67">
        <f t="shared" si="233"/>
        <v>667.01369863013701</v>
      </c>
      <c r="O2373" s="3"/>
      <c r="P2373" s="70" t="s">
        <v>18608</v>
      </c>
      <c r="Q2373" s="2" t="s">
        <v>24</v>
      </c>
      <c r="R2373" s="2" t="s">
        <v>13816</v>
      </c>
      <c r="T2373" t="s">
        <v>18666</v>
      </c>
      <c r="U2373" t="s">
        <v>18652</v>
      </c>
      <c r="V2373" s="104">
        <v>45857</v>
      </c>
      <c r="X2373" s="97"/>
      <c r="Y2373" s="75">
        <v>667.02</v>
      </c>
    </row>
    <row r="2374" spans="1:25" x14ac:dyDescent="0.25">
      <c r="A2374" s="76">
        <v>2406</v>
      </c>
      <c r="B2374" s="2" t="s">
        <v>6883</v>
      </c>
      <c r="C2374" s="2" t="s">
        <v>6884</v>
      </c>
      <c r="D2374" s="2" t="s">
        <v>6885</v>
      </c>
      <c r="E2374" s="2" t="s">
        <v>6886</v>
      </c>
      <c r="F2374" s="2" t="s">
        <v>6887</v>
      </c>
      <c r="G2374" s="2" t="s">
        <v>296</v>
      </c>
      <c r="H2374" s="17">
        <v>25</v>
      </c>
      <c r="I2374" s="31">
        <f t="shared" si="228"/>
        <v>25000</v>
      </c>
      <c r="J2374" s="31">
        <f t="shared" si="229"/>
        <v>1750.0000000000002</v>
      </c>
      <c r="K2374" s="44">
        <f t="shared" si="230"/>
        <v>4.794520547945206</v>
      </c>
      <c r="L2374" s="3">
        <f t="shared" si="231"/>
        <v>354.79452054794524</v>
      </c>
      <c r="M2374" s="3">
        <f t="shared" si="232"/>
        <v>21.287671232876715</v>
      </c>
      <c r="N2374" s="67">
        <f t="shared" si="233"/>
        <v>333.50684931506851</v>
      </c>
      <c r="O2374" s="3"/>
      <c r="P2374" s="70" t="s">
        <v>18608</v>
      </c>
      <c r="Q2374" s="2" t="s">
        <v>24</v>
      </c>
      <c r="R2374" s="2" t="s">
        <v>6888</v>
      </c>
      <c r="T2374" t="s">
        <v>18666</v>
      </c>
      <c r="U2374" t="s">
        <v>18652</v>
      </c>
      <c r="V2374" s="104">
        <v>45857</v>
      </c>
      <c r="X2374" s="97"/>
      <c r="Y2374" s="75">
        <v>333.51</v>
      </c>
    </row>
    <row r="2375" spans="1:25" x14ac:dyDescent="0.25">
      <c r="A2375" s="76">
        <v>2407</v>
      </c>
      <c r="B2375" s="2" t="s">
        <v>6425</v>
      </c>
      <c r="C2375" s="2" t="s">
        <v>6426</v>
      </c>
      <c r="D2375" s="2" t="s">
        <v>6427</v>
      </c>
      <c r="E2375" s="2" t="s">
        <v>6428</v>
      </c>
      <c r="F2375" s="2" t="s">
        <v>6429</v>
      </c>
      <c r="G2375" s="2" t="s">
        <v>580</v>
      </c>
      <c r="H2375" s="17">
        <v>25</v>
      </c>
      <c r="I2375" s="31">
        <f t="shared" si="228"/>
        <v>25000</v>
      </c>
      <c r="J2375" s="31">
        <f t="shared" si="229"/>
        <v>1750.0000000000002</v>
      </c>
      <c r="K2375" s="44">
        <f t="shared" si="230"/>
        <v>4.794520547945206</v>
      </c>
      <c r="L2375" s="3">
        <f t="shared" si="231"/>
        <v>354.79452054794524</v>
      </c>
      <c r="M2375" s="3">
        <f t="shared" si="232"/>
        <v>21.287671232876715</v>
      </c>
      <c r="N2375" s="67">
        <f t="shared" si="233"/>
        <v>333.50684931506851</v>
      </c>
      <c r="O2375" s="3"/>
      <c r="P2375" s="70" t="s">
        <v>18608</v>
      </c>
      <c r="Q2375" s="2" t="s">
        <v>24</v>
      </c>
      <c r="R2375" s="2" t="s">
        <v>6430</v>
      </c>
      <c r="T2375" t="s">
        <v>18666</v>
      </c>
      <c r="U2375" t="s">
        <v>18652</v>
      </c>
      <c r="V2375" s="104">
        <v>45857</v>
      </c>
      <c r="X2375" s="97"/>
      <c r="Y2375" s="75">
        <v>333.51</v>
      </c>
    </row>
    <row r="2376" spans="1:25" x14ac:dyDescent="0.25">
      <c r="A2376" s="76">
        <v>2408</v>
      </c>
      <c r="B2376" s="2" t="s">
        <v>14559</v>
      </c>
      <c r="C2376" s="2" t="s">
        <v>14560</v>
      </c>
      <c r="D2376" s="2" t="s">
        <v>14561</v>
      </c>
      <c r="E2376" s="2" t="s">
        <v>14562</v>
      </c>
      <c r="F2376" s="2" t="s">
        <v>14563</v>
      </c>
      <c r="G2376" s="2" t="s">
        <v>61</v>
      </c>
      <c r="H2376" s="17">
        <v>25</v>
      </c>
      <c r="I2376" s="31">
        <f t="shared" si="228"/>
        <v>25000</v>
      </c>
      <c r="J2376" s="31">
        <f t="shared" si="229"/>
        <v>1750.0000000000002</v>
      </c>
      <c r="K2376" s="44">
        <f t="shared" si="230"/>
        <v>4.794520547945206</v>
      </c>
      <c r="L2376" s="3">
        <f t="shared" si="231"/>
        <v>354.79452054794524</v>
      </c>
      <c r="M2376" s="3">
        <f t="shared" si="232"/>
        <v>21.287671232876715</v>
      </c>
      <c r="N2376" s="67">
        <f t="shared" si="233"/>
        <v>333.50684931506851</v>
      </c>
      <c r="O2376" s="3"/>
      <c r="P2376" s="70" t="s">
        <v>18608</v>
      </c>
      <c r="Q2376" s="2" t="s">
        <v>24</v>
      </c>
      <c r="R2376" s="2" t="s">
        <v>14564</v>
      </c>
      <c r="T2376" t="s">
        <v>18666</v>
      </c>
      <c r="U2376" t="s">
        <v>18652</v>
      </c>
      <c r="V2376" s="104">
        <v>45857</v>
      </c>
      <c r="X2376" s="97"/>
      <c r="Y2376" s="75">
        <v>333.51</v>
      </c>
    </row>
    <row r="2377" spans="1:25" x14ac:dyDescent="0.25">
      <c r="A2377" s="76">
        <v>2409</v>
      </c>
      <c r="B2377" s="2" t="s">
        <v>2717</v>
      </c>
      <c r="C2377" s="2" t="s">
        <v>2718</v>
      </c>
      <c r="D2377" s="2" t="s">
        <v>2719</v>
      </c>
      <c r="E2377" s="2" t="s">
        <v>301</v>
      </c>
      <c r="F2377" s="2" t="s">
        <v>2720</v>
      </c>
      <c r="G2377" s="2" t="s">
        <v>247</v>
      </c>
      <c r="H2377" s="17">
        <v>25</v>
      </c>
      <c r="I2377" s="31">
        <f t="shared" si="228"/>
        <v>25000</v>
      </c>
      <c r="J2377" s="31">
        <f t="shared" si="229"/>
        <v>1750.0000000000002</v>
      </c>
      <c r="K2377" s="44">
        <f t="shared" si="230"/>
        <v>4.794520547945206</v>
      </c>
      <c r="L2377" s="3">
        <f t="shared" si="231"/>
        <v>354.79452054794524</v>
      </c>
      <c r="M2377" s="3">
        <f t="shared" si="232"/>
        <v>21.287671232876715</v>
      </c>
      <c r="N2377" s="67">
        <f t="shared" si="233"/>
        <v>333.50684931506851</v>
      </c>
      <c r="O2377" s="3"/>
      <c r="P2377" s="70" t="s">
        <v>18608</v>
      </c>
      <c r="Q2377" s="2" t="s">
        <v>24</v>
      </c>
      <c r="R2377" s="2" t="s">
        <v>2721</v>
      </c>
      <c r="T2377" t="s">
        <v>18666</v>
      </c>
      <c r="U2377" t="s">
        <v>18652</v>
      </c>
      <c r="V2377" s="104">
        <v>45857</v>
      </c>
      <c r="X2377" s="97"/>
      <c r="Y2377" s="75">
        <v>333.51</v>
      </c>
    </row>
    <row r="2378" spans="1:25" x14ac:dyDescent="0.25">
      <c r="A2378" s="76">
        <v>2410</v>
      </c>
      <c r="B2378" s="2" t="s">
        <v>17661</v>
      </c>
      <c r="C2378" s="2" t="s">
        <v>17662</v>
      </c>
      <c r="D2378" s="2" t="s">
        <v>17663</v>
      </c>
      <c r="E2378" s="2" t="s">
        <v>17664</v>
      </c>
      <c r="F2378" s="2" t="s">
        <v>17665</v>
      </c>
      <c r="G2378" s="2" t="s">
        <v>275</v>
      </c>
      <c r="H2378" s="17">
        <v>1000</v>
      </c>
      <c r="I2378" s="31">
        <f t="shared" si="228"/>
        <v>1000000</v>
      </c>
      <c r="J2378" s="31">
        <f t="shared" si="229"/>
        <v>70000</v>
      </c>
      <c r="K2378" s="44">
        <f t="shared" si="230"/>
        <v>191.78082191780823</v>
      </c>
      <c r="L2378" s="3">
        <f t="shared" si="231"/>
        <v>14191.780821917808</v>
      </c>
      <c r="M2378" s="3">
        <f t="shared" si="232"/>
        <v>851.50684931506839</v>
      </c>
      <c r="N2378" s="67">
        <f t="shared" si="233"/>
        <v>13340.273972602739</v>
      </c>
      <c r="O2378" s="3"/>
      <c r="P2378" s="70" t="s">
        <v>18608</v>
      </c>
      <c r="Q2378" s="2" t="s">
        <v>24</v>
      </c>
      <c r="R2378" s="2" t="s">
        <v>17666</v>
      </c>
      <c r="T2378" t="s">
        <v>18666</v>
      </c>
      <c r="U2378" t="s">
        <v>18652</v>
      </c>
      <c r="V2378" s="104">
        <v>45857</v>
      </c>
      <c r="X2378" s="97"/>
      <c r="Y2378" s="75">
        <v>13340.28</v>
      </c>
    </row>
    <row r="2379" spans="1:25" x14ac:dyDescent="0.25">
      <c r="A2379" s="76">
        <v>2411</v>
      </c>
      <c r="B2379" s="2" t="s">
        <v>11156</v>
      </c>
      <c r="C2379" s="2" t="s">
        <v>11157</v>
      </c>
      <c r="D2379" s="2" t="s">
        <v>11158</v>
      </c>
      <c r="E2379" s="2" t="s">
        <v>11145</v>
      </c>
      <c r="F2379" s="2" t="s">
        <v>11159</v>
      </c>
      <c r="G2379" s="2" t="s">
        <v>31</v>
      </c>
      <c r="H2379" s="17">
        <v>25</v>
      </c>
      <c r="I2379" s="31">
        <f t="shared" si="228"/>
        <v>25000</v>
      </c>
      <c r="J2379" s="31">
        <f t="shared" si="229"/>
        <v>1750.0000000000002</v>
      </c>
      <c r="K2379" s="44">
        <f t="shared" si="230"/>
        <v>4.794520547945206</v>
      </c>
      <c r="L2379" s="3">
        <f t="shared" si="231"/>
        <v>354.79452054794524</v>
      </c>
      <c r="M2379" s="3">
        <f t="shared" si="232"/>
        <v>21.287671232876715</v>
      </c>
      <c r="N2379" s="67">
        <f t="shared" si="233"/>
        <v>333.50684931506851</v>
      </c>
      <c r="O2379" s="3"/>
      <c r="P2379" s="70" t="s">
        <v>18608</v>
      </c>
      <c r="Q2379" s="2" t="s">
        <v>24</v>
      </c>
      <c r="R2379" s="2" t="s">
        <v>11160</v>
      </c>
      <c r="T2379" t="s">
        <v>18666</v>
      </c>
      <c r="U2379" t="s">
        <v>18652</v>
      </c>
      <c r="V2379" s="104">
        <v>45857</v>
      </c>
      <c r="X2379" s="97"/>
      <c r="Y2379" s="75">
        <v>333.51</v>
      </c>
    </row>
    <row r="2380" spans="1:25" x14ac:dyDescent="0.25">
      <c r="A2380" s="76">
        <v>2412</v>
      </c>
      <c r="B2380" s="2" t="s">
        <v>14077</v>
      </c>
      <c r="C2380" s="2" t="s">
        <v>14078</v>
      </c>
      <c r="D2380" s="2" t="s">
        <v>14079</v>
      </c>
      <c r="E2380" s="2" t="s">
        <v>14080</v>
      </c>
      <c r="F2380" s="2" t="s">
        <v>14081</v>
      </c>
      <c r="G2380" s="2" t="s">
        <v>1017</v>
      </c>
      <c r="H2380" s="17">
        <v>50</v>
      </c>
      <c r="I2380" s="31">
        <f t="shared" si="228"/>
        <v>50000</v>
      </c>
      <c r="J2380" s="31">
        <f t="shared" si="229"/>
        <v>3500.0000000000005</v>
      </c>
      <c r="K2380" s="44">
        <f t="shared" si="230"/>
        <v>9.589041095890412</v>
      </c>
      <c r="L2380" s="3">
        <f t="shared" si="231"/>
        <v>709.58904109589048</v>
      </c>
      <c r="M2380" s="3">
        <f t="shared" si="232"/>
        <v>42.57534246575343</v>
      </c>
      <c r="N2380" s="67">
        <f t="shared" si="233"/>
        <v>667.01369863013701</v>
      </c>
      <c r="O2380" s="3"/>
      <c r="P2380" s="70" t="s">
        <v>18608</v>
      </c>
      <c r="Q2380" s="2" t="s">
        <v>24</v>
      </c>
      <c r="R2380" s="2" t="s">
        <v>14082</v>
      </c>
      <c r="T2380" t="s">
        <v>18666</v>
      </c>
      <c r="U2380" t="s">
        <v>18652</v>
      </c>
      <c r="V2380" s="104">
        <v>45857</v>
      </c>
      <c r="X2380" s="97"/>
      <c r="Y2380" s="75">
        <v>667.02</v>
      </c>
    </row>
    <row r="2381" spans="1:25" x14ac:dyDescent="0.25">
      <c r="A2381" s="76">
        <v>2413</v>
      </c>
      <c r="B2381" s="2" t="s">
        <v>9564</v>
      </c>
      <c r="C2381" s="2" t="s">
        <v>9565</v>
      </c>
      <c r="D2381" s="2" t="s">
        <v>9566</v>
      </c>
      <c r="E2381" s="2" t="s">
        <v>9567</v>
      </c>
      <c r="F2381" s="2" t="s">
        <v>9568</v>
      </c>
      <c r="G2381" s="2" t="s">
        <v>31</v>
      </c>
      <c r="H2381" s="17">
        <v>25</v>
      </c>
      <c r="I2381" s="31">
        <f t="shared" si="228"/>
        <v>25000</v>
      </c>
      <c r="J2381" s="31">
        <f t="shared" si="229"/>
        <v>1750.0000000000002</v>
      </c>
      <c r="K2381" s="44">
        <f t="shared" si="230"/>
        <v>4.794520547945206</v>
      </c>
      <c r="L2381" s="3">
        <f t="shared" si="231"/>
        <v>354.79452054794524</v>
      </c>
      <c r="M2381" s="3">
        <f t="shared" si="232"/>
        <v>21.287671232876715</v>
      </c>
      <c r="N2381" s="67">
        <f t="shared" si="233"/>
        <v>333.50684931506851</v>
      </c>
      <c r="O2381" s="3"/>
      <c r="P2381" s="70" t="s">
        <v>18608</v>
      </c>
      <c r="Q2381" s="2" t="s">
        <v>24</v>
      </c>
      <c r="R2381" s="2" t="s">
        <v>9569</v>
      </c>
      <c r="T2381" t="s">
        <v>18666</v>
      </c>
      <c r="U2381" t="s">
        <v>18652</v>
      </c>
      <c r="V2381" s="104">
        <v>45857</v>
      </c>
      <c r="X2381" s="97"/>
      <c r="Y2381" s="75">
        <v>333.51</v>
      </c>
    </row>
    <row r="2382" spans="1:25" x14ac:dyDescent="0.25">
      <c r="A2382" s="76">
        <v>2414</v>
      </c>
      <c r="B2382" s="2" t="s">
        <v>17697</v>
      </c>
      <c r="C2382" s="2" t="s">
        <v>17698</v>
      </c>
      <c r="D2382" s="2" t="s">
        <v>17699</v>
      </c>
      <c r="E2382" s="2" t="s">
        <v>17700</v>
      </c>
      <c r="F2382" s="2" t="s">
        <v>17701</v>
      </c>
      <c r="G2382" s="2" t="s">
        <v>268</v>
      </c>
      <c r="H2382" s="17">
        <v>25</v>
      </c>
      <c r="I2382" s="31">
        <f t="shared" si="228"/>
        <v>25000</v>
      </c>
      <c r="J2382" s="31">
        <f t="shared" si="229"/>
        <v>1750.0000000000002</v>
      </c>
      <c r="K2382" s="44">
        <f t="shared" si="230"/>
        <v>4.794520547945206</v>
      </c>
      <c r="L2382" s="3">
        <f t="shared" si="231"/>
        <v>354.79452054794524</v>
      </c>
      <c r="M2382" s="3">
        <f t="shared" si="232"/>
        <v>21.287671232876715</v>
      </c>
      <c r="N2382" s="67">
        <f t="shared" si="233"/>
        <v>333.50684931506851</v>
      </c>
      <c r="O2382" s="3"/>
      <c r="P2382" s="70" t="s">
        <v>18608</v>
      </c>
      <c r="Q2382" s="2" t="s">
        <v>24</v>
      </c>
      <c r="R2382" s="2" t="s">
        <v>17702</v>
      </c>
      <c r="T2382" t="s">
        <v>18666</v>
      </c>
      <c r="U2382" t="s">
        <v>18652</v>
      </c>
      <c r="V2382" s="104">
        <v>45857</v>
      </c>
      <c r="X2382" s="97"/>
      <c r="Y2382" s="75">
        <v>333.51</v>
      </c>
    </row>
    <row r="2383" spans="1:25" x14ac:dyDescent="0.25">
      <c r="A2383" s="76">
        <v>2415</v>
      </c>
      <c r="B2383" s="2" t="s">
        <v>16659</v>
      </c>
      <c r="C2383" s="2" t="s">
        <v>16660</v>
      </c>
      <c r="D2383" s="2" t="s">
        <v>16661</v>
      </c>
      <c r="E2383" s="2" t="s">
        <v>16662</v>
      </c>
      <c r="F2383" s="2" t="s">
        <v>16663</v>
      </c>
      <c r="G2383" s="2" t="s">
        <v>166</v>
      </c>
      <c r="H2383" s="17">
        <v>25</v>
      </c>
      <c r="I2383" s="31">
        <f t="shared" si="228"/>
        <v>25000</v>
      </c>
      <c r="J2383" s="31">
        <f t="shared" si="229"/>
        <v>1750.0000000000002</v>
      </c>
      <c r="K2383" s="44">
        <f t="shared" si="230"/>
        <v>4.794520547945206</v>
      </c>
      <c r="L2383" s="3">
        <f t="shared" si="231"/>
        <v>354.79452054794524</v>
      </c>
      <c r="M2383" s="3">
        <f t="shared" si="232"/>
        <v>21.287671232876715</v>
      </c>
      <c r="N2383" s="67">
        <f t="shared" si="233"/>
        <v>333.50684931506851</v>
      </c>
      <c r="O2383" s="3"/>
      <c r="P2383" s="70" t="s">
        <v>18608</v>
      </c>
      <c r="Q2383" s="2" t="s">
        <v>24</v>
      </c>
      <c r="R2383" s="2" t="s">
        <v>16664</v>
      </c>
      <c r="T2383" t="s">
        <v>18666</v>
      </c>
      <c r="U2383" t="s">
        <v>18652</v>
      </c>
      <c r="V2383" s="104">
        <v>45857</v>
      </c>
      <c r="X2383" s="97"/>
      <c r="Y2383" s="75">
        <v>333.51</v>
      </c>
    </row>
    <row r="2384" spans="1:25" x14ac:dyDescent="0.25">
      <c r="A2384" s="76">
        <v>2416</v>
      </c>
      <c r="B2384" s="2" t="s">
        <v>8032</v>
      </c>
      <c r="C2384" s="2" t="s">
        <v>8033</v>
      </c>
      <c r="D2384" s="2" t="s">
        <v>8034</v>
      </c>
      <c r="E2384" s="2" t="s">
        <v>8035</v>
      </c>
      <c r="F2384" s="2" t="s">
        <v>8036</v>
      </c>
      <c r="G2384" s="2" t="s">
        <v>61</v>
      </c>
      <c r="H2384" s="17">
        <v>25</v>
      </c>
      <c r="I2384" s="31">
        <f t="shared" si="228"/>
        <v>25000</v>
      </c>
      <c r="J2384" s="31">
        <f t="shared" si="229"/>
        <v>1750.0000000000002</v>
      </c>
      <c r="K2384" s="44">
        <f t="shared" si="230"/>
        <v>4.794520547945206</v>
      </c>
      <c r="L2384" s="3">
        <f t="shared" si="231"/>
        <v>354.79452054794524</v>
      </c>
      <c r="M2384" s="3">
        <f t="shared" si="232"/>
        <v>21.287671232876715</v>
      </c>
      <c r="N2384" s="67">
        <f t="shared" si="233"/>
        <v>333.50684931506851</v>
      </c>
      <c r="O2384" s="3"/>
      <c r="P2384" s="70" t="s">
        <v>18608</v>
      </c>
      <c r="Q2384" s="2" t="s">
        <v>24</v>
      </c>
      <c r="R2384" s="2" t="s">
        <v>8037</v>
      </c>
      <c r="T2384" t="s">
        <v>18666</v>
      </c>
      <c r="U2384" t="s">
        <v>18652</v>
      </c>
      <c r="V2384" s="104">
        <v>45857</v>
      </c>
      <c r="X2384" s="97"/>
      <c r="Y2384" s="75">
        <v>333.51</v>
      </c>
    </row>
    <row r="2385" spans="1:25" x14ac:dyDescent="0.25">
      <c r="A2385" s="76">
        <v>2417</v>
      </c>
      <c r="B2385" s="2" t="s">
        <v>16513</v>
      </c>
      <c r="C2385" s="2" t="s">
        <v>16514</v>
      </c>
      <c r="D2385" s="2" t="s">
        <v>16515</v>
      </c>
      <c r="E2385" s="2" t="s">
        <v>16516</v>
      </c>
      <c r="F2385" s="2" t="s">
        <v>16517</v>
      </c>
      <c r="G2385" s="2" t="s">
        <v>101</v>
      </c>
      <c r="H2385" s="17">
        <v>25</v>
      </c>
      <c r="I2385" s="31">
        <f t="shared" si="228"/>
        <v>25000</v>
      </c>
      <c r="J2385" s="31">
        <f t="shared" si="229"/>
        <v>1750.0000000000002</v>
      </c>
      <c r="K2385" s="44">
        <f t="shared" si="230"/>
        <v>4.794520547945206</v>
      </c>
      <c r="L2385" s="3">
        <f t="shared" si="231"/>
        <v>354.79452054794524</v>
      </c>
      <c r="M2385" s="3">
        <f t="shared" si="232"/>
        <v>21.287671232876715</v>
      </c>
      <c r="N2385" s="67">
        <f t="shared" si="233"/>
        <v>333.50684931506851</v>
      </c>
      <c r="O2385" s="3"/>
      <c r="P2385" s="70" t="s">
        <v>18608</v>
      </c>
      <c r="Q2385" s="2" t="s">
        <v>24</v>
      </c>
      <c r="R2385" s="2" t="s">
        <v>16518</v>
      </c>
      <c r="T2385" t="s">
        <v>18666</v>
      </c>
      <c r="U2385" t="s">
        <v>18652</v>
      </c>
      <c r="V2385" s="104">
        <v>45857</v>
      </c>
      <c r="X2385" s="97"/>
      <c r="Y2385" s="75">
        <v>333.51</v>
      </c>
    </row>
    <row r="2386" spans="1:25" x14ac:dyDescent="0.25">
      <c r="A2386" s="76">
        <v>2418</v>
      </c>
      <c r="B2386" s="2" t="s">
        <v>2518</v>
      </c>
      <c r="C2386" s="2" t="s">
        <v>2519</v>
      </c>
      <c r="D2386" s="2" t="s">
        <v>2520</v>
      </c>
      <c r="E2386" s="2" t="s">
        <v>2521</v>
      </c>
      <c r="F2386" s="2" t="s">
        <v>2522</v>
      </c>
      <c r="G2386" s="2" t="s">
        <v>296</v>
      </c>
      <c r="H2386" s="17">
        <v>25</v>
      </c>
      <c r="I2386" s="31">
        <f t="shared" ref="I2386:I2449" si="234">H2386*1000</f>
        <v>25000</v>
      </c>
      <c r="J2386" s="31">
        <f t="shared" ref="J2386:J2449" si="235">I2386*7%</f>
        <v>1750.0000000000002</v>
      </c>
      <c r="K2386" s="44">
        <f t="shared" ref="K2386:K2449" si="236">J2386/365</f>
        <v>4.794520547945206</v>
      </c>
      <c r="L2386" s="3">
        <f t="shared" ref="L2386:L2449" si="237">K2386*74</f>
        <v>354.79452054794524</v>
      </c>
      <c r="M2386" s="3">
        <f t="shared" ref="M2386:M2449" si="238">L2386*6%</f>
        <v>21.287671232876715</v>
      </c>
      <c r="N2386" s="67">
        <f t="shared" ref="N2386:N2449" si="239">L2386-M2386</f>
        <v>333.50684931506851</v>
      </c>
      <c r="O2386" s="3"/>
      <c r="P2386" s="70" t="s">
        <v>18608</v>
      </c>
      <c r="Q2386" s="2" t="s">
        <v>24</v>
      </c>
      <c r="R2386" s="2" t="s">
        <v>2523</v>
      </c>
      <c r="T2386" t="s">
        <v>18666</v>
      </c>
      <c r="U2386" t="s">
        <v>18652</v>
      </c>
      <c r="V2386" s="104">
        <v>45857</v>
      </c>
      <c r="X2386" s="97"/>
      <c r="Y2386" s="75">
        <v>333.51</v>
      </c>
    </row>
    <row r="2387" spans="1:25" x14ac:dyDescent="0.25">
      <c r="A2387" s="76">
        <v>2419</v>
      </c>
      <c r="B2387" s="2" t="s">
        <v>9137</v>
      </c>
      <c r="C2387" s="2" t="s">
        <v>9138</v>
      </c>
      <c r="D2387" s="2" t="s">
        <v>9139</v>
      </c>
      <c r="E2387" s="2" t="s">
        <v>9140</v>
      </c>
      <c r="F2387" s="2" t="s">
        <v>9141</v>
      </c>
      <c r="G2387" s="2" t="s">
        <v>618</v>
      </c>
      <c r="H2387" s="17">
        <v>25</v>
      </c>
      <c r="I2387" s="31">
        <f t="shared" si="234"/>
        <v>25000</v>
      </c>
      <c r="J2387" s="31">
        <f t="shared" si="235"/>
        <v>1750.0000000000002</v>
      </c>
      <c r="K2387" s="44">
        <f t="shared" si="236"/>
        <v>4.794520547945206</v>
      </c>
      <c r="L2387" s="3">
        <f t="shared" si="237"/>
        <v>354.79452054794524</v>
      </c>
      <c r="M2387" s="3">
        <f t="shared" si="238"/>
        <v>21.287671232876715</v>
      </c>
      <c r="N2387" s="67">
        <f t="shared" si="239"/>
        <v>333.50684931506851</v>
      </c>
      <c r="O2387" s="3"/>
      <c r="P2387" s="70" t="s">
        <v>18608</v>
      </c>
      <c r="Q2387" s="2" t="s">
        <v>24</v>
      </c>
      <c r="R2387" s="2" t="s">
        <v>9142</v>
      </c>
      <c r="T2387" t="s">
        <v>18666</v>
      </c>
      <c r="U2387" t="s">
        <v>18652</v>
      </c>
      <c r="V2387" s="104">
        <v>45857</v>
      </c>
      <c r="X2387" s="97"/>
      <c r="Y2387" s="75">
        <v>333.51</v>
      </c>
    </row>
    <row r="2388" spans="1:25" x14ac:dyDescent="0.25">
      <c r="A2388" s="76">
        <v>2420</v>
      </c>
      <c r="B2388" s="2" t="s">
        <v>2764</v>
      </c>
      <c r="C2388" s="2" t="s">
        <v>2765</v>
      </c>
      <c r="D2388" s="2" t="s">
        <v>2766</v>
      </c>
      <c r="E2388" s="2" t="s">
        <v>2767</v>
      </c>
      <c r="F2388" s="2" t="s">
        <v>2768</v>
      </c>
      <c r="G2388" s="2" t="s">
        <v>31</v>
      </c>
      <c r="H2388" s="17">
        <v>25</v>
      </c>
      <c r="I2388" s="31">
        <f t="shared" si="234"/>
        <v>25000</v>
      </c>
      <c r="J2388" s="31">
        <f t="shared" si="235"/>
        <v>1750.0000000000002</v>
      </c>
      <c r="K2388" s="44">
        <f t="shared" si="236"/>
        <v>4.794520547945206</v>
      </c>
      <c r="L2388" s="3">
        <f t="shared" si="237"/>
        <v>354.79452054794524</v>
      </c>
      <c r="M2388" s="3">
        <f t="shared" si="238"/>
        <v>21.287671232876715</v>
      </c>
      <c r="N2388" s="67">
        <f t="shared" si="239"/>
        <v>333.50684931506851</v>
      </c>
      <c r="O2388" s="3"/>
      <c r="P2388" s="70" t="s">
        <v>18608</v>
      </c>
      <c r="Q2388" s="2" t="s">
        <v>24</v>
      </c>
      <c r="R2388" s="2" t="s">
        <v>2769</v>
      </c>
      <c r="T2388" t="s">
        <v>18666</v>
      </c>
      <c r="U2388" t="s">
        <v>18652</v>
      </c>
      <c r="V2388" s="104">
        <v>45857</v>
      </c>
      <c r="X2388" s="97"/>
      <c r="Y2388" s="75">
        <v>333.51</v>
      </c>
    </row>
    <row r="2389" spans="1:25" x14ac:dyDescent="0.25">
      <c r="A2389" s="76">
        <v>2421</v>
      </c>
      <c r="B2389" s="2" t="s">
        <v>12276</v>
      </c>
      <c r="C2389" s="2" t="s">
        <v>12277</v>
      </c>
      <c r="D2389" s="2" t="s">
        <v>12278</v>
      </c>
      <c r="E2389" s="2" t="s">
        <v>12279</v>
      </c>
      <c r="F2389" s="2" t="s">
        <v>12280</v>
      </c>
      <c r="G2389" s="2" t="s">
        <v>618</v>
      </c>
      <c r="H2389" s="17">
        <v>25</v>
      </c>
      <c r="I2389" s="31">
        <f t="shared" si="234"/>
        <v>25000</v>
      </c>
      <c r="J2389" s="31">
        <f t="shared" si="235"/>
        <v>1750.0000000000002</v>
      </c>
      <c r="K2389" s="44">
        <f t="shared" si="236"/>
        <v>4.794520547945206</v>
      </c>
      <c r="L2389" s="3">
        <f t="shared" si="237"/>
        <v>354.79452054794524</v>
      </c>
      <c r="M2389" s="3">
        <f t="shared" si="238"/>
        <v>21.287671232876715</v>
      </c>
      <c r="N2389" s="67">
        <f t="shared" si="239"/>
        <v>333.50684931506851</v>
      </c>
      <c r="O2389" s="3"/>
      <c r="P2389" s="70" t="s">
        <v>18608</v>
      </c>
      <c r="Q2389" s="2" t="s">
        <v>24</v>
      </c>
      <c r="R2389" s="2" t="s">
        <v>12281</v>
      </c>
      <c r="T2389" t="s">
        <v>18666</v>
      </c>
      <c r="U2389" t="s">
        <v>18652</v>
      </c>
      <c r="V2389" s="104">
        <v>45857</v>
      </c>
      <c r="X2389" s="97"/>
      <c r="Y2389" s="75">
        <v>333.51</v>
      </c>
    </row>
    <row r="2390" spans="1:25" x14ac:dyDescent="0.25">
      <c r="A2390" s="76">
        <v>2422</v>
      </c>
      <c r="B2390" s="2" t="s">
        <v>12867</v>
      </c>
      <c r="C2390" s="2" t="s">
        <v>12868</v>
      </c>
      <c r="D2390" s="2" t="s">
        <v>12869</v>
      </c>
      <c r="E2390" s="2" t="s">
        <v>12870</v>
      </c>
      <c r="F2390" s="2" t="s">
        <v>12871</v>
      </c>
      <c r="G2390" s="2" t="s">
        <v>39</v>
      </c>
      <c r="H2390" s="17">
        <v>30</v>
      </c>
      <c r="I2390" s="31">
        <f t="shared" si="234"/>
        <v>30000</v>
      </c>
      <c r="J2390" s="31">
        <f t="shared" si="235"/>
        <v>2100</v>
      </c>
      <c r="K2390" s="44">
        <f t="shared" si="236"/>
        <v>5.7534246575342465</v>
      </c>
      <c r="L2390" s="3">
        <f t="shared" si="237"/>
        <v>425.75342465753425</v>
      </c>
      <c r="M2390" s="3">
        <f t="shared" si="238"/>
        <v>25.545205479452054</v>
      </c>
      <c r="N2390" s="67">
        <f t="shared" si="239"/>
        <v>400.20821917808217</v>
      </c>
      <c r="O2390" s="3"/>
      <c r="P2390" s="70" t="s">
        <v>18608</v>
      </c>
      <c r="Q2390" s="2" t="s">
        <v>24</v>
      </c>
      <c r="R2390" s="2" t="s">
        <v>12872</v>
      </c>
      <c r="T2390" t="s">
        <v>18666</v>
      </c>
      <c r="U2390" t="s">
        <v>18652</v>
      </c>
      <c r="V2390" s="104">
        <v>45857</v>
      </c>
      <c r="X2390" s="97"/>
      <c r="Y2390" s="75">
        <v>400.21</v>
      </c>
    </row>
    <row r="2391" spans="1:25" x14ac:dyDescent="0.25">
      <c r="A2391" s="76">
        <v>2423</v>
      </c>
      <c r="B2391" s="2" t="s">
        <v>7561</v>
      </c>
      <c r="C2391" s="2" t="s">
        <v>7562</v>
      </c>
      <c r="D2391" s="2" t="s">
        <v>7563</v>
      </c>
      <c r="E2391" s="2" t="s">
        <v>7564</v>
      </c>
      <c r="F2391" s="2" t="s">
        <v>7565</v>
      </c>
      <c r="G2391" s="2" t="s">
        <v>1104</v>
      </c>
      <c r="H2391" s="17">
        <v>25</v>
      </c>
      <c r="I2391" s="31">
        <f t="shared" si="234"/>
        <v>25000</v>
      </c>
      <c r="J2391" s="31">
        <f t="shared" si="235"/>
        <v>1750.0000000000002</v>
      </c>
      <c r="K2391" s="44">
        <f t="shared" si="236"/>
        <v>4.794520547945206</v>
      </c>
      <c r="L2391" s="3">
        <f t="shared" si="237"/>
        <v>354.79452054794524</v>
      </c>
      <c r="M2391" s="3">
        <f t="shared" si="238"/>
        <v>21.287671232876715</v>
      </c>
      <c r="N2391" s="67">
        <f t="shared" si="239"/>
        <v>333.50684931506851</v>
      </c>
      <c r="O2391" s="3"/>
      <c r="P2391" s="70" t="s">
        <v>18608</v>
      </c>
      <c r="Q2391" s="2" t="s">
        <v>24</v>
      </c>
      <c r="R2391" s="2" t="s">
        <v>7566</v>
      </c>
      <c r="T2391" t="s">
        <v>18666</v>
      </c>
      <c r="U2391" t="s">
        <v>18652</v>
      </c>
      <c r="V2391" s="104">
        <v>45857</v>
      </c>
      <c r="X2391" s="97"/>
      <c r="Y2391" s="75">
        <v>333.51</v>
      </c>
    </row>
    <row r="2392" spans="1:25" x14ac:dyDescent="0.25">
      <c r="A2392" s="76">
        <v>2424</v>
      </c>
      <c r="B2392" s="2" t="s">
        <v>17364</v>
      </c>
      <c r="C2392" s="2" t="s">
        <v>17365</v>
      </c>
      <c r="D2392" s="2" t="s">
        <v>17366</v>
      </c>
      <c r="E2392" s="2" t="s">
        <v>17367</v>
      </c>
      <c r="F2392" s="2" t="s">
        <v>17368</v>
      </c>
      <c r="G2392" s="2" t="s">
        <v>750</v>
      </c>
      <c r="H2392" s="17">
        <v>25</v>
      </c>
      <c r="I2392" s="31">
        <f t="shared" si="234"/>
        <v>25000</v>
      </c>
      <c r="J2392" s="31">
        <f t="shared" si="235"/>
        <v>1750.0000000000002</v>
      </c>
      <c r="K2392" s="44">
        <f t="shared" si="236"/>
        <v>4.794520547945206</v>
      </c>
      <c r="L2392" s="3">
        <f t="shared" si="237"/>
        <v>354.79452054794524</v>
      </c>
      <c r="M2392" s="3">
        <f t="shared" si="238"/>
        <v>21.287671232876715</v>
      </c>
      <c r="N2392" s="67">
        <f t="shared" si="239"/>
        <v>333.50684931506851</v>
      </c>
      <c r="O2392" s="3"/>
      <c r="P2392" s="70" t="s">
        <v>18608</v>
      </c>
      <c r="Q2392" s="2" t="s">
        <v>24</v>
      </c>
      <c r="R2392" s="2" t="s">
        <v>17369</v>
      </c>
      <c r="T2392" t="s">
        <v>18666</v>
      </c>
      <c r="U2392" t="s">
        <v>18652</v>
      </c>
      <c r="V2392" s="104">
        <v>45857</v>
      </c>
      <c r="X2392" s="97"/>
      <c r="Y2392" s="75">
        <v>333.51</v>
      </c>
    </row>
    <row r="2393" spans="1:25" x14ac:dyDescent="0.25">
      <c r="A2393" s="76">
        <v>2425</v>
      </c>
      <c r="B2393" s="2" t="s">
        <v>4789</v>
      </c>
      <c r="C2393" s="2" t="s">
        <v>4790</v>
      </c>
      <c r="D2393" s="2" t="s">
        <v>4791</v>
      </c>
      <c r="E2393" s="2" t="s">
        <v>4792</v>
      </c>
      <c r="F2393" s="2" t="s">
        <v>4793</v>
      </c>
      <c r="G2393" s="2" t="s">
        <v>381</v>
      </c>
      <c r="H2393" s="17">
        <v>55</v>
      </c>
      <c r="I2393" s="31">
        <f t="shared" si="234"/>
        <v>55000</v>
      </c>
      <c r="J2393" s="31">
        <f t="shared" si="235"/>
        <v>3850.0000000000005</v>
      </c>
      <c r="K2393" s="44">
        <f t="shared" si="236"/>
        <v>10.547945205479452</v>
      </c>
      <c r="L2393" s="3">
        <f t="shared" si="237"/>
        <v>780.54794520547944</v>
      </c>
      <c r="M2393" s="3">
        <f t="shared" si="238"/>
        <v>46.832876712328762</v>
      </c>
      <c r="N2393" s="67">
        <f t="shared" si="239"/>
        <v>733.71506849315062</v>
      </c>
      <c r="O2393" s="3"/>
      <c r="P2393" s="70" t="s">
        <v>18608</v>
      </c>
      <c r="Q2393" s="2" t="s">
        <v>24</v>
      </c>
      <c r="R2393" s="2" t="s">
        <v>4794</v>
      </c>
      <c r="T2393" t="s">
        <v>18666</v>
      </c>
      <c r="U2393" t="s">
        <v>18652</v>
      </c>
      <c r="V2393" s="104">
        <v>45857</v>
      </c>
      <c r="X2393" s="97"/>
      <c r="Y2393" s="75">
        <v>733.72</v>
      </c>
    </row>
    <row r="2394" spans="1:25" x14ac:dyDescent="0.25">
      <c r="A2394" s="76">
        <v>2426</v>
      </c>
      <c r="B2394" s="2" t="s">
        <v>15226</v>
      </c>
      <c r="C2394" s="2" t="s">
        <v>15227</v>
      </c>
      <c r="D2394" s="2" t="s">
        <v>15228</v>
      </c>
      <c r="E2394" s="2" t="s">
        <v>15229</v>
      </c>
      <c r="F2394" s="2" t="s">
        <v>15230</v>
      </c>
      <c r="G2394" s="2" t="s">
        <v>39</v>
      </c>
      <c r="H2394" s="17">
        <v>25</v>
      </c>
      <c r="I2394" s="31">
        <f t="shared" si="234"/>
        <v>25000</v>
      </c>
      <c r="J2394" s="31">
        <f t="shared" si="235"/>
        <v>1750.0000000000002</v>
      </c>
      <c r="K2394" s="44">
        <f t="shared" si="236"/>
        <v>4.794520547945206</v>
      </c>
      <c r="L2394" s="3">
        <f t="shared" si="237"/>
        <v>354.79452054794524</v>
      </c>
      <c r="M2394" s="3">
        <f t="shared" si="238"/>
        <v>21.287671232876715</v>
      </c>
      <c r="N2394" s="67">
        <f t="shared" si="239"/>
        <v>333.50684931506851</v>
      </c>
      <c r="O2394" s="3"/>
      <c r="P2394" s="70" t="s">
        <v>18608</v>
      </c>
      <c r="Q2394" s="2" t="s">
        <v>24</v>
      </c>
      <c r="R2394" s="2" t="s">
        <v>15231</v>
      </c>
      <c r="T2394" t="s">
        <v>18666</v>
      </c>
      <c r="U2394" t="s">
        <v>18652</v>
      </c>
      <c r="V2394" s="104">
        <v>45857</v>
      </c>
      <c r="X2394" s="97"/>
      <c r="Y2394" s="75">
        <v>333.51</v>
      </c>
    </row>
    <row r="2395" spans="1:25" x14ac:dyDescent="0.25">
      <c r="A2395" s="76">
        <v>2427</v>
      </c>
      <c r="B2395" s="2" t="s">
        <v>5661</v>
      </c>
      <c r="C2395" s="2" t="s">
        <v>5662</v>
      </c>
      <c r="D2395" s="2" t="s">
        <v>5663</v>
      </c>
      <c r="E2395" s="2" t="s">
        <v>5664</v>
      </c>
      <c r="F2395" s="2" t="s">
        <v>5665</v>
      </c>
      <c r="G2395" s="2" t="s">
        <v>31</v>
      </c>
      <c r="H2395" s="17">
        <v>25</v>
      </c>
      <c r="I2395" s="31">
        <f t="shared" si="234"/>
        <v>25000</v>
      </c>
      <c r="J2395" s="31">
        <f t="shared" si="235"/>
        <v>1750.0000000000002</v>
      </c>
      <c r="K2395" s="44">
        <f t="shared" si="236"/>
        <v>4.794520547945206</v>
      </c>
      <c r="L2395" s="3">
        <f t="shared" si="237"/>
        <v>354.79452054794524</v>
      </c>
      <c r="M2395" s="3">
        <f t="shared" si="238"/>
        <v>21.287671232876715</v>
      </c>
      <c r="N2395" s="67">
        <f t="shared" si="239"/>
        <v>333.50684931506851</v>
      </c>
      <c r="O2395" s="3"/>
      <c r="P2395" s="70" t="s">
        <v>18608</v>
      </c>
      <c r="Q2395" s="2" t="s">
        <v>24</v>
      </c>
      <c r="R2395" s="2" t="s">
        <v>5666</v>
      </c>
      <c r="T2395" t="s">
        <v>18666</v>
      </c>
      <c r="U2395" t="s">
        <v>18652</v>
      </c>
      <c r="V2395" s="104">
        <v>45857</v>
      </c>
      <c r="X2395" s="97"/>
      <c r="Y2395" s="75">
        <v>333.51</v>
      </c>
    </row>
    <row r="2396" spans="1:25" x14ac:dyDescent="0.25">
      <c r="A2396" s="76">
        <v>2428</v>
      </c>
      <c r="B2396" s="2" t="s">
        <v>12513</v>
      </c>
      <c r="C2396" s="2" t="s">
        <v>12514</v>
      </c>
      <c r="D2396" s="2" t="s">
        <v>12515</v>
      </c>
      <c r="E2396" s="2" t="s">
        <v>12516</v>
      </c>
      <c r="F2396" s="2" t="s">
        <v>12517</v>
      </c>
      <c r="G2396" s="2" t="s">
        <v>247</v>
      </c>
      <c r="H2396" s="17">
        <v>25</v>
      </c>
      <c r="I2396" s="31">
        <f t="shared" si="234"/>
        <v>25000</v>
      </c>
      <c r="J2396" s="31">
        <f t="shared" si="235"/>
        <v>1750.0000000000002</v>
      </c>
      <c r="K2396" s="44">
        <f t="shared" si="236"/>
        <v>4.794520547945206</v>
      </c>
      <c r="L2396" s="3">
        <f t="shared" si="237"/>
        <v>354.79452054794524</v>
      </c>
      <c r="M2396" s="3">
        <f t="shared" si="238"/>
        <v>21.287671232876715</v>
      </c>
      <c r="N2396" s="67">
        <f t="shared" si="239"/>
        <v>333.50684931506851</v>
      </c>
      <c r="O2396" s="3"/>
      <c r="P2396" s="70" t="s">
        <v>18608</v>
      </c>
      <c r="Q2396" s="2" t="s">
        <v>24</v>
      </c>
      <c r="R2396" s="2" t="s">
        <v>12518</v>
      </c>
      <c r="T2396" t="s">
        <v>18666</v>
      </c>
      <c r="U2396" t="s">
        <v>18652</v>
      </c>
      <c r="V2396" s="104">
        <v>45857</v>
      </c>
      <c r="X2396" s="97"/>
      <c r="Y2396" s="75">
        <v>333.51</v>
      </c>
    </row>
    <row r="2397" spans="1:25" x14ac:dyDescent="0.25">
      <c r="A2397" s="76">
        <v>2429</v>
      </c>
      <c r="B2397" s="2" t="s">
        <v>6166</v>
      </c>
      <c r="C2397" s="2" t="s">
        <v>6167</v>
      </c>
      <c r="D2397" s="2" t="s">
        <v>6168</v>
      </c>
      <c r="E2397" s="2" t="s">
        <v>6169</v>
      </c>
      <c r="F2397" s="2" t="s">
        <v>6170</v>
      </c>
      <c r="G2397" s="2" t="s">
        <v>599</v>
      </c>
      <c r="H2397" s="17">
        <v>25</v>
      </c>
      <c r="I2397" s="31">
        <f t="shared" si="234"/>
        <v>25000</v>
      </c>
      <c r="J2397" s="31">
        <f t="shared" si="235"/>
        <v>1750.0000000000002</v>
      </c>
      <c r="K2397" s="44">
        <f t="shared" si="236"/>
        <v>4.794520547945206</v>
      </c>
      <c r="L2397" s="3">
        <f t="shared" si="237"/>
        <v>354.79452054794524</v>
      </c>
      <c r="M2397" s="3">
        <f t="shared" si="238"/>
        <v>21.287671232876715</v>
      </c>
      <c r="N2397" s="67">
        <f t="shared" si="239"/>
        <v>333.50684931506851</v>
      </c>
      <c r="O2397" s="3"/>
      <c r="P2397" s="70" t="s">
        <v>18608</v>
      </c>
      <c r="Q2397" s="2" t="s">
        <v>24</v>
      </c>
      <c r="R2397" s="2" t="s">
        <v>6171</v>
      </c>
      <c r="T2397" t="s">
        <v>18666</v>
      </c>
      <c r="U2397" t="s">
        <v>18652</v>
      </c>
      <c r="V2397" s="104">
        <v>45857</v>
      </c>
      <c r="X2397" s="97"/>
      <c r="Y2397" s="75">
        <v>333.51</v>
      </c>
    </row>
    <row r="2398" spans="1:25" x14ac:dyDescent="0.25">
      <c r="A2398" s="76">
        <v>2430</v>
      </c>
      <c r="B2398" s="2" t="s">
        <v>5672</v>
      </c>
      <c r="C2398" s="2" t="s">
        <v>5673</v>
      </c>
      <c r="D2398" s="2" t="s">
        <v>5674</v>
      </c>
      <c r="E2398" s="2" t="s">
        <v>5675</v>
      </c>
      <c r="F2398" s="2" t="s">
        <v>5676</v>
      </c>
      <c r="G2398" s="2" t="s">
        <v>412</v>
      </c>
      <c r="H2398" s="17">
        <v>25</v>
      </c>
      <c r="I2398" s="31">
        <f t="shared" si="234"/>
        <v>25000</v>
      </c>
      <c r="J2398" s="31">
        <f t="shared" si="235"/>
        <v>1750.0000000000002</v>
      </c>
      <c r="K2398" s="44">
        <f t="shared" si="236"/>
        <v>4.794520547945206</v>
      </c>
      <c r="L2398" s="3">
        <f t="shared" si="237"/>
        <v>354.79452054794524</v>
      </c>
      <c r="M2398" s="3">
        <f t="shared" si="238"/>
        <v>21.287671232876715</v>
      </c>
      <c r="N2398" s="67">
        <f t="shared" si="239"/>
        <v>333.50684931506851</v>
      </c>
      <c r="O2398" s="3"/>
      <c r="P2398" s="70" t="s">
        <v>18608</v>
      </c>
      <c r="Q2398" s="2" t="s">
        <v>24</v>
      </c>
      <c r="R2398" s="2" t="s">
        <v>5677</v>
      </c>
      <c r="T2398" t="s">
        <v>18666</v>
      </c>
      <c r="U2398" t="s">
        <v>18652</v>
      </c>
      <c r="V2398" s="104">
        <v>45857</v>
      </c>
      <c r="X2398" s="97"/>
      <c r="Y2398" s="75">
        <v>333.51</v>
      </c>
    </row>
    <row r="2399" spans="1:25" x14ac:dyDescent="0.25">
      <c r="A2399" s="76">
        <v>2431</v>
      </c>
      <c r="B2399" s="2" t="s">
        <v>17399</v>
      </c>
      <c r="C2399" s="2" t="s">
        <v>17400</v>
      </c>
      <c r="D2399" s="2" t="s">
        <v>5730</v>
      </c>
      <c r="E2399" s="2" t="s">
        <v>17401</v>
      </c>
      <c r="F2399" s="2" t="s">
        <v>17402</v>
      </c>
      <c r="G2399" s="2" t="s">
        <v>247</v>
      </c>
      <c r="H2399" s="17">
        <v>50</v>
      </c>
      <c r="I2399" s="31">
        <f t="shared" si="234"/>
        <v>50000</v>
      </c>
      <c r="J2399" s="31">
        <f t="shared" si="235"/>
        <v>3500.0000000000005</v>
      </c>
      <c r="K2399" s="44">
        <f t="shared" si="236"/>
        <v>9.589041095890412</v>
      </c>
      <c r="L2399" s="3">
        <f t="shared" si="237"/>
        <v>709.58904109589048</v>
      </c>
      <c r="M2399" s="3">
        <f t="shared" si="238"/>
        <v>42.57534246575343</v>
      </c>
      <c r="N2399" s="67">
        <f t="shared" si="239"/>
        <v>667.01369863013701</v>
      </c>
      <c r="O2399" s="3"/>
      <c r="P2399" s="70" t="s">
        <v>18608</v>
      </c>
      <c r="Q2399" s="2" t="s">
        <v>24</v>
      </c>
      <c r="R2399" s="2" t="s">
        <v>17403</v>
      </c>
      <c r="T2399" t="s">
        <v>18666</v>
      </c>
      <c r="U2399" t="s">
        <v>18652</v>
      </c>
      <c r="V2399" s="104">
        <v>45857</v>
      </c>
      <c r="X2399" s="97"/>
      <c r="Y2399" s="75">
        <v>667.02</v>
      </c>
    </row>
    <row r="2400" spans="1:25" x14ac:dyDescent="0.25">
      <c r="A2400" s="76">
        <v>2432</v>
      </c>
      <c r="B2400" s="2" t="s">
        <v>5728</v>
      </c>
      <c r="C2400" s="2" t="s">
        <v>5729</v>
      </c>
      <c r="D2400" s="2" t="s">
        <v>5730</v>
      </c>
      <c r="E2400" s="2" t="s">
        <v>5731</v>
      </c>
      <c r="F2400" s="2" t="s">
        <v>5732</v>
      </c>
      <c r="G2400" s="2" t="s">
        <v>226</v>
      </c>
      <c r="H2400" s="17">
        <v>25</v>
      </c>
      <c r="I2400" s="31">
        <f t="shared" si="234"/>
        <v>25000</v>
      </c>
      <c r="J2400" s="31">
        <f t="shared" si="235"/>
        <v>1750.0000000000002</v>
      </c>
      <c r="K2400" s="44">
        <f t="shared" si="236"/>
        <v>4.794520547945206</v>
      </c>
      <c r="L2400" s="3">
        <f t="shared" si="237"/>
        <v>354.79452054794524</v>
      </c>
      <c r="M2400" s="3">
        <f t="shared" si="238"/>
        <v>21.287671232876715</v>
      </c>
      <c r="N2400" s="67">
        <f t="shared" si="239"/>
        <v>333.50684931506851</v>
      </c>
      <c r="O2400" s="3"/>
      <c r="P2400" s="70" t="s">
        <v>18608</v>
      </c>
      <c r="Q2400" s="2" t="s">
        <v>24</v>
      </c>
      <c r="R2400" s="2" t="s">
        <v>5733</v>
      </c>
      <c r="T2400" t="s">
        <v>18666</v>
      </c>
      <c r="U2400" t="s">
        <v>18652</v>
      </c>
      <c r="V2400" s="104">
        <v>45857</v>
      </c>
      <c r="X2400" s="97"/>
      <c r="Y2400" s="75">
        <v>333.51</v>
      </c>
    </row>
    <row r="2401" spans="1:25" x14ac:dyDescent="0.25">
      <c r="A2401" s="76">
        <v>2433</v>
      </c>
      <c r="B2401" s="2" t="s">
        <v>12615</v>
      </c>
      <c r="C2401" s="2" t="s">
        <v>12616</v>
      </c>
      <c r="D2401" s="2" t="s">
        <v>12617</v>
      </c>
      <c r="E2401" s="2" t="s">
        <v>12618</v>
      </c>
      <c r="F2401" s="2" t="s">
        <v>12619</v>
      </c>
      <c r="G2401" s="2" t="s">
        <v>2380</v>
      </c>
      <c r="H2401" s="17">
        <v>25</v>
      </c>
      <c r="I2401" s="31">
        <f t="shared" si="234"/>
        <v>25000</v>
      </c>
      <c r="J2401" s="31">
        <f t="shared" si="235"/>
        <v>1750.0000000000002</v>
      </c>
      <c r="K2401" s="44">
        <f t="shared" si="236"/>
        <v>4.794520547945206</v>
      </c>
      <c r="L2401" s="3">
        <f t="shared" si="237"/>
        <v>354.79452054794524</v>
      </c>
      <c r="M2401" s="3">
        <f t="shared" si="238"/>
        <v>21.287671232876715</v>
      </c>
      <c r="N2401" s="67">
        <f t="shared" si="239"/>
        <v>333.50684931506851</v>
      </c>
      <c r="O2401" s="3"/>
      <c r="P2401" s="70" t="s">
        <v>18608</v>
      </c>
      <c r="Q2401" s="2" t="s">
        <v>24</v>
      </c>
      <c r="R2401" s="2" t="s">
        <v>12620</v>
      </c>
      <c r="T2401" t="s">
        <v>18666</v>
      </c>
      <c r="U2401" t="s">
        <v>18652</v>
      </c>
      <c r="V2401" s="104">
        <v>45857</v>
      </c>
      <c r="X2401" s="97"/>
      <c r="Y2401" s="75">
        <v>333.51</v>
      </c>
    </row>
    <row r="2402" spans="1:25" x14ac:dyDescent="0.25">
      <c r="A2402" s="76">
        <v>2434</v>
      </c>
      <c r="B2402" s="2" t="s">
        <v>4316</v>
      </c>
      <c r="C2402" s="2" t="s">
        <v>4317</v>
      </c>
      <c r="D2402" s="2" t="s">
        <v>4318</v>
      </c>
      <c r="E2402" s="2" t="s">
        <v>4319</v>
      </c>
      <c r="F2402" s="2" t="s">
        <v>4320</v>
      </c>
      <c r="G2402" s="2" t="s">
        <v>296</v>
      </c>
      <c r="H2402" s="17">
        <v>25</v>
      </c>
      <c r="I2402" s="31">
        <f t="shared" si="234"/>
        <v>25000</v>
      </c>
      <c r="J2402" s="31">
        <f t="shared" si="235"/>
        <v>1750.0000000000002</v>
      </c>
      <c r="K2402" s="44">
        <f t="shared" si="236"/>
        <v>4.794520547945206</v>
      </c>
      <c r="L2402" s="3">
        <f t="shared" si="237"/>
        <v>354.79452054794524</v>
      </c>
      <c r="M2402" s="3">
        <f t="shared" si="238"/>
        <v>21.287671232876715</v>
      </c>
      <c r="N2402" s="67">
        <f t="shared" si="239"/>
        <v>333.50684931506851</v>
      </c>
      <c r="O2402" s="3"/>
      <c r="P2402" s="70" t="s">
        <v>18608</v>
      </c>
      <c r="Q2402" s="2" t="s">
        <v>24</v>
      </c>
      <c r="R2402" s="2" t="s">
        <v>4321</v>
      </c>
      <c r="T2402" t="s">
        <v>18666</v>
      </c>
      <c r="U2402" t="s">
        <v>18652</v>
      </c>
      <c r="V2402" s="104">
        <v>45857</v>
      </c>
      <c r="X2402" s="97"/>
      <c r="Y2402" s="75">
        <v>333.51</v>
      </c>
    </row>
    <row r="2403" spans="1:25" x14ac:dyDescent="0.25">
      <c r="A2403" s="76">
        <v>2435</v>
      </c>
      <c r="B2403" s="2" t="s">
        <v>6642</v>
      </c>
      <c r="C2403" s="2" t="s">
        <v>6643</v>
      </c>
      <c r="D2403" s="2" t="s">
        <v>6644</v>
      </c>
      <c r="E2403" s="2" t="s">
        <v>6645</v>
      </c>
      <c r="F2403" s="2" t="s">
        <v>6646</v>
      </c>
      <c r="G2403" s="2" t="s">
        <v>1570</v>
      </c>
      <c r="H2403" s="17">
        <v>50</v>
      </c>
      <c r="I2403" s="31">
        <f t="shared" si="234"/>
        <v>50000</v>
      </c>
      <c r="J2403" s="31">
        <f t="shared" si="235"/>
        <v>3500.0000000000005</v>
      </c>
      <c r="K2403" s="44">
        <f t="shared" si="236"/>
        <v>9.589041095890412</v>
      </c>
      <c r="L2403" s="3">
        <f t="shared" si="237"/>
        <v>709.58904109589048</v>
      </c>
      <c r="M2403" s="3">
        <f t="shared" si="238"/>
        <v>42.57534246575343</v>
      </c>
      <c r="N2403" s="67">
        <f t="shared" si="239"/>
        <v>667.01369863013701</v>
      </c>
      <c r="O2403" s="3"/>
      <c r="P2403" s="70" t="s">
        <v>18608</v>
      </c>
      <c r="Q2403" s="2" t="s">
        <v>24</v>
      </c>
      <c r="R2403" s="2" t="s">
        <v>6647</v>
      </c>
      <c r="T2403" t="s">
        <v>18666</v>
      </c>
      <c r="U2403" t="s">
        <v>18652</v>
      </c>
      <c r="V2403" s="104">
        <v>45857</v>
      </c>
      <c r="X2403" s="97"/>
      <c r="Y2403" s="75">
        <v>667.02</v>
      </c>
    </row>
    <row r="2404" spans="1:25" x14ac:dyDescent="0.25">
      <c r="A2404" s="76">
        <v>2436</v>
      </c>
      <c r="B2404" s="2" t="s">
        <v>5533</v>
      </c>
      <c r="C2404" s="2" t="s">
        <v>5534</v>
      </c>
      <c r="D2404" s="2" t="s">
        <v>5535</v>
      </c>
      <c r="E2404" s="2" t="s">
        <v>5536</v>
      </c>
      <c r="F2404" s="2" t="s">
        <v>5537</v>
      </c>
      <c r="G2404" s="2" t="s">
        <v>517</v>
      </c>
      <c r="H2404" s="17">
        <v>25</v>
      </c>
      <c r="I2404" s="31">
        <f t="shared" si="234"/>
        <v>25000</v>
      </c>
      <c r="J2404" s="31">
        <f t="shared" si="235"/>
        <v>1750.0000000000002</v>
      </c>
      <c r="K2404" s="44">
        <f t="shared" si="236"/>
        <v>4.794520547945206</v>
      </c>
      <c r="L2404" s="3">
        <f t="shared" si="237"/>
        <v>354.79452054794524</v>
      </c>
      <c r="M2404" s="3">
        <f t="shared" si="238"/>
        <v>21.287671232876715</v>
      </c>
      <c r="N2404" s="67">
        <f t="shared" si="239"/>
        <v>333.50684931506851</v>
      </c>
      <c r="O2404" s="3"/>
      <c r="P2404" s="70" t="s">
        <v>18608</v>
      </c>
      <c r="Q2404" s="2" t="s">
        <v>24</v>
      </c>
      <c r="R2404" s="2" t="s">
        <v>5538</v>
      </c>
      <c r="T2404" t="s">
        <v>18666</v>
      </c>
      <c r="U2404" t="s">
        <v>18652</v>
      </c>
      <c r="V2404" s="104">
        <v>45857</v>
      </c>
      <c r="X2404" s="97"/>
      <c r="Y2404" s="75">
        <v>333.51</v>
      </c>
    </row>
    <row r="2405" spans="1:25" x14ac:dyDescent="0.25">
      <c r="A2405" s="76">
        <v>2437</v>
      </c>
      <c r="B2405" s="2" t="s">
        <v>970</v>
      </c>
      <c r="C2405" s="2" t="s">
        <v>971</v>
      </c>
      <c r="D2405" s="2" t="s">
        <v>972</v>
      </c>
      <c r="E2405" s="2" t="s">
        <v>973</v>
      </c>
      <c r="F2405" s="2" t="s">
        <v>974</v>
      </c>
      <c r="G2405" s="2" t="s">
        <v>247</v>
      </c>
      <c r="H2405" s="17">
        <v>50</v>
      </c>
      <c r="I2405" s="31">
        <f t="shared" si="234"/>
        <v>50000</v>
      </c>
      <c r="J2405" s="31">
        <f t="shared" si="235"/>
        <v>3500.0000000000005</v>
      </c>
      <c r="K2405" s="44">
        <f t="shared" si="236"/>
        <v>9.589041095890412</v>
      </c>
      <c r="L2405" s="3">
        <f t="shared" si="237"/>
        <v>709.58904109589048</v>
      </c>
      <c r="M2405" s="3">
        <f t="shared" si="238"/>
        <v>42.57534246575343</v>
      </c>
      <c r="N2405" s="67">
        <f t="shared" si="239"/>
        <v>667.01369863013701</v>
      </c>
      <c r="O2405" s="3"/>
      <c r="P2405" s="70" t="s">
        <v>18608</v>
      </c>
      <c r="Q2405" s="2" t="s">
        <v>24</v>
      </c>
      <c r="R2405" s="2" t="s">
        <v>975</v>
      </c>
      <c r="T2405" t="s">
        <v>18666</v>
      </c>
      <c r="U2405" t="s">
        <v>18652</v>
      </c>
      <c r="V2405" s="104">
        <v>45857</v>
      </c>
      <c r="X2405" s="97"/>
      <c r="Y2405" s="75">
        <v>667.02</v>
      </c>
    </row>
    <row r="2406" spans="1:25" x14ac:dyDescent="0.25">
      <c r="A2406" s="76">
        <v>2438</v>
      </c>
      <c r="B2406" s="2" t="s">
        <v>4953</v>
      </c>
      <c r="C2406" s="2" t="s">
        <v>4954</v>
      </c>
      <c r="D2406" s="2" t="s">
        <v>4955</v>
      </c>
      <c r="E2406" s="2" t="s">
        <v>4956</v>
      </c>
      <c r="F2406" s="2" t="s">
        <v>4957</v>
      </c>
      <c r="G2406" s="2" t="s">
        <v>580</v>
      </c>
      <c r="H2406" s="17">
        <v>50</v>
      </c>
      <c r="I2406" s="31">
        <f t="shared" si="234"/>
        <v>50000</v>
      </c>
      <c r="J2406" s="31">
        <f t="shared" si="235"/>
        <v>3500.0000000000005</v>
      </c>
      <c r="K2406" s="44">
        <f t="shared" si="236"/>
        <v>9.589041095890412</v>
      </c>
      <c r="L2406" s="3">
        <f t="shared" si="237"/>
        <v>709.58904109589048</v>
      </c>
      <c r="M2406" s="3">
        <f t="shared" si="238"/>
        <v>42.57534246575343</v>
      </c>
      <c r="N2406" s="67">
        <f t="shared" si="239"/>
        <v>667.01369863013701</v>
      </c>
      <c r="O2406" s="3"/>
      <c r="P2406" s="70" t="s">
        <v>18608</v>
      </c>
      <c r="Q2406" s="2" t="s">
        <v>24</v>
      </c>
      <c r="R2406" s="2" t="s">
        <v>4958</v>
      </c>
      <c r="T2406" t="s">
        <v>18666</v>
      </c>
      <c r="U2406" t="s">
        <v>18652</v>
      </c>
      <c r="V2406" s="104">
        <v>45857</v>
      </c>
      <c r="X2406" s="97"/>
      <c r="Y2406" s="75">
        <v>667.02</v>
      </c>
    </row>
    <row r="2407" spans="1:25" x14ac:dyDescent="0.25">
      <c r="A2407" s="76">
        <v>2439</v>
      </c>
      <c r="B2407" s="2" t="s">
        <v>575</v>
      </c>
      <c r="C2407" s="2" t="s">
        <v>576</v>
      </c>
      <c r="D2407" s="2" t="s">
        <v>577</v>
      </c>
      <c r="E2407" s="2" t="s">
        <v>578</v>
      </c>
      <c r="F2407" s="2" t="s">
        <v>579</v>
      </c>
      <c r="G2407" s="2" t="s">
        <v>580</v>
      </c>
      <c r="H2407" s="17">
        <v>25</v>
      </c>
      <c r="I2407" s="31">
        <f t="shared" si="234"/>
        <v>25000</v>
      </c>
      <c r="J2407" s="31">
        <f t="shared" si="235"/>
        <v>1750.0000000000002</v>
      </c>
      <c r="K2407" s="44">
        <f t="shared" si="236"/>
        <v>4.794520547945206</v>
      </c>
      <c r="L2407" s="3">
        <f t="shared" si="237"/>
        <v>354.79452054794524</v>
      </c>
      <c r="M2407" s="3">
        <f t="shared" si="238"/>
        <v>21.287671232876715</v>
      </c>
      <c r="N2407" s="67">
        <f t="shared" si="239"/>
        <v>333.50684931506851</v>
      </c>
      <c r="O2407" s="3"/>
      <c r="P2407" s="70" t="s">
        <v>18608</v>
      </c>
      <c r="Q2407" s="2" t="s">
        <v>24</v>
      </c>
      <c r="R2407" s="2" t="s">
        <v>581</v>
      </c>
      <c r="T2407" t="s">
        <v>18666</v>
      </c>
      <c r="U2407" t="s">
        <v>18652</v>
      </c>
      <c r="V2407" s="104">
        <v>45857</v>
      </c>
      <c r="X2407" s="97"/>
      <c r="Y2407" s="75">
        <v>333.51</v>
      </c>
    </row>
    <row r="2408" spans="1:25" x14ac:dyDescent="0.25">
      <c r="A2408" s="76">
        <v>2440</v>
      </c>
      <c r="B2408" s="2" t="s">
        <v>12123</v>
      </c>
      <c r="C2408" s="2" t="s">
        <v>12124</v>
      </c>
      <c r="D2408" s="2" t="s">
        <v>12125</v>
      </c>
      <c r="E2408" s="2" t="s">
        <v>12126</v>
      </c>
      <c r="F2408" s="2" t="s">
        <v>12127</v>
      </c>
      <c r="G2408" s="2" t="s">
        <v>275</v>
      </c>
      <c r="H2408" s="17">
        <v>25</v>
      </c>
      <c r="I2408" s="31">
        <f t="shared" si="234"/>
        <v>25000</v>
      </c>
      <c r="J2408" s="31">
        <f t="shared" si="235"/>
        <v>1750.0000000000002</v>
      </c>
      <c r="K2408" s="44">
        <f t="shared" si="236"/>
        <v>4.794520547945206</v>
      </c>
      <c r="L2408" s="3">
        <f t="shared" si="237"/>
        <v>354.79452054794524</v>
      </c>
      <c r="M2408" s="3">
        <f t="shared" si="238"/>
        <v>21.287671232876715</v>
      </c>
      <c r="N2408" s="67">
        <f t="shared" si="239"/>
        <v>333.50684931506851</v>
      </c>
      <c r="O2408" s="3"/>
      <c r="P2408" s="70" t="s">
        <v>18608</v>
      </c>
      <c r="Q2408" s="2" t="s">
        <v>24</v>
      </c>
      <c r="R2408" s="2" t="s">
        <v>12128</v>
      </c>
      <c r="T2408" t="s">
        <v>18666</v>
      </c>
      <c r="U2408" t="s">
        <v>18652</v>
      </c>
      <c r="V2408" s="104">
        <v>45857</v>
      </c>
      <c r="X2408" s="97"/>
      <c r="Y2408" s="75">
        <v>333.51</v>
      </c>
    </row>
    <row r="2409" spans="1:25" x14ac:dyDescent="0.25">
      <c r="A2409" s="76">
        <v>2441</v>
      </c>
      <c r="B2409" s="2" t="s">
        <v>1766</v>
      </c>
      <c r="C2409" s="2" t="s">
        <v>1767</v>
      </c>
      <c r="D2409" s="2" t="s">
        <v>1768</v>
      </c>
      <c r="E2409" s="2" t="s">
        <v>1769</v>
      </c>
      <c r="F2409" s="2" t="s">
        <v>1770</v>
      </c>
      <c r="G2409" s="2" t="s">
        <v>31</v>
      </c>
      <c r="H2409" s="17">
        <v>25</v>
      </c>
      <c r="I2409" s="31">
        <f t="shared" si="234"/>
        <v>25000</v>
      </c>
      <c r="J2409" s="31">
        <f t="shared" si="235"/>
        <v>1750.0000000000002</v>
      </c>
      <c r="K2409" s="44">
        <f t="shared" si="236"/>
        <v>4.794520547945206</v>
      </c>
      <c r="L2409" s="3">
        <f t="shared" si="237"/>
        <v>354.79452054794524</v>
      </c>
      <c r="M2409" s="3">
        <f t="shared" si="238"/>
        <v>21.287671232876715</v>
      </c>
      <c r="N2409" s="67">
        <f t="shared" si="239"/>
        <v>333.50684931506851</v>
      </c>
      <c r="O2409" s="3"/>
      <c r="P2409" s="70" t="s">
        <v>18608</v>
      </c>
      <c r="Q2409" s="2" t="s">
        <v>24</v>
      </c>
      <c r="R2409" s="2" t="s">
        <v>1771</v>
      </c>
      <c r="T2409" t="s">
        <v>18666</v>
      </c>
      <c r="U2409" t="s">
        <v>18652</v>
      </c>
      <c r="V2409" s="104">
        <v>45857</v>
      </c>
      <c r="X2409" s="97"/>
      <c r="Y2409" s="75">
        <v>333.51</v>
      </c>
    </row>
    <row r="2410" spans="1:25" x14ac:dyDescent="0.25">
      <c r="A2410" s="76">
        <v>2442</v>
      </c>
      <c r="B2410" s="2" t="s">
        <v>8881</v>
      </c>
      <c r="C2410" s="2" t="s">
        <v>8882</v>
      </c>
      <c r="D2410" s="2" t="s">
        <v>6237</v>
      </c>
      <c r="E2410" s="2" t="s">
        <v>8883</v>
      </c>
      <c r="F2410" s="2" t="s">
        <v>8884</v>
      </c>
      <c r="G2410" s="2" t="s">
        <v>31</v>
      </c>
      <c r="H2410" s="17">
        <v>100</v>
      </c>
      <c r="I2410" s="31">
        <f t="shared" si="234"/>
        <v>100000</v>
      </c>
      <c r="J2410" s="31">
        <f t="shared" si="235"/>
        <v>7000.0000000000009</v>
      </c>
      <c r="K2410" s="44">
        <f t="shared" si="236"/>
        <v>19.178082191780824</v>
      </c>
      <c r="L2410" s="3">
        <f t="shared" si="237"/>
        <v>1419.178082191781</v>
      </c>
      <c r="M2410" s="3">
        <f t="shared" si="238"/>
        <v>85.150684931506859</v>
      </c>
      <c r="N2410" s="67">
        <f t="shared" si="239"/>
        <v>1334.027397260274</v>
      </c>
      <c r="O2410" s="3"/>
      <c r="P2410" s="70" t="s">
        <v>18608</v>
      </c>
      <c r="Q2410" s="2" t="s">
        <v>24</v>
      </c>
      <c r="R2410" s="2" t="s">
        <v>8885</v>
      </c>
      <c r="T2410" t="s">
        <v>18666</v>
      </c>
      <c r="U2410" t="s">
        <v>18652</v>
      </c>
      <c r="V2410" s="104">
        <v>45857</v>
      </c>
      <c r="X2410" s="97"/>
      <c r="Y2410" s="75">
        <v>1334.03</v>
      </c>
    </row>
    <row r="2411" spans="1:25" x14ac:dyDescent="0.25">
      <c r="A2411" s="76">
        <v>2443</v>
      </c>
      <c r="B2411" s="2" t="s">
        <v>182</v>
      </c>
      <c r="C2411" s="2" t="s">
        <v>183</v>
      </c>
      <c r="D2411" s="2" t="s">
        <v>184</v>
      </c>
      <c r="E2411" s="2" t="s">
        <v>183</v>
      </c>
      <c r="F2411" s="2" t="s">
        <v>185</v>
      </c>
      <c r="G2411" s="2" t="s">
        <v>186</v>
      </c>
      <c r="H2411" s="17">
        <v>25</v>
      </c>
      <c r="I2411" s="31">
        <f t="shared" si="234"/>
        <v>25000</v>
      </c>
      <c r="J2411" s="31">
        <f t="shared" si="235"/>
        <v>1750.0000000000002</v>
      </c>
      <c r="K2411" s="44">
        <f t="shared" si="236"/>
        <v>4.794520547945206</v>
      </c>
      <c r="L2411" s="3">
        <f t="shared" si="237"/>
        <v>354.79452054794524</v>
      </c>
      <c r="M2411" s="3">
        <f t="shared" si="238"/>
        <v>21.287671232876715</v>
      </c>
      <c r="N2411" s="67">
        <f t="shared" si="239"/>
        <v>333.50684931506851</v>
      </c>
      <c r="O2411" s="3"/>
      <c r="P2411" s="70" t="s">
        <v>18608</v>
      </c>
      <c r="Q2411" s="2" t="s">
        <v>24</v>
      </c>
      <c r="R2411" s="2" t="s">
        <v>187</v>
      </c>
      <c r="T2411" t="s">
        <v>18666</v>
      </c>
      <c r="U2411" t="s">
        <v>18652</v>
      </c>
      <c r="V2411" s="104">
        <v>45857</v>
      </c>
      <c r="X2411" s="97"/>
      <c r="Y2411" s="75">
        <v>333.51</v>
      </c>
    </row>
    <row r="2412" spans="1:25" x14ac:dyDescent="0.25">
      <c r="A2412" s="76">
        <v>2444</v>
      </c>
      <c r="B2412" s="2" t="s">
        <v>7161</v>
      </c>
      <c r="C2412" s="2" t="s">
        <v>7162</v>
      </c>
      <c r="D2412" s="2" t="s">
        <v>7163</v>
      </c>
      <c r="E2412" s="2" t="s">
        <v>7164</v>
      </c>
      <c r="F2412" s="2" t="s">
        <v>7165</v>
      </c>
      <c r="G2412" s="2" t="s">
        <v>2571</v>
      </c>
      <c r="H2412" s="17">
        <v>25</v>
      </c>
      <c r="I2412" s="31">
        <f t="shared" si="234"/>
        <v>25000</v>
      </c>
      <c r="J2412" s="31">
        <f t="shared" si="235"/>
        <v>1750.0000000000002</v>
      </c>
      <c r="K2412" s="44">
        <f t="shared" si="236"/>
        <v>4.794520547945206</v>
      </c>
      <c r="L2412" s="3">
        <f t="shared" si="237"/>
        <v>354.79452054794524</v>
      </c>
      <c r="M2412" s="3">
        <f t="shared" si="238"/>
        <v>21.287671232876715</v>
      </c>
      <c r="N2412" s="67">
        <f t="shared" si="239"/>
        <v>333.50684931506851</v>
      </c>
      <c r="O2412" s="3"/>
      <c r="P2412" s="70" t="s">
        <v>18608</v>
      </c>
      <c r="Q2412" s="2" t="s">
        <v>24</v>
      </c>
      <c r="R2412" s="2" t="s">
        <v>7166</v>
      </c>
      <c r="T2412" t="s">
        <v>18666</v>
      </c>
      <c r="U2412" t="s">
        <v>18652</v>
      </c>
      <c r="V2412" s="104">
        <v>45857</v>
      </c>
      <c r="X2412" s="97"/>
      <c r="Y2412" s="75">
        <v>333.51</v>
      </c>
    </row>
    <row r="2413" spans="1:25" x14ac:dyDescent="0.25">
      <c r="A2413" s="76">
        <v>2445</v>
      </c>
      <c r="B2413" s="2" t="s">
        <v>11685</v>
      </c>
      <c r="C2413" s="2" t="s">
        <v>11686</v>
      </c>
      <c r="D2413" s="2" t="s">
        <v>11687</v>
      </c>
      <c r="E2413" s="2" t="s">
        <v>11688</v>
      </c>
      <c r="F2413" s="2" t="s">
        <v>11689</v>
      </c>
      <c r="G2413" s="2" t="s">
        <v>31</v>
      </c>
      <c r="H2413" s="17">
        <v>2000</v>
      </c>
      <c r="I2413" s="31">
        <f t="shared" si="234"/>
        <v>2000000</v>
      </c>
      <c r="J2413" s="31">
        <f t="shared" si="235"/>
        <v>140000</v>
      </c>
      <c r="K2413" s="44">
        <f t="shared" si="236"/>
        <v>383.56164383561645</v>
      </c>
      <c r="L2413" s="3">
        <f t="shared" si="237"/>
        <v>28383.561643835616</v>
      </c>
      <c r="M2413" s="3">
        <f t="shared" si="238"/>
        <v>1703.0136986301368</v>
      </c>
      <c r="N2413" s="67">
        <f t="shared" si="239"/>
        <v>26680.547945205479</v>
      </c>
      <c r="O2413" s="3"/>
      <c r="P2413" s="70" t="s">
        <v>18608</v>
      </c>
      <c r="Q2413" s="2" t="s">
        <v>24</v>
      </c>
      <c r="R2413" s="2" t="s">
        <v>11690</v>
      </c>
      <c r="T2413" t="s">
        <v>18666</v>
      </c>
      <c r="U2413" t="s">
        <v>18652</v>
      </c>
      <c r="V2413" s="104">
        <v>45857</v>
      </c>
      <c r="X2413" s="97"/>
      <c r="Y2413" s="75">
        <v>26680.55</v>
      </c>
    </row>
    <row r="2414" spans="1:25" x14ac:dyDescent="0.25">
      <c r="A2414" s="76">
        <v>2446</v>
      </c>
      <c r="B2414" s="2" t="s">
        <v>15720</v>
      </c>
      <c r="C2414" s="2" t="s">
        <v>15721</v>
      </c>
      <c r="D2414" s="2" t="s">
        <v>15722</v>
      </c>
      <c r="E2414" s="2" t="s">
        <v>15723</v>
      </c>
      <c r="F2414" s="2" t="s">
        <v>15724</v>
      </c>
      <c r="G2414" s="2" t="s">
        <v>247</v>
      </c>
      <c r="H2414" s="17">
        <v>50</v>
      </c>
      <c r="I2414" s="31">
        <f t="shared" si="234"/>
        <v>50000</v>
      </c>
      <c r="J2414" s="31">
        <f t="shared" si="235"/>
        <v>3500.0000000000005</v>
      </c>
      <c r="K2414" s="44">
        <f t="shared" si="236"/>
        <v>9.589041095890412</v>
      </c>
      <c r="L2414" s="3">
        <f t="shared" si="237"/>
        <v>709.58904109589048</v>
      </c>
      <c r="M2414" s="3">
        <f t="shared" si="238"/>
        <v>42.57534246575343</v>
      </c>
      <c r="N2414" s="67">
        <f t="shared" si="239"/>
        <v>667.01369863013701</v>
      </c>
      <c r="O2414" s="3"/>
      <c r="P2414" s="70" t="s">
        <v>18608</v>
      </c>
      <c r="Q2414" s="2" t="s">
        <v>24</v>
      </c>
      <c r="R2414" s="2" t="s">
        <v>15725</v>
      </c>
      <c r="T2414" t="s">
        <v>18666</v>
      </c>
      <c r="U2414" t="s">
        <v>18652</v>
      </c>
      <c r="V2414" s="104">
        <v>45857</v>
      </c>
      <c r="X2414" s="97"/>
      <c r="Y2414" s="75">
        <v>667.02</v>
      </c>
    </row>
    <row r="2415" spans="1:25" x14ac:dyDescent="0.25">
      <c r="A2415" s="76">
        <v>2447</v>
      </c>
      <c r="B2415" s="2" t="s">
        <v>7411</v>
      </c>
      <c r="C2415" s="2" t="s">
        <v>7412</v>
      </c>
      <c r="D2415" s="2" t="s">
        <v>7320</v>
      </c>
      <c r="E2415" s="2" t="s">
        <v>7321</v>
      </c>
      <c r="F2415" s="2" t="s">
        <v>7413</v>
      </c>
      <c r="G2415" s="2" t="s">
        <v>31</v>
      </c>
      <c r="H2415" s="17">
        <v>50</v>
      </c>
      <c r="I2415" s="31">
        <f t="shared" si="234"/>
        <v>50000</v>
      </c>
      <c r="J2415" s="31">
        <f t="shared" si="235"/>
        <v>3500.0000000000005</v>
      </c>
      <c r="K2415" s="44">
        <f t="shared" si="236"/>
        <v>9.589041095890412</v>
      </c>
      <c r="L2415" s="3">
        <f t="shared" si="237"/>
        <v>709.58904109589048</v>
      </c>
      <c r="M2415" s="3">
        <f t="shared" si="238"/>
        <v>42.57534246575343</v>
      </c>
      <c r="N2415" s="67">
        <f t="shared" si="239"/>
        <v>667.01369863013701</v>
      </c>
      <c r="O2415" s="3"/>
      <c r="P2415" s="70" t="s">
        <v>18608</v>
      </c>
      <c r="Q2415" s="2" t="s">
        <v>24</v>
      </c>
      <c r="R2415" s="2" t="s">
        <v>7414</v>
      </c>
      <c r="T2415" t="s">
        <v>18666</v>
      </c>
      <c r="U2415" t="s">
        <v>18652</v>
      </c>
      <c r="V2415" s="104">
        <v>45857</v>
      </c>
      <c r="X2415" s="97"/>
      <c r="Y2415" s="75">
        <v>667.02</v>
      </c>
    </row>
    <row r="2416" spans="1:25" x14ac:dyDescent="0.25">
      <c r="A2416" s="76">
        <v>2448</v>
      </c>
      <c r="B2416" s="2" t="s">
        <v>1547</v>
      </c>
      <c r="C2416" s="2" t="s">
        <v>1548</v>
      </c>
      <c r="D2416" s="2" t="s">
        <v>1549</v>
      </c>
      <c r="E2416" s="2" t="s">
        <v>1550</v>
      </c>
      <c r="F2416" s="2" t="s">
        <v>1551</v>
      </c>
      <c r="G2416" s="2" t="s">
        <v>151</v>
      </c>
      <c r="H2416" s="17">
        <v>25</v>
      </c>
      <c r="I2416" s="31">
        <f t="shared" si="234"/>
        <v>25000</v>
      </c>
      <c r="J2416" s="31">
        <f t="shared" si="235"/>
        <v>1750.0000000000002</v>
      </c>
      <c r="K2416" s="44">
        <f t="shared" si="236"/>
        <v>4.794520547945206</v>
      </c>
      <c r="L2416" s="3">
        <f t="shared" si="237"/>
        <v>354.79452054794524</v>
      </c>
      <c r="M2416" s="3">
        <f t="shared" si="238"/>
        <v>21.287671232876715</v>
      </c>
      <c r="N2416" s="67">
        <f t="shared" si="239"/>
        <v>333.50684931506851</v>
      </c>
      <c r="O2416" s="3"/>
      <c r="P2416" s="70" t="s">
        <v>18608</v>
      </c>
      <c r="Q2416" s="2" t="s">
        <v>24</v>
      </c>
      <c r="R2416" s="2" t="s">
        <v>1552</v>
      </c>
      <c r="T2416" t="s">
        <v>18666</v>
      </c>
      <c r="U2416" t="s">
        <v>18652</v>
      </c>
      <c r="V2416" s="104">
        <v>45857</v>
      </c>
      <c r="X2416" s="97"/>
      <c r="Y2416" s="75">
        <v>333.51</v>
      </c>
    </row>
    <row r="2417" spans="1:25" x14ac:dyDescent="0.25">
      <c r="A2417" s="76">
        <v>2449</v>
      </c>
      <c r="B2417" s="2" t="s">
        <v>3719</v>
      </c>
      <c r="C2417" s="2" t="s">
        <v>3720</v>
      </c>
      <c r="D2417" s="2" t="s">
        <v>3721</v>
      </c>
      <c r="E2417" s="2" t="s">
        <v>3722</v>
      </c>
      <c r="F2417" s="2" t="s">
        <v>3723</v>
      </c>
      <c r="G2417" s="2" t="s">
        <v>618</v>
      </c>
      <c r="H2417" s="17">
        <v>50</v>
      </c>
      <c r="I2417" s="31">
        <f t="shared" si="234"/>
        <v>50000</v>
      </c>
      <c r="J2417" s="31">
        <f t="shared" si="235"/>
        <v>3500.0000000000005</v>
      </c>
      <c r="K2417" s="44">
        <f t="shared" si="236"/>
        <v>9.589041095890412</v>
      </c>
      <c r="L2417" s="3">
        <f t="shared" si="237"/>
        <v>709.58904109589048</v>
      </c>
      <c r="M2417" s="3">
        <f t="shared" si="238"/>
        <v>42.57534246575343</v>
      </c>
      <c r="N2417" s="67">
        <f t="shared" si="239"/>
        <v>667.01369863013701</v>
      </c>
      <c r="O2417" s="3"/>
      <c r="P2417" s="70" t="s">
        <v>18608</v>
      </c>
      <c r="Q2417" s="2" t="s">
        <v>24</v>
      </c>
      <c r="R2417" s="2" t="s">
        <v>3724</v>
      </c>
      <c r="T2417" t="s">
        <v>18666</v>
      </c>
      <c r="U2417" t="s">
        <v>18652</v>
      </c>
      <c r="V2417" s="104">
        <v>45857</v>
      </c>
      <c r="X2417" s="97"/>
      <c r="Y2417" s="75">
        <v>667.02</v>
      </c>
    </row>
    <row r="2418" spans="1:25" x14ac:dyDescent="0.25">
      <c r="A2418" s="76">
        <v>2450</v>
      </c>
      <c r="B2418" s="2" t="s">
        <v>3560</v>
      </c>
      <c r="C2418" s="2" t="s">
        <v>3561</v>
      </c>
      <c r="D2418" s="2" t="s">
        <v>3562</v>
      </c>
      <c r="E2418" s="2" t="s">
        <v>3563</v>
      </c>
      <c r="F2418" s="2" t="s">
        <v>3564</v>
      </c>
      <c r="G2418" s="2" t="s">
        <v>517</v>
      </c>
      <c r="H2418" s="17">
        <v>400</v>
      </c>
      <c r="I2418" s="31">
        <f t="shared" si="234"/>
        <v>400000</v>
      </c>
      <c r="J2418" s="31">
        <f t="shared" si="235"/>
        <v>28000.000000000004</v>
      </c>
      <c r="K2418" s="44">
        <f t="shared" si="236"/>
        <v>76.712328767123296</v>
      </c>
      <c r="L2418" s="3">
        <f t="shared" si="237"/>
        <v>5676.7123287671238</v>
      </c>
      <c r="M2418" s="3">
        <f t="shared" si="238"/>
        <v>340.60273972602744</v>
      </c>
      <c r="N2418" s="67">
        <f t="shared" si="239"/>
        <v>5336.1095890410961</v>
      </c>
      <c r="O2418" s="3"/>
      <c r="P2418" s="70" t="s">
        <v>18608</v>
      </c>
      <c r="Q2418" s="2" t="s">
        <v>24</v>
      </c>
      <c r="R2418" s="2" t="s">
        <v>3565</v>
      </c>
      <c r="T2418" t="s">
        <v>18666</v>
      </c>
      <c r="U2418" t="s">
        <v>18652</v>
      </c>
      <c r="V2418" s="104">
        <v>45857</v>
      </c>
      <c r="X2418" s="97"/>
      <c r="Y2418" s="75">
        <v>5336.1100000000006</v>
      </c>
    </row>
    <row r="2419" spans="1:25" x14ac:dyDescent="0.25">
      <c r="A2419" s="76">
        <v>2451</v>
      </c>
      <c r="B2419" s="2" t="s">
        <v>12519</v>
      </c>
      <c r="C2419" s="2" t="s">
        <v>12520</v>
      </c>
      <c r="D2419" s="2" t="s">
        <v>12521</v>
      </c>
      <c r="E2419" s="2" t="s">
        <v>12522</v>
      </c>
      <c r="F2419" s="2" t="s">
        <v>12523</v>
      </c>
      <c r="G2419" s="2" t="s">
        <v>247</v>
      </c>
      <c r="H2419" s="17">
        <v>25</v>
      </c>
      <c r="I2419" s="31">
        <f t="shared" si="234"/>
        <v>25000</v>
      </c>
      <c r="J2419" s="31">
        <f t="shared" si="235"/>
        <v>1750.0000000000002</v>
      </c>
      <c r="K2419" s="44">
        <f t="shared" si="236"/>
        <v>4.794520547945206</v>
      </c>
      <c r="L2419" s="3">
        <f t="shared" si="237"/>
        <v>354.79452054794524</v>
      </c>
      <c r="M2419" s="3">
        <f t="shared" si="238"/>
        <v>21.287671232876715</v>
      </c>
      <c r="N2419" s="67">
        <f t="shared" si="239"/>
        <v>333.50684931506851</v>
      </c>
      <c r="O2419" s="3"/>
      <c r="P2419" s="70" t="s">
        <v>18608</v>
      </c>
      <c r="Q2419" s="2" t="s">
        <v>24</v>
      </c>
      <c r="R2419" s="2" t="s">
        <v>12524</v>
      </c>
      <c r="T2419" t="s">
        <v>18666</v>
      </c>
      <c r="U2419" t="s">
        <v>18652</v>
      </c>
      <c r="V2419" s="104">
        <v>45857</v>
      </c>
      <c r="X2419" s="97"/>
      <c r="Y2419" s="75">
        <v>333.51</v>
      </c>
    </row>
    <row r="2420" spans="1:25" x14ac:dyDescent="0.25">
      <c r="A2420" s="76">
        <v>2452</v>
      </c>
      <c r="B2420" s="2" t="s">
        <v>8920</v>
      </c>
      <c r="C2420" s="2" t="s">
        <v>8921</v>
      </c>
      <c r="D2420" s="2" t="s">
        <v>8922</v>
      </c>
      <c r="E2420" s="2" t="s">
        <v>8923</v>
      </c>
      <c r="F2420" s="2" t="s">
        <v>8924</v>
      </c>
      <c r="G2420" s="2" t="s">
        <v>23</v>
      </c>
      <c r="H2420" s="17">
        <v>25</v>
      </c>
      <c r="I2420" s="31">
        <f t="shared" si="234"/>
        <v>25000</v>
      </c>
      <c r="J2420" s="31">
        <f t="shared" si="235"/>
        <v>1750.0000000000002</v>
      </c>
      <c r="K2420" s="44">
        <f t="shared" si="236"/>
        <v>4.794520547945206</v>
      </c>
      <c r="L2420" s="3">
        <f t="shared" si="237"/>
        <v>354.79452054794524</v>
      </c>
      <c r="M2420" s="3">
        <f t="shared" si="238"/>
        <v>21.287671232876715</v>
      </c>
      <c r="N2420" s="67">
        <f t="shared" si="239"/>
        <v>333.50684931506851</v>
      </c>
      <c r="O2420" s="3"/>
      <c r="P2420" s="70" t="s">
        <v>18608</v>
      </c>
      <c r="Q2420" s="2" t="s">
        <v>24</v>
      </c>
      <c r="R2420" s="2" t="s">
        <v>8925</v>
      </c>
      <c r="T2420" t="s">
        <v>18666</v>
      </c>
      <c r="U2420" t="s">
        <v>18652</v>
      </c>
      <c r="V2420" s="104">
        <v>45857</v>
      </c>
      <c r="X2420" s="97"/>
      <c r="Y2420" s="75">
        <v>333.51</v>
      </c>
    </row>
    <row r="2421" spans="1:25" x14ac:dyDescent="0.25">
      <c r="A2421" s="76">
        <v>2453</v>
      </c>
      <c r="B2421" s="2" t="s">
        <v>2054</v>
      </c>
      <c r="C2421" s="2" t="s">
        <v>2055</v>
      </c>
      <c r="D2421" s="2" t="s">
        <v>2056</v>
      </c>
      <c r="E2421" s="2" t="s">
        <v>2057</v>
      </c>
      <c r="F2421" s="2" t="s">
        <v>2058</v>
      </c>
      <c r="G2421" s="2" t="s">
        <v>517</v>
      </c>
      <c r="H2421" s="17">
        <v>200</v>
      </c>
      <c r="I2421" s="31">
        <f t="shared" si="234"/>
        <v>200000</v>
      </c>
      <c r="J2421" s="31">
        <f t="shared" si="235"/>
        <v>14000.000000000002</v>
      </c>
      <c r="K2421" s="44">
        <f t="shared" si="236"/>
        <v>38.356164383561648</v>
      </c>
      <c r="L2421" s="3">
        <f t="shared" si="237"/>
        <v>2838.3561643835619</v>
      </c>
      <c r="M2421" s="3">
        <f t="shared" si="238"/>
        <v>170.30136986301372</v>
      </c>
      <c r="N2421" s="67">
        <f t="shared" si="239"/>
        <v>2668.0547945205481</v>
      </c>
      <c r="O2421" s="3"/>
      <c r="P2421" s="70" t="s">
        <v>18608</v>
      </c>
      <c r="Q2421" s="2" t="s">
        <v>24</v>
      </c>
      <c r="R2421" s="2" t="s">
        <v>2059</v>
      </c>
      <c r="T2421" t="s">
        <v>18666</v>
      </c>
      <c r="U2421" t="s">
        <v>18652</v>
      </c>
      <c r="V2421" s="104">
        <v>45857</v>
      </c>
      <c r="X2421" s="97"/>
      <c r="Y2421" s="75">
        <v>2668.0600000000004</v>
      </c>
    </row>
    <row r="2422" spans="1:25" x14ac:dyDescent="0.25">
      <c r="A2422" s="76">
        <v>2454</v>
      </c>
      <c r="B2422" s="2" t="s">
        <v>7137</v>
      </c>
      <c r="C2422" s="2" t="s">
        <v>7138</v>
      </c>
      <c r="D2422" s="2" t="s">
        <v>7139</v>
      </c>
      <c r="E2422" s="2" t="s">
        <v>7140</v>
      </c>
      <c r="F2422" s="2" t="s">
        <v>7141</v>
      </c>
      <c r="G2422" s="2" t="s">
        <v>750</v>
      </c>
      <c r="H2422" s="17">
        <v>50</v>
      </c>
      <c r="I2422" s="31">
        <f t="shared" si="234"/>
        <v>50000</v>
      </c>
      <c r="J2422" s="31">
        <f t="shared" si="235"/>
        <v>3500.0000000000005</v>
      </c>
      <c r="K2422" s="44">
        <f t="shared" si="236"/>
        <v>9.589041095890412</v>
      </c>
      <c r="L2422" s="3">
        <f t="shared" si="237"/>
        <v>709.58904109589048</v>
      </c>
      <c r="M2422" s="3">
        <f t="shared" si="238"/>
        <v>42.57534246575343</v>
      </c>
      <c r="N2422" s="67">
        <f t="shared" si="239"/>
        <v>667.01369863013701</v>
      </c>
      <c r="O2422" s="3"/>
      <c r="P2422" s="70" t="s">
        <v>18608</v>
      </c>
      <c r="Q2422" s="2" t="s">
        <v>24</v>
      </c>
      <c r="R2422" s="2" t="s">
        <v>7142</v>
      </c>
      <c r="T2422" t="s">
        <v>18666</v>
      </c>
      <c r="U2422" t="s">
        <v>18652</v>
      </c>
      <c r="V2422" s="104">
        <v>45857</v>
      </c>
      <c r="X2422" s="97"/>
      <c r="Y2422" s="75">
        <v>667.02</v>
      </c>
    </row>
    <row r="2423" spans="1:25" x14ac:dyDescent="0.25">
      <c r="A2423" s="76">
        <v>2455</v>
      </c>
      <c r="B2423" s="2" t="s">
        <v>18371</v>
      </c>
      <c r="C2423" s="2" t="s">
        <v>18372</v>
      </c>
      <c r="D2423" s="2" t="s">
        <v>18373</v>
      </c>
      <c r="E2423" s="2" t="s">
        <v>18374</v>
      </c>
      <c r="F2423" s="2" t="s">
        <v>18375</v>
      </c>
      <c r="G2423" s="2" t="s">
        <v>39</v>
      </c>
      <c r="H2423" s="17">
        <v>30</v>
      </c>
      <c r="I2423" s="31">
        <f t="shared" si="234"/>
        <v>30000</v>
      </c>
      <c r="J2423" s="31">
        <f t="shared" si="235"/>
        <v>2100</v>
      </c>
      <c r="K2423" s="44">
        <f t="shared" si="236"/>
        <v>5.7534246575342465</v>
      </c>
      <c r="L2423" s="3">
        <f t="shared" si="237"/>
        <v>425.75342465753425</v>
      </c>
      <c r="M2423" s="3">
        <f t="shared" si="238"/>
        <v>25.545205479452054</v>
      </c>
      <c r="N2423" s="67">
        <f t="shared" si="239"/>
        <v>400.20821917808217</v>
      </c>
      <c r="O2423" s="3"/>
      <c r="P2423" s="70" t="s">
        <v>18608</v>
      </c>
      <c r="Q2423" s="2" t="s">
        <v>24</v>
      </c>
      <c r="R2423" s="2" t="s">
        <v>18376</v>
      </c>
      <c r="T2423" t="s">
        <v>18666</v>
      </c>
      <c r="U2423" t="s">
        <v>18652</v>
      </c>
      <c r="V2423" s="104">
        <v>45857</v>
      </c>
      <c r="X2423" s="97"/>
      <c r="Y2423" s="75">
        <v>400.21</v>
      </c>
    </row>
    <row r="2424" spans="1:25" x14ac:dyDescent="0.25">
      <c r="A2424" s="76">
        <v>2456</v>
      </c>
      <c r="B2424" s="2" t="s">
        <v>2961</v>
      </c>
      <c r="C2424" s="2" t="s">
        <v>2962</v>
      </c>
      <c r="D2424" s="2" t="s">
        <v>2963</v>
      </c>
      <c r="E2424" s="2" t="s">
        <v>2964</v>
      </c>
      <c r="F2424" s="2" t="s">
        <v>2965</v>
      </c>
      <c r="G2424" s="2" t="s">
        <v>23</v>
      </c>
      <c r="H2424" s="17">
        <v>25</v>
      </c>
      <c r="I2424" s="31">
        <f t="shared" si="234"/>
        <v>25000</v>
      </c>
      <c r="J2424" s="31">
        <f t="shared" si="235"/>
        <v>1750.0000000000002</v>
      </c>
      <c r="K2424" s="44">
        <f t="shared" si="236"/>
        <v>4.794520547945206</v>
      </c>
      <c r="L2424" s="3">
        <f t="shared" si="237"/>
        <v>354.79452054794524</v>
      </c>
      <c r="M2424" s="3">
        <f t="shared" si="238"/>
        <v>21.287671232876715</v>
      </c>
      <c r="N2424" s="67">
        <f t="shared" si="239"/>
        <v>333.50684931506851</v>
      </c>
      <c r="O2424" s="3"/>
      <c r="P2424" s="70" t="s">
        <v>18608</v>
      </c>
      <c r="Q2424" s="2" t="s">
        <v>24</v>
      </c>
      <c r="R2424" s="2" t="s">
        <v>2966</v>
      </c>
      <c r="T2424" t="s">
        <v>18666</v>
      </c>
      <c r="U2424" t="s">
        <v>18652</v>
      </c>
      <c r="V2424" s="104">
        <v>45857</v>
      </c>
      <c r="X2424" s="97"/>
      <c r="Y2424" s="75">
        <v>333.51</v>
      </c>
    </row>
    <row r="2425" spans="1:25" x14ac:dyDescent="0.25">
      <c r="A2425" s="76">
        <v>2457</v>
      </c>
      <c r="B2425" s="2" t="s">
        <v>2619</v>
      </c>
      <c r="C2425" s="2" t="s">
        <v>2620</v>
      </c>
      <c r="D2425" s="2" t="s">
        <v>2621</v>
      </c>
      <c r="E2425" s="2" t="s">
        <v>2622</v>
      </c>
      <c r="F2425" s="2" t="s">
        <v>2623</v>
      </c>
      <c r="G2425" s="2" t="s">
        <v>2624</v>
      </c>
      <c r="H2425" s="17">
        <v>25</v>
      </c>
      <c r="I2425" s="31">
        <f t="shared" si="234"/>
        <v>25000</v>
      </c>
      <c r="J2425" s="31">
        <f t="shared" si="235"/>
        <v>1750.0000000000002</v>
      </c>
      <c r="K2425" s="44">
        <f t="shared" si="236"/>
        <v>4.794520547945206</v>
      </c>
      <c r="L2425" s="3">
        <f t="shared" si="237"/>
        <v>354.79452054794524</v>
      </c>
      <c r="M2425" s="3">
        <f t="shared" si="238"/>
        <v>21.287671232876715</v>
      </c>
      <c r="N2425" s="67">
        <f t="shared" si="239"/>
        <v>333.50684931506851</v>
      </c>
      <c r="O2425" s="3"/>
      <c r="P2425" s="70" t="s">
        <v>18608</v>
      </c>
      <c r="Q2425" s="2" t="s">
        <v>24</v>
      </c>
      <c r="R2425" s="2" t="s">
        <v>2625</v>
      </c>
      <c r="T2425" t="s">
        <v>18666</v>
      </c>
      <c r="U2425" t="s">
        <v>18652</v>
      </c>
      <c r="V2425" s="104">
        <v>45857</v>
      </c>
      <c r="X2425" s="97"/>
      <c r="Y2425" s="75">
        <v>333.51</v>
      </c>
    </row>
    <row r="2426" spans="1:25" x14ac:dyDescent="0.25">
      <c r="A2426" s="76">
        <v>2458</v>
      </c>
      <c r="B2426" s="2" t="s">
        <v>6954</v>
      </c>
      <c r="C2426" s="2" t="s">
        <v>6955</v>
      </c>
      <c r="D2426" s="2" t="s">
        <v>6956</v>
      </c>
      <c r="E2426" s="2" t="s">
        <v>6957</v>
      </c>
      <c r="F2426" s="2" t="s">
        <v>6958</v>
      </c>
      <c r="G2426" s="2" t="s">
        <v>31</v>
      </c>
      <c r="H2426" s="17">
        <v>25</v>
      </c>
      <c r="I2426" s="31">
        <f t="shared" si="234"/>
        <v>25000</v>
      </c>
      <c r="J2426" s="31">
        <f t="shared" si="235"/>
        <v>1750.0000000000002</v>
      </c>
      <c r="K2426" s="44">
        <f t="shared" si="236"/>
        <v>4.794520547945206</v>
      </c>
      <c r="L2426" s="3">
        <f t="shared" si="237"/>
        <v>354.79452054794524</v>
      </c>
      <c r="M2426" s="3">
        <f t="shared" si="238"/>
        <v>21.287671232876715</v>
      </c>
      <c r="N2426" s="67">
        <f t="shared" si="239"/>
        <v>333.50684931506851</v>
      </c>
      <c r="O2426" s="3"/>
      <c r="P2426" s="70" t="s">
        <v>18608</v>
      </c>
      <c r="Q2426" s="2" t="s">
        <v>24</v>
      </c>
      <c r="R2426" s="2" t="s">
        <v>6959</v>
      </c>
      <c r="T2426" t="s">
        <v>18666</v>
      </c>
      <c r="U2426" t="s">
        <v>18652</v>
      </c>
      <c r="V2426" s="104">
        <v>45857</v>
      </c>
      <c r="X2426" s="97"/>
      <c r="Y2426" s="75">
        <v>333.51</v>
      </c>
    </row>
    <row r="2427" spans="1:25" x14ac:dyDescent="0.25">
      <c r="A2427" s="76">
        <v>2459</v>
      </c>
      <c r="B2427" s="2" t="s">
        <v>242</v>
      </c>
      <c r="C2427" s="2" t="s">
        <v>243</v>
      </c>
      <c r="D2427" s="2" t="s">
        <v>244</v>
      </c>
      <c r="E2427" s="2" t="s">
        <v>245</v>
      </c>
      <c r="F2427" s="2" t="s">
        <v>246</v>
      </c>
      <c r="G2427" s="2" t="s">
        <v>247</v>
      </c>
      <c r="H2427" s="17">
        <v>30</v>
      </c>
      <c r="I2427" s="31">
        <f t="shared" si="234"/>
        <v>30000</v>
      </c>
      <c r="J2427" s="31">
        <f t="shared" si="235"/>
        <v>2100</v>
      </c>
      <c r="K2427" s="44">
        <f t="shared" si="236"/>
        <v>5.7534246575342465</v>
      </c>
      <c r="L2427" s="3">
        <f t="shared" si="237"/>
        <v>425.75342465753425</v>
      </c>
      <c r="M2427" s="3">
        <f t="shared" si="238"/>
        <v>25.545205479452054</v>
      </c>
      <c r="N2427" s="67">
        <f t="shared" si="239"/>
        <v>400.20821917808217</v>
      </c>
      <c r="O2427" s="3"/>
      <c r="P2427" s="70" t="s">
        <v>18608</v>
      </c>
      <c r="Q2427" s="2" t="s">
        <v>24</v>
      </c>
      <c r="R2427" s="2" t="s">
        <v>248</v>
      </c>
      <c r="T2427" t="s">
        <v>18666</v>
      </c>
      <c r="U2427" t="s">
        <v>18652</v>
      </c>
      <c r="V2427" s="104">
        <v>45857</v>
      </c>
      <c r="X2427" s="97"/>
      <c r="Y2427" s="75">
        <v>400.21</v>
      </c>
    </row>
    <row r="2428" spans="1:25" x14ac:dyDescent="0.25">
      <c r="A2428" s="76">
        <v>2460</v>
      </c>
      <c r="B2428" s="2" t="s">
        <v>11517</v>
      </c>
      <c r="C2428" s="2" t="s">
        <v>11518</v>
      </c>
      <c r="D2428" s="2" t="s">
        <v>11519</v>
      </c>
      <c r="E2428" s="2" t="s">
        <v>11520</v>
      </c>
      <c r="F2428" s="2" t="s">
        <v>11521</v>
      </c>
      <c r="G2428" s="2" t="s">
        <v>524</v>
      </c>
      <c r="H2428" s="17">
        <v>50</v>
      </c>
      <c r="I2428" s="31">
        <f t="shared" si="234"/>
        <v>50000</v>
      </c>
      <c r="J2428" s="31">
        <f t="shared" si="235"/>
        <v>3500.0000000000005</v>
      </c>
      <c r="K2428" s="44">
        <f t="shared" si="236"/>
        <v>9.589041095890412</v>
      </c>
      <c r="L2428" s="3">
        <f t="shared" si="237"/>
        <v>709.58904109589048</v>
      </c>
      <c r="M2428" s="3">
        <f t="shared" si="238"/>
        <v>42.57534246575343</v>
      </c>
      <c r="N2428" s="67">
        <f t="shared" si="239"/>
        <v>667.01369863013701</v>
      </c>
      <c r="O2428" s="3"/>
      <c r="P2428" s="70" t="s">
        <v>18608</v>
      </c>
      <c r="Q2428" s="2" t="s">
        <v>24</v>
      </c>
      <c r="R2428" s="2" t="s">
        <v>11522</v>
      </c>
      <c r="T2428" t="s">
        <v>18666</v>
      </c>
      <c r="U2428" t="s">
        <v>18652</v>
      </c>
      <c r="V2428" s="104">
        <v>45857</v>
      </c>
      <c r="X2428" s="97"/>
      <c r="Y2428" s="75">
        <v>667.02</v>
      </c>
    </row>
    <row r="2429" spans="1:25" x14ac:dyDescent="0.25">
      <c r="A2429" s="76">
        <v>2461</v>
      </c>
      <c r="B2429" s="2" t="s">
        <v>13639</v>
      </c>
      <c r="C2429" s="2" t="s">
        <v>13640</v>
      </c>
      <c r="D2429" s="2" t="s">
        <v>13630</v>
      </c>
      <c r="E2429" s="2" t="s">
        <v>13625</v>
      </c>
      <c r="F2429" s="2" t="s">
        <v>13641</v>
      </c>
      <c r="G2429" s="2" t="s">
        <v>31</v>
      </c>
      <c r="H2429" s="17">
        <v>1000</v>
      </c>
      <c r="I2429" s="31">
        <f t="shared" si="234"/>
        <v>1000000</v>
      </c>
      <c r="J2429" s="31">
        <f t="shared" si="235"/>
        <v>70000</v>
      </c>
      <c r="K2429" s="44">
        <f t="shared" si="236"/>
        <v>191.78082191780823</v>
      </c>
      <c r="L2429" s="3">
        <f t="shared" si="237"/>
        <v>14191.780821917808</v>
      </c>
      <c r="M2429" s="3">
        <f t="shared" si="238"/>
        <v>851.50684931506839</v>
      </c>
      <c r="N2429" s="67">
        <f t="shared" si="239"/>
        <v>13340.273972602739</v>
      </c>
      <c r="O2429" s="3"/>
      <c r="P2429" s="70" t="s">
        <v>18608</v>
      </c>
      <c r="Q2429" s="2" t="s">
        <v>24</v>
      </c>
      <c r="R2429" s="2" t="s">
        <v>13642</v>
      </c>
      <c r="T2429" t="s">
        <v>18666</v>
      </c>
      <c r="U2429" t="s">
        <v>18652</v>
      </c>
      <c r="V2429" s="104">
        <v>45857</v>
      </c>
      <c r="X2429" s="97"/>
      <c r="Y2429" s="75">
        <v>13340.28</v>
      </c>
    </row>
    <row r="2430" spans="1:25" x14ac:dyDescent="0.25">
      <c r="A2430" s="76">
        <v>2462</v>
      </c>
      <c r="B2430" s="2" t="s">
        <v>13643</v>
      </c>
      <c r="C2430" s="2" t="s">
        <v>13644</v>
      </c>
      <c r="D2430" s="2" t="s">
        <v>13630</v>
      </c>
      <c r="E2430" s="2" t="s">
        <v>13625</v>
      </c>
      <c r="F2430" s="2" t="s">
        <v>8099</v>
      </c>
      <c r="G2430" s="2" t="s">
        <v>31</v>
      </c>
      <c r="H2430" s="17">
        <v>1000</v>
      </c>
      <c r="I2430" s="31">
        <f t="shared" si="234"/>
        <v>1000000</v>
      </c>
      <c r="J2430" s="31">
        <f t="shared" si="235"/>
        <v>70000</v>
      </c>
      <c r="K2430" s="44">
        <f t="shared" si="236"/>
        <v>191.78082191780823</v>
      </c>
      <c r="L2430" s="3">
        <f t="shared" si="237"/>
        <v>14191.780821917808</v>
      </c>
      <c r="M2430" s="3">
        <f t="shared" si="238"/>
        <v>851.50684931506839</v>
      </c>
      <c r="N2430" s="67">
        <f t="shared" si="239"/>
        <v>13340.273972602739</v>
      </c>
      <c r="O2430" s="3"/>
      <c r="P2430" s="70" t="s">
        <v>18608</v>
      </c>
      <c r="Q2430" s="2" t="s">
        <v>24</v>
      </c>
      <c r="R2430" s="2" t="s">
        <v>13645</v>
      </c>
      <c r="T2430" t="s">
        <v>18666</v>
      </c>
      <c r="U2430" t="s">
        <v>18652</v>
      </c>
      <c r="V2430" s="104">
        <v>45857</v>
      </c>
      <c r="X2430" s="97"/>
      <c r="Y2430" s="75">
        <v>13340.28</v>
      </c>
    </row>
    <row r="2431" spans="1:25" x14ac:dyDescent="0.25">
      <c r="A2431" s="76">
        <v>2463</v>
      </c>
      <c r="B2431" s="2" t="s">
        <v>5416</v>
      </c>
      <c r="C2431" s="2" t="s">
        <v>5417</v>
      </c>
      <c r="D2431" s="2" t="s">
        <v>5418</v>
      </c>
      <c r="E2431" s="2" t="s">
        <v>5419</v>
      </c>
      <c r="F2431" s="2" t="s">
        <v>5420</v>
      </c>
      <c r="G2431" s="2" t="s">
        <v>39</v>
      </c>
      <c r="H2431" s="17">
        <v>25</v>
      </c>
      <c r="I2431" s="31">
        <f t="shared" si="234"/>
        <v>25000</v>
      </c>
      <c r="J2431" s="31">
        <f t="shared" si="235"/>
        <v>1750.0000000000002</v>
      </c>
      <c r="K2431" s="44">
        <f t="shared" si="236"/>
        <v>4.794520547945206</v>
      </c>
      <c r="L2431" s="3">
        <f t="shared" si="237"/>
        <v>354.79452054794524</v>
      </c>
      <c r="M2431" s="3">
        <f t="shared" si="238"/>
        <v>21.287671232876715</v>
      </c>
      <c r="N2431" s="67">
        <f t="shared" si="239"/>
        <v>333.50684931506851</v>
      </c>
      <c r="O2431" s="3"/>
      <c r="P2431" s="70" t="s">
        <v>18613</v>
      </c>
      <c r="Q2431" s="2" t="s">
        <v>336</v>
      </c>
      <c r="R2431" s="2" t="s">
        <v>5421</v>
      </c>
      <c r="T2431" t="s">
        <v>18666</v>
      </c>
      <c r="U2431" t="s">
        <v>18652</v>
      </c>
      <c r="V2431" s="104">
        <v>45857</v>
      </c>
      <c r="X2431" s="97"/>
      <c r="Y2431" s="75">
        <v>333.51</v>
      </c>
    </row>
    <row r="2432" spans="1:25" x14ac:dyDescent="0.25">
      <c r="A2432" s="76">
        <v>2464</v>
      </c>
      <c r="B2432" s="2" t="s">
        <v>16362</v>
      </c>
      <c r="C2432" s="2" t="s">
        <v>398</v>
      </c>
      <c r="D2432" s="2" t="s">
        <v>16363</v>
      </c>
      <c r="E2432" s="2" t="s">
        <v>16364</v>
      </c>
      <c r="F2432" s="2" t="s">
        <v>16365</v>
      </c>
      <c r="G2432" s="2" t="s">
        <v>166</v>
      </c>
      <c r="H2432" s="17">
        <v>35</v>
      </c>
      <c r="I2432" s="31">
        <f t="shared" si="234"/>
        <v>35000</v>
      </c>
      <c r="J2432" s="31">
        <f t="shared" si="235"/>
        <v>2450.0000000000005</v>
      </c>
      <c r="K2432" s="44">
        <f t="shared" si="236"/>
        <v>6.7123287671232887</v>
      </c>
      <c r="L2432" s="3">
        <f t="shared" si="237"/>
        <v>496.71232876712338</v>
      </c>
      <c r="M2432" s="3">
        <f t="shared" si="238"/>
        <v>29.802739726027401</v>
      </c>
      <c r="N2432" s="67">
        <f t="shared" si="239"/>
        <v>466.90958904109596</v>
      </c>
      <c r="O2432" s="3"/>
      <c r="P2432" s="70" t="s">
        <v>18613</v>
      </c>
      <c r="Q2432" s="2" t="s">
        <v>336</v>
      </c>
      <c r="R2432" s="2" t="s">
        <v>16366</v>
      </c>
      <c r="T2432" t="s">
        <v>18666</v>
      </c>
      <c r="U2432" t="s">
        <v>18652</v>
      </c>
      <c r="V2432" s="104">
        <v>45857</v>
      </c>
      <c r="X2432" s="97"/>
      <c r="Y2432" s="75">
        <v>466.90999999999997</v>
      </c>
    </row>
    <row r="2433" spans="1:25" x14ac:dyDescent="0.25">
      <c r="A2433" s="76">
        <v>2465</v>
      </c>
      <c r="B2433" s="2" t="s">
        <v>6402</v>
      </c>
      <c r="C2433" s="2" t="s">
        <v>6403</v>
      </c>
      <c r="D2433" s="2" t="s">
        <v>6404</v>
      </c>
      <c r="E2433" s="2" t="s">
        <v>2515</v>
      </c>
      <c r="F2433" s="2" t="s">
        <v>6405</v>
      </c>
      <c r="G2433" s="2" t="s">
        <v>151</v>
      </c>
      <c r="H2433" s="17">
        <v>25</v>
      </c>
      <c r="I2433" s="31">
        <f t="shared" si="234"/>
        <v>25000</v>
      </c>
      <c r="J2433" s="31">
        <f t="shared" si="235"/>
        <v>1750.0000000000002</v>
      </c>
      <c r="K2433" s="44">
        <f t="shared" si="236"/>
        <v>4.794520547945206</v>
      </c>
      <c r="L2433" s="3">
        <f t="shared" si="237"/>
        <v>354.79452054794524</v>
      </c>
      <c r="M2433" s="3">
        <f t="shared" si="238"/>
        <v>21.287671232876715</v>
      </c>
      <c r="N2433" s="67">
        <f t="shared" si="239"/>
        <v>333.50684931506851</v>
      </c>
      <c r="O2433" s="3"/>
      <c r="P2433" s="70" t="s">
        <v>18613</v>
      </c>
      <c r="Q2433" s="2" t="s">
        <v>336</v>
      </c>
      <c r="R2433" s="2" t="s">
        <v>6406</v>
      </c>
      <c r="T2433" t="s">
        <v>18666</v>
      </c>
      <c r="U2433" t="s">
        <v>18652</v>
      </c>
      <c r="V2433" s="104">
        <v>45857</v>
      </c>
      <c r="X2433" s="97"/>
      <c r="Y2433" s="75">
        <v>333.51</v>
      </c>
    </row>
    <row r="2434" spans="1:25" x14ac:dyDescent="0.25">
      <c r="A2434" s="76">
        <v>2466</v>
      </c>
      <c r="B2434" s="2" t="s">
        <v>2339</v>
      </c>
      <c r="C2434" s="2" t="s">
        <v>2340</v>
      </c>
      <c r="D2434" s="2" t="s">
        <v>2341</v>
      </c>
      <c r="E2434" s="2" t="s">
        <v>2342</v>
      </c>
      <c r="F2434" s="2" t="s">
        <v>2343</v>
      </c>
      <c r="G2434" s="2" t="s">
        <v>226</v>
      </c>
      <c r="H2434" s="17">
        <v>200</v>
      </c>
      <c r="I2434" s="31">
        <f t="shared" si="234"/>
        <v>200000</v>
      </c>
      <c r="J2434" s="31">
        <f t="shared" si="235"/>
        <v>14000.000000000002</v>
      </c>
      <c r="K2434" s="44">
        <f t="shared" si="236"/>
        <v>38.356164383561648</v>
      </c>
      <c r="L2434" s="3">
        <f t="shared" si="237"/>
        <v>2838.3561643835619</v>
      </c>
      <c r="M2434" s="3">
        <f t="shared" si="238"/>
        <v>170.30136986301372</v>
      </c>
      <c r="N2434" s="67">
        <f t="shared" si="239"/>
        <v>2668.0547945205481</v>
      </c>
      <c r="O2434" s="3"/>
      <c r="P2434" s="70" t="s">
        <v>18613</v>
      </c>
      <c r="Q2434" s="2" t="s">
        <v>336</v>
      </c>
      <c r="R2434" s="2" t="s">
        <v>2344</v>
      </c>
      <c r="T2434" t="s">
        <v>18666</v>
      </c>
      <c r="U2434" t="s">
        <v>18652</v>
      </c>
      <c r="V2434" s="104">
        <v>45857</v>
      </c>
      <c r="X2434" s="97"/>
      <c r="Y2434" s="75">
        <v>2668.0600000000004</v>
      </c>
    </row>
    <row r="2435" spans="1:25" x14ac:dyDescent="0.25">
      <c r="A2435" s="76">
        <v>2467</v>
      </c>
      <c r="B2435" s="2" t="s">
        <v>988</v>
      </c>
      <c r="C2435" s="2" t="s">
        <v>989</v>
      </c>
      <c r="D2435" s="2" t="s">
        <v>990</v>
      </c>
      <c r="E2435" s="2" t="s">
        <v>991</v>
      </c>
      <c r="F2435" s="2" t="s">
        <v>992</v>
      </c>
      <c r="G2435" s="2" t="s">
        <v>226</v>
      </c>
      <c r="H2435" s="17">
        <v>1000</v>
      </c>
      <c r="I2435" s="31">
        <f t="shared" si="234"/>
        <v>1000000</v>
      </c>
      <c r="J2435" s="31">
        <f t="shared" si="235"/>
        <v>70000</v>
      </c>
      <c r="K2435" s="44">
        <f t="shared" si="236"/>
        <v>191.78082191780823</v>
      </c>
      <c r="L2435" s="3">
        <f t="shared" si="237"/>
        <v>14191.780821917808</v>
      </c>
      <c r="M2435" s="3">
        <f t="shared" si="238"/>
        <v>851.50684931506839</v>
      </c>
      <c r="N2435" s="67">
        <f t="shared" si="239"/>
        <v>13340.273972602739</v>
      </c>
      <c r="O2435" s="3"/>
      <c r="P2435" s="70" t="s">
        <v>18613</v>
      </c>
      <c r="Q2435" s="2" t="s">
        <v>336</v>
      </c>
      <c r="R2435" s="2" t="s">
        <v>993</v>
      </c>
      <c r="T2435" t="s">
        <v>18666</v>
      </c>
      <c r="U2435" t="s">
        <v>18652</v>
      </c>
      <c r="V2435" s="104">
        <v>45857</v>
      </c>
      <c r="X2435" s="97"/>
      <c r="Y2435" s="75">
        <v>13340.28</v>
      </c>
    </row>
    <row r="2436" spans="1:25" x14ac:dyDescent="0.25">
      <c r="A2436" s="76">
        <v>2468</v>
      </c>
      <c r="B2436" s="2" t="s">
        <v>9652</v>
      </c>
      <c r="C2436" s="2" t="s">
        <v>9653</v>
      </c>
      <c r="D2436" s="2" t="s">
        <v>9654</v>
      </c>
      <c r="E2436" s="2" t="s">
        <v>9655</v>
      </c>
      <c r="F2436" s="2" t="s">
        <v>9656</v>
      </c>
      <c r="G2436" s="2" t="s">
        <v>2571</v>
      </c>
      <c r="H2436" s="17">
        <v>25</v>
      </c>
      <c r="I2436" s="31">
        <f t="shared" si="234"/>
        <v>25000</v>
      </c>
      <c r="J2436" s="31">
        <f t="shared" si="235"/>
        <v>1750.0000000000002</v>
      </c>
      <c r="K2436" s="44">
        <f t="shared" si="236"/>
        <v>4.794520547945206</v>
      </c>
      <c r="L2436" s="3">
        <f t="shared" si="237"/>
        <v>354.79452054794524</v>
      </c>
      <c r="M2436" s="3">
        <f t="shared" si="238"/>
        <v>21.287671232876715</v>
      </c>
      <c r="N2436" s="67">
        <f t="shared" si="239"/>
        <v>333.50684931506851</v>
      </c>
      <c r="O2436" s="3"/>
      <c r="P2436" s="70" t="s">
        <v>18613</v>
      </c>
      <c r="Q2436" s="2" t="s">
        <v>336</v>
      </c>
      <c r="R2436" s="2" t="s">
        <v>9657</v>
      </c>
      <c r="T2436" t="s">
        <v>18666</v>
      </c>
      <c r="U2436" t="s">
        <v>18652</v>
      </c>
      <c r="V2436" s="104">
        <v>45857</v>
      </c>
      <c r="X2436" s="97"/>
      <c r="Y2436" s="75">
        <v>333.51</v>
      </c>
    </row>
    <row r="2437" spans="1:25" x14ac:dyDescent="0.25">
      <c r="A2437" s="76">
        <v>2469</v>
      </c>
      <c r="B2437" s="2" t="s">
        <v>18071</v>
      </c>
      <c r="C2437" s="2" t="s">
        <v>18072</v>
      </c>
      <c r="D2437" s="2" t="s">
        <v>18073</v>
      </c>
      <c r="E2437" s="2" t="s">
        <v>18074</v>
      </c>
      <c r="F2437" s="2" t="s">
        <v>18075</v>
      </c>
      <c r="G2437" s="2" t="s">
        <v>876</v>
      </c>
      <c r="H2437" s="17">
        <v>25</v>
      </c>
      <c r="I2437" s="31">
        <f t="shared" si="234"/>
        <v>25000</v>
      </c>
      <c r="J2437" s="31">
        <f t="shared" si="235"/>
        <v>1750.0000000000002</v>
      </c>
      <c r="K2437" s="44">
        <f t="shared" si="236"/>
        <v>4.794520547945206</v>
      </c>
      <c r="L2437" s="3">
        <f t="shared" si="237"/>
        <v>354.79452054794524</v>
      </c>
      <c r="M2437" s="3">
        <f t="shared" si="238"/>
        <v>21.287671232876715</v>
      </c>
      <c r="N2437" s="67">
        <f t="shared" si="239"/>
        <v>333.50684931506851</v>
      </c>
      <c r="O2437" s="3"/>
      <c r="P2437" s="70" t="s">
        <v>18613</v>
      </c>
      <c r="Q2437" s="2" t="s">
        <v>336</v>
      </c>
      <c r="R2437" s="2" t="s">
        <v>18076</v>
      </c>
      <c r="T2437" t="s">
        <v>18666</v>
      </c>
      <c r="U2437" t="s">
        <v>18652</v>
      </c>
      <c r="V2437" s="104">
        <v>45857</v>
      </c>
      <c r="X2437" s="97"/>
      <c r="Y2437" s="75">
        <v>333.51</v>
      </c>
    </row>
    <row r="2438" spans="1:25" x14ac:dyDescent="0.25">
      <c r="A2438" s="76">
        <v>2470</v>
      </c>
      <c r="B2438" s="2" t="s">
        <v>10870</v>
      </c>
      <c r="C2438" s="2" t="s">
        <v>10871</v>
      </c>
      <c r="D2438" s="2" t="s">
        <v>7417</v>
      </c>
      <c r="E2438" s="2" t="s">
        <v>10872</v>
      </c>
      <c r="F2438" s="2" t="s">
        <v>10873</v>
      </c>
      <c r="G2438" s="2" t="s">
        <v>939</v>
      </c>
      <c r="H2438" s="17">
        <v>25</v>
      </c>
      <c r="I2438" s="31">
        <f t="shared" si="234"/>
        <v>25000</v>
      </c>
      <c r="J2438" s="31">
        <f t="shared" si="235"/>
        <v>1750.0000000000002</v>
      </c>
      <c r="K2438" s="44">
        <f t="shared" si="236"/>
        <v>4.794520547945206</v>
      </c>
      <c r="L2438" s="3">
        <f t="shared" si="237"/>
        <v>354.79452054794524</v>
      </c>
      <c r="M2438" s="3">
        <f t="shared" si="238"/>
        <v>21.287671232876715</v>
      </c>
      <c r="N2438" s="67">
        <f t="shared" si="239"/>
        <v>333.50684931506851</v>
      </c>
      <c r="O2438" s="3"/>
      <c r="P2438" s="70" t="s">
        <v>18613</v>
      </c>
      <c r="Q2438" s="2" t="s">
        <v>336</v>
      </c>
      <c r="R2438" s="2" t="s">
        <v>10874</v>
      </c>
      <c r="T2438" t="s">
        <v>18666</v>
      </c>
      <c r="U2438" t="s">
        <v>18652</v>
      </c>
      <c r="V2438" s="104">
        <v>45857</v>
      </c>
      <c r="X2438" s="97"/>
      <c r="Y2438" s="75">
        <v>333.51</v>
      </c>
    </row>
    <row r="2439" spans="1:25" x14ac:dyDescent="0.25">
      <c r="A2439" s="76">
        <v>2471</v>
      </c>
      <c r="B2439" s="2" t="s">
        <v>18106</v>
      </c>
      <c r="C2439" s="2" t="s">
        <v>18107</v>
      </c>
      <c r="D2439" s="2" t="s">
        <v>18108</v>
      </c>
      <c r="E2439" s="2" t="s">
        <v>18109</v>
      </c>
      <c r="F2439" s="2" t="s">
        <v>18110</v>
      </c>
      <c r="G2439" s="2" t="s">
        <v>876</v>
      </c>
      <c r="H2439" s="17">
        <v>100</v>
      </c>
      <c r="I2439" s="31">
        <f t="shared" si="234"/>
        <v>100000</v>
      </c>
      <c r="J2439" s="31">
        <f t="shared" si="235"/>
        <v>7000.0000000000009</v>
      </c>
      <c r="K2439" s="44">
        <f t="shared" si="236"/>
        <v>19.178082191780824</v>
      </c>
      <c r="L2439" s="3">
        <f t="shared" si="237"/>
        <v>1419.178082191781</v>
      </c>
      <c r="M2439" s="3">
        <f t="shared" si="238"/>
        <v>85.150684931506859</v>
      </c>
      <c r="N2439" s="67">
        <f t="shared" si="239"/>
        <v>1334.027397260274</v>
      </c>
      <c r="O2439" s="3"/>
      <c r="P2439" s="70" t="s">
        <v>18613</v>
      </c>
      <c r="Q2439" s="2" t="s">
        <v>336</v>
      </c>
      <c r="R2439" s="2" t="s">
        <v>18111</v>
      </c>
      <c r="T2439" t="s">
        <v>18666</v>
      </c>
      <c r="U2439" t="s">
        <v>18652</v>
      </c>
      <c r="V2439" s="104">
        <v>45857</v>
      </c>
      <c r="X2439" s="97"/>
      <c r="Y2439" s="75">
        <v>1334.03</v>
      </c>
    </row>
    <row r="2440" spans="1:25" x14ac:dyDescent="0.25">
      <c r="A2440" s="76">
        <v>2472</v>
      </c>
      <c r="B2440" s="2" t="s">
        <v>16156</v>
      </c>
      <c r="C2440" s="2" t="s">
        <v>16157</v>
      </c>
      <c r="D2440" s="2" t="s">
        <v>16158</v>
      </c>
      <c r="E2440" s="2" t="s">
        <v>14778</v>
      </c>
      <c r="F2440" s="2" t="s">
        <v>16159</v>
      </c>
      <c r="G2440" s="2" t="s">
        <v>282</v>
      </c>
      <c r="H2440" s="17">
        <v>25</v>
      </c>
      <c r="I2440" s="31">
        <f t="shared" si="234"/>
        <v>25000</v>
      </c>
      <c r="J2440" s="31">
        <f t="shared" si="235"/>
        <v>1750.0000000000002</v>
      </c>
      <c r="K2440" s="44">
        <f t="shared" si="236"/>
        <v>4.794520547945206</v>
      </c>
      <c r="L2440" s="3">
        <f t="shared" si="237"/>
        <v>354.79452054794524</v>
      </c>
      <c r="M2440" s="3">
        <f t="shared" si="238"/>
        <v>21.287671232876715</v>
      </c>
      <c r="N2440" s="67">
        <f t="shared" si="239"/>
        <v>333.50684931506851</v>
      </c>
      <c r="O2440" s="3"/>
      <c r="P2440" s="70" t="s">
        <v>18613</v>
      </c>
      <c r="Q2440" s="2" t="s">
        <v>336</v>
      </c>
      <c r="R2440" s="2" t="s">
        <v>16160</v>
      </c>
      <c r="T2440" t="s">
        <v>18666</v>
      </c>
      <c r="U2440" t="s">
        <v>18652</v>
      </c>
      <c r="V2440" s="104">
        <v>45857</v>
      </c>
      <c r="X2440" s="97"/>
      <c r="Y2440" s="75">
        <v>333.51</v>
      </c>
    </row>
    <row r="2441" spans="1:25" x14ac:dyDescent="0.25">
      <c r="A2441" s="76">
        <v>2473</v>
      </c>
      <c r="B2441" s="2" t="s">
        <v>11011</v>
      </c>
      <c r="C2441" s="2" t="s">
        <v>11012</v>
      </c>
      <c r="D2441" s="2" t="s">
        <v>11013</v>
      </c>
      <c r="E2441" s="2" t="s">
        <v>11014</v>
      </c>
      <c r="F2441" s="2" t="s">
        <v>11015</v>
      </c>
      <c r="G2441" s="2" t="s">
        <v>151</v>
      </c>
      <c r="H2441" s="17">
        <v>25</v>
      </c>
      <c r="I2441" s="31">
        <f t="shared" si="234"/>
        <v>25000</v>
      </c>
      <c r="J2441" s="31">
        <f t="shared" si="235"/>
        <v>1750.0000000000002</v>
      </c>
      <c r="K2441" s="44">
        <f t="shared" si="236"/>
        <v>4.794520547945206</v>
      </c>
      <c r="L2441" s="3">
        <f t="shared" si="237"/>
        <v>354.79452054794524</v>
      </c>
      <c r="M2441" s="3">
        <f t="shared" si="238"/>
        <v>21.287671232876715</v>
      </c>
      <c r="N2441" s="67">
        <f t="shared" si="239"/>
        <v>333.50684931506851</v>
      </c>
      <c r="O2441" s="3"/>
      <c r="P2441" s="70" t="s">
        <v>18613</v>
      </c>
      <c r="Q2441" s="2" t="s">
        <v>336</v>
      </c>
      <c r="R2441" s="2" t="s">
        <v>11016</v>
      </c>
      <c r="T2441" t="s">
        <v>18666</v>
      </c>
      <c r="U2441" t="s">
        <v>18652</v>
      </c>
      <c r="V2441" s="104">
        <v>45857</v>
      </c>
      <c r="X2441" s="97"/>
      <c r="Y2441" s="75">
        <v>333.51</v>
      </c>
    </row>
    <row r="2442" spans="1:25" x14ac:dyDescent="0.25">
      <c r="A2442" s="76">
        <v>2474</v>
      </c>
      <c r="B2442" s="2" t="s">
        <v>11306</v>
      </c>
      <c r="C2442" s="2" t="s">
        <v>11307</v>
      </c>
      <c r="D2442" s="2" t="s">
        <v>11308</v>
      </c>
      <c r="E2442" s="2" t="s">
        <v>11309</v>
      </c>
      <c r="F2442" s="2" t="s">
        <v>11310</v>
      </c>
      <c r="G2442" s="2" t="s">
        <v>876</v>
      </c>
      <c r="H2442" s="17">
        <v>200</v>
      </c>
      <c r="I2442" s="31">
        <f t="shared" si="234"/>
        <v>200000</v>
      </c>
      <c r="J2442" s="31">
        <f t="shared" si="235"/>
        <v>14000.000000000002</v>
      </c>
      <c r="K2442" s="44">
        <f t="shared" si="236"/>
        <v>38.356164383561648</v>
      </c>
      <c r="L2442" s="3">
        <f t="shared" si="237"/>
        <v>2838.3561643835619</v>
      </c>
      <c r="M2442" s="3">
        <f t="shared" si="238"/>
        <v>170.30136986301372</v>
      </c>
      <c r="N2442" s="67">
        <f t="shared" si="239"/>
        <v>2668.0547945205481</v>
      </c>
      <c r="O2442" s="3"/>
      <c r="P2442" s="70" t="s">
        <v>18613</v>
      </c>
      <c r="Q2442" s="2" t="s">
        <v>336</v>
      </c>
      <c r="R2442" s="2" t="s">
        <v>11311</v>
      </c>
      <c r="T2442" t="s">
        <v>18666</v>
      </c>
      <c r="U2442" t="s">
        <v>18652</v>
      </c>
      <c r="V2442" s="104">
        <v>45857</v>
      </c>
      <c r="X2442" s="97"/>
      <c r="Y2442" s="75">
        <v>2668.0600000000004</v>
      </c>
    </row>
    <row r="2443" spans="1:25" x14ac:dyDescent="0.25">
      <c r="A2443" s="76">
        <v>2475</v>
      </c>
      <c r="B2443" s="2" t="s">
        <v>13198</v>
      </c>
      <c r="C2443" s="2" t="s">
        <v>13194</v>
      </c>
      <c r="D2443" s="2" t="s">
        <v>13195</v>
      </c>
      <c r="E2443" s="2" t="s">
        <v>13199</v>
      </c>
      <c r="F2443" s="2" t="s">
        <v>13200</v>
      </c>
      <c r="G2443" s="2" t="s">
        <v>296</v>
      </c>
      <c r="H2443" s="17">
        <v>50</v>
      </c>
      <c r="I2443" s="31">
        <f t="shared" si="234"/>
        <v>50000</v>
      </c>
      <c r="J2443" s="31">
        <f t="shared" si="235"/>
        <v>3500.0000000000005</v>
      </c>
      <c r="K2443" s="44">
        <f t="shared" si="236"/>
        <v>9.589041095890412</v>
      </c>
      <c r="L2443" s="3">
        <f t="shared" si="237"/>
        <v>709.58904109589048</v>
      </c>
      <c r="M2443" s="3">
        <f t="shared" si="238"/>
        <v>42.57534246575343</v>
      </c>
      <c r="N2443" s="67">
        <f t="shared" si="239"/>
        <v>667.01369863013701</v>
      </c>
      <c r="O2443" s="3"/>
      <c r="P2443" s="70" t="s">
        <v>18613</v>
      </c>
      <c r="Q2443" s="2" t="s">
        <v>336</v>
      </c>
      <c r="R2443" s="2" t="s">
        <v>13201</v>
      </c>
      <c r="T2443" t="s">
        <v>18666</v>
      </c>
      <c r="U2443" t="s">
        <v>18652</v>
      </c>
      <c r="V2443" s="104">
        <v>45857</v>
      </c>
      <c r="X2443" s="97"/>
      <c r="Y2443" s="75">
        <v>667.02</v>
      </c>
    </row>
    <row r="2444" spans="1:25" x14ac:dyDescent="0.25">
      <c r="A2444" s="76">
        <v>2476</v>
      </c>
      <c r="B2444" s="2" t="s">
        <v>1335</v>
      </c>
      <c r="C2444" s="2" t="s">
        <v>1336</v>
      </c>
      <c r="D2444" s="2" t="s">
        <v>1337</v>
      </c>
      <c r="E2444" s="2" t="s">
        <v>1338</v>
      </c>
      <c r="F2444" s="2" t="s">
        <v>1339</v>
      </c>
      <c r="G2444" s="2" t="s">
        <v>524</v>
      </c>
      <c r="H2444" s="17">
        <v>100</v>
      </c>
      <c r="I2444" s="31">
        <f t="shared" si="234"/>
        <v>100000</v>
      </c>
      <c r="J2444" s="31">
        <f t="shared" si="235"/>
        <v>7000.0000000000009</v>
      </c>
      <c r="K2444" s="44">
        <f t="shared" si="236"/>
        <v>19.178082191780824</v>
      </c>
      <c r="L2444" s="3">
        <f t="shared" si="237"/>
        <v>1419.178082191781</v>
      </c>
      <c r="M2444" s="3">
        <f t="shared" si="238"/>
        <v>85.150684931506859</v>
      </c>
      <c r="N2444" s="67">
        <f t="shared" si="239"/>
        <v>1334.027397260274</v>
      </c>
      <c r="O2444" s="3"/>
      <c r="P2444" s="70" t="s">
        <v>18613</v>
      </c>
      <c r="Q2444" s="2" t="s">
        <v>336</v>
      </c>
      <c r="R2444" s="2" t="s">
        <v>1340</v>
      </c>
      <c r="T2444" t="s">
        <v>18666</v>
      </c>
      <c r="U2444" t="s">
        <v>18652</v>
      </c>
      <c r="V2444" s="104">
        <v>45857</v>
      </c>
      <c r="X2444" s="97"/>
      <c r="Y2444" s="75">
        <v>1334.03</v>
      </c>
    </row>
    <row r="2445" spans="1:25" x14ac:dyDescent="0.25">
      <c r="A2445" s="76">
        <v>2477</v>
      </c>
      <c r="B2445" s="2" t="s">
        <v>13187</v>
      </c>
      <c r="C2445" s="2" t="s">
        <v>5334</v>
      </c>
      <c r="D2445" s="2" t="s">
        <v>13188</v>
      </c>
      <c r="E2445" s="2" t="s">
        <v>13189</v>
      </c>
      <c r="F2445" s="2" t="s">
        <v>13190</v>
      </c>
      <c r="G2445" s="2" t="s">
        <v>23</v>
      </c>
      <c r="H2445" s="17">
        <v>25</v>
      </c>
      <c r="I2445" s="31">
        <f t="shared" si="234"/>
        <v>25000</v>
      </c>
      <c r="J2445" s="31">
        <f t="shared" si="235"/>
        <v>1750.0000000000002</v>
      </c>
      <c r="K2445" s="44">
        <f t="shared" si="236"/>
        <v>4.794520547945206</v>
      </c>
      <c r="L2445" s="3">
        <f t="shared" si="237"/>
        <v>354.79452054794524</v>
      </c>
      <c r="M2445" s="3">
        <f t="shared" si="238"/>
        <v>21.287671232876715</v>
      </c>
      <c r="N2445" s="67">
        <f t="shared" si="239"/>
        <v>333.50684931506851</v>
      </c>
      <c r="O2445" s="3"/>
      <c r="P2445" s="70" t="s">
        <v>18613</v>
      </c>
      <c r="Q2445" s="2" t="s">
        <v>336</v>
      </c>
      <c r="R2445" s="2" t="s">
        <v>13191</v>
      </c>
      <c r="T2445" t="s">
        <v>18666</v>
      </c>
      <c r="U2445" t="s">
        <v>18652</v>
      </c>
      <c r="V2445" s="104">
        <v>45857</v>
      </c>
      <c r="X2445" s="97"/>
      <c r="Y2445" s="75">
        <v>333.51</v>
      </c>
    </row>
    <row r="2446" spans="1:25" x14ac:dyDescent="0.25">
      <c r="A2446" s="76">
        <v>2478</v>
      </c>
      <c r="B2446" s="2" t="s">
        <v>427</v>
      </c>
      <c r="C2446" s="2" t="s">
        <v>428</v>
      </c>
      <c r="D2446" s="2" t="s">
        <v>429</v>
      </c>
      <c r="E2446" s="2" t="s">
        <v>430</v>
      </c>
      <c r="F2446" s="2" t="s">
        <v>431</v>
      </c>
      <c r="G2446" s="2" t="s">
        <v>296</v>
      </c>
      <c r="H2446" s="17">
        <v>39</v>
      </c>
      <c r="I2446" s="31">
        <f t="shared" si="234"/>
        <v>39000</v>
      </c>
      <c r="J2446" s="31">
        <f t="shared" si="235"/>
        <v>2730.0000000000005</v>
      </c>
      <c r="K2446" s="44">
        <f t="shared" si="236"/>
        <v>7.479452054794522</v>
      </c>
      <c r="L2446" s="3">
        <f t="shared" si="237"/>
        <v>553.47945205479459</v>
      </c>
      <c r="M2446" s="3">
        <f t="shared" si="238"/>
        <v>33.208767123287672</v>
      </c>
      <c r="N2446" s="67">
        <f t="shared" si="239"/>
        <v>520.27068493150693</v>
      </c>
      <c r="O2446" s="3"/>
      <c r="P2446" s="70" t="s">
        <v>18613</v>
      </c>
      <c r="Q2446" s="2" t="s">
        <v>336</v>
      </c>
      <c r="R2446" s="2" t="s">
        <v>432</v>
      </c>
      <c r="T2446" t="s">
        <v>18666</v>
      </c>
      <c r="U2446" t="s">
        <v>18652</v>
      </c>
      <c r="V2446" s="104">
        <v>45857</v>
      </c>
      <c r="X2446" s="97"/>
      <c r="Y2446" s="75">
        <v>520.28</v>
      </c>
    </row>
    <row r="2447" spans="1:25" x14ac:dyDescent="0.25">
      <c r="A2447" s="76">
        <v>2479</v>
      </c>
      <c r="B2447" s="2" t="s">
        <v>3748</v>
      </c>
      <c r="C2447" s="2" t="s">
        <v>3749</v>
      </c>
      <c r="D2447" s="2" t="s">
        <v>3750</v>
      </c>
      <c r="E2447" s="2" t="s">
        <v>3751</v>
      </c>
      <c r="F2447" s="2" t="s">
        <v>3752</v>
      </c>
      <c r="G2447" s="2" t="s">
        <v>31</v>
      </c>
      <c r="H2447" s="17">
        <v>50</v>
      </c>
      <c r="I2447" s="31">
        <f t="shared" si="234"/>
        <v>50000</v>
      </c>
      <c r="J2447" s="31">
        <f t="shared" si="235"/>
        <v>3500.0000000000005</v>
      </c>
      <c r="K2447" s="44">
        <f t="shared" si="236"/>
        <v>9.589041095890412</v>
      </c>
      <c r="L2447" s="3">
        <f t="shared" si="237"/>
        <v>709.58904109589048</v>
      </c>
      <c r="M2447" s="3">
        <f t="shared" si="238"/>
        <v>42.57534246575343</v>
      </c>
      <c r="N2447" s="67">
        <f t="shared" si="239"/>
        <v>667.01369863013701</v>
      </c>
      <c r="O2447" s="3"/>
      <c r="P2447" s="70" t="s">
        <v>18613</v>
      </c>
      <c r="Q2447" s="2" t="s">
        <v>336</v>
      </c>
      <c r="R2447" s="2" t="s">
        <v>3753</v>
      </c>
      <c r="T2447" t="s">
        <v>18666</v>
      </c>
      <c r="U2447" t="s">
        <v>18652</v>
      </c>
      <c r="V2447" s="104">
        <v>45857</v>
      </c>
      <c r="X2447" s="97"/>
      <c r="Y2447" s="75">
        <v>667.02</v>
      </c>
    </row>
    <row r="2448" spans="1:25" x14ac:dyDescent="0.25">
      <c r="A2448" s="76">
        <v>2480</v>
      </c>
      <c r="B2448" s="2" t="s">
        <v>18354</v>
      </c>
      <c r="C2448" s="2" t="s">
        <v>18355</v>
      </c>
      <c r="D2448" s="2" t="s">
        <v>18356</v>
      </c>
      <c r="E2448" s="2" t="s">
        <v>18357</v>
      </c>
      <c r="F2448" s="2" t="s">
        <v>18358</v>
      </c>
      <c r="G2448" s="2" t="s">
        <v>31</v>
      </c>
      <c r="H2448" s="17">
        <v>130</v>
      </c>
      <c r="I2448" s="31">
        <f t="shared" si="234"/>
        <v>130000</v>
      </c>
      <c r="J2448" s="31">
        <f t="shared" si="235"/>
        <v>9100</v>
      </c>
      <c r="K2448" s="44">
        <f t="shared" si="236"/>
        <v>24.931506849315067</v>
      </c>
      <c r="L2448" s="3">
        <f t="shared" si="237"/>
        <v>1844.9315068493149</v>
      </c>
      <c r="M2448" s="3">
        <f t="shared" si="238"/>
        <v>110.6958904109589</v>
      </c>
      <c r="N2448" s="67">
        <f t="shared" si="239"/>
        <v>1734.2356164383559</v>
      </c>
      <c r="O2448" s="3"/>
      <c r="P2448" s="70" t="s">
        <v>18613</v>
      </c>
      <c r="Q2448" s="2" t="s">
        <v>336</v>
      </c>
      <c r="R2448" s="2" t="s">
        <v>18359</v>
      </c>
      <c r="T2448" t="s">
        <v>18666</v>
      </c>
      <c r="U2448" t="s">
        <v>18652</v>
      </c>
      <c r="V2448" s="104">
        <v>45857</v>
      </c>
      <c r="X2448" s="97"/>
      <c r="Y2448" s="75">
        <v>1734.24</v>
      </c>
    </row>
    <row r="2449" spans="1:25" x14ac:dyDescent="0.25">
      <c r="A2449" s="76">
        <v>2481</v>
      </c>
      <c r="B2449" s="2" t="s">
        <v>18309</v>
      </c>
      <c r="C2449" s="2" t="s">
        <v>18310</v>
      </c>
      <c r="D2449" s="2" t="s">
        <v>18304</v>
      </c>
      <c r="E2449" s="2" t="s">
        <v>18305</v>
      </c>
      <c r="F2449" s="2" t="s">
        <v>18311</v>
      </c>
      <c r="G2449" s="2" t="s">
        <v>362</v>
      </c>
      <c r="H2449" s="17">
        <v>500</v>
      </c>
      <c r="I2449" s="31">
        <f t="shared" si="234"/>
        <v>500000</v>
      </c>
      <c r="J2449" s="31">
        <f t="shared" si="235"/>
        <v>35000</v>
      </c>
      <c r="K2449" s="44">
        <f t="shared" si="236"/>
        <v>95.890410958904113</v>
      </c>
      <c r="L2449" s="3">
        <f t="shared" si="237"/>
        <v>7095.8904109589039</v>
      </c>
      <c r="M2449" s="3">
        <f t="shared" si="238"/>
        <v>425.7534246575342</v>
      </c>
      <c r="N2449" s="67">
        <f t="shared" si="239"/>
        <v>6670.1369863013697</v>
      </c>
      <c r="O2449" s="3"/>
      <c r="P2449" s="70" t="s">
        <v>18613</v>
      </c>
      <c r="Q2449" s="2" t="s">
        <v>336</v>
      </c>
      <c r="R2449" s="2" t="s">
        <v>18312</v>
      </c>
      <c r="T2449" t="s">
        <v>18666</v>
      </c>
      <c r="U2449" t="s">
        <v>18652</v>
      </c>
      <c r="V2449" s="104">
        <v>45857</v>
      </c>
      <c r="X2449" s="97"/>
      <c r="Y2449" s="75">
        <v>6670.14</v>
      </c>
    </row>
    <row r="2450" spans="1:25" x14ac:dyDescent="0.25">
      <c r="A2450" s="76">
        <v>2482</v>
      </c>
      <c r="B2450" s="2" t="s">
        <v>18313</v>
      </c>
      <c r="C2450" s="2" t="s">
        <v>18314</v>
      </c>
      <c r="D2450" s="2" t="s">
        <v>18304</v>
      </c>
      <c r="E2450" s="2" t="s">
        <v>18305</v>
      </c>
      <c r="F2450" s="2" t="s">
        <v>18315</v>
      </c>
      <c r="G2450" s="2" t="s">
        <v>362</v>
      </c>
      <c r="H2450" s="17">
        <v>300</v>
      </c>
      <c r="I2450" s="31">
        <f t="shared" ref="I2450:I2513" si="240">H2450*1000</f>
        <v>300000</v>
      </c>
      <c r="J2450" s="31">
        <f t="shared" ref="J2450:J2513" si="241">I2450*7%</f>
        <v>21000.000000000004</v>
      </c>
      <c r="K2450" s="44">
        <f t="shared" ref="K2450:K2513" si="242">J2450/365</f>
        <v>57.534246575342479</v>
      </c>
      <c r="L2450" s="3">
        <f t="shared" ref="L2450:L2513" si="243">K2450*74</f>
        <v>4257.5342465753438</v>
      </c>
      <c r="M2450" s="3">
        <f t="shared" ref="M2450:M2513" si="244">L2450*6%</f>
        <v>255.45205479452062</v>
      </c>
      <c r="N2450" s="67">
        <f t="shared" ref="N2450:N2513" si="245">L2450-M2450</f>
        <v>4002.082191780823</v>
      </c>
      <c r="O2450" s="3"/>
      <c r="P2450" s="70" t="s">
        <v>18613</v>
      </c>
      <c r="Q2450" s="2" t="s">
        <v>336</v>
      </c>
      <c r="R2450" s="2" t="s">
        <v>18316</v>
      </c>
      <c r="T2450" t="s">
        <v>18666</v>
      </c>
      <c r="U2450" t="s">
        <v>18652</v>
      </c>
      <c r="V2450" s="104">
        <v>45857</v>
      </c>
      <c r="X2450" s="97"/>
      <c r="Y2450" s="75">
        <v>4002.09</v>
      </c>
    </row>
    <row r="2451" spans="1:25" x14ac:dyDescent="0.25">
      <c r="A2451" s="76">
        <v>2483</v>
      </c>
      <c r="B2451" s="2" t="s">
        <v>16523</v>
      </c>
      <c r="C2451" s="2" t="s">
        <v>16524</v>
      </c>
      <c r="D2451" s="2" t="s">
        <v>16525</v>
      </c>
      <c r="E2451" s="2" t="s">
        <v>16526</v>
      </c>
      <c r="F2451" s="2" t="s">
        <v>16527</v>
      </c>
      <c r="G2451" s="2" t="s">
        <v>1055</v>
      </c>
      <c r="H2451" s="17">
        <v>25</v>
      </c>
      <c r="I2451" s="31">
        <f t="shared" si="240"/>
        <v>25000</v>
      </c>
      <c r="J2451" s="31">
        <f t="shared" si="241"/>
        <v>1750.0000000000002</v>
      </c>
      <c r="K2451" s="44">
        <f t="shared" si="242"/>
        <v>4.794520547945206</v>
      </c>
      <c r="L2451" s="3">
        <f t="shared" si="243"/>
        <v>354.79452054794524</v>
      </c>
      <c r="M2451" s="3">
        <f t="shared" si="244"/>
        <v>21.287671232876715</v>
      </c>
      <c r="N2451" s="67">
        <f t="shared" si="245"/>
        <v>333.50684931506851</v>
      </c>
      <c r="O2451" s="3"/>
      <c r="P2451" s="70" t="s">
        <v>18613</v>
      </c>
      <c r="Q2451" s="2" t="s">
        <v>336</v>
      </c>
      <c r="R2451" s="2" t="s">
        <v>16528</v>
      </c>
      <c r="T2451" t="s">
        <v>18666</v>
      </c>
      <c r="U2451" t="s">
        <v>18652</v>
      </c>
      <c r="V2451" s="104">
        <v>45857</v>
      </c>
      <c r="X2451" s="97"/>
      <c r="Y2451" s="75">
        <v>333.51</v>
      </c>
    </row>
    <row r="2452" spans="1:25" x14ac:dyDescent="0.25">
      <c r="A2452" s="76">
        <v>2484</v>
      </c>
      <c r="B2452" s="2" t="s">
        <v>7978</v>
      </c>
      <c r="C2452" s="2" t="s">
        <v>7979</v>
      </c>
      <c r="D2452" s="2" t="s">
        <v>7980</v>
      </c>
      <c r="E2452" s="2" t="s">
        <v>7981</v>
      </c>
      <c r="F2452" s="2" t="s">
        <v>7982</v>
      </c>
      <c r="G2452" s="2" t="s">
        <v>268</v>
      </c>
      <c r="H2452" s="17">
        <v>25</v>
      </c>
      <c r="I2452" s="31">
        <f t="shared" si="240"/>
        <v>25000</v>
      </c>
      <c r="J2452" s="31">
        <f t="shared" si="241"/>
        <v>1750.0000000000002</v>
      </c>
      <c r="K2452" s="44">
        <f t="shared" si="242"/>
        <v>4.794520547945206</v>
      </c>
      <c r="L2452" s="3">
        <f t="shared" si="243"/>
        <v>354.79452054794524</v>
      </c>
      <c r="M2452" s="3">
        <f t="shared" si="244"/>
        <v>21.287671232876715</v>
      </c>
      <c r="N2452" s="67">
        <f t="shared" si="245"/>
        <v>333.50684931506851</v>
      </c>
      <c r="O2452" s="3"/>
      <c r="P2452" s="70" t="s">
        <v>18613</v>
      </c>
      <c r="Q2452" s="2" t="s">
        <v>336</v>
      </c>
      <c r="R2452" s="2" t="s">
        <v>7983</v>
      </c>
      <c r="T2452" t="s">
        <v>18666</v>
      </c>
      <c r="U2452" t="s">
        <v>18652</v>
      </c>
      <c r="V2452" s="104">
        <v>45857</v>
      </c>
      <c r="X2452" s="97"/>
      <c r="Y2452" s="75">
        <v>333.51</v>
      </c>
    </row>
    <row r="2453" spans="1:25" x14ac:dyDescent="0.25">
      <c r="A2453" s="76">
        <v>2485</v>
      </c>
      <c r="B2453" s="2" t="s">
        <v>4693</v>
      </c>
      <c r="C2453" s="2" t="s">
        <v>4597</v>
      </c>
      <c r="D2453" s="2" t="s">
        <v>4637</v>
      </c>
      <c r="E2453" s="2" t="s">
        <v>4694</v>
      </c>
      <c r="F2453" s="2" t="s">
        <v>4695</v>
      </c>
      <c r="G2453" s="2" t="s">
        <v>31</v>
      </c>
      <c r="H2453" s="17">
        <v>25</v>
      </c>
      <c r="I2453" s="31">
        <f t="shared" si="240"/>
        <v>25000</v>
      </c>
      <c r="J2453" s="31">
        <f t="shared" si="241"/>
        <v>1750.0000000000002</v>
      </c>
      <c r="K2453" s="44">
        <f t="shared" si="242"/>
        <v>4.794520547945206</v>
      </c>
      <c r="L2453" s="3">
        <f t="shared" si="243"/>
        <v>354.79452054794524</v>
      </c>
      <c r="M2453" s="3">
        <f t="shared" si="244"/>
        <v>21.287671232876715</v>
      </c>
      <c r="N2453" s="67">
        <f t="shared" si="245"/>
        <v>333.50684931506851</v>
      </c>
      <c r="O2453" s="3"/>
      <c r="P2453" s="70" t="s">
        <v>18613</v>
      </c>
      <c r="Q2453" s="2" t="s">
        <v>336</v>
      </c>
      <c r="R2453" s="2" t="s">
        <v>4696</v>
      </c>
      <c r="T2453" t="s">
        <v>18666</v>
      </c>
      <c r="U2453" t="s">
        <v>18652</v>
      </c>
      <c r="V2453" s="104">
        <v>45857</v>
      </c>
      <c r="X2453" s="97"/>
      <c r="Y2453" s="75">
        <v>333.51</v>
      </c>
    </row>
    <row r="2454" spans="1:25" x14ac:dyDescent="0.25">
      <c r="A2454" s="76">
        <v>2486</v>
      </c>
      <c r="B2454" s="2" t="s">
        <v>7919</v>
      </c>
      <c r="C2454" s="2" t="s">
        <v>7920</v>
      </c>
      <c r="D2454" s="2" t="s">
        <v>7921</v>
      </c>
      <c r="E2454" s="2" t="s">
        <v>7922</v>
      </c>
      <c r="F2454" s="2" t="s">
        <v>7923</v>
      </c>
      <c r="G2454" s="2" t="s">
        <v>101</v>
      </c>
      <c r="H2454" s="17">
        <v>25</v>
      </c>
      <c r="I2454" s="31">
        <f t="shared" si="240"/>
        <v>25000</v>
      </c>
      <c r="J2454" s="31">
        <f t="shared" si="241"/>
        <v>1750.0000000000002</v>
      </c>
      <c r="K2454" s="44">
        <f t="shared" si="242"/>
        <v>4.794520547945206</v>
      </c>
      <c r="L2454" s="3">
        <f t="shared" si="243"/>
        <v>354.79452054794524</v>
      </c>
      <c r="M2454" s="3">
        <f t="shared" si="244"/>
        <v>21.287671232876715</v>
      </c>
      <c r="N2454" s="67">
        <f t="shared" si="245"/>
        <v>333.50684931506851</v>
      </c>
      <c r="O2454" s="3"/>
      <c r="P2454" s="70" t="s">
        <v>18613</v>
      </c>
      <c r="Q2454" s="2" t="s">
        <v>336</v>
      </c>
      <c r="R2454" s="2" t="s">
        <v>7924</v>
      </c>
      <c r="T2454" t="s">
        <v>18666</v>
      </c>
      <c r="U2454" t="s">
        <v>18652</v>
      </c>
      <c r="V2454" s="104">
        <v>45857</v>
      </c>
      <c r="X2454" s="97"/>
      <c r="Y2454" s="75">
        <v>333.51</v>
      </c>
    </row>
    <row r="2455" spans="1:25" x14ac:dyDescent="0.25">
      <c r="A2455" s="76">
        <v>2487</v>
      </c>
      <c r="B2455" s="2" t="s">
        <v>18041</v>
      </c>
      <c r="C2455" s="2" t="s">
        <v>18042</v>
      </c>
      <c r="D2455" s="2" t="s">
        <v>18043</v>
      </c>
      <c r="E2455" s="2" t="s">
        <v>18044</v>
      </c>
      <c r="F2455" s="2" t="s">
        <v>18045</v>
      </c>
      <c r="G2455" s="2" t="s">
        <v>750</v>
      </c>
      <c r="H2455" s="17">
        <v>25</v>
      </c>
      <c r="I2455" s="31">
        <f t="shared" si="240"/>
        <v>25000</v>
      </c>
      <c r="J2455" s="31">
        <f t="shared" si="241"/>
        <v>1750.0000000000002</v>
      </c>
      <c r="K2455" s="44">
        <f t="shared" si="242"/>
        <v>4.794520547945206</v>
      </c>
      <c r="L2455" s="3">
        <f t="shared" si="243"/>
        <v>354.79452054794524</v>
      </c>
      <c r="M2455" s="3">
        <f t="shared" si="244"/>
        <v>21.287671232876715</v>
      </c>
      <c r="N2455" s="67">
        <f t="shared" si="245"/>
        <v>333.50684931506851</v>
      </c>
      <c r="O2455" s="3"/>
      <c r="P2455" s="70" t="s">
        <v>18613</v>
      </c>
      <c r="Q2455" s="2" t="s">
        <v>336</v>
      </c>
      <c r="R2455" s="2" t="s">
        <v>18046</v>
      </c>
      <c r="T2455" t="s">
        <v>18666</v>
      </c>
      <c r="U2455" t="s">
        <v>18652</v>
      </c>
      <c r="V2455" s="104">
        <v>45857</v>
      </c>
      <c r="X2455" s="97"/>
      <c r="Y2455" s="75">
        <v>333.51</v>
      </c>
    </row>
    <row r="2456" spans="1:25" x14ac:dyDescent="0.25">
      <c r="A2456" s="76">
        <v>2488</v>
      </c>
      <c r="B2456" s="2" t="s">
        <v>7313</v>
      </c>
      <c r="C2456" s="2" t="s">
        <v>7314</v>
      </c>
      <c r="D2456" s="2" t="s">
        <v>7315</v>
      </c>
      <c r="E2456" s="2" t="s">
        <v>7316</v>
      </c>
      <c r="F2456" s="2" t="s">
        <v>7317</v>
      </c>
      <c r="G2456" s="2" t="s">
        <v>282</v>
      </c>
      <c r="H2456" s="17">
        <v>25</v>
      </c>
      <c r="I2456" s="31">
        <f t="shared" si="240"/>
        <v>25000</v>
      </c>
      <c r="J2456" s="31">
        <f t="shared" si="241"/>
        <v>1750.0000000000002</v>
      </c>
      <c r="K2456" s="44">
        <f t="shared" si="242"/>
        <v>4.794520547945206</v>
      </c>
      <c r="L2456" s="3">
        <f t="shared" si="243"/>
        <v>354.79452054794524</v>
      </c>
      <c r="M2456" s="3">
        <f t="shared" si="244"/>
        <v>21.287671232876715</v>
      </c>
      <c r="N2456" s="67">
        <f t="shared" si="245"/>
        <v>333.50684931506851</v>
      </c>
      <c r="O2456" s="3"/>
      <c r="P2456" s="70" t="s">
        <v>18613</v>
      </c>
      <c r="Q2456" s="2" t="s">
        <v>336</v>
      </c>
      <c r="R2456" s="2" t="s">
        <v>7318</v>
      </c>
      <c r="T2456" t="s">
        <v>18666</v>
      </c>
      <c r="U2456" t="s">
        <v>18652</v>
      </c>
      <c r="V2456" s="104">
        <v>45857</v>
      </c>
      <c r="X2456" s="97"/>
      <c r="Y2456" s="75">
        <v>333.51</v>
      </c>
    </row>
    <row r="2457" spans="1:25" x14ac:dyDescent="0.25">
      <c r="A2457" s="76">
        <v>2489</v>
      </c>
      <c r="B2457" s="2" t="s">
        <v>12045</v>
      </c>
      <c r="C2457" s="2" t="s">
        <v>12046</v>
      </c>
      <c r="D2457" s="2" t="s">
        <v>12047</v>
      </c>
      <c r="E2457" s="2" t="s">
        <v>12048</v>
      </c>
      <c r="F2457" s="2" t="s">
        <v>12049</v>
      </c>
      <c r="G2457" s="2" t="s">
        <v>517</v>
      </c>
      <c r="H2457" s="17">
        <v>25</v>
      </c>
      <c r="I2457" s="31">
        <f t="shared" si="240"/>
        <v>25000</v>
      </c>
      <c r="J2457" s="31">
        <f t="shared" si="241"/>
        <v>1750.0000000000002</v>
      </c>
      <c r="K2457" s="44">
        <f t="shared" si="242"/>
        <v>4.794520547945206</v>
      </c>
      <c r="L2457" s="3">
        <f t="shared" si="243"/>
        <v>354.79452054794524</v>
      </c>
      <c r="M2457" s="3">
        <f t="shared" si="244"/>
        <v>21.287671232876715</v>
      </c>
      <c r="N2457" s="67">
        <f t="shared" si="245"/>
        <v>333.50684931506851</v>
      </c>
      <c r="O2457" s="3"/>
      <c r="P2457" s="70" t="s">
        <v>18613</v>
      </c>
      <c r="Q2457" s="2" t="s">
        <v>336</v>
      </c>
      <c r="R2457" s="2" t="s">
        <v>12050</v>
      </c>
      <c r="T2457" t="s">
        <v>18666</v>
      </c>
      <c r="U2457" t="s">
        <v>18652</v>
      </c>
      <c r="V2457" s="104">
        <v>45857</v>
      </c>
      <c r="X2457" s="97"/>
      <c r="Y2457" s="75">
        <v>333.51</v>
      </c>
    </row>
    <row r="2458" spans="1:25" x14ac:dyDescent="0.25">
      <c r="A2458" s="76">
        <v>2490</v>
      </c>
      <c r="B2458" s="2" t="s">
        <v>15123</v>
      </c>
      <c r="C2458" s="2" t="s">
        <v>15124</v>
      </c>
      <c r="D2458" s="2" t="s">
        <v>14397</v>
      </c>
      <c r="E2458" s="2" t="s">
        <v>15125</v>
      </c>
      <c r="F2458" s="2" t="s">
        <v>15126</v>
      </c>
      <c r="G2458" s="2" t="s">
        <v>31</v>
      </c>
      <c r="H2458" s="17">
        <v>35</v>
      </c>
      <c r="I2458" s="31">
        <f t="shared" si="240"/>
        <v>35000</v>
      </c>
      <c r="J2458" s="31">
        <f t="shared" si="241"/>
        <v>2450.0000000000005</v>
      </c>
      <c r="K2458" s="44">
        <f t="shared" si="242"/>
        <v>6.7123287671232887</v>
      </c>
      <c r="L2458" s="3">
        <f t="shared" si="243"/>
        <v>496.71232876712338</v>
      </c>
      <c r="M2458" s="3">
        <f t="shared" si="244"/>
        <v>29.802739726027401</v>
      </c>
      <c r="N2458" s="67">
        <f t="shared" si="245"/>
        <v>466.90958904109596</v>
      </c>
      <c r="O2458" s="3"/>
      <c r="P2458" s="70" t="s">
        <v>18613</v>
      </c>
      <c r="Q2458" s="2" t="s">
        <v>336</v>
      </c>
      <c r="R2458" s="2" t="s">
        <v>15127</v>
      </c>
      <c r="T2458" t="s">
        <v>18666</v>
      </c>
      <c r="U2458" t="s">
        <v>18652</v>
      </c>
      <c r="V2458" s="104">
        <v>45857</v>
      </c>
      <c r="X2458" s="97"/>
      <c r="Y2458" s="75">
        <v>466.90999999999997</v>
      </c>
    </row>
    <row r="2459" spans="1:25" x14ac:dyDescent="0.25">
      <c r="A2459" s="76">
        <v>2491</v>
      </c>
      <c r="B2459" s="2" t="s">
        <v>3135</v>
      </c>
      <c r="C2459" s="2" t="s">
        <v>3136</v>
      </c>
      <c r="D2459" s="2" t="s">
        <v>3137</v>
      </c>
      <c r="E2459" s="2" t="s">
        <v>3138</v>
      </c>
      <c r="F2459" s="2" t="s">
        <v>3139</v>
      </c>
      <c r="G2459" s="2" t="s">
        <v>39</v>
      </c>
      <c r="H2459" s="17">
        <v>25</v>
      </c>
      <c r="I2459" s="31">
        <f t="shared" si="240"/>
        <v>25000</v>
      </c>
      <c r="J2459" s="31">
        <f t="shared" si="241"/>
        <v>1750.0000000000002</v>
      </c>
      <c r="K2459" s="44">
        <f t="shared" si="242"/>
        <v>4.794520547945206</v>
      </c>
      <c r="L2459" s="3">
        <f t="shared" si="243"/>
        <v>354.79452054794524</v>
      </c>
      <c r="M2459" s="3">
        <f t="shared" si="244"/>
        <v>21.287671232876715</v>
      </c>
      <c r="N2459" s="67">
        <f t="shared" si="245"/>
        <v>333.50684931506851</v>
      </c>
      <c r="O2459" s="3"/>
      <c r="P2459" s="70" t="s">
        <v>18613</v>
      </c>
      <c r="Q2459" s="2" t="s">
        <v>336</v>
      </c>
      <c r="R2459" s="2" t="s">
        <v>3140</v>
      </c>
      <c r="T2459" t="s">
        <v>18666</v>
      </c>
      <c r="U2459" t="s">
        <v>18652</v>
      </c>
      <c r="V2459" s="104">
        <v>45857</v>
      </c>
      <c r="X2459" s="97"/>
      <c r="Y2459" s="75">
        <v>333.51</v>
      </c>
    </row>
    <row r="2460" spans="1:25" x14ac:dyDescent="0.25">
      <c r="A2460" s="76">
        <v>2492</v>
      </c>
      <c r="B2460" s="2" t="s">
        <v>14364</v>
      </c>
      <c r="C2460" s="2" t="s">
        <v>14365</v>
      </c>
      <c r="D2460" s="2" t="s">
        <v>14366</v>
      </c>
      <c r="E2460" s="2" t="s">
        <v>14367</v>
      </c>
      <c r="F2460" s="2" t="s">
        <v>14368</v>
      </c>
      <c r="G2460" s="2" t="s">
        <v>750</v>
      </c>
      <c r="H2460" s="17">
        <v>25</v>
      </c>
      <c r="I2460" s="31">
        <f t="shared" si="240"/>
        <v>25000</v>
      </c>
      <c r="J2460" s="31">
        <f t="shared" si="241"/>
        <v>1750.0000000000002</v>
      </c>
      <c r="K2460" s="44">
        <f t="shared" si="242"/>
        <v>4.794520547945206</v>
      </c>
      <c r="L2460" s="3">
        <f t="shared" si="243"/>
        <v>354.79452054794524</v>
      </c>
      <c r="M2460" s="3">
        <f t="shared" si="244"/>
        <v>21.287671232876715</v>
      </c>
      <c r="N2460" s="67">
        <f t="shared" si="245"/>
        <v>333.50684931506851</v>
      </c>
      <c r="O2460" s="3"/>
      <c r="P2460" s="70" t="s">
        <v>18613</v>
      </c>
      <c r="Q2460" s="2" t="s">
        <v>336</v>
      </c>
      <c r="R2460" s="2" t="s">
        <v>14369</v>
      </c>
      <c r="T2460" t="s">
        <v>18666</v>
      </c>
      <c r="U2460" t="s">
        <v>18652</v>
      </c>
      <c r="V2460" s="104">
        <v>45857</v>
      </c>
      <c r="X2460" s="97"/>
      <c r="Y2460" s="75">
        <v>333.51</v>
      </c>
    </row>
    <row r="2461" spans="1:25" x14ac:dyDescent="0.25">
      <c r="A2461" s="76">
        <v>2493</v>
      </c>
      <c r="B2461" s="2" t="s">
        <v>14811</v>
      </c>
      <c r="C2461" s="2" t="s">
        <v>14812</v>
      </c>
      <c r="D2461" s="2" t="s">
        <v>14813</v>
      </c>
      <c r="E2461" s="2" t="s">
        <v>14814</v>
      </c>
      <c r="F2461" s="2" t="s">
        <v>14815</v>
      </c>
      <c r="G2461" s="2" t="s">
        <v>31</v>
      </c>
      <c r="H2461" s="17">
        <v>25</v>
      </c>
      <c r="I2461" s="31">
        <f t="shared" si="240"/>
        <v>25000</v>
      </c>
      <c r="J2461" s="31">
        <f t="shared" si="241"/>
        <v>1750.0000000000002</v>
      </c>
      <c r="K2461" s="44">
        <f t="shared" si="242"/>
        <v>4.794520547945206</v>
      </c>
      <c r="L2461" s="3">
        <f t="shared" si="243"/>
        <v>354.79452054794524</v>
      </c>
      <c r="M2461" s="3">
        <f t="shared" si="244"/>
        <v>21.287671232876715</v>
      </c>
      <c r="N2461" s="67">
        <f t="shared" si="245"/>
        <v>333.50684931506851</v>
      </c>
      <c r="O2461" s="3"/>
      <c r="P2461" s="70" t="s">
        <v>18613</v>
      </c>
      <c r="Q2461" s="2" t="s">
        <v>336</v>
      </c>
      <c r="R2461" s="2" t="s">
        <v>14816</v>
      </c>
      <c r="T2461" t="s">
        <v>18666</v>
      </c>
      <c r="U2461" t="s">
        <v>18652</v>
      </c>
      <c r="V2461" s="104">
        <v>45857</v>
      </c>
      <c r="X2461" s="97"/>
      <c r="Y2461" s="75">
        <v>333.51</v>
      </c>
    </row>
    <row r="2462" spans="1:25" x14ac:dyDescent="0.25">
      <c r="A2462" s="76">
        <v>2494</v>
      </c>
      <c r="B2462" s="2" t="s">
        <v>9710</v>
      </c>
      <c r="C2462" s="2" t="s">
        <v>9711</v>
      </c>
      <c r="D2462" s="2" t="s">
        <v>9712</v>
      </c>
      <c r="E2462" s="2" t="s">
        <v>9713</v>
      </c>
      <c r="F2462" s="2" t="s">
        <v>9714</v>
      </c>
      <c r="G2462" s="2" t="s">
        <v>61</v>
      </c>
      <c r="H2462" s="17">
        <v>110</v>
      </c>
      <c r="I2462" s="31">
        <f t="shared" si="240"/>
        <v>110000</v>
      </c>
      <c r="J2462" s="31">
        <f t="shared" si="241"/>
        <v>7700.0000000000009</v>
      </c>
      <c r="K2462" s="44">
        <f t="shared" si="242"/>
        <v>21.095890410958905</v>
      </c>
      <c r="L2462" s="3">
        <f t="shared" si="243"/>
        <v>1561.0958904109589</v>
      </c>
      <c r="M2462" s="3">
        <f t="shared" si="244"/>
        <v>93.665753424657524</v>
      </c>
      <c r="N2462" s="67">
        <f t="shared" si="245"/>
        <v>1467.4301369863012</v>
      </c>
      <c r="O2462" s="3"/>
      <c r="P2462" s="70" t="s">
        <v>18613</v>
      </c>
      <c r="Q2462" s="2" t="s">
        <v>336</v>
      </c>
      <c r="R2462" s="2" t="s">
        <v>9715</v>
      </c>
      <c r="T2462" t="s">
        <v>18666</v>
      </c>
      <c r="U2462" t="s">
        <v>18652</v>
      </c>
      <c r="V2462" s="104">
        <v>45857</v>
      </c>
      <c r="X2462" s="97"/>
      <c r="Y2462" s="75">
        <v>1467.44</v>
      </c>
    </row>
    <row r="2463" spans="1:25" x14ac:dyDescent="0.25">
      <c r="A2463" s="76">
        <v>2495</v>
      </c>
      <c r="B2463" s="2" t="s">
        <v>5970</v>
      </c>
      <c r="C2463" s="2" t="s">
        <v>5971</v>
      </c>
      <c r="D2463" s="2" t="s">
        <v>5972</v>
      </c>
      <c r="E2463" s="2" t="s">
        <v>5973</v>
      </c>
      <c r="F2463" s="2" t="s">
        <v>5974</v>
      </c>
      <c r="G2463" s="2" t="s">
        <v>1424</v>
      </c>
      <c r="H2463" s="17">
        <v>25</v>
      </c>
      <c r="I2463" s="31">
        <f t="shared" si="240"/>
        <v>25000</v>
      </c>
      <c r="J2463" s="31">
        <f t="shared" si="241"/>
        <v>1750.0000000000002</v>
      </c>
      <c r="K2463" s="44">
        <f t="shared" si="242"/>
        <v>4.794520547945206</v>
      </c>
      <c r="L2463" s="3">
        <f t="shared" si="243"/>
        <v>354.79452054794524</v>
      </c>
      <c r="M2463" s="3">
        <f t="shared" si="244"/>
        <v>21.287671232876715</v>
      </c>
      <c r="N2463" s="67">
        <f t="shared" si="245"/>
        <v>333.50684931506851</v>
      </c>
      <c r="O2463" s="3"/>
      <c r="P2463" s="70" t="s">
        <v>18613</v>
      </c>
      <c r="Q2463" s="2" t="s">
        <v>336</v>
      </c>
      <c r="R2463" s="2" t="s">
        <v>5975</v>
      </c>
      <c r="T2463" t="s">
        <v>18666</v>
      </c>
      <c r="U2463" t="s">
        <v>18652</v>
      </c>
      <c r="V2463" s="104">
        <v>45857</v>
      </c>
      <c r="X2463" s="97"/>
      <c r="Y2463" s="75">
        <v>333.51</v>
      </c>
    </row>
    <row r="2464" spans="1:25" x14ac:dyDescent="0.25">
      <c r="A2464" s="76">
        <v>2496</v>
      </c>
      <c r="B2464" s="2" t="s">
        <v>2668</v>
      </c>
      <c r="C2464" s="2" t="s">
        <v>2669</v>
      </c>
      <c r="D2464" s="2" t="s">
        <v>2670</v>
      </c>
      <c r="E2464" s="2" t="s">
        <v>2671</v>
      </c>
      <c r="F2464" s="2" t="s">
        <v>2672</v>
      </c>
      <c r="G2464" s="2" t="s">
        <v>2673</v>
      </c>
      <c r="H2464" s="17">
        <v>50</v>
      </c>
      <c r="I2464" s="31">
        <f t="shared" si="240"/>
        <v>50000</v>
      </c>
      <c r="J2464" s="31">
        <f t="shared" si="241"/>
        <v>3500.0000000000005</v>
      </c>
      <c r="K2464" s="44">
        <f t="shared" si="242"/>
        <v>9.589041095890412</v>
      </c>
      <c r="L2464" s="3">
        <f t="shared" si="243"/>
        <v>709.58904109589048</v>
      </c>
      <c r="M2464" s="3">
        <f t="shared" si="244"/>
        <v>42.57534246575343</v>
      </c>
      <c r="N2464" s="67">
        <f t="shared" si="245"/>
        <v>667.01369863013701</v>
      </c>
      <c r="O2464" s="3"/>
      <c r="P2464" s="70" t="s">
        <v>18613</v>
      </c>
      <c r="Q2464" s="2" t="s">
        <v>336</v>
      </c>
      <c r="R2464" s="2" t="s">
        <v>2674</v>
      </c>
      <c r="T2464" t="s">
        <v>18666</v>
      </c>
      <c r="U2464" t="s">
        <v>18652</v>
      </c>
      <c r="V2464" s="104">
        <v>45857</v>
      </c>
      <c r="X2464" s="97"/>
      <c r="Y2464" s="75">
        <v>667.02</v>
      </c>
    </row>
    <row r="2465" spans="1:25" x14ac:dyDescent="0.25">
      <c r="A2465" s="76">
        <v>2497</v>
      </c>
      <c r="B2465" s="2" t="s">
        <v>10096</v>
      </c>
      <c r="C2465" s="2" t="s">
        <v>10097</v>
      </c>
      <c r="D2465" s="2" t="s">
        <v>10098</v>
      </c>
      <c r="E2465" s="2" t="s">
        <v>10099</v>
      </c>
      <c r="F2465" s="2" t="s">
        <v>10100</v>
      </c>
      <c r="G2465" s="2" t="s">
        <v>31</v>
      </c>
      <c r="H2465" s="17">
        <v>25</v>
      </c>
      <c r="I2465" s="31">
        <f t="shared" si="240"/>
        <v>25000</v>
      </c>
      <c r="J2465" s="31">
        <f t="shared" si="241"/>
        <v>1750.0000000000002</v>
      </c>
      <c r="K2465" s="44">
        <f t="shared" si="242"/>
        <v>4.794520547945206</v>
      </c>
      <c r="L2465" s="3">
        <f t="shared" si="243"/>
        <v>354.79452054794524</v>
      </c>
      <c r="M2465" s="3">
        <f t="shared" si="244"/>
        <v>21.287671232876715</v>
      </c>
      <c r="N2465" s="67">
        <f t="shared" si="245"/>
        <v>333.50684931506851</v>
      </c>
      <c r="O2465" s="3"/>
      <c r="P2465" s="70" t="s">
        <v>18613</v>
      </c>
      <c r="Q2465" s="2" t="s">
        <v>336</v>
      </c>
      <c r="R2465" s="2" t="s">
        <v>10101</v>
      </c>
      <c r="T2465" t="s">
        <v>18666</v>
      </c>
      <c r="U2465" t="s">
        <v>18652</v>
      </c>
      <c r="V2465" s="104">
        <v>45857</v>
      </c>
      <c r="X2465" s="97"/>
      <c r="Y2465" s="75">
        <v>333.51</v>
      </c>
    </row>
    <row r="2466" spans="1:25" x14ac:dyDescent="0.25">
      <c r="A2466" s="76">
        <v>2498</v>
      </c>
      <c r="B2466" s="2" t="s">
        <v>4310</v>
      </c>
      <c r="C2466" s="2" t="s">
        <v>4311</v>
      </c>
      <c r="D2466" s="2" t="s">
        <v>4312</v>
      </c>
      <c r="E2466" s="2" t="s">
        <v>4313</v>
      </c>
      <c r="F2466" s="2" t="s">
        <v>4314</v>
      </c>
      <c r="G2466" s="2" t="s">
        <v>101</v>
      </c>
      <c r="H2466" s="17">
        <v>25</v>
      </c>
      <c r="I2466" s="31">
        <f t="shared" si="240"/>
        <v>25000</v>
      </c>
      <c r="J2466" s="31">
        <f t="shared" si="241"/>
        <v>1750.0000000000002</v>
      </c>
      <c r="K2466" s="44">
        <f t="shared" si="242"/>
        <v>4.794520547945206</v>
      </c>
      <c r="L2466" s="3">
        <f t="shared" si="243"/>
        <v>354.79452054794524</v>
      </c>
      <c r="M2466" s="3">
        <f t="shared" si="244"/>
        <v>21.287671232876715</v>
      </c>
      <c r="N2466" s="67">
        <f t="shared" si="245"/>
        <v>333.50684931506851</v>
      </c>
      <c r="O2466" s="3"/>
      <c r="P2466" s="70" t="s">
        <v>18613</v>
      </c>
      <c r="Q2466" s="2" t="s">
        <v>336</v>
      </c>
      <c r="R2466" s="2" t="s">
        <v>4315</v>
      </c>
      <c r="T2466" t="s">
        <v>18666</v>
      </c>
      <c r="U2466" t="s">
        <v>18652</v>
      </c>
      <c r="V2466" s="104">
        <v>45857</v>
      </c>
      <c r="X2466" s="97"/>
      <c r="Y2466" s="75">
        <v>333.51</v>
      </c>
    </row>
    <row r="2467" spans="1:25" x14ac:dyDescent="0.25">
      <c r="A2467" s="76">
        <v>2499</v>
      </c>
      <c r="B2467" s="2" t="s">
        <v>17448</v>
      </c>
      <c r="C2467" s="2" t="s">
        <v>17449</v>
      </c>
      <c r="D2467" s="2" t="s">
        <v>17450</v>
      </c>
      <c r="E2467" s="2" t="s">
        <v>17451</v>
      </c>
      <c r="F2467" s="2" t="s">
        <v>17452</v>
      </c>
      <c r="G2467" s="2" t="s">
        <v>31</v>
      </c>
      <c r="H2467" s="17">
        <v>25</v>
      </c>
      <c r="I2467" s="31">
        <f t="shared" si="240"/>
        <v>25000</v>
      </c>
      <c r="J2467" s="31">
        <f t="shared" si="241"/>
        <v>1750.0000000000002</v>
      </c>
      <c r="K2467" s="44">
        <f t="shared" si="242"/>
        <v>4.794520547945206</v>
      </c>
      <c r="L2467" s="3">
        <f t="shared" si="243"/>
        <v>354.79452054794524</v>
      </c>
      <c r="M2467" s="3">
        <f t="shared" si="244"/>
        <v>21.287671232876715</v>
      </c>
      <c r="N2467" s="67">
        <f t="shared" si="245"/>
        <v>333.50684931506851</v>
      </c>
      <c r="O2467" s="3"/>
      <c r="P2467" s="70" t="s">
        <v>18613</v>
      </c>
      <c r="Q2467" s="2" t="s">
        <v>336</v>
      </c>
      <c r="R2467" s="2" t="s">
        <v>17453</v>
      </c>
      <c r="T2467" t="s">
        <v>18666</v>
      </c>
      <c r="U2467" t="s">
        <v>18652</v>
      </c>
      <c r="V2467" s="104">
        <v>45857</v>
      </c>
      <c r="X2467" s="97"/>
      <c r="Y2467" s="75">
        <v>333.51</v>
      </c>
    </row>
    <row r="2468" spans="1:25" x14ac:dyDescent="0.25">
      <c r="A2468" s="76">
        <v>2500</v>
      </c>
      <c r="B2468" s="2" t="s">
        <v>16370</v>
      </c>
      <c r="C2468" s="2" t="s">
        <v>16371</v>
      </c>
      <c r="D2468" s="2" t="s">
        <v>16372</v>
      </c>
      <c r="E2468" s="2" t="s">
        <v>16348</v>
      </c>
      <c r="F2468" s="2" t="s">
        <v>16373</v>
      </c>
      <c r="G2468" s="2" t="s">
        <v>517</v>
      </c>
      <c r="H2468" s="17">
        <v>25</v>
      </c>
      <c r="I2468" s="31">
        <f t="shared" si="240"/>
        <v>25000</v>
      </c>
      <c r="J2468" s="31">
        <f t="shared" si="241"/>
        <v>1750.0000000000002</v>
      </c>
      <c r="K2468" s="44">
        <f t="shared" si="242"/>
        <v>4.794520547945206</v>
      </c>
      <c r="L2468" s="3">
        <f t="shared" si="243"/>
        <v>354.79452054794524</v>
      </c>
      <c r="M2468" s="3">
        <f t="shared" si="244"/>
        <v>21.287671232876715</v>
      </c>
      <c r="N2468" s="67">
        <f t="shared" si="245"/>
        <v>333.50684931506851</v>
      </c>
      <c r="O2468" s="3"/>
      <c r="P2468" s="70" t="s">
        <v>18613</v>
      </c>
      <c r="Q2468" s="2" t="s">
        <v>336</v>
      </c>
      <c r="R2468" s="2" t="s">
        <v>16374</v>
      </c>
      <c r="T2468" t="s">
        <v>18666</v>
      </c>
      <c r="U2468" t="s">
        <v>18652</v>
      </c>
      <c r="V2468" s="104">
        <v>45857</v>
      </c>
      <c r="X2468" s="97"/>
      <c r="Y2468" s="75">
        <v>333.51</v>
      </c>
    </row>
    <row r="2469" spans="1:25" x14ac:dyDescent="0.25">
      <c r="A2469" s="76">
        <v>2501</v>
      </c>
      <c r="B2469" s="2" t="s">
        <v>6189</v>
      </c>
      <c r="C2469" s="2" t="s">
        <v>6190</v>
      </c>
      <c r="D2469" s="2" t="s">
        <v>6191</v>
      </c>
      <c r="E2469" s="2" t="s">
        <v>6192</v>
      </c>
      <c r="F2469" s="2" t="s">
        <v>6193</v>
      </c>
      <c r="G2469" s="2" t="s">
        <v>517</v>
      </c>
      <c r="H2469" s="17">
        <v>25</v>
      </c>
      <c r="I2469" s="31">
        <f t="shared" si="240"/>
        <v>25000</v>
      </c>
      <c r="J2469" s="31">
        <f t="shared" si="241"/>
        <v>1750.0000000000002</v>
      </c>
      <c r="K2469" s="44">
        <f t="shared" si="242"/>
        <v>4.794520547945206</v>
      </c>
      <c r="L2469" s="3">
        <f t="shared" si="243"/>
        <v>354.79452054794524</v>
      </c>
      <c r="M2469" s="3">
        <f t="shared" si="244"/>
        <v>21.287671232876715</v>
      </c>
      <c r="N2469" s="67">
        <f t="shared" si="245"/>
        <v>333.50684931506851</v>
      </c>
      <c r="O2469" s="3"/>
      <c r="P2469" s="70" t="s">
        <v>18613</v>
      </c>
      <c r="Q2469" s="2" t="s">
        <v>336</v>
      </c>
      <c r="R2469" s="2" t="s">
        <v>6194</v>
      </c>
      <c r="T2469" t="s">
        <v>18666</v>
      </c>
      <c r="U2469" t="s">
        <v>18652</v>
      </c>
      <c r="V2469" s="104">
        <v>45857</v>
      </c>
      <c r="X2469" s="97"/>
      <c r="Y2469" s="75">
        <v>333.51</v>
      </c>
    </row>
    <row r="2470" spans="1:25" x14ac:dyDescent="0.25">
      <c r="A2470" s="76">
        <v>2502</v>
      </c>
      <c r="B2470" s="2" t="s">
        <v>7695</v>
      </c>
      <c r="C2470" s="2" t="s">
        <v>7696</v>
      </c>
      <c r="D2470" s="2" t="s">
        <v>7697</v>
      </c>
      <c r="E2470" s="2" t="s">
        <v>7698</v>
      </c>
      <c r="F2470" s="2" t="s">
        <v>7699</v>
      </c>
      <c r="G2470" s="2" t="s">
        <v>1055</v>
      </c>
      <c r="H2470" s="17">
        <v>100</v>
      </c>
      <c r="I2470" s="31">
        <f t="shared" si="240"/>
        <v>100000</v>
      </c>
      <c r="J2470" s="31">
        <f t="shared" si="241"/>
        <v>7000.0000000000009</v>
      </c>
      <c r="K2470" s="44">
        <f t="shared" si="242"/>
        <v>19.178082191780824</v>
      </c>
      <c r="L2470" s="3">
        <f t="shared" si="243"/>
        <v>1419.178082191781</v>
      </c>
      <c r="M2470" s="3">
        <f t="shared" si="244"/>
        <v>85.150684931506859</v>
      </c>
      <c r="N2470" s="67">
        <f t="shared" si="245"/>
        <v>1334.027397260274</v>
      </c>
      <c r="O2470" s="3"/>
      <c r="P2470" s="70" t="s">
        <v>18613</v>
      </c>
      <c r="Q2470" s="2" t="s">
        <v>336</v>
      </c>
      <c r="R2470" s="2" t="s">
        <v>7700</v>
      </c>
      <c r="T2470" t="s">
        <v>18666</v>
      </c>
      <c r="U2470" t="s">
        <v>18652</v>
      </c>
      <c r="V2470" s="104">
        <v>45857</v>
      </c>
      <c r="X2470" s="97"/>
      <c r="Y2470" s="75">
        <v>1334.03</v>
      </c>
    </row>
    <row r="2471" spans="1:25" x14ac:dyDescent="0.25">
      <c r="A2471" s="76">
        <v>2503</v>
      </c>
      <c r="B2471" s="2" t="s">
        <v>15594</v>
      </c>
      <c r="C2471" s="2" t="s">
        <v>15595</v>
      </c>
      <c r="D2471" s="2" t="s">
        <v>15596</v>
      </c>
      <c r="E2471" s="2" t="s">
        <v>15597</v>
      </c>
      <c r="F2471" s="2" t="s">
        <v>15598</v>
      </c>
      <c r="G2471" s="2" t="s">
        <v>1055</v>
      </c>
      <c r="H2471" s="17">
        <v>40</v>
      </c>
      <c r="I2471" s="31">
        <f t="shared" si="240"/>
        <v>40000</v>
      </c>
      <c r="J2471" s="31">
        <f t="shared" si="241"/>
        <v>2800.0000000000005</v>
      </c>
      <c r="K2471" s="44">
        <f t="shared" si="242"/>
        <v>7.6712328767123301</v>
      </c>
      <c r="L2471" s="3">
        <f t="shared" si="243"/>
        <v>567.67123287671245</v>
      </c>
      <c r="M2471" s="3">
        <f t="shared" si="244"/>
        <v>34.060273972602744</v>
      </c>
      <c r="N2471" s="67">
        <f t="shared" si="245"/>
        <v>533.61095890410968</v>
      </c>
      <c r="O2471" s="3"/>
      <c r="P2471" s="70" t="s">
        <v>18613</v>
      </c>
      <c r="Q2471" s="2" t="s">
        <v>336</v>
      </c>
      <c r="R2471" s="2" t="s">
        <v>15599</v>
      </c>
      <c r="T2471" t="s">
        <v>18666</v>
      </c>
      <c r="U2471" t="s">
        <v>18652</v>
      </c>
      <c r="V2471" s="104">
        <v>45857</v>
      </c>
      <c r="X2471" s="97"/>
      <c r="Y2471" s="75">
        <v>533.62</v>
      </c>
    </row>
    <row r="2472" spans="1:25" x14ac:dyDescent="0.25">
      <c r="A2472" s="76">
        <v>2504</v>
      </c>
      <c r="B2472" s="2" t="s">
        <v>16345</v>
      </c>
      <c r="C2472" s="2" t="s">
        <v>16346</v>
      </c>
      <c r="D2472" s="2" t="s">
        <v>16347</v>
      </c>
      <c r="E2472" s="2" t="s">
        <v>16348</v>
      </c>
      <c r="F2472" s="2" t="s">
        <v>15542</v>
      </c>
      <c r="G2472" s="2" t="s">
        <v>517</v>
      </c>
      <c r="H2472" s="17">
        <v>25</v>
      </c>
      <c r="I2472" s="31">
        <f t="shared" si="240"/>
        <v>25000</v>
      </c>
      <c r="J2472" s="31">
        <f t="shared" si="241"/>
        <v>1750.0000000000002</v>
      </c>
      <c r="K2472" s="44">
        <f t="shared" si="242"/>
        <v>4.794520547945206</v>
      </c>
      <c r="L2472" s="3">
        <f t="shared" si="243"/>
        <v>354.79452054794524</v>
      </c>
      <c r="M2472" s="3">
        <f t="shared" si="244"/>
        <v>21.287671232876715</v>
      </c>
      <c r="N2472" s="67">
        <f t="shared" si="245"/>
        <v>333.50684931506851</v>
      </c>
      <c r="O2472" s="3"/>
      <c r="P2472" s="70" t="s">
        <v>18613</v>
      </c>
      <c r="Q2472" s="2" t="s">
        <v>336</v>
      </c>
      <c r="R2472" s="2" t="s">
        <v>16349</v>
      </c>
      <c r="T2472" t="s">
        <v>18666</v>
      </c>
      <c r="U2472" t="s">
        <v>18652</v>
      </c>
      <c r="V2472" s="104">
        <v>45857</v>
      </c>
      <c r="X2472" s="97"/>
      <c r="Y2472" s="75">
        <v>333.51</v>
      </c>
    </row>
    <row r="2473" spans="1:25" x14ac:dyDescent="0.25">
      <c r="A2473" s="76">
        <v>2505</v>
      </c>
      <c r="B2473" s="2" t="s">
        <v>3471</v>
      </c>
      <c r="C2473" s="2" t="s">
        <v>3472</v>
      </c>
      <c r="D2473" s="2" t="s">
        <v>3473</v>
      </c>
      <c r="E2473" s="2" t="s">
        <v>3474</v>
      </c>
      <c r="F2473" s="2" t="s">
        <v>3475</v>
      </c>
      <c r="G2473" s="2" t="s">
        <v>186</v>
      </c>
      <c r="H2473" s="17">
        <v>25</v>
      </c>
      <c r="I2473" s="31">
        <f t="shared" si="240"/>
        <v>25000</v>
      </c>
      <c r="J2473" s="31">
        <f t="shared" si="241"/>
        <v>1750.0000000000002</v>
      </c>
      <c r="K2473" s="44">
        <f t="shared" si="242"/>
        <v>4.794520547945206</v>
      </c>
      <c r="L2473" s="3">
        <f t="shared" si="243"/>
        <v>354.79452054794524</v>
      </c>
      <c r="M2473" s="3">
        <f t="shared" si="244"/>
        <v>21.287671232876715</v>
      </c>
      <c r="N2473" s="67">
        <f t="shared" si="245"/>
        <v>333.50684931506851</v>
      </c>
      <c r="O2473" s="3"/>
      <c r="P2473" s="70" t="s">
        <v>18613</v>
      </c>
      <c r="Q2473" s="2" t="s">
        <v>336</v>
      </c>
      <c r="R2473" s="2" t="s">
        <v>3476</v>
      </c>
      <c r="T2473" t="s">
        <v>18666</v>
      </c>
      <c r="U2473" t="s">
        <v>18652</v>
      </c>
      <c r="V2473" s="104">
        <v>45857</v>
      </c>
      <c r="X2473" s="97"/>
      <c r="Y2473" s="75">
        <v>333.51</v>
      </c>
    </row>
    <row r="2474" spans="1:25" x14ac:dyDescent="0.25">
      <c r="A2474" s="76">
        <v>2506</v>
      </c>
      <c r="B2474" s="2" t="s">
        <v>8517</v>
      </c>
      <c r="C2474" s="2" t="s">
        <v>8518</v>
      </c>
      <c r="D2474" s="2" t="s">
        <v>1181</v>
      </c>
      <c r="E2474" s="2" t="s">
        <v>8519</v>
      </c>
      <c r="F2474" s="2" t="s">
        <v>8520</v>
      </c>
      <c r="G2474" s="2" t="s">
        <v>31</v>
      </c>
      <c r="H2474" s="17">
        <v>25</v>
      </c>
      <c r="I2474" s="31">
        <f t="shared" si="240"/>
        <v>25000</v>
      </c>
      <c r="J2474" s="31">
        <f t="shared" si="241"/>
        <v>1750.0000000000002</v>
      </c>
      <c r="K2474" s="44">
        <f t="shared" si="242"/>
        <v>4.794520547945206</v>
      </c>
      <c r="L2474" s="3">
        <f t="shared" si="243"/>
        <v>354.79452054794524</v>
      </c>
      <c r="M2474" s="3">
        <f t="shared" si="244"/>
        <v>21.287671232876715</v>
      </c>
      <c r="N2474" s="67">
        <f t="shared" si="245"/>
        <v>333.50684931506851</v>
      </c>
      <c r="O2474" s="3"/>
      <c r="P2474" s="70" t="s">
        <v>18613</v>
      </c>
      <c r="Q2474" s="2" t="s">
        <v>336</v>
      </c>
      <c r="R2474" s="2" t="s">
        <v>8521</v>
      </c>
      <c r="T2474" t="s">
        <v>18666</v>
      </c>
      <c r="U2474" t="s">
        <v>18652</v>
      </c>
      <c r="V2474" s="104">
        <v>45857</v>
      </c>
      <c r="X2474" s="97"/>
      <c r="Y2474" s="75">
        <v>333.51</v>
      </c>
    </row>
    <row r="2475" spans="1:25" x14ac:dyDescent="0.25">
      <c r="A2475" s="76">
        <v>2507</v>
      </c>
      <c r="B2475" s="2" t="s">
        <v>5627</v>
      </c>
      <c r="C2475" s="2" t="s">
        <v>5628</v>
      </c>
      <c r="D2475" s="2" t="s">
        <v>3691</v>
      </c>
      <c r="E2475" s="2" t="s">
        <v>3691</v>
      </c>
      <c r="F2475" s="2" t="s">
        <v>5629</v>
      </c>
      <c r="G2475" s="2" t="s">
        <v>296</v>
      </c>
      <c r="H2475" s="17">
        <v>25</v>
      </c>
      <c r="I2475" s="31">
        <f t="shared" si="240"/>
        <v>25000</v>
      </c>
      <c r="J2475" s="31">
        <f t="shared" si="241"/>
        <v>1750.0000000000002</v>
      </c>
      <c r="K2475" s="44">
        <f t="shared" si="242"/>
        <v>4.794520547945206</v>
      </c>
      <c r="L2475" s="3">
        <f t="shared" si="243"/>
        <v>354.79452054794524</v>
      </c>
      <c r="M2475" s="3">
        <f t="shared" si="244"/>
        <v>21.287671232876715</v>
      </c>
      <c r="N2475" s="67">
        <f t="shared" si="245"/>
        <v>333.50684931506851</v>
      </c>
      <c r="O2475" s="3"/>
      <c r="P2475" s="70" t="s">
        <v>18613</v>
      </c>
      <c r="Q2475" s="2" t="s">
        <v>336</v>
      </c>
      <c r="R2475" s="2" t="s">
        <v>5630</v>
      </c>
      <c r="T2475" t="s">
        <v>18666</v>
      </c>
      <c r="U2475" t="s">
        <v>18652</v>
      </c>
      <c r="V2475" s="104">
        <v>45857</v>
      </c>
      <c r="X2475" s="97"/>
      <c r="Y2475" s="75">
        <v>333.51</v>
      </c>
    </row>
    <row r="2476" spans="1:25" x14ac:dyDescent="0.25">
      <c r="A2476" s="76">
        <v>2508</v>
      </c>
      <c r="B2476" s="2" t="s">
        <v>13696</v>
      </c>
      <c r="C2476" s="2" t="s">
        <v>13697</v>
      </c>
      <c r="D2476" s="2" t="s">
        <v>13698</v>
      </c>
      <c r="E2476" s="2" t="s">
        <v>13699</v>
      </c>
      <c r="F2476" s="2" t="s">
        <v>13700</v>
      </c>
      <c r="G2476" s="2" t="s">
        <v>750</v>
      </c>
      <c r="H2476" s="17">
        <v>25</v>
      </c>
      <c r="I2476" s="31">
        <f t="shared" si="240"/>
        <v>25000</v>
      </c>
      <c r="J2476" s="31">
        <f t="shared" si="241"/>
        <v>1750.0000000000002</v>
      </c>
      <c r="K2476" s="44">
        <f t="shared" si="242"/>
        <v>4.794520547945206</v>
      </c>
      <c r="L2476" s="3">
        <f t="shared" si="243"/>
        <v>354.79452054794524</v>
      </c>
      <c r="M2476" s="3">
        <f t="shared" si="244"/>
        <v>21.287671232876715</v>
      </c>
      <c r="N2476" s="67">
        <f t="shared" si="245"/>
        <v>333.50684931506851</v>
      </c>
      <c r="O2476" s="3"/>
      <c r="P2476" s="70" t="s">
        <v>18613</v>
      </c>
      <c r="Q2476" s="2" t="s">
        <v>336</v>
      </c>
      <c r="R2476" s="2" t="s">
        <v>13701</v>
      </c>
      <c r="T2476" t="s">
        <v>18666</v>
      </c>
      <c r="U2476" t="s">
        <v>18652</v>
      </c>
      <c r="V2476" s="104">
        <v>45857</v>
      </c>
      <c r="X2476" s="97"/>
      <c r="Y2476" s="75">
        <v>333.51</v>
      </c>
    </row>
    <row r="2477" spans="1:25" x14ac:dyDescent="0.25">
      <c r="A2477" s="76">
        <v>2509</v>
      </c>
      <c r="B2477" s="2" t="s">
        <v>1831</v>
      </c>
      <c r="C2477" s="2" t="s">
        <v>1832</v>
      </c>
      <c r="D2477" s="2" t="s">
        <v>1833</v>
      </c>
      <c r="E2477" s="2" t="s">
        <v>1834</v>
      </c>
      <c r="F2477" s="2" t="s">
        <v>1835</v>
      </c>
      <c r="G2477" s="2" t="s">
        <v>517</v>
      </c>
      <c r="H2477" s="17">
        <v>25</v>
      </c>
      <c r="I2477" s="31">
        <f t="shared" si="240"/>
        <v>25000</v>
      </c>
      <c r="J2477" s="31">
        <f t="shared" si="241"/>
        <v>1750.0000000000002</v>
      </c>
      <c r="K2477" s="44">
        <f t="shared" si="242"/>
        <v>4.794520547945206</v>
      </c>
      <c r="L2477" s="3">
        <f t="shared" si="243"/>
        <v>354.79452054794524</v>
      </c>
      <c r="M2477" s="3">
        <f t="shared" si="244"/>
        <v>21.287671232876715</v>
      </c>
      <c r="N2477" s="67">
        <f t="shared" si="245"/>
        <v>333.50684931506851</v>
      </c>
      <c r="O2477" s="3"/>
      <c r="P2477" s="70" t="s">
        <v>18613</v>
      </c>
      <c r="Q2477" s="2" t="s">
        <v>336</v>
      </c>
      <c r="R2477" s="2" t="s">
        <v>1836</v>
      </c>
      <c r="T2477" t="s">
        <v>18666</v>
      </c>
      <c r="U2477" t="s">
        <v>18652</v>
      </c>
      <c r="V2477" s="104">
        <v>45857</v>
      </c>
      <c r="X2477" s="97"/>
      <c r="Y2477" s="75">
        <v>333.51</v>
      </c>
    </row>
    <row r="2478" spans="1:25" x14ac:dyDescent="0.25">
      <c r="A2478" s="76">
        <v>2510</v>
      </c>
      <c r="B2478" s="2" t="s">
        <v>7041</v>
      </c>
      <c r="C2478" s="2" t="s">
        <v>7042</v>
      </c>
      <c r="D2478" s="2" t="s">
        <v>7043</v>
      </c>
      <c r="E2478" s="2" t="s">
        <v>5874</v>
      </c>
      <c r="F2478" s="2" t="s">
        <v>7044</v>
      </c>
      <c r="G2478" s="2" t="s">
        <v>31</v>
      </c>
      <c r="H2478" s="17">
        <v>25</v>
      </c>
      <c r="I2478" s="31">
        <f t="shared" si="240"/>
        <v>25000</v>
      </c>
      <c r="J2478" s="31">
        <f t="shared" si="241"/>
        <v>1750.0000000000002</v>
      </c>
      <c r="K2478" s="44">
        <f t="shared" si="242"/>
        <v>4.794520547945206</v>
      </c>
      <c r="L2478" s="3">
        <f t="shared" si="243"/>
        <v>354.79452054794524</v>
      </c>
      <c r="M2478" s="3">
        <f t="shared" si="244"/>
        <v>21.287671232876715</v>
      </c>
      <c r="N2478" s="67">
        <f t="shared" si="245"/>
        <v>333.50684931506851</v>
      </c>
      <c r="O2478" s="3"/>
      <c r="P2478" s="70" t="s">
        <v>18613</v>
      </c>
      <c r="Q2478" s="2" t="s">
        <v>336</v>
      </c>
      <c r="R2478" s="2" t="s">
        <v>7045</v>
      </c>
      <c r="T2478" t="s">
        <v>18666</v>
      </c>
      <c r="U2478" t="s">
        <v>18652</v>
      </c>
      <c r="V2478" s="104">
        <v>45857</v>
      </c>
      <c r="X2478" s="97"/>
      <c r="Y2478" s="75">
        <v>333.51</v>
      </c>
    </row>
    <row r="2479" spans="1:25" x14ac:dyDescent="0.25">
      <c r="A2479" s="76">
        <v>2511</v>
      </c>
      <c r="B2479" s="2" t="s">
        <v>7701</v>
      </c>
      <c r="C2479" s="2" t="s">
        <v>7702</v>
      </c>
      <c r="D2479" s="2" t="s">
        <v>7703</v>
      </c>
      <c r="E2479" s="2" t="s">
        <v>7704</v>
      </c>
      <c r="F2479" s="2" t="s">
        <v>7705</v>
      </c>
      <c r="G2479" s="2" t="s">
        <v>718</v>
      </c>
      <c r="H2479" s="17">
        <v>25</v>
      </c>
      <c r="I2479" s="31">
        <f t="shared" si="240"/>
        <v>25000</v>
      </c>
      <c r="J2479" s="31">
        <f t="shared" si="241"/>
        <v>1750.0000000000002</v>
      </c>
      <c r="K2479" s="44">
        <f t="shared" si="242"/>
        <v>4.794520547945206</v>
      </c>
      <c r="L2479" s="3">
        <f t="shared" si="243"/>
        <v>354.79452054794524</v>
      </c>
      <c r="M2479" s="3">
        <f t="shared" si="244"/>
        <v>21.287671232876715</v>
      </c>
      <c r="N2479" s="67">
        <f t="shared" si="245"/>
        <v>333.50684931506851</v>
      </c>
      <c r="O2479" s="3"/>
      <c r="P2479" s="70" t="s">
        <v>18613</v>
      </c>
      <c r="Q2479" s="2" t="s">
        <v>336</v>
      </c>
      <c r="R2479" s="2" t="s">
        <v>7706</v>
      </c>
      <c r="T2479" t="s">
        <v>18666</v>
      </c>
      <c r="U2479" t="s">
        <v>18652</v>
      </c>
      <c r="V2479" s="104">
        <v>45857</v>
      </c>
      <c r="X2479" s="97"/>
      <c r="Y2479" s="75">
        <v>333.51</v>
      </c>
    </row>
    <row r="2480" spans="1:25" x14ac:dyDescent="0.25">
      <c r="A2480" s="76">
        <v>2512</v>
      </c>
      <c r="B2480" s="2" t="s">
        <v>8607</v>
      </c>
      <c r="C2480" s="2" t="s">
        <v>8608</v>
      </c>
      <c r="D2480" s="2" t="s">
        <v>8609</v>
      </c>
      <c r="E2480" s="2" t="s">
        <v>8610</v>
      </c>
      <c r="F2480" s="2" t="s">
        <v>8611</v>
      </c>
      <c r="G2480" s="2" t="s">
        <v>39</v>
      </c>
      <c r="H2480" s="17">
        <v>25</v>
      </c>
      <c r="I2480" s="31">
        <f t="shared" si="240"/>
        <v>25000</v>
      </c>
      <c r="J2480" s="31">
        <f t="shared" si="241"/>
        <v>1750.0000000000002</v>
      </c>
      <c r="K2480" s="44">
        <f t="shared" si="242"/>
        <v>4.794520547945206</v>
      </c>
      <c r="L2480" s="3">
        <f t="shared" si="243"/>
        <v>354.79452054794524</v>
      </c>
      <c r="M2480" s="3">
        <f t="shared" si="244"/>
        <v>21.287671232876715</v>
      </c>
      <c r="N2480" s="67">
        <f t="shared" si="245"/>
        <v>333.50684931506851</v>
      </c>
      <c r="O2480" s="3"/>
      <c r="P2480" s="70" t="s">
        <v>18613</v>
      </c>
      <c r="Q2480" s="2" t="s">
        <v>336</v>
      </c>
      <c r="R2480" s="2" t="s">
        <v>8612</v>
      </c>
      <c r="T2480" t="s">
        <v>18666</v>
      </c>
      <c r="U2480" t="s">
        <v>18652</v>
      </c>
      <c r="V2480" s="104">
        <v>45857</v>
      </c>
      <c r="X2480" s="97"/>
      <c r="Y2480" s="75">
        <v>333.51</v>
      </c>
    </row>
    <row r="2481" spans="1:25" x14ac:dyDescent="0.25">
      <c r="A2481" s="76">
        <v>2513</v>
      </c>
      <c r="B2481" s="2" t="s">
        <v>16306</v>
      </c>
      <c r="C2481" s="2" t="s">
        <v>16307</v>
      </c>
      <c r="D2481" s="2" t="s">
        <v>16308</v>
      </c>
      <c r="E2481" s="2" t="s">
        <v>16309</v>
      </c>
      <c r="F2481" s="2" t="s">
        <v>16310</v>
      </c>
      <c r="G2481" s="2" t="s">
        <v>835</v>
      </c>
      <c r="H2481" s="17">
        <v>25</v>
      </c>
      <c r="I2481" s="31">
        <f t="shared" si="240"/>
        <v>25000</v>
      </c>
      <c r="J2481" s="31">
        <f t="shared" si="241"/>
        <v>1750.0000000000002</v>
      </c>
      <c r="K2481" s="44">
        <f t="shared" si="242"/>
        <v>4.794520547945206</v>
      </c>
      <c r="L2481" s="3">
        <f t="shared" si="243"/>
        <v>354.79452054794524</v>
      </c>
      <c r="M2481" s="3">
        <f t="shared" si="244"/>
        <v>21.287671232876715</v>
      </c>
      <c r="N2481" s="67">
        <f t="shared" si="245"/>
        <v>333.50684931506851</v>
      </c>
      <c r="O2481" s="3"/>
      <c r="P2481" s="70" t="s">
        <v>18613</v>
      </c>
      <c r="Q2481" s="2" t="s">
        <v>336</v>
      </c>
      <c r="R2481" s="2" t="s">
        <v>16311</v>
      </c>
      <c r="T2481" t="s">
        <v>18666</v>
      </c>
      <c r="U2481" t="s">
        <v>18652</v>
      </c>
      <c r="V2481" s="104">
        <v>45857</v>
      </c>
      <c r="X2481" s="97"/>
      <c r="Y2481" s="75">
        <v>333.51</v>
      </c>
    </row>
    <row r="2482" spans="1:25" x14ac:dyDescent="0.25">
      <c r="A2482" s="76">
        <v>2514</v>
      </c>
      <c r="B2482" s="2" t="s">
        <v>15214</v>
      </c>
      <c r="C2482" s="2" t="s">
        <v>15215</v>
      </c>
      <c r="D2482" s="2" t="s">
        <v>15216</v>
      </c>
      <c r="E2482" s="2" t="s">
        <v>15217</v>
      </c>
      <c r="F2482" s="2" t="s">
        <v>15218</v>
      </c>
      <c r="G2482" s="2" t="s">
        <v>296</v>
      </c>
      <c r="H2482" s="17">
        <v>25</v>
      </c>
      <c r="I2482" s="31">
        <f t="shared" si="240"/>
        <v>25000</v>
      </c>
      <c r="J2482" s="31">
        <f t="shared" si="241"/>
        <v>1750.0000000000002</v>
      </c>
      <c r="K2482" s="44">
        <f t="shared" si="242"/>
        <v>4.794520547945206</v>
      </c>
      <c r="L2482" s="3">
        <f t="shared" si="243"/>
        <v>354.79452054794524</v>
      </c>
      <c r="M2482" s="3">
        <f t="shared" si="244"/>
        <v>21.287671232876715</v>
      </c>
      <c r="N2482" s="67">
        <f t="shared" si="245"/>
        <v>333.50684931506851</v>
      </c>
      <c r="O2482" s="3"/>
      <c r="P2482" s="70" t="s">
        <v>18613</v>
      </c>
      <c r="Q2482" s="2" t="s">
        <v>336</v>
      </c>
      <c r="R2482" s="2" t="s">
        <v>15219</v>
      </c>
      <c r="T2482" t="s">
        <v>18666</v>
      </c>
      <c r="U2482" t="s">
        <v>18652</v>
      </c>
      <c r="V2482" s="104">
        <v>45857</v>
      </c>
      <c r="X2482" s="97"/>
      <c r="Y2482" s="75">
        <v>333.51</v>
      </c>
    </row>
    <row r="2483" spans="1:25" x14ac:dyDescent="0.25">
      <c r="A2483" s="76">
        <v>2515</v>
      </c>
      <c r="B2483" s="2" t="s">
        <v>13617</v>
      </c>
      <c r="C2483" s="2" t="s">
        <v>13618</v>
      </c>
      <c r="D2483" s="2" t="s">
        <v>13619</v>
      </c>
      <c r="E2483" s="2" t="s">
        <v>13620</v>
      </c>
      <c r="F2483" s="2" t="s">
        <v>13621</v>
      </c>
      <c r="G2483" s="2" t="s">
        <v>2673</v>
      </c>
      <c r="H2483" s="17">
        <v>25</v>
      </c>
      <c r="I2483" s="31">
        <f t="shared" si="240"/>
        <v>25000</v>
      </c>
      <c r="J2483" s="31">
        <f t="shared" si="241"/>
        <v>1750.0000000000002</v>
      </c>
      <c r="K2483" s="44">
        <f t="shared" si="242"/>
        <v>4.794520547945206</v>
      </c>
      <c r="L2483" s="3">
        <f t="shared" si="243"/>
        <v>354.79452054794524</v>
      </c>
      <c r="M2483" s="3">
        <f t="shared" si="244"/>
        <v>21.287671232876715</v>
      </c>
      <c r="N2483" s="67">
        <f t="shared" si="245"/>
        <v>333.50684931506851</v>
      </c>
      <c r="O2483" s="3"/>
      <c r="P2483" s="70" t="s">
        <v>18613</v>
      </c>
      <c r="Q2483" s="2" t="s">
        <v>336</v>
      </c>
      <c r="R2483" s="2" t="s">
        <v>13622</v>
      </c>
      <c r="T2483" t="s">
        <v>18666</v>
      </c>
      <c r="U2483" t="s">
        <v>18652</v>
      </c>
      <c r="V2483" s="104">
        <v>45857</v>
      </c>
      <c r="X2483" s="97"/>
      <c r="Y2483" s="75">
        <v>333.51</v>
      </c>
    </row>
    <row r="2484" spans="1:25" x14ac:dyDescent="0.25">
      <c r="A2484" s="76">
        <v>2516</v>
      </c>
      <c r="B2484" s="2" t="s">
        <v>16240</v>
      </c>
      <c r="C2484" s="2" t="s">
        <v>16241</v>
      </c>
      <c r="D2484" s="2" t="s">
        <v>16242</v>
      </c>
      <c r="E2484" s="2" t="s">
        <v>16243</v>
      </c>
      <c r="F2484" s="2" t="s">
        <v>16244</v>
      </c>
      <c r="G2484" s="2" t="s">
        <v>1823</v>
      </c>
      <c r="H2484" s="17">
        <v>25</v>
      </c>
      <c r="I2484" s="31">
        <f t="shared" si="240"/>
        <v>25000</v>
      </c>
      <c r="J2484" s="31">
        <f t="shared" si="241"/>
        <v>1750.0000000000002</v>
      </c>
      <c r="K2484" s="44">
        <f t="shared" si="242"/>
        <v>4.794520547945206</v>
      </c>
      <c r="L2484" s="3">
        <f t="shared" si="243"/>
        <v>354.79452054794524</v>
      </c>
      <c r="M2484" s="3">
        <f t="shared" si="244"/>
        <v>21.287671232876715</v>
      </c>
      <c r="N2484" s="67">
        <f t="shared" si="245"/>
        <v>333.50684931506851</v>
      </c>
      <c r="O2484" s="3"/>
      <c r="P2484" s="70" t="s">
        <v>18613</v>
      </c>
      <c r="Q2484" s="2" t="s">
        <v>336</v>
      </c>
      <c r="R2484" s="2" t="s">
        <v>16245</v>
      </c>
      <c r="T2484" t="s">
        <v>18666</v>
      </c>
      <c r="U2484" t="s">
        <v>18652</v>
      </c>
      <c r="V2484" s="104">
        <v>45857</v>
      </c>
      <c r="X2484" s="97"/>
      <c r="Y2484" s="75">
        <v>333.51</v>
      </c>
    </row>
    <row r="2485" spans="1:25" x14ac:dyDescent="0.25">
      <c r="A2485" s="76">
        <v>2517</v>
      </c>
      <c r="B2485" s="2" t="s">
        <v>18383</v>
      </c>
      <c r="C2485" s="2" t="s">
        <v>18384</v>
      </c>
      <c r="D2485" s="2" t="s">
        <v>18385</v>
      </c>
      <c r="E2485" s="2" t="s">
        <v>18386</v>
      </c>
      <c r="F2485" s="2" t="s">
        <v>18387</v>
      </c>
      <c r="G2485" s="2" t="s">
        <v>39</v>
      </c>
      <c r="H2485" s="17">
        <v>25</v>
      </c>
      <c r="I2485" s="31">
        <f t="shared" si="240"/>
        <v>25000</v>
      </c>
      <c r="J2485" s="31">
        <f t="shared" si="241"/>
        <v>1750.0000000000002</v>
      </c>
      <c r="K2485" s="44">
        <f t="shared" si="242"/>
        <v>4.794520547945206</v>
      </c>
      <c r="L2485" s="3">
        <f t="shared" si="243"/>
        <v>354.79452054794524</v>
      </c>
      <c r="M2485" s="3">
        <f t="shared" si="244"/>
        <v>21.287671232876715</v>
      </c>
      <c r="N2485" s="67">
        <f t="shared" si="245"/>
        <v>333.50684931506851</v>
      </c>
      <c r="O2485" s="3"/>
      <c r="P2485" s="70" t="s">
        <v>18613</v>
      </c>
      <c r="Q2485" s="2" t="s">
        <v>336</v>
      </c>
      <c r="R2485" s="2" t="s">
        <v>18388</v>
      </c>
      <c r="T2485" t="s">
        <v>18666</v>
      </c>
      <c r="U2485" t="s">
        <v>18652</v>
      </c>
      <c r="V2485" s="104">
        <v>45857</v>
      </c>
      <c r="X2485" s="97"/>
      <c r="Y2485" s="75">
        <v>333.51</v>
      </c>
    </row>
    <row r="2486" spans="1:25" x14ac:dyDescent="0.25">
      <c r="A2486" s="76">
        <v>2518</v>
      </c>
      <c r="B2486" s="2" t="s">
        <v>14394</v>
      </c>
      <c r="C2486" s="2" t="s">
        <v>14395</v>
      </c>
      <c r="D2486" s="2" t="s">
        <v>14396</v>
      </c>
      <c r="E2486" s="2" t="s">
        <v>14397</v>
      </c>
      <c r="F2486" s="2" t="s">
        <v>14398</v>
      </c>
      <c r="G2486" s="2" t="s">
        <v>31</v>
      </c>
      <c r="H2486" s="17">
        <v>150</v>
      </c>
      <c r="I2486" s="31">
        <f t="shared" si="240"/>
        <v>150000</v>
      </c>
      <c r="J2486" s="31">
        <f t="shared" si="241"/>
        <v>10500.000000000002</v>
      </c>
      <c r="K2486" s="44">
        <f t="shared" si="242"/>
        <v>28.767123287671239</v>
      </c>
      <c r="L2486" s="3">
        <f t="shared" si="243"/>
        <v>2128.7671232876719</v>
      </c>
      <c r="M2486" s="3">
        <f t="shared" si="244"/>
        <v>127.72602739726031</v>
      </c>
      <c r="N2486" s="67">
        <f t="shared" si="245"/>
        <v>2001.0410958904115</v>
      </c>
      <c r="O2486" s="3"/>
      <c r="P2486" s="70" t="s">
        <v>18613</v>
      </c>
      <c r="Q2486" s="2" t="s">
        <v>336</v>
      </c>
      <c r="R2486" s="2" t="s">
        <v>14399</v>
      </c>
      <c r="T2486" t="s">
        <v>18666</v>
      </c>
      <c r="U2486" t="s">
        <v>18652</v>
      </c>
      <c r="V2486" s="104">
        <v>45857</v>
      </c>
      <c r="X2486" s="97"/>
      <c r="Y2486" s="75">
        <v>2001.05</v>
      </c>
    </row>
    <row r="2487" spans="1:25" x14ac:dyDescent="0.25">
      <c r="A2487" s="76">
        <v>2519</v>
      </c>
      <c r="B2487" s="2" t="s">
        <v>9440</v>
      </c>
      <c r="C2487" s="2" t="s">
        <v>9441</v>
      </c>
      <c r="D2487" s="2" t="s">
        <v>9442</v>
      </c>
      <c r="E2487" s="2" t="s">
        <v>9443</v>
      </c>
      <c r="F2487" s="2" t="s">
        <v>9444</v>
      </c>
      <c r="G2487" s="2" t="s">
        <v>1570</v>
      </c>
      <c r="H2487" s="17">
        <v>25</v>
      </c>
      <c r="I2487" s="31">
        <f t="shared" si="240"/>
        <v>25000</v>
      </c>
      <c r="J2487" s="31">
        <f t="shared" si="241"/>
        <v>1750.0000000000002</v>
      </c>
      <c r="K2487" s="44">
        <f t="shared" si="242"/>
        <v>4.794520547945206</v>
      </c>
      <c r="L2487" s="3">
        <f t="shared" si="243"/>
        <v>354.79452054794524</v>
      </c>
      <c r="M2487" s="3">
        <f t="shared" si="244"/>
        <v>21.287671232876715</v>
      </c>
      <c r="N2487" s="67">
        <f t="shared" si="245"/>
        <v>333.50684931506851</v>
      </c>
      <c r="O2487" s="3"/>
      <c r="P2487" s="70" t="s">
        <v>18613</v>
      </c>
      <c r="Q2487" s="2" t="s">
        <v>336</v>
      </c>
      <c r="R2487" s="2" t="s">
        <v>9445</v>
      </c>
      <c r="T2487" t="s">
        <v>18666</v>
      </c>
      <c r="U2487" t="s">
        <v>18652</v>
      </c>
      <c r="V2487" s="104">
        <v>45857</v>
      </c>
      <c r="X2487" s="97"/>
      <c r="Y2487" s="75">
        <v>333.51</v>
      </c>
    </row>
    <row r="2488" spans="1:25" x14ac:dyDescent="0.25">
      <c r="A2488" s="76">
        <v>2520</v>
      </c>
      <c r="B2488" s="2" t="s">
        <v>16222</v>
      </c>
      <c r="C2488" s="2" t="s">
        <v>16223</v>
      </c>
      <c r="D2488" s="2" t="s">
        <v>16224</v>
      </c>
      <c r="E2488" s="2" t="s">
        <v>16225</v>
      </c>
      <c r="F2488" s="2" t="s">
        <v>16226</v>
      </c>
      <c r="G2488" s="2" t="s">
        <v>151</v>
      </c>
      <c r="H2488" s="17">
        <v>25</v>
      </c>
      <c r="I2488" s="31">
        <f t="shared" si="240"/>
        <v>25000</v>
      </c>
      <c r="J2488" s="31">
        <f t="shared" si="241"/>
        <v>1750.0000000000002</v>
      </c>
      <c r="K2488" s="44">
        <f t="shared" si="242"/>
        <v>4.794520547945206</v>
      </c>
      <c r="L2488" s="3">
        <f t="shared" si="243"/>
        <v>354.79452054794524</v>
      </c>
      <c r="M2488" s="3">
        <f t="shared" si="244"/>
        <v>21.287671232876715</v>
      </c>
      <c r="N2488" s="67">
        <f t="shared" si="245"/>
        <v>333.50684931506851</v>
      </c>
      <c r="O2488" s="3"/>
      <c r="P2488" s="70" t="s">
        <v>18613</v>
      </c>
      <c r="Q2488" s="2" t="s">
        <v>336</v>
      </c>
      <c r="R2488" s="2" t="s">
        <v>16227</v>
      </c>
      <c r="T2488" t="s">
        <v>18666</v>
      </c>
      <c r="U2488" t="s">
        <v>18652</v>
      </c>
      <c r="V2488" s="104">
        <v>45857</v>
      </c>
      <c r="X2488" s="97"/>
      <c r="Y2488" s="75">
        <v>333.51</v>
      </c>
    </row>
    <row r="2489" spans="1:25" x14ac:dyDescent="0.25">
      <c r="A2489" s="76">
        <v>2521</v>
      </c>
      <c r="B2489" s="2" t="s">
        <v>17639</v>
      </c>
      <c r="C2489" s="2" t="s">
        <v>4925</v>
      </c>
      <c r="D2489" s="2" t="s">
        <v>17640</v>
      </c>
      <c r="E2489" s="2" t="s">
        <v>9672</v>
      </c>
      <c r="F2489" s="2" t="s">
        <v>17641</v>
      </c>
      <c r="G2489" s="2" t="s">
        <v>1055</v>
      </c>
      <c r="H2489" s="17">
        <v>25</v>
      </c>
      <c r="I2489" s="31">
        <f t="shared" si="240"/>
        <v>25000</v>
      </c>
      <c r="J2489" s="31">
        <f t="shared" si="241"/>
        <v>1750.0000000000002</v>
      </c>
      <c r="K2489" s="44">
        <f t="shared" si="242"/>
        <v>4.794520547945206</v>
      </c>
      <c r="L2489" s="3">
        <f t="shared" si="243"/>
        <v>354.79452054794524</v>
      </c>
      <c r="M2489" s="3">
        <f t="shared" si="244"/>
        <v>21.287671232876715</v>
      </c>
      <c r="N2489" s="67">
        <f t="shared" si="245"/>
        <v>333.50684931506851</v>
      </c>
      <c r="O2489" s="3"/>
      <c r="P2489" s="70" t="s">
        <v>18613</v>
      </c>
      <c r="Q2489" s="2" t="s">
        <v>336</v>
      </c>
      <c r="R2489" s="2" t="s">
        <v>17642</v>
      </c>
      <c r="T2489" t="s">
        <v>18666</v>
      </c>
      <c r="U2489" t="s">
        <v>18652</v>
      </c>
      <c r="V2489" s="104">
        <v>45857</v>
      </c>
      <c r="X2489" s="97"/>
      <c r="Y2489" s="75">
        <v>333.51</v>
      </c>
    </row>
    <row r="2490" spans="1:25" x14ac:dyDescent="0.25">
      <c r="A2490" s="76">
        <v>2522</v>
      </c>
      <c r="B2490" s="2" t="s">
        <v>11569</v>
      </c>
      <c r="C2490" s="2" t="s">
        <v>11570</v>
      </c>
      <c r="D2490" s="2" t="s">
        <v>11571</v>
      </c>
      <c r="E2490" s="2" t="s">
        <v>11572</v>
      </c>
      <c r="F2490" s="2" t="s">
        <v>11573</v>
      </c>
      <c r="G2490" s="2" t="s">
        <v>412</v>
      </c>
      <c r="H2490" s="17">
        <v>25</v>
      </c>
      <c r="I2490" s="31">
        <f t="shared" si="240"/>
        <v>25000</v>
      </c>
      <c r="J2490" s="31">
        <f t="shared" si="241"/>
        <v>1750.0000000000002</v>
      </c>
      <c r="K2490" s="44">
        <f t="shared" si="242"/>
        <v>4.794520547945206</v>
      </c>
      <c r="L2490" s="3">
        <f t="shared" si="243"/>
        <v>354.79452054794524</v>
      </c>
      <c r="M2490" s="3">
        <f t="shared" si="244"/>
        <v>21.287671232876715</v>
      </c>
      <c r="N2490" s="67">
        <f t="shared" si="245"/>
        <v>333.50684931506851</v>
      </c>
      <c r="O2490" s="3"/>
      <c r="P2490" s="70" t="s">
        <v>18613</v>
      </c>
      <c r="Q2490" s="2" t="s">
        <v>336</v>
      </c>
      <c r="R2490" s="2" t="s">
        <v>11574</v>
      </c>
      <c r="T2490" t="s">
        <v>18666</v>
      </c>
      <c r="U2490" t="s">
        <v>18652</v>
      </c>
      <c r="V2490" s="104">
        <v>45857</v>
      </c>
      <c r="X2490" s="97"/>
      <c r="Y2490" s="75">
        <v>333.51</v>
      </c>
    </row>
    <row r="2491" spans="1:25" x14ac:dyDescent="0.25">
      <c r="A2491" s="76">
        <v>2523</v>
      </c>
      <c r="B2491" s="2" t="s">
        <v>12225</v>
      </c>
      <c r="C2491" s="2" t="s">
        <v>12226</v>
      </c>
      <c r="D2491" s="2" t="s">
        <v>12227</v>
      </c>
      <c r="E2491" s="2" t="s">
        <v>12228</v>
      </c>
      <c r="F2491" s="2" t="s">
        <v>12229</v>
      </c>
      <c r="G2491" s="2" t="s">
        <v>1823</v>
      </c>
      <c r="H2491" s="17">
        <v>25</v>
      </c>
      <c r="I2491" s="31">
        <f t="shared" si="240"/>
        <v>25000</v>
      </c>
      <c r="J2491" s="31">
        <f t="shared" si="241"/>
        <v>1750.0000000000002</v>
      </c>
      <c r="K2491" s="44">
        <f t="shared" si="242"/>
        <v>4.794520547945206</v>
      </c>
      <c r="L2491" s="3">
        <f t="shared" si="243"/>
        <v>354.79452054794524</v>
      </c>
      <c r="M2491" s="3">
        <f t="shared" si="244"/>
        <v>21.287671232876715</v>
      </c>
      <c r="N2491" s="67">
        <f t="shared" si="245"/>
        <v>333.50684931506851</v>
      </c>
      <c r="O2491" s="3"/>
      <c r="P2491" s="70" t="s">
        <v>18613</v>
      </c>
      <c r="Q2491" s="2" t="s">
        <v>336</v>
      </c>
      <c r="R2491" s="2" t="s">
        <v>12230</v>
      </c>
      <c r="T2491" t="s">
        <v>18666</v>
      </c>
      <c r="U2491" t="s">
        <v>18652</v>
      </c>
      <c r="V2491" s="104">
        <v>45857</v>
      </c>
      <c r="X2491" s="97"/>
      <c r="Y2491" s="75">
        <v>333.51</v>
      </c>
    </row>
    <row r="2492" spans="1:25" x14ac:dyDescent="0.25">
      <c r="A2492" s="76">
        <v>2524</v>
      </c>
      <c r="B2492" s="2" t="s">
        <v>12919</v>
      </c>
      <c r="C2492" s="2" t="s">
        <v>12920</v>
      </c>
      <c r="D2492" s="2" t="s">
        <v>12921</v>
      </c>
      <c r="E2492" s="2" t="s">
        <v>245</v>
      </c>
      <c r="F2492" s="2" t="s">
        <v>12922</v>
      </c>
      <c r="G2492" s="2" t="s">
        <v>1048</v>
      </c>
      <c r="H2492" s="17">
        <v>25</v>
      </c>
      <c r="I2492" s="31">
        <f t="shared" si="240"/>
        <v>25000</v>
      </c>
      <c r="J2492" s="31">
        <f t="shared" si="241"/>
        <v>1750.0000000000002</v>
      </c>
      <c r="K2492" s="44">
        <f t="shared" si="242"/>
        <v>4.794520547945206</v>
      </c>
      <c r="L2492" s="3">
        <f t="shared" si="243"/>
        <v>354.79452054794524</v>
      </c>
      <c r="M2492" s="3">
        <f t="shared" si="244"/>
        <v>21.287671232876715</v>
      </c>
      <c r="N2492" s="67">
        <f t="shared" si="245"/>
        <v>333.50684931506851</v>
      </c>
      <c r="O2492" s="3"/>
      <c r="P2492" s="70" t="s">
        <v>18613</v>
      </c>
      <c r="Q2492" s="2" t="s">
        <v>336</v>
      </c>
      <c r="R2492" s="2" t="s">
        <v>12923</v>
      </c>
      <c r="T2492" t="s">
        <v>18666</v>
      </c>
      <c r="U2492" t="s">
        <v>18652</v>
      </c>
      <c r="V2492" s="104">
        <v>45857</v>
      </c>
      <c r="X2492" s="97"/>
      <c r="Y2492" s="75">
        <v>333.51</v>
      </c>
    </row>
    <row r="2493" spans="1:25" x14ac:dyDescent="0.25">
      <c r="A2493" s="76">
        <v>2525</v>
      </c>
      <c r="B2493" s="2" t="s">
        <v>9704</v>
      </c>
      <c r="C2493" s="2" t="s">
        <v>9705</v>
      </c>
      <c r="D2493" s="2" t="s">
        <v>9706</v>
      </c>
      <c r="E2493" s="2" t="s">
        <v>9707</v>
      </c>
      <c r="F2493" s="2" t="s">
        <v>9708</v>
      </c>
      <c r="G2493" s="2" t="s">
        <v>158</v>
      </c>
      <c r="H2493" s="17">
        <v>25</v>
      </c>
      <c r="I2493" s="31">
        <f t="shared" si="240"/>
        <v>25000</v>
      </c>
      <c r="J2493" s="31">
        <f t="shared" si="241"/>
        <v>1750.0000000000002</v>
      </c>
      <c r="K2493" s="44">
        <f t="shared" si="242"/>
        <v>4.794520547945206</v>
      </c>
      <c r="L2493" s="3">
        <f t="shared" si="243"/>
        <v>354.79452054794524</v>
      </c>
      <c r="M2493" s="3">
        <f t="shared" si="244"/>
        <v>21.287671232876715</v>
      </c>
      <c r="N2493" s="67">
        <f t="shared" si="245"/>
        <v>333.50684931506851</v>
      </c>
      <c r="O2493" s="3"/>
      <c r="P2493" s="70" t="s">
        <v>18613</v>
      </c>
      <c r="Q2493" s="2" t="s">
        <v>336</v>
      </c>
      <c r="R2493" s="2" t="s">
        <v>9709</v>
      </c>
      <c r="T2493" t="s">
        <v>18666</v>
      </c>
      <c r="U2493" t="s">
        <v>18652</v>
      </c>
      <c r="V2493" s="104">
        <v>45857</v>
      </c>
      <c r="X2493" s="97"/>
      <c r="Y2493" s="75">
        <v>333.51</v>
      </c>
    </row>
    <row r="2494" spans="1:25" x14ac:dyDescent="0.25">
      <c r="A2494" s="76">
        <v>2526</v>
      </c>
      <c r="B2494" s="2" t="s">
        <v>3950</v>
      </c>
      <c r="C2494" s="2" t="s">
        <v>3951</v>
      </c>
      <c r="D2494" s="2" t="s">
        <v>3952</v>
      </c>
      <c r="E2494" s="2" t="s">
        <v>3953</v>
      </c>
      <c r="F2494" s="2" t="s">
        <v>3954</v>
      </c>
      <c r="G2494" s="2" t="s">
        <v>61</v>
      </c>
      <c r="H2494" s="17">
        <v>25</v>
      </c>
      <c r="I2494" s="31">
        <f t="shared" si="240"/>
        <v>25000</v>
      </c>
      <c r="J2494" s="31">
        <f t="shared" si="241"/>
        <v>1750.0000000000002</v>
      </c>
      <c r="K2494" s="44">
        <f t="shared" si="242"/>
        <v>4.794520547945206</v>
      </c>
      <c r="L2494" s="3">
        <f t="shared" si="243"/>
        <v>354.79452054794524</v>
      </c>
      <c r="M2494" s="3">
        <f t="shared" si="244"/>
        <v>21.287671232876715</v>
      </c>
      <c r="N2494" s="67">
        <f t="shared" si="245"/>
        <v>333.50684931506851</v>
      </c>
      <c r="O2494" s="3"/>
      <c r="P2494" s="70" t="s">
        <v>18613</v>
      </c>
      <c r="Q2494" s="2" t="s">
        <v>336</v>
      </c>
      <c r="R2494" s="2" t="s">
        <v>3955</v>
      </c>
      <c r="T2494" t="s">
        <v>18666</v>
      </c>
      <c r="U2494" t="s">
        <v>18652</v>
      </c>
      <c r="V2494" s="104">
        <v>45857</v>
      </c>
      <c r="X2494" s="97"/>
      <c r="Y2494" s="75">
        <v>333.51</v>
      </c>
    </row>
    <row r="2495" spans="1:25" x14ac:dyDescent="0.25">
      <c r="A2495" s="76">
        <v>2527</v>
      </c>
      <c r="B2495" s="2" t="s">
        <v>18047</v>
      </c>
      <c r="C2495" s="2" t="s">
        <v>18048</v>
      </c>
      <c r="D2495" s="2" t="s">
        <v>18049</v>
      </c>
      <c r="E2495" s="2" t="s">
        <v>18050</v>
      </c>
      <c r="F2495" s="2" t="s">
        <v>18051</v>
      </c>
      <c r="G2495" s="2" t="s">
        <v>1570</v>
      </c>
      <c r="H2495" s="17">
        <v>25</v>
      </c>
      <c r="I2495" s="31">
        <f t="shared" si="240"/>
        <v>25000</v>
      </c>
      <c r="J2495" s="31">
        <f t="shared" si="241"/>
        <v>1750.0000000000002</v>
      </c>
      <c r="K2495" s="44">
        <f t="shared" si="242"/>
        <v>4.794520547945206</v>
      </c>
      <c r="L2495" s="3">
        <f t="shared" si="243"/>
        <v>354.79452054794524</v>
      </c>
      <c r="M2495" s="3">
        <f t="shared" si="244"/>
        <v>21.287671232876715</v>
      </c>
      <c r="N2495" s="67">
        <f t="shared" si="245"/>
        <v>333.50684931506851</v>
      </c>
      <c r="O2495" s="3"/>
      <c r="P2495" s="70" t="s">
        <v>18613</v>
      </c>
      <c r="Q2495" s="2" t="s">
        <v>336</v>
      </c>
      <c r="R2495" s="2" t="s">
        <v>18052</v>
      </c>
      <c r="T2495" t="s">
        <v>18666</v>
      </c>
      <c r="U2495" t="s">
        <v>18652</v>
      </c>
      <c r="V2495" s="104">
        <v>45857</v>
      </c>
      <c r="X2495" s="97"/>
      <c r="Y2495" s="75">
        <v>333.51</v>
      </c>
    </row>
    <row r="2496" spans="1:25" x14ac:dyDescent="0.25">
      <c r="A2496" s="76">
        <v>2528</v>
      </c>
      <c r="B2496" s="2" t="s">
        <v>4635</v>
      </c>
      <c r="C2496" s="2" t="s">
        <v>4636</v>
      </c>
      <c r="D2496" s="2" t="s">
        <v>4597</v>
      </c>
      <c r="E2496" s="2" t="s">
        <v>4637</v>
      </c>
      <c r="F2496" s="2" t="s">
        <v>4638</v>
      </c>
      <c r="G2496" s="2" t="s">
        <v>31</v>
      </c>
      <c r="H2496" s="17">
        <v>25</v>
      </c>
      <c r="I2496" s="31">
        <f t="shared" si="240"/>
        <v>25000</v>
      </c>
      <c r="J2496" s="31">
        <f t="shared" si="241"/>
        <v>1750.0000000000002</v>
      </c>
      <c r="K2496" s="44">
        <f t="shared" si="242"/>
        <v>4.794520547945206</v>
      </c>
      <c r="L2496" s="3">
        <f t="shared" si="243"/>
        <v>354.79452054794524</v>
      </c>
      <c r="M2496" s="3">
        <f t="shared" si="244"/>
        <v>21.287671232876715</v>
      </c>
      <c r="N2496" s="67">
        <f t="shared" si="245"/>
        <v>333.50684931506851</v>
      </c>
      <c r="O2496" s="3"/>
      <c r="P2496" s="70" t="s">
        <v>18613</v>
      </c>
      <c r="Q2496" s="2" t="s">
        <v>336</v>
      </c>
      <c r="R2496" s="2" t="s">
        <v>4639</v>
      </c>
      <c r="T2496" t="s">
        <v>18666</v>
      </c>
      <c r="U2496" t="s">
        <v>18652</v>
      </c>
      <c r="V2496" s="104">
        <v>45857</v>
      </c>
      <c r="X2496" s="97"/>
      <c r="Y2496" s="75">
        <v>333.51</v>
      </c>
    </row>
    <row r="2497" spans="1:25" x14ac:dyDescent="0.25">
      <c r="A2497" s="76">
        <v>2529</v>
      </c>
      <c r="B2497" s="2" t="s">
        <v>4664</v>
      </c>
      <c r="C2497" s="2" t="s">
        <v>4665</v>
      </c>
      <c r="D2497" s="2" t="s">
        <v>4597</v>
      </c>
      <c r="E2497" s="2" t="s">
        <v>4666</v>
      </c>
      <c r="F2497" s="2" t="s">
        <v>4667</v>
      </c>
      <c r="G2497" s="2" t="s">
        <v>31</v>
      </c>
      <c r="H2497" s="17">
        <v>25</v>
      </c>
      <c r="I2497" s="31">
        <f t="shared" si="240"/>
        <v>25000</v>
      </c>
      <c r="J2497" s="31">
        <f t="shared" si="241"/>
        <v>1750.0000000000002</v>
      </c>
      <c r="K2497" s="44">
        <f t="shared" si="242"/>
        <v>4.794520547945206</v>
      </c>
      <c r="L2497" s="3">
        <f t="shared" si="243"/>
        <v>354.79452054794524</v>
      </c>
      <c r="M2497" s="3">
        <f t="shared" si="244"/>
        <v>21.287671232876715</v>
      </c>
      <c r="N2497" s="67">
        <f t="shared" si="245"/>
        <v>333.50684931506851</v>
      </c>
      <c r="O2497" s="3"/>
      <c r="P2497" s="70" t="s">
        <v>18613</v>
      </c>
      <c r="Q2497" s="2" t="s">
        <v>336</v>
      </c>
      <c r="R2497" s="2" t="s">
        <v>4668</v>
      </c>
      <c r="T2497" t="s">
        <v>18666</v>
      </c>
      <c r="U2497" t="s">
        <v>18652</v>
      </c>
      <c r="V2497" s="104">
        <v>45857</v>
      </c>
      <c r="X2497" s="97"/>
      <c r="Y2497" s="75">
        <v>333.51</v>
      </c>
    </row>
    <row r="2498" spans="1:25" x14ac:dyDescent="0.25">
      <c r="A2498" s="76">
        <v>2530</v>
      </c>
      <c r="B2498" s="2" t="s">
        <v>17247</v>
      </c>
      <c r="C2498" s="2" t="s">
        <v>17248</v>
      </c>
      <c r="D2498" s="2" t="s">
        <v>17249</v>
      </c>
      <c r="E2498" s="2" t="s">
        <v>17250</v>
      </c>
      <c r="F2498" s="2" t="s">
        <v>17251</v>
      </c>
      <c r="G2498" s="2" t="s">
        <v>3399</v>
      </c>
      <c r="H2498" s="17">
        <v>25</v>
      </c>
      <c r="I2498" s="31">
        <f t="shared" si="240"/>
        <v>25000</v>
      </c>
      <c r="J2498" s="31">
        <f t="shared" si="241"/>
        <v>1750.0000000000002</v>
      </c>
      <c r="K2498" s="44">
        <f t="shared" si="242"/>
        <v>4.794520547945206</v>
      </c>
      <c r="L2498" s="3">
        <f t="shared" si="243"/>
        <v>354.79452054794524</v>
      </c>
      <c r="M2498" s="3">
        <f t="shared" si="244"/>
        <v>21.287671232876715</v>
      </c>
      <c r="N2498" s="67">
        <f t="shared" si="245"/>
        <v>333.50684931506851</v>
      </c>
      <c r="O2498" s="3"/>
      <c r="P2498" s="70" t="s">
        <v>18613</v>
      </c>
      <c r="Q2498" s="2" t="s">
        <v>336</v>
      </c>
      <c r="R2498" s="2" t="s">
        <v>17252</v>
      </c>
      <c r="T2498" t="s">
        <v>18666</v>
      </c>
      <c r="U2498" t="s">
        <v>18652</v>
      </c>
      <c r="V2498" s="104">
        <v>45857</v>
      </c>
      <c r="X2498" s="97"/>
      <c r="Y2498" s="75">
        <v>333.51</v>
      </c>
    </row>
    <row r="2499" spans="1:25" x14ac:dyDescent="0.25">
      <c r="A2499" s="76">
        <v>2531</v>
      </c>
      <c r="B2499" s="2" t="s">
        <v>1202</v>
      </c>
      <c r="C2499" s="2" t="s">
        <v>1203</v>
      </c>
      <c r="D2499" s="2" t="s">
        <v>1204</v>
      </c>
      <c r="E2499" s="2" t="s">
        <v>1205</v>
      </c>
      <c r="F2499" s="2" t="s">
        <v>1206</v>
      </c>
      <c r="G2499" s="2" t="s">
        <v>268</v>
      </c>
      <c r="H2499" s="17">
        <v>25</v>
      </c>
      <c r="I2499" s="31">
        <f t="shared" si="240"/>
        <v>25000</v>
      </c>
      <c r="J2499" s="31">
        <f t="shared" si="241"/>
        <v>1750.0000000000002</v>
      </c>
      <c r="K2499" s="44">
        <f t="shared" si="242"/>
        <v>4.794520547945206</v>
      </c>
      <c r="L2499" s="3">
        <f t="shared" si="243"/>
        <v>354.79452054794524</v>
      </c>
      <c r="M2499" s="3">
        <f t="shared" si="244"/>
        <v>21.287671232876715</v>
      </c>
      <c r="N2499" s="67">
        <f t="shared" si="245"/>
        <v>333.50684931506851</v>
      </c>
      <c r="O2499" s="3"/>
      <c r="P2499" s="70" t="s">
        <v>18613</v>
      </c>
      <c r="Q2499" s="2" t="s">
        <v>336</v>
      </c>
      <c r="R2499" s="2" t="s">
        <v>1207</v>
      </c>
      <c r="T2499" t="s">
        <v>18666</v>
      </c>
      <c r="U2499" t="s">
        <v>18652</v>
      </c>
      <c r="V2499" s="104">
        <v>45857</v>
      </c>
      <c r="X2499" s="97"/>
      <c r="Y2499" s="75">
        <v>333.51</v>
      </c>
    </row>
    <row r="2500" spans="1:25" x14ac:dyDescent="0.25">
      <c r="A2500" s="76">
        <v>2532</v>
      </c>
      <c r="B2500" s="2" t="s">
        <v>7191</v>
      </c>
      <c r="C2500" s="2" t="s">
        <v>7192</v>
      </c>
      <c r="D2500" s="2" t="s">
        <v>7193</v>
      </c>
      <c r="E2500" s="2" t="s">
        <v>7194</v>
      </c>
      <c r="F2500" s="2" t="s">
        <v>7195</v>
      </c>
      <c r="G2500" s="2" t="s">
        <v>151</v>
      </c>
      <c r="H2500" s="17">
        <v>25</v>
      </c>
      <c r="I2500" s="31">
        <f t="shared" si="240"/>
        <v>25000</v>
      </c>
      <c r="J2500" s="31">
        <f t="shared" si="241"/>
        <v>1750.0000000000002</v>
      </c>
      <c r="K2500" s="44">
        <f t="shared" si="242"/>
        <v>4.794520547945206</v>
      </c>
      <c r="L2500" s="3">
        <f t="shared" si="243"/>
        <v>354.79452054794524</v>
      </c>
      <c r="M2500" s="3">
        <f t="shared" si="244"/>
        <v>21.287671232876715</v>
      </c>
      <c r="N2500" s="67">
        <f t="shared" si="245"/>
        <v>333.50684931506851</v>
      </c>
      <c r="O2500" s="3"/>
      <c r="P2500" s="70" t="s">
        <v>18613</v>
      </c>
      <c r="Q2500" s="2" t="s">
        <v>336</v>
      </c>
      <c r="R2500" s="2" t="s">
        <v>7196</v>
      </c>
      <c r="T2500" t="s">
        <v>18666</v>
      </c>
      <c r="U2500" t="s">
        <v>18652</v>
      </c>
      <c r="V2500" s="104">
        <v>45857</v>
      </c>
      <c r="X2500" s="97"/>
      <c r="Y2500" s="75">
        <v>333.51</v>
      </c>
    </row>
    <row r="2501" spans="1:25" x14ac:dyDescent="0.25">
      <c r="A2501" s="76">
        <v>2533</v>
      </c>
      <c r="B2501" s="2" t="s">
        <v>3725</v>
      </c>
      <c r="C2501" s="2" t="s">
        <v>3726</v>
      </c>
      <c r="D2501" s="2" t="s">
        <v>3727</v>
      </c>
      <c r="E2501" s="2" t="s">
        <v>3728</v>
      </c>
      <c r="F2501" s="2" t="s">
        <v>3729</v>
      </c>
      <c r="G2501" s="2" t="s">
        <v>1570</v>
      </c>
      <c r="H2501" s="17">
        <v>25</v>
      </c>
      <c r="I2501" s="31">
        <f t="shared" si="240"/>
        <v>25000</v>
      </c>
      <c r="J2501" s="31">
        <f t="shared" si="241"/>
        <v>1750.0000000000002</v>
      </c>
      <c r="K2501" s="44">
        <f t="shared" si="242"/>
        <v>4.794520547945206</v>
      </c>
      <c r="L2501" s="3">
        <f t="shared" si="243"/>
        <v>354.79452054794524</v>
      </c>
      <c r="M2501" s="3">
        <f t="shared" si="244"/>
        <v>21.287671232876715</v>
      </c>
      <c r="N2501" s="67">
        <f t="shared" si="245"/>
        <v>333.50684931506851</v>
      </c>
      <c r="O2501" s="3"/>
      <c r="P2501" s="70" t="s">
        <v>18613</v>
      </c>
      <c r="Q2501" s="2" t="s">
        <v>336</v>
      </c>
      <c r="R2501" s="2" t="s">
        <v>3730</v>
      </c>
      <c r="T2501" t="s">
        <v>18666</v>
      </c>
      <c r="U2501" t="s">
        <v>18652</v>
      </c>
      <c r="V2501" s="104">
        <v>45857</v>
      </c>
      <c r="X2501" s="97"/>
      <c r="Y2501" s="75">
        <v>333.51</v>
      </c>
    </row>
    <row r="2502" spans="1:25" x14ac:dyDescent="0.25">
      <c r="A2502" s="76">
        <v>2534</v>
      </c>
      <c r="B2502" s="2" t="s">
        <v>5310</v>
      </c>
      <c r="C2502" s="2" t="s">
        <v>5311</v>
      </c>
      <c r="D2502" s="2" t="s">
        <v>5312</v>
      </c>
      <c r="E2502" s="2" t="s">
        <v>5313</v>
      </c>
      <c r="F2502" s="2" t="s">
        <v>5314</v>
      </c>
      <c r="G2502" s="2" t="s">
        <v>247</v>
      </c>
      <c r="H2502" s="17">
        <v>25</v>
      </c>
      <c r="I2502" s="31">
        <f t="shared" si="240"/>
        <v>25000</v>
      </c>
      <c r="J2502" s="31">
        <f t="shared" si="241"/>
        <v>1750.0000000000002</v>
      </c>
      <c r="K2502" s="44">
        <f t="shared" si="242"/>
        <v>4.794520547945206</v>
      </c>
      <c r="L2502" s="3">
        <f t="shared" si="243"/>
        <v>354.79452054794524</v>
      </c>
      <c r="M2502" s="3">
        <f t="shared" si="244"/>
        <v>21.287671232876715</v>
      </c>
      <c r="N2502" s="67">
        <f t="shared" si="245"/>
        <v>333.50684931506851</v>
      </c>
      <c r="O2502" s="3"/>
      <c r="P2502" s="70" t="s">
        <v>18613</v>
      </c>
      <c r="Q2502" s="2" t="s">
        <v>336</v>
      </c>
      <c r="R2502" s="2" t="s">
        <v>5315</v>
      </c>
      <c r="T2502" t="s">
        <v>18666</v>
      </c>
      <c r="U2502" t="s">
        <v>18652</v>
      </c>
      <c r="V2502" s="104">
        <v>45857</v>
      </c>
      <c r="X2502" s="97"/>
      <c r="Y2502" s="75">
        <v>333.51</v>
      </c>
    </row>
    <row r="2503" spans="1:25" x14ac:dyDescent="0.25">
      <c r="A2503" s="76">
        <v>2535</v>
      </c>
      <c r="B2503" s="2" t="s">
        <v>11831</v>
      </c>
      <c r="C2503" s="2" t="s">
        <v>11832</v>
      </c>
      <c r="D2503" s="2" t="s">
        <v>11833</v>
      </c>
      <c r="E2503" s="2" t="s">
        <v>11834</v>
      </c>
      <c r="F2503" s="2" t="s">
        <v>11835</v>
      </c>
      <c r="G2503" s="2" t="s">
        <v>1315</v>
      </c>
      <c r="H2503" s="17">
        <v>25</v>
      </c>
      <c r="I2503" s="31">
        <f t="shared" si="240"/>
        <v>25000</v>
      </c>
      <c r="J2503" s="31">
        <f t="shared" si="241"/>
        <v>1750.0000000000002</v>
      </c>
      <c r="K2503" s="44">
        <f t="shared" si="242"/>
        <v>4.794520547945206</v>
      </c>
      <c r="L2503" s="3">
        <f t="shared" si="243"/>
        <v>354.79452054794524</v>
      </c>
      <c r="M2503" s="3">
        <f t="shared" si="244"/>
        <v>21.287671232876715</v>
      </c>
      <c r="N2503" s="67">
        <f t="shared" si="245"/>
        <v>333.50684931506851</v>
      </c>
      <c r="O2503" s="3"/>
      <c r="P2503" s="70" t="s">
        <v>18613</v>
      </c>
      <c r="Q2503" s="2" t="s">
        <v>336</v>
      </c>
      <c r="R2503" s="2" t="s">
        <v>11836</v>
      </c>
      <c r="T2503" t="s">
        <v>18666</v>
      </c>
      <c r="U2503" t="s">
        <v>18652</v>
      </c>
      <c r="V2503" s="104">
        <v>45857</v>
      </c>
      <c r="X2503" s="97"/>
      <c r="Y2503" s="75">
        <v>333.51</v>
      </c>
    </row>
    <row r="2504" spans="1:25" x14ac:dyDescent="0.25">
      <c r="A2504" s="76">
        <v>2536</v>
      </c>
      <c r="B2504" s="2" t="s">
        <v>10403</v>
      </c>
      <c r="C2504" s="2" t="s">
        <v>10404</v>
      </c>
      <c r="D2504" s="2" t="s">
        <v>10405</v>
      </c>
      <c r="E2504" s="2" t="s">
        <v>10406</v>
      </c>
      <c r="F2504" s="2" t="s">
        <v>10407</v>
      </c>
      <c r="G2504" s="2" t="s">
        <v>412</v>
      </c>
      <c r="H2504" s="17">
        <v>25</v>
      </c>
      <c r="I2504" s="31">
        <f t="shared" si="240"/>
        <v>25000</v>
      </c>
      <c r="J2504" s="31">
        <f t="shared" si="241"/>
        <v>1750.0000000000002</v>
      </c>
      <c r="K2504" s="44">
        <f t="shared" si="242"/>
        <v>4.794520547945206</v>
      </c>
      <c r="L2504" s="3">
        <f t="shared" si="243"/>
        <v>354.79452054794524</v>
      </c>
      <c r="M2504" s="3">
        <f t="shared" si="244"/>
        <v>21.287671232876715</v>
      </c>
      <c r="N2504" s="67">
        <f t="shared" si="245"/>
        <v>333.50684931506851</v>
      </c>
      <c r="O2504" s="3"/>
      <c r="P2504" s="70" t="s">
        <v>18613</v>
      </c>
      <c r="Q2504" s="2" t="s">
        <v>336</v>
      </c>
      <c r="R2504" s="2" t="s">
        <v>10408</v>
      </c>
      <c r="T2504" t="s">
        <v>18666</v>
      </c>
      <c r="U2504" t="s">
        <v>18652</v>
      </c>
      <c r="V2504" s="104">
        <v>45857</v>
      </c>
      <c r="X2504" s="97"/>
      <c r="Y2504" s="75">
        <v>333.51</v>
      </c>
    </row>
    <row r="2505" spans="1:25" x14ac:dyDescent="0.25">
      <c r="A2505" s="76">
        <v>2537</v>
      </c>
      <c r="B2505" s="2" t="s">
        <v>2885</v>
      </c>
      <c r="C2505" s="2" t="s">
        <v>2886</v>
      </c>
      <c r="D2505" s="2" t="s">
        <v>2887</v>
      </c>
      <c r="E2505" s="2" t="s">
        <v>2888</v>
      </c>
      <c r="F2505" s="2" t="s">
        <v>2889</v>
      </c>
      <c r="G2505" s="2" t="s">
        <v>328</v>
      </c>
      <c r="H2505" s="17">
        <v>25</v>
      </c>
      <c r="I2505" s="31">
        <f t="shared" si="240"/>
        <v>25000</v>
      </c>
      <c r="J2505" s="31">
        <f t="shared" si="241"/>
        <v>1750.0000000000002</v>
      </c>
      <c r="K2505" s="44">
        <f t="shared" si="242"/>
        <v>4.794520547945206</v>
      </c>
      <c r="L2505" s="3">
        <f t="shared" si="243"/>
        <v>354.79452054794524</v>
      </c>
      <c r="M2505" s="3">
        <f t="shared" si="244"/>
        <v>21.287671232876715</v>
      </c>
      <c r="N2505" s="67">
        <f t="shared" si="245"/>
        <v>333.50684931506851</v>
      </c>
      <c r="O2505" s="3"/>
      <c r="P2505" s="70" t="s">
        <v>18613</v>
      </c>
      <c r="Q2505" s="2" t="s">
        <v>336</v>
      </c>
      <c r="R2505" s="2" t="s">
        <v>2890</v>
      </c>
      <c r="T2505" t="s">
        <v>18666</v>
      </c>
      <c r="U2505" t="s">
        <v>18652</v>
      </c>
      <c r="V2505" s="104">
        <v>45857</v>
      </c>
      <c r="X2505" s="97"/>
      <c r="Y2505" s="75">
        <v>333.51</v>
      </c>
    </row>
    <row r="2506" spans="1:25" x14ac:dyDescent="0.25">
      <c r="A2506" s="76">
        <v>2538</v>
      </c>
      <c r="B2506" s="2" t="s">
        <v>10679</v>
      </c>
      <c r="C2506" s="2" t="s">
        <v>10680</v>
      </c>
      <c r="D2506" s="2" t="s">
        <v>10681</v>
      </c>
      <c r="E2506" s="2" t="s">
        <v>10682</v>
      </c>
      <c r="F2506" s="2" t="s">
        <v>10683</v>
      </c>
      <c r="G2506" s="2" t="s">
        <v>412</v>
      </c>
      <c r="H2506" s="17">
        <v>25</v>
      </c>
      <c r="I2506" s="31">
        <f t="shared" si="240"/>
        <v>25000</v>
      </c>
      <c r="J2506" s="31">
        <f t="shared" si="241"/>
        <v>1750.0000000000002</v>
      </c>
      <c r="K2506" s="44">
        <f t="shared" si="242"/>
        <v>4.794520547945206</v>
      </c>
      <c r="L2506" s="3">
        <f t="shared" si="243"/>
        <v>354.79452054794524</v>
      </c>
      <c r="M2506" s="3">
        <f t="shared" si="244"/>
        <v>21.287671232876715</v>
      </c>
      <c r="N2506" s="67">
        <f t="shared" si="245"/>
        <v>333.50684931506851</v>
      </c>
      <c r="O2506" s="3"/>
      <c r="P2506" s="70" t="s">
        <v>18613</v>
      </c>
      <c r="Q2506" s="2" t="s">
        <v>336</v>
      </c>
      <c r="R2506" s="2" t="s">
        <v>10684</v>
      </c>
      <c r="T2506" t="s">
        <v>18666</v>
      </c>
      <c r="U2506" t="s">
        <v>18652</v>
      </c>
      <c r="V2506" s="104">
        <v>45857</v>
      </c>
      <c r="X2506" s="97"/>
      <c r="Y2506" s="75">
        <v>333.51</v>
      </c>
    </row>
    <row r="2507" spans="1:25" x14ac:dyDescent="0.25">
      <c r="A2507" s="76">
        <v>2539</v>
      </c>
      <c r="B2507" s="2" t="s">
        <v>5316</v>
      </c>
      <c r="C2507" s="2" t="s">
        <v>5317</v>
      </c>
      <c r="D2507" s="2" t="s">
        <v>5318</v>
      </c>
      <c r="E2507" s="2" t="s">
        <v>5319</v>
      </c>
      <c r="F2507" s="2" t="s">
        <v>5320</v>
      </c>
      <c r="G2507" s="2" t="s">
        <v>1823</v>
      </c>
      <c r="H2507" s="17">
        <v>25</v>
      </c>
      <c r="I2507" s="31">
        <f t="shared" si="240"/>
        <v>25000</v>
      </c>
      <c r="J2507" s="31">
        <f t="shared" si="241"/>
        <v>1750.0000000000002</v>
      </c>
      <c r="K2507" s="44">
        <f t="shared" si="242"/>
        <v>4.794520547945206</v>
      </c>
      <c r="L2507" s="3">
        <f t="shared" si="243"/>
        <v>354.79452054794524</v>
      </c>
      <c r="M2507" s="3">
        <f t="shared" si="244"/>
        <v>21.287671232876715</v>
      </c>
      <c r="N2507" s="67">
        <f t="shared" si="245"/>
        <v>333.50684931506851</v>
      </c>
      <c r="O2507" s="3"/>
      <c r="P2507" s="70" t="s">
        <v>18613</v>
      </c>
      <c r="Q2507" s="2" t="s">
        <v>336</v>
      </c>
      <c r="R2507" s="2" t="s">
        <v>5321</v>
      </c>
      <c r="T2507" t="s">
        <v>18666</v>
      </c>
      <c r="U2507" t="s">
        <v>18652</v>
      </c>
      <c r="V2507" s="104">
        <v>45857</v>
      </c>
      <c r="X2507" s="97"/>
      <c r="Y2507" s="75">
        <v>333.51</v>
      </c>
    </row>
    <row r="2508" spans="1:25" x14ac:dyDescent="0.25">
      <c r="A2508" s="76">
        <v>2540</v>
      </c>
      <c r="B2508" s="2" t="s">
        <v>2345</v>
      </c>
      <c r="C2508" s="2" t="s">
        <v>2346</v>
      </c>
      <c r="D2508" s="2" t="s">
        <v>2347</v>
      </c>
      <c r="E2508" s="2" t="s">
        <v>2348</v>
      </c>
      <c r="F2508" s="2" t="s">
        <v>2349</v>
      </c>
      <c r="G2508" s="2" t="s">
        <v>1570</v>
      </c>
      <c r="H2508" s="17">
        <v>25</v>
      </c>
      <c r="I2508" s="31">
        <f t="shared" si="240"/>
        <v>25000</v>
      </c>
      <c r="J2508" s="31">
        <f t="shared" si="241"/>
        <v>1750.0000000000002</v>
      </c>
      <c r="K2508" s="44">
        <f t="shared" si="242"/>
        <v>4.794520547945206</v>
      </c>
      <c r="L2508" s="3">
        <f t="shared" si="243"/>
        <v>354.79452054794524</v>
      </c>
      <c r="M2508" s="3">
        <f t="shared" si="244"/>
        <v>21.287671232876715</v>
      </c>
      <c r="N2508" s="67">
        <f t="shared" si="245"/>
        <v>333.50684931506851</v>
      </c>
      <c r="O2508" s="3"/>
      <c r="P2508" s="70" t="s">
        <v>18613</v>
      </c>
      <c r="Q2508" s="2" t="s">
        <v>336</v>
      </c>
      <c r="R2508" s="2" t="s">
        <v>2350</v>
      </c>
      <c r="T2508" t="s">
        <v>18666</v>
      </c>
      <c r="U2508" t="s">
        <v>18652</v>
      </c>
      <c r="V2508" s="104">
        <v>45857</v>
      </c>
      <c r="X2508" s="97"/>
      <c r="Y2508" s="75">
        <v>333.51</v>
      </c>
    </row>
    <row r="2509" spans="1:25" x14ac:dyDescent="0.25">
      <c r="A2509" s="76">
        <v>2541</v>
      </c>
      <c r="B2509" s="2" t="s">
        <v>12745</v>
      </c>
      <c r="C2509" s="2" t="s">
        <v>12746</v>
      </c>
      <c r="D2509" s="2" t="s">
        <v>12747</v>
      </c>
      <c r="E2509" s="2" t="s">
        <v>12748</v>
      </c>
      <c r="F2509" s="2" t="s">
        <v>12749</v>
      </c>
      <c r="G2509" s="2" t="s">
        <v>282</v>
      </c>
      <c r="H2509" s="17">
        <v>100</v>
      </c>
      <c r="I2509" s="31">
        <f t="shared" si="240"/>
        <v>100000</v>
      </c>
      <c r="J2509" s="31">
        <f t="shared" si="241"/>
        <v>7000.0000000000009</v>
      </c>
      <c r="K2509" s="44">
        <f t="shared" si="242"/>
        <v>19.178082191780824</v>
      </c>
      <c r="L2509" s="3">
        <f t="shared" si="243"/>
        <v>1419.178082191781</v>
      </c>
      <c r="M2509" s="3">
        <f t="shared" si="244"/>
        <v>85.150684931506859</v>
      </c>
      <c r="N2509" s="67">
        <f t="shared" si="245"/>
        <v>1334.027397260274</v>
      </c>
      <c r="O2509" s="3"/>
      <c r="P2509" s="70" t="s">
        <v>18613</v>
      </c>
      <c r="Q2509" s="2" t="s">
        <v>336</v>
      </c>
      <c r="R2509" s="2" t="s">
        <v>12750</v>
      </c>
      <c r="T2509" t="s">
        <v>18666</v>
      </c>
      <c r="U2509" t="s">
        <v>18652</v>
      </c>
      <c r="V2509" s="104">
        <v>45857</v>
      </c>
      <c r="X2509" s="97"/>
      <c r="Y2509" s="75">
        <v>1334.03</v>
      </c>
    </row>
    <row r="2510" spans="1:25" x14ac:dyDescent="0.25">
      <c r="A2510" s="76">
        <v>2542</v>
      </c>
      <c r="B2510" s="2" t="s">
        <v>5917</v>
      </c>
      <c r="C2510" s="2" t="s">
        <v>5918</v>
      </c>
      <c r="D2510" s="2" t="s">
        <v>5919</v>
      </c>
      <c r="E2510" s="2" t="s">
        <v>5920</v>
      </c>
      <c r="F2510" s="2" t="s">
        <v>5921</v>
      </c>
      <c r="G2510" s="2" t="s">
        <v>5922</v>
      </c>
      <c r="H2510" s="17">
        <v>150</v>
      </c>
      <c r="I2510" s="31">
        <f t="shared" si="240"/>
        <v>150000</v>
      </c>
      <c r="J2510" s="31">
        <f t="shared" si="241"/>
        <v>10500.000000000002</v>
      </c>
      <c r="K2510" s="44">
        <f t="shared" si="242"/>
        <v>28.767123287671239</v>
      </c>
      <c r="L2510" s="3">
        <f t="shared" si="243"/>
        <v>2128.7671232876719</v>
      </c>
      <c r="M2510" s="3">
        <f t="shared" si="244"/>
        <v>127.72602739726031</v>
      </c>
      <c r="N2510" s="67">
        <f t="shared" si="245"/>
        <v>2001.0410958904115</v>
      </c>
      <c r="O2510" s="3"/>
      <c r="P2510" s="70" t="s">
        <v>18613</v>
      </c>
      <c r="Q2510" s="2" t="s">
        <v>336</v>
      </c>
      <c r="R2510" s="2" t="s">
        <v>5923</v>
      </c>
      <c r="T2510" t="s">
        <v>18666</v>
      </c>
      <c r="U2510" t="s">
        <v>18652</v>
      </c>
      <c r="V2510" s="104">
        <v>45857</v>
      </c>
      <c r="X2510" s="97"/>
      <c r="Y2510" s="75">
        <v>2001.05</v>
      </c>
    </row>
    <row r="2511" spans="1:25" x14ac:dyDescent="0.25">
      <c r="A2511" s="76">
        <v>2543</v>
      </c>
      <c r="B2511" s="2" t="s">
        <v>14472</v>
      </c>
      <c r="C2511" s="2" t="s">
        <v>14473</v>
      </c>
      <c r="D2511" s="2" t="s">
        <v>14474</v>
      </c>
      <c r="E2511" s="2" t="s">
        <v>14475</v>
      </c>
      <c r="F2511" s="2" t="s">
        <v>14476</v>
      </c>
      <c r="G2511" s="2" t="s">
        <v>31</v>
      </c>
      <c r="H2511" s="17">
        <v>25</v>
      </c>
      <c r="I2511" s="31">
        <f t="shared" si="240"/>
        <v>25000</v>
      </c>
      <c r="J2511" s="31">
        <f t="shared" si="241"/>
        <v>1750.0000000000002</v>
      </c>
      <c r="K2511" s="44">
        <f t="shared" si="242"/>
        <v>4.794520547945206</v>
      </c>
      <c r="L2511" s="3">
        <f t="shared" si="243"/>
        <v>354.79452054794524</v>
      </c>
      <c r="M2511" s="3">
        <f t="shared" si="244"/>
        <v>21.287671232876715</v>
      </c>
      <c r="N2511" s="67">
        <f t="shared" si="245"/>
        <v>333.50684931506851</v>
      </c>
      <c r="O2511" s="3"/>
      <c r="P2511" s="70" t="s">
        <v>18613</v>
      </c>
      <c r="Q2511" s="2" t="s">
        <v>336</v>
      </c>
      <c r="R2511" s="2" t="s">
        <v>14477</v>
      </c>
      <c r="T2511" t="s">
        <v>18666</v>
      </c>
      <c r="U2511" t="s">
        <v>18652</v>
      </c>
      <c r="V2511" s="104">
        <v>45857</v>
      </c>
      <c r="X2511" s="97"/>
      <c r="Y2511" s="75">
        <v>333.51</v>
      </c>
    </row>
    <row r="2512" spans="1:25" x14ac:dyDescent="0.25">
      <c r="A2512" s="76">
        <v>2544</v>
      </c>
      <c r="B2512" s="2" t="s">
        <v>15297</v>
      </c>
      <c r="C2512" s="2" t="s">
        <v>15298</v>
      </c>
      <c r="D2512" s="2" t="s">
        <v>15299</v>
      </c>
      <c r="E2512" s="2" t="s">
        <v>12725</v>
      </c>
      <c r="F2512" s="2" t="s">
        <v>15300</v>
      </c>
      <c r="G2512" s="2" t="s">
        <v>412</v>
      </c>
      <c r="H2512" s="17">
        <v>25</v>
      </c>
      <c r="I2512" s="31">
        <f t="shared" si="240"/>
        <v>25000</v>
      </c>
      <c r="J2512" s="31">
        <f t="shared" si="241"/>
        <v>1750.0000000000002</v>
      </c>
      <c r="K2512" s="44">
        <f t="shared" si="242"/>
        <v>4.794520547945206</v>
      </c>
      <c r="L2512" s="3">
        <f t="shared" si="243"/>
        <v>354.79452054794524</v>
      </c>
      <c r="M2512" s="3">
        <f t="shared" si="244"/>
        <v>21.287671232876715</v>
      </c>
      <c r="N2512" s="67">
        <f t="shared" si="245"/>
        <v>333.50684931506851</v>
      </c>
      <c r="O2512" s="3"/>
      <c r="P2512" s="70" t="s">
        <v>18613</v>
      </c>
      <c r="Q2512" s="2" t="s">
        <v>336</v>
      </c>
      <c r="R2512" s="2" t="s">
        <v>15301</v>
      </c>
      <c r="T2512" t="s">
        <v>18666</v>
      </c>
      <c r="U2512" t="s">
        <v>18652</v>
      </c>
      <c r="V2512" s="104">
        <v>45857</v>
      </c>
      <c r="X2512" s="97"/>
      <c r="Y2512" s="75">
        <v>333.51</v>
      </c>
    </row>
    <row r="2513" spans="1:25" x14ac:dyDescent="0.25">
      <c r="A2513" s="76">
        <v>2545</v>
      </c>
      <c r="B2513" s="2" t="s">
        <v>15925</v>
      </c>
      <c r="C2513" s="2" t="s">
        <v>15926</v>
      </c>
      <c r="D2513" s="2" t="s">
        <v>15927</v>
      </c>
      <c r="E2513" s="2" t="s">
        <v>15928</v>
      </c>
      <c r="F2513" s="2" t="s">
        <v>15929</v>
      </c>
      <c r="G2513" s="2" t="s">
        <v>412</v>
      </c>
      <c r="H2513" s="17">
        <v>25</v>
      </c>
      <c r="I2513" s="31">
        <f t="shared" si="240"/>
        <v>25000</v>
      </c>
      <c r="J2513" s="31">
        <f t="shared" si="241"/>
        <v>1750.0000000000002</v>
      </c>
      <c r="K2513" s="44">
        <f t="shared" si="242"/>
        <v>4.794520547945206</v>
      </c>
      <c r="L2513" s="3">
        <f t="shared" si="243"/>
        <v>354.79452054794524</v>
      </c>
      <c r="M2513" s="3">
        <f t="shared" si="244"/>
        <v>21.287671232876715</v>
      </c>
      <c r="N2513" s="67">
        <f t="shared" si="245"/>
        <v>333.50684931506851</v>
      </c>
      <c r="O2513" s="3"/>
      <c r="P2513" s="70" t="s">
        <v>18613</v>
      </c>
      <c r="Q2513" s="2" t="s">
        <v>336</v>
      </c>
      <c r="R2513" s="2" t="s">
        <v>15930</v>
      </c>
      <c r="T2513" t="s">
        <v>18666</v>
      </c>
      <c r="U2513" t="s">
        <v>18652</v>
      </c>
      <c r="V2513" s="104">
        <v>45857</v>
      </c>
      <c r="X2513" s="97"/>
      <c r="Y2513" s="75">
        <v>333.51</v>
      </c>
    </row>
    <row r="2514" spans="1:25" x14ac:dyDescent="0.25">
      <c r="A2514" s="76">
        <v>2546</v>
      </c>
      <c r="B2514" s="2" t="s">
        <v>11691</v>
      </c>
      <c r="C2514" s="2" t="s">
        <v>11692</v>
      </c>
      <c r="D2514" s="2" t="s">
        <v>11693</v>
      </c>
      <c r="E2514" s="2" t="s">
        <v>641</v>
      </c>
      <c r="F2514" s="2" t="s">
        <v>11694</v>
      </c>
      <c r="G2514" s="2" t="s">
        <v>524</v>
      </c>
      <c r="H2514" s="17">
        <v>25</v>
      </c>
      <c r="I2514" s="31">
        <f t="shared" ref="I2514:I2577" si="246">H2514*1000</f>
        <v>25000</v>
      </c>
      <c r="J2514" s="31">
        <f t="shared" ref="J2514:J2577" si="247">I2514*7%</f>
        <v>1750.0000000000002</v>
      </c>
      <c r="K2514" s="44">
        <f t="shared" ref="K2514:K2577" si="248">J2514/365</f>
        <v>4.794520547945206</v>
      </c>
      <c r="L2514" s="3">
        <f t="shared" ref="L2514:L2577" si="249">K2514*74</f>
        <v>354.79452054794524</v>
      </c>
      <c r="M2514" s="3">
        <f t="shared" ref="M2514:M2577" si="250">L2514*6%</f>
        <v>21.287671232876715</v>
      </c>
      <c r="N2514" s="67">
        <f t="shared" ref="N2514:N2577" si="251">L2514-M2514</f>
        <v>333.50684931506851</v>
      </c>
      <c r="O2514" s="3"/>
      <c r="P2514" s="70" t="s">
        <v>18613</v>
      </c>
      <c r="Q2514" s="2" t="s">
        <v>336</v>
      </c>
      <c r="R2514" s="2" t="s">
        <v>11695</v>
      </c>
      <c r="T2514" t="s">
        <v>18666</v>
      </c>
      <c r="U2514" t="s">
        <v>18652</v>
      </c>
      <c r="V2514" s="104">
        <v>45857</v>
      </c>
      <c r="X2514" s="97"/>
      <c r="Y2514" s="75">
        <v>333.51</v>
      </c>
    </row>
    <row r="2515" spans="1:25" x14ac:dyDescent="0.25">
      <c r="A2515" s="76">
        <v>2547</v>
      </c>
      <c r="B2515" s="2" t="s">
        <v>331</v>
      </c>
      <c r="C2515" s="2" t="s">
        <v>332</v>
      </c>
      <c r="D2515" s="2" t="s">
        <v>333</v>
      </c>
      <c r="E2515" s="2" t="s">
        <v>334</v>
      </c>
      <c r="F2515" s="2" t="s">
        <v>335</v>
      </c>
      <c r="G2515" s="2" t="s">
        <v>296</v>
      </c>
      <c r="H2515" s="17">
        <v>25</v>
      </c>
      <c r="I2515" s="31">
        <f t="shared" si="246"/>
        <v>25000</v>
      </c>
      <c r="J2515" s="31">
        <f t="shared" si="247"/>
        <v>1750.0000000000002</v>
      </c>
      <c r="K2515" s="44">
        <f t="shared" si="248"/>
        <v>4.794520547945206</v>
      </c>
      <c r="L2515" s="3">
        <f t="shared" si="249"/>
        <v>354.79452054794524</v>
      </c>
      <c r="M2515" s="3">
        <f t="shared" si="250"/>
        <v>21.287671232876715</v>
      </c>
      <c r="N2515" s="67">
        <f t="shared" si="251"/>
        <v>333.50684931506851</v>
      </c>
      <c r="O2515" s="3"/>
      <c r="P2515" s="70" t="s">
        <v>18613</v>
      </c>
      <c r="Q2515" s="2" t="s">
        <v>336</v>
      </c>
      <c r="R2515" s="2" t="s">
        <v>337</v>
      </c>
      <c r="T2515" t="s">
        <v>18666</v>
      </c>
      <c r="U2515" t="s">
        <v>18652</v>
      </c>
      <c r="V2515" s="104">
        <v>45857</v>
      </c>
      <c r="X2515" s="97"/>
      <c r="Y2515" s="75">
        <v>333.51</v>
      </c>
    </row>
    <row r="2516" spans="1:25" x14ac:dyDescent="0.25">
      <c r="A2516" s="76">
        <v>2548</v>
      </c>
      <c r="B2516" s="2" t="s">
        <v>13817</v>
      </c>
      <c r="C2516" s="2" t="s">
        <v>13818</v>
      </c>
      <c r="D2516" s="2" t="s">
        <v>13819</v>
      </c>
      <c r="E2516" s="2" t="s">
        <v>13820</v>
      </c>
      <c r="F2516" s="2" t="s">
        <v>13821</v>
      </c>
      <c r="G2516" s="2" t="s">
        <v>31</v>
      </c>
      <c r="H2516" s="17">
        <v>100</v>
      </c>
      <c r="I2516" s="31">
        <f t="shared" si="246"/>
        <v>100000</v>
      </c>
      <c r="J2516" s="31">
        <f t="shared" si="247"/>
        <v>7000.0000000000009</v>
      </c>
      <c r="K2516" s="44">
        <f t="shared" si="248"/>
        <v>19.178082191780824</v>
      </c>
      <c r="L2516" s="3">
        <f t="shared" si="249"/>
        <v>1419.178082191781</v>
      </c>
      <c r="M2516" s="3">
        <f t="shared" si="250"/>
        <v>85.150684931506859</v>
      </c>
      <c r="N2516" s="67">
        <f t="shared" si="251"/>
        <v>1334.027397260274</v>
      </c>
      <c r="O2516" s="3"/>
      <c r="P2516" s="70" t="s">
        <v>18613</v>
      </c>
      <c r="Q2516" s="2" t="s">
        <v>336</v>
      </c>
      <c r="R2516" s="2" t="s">
        <v>13822</v>
      </c>
      <c r="T2516" t="s">
        <v>18666</v>
      </c>
      <c r="U2516" t="s">
        <v>18652</v>
      </c>
      <c r="V2516" s="104">
        <v>45857</v>
      </c>
      <c r="X2516" s="97"/>
      <c r="Y2516" s="75">
        <v>1334.03</v>
      </c>
    </row>
    <row r="2517" spans="1:25" x14ac:dyDescent="0.25">
      <c r="A2517" s="76">
        <v>2549</v>
      </c>
      <c r="B2517" s="2" t="s">
        <v>4181</v>
      </c>
      <c r="C2517" s="2" t="s">
        <v>4182</v>
      </c>
      <c r="D2517" s="2" t="s">
        <v>4183</v>
      </c>
      <c r="E2517" s="2" t="s">
        <v>4184</v>
      </c>
      <c r="F2517" s="2" t="s">
        <v>4185</v>
      </c>
      <c r="G2517" s="2" t="s">
        <v>381</v>
      </c>
      <c r="H2517" s="17">
        <v>25</v>
      </c>
      <c r="I2517" s="31">
        <f t="shared" si="246"/>
        <v>25000</v>
      </c>
      <c r="J2517" s="31">
        <f t="shared" si="247"/>
        <v>1750.0000000000002</v>
      </c>
      <c r="K2517" s="44">
        <f t="shared" si="248"/>
        <v>4.794520547945206</v>
      </c>
      <c r="L2517" s="3">
        <f t="shared" si="249"/>
        <v>354.79452054794524</v>
      </c>
      <c r="M2517" s="3">
        <f t="shared" si="250"/>
        <v>21.287671232876715</v>
      </c>
      <c r="N2517" s="67">
        <f t="shared" si="251"/>
        <v>333.50684931506851</v>
      </c>
      <c r="O2517" s="3"/>
      <c r="P2517" s="70" t="s">
        <v>18613</v>
      </c>
      <c r="Q2517" s="2" t="s">
        <v>336</v>
      </c>
      <c r="R2517" s="2" t="s">
        <v>4186</v>
      </c>
      <c r="T2517" t="s">
        <v>18666</v>
      </c>
      <c r="U2517" t="s">
        <v>18652</v>
      </c>
      <c r="V2517" s="104">
        <v>45857</v>
      </c>
      <c r="X2517" s="97"/>
      <c r="Y2517" s="75">
        <v>333.51</v>
      </c>
    </row>
    <row r="2518" spans="1:25" x14ac:dyDescent="0.25">
      <c r="A2518" s="76">
        <v>2550</v>
      </c>
      <c r="B2518" s="2" t="s">
        <v>18160</v>
      </c>
      <c r="C2518" s="2" t="s">
        <v>18161</v>
      </c>
      <c r="D2518" s="2" t="s">
        <v>18162</v>
      </c>
      <c r="E2518" s="2" t="s">
        <v>8422</v>
      </c>
      <c r="F2518" s="2" t="s">
        <v>18163</v>
      </c>
      <c r="G2518" s="2" t="s">
        <v>31</v>
      </c>
      <c r="H2518" s="17">
        <v>200</v>
      </c>
      <c r="I2518" s="31">
        <f t="shared" si="246"/>
        <v>200000</v>
      </c>
      <c r="J2518" s="31">
        <f t="shared" si="247"/>
        <v>14000.000000000002</v>
      </c>
      <c r="K2518" s="44">
        <f t="shared" si="248"/>
        <v>38.356164383561648</v>
      </c>
      <c r="L2518" s="3">
        <f t="shared" si="249"/>
        <v>2838.3561643835619</v>
      </c>
      <c r="M2518" s="3">
        <f t="shared" si="250"/>
        <v>170.30136986301372</v>
      </c>
      <c r="N2518" s="67">
        <f t="shared" si="251"/>
        <v>2668.0547945205481</v>
      </c>
      <c r="O2518" s="3"/>
      <c r="P2518" s="70" t="s">
        <v>18613</v>
      </c>
      <c r="Q2518" s="2" t="s">
        <v>336</v>
      </c>
      <c r="R2518" s="2" t="s">
        <v>18164</v>
      </c>
      <c r="T2518" t="s">
        <v>18666</v>
      </c>
      <c r="U2518" t="s">
        <v>18652</v>
      </c>
      <c r="V2518" s="104">
        <v>45857</v>
      </c>
      <c r="X2518" s="97"/>
      <c r="Y2518" s="75">
        <v>2668.0600000000004</v>
      </c>
    </row>
    <row r="2519" spans="1:25" x14ac:dyDescent="0.25">
      <c r="A2519" s="76">
        <v>2551</v>
      </c>
      <c r="B2519" s="2" t="s">
        <v>2084</v>
      </c>
      <c r="C2519" s="2" t="s">
        <v>2085</v>
      </c>
      <c r="D2519" s="2" t="s">
        <v>2086</v>
      </c>
      <c r="E2519" s="2" t="s">
        <v>2087</v>
      </c>
      <c r="F2519" s="2" t="s">
        <v>2088</v>
      </c>
      <c r="G2519" s="2" t="s">
        <v>750</v>
      </c>
      <c r="H2519" s="17">
        <v>25</v>
      </c>
      <c r="I2519" s="31">
        <f t="shared" si="246"/>
        <v>25000</v>
      </c>
      <c r="J2519" s="31">
        <f t="shared" si="247"/>
        <v>1750.0000000000002</v>
      </c>
      <c r="K2519" s="44">
        <f t="shared" si="248"/>
        <v>4.794520547945206</v>
      </c>
      <c r="L2519" s="3">
        <f t="shared" si="249"/>
        <v>354.79452054794524</v>
      </c>
      <c r="M2519" s="3">
        <f t="shared" si="250"/>
        <v>21.287671232876715</v>
      </c>
      <c r="N2519" s="67">
        <f t="shared" si="251"/>
        <v>333.50684931506851</v>
      </c>
      <c r="O2519" s="3"/>
      <c r="P2519" s="70" t="s">
        <v>18613</v>
      </c>
      <c r="Q2519" s="2" t="s">
        <v>336</v>
      </c>
      <c r="R2519" s="2" t="s">
        <v>2089</v>
      </c>
      <c r="T2519" t="s">
        <v>18666</v>
      </c>
      <c r="U2519" t="s">
        <v>18652</v>
      </c>
      <c r="V2519" s="104">
        <v>45857</v>
      </c>
      <c r="X2519" s="97"/>
      <c r="Y2519" s="75">
        <v>333.51</v>
      </c>
    </row>
    <row r="2520" spans="1:25" x14ac:dyDescent="0.25">
      <c r="A2520" s="76">
        <v>2552</v>
      </c>
      <c r="B2520" s="2" t="s">
        <v>1717</v>
      </c>
      <c r="C2520" s="2" t="s">
        <v>1718</v>
      </c>
      <c r="D2520" s="2" t="s">
        <v>1719</v>
      </c>
      <c r="E2520" s="2" t="s">
        <v>1720</v>
      </c>
      <c r="F2520" s="2" t="s">
        <v>1721</v>
      </c>
      <c r="G2520" s="2" t="s">
        <v>381</v>
      </c>
      <c r="H2520" s="17">
        <v>25</v>
      </c>
      <c r="I2520" s="31">
        <f t="shared" si="246"/>
        <v>25000</v>
      </c>
      <c r="J2520" s="31">
        <f t="shared" si="247"/>
        <v>1750.0000000000002</v>
      </c>
      <c r="K2520" s="44">
        <f t="shared" si="248"/>
        <v>4.794520547945206</v>
      </c>
      <c r="L2520" s="3">
        <f t="shared" si="249"/>
        <v>354.79452054794524</v>
      </c>
      <c r="M2520" s="3">
        <f t="shared" si="250"/>
        <v>21.287671232876715</v>
      </c>
      <c r="N2520" s="67">
        <f t="shared" si="251"/>
        <v>333.50684931506851</v>
      </c>
      <c r="O2520" s="3"/>
      <c r="P2520" s="70" t="s">
        <v>18613</v>
      </c>
      <c r="Q2520" s="2" t="s">
        <v>336</v>
      </c>
      <c r="R2520" s="2" t="s">
        <v>1722</v>
      </c>
      <c r="T2520" t="s">
        <v>18666</v>
      </c>
      <c r="U2520" t="s">
        <v>18652</v>
      </c>
      <c r="V2520" s="104">
        <v>45857</v>
      </c>
      <c r="X2520" s="97"/>
      <c r="Y2520" s="75">
        <v>333.51</v>
      </c>
    </row>
    <row r="2521" spans="1:25" x14ac:dyDescent="0.25">
      <c r="A2521" s="76">
        <v>2553</v>
      </c>
      <c r="B2521" s="2" t="s">
        <v>18303</v>
      </c>
      <c r="C2521" s="2" t="s">
        <v>18304</v>
      </c>
      <c r="D2521" s="2" t="s">
        <v>18305</v>
      </c>
      <c r="E2521" s="2" t="s">
        <v>18306</v>
      </c>
      <c r="F2521" s="2" t="s">
        <v>18307</v>
      </c>
      <c r="G2521" s="2" t="s">
        <v>362</v>
      </c>
      <c r="H2521" s="17">
        <v>1000</v>
      </c>
      <c r="I2521" s="31">
        <f t="shared" si="246"/>
        <v>1000000</v>
      </c>
      <c r="J2521" s="31">
        <f t="shared" si="247"/>
        <v>70000</v>
      </c>
      <c r="K2521" s="44">
        <f t="shared" si="248"/>
        <v>191.78082191780823</v>
      </c>
      <c r="L2521" s="3">
        <f t="shared" si="249"/>
        <v>14191.780821917808</v>
      </c>
      <c r="M2521" s="3">
        <f t="shared" si="250"/>
        <v>851.50684931506839</v>
      </c>
      <c r="N2521" s="67">
        <f t="shared" si="251"/>
        <v>13340.273972602739</v>
      </c>
      <c r="O2521" s="3"/>
      <c r="P2521" s="70" t="s">
        <v>18613</v>
      </c>
      <c r="Q2521" s="2" t="s">
        <v>336</v>
      </c>
      <c r="R2521" s="2" t="s">
        <v>18308</v>
      </c>
      <c r="T2521" t="s">
        <v>18666</v>
      </c>
      <c r="U2521" t="s">
        <v>18652</v>
      </c>
      <c r="V2521" s="104">
        <v>45857</v>
      </c>
      <c r="X2521" s="97"/>
      <c r="Y2521" s="75">
        <v>13340.28</v>
      </c>
    </row>
    <row r="2522" spans="1:25" x14ac:dyDescent="0.25">
      <c r="A2522" s="76">
        <v>2554</v>
      </c>
      <c r="B2522" s="2" t="s">
        <v>17426</v>
      </c>
      <c r="C2522" s="2" t="s">
        <v>17427</v>
      </c>
      <c r="D2522" s="2" t="s">
        <v>10367</v>
      </c>
      <c r="E2522" s="2" t="s">
        <v>3850</v>
      </c>
      <c r="F2522" s="2" t="s">
        <v>17428</v>
      </c>
      <c r="G2522" s="2" t="s">
        <v>750</v>
      </c>
      <c r="H2522" s="17">
        <v>25</v>
      </c>
      <c r="I2522" s="31">
        <f t="shared" si="246"/>
        <v>25000</v>
      </c>
      <c r="J2522" s="31">
        <f t="shared" si="247"/>
        <v>1750.0000000000002</v>
      </c>
      <c r="K2522" s="44">
        <f t="shared" si="248"/>
        <v>4.794520547945206</v>
      </c>
      <c r="L2522" s="3">
        <f t="shared" si="249"/>
        <v>354.79452054794524</v>
      </c>
      <c r="M2522" s="3">
        <f t="shared" si="250"/>
        <v>21.287671232876715</v>
      </c>
      <c r="N2522" s="67">
        <f t="shared" si="251"/>
        <v>333.50684931506851</v>
      </c>
      <c r="O2522" s="3"/>
      <c r="P2522" s="70" t="s">
        <v>18613</v>
      </c>
      <c r="Q2522" s="2" t="s">
        <v>336</v>
      </c>
      <c r="R2522" s="2" t="s">
        <v>17429</v>
      </c>
      <c r="T2522" t="s">
        <v>18666</v>
      </c>
      <c r="U2522" t="s">
        <v>18652</v>
      </c>
      <c r="V2522" s="104">
        <v>45857</v>
      </c>
      <c r="X2522" s="97"/>
      <c r="Y2522" s="75">
        <v>333.51</v>
      </c>
    </row>
    <row r="2523" spans="1:25" x14ac:dyDescent="0.25">
      <c r="A2523" s="76">
        <v>2555</v>
      </c>
      <c r="B2523" s="2" t="s">
        <v>2416</v>
      </c>
      <c r="C2523" s="2" t="s">
        <v>2417</v>
      </c>
      <c r="D2523" s="2" t="s">
        <v>2418</v>
      </c>
      <c r="E2523" s="2" t="s">
        <v>2419</v>
      </c>
      <c r="F2523" s="2" t="s">
        <v>2420</v>
      </c>
      <c r="G2523" s="2" t="s">
        <v>835</v>
      </c>
      <c r="H2523" s="17">
        <v>25</v>
      </c>
      <c r="I2523" s="31">
        <f t="shared" si="246"/>
        <v>25000</v>
      </c>
      <c r="J2523" s="31">
        <f t="shared" si="247"/>
        <v>1750.0000000000002</v>
      </c>
      <c r="K2523" s="44">
        <f t="shared" si="248"/>
        <v>4.794520547945206</v>
      </c>
      <c r="L2523" s="3">
        <f t="shared" si="249"/>
        <v>354.79452054794524</v>
      </c>
      <c r="M2523" s="3">
        <f t="shared" si="250"/>
        <v>21.287671232876715</v>
      </c>
      <c r="N2523" s="67">
        <f t="shared" si="251"/>
        <v>333.50684931506851</v>
      </c>
      <c r="O2523" s="3"/>
      <c r="P2523" s="70" t="s">
        <v>18613</v>
      </c>
      <c r="Q2523" s="2" t="s">
        <v>336</v>
      </c>
      <c r="R2523" s="2" t="s">
        <v>2421</v>
      </c>
      <c r="T2523" t="s">
        <v>18666</v>
      </c>
      <c r="U2523" t="s">
        <v>18652</v>
      </c>
      <c r="V2523" s="104">
        <v>45857</v>
      </c>
      <c r="X2523" s="97"/>
      <c r="Y2523" s="75">
        <v>333.51</v>
      </c>
    </row>
    <row r="2524" spans="1:25" x14ac:dyDescent="0.25">
      <c r="A2524" s="76">
        <v>2556</v>
      </c>
      <c r="B2524" s="2" t="s">
        <v>15421</v>
      </c>
      <c r="C2524" s="2" t="s">
        <v>15422</v>
      </c>
      <c r="D2524" s="2" t="s">
        <v>15423</v>
      </c>
      <c r="E2524" s="2" t="s">
        <v>15424</v>
      </c>
      <c r="F2524" s="2" t="s">
        <v>15425</v>
      </c>
      <c r="G2524" s="2" t="s">
        <v>31</v>
      </c>
      <c r="H2524" s="17">
        <v>1020</v>
      </c>
      <c r="I2524" s="31">
        <f t="shared" si="246"/>
        <v>1020000</v>
      </c>
      <c r="J2524" s="31">
        <f t="shared" si="247"/>
        <v>71400</v>
      </c>
      <c r="K2524" s="44">
        <f t="shared" si="248"/>
        <v>195.61643835616439</v>
      </c>
      <c r="L2524" s="3">
        <f t="shared" si="249"/>
        <v>14475.616438356165</v>
      </c>
      <c r="M2524" s="3">
        <f t="shared" si="250"/>
        <v>868.53698630136989</v>
      </c>
      <c r="N2524" s="67">
        <f t="shared" si="251"/>
        <v>13607.079452054795</v>
      </c>
      <c r="O2524" s="3"/>
      <c r="P2524" s="70" t="s">
        <v>18613</v>
      </c>
      <c r="Q2524" s="2" t="s">
        <v>336</v>
      </c>
      <c r="R2524" s="2" t="s">
        <v>15426</v>
      </c>
      <c r="T2524" t="s">
        <v>18666</v>
      </c>
      <c r="U2524" t="s">
        <v>18652</v>
      </c>
      <c r="V2524" s="104">
        <v>45857</v>
      </c>
      <c r="X2524" s="97"/>
      <c r="Y2524" s="75">
        <v>13607.08</v>
      </c>
    </row>
    <row r="2525" spans="1:25" x14ac:dyDescent="0.25">
      <c r="A2525" s="76">
        <v>2557</v>
      </c>
      <c r="B2525" s="2" t="s">
        <v>4595</v>
      </c>
      <c r="C2525" s="2" t="s">
        <v>4596</v>
      </c>
      <c r="D2525" s="2" t="s">
        <v>4341</v>
      </c>
      <c r="E2525" s="2" t="s">
        <v>4597</v>
      </c>
      <c r="F2525" s="2" t="s">
        <v>4598</v>
      </c>
      <c r="G2525" s="2" t="s">
        <v>31</v>
      </c>
      <c r="H2525" s="17">
        <v>25</v>
      </c>
      <c r="I2525" s="31">
        <f t="shared" si="246"/>
        <v>25000</v>
      </c>
      <c r="J2525" s="31">
        <f t="shared" si="247"/>
        <v>1750.0000000000002</v>
      </c>
      <c r="K2525" s="44">
        <f t="shared" si="248"/>
        <v>4.794520547945206</v>
      </c>
      <c r="L2525" s="3">
        <f t="shared" si="249"/>
        <v>354.79452054794524</v>
      </c>
      <c r="M2525" s="3">
        <f t="shared" si="250"/>
        <v>21.287671232876715</v>
      </c>
      <c r="N2525" s="67">
        <f t="shared" si="251"/>
        <v>333.50684931506851</v>
      </c>
      <c r="O2525" s="3"/>
      <c r="P2525" s="70" t="s">
        <v>18613</v>
      </c>
      <c r="Q2525" s="2" t="s">
        <v>336</v>
      </c>
      <c r="R2525" s="2" t="s">
        <v>4599</v>
      </c>
      <c r="T2525" t="s">
        <v>18666</v>
      </c>
      <c r="U2525" t="s">
        <v>18652</v>
      </c>
      <c r="V2525" s="104">
        <v>45857</v>
      </c>
      <c r="X2525" s="97"/>
      <c r="Y2525" s="75">
        <v>333.51</v>
      </c>
    </row>
    <row r="2526" spans="1:25" x14ac:dyDescent="0.25">
      <c r="A2526" s="76">
        <v>2558</v>
      </c>
      <c r="B2526" s="2" t="s">
        <v>14400</v>
      </c>
      <c r="C2526" s="2" t="s">
        <v>14401</v>
      </c>
      <c r="D2526" s="2" t="s">
        <v>14402</v>
      </c>
      <c r="E2526" s="2" t="s">
        <v>14403</v>
      </c>
      <c r="F2526" s="2" t="s">
        <v>14404</v>
      </c>
      <c r="G2526" s="2" t="s">
        <v>233</v>
      </c>
      <c r="H2526" s="17">
        <v>25</v>
      </c>
      <c r="I2526" s="31">
        <f t="shared" si="246"/>
        <v>25000</v>
      </c>
      <c r="J2526" s="31">
        <f t="shared" si="247"/>
        <v>1750.0000000000002</v>
      </c>
      <c r="K2526" s="44">
        <f t="shared" si="248"/>
        <v>4.794520547945206</v>
      </c>
      <c r="L2526" s="3">
        <f t="shared" si="249"/>
        <v>354.79452054794524</v>
      </c>
      <c r="M2526" s="3">
        <f t="shared" si="250"/>
        <v>21.287671232876715</v>
      </c>
      <c r="N2526" s="67">
        <f t="shared" si="251"/>
        <v>333.50684931506851</v>
      </c>
      <c r="O2526" s="3"/>
      <c r="P2526" s="70" t="s">
        <v>18613</v>
      </c>
      <c r="Q2526" s="2" t="s">
        <v>336</v>
      </c>
      <c r="R2526" s="2" t="s">
        <v>14405</v>
      </c>
      <c r="T2526" t="s">
        <v>18666</v>
      </c>
      <c r="U2526" t="s">
        <v>18652</v>
      </c>
      <c r="V2526" s="104">
        <v>45857</v>
      </c>
      <c r="X2526" s="97"/>
      <c r="Y2526" s="75">
        <v>333.51</v>
      </c>
    </row>
    <row r="2527" spans="1:25" x14ac:dyDescent="0.25">
      <c r="A2527" s="76">
        <v>2559</v>
      </c>
      <c r="B2527" s="2" t="s">
        <v>5842</v>
      </c>
      <c r="C2527" s="2" t="s">
        <v>5843</v>
      </c>
      <c r="D2527" s="2" t="s">
        <v>5844</v>
      </c>
      <c r="E2527" s="2" t="s">
        <v>5845</v>
      </c>
      <c r="F2527" s="2" t="s">
        <v>5846</v>
      </c>
      <c r="G2527" s="2" t="s">
        <v>31</v>
      </c>
      <c r="H2527" s="17">
        <v>100</v>
      </c>
      <c r="I2527" s="31">
        <f t="shared" si="246"/>
        <v>100000</v>
      </c>
      <c r="J2527" s="31">
        <f t="shared" si="247"/>
        <v>7000.0000000000009</v>
      </c>
      <c r="K2527" s="44">
        <f t="shared" si="248"/>
        <v>19.178082191780824</v>
      </c>
      <c r="L2527" s="3">
        <f t="shared" si="249"/>
        <v>1419.178082191781</v>
      </c>
      <c r="M2527" s="3">
        <f t="shared" si="250"/>
        <v>85.150684931506859</v>
      </c>
      <c r="N2527" s="67">
        <f t="shared" si="251"/>
        <v>1334.027397260274</v>
      </c>
      <c r="O2527" s="3"/>
      <c r="P2527" s="70" t="s">
        <v>18613</v>
      </c>
      <c r="Q2527" s="2" t="s">
        <v>336</v>
      </c>
      <c r="R2527" s="2" t="s">
        <v>5847</v>
      </c>
      <c r="T2527" t="s">
        <v>18666</v>
      </c>
      <c r="U2527" t="s">
        <v>18652</v>
      </c>
      <c r="V2527" s="104">
        <v>45857</v>
      </c>
      <c r="X2527" s="97"/>
      <c r="Y2527" s="75">
        <v>1334.03</v>
      </c>
    </row>
    <row r="2528" spans="1:25" x14ac:dyDescent="0.25">
      <c r="A2528" s="76">
        <v>2560</v>
      </c>
      <c r="B2528" s="2" t="s">
        <v>8852</v>
      </c>
      <c r="C2528" s="2" t="s">
        <v>8853</v>
      </c>
      <c r="D2528" s="2" t="s">
        <v>8854</v>
      </c>
      <c r="E2528" s="2" t="s">
        <v>8855</v>
      </c>
      <c r="F2528" s="2" t="s">
        <v>8856</v>
      </c>
      <c r="G2528" s="2" t="s">
        <v>31</v>
      </c>
      <c r="H2528" s="17">
        <v>600</v>
      </c>
      <c r="I2528" s="31">
        <f t="shared" si="246"/>
        <v>600000</v>
      </c>
      <c r="J2528" s="31">
        <f t="shared" si="247"/>
        <v>42000.000000000007</v>
      </c>
      <c r="K2528" s="44">
        <f t="shared" si="248"/>
        <v>115.06849315068496</v>
      </c>
      <c r="L2528" s="3">
        <f t="shared" si="249"/>
        <v>8515.0684931506876</v>
      </c>
      <c r="M2528" s="3">
        <f t="shared" si="250"/>
        <v>510.90410958904124</v>
      </c>
      <c r="N2528" s="67">
        <f t="shared" si="251"/>
        <v>8004.164383561646</v>
      </c>
      <c r="O2528" s="3"/>
      <c r="P2528" s="70" t="s">
        <v>18613</v>
      </c>
      <c r="Q2528" s="2" t="s">
        <v>336</v>
      </c>
      <c r="R2528" s="2" t="s">
        <v>8857</v>
      </c>
      <c r="T2528" t="s">
        <v>18666</v>
      </c>
      <c r="U2528" t="s">
        <v>18652</v>
      </c>
      <c r="V2528" s="104">
        <v>45857</v>
      </c>
      <c r="X2528" s="97"/>
      <c r="Y2528" s="75">
        <v>8004.17</v>
      </c>
    </row>
    <row r="2529" spans="1:25" x14ac:dyDescent="0.25">
      <c r="A2529" s="76">
        <v>2561</v>
      </c>
      <c r="B2529" s="2" t="s">
        <v>6130</v>
      </c>
      <c r="C2529" s="2" t="s">
        <v>6131</v>
      </c>
      <c r="D2529" s="2" t="s">
        <v>6132</v>
      </c>
      <c r="E2529" s="2" t="s">
        <v>6133</v>
      </c>
      <c r="F2529" s="2" t="s">
        <v>6134</v>
      </c>
      <c r="G2529" s="2" t="s">
        <v>23</v>
      </c>
      <c r="H2529" s="17">
        <v>25</v>
      </c>
      <c r="I2529" s="31">
        <f t="shared" si="246"/>
        <v>25000</v>
      </c>
      <c r="J2529" s="31">
        <f t="shared" si="247"/>
        <v>1750.0000000000002</v>
      </c>
      <c r="K2529" s="44">
        <f t="shared" si="248"/>
        <v>4.794520547945206</v>
      </c>
      <c r="L2529" s="3">
        <f t="shared" si="249"/>
        <v>354.79452054794524</v>
      </c>
      <c r="M2529" s="3">
        <f t="shared" si="250"/>
        <v>21.287671232876715</v>
      </c>
      <c r="N2529" s="67">
        <f t="shared" si="251"/>
        <v>333.50684931506851</v>
      </c>
      <c r="O2529" s="3"/>
      <c r="P2529" s="70" t="s">
        <v>18613</v>
      </c>
      <c r="Q2529" s="2" t="s">
        <v>336</v>
      </c>
      <c r="R2529" s="2" t="s">
        <v>6135</v>
      </c>
      <c r="T2529" t="s">
        <v>18666</v>
      </c>
      <c r="U2529" t="s">
        <v>18652</v>
      </c>
      <c r="V2529" s="104">
        <v>45857</v>
      </c>
      <c r="X2529" s="97"/>
      <c r="Y2529" s="75">
        <v>333.51</v>
      </c>
    </row>
    <row r="2530" spans="1:25" x14ac:dyDescent="0.25">
      <c r="A2530" s="76">
        <v>2562</v>
      </c>
      <c r="B2530" s="2" t="s">
        <v>764</v>
      </c>
      <c r="C2530" s="2" t="s">
        <v>765</v>
      </c>
      <c r="D2530" s="2" t="s">
        <v>766</v>
      </c>
      <c r="E2530" s="2" t="s">
        <v>767</v>
      </c>
      <c r="F2530" s="2" t="s">
        <v>768</v>
      </c>
      <c r="G2530" s="2" t="s">
        <v>412</v>
      </c>
      <c r="H2530" s="17">
        <v>35</v>
      </c>
      <c r="I2530" s="31">
        <f t="shared" si="246"/>
        <v>35000</v>
      </c>
      <c r="J2530" s="31">
        <f t="shared" si="247"/>
        <v>2450.0000000000005</v>
      </c>
      <c r="K2530" s="44">
        <f t="shared" si="248"/>
        <v>6.7123287671232887</v>
      </c>
      <c r="L2530" s="3">
        <f t="shared" si="249"/>
        <v>496.71232876712338</v>
      </c>
      <c r="M2530" s="3">
        <f t="shared" si="250"/>
        <v>29.802739726027401</v>
      </c>
      <c r="N2530" s="67">
        <f t="shared" si="251"/>
        <v>466.90958904109596</v>
      </c>
      <c r="O2530" s="3"/>
      <c r="P2530" s="70" t="s">
        <v>18613</v>
      </c>
      <c r="Q2530" s="2" t="s">
        <v>336</v>
      </c>
      <c r="R2530" s="2" t="s">
        <v>769</v>
      </c>
      <c r="T2530" t="s">
        <v>18666</v>
      </c>
      <c r="U2530" t="s">
        <v>18652</v>
      </c>
      <c r="V2530" s="104">
        <v>45857</v>
      </c>
      <c r="X2530" s="97"/>
      <c r="Y2530" s="75">
        <v>466.90999999999997</v>
      </c>
    </row>
    <row r="2531" spans="1:25" x14ac:dyDescent="0.25">
      <c r="A2531" s="76">
        <v>2563</v>
      </c>
      <c r="B2531" s="2" t="s">
        <v>16547</v>
      </c>
      <c r="C2531" s="2" t="s">
        <v>16548</v>
      </c>
      <c r="D2531" s="2" t="s">
        <v>16542</v>
      </c>
      <c r="E2531" s="2" t="s">
        <v>16549</v>
      </c>
      <c r="F2531" s="2" t="s">
        <v>16550</v>
      </c>
      <c r="G2531" s="2" t="s">
        <v>31</v>
      </c>
      <c r="H2531" s="17">
        <v>100</v>
      </c>
      <c r="I2531" s="31">
        <f t="shared" si="246"/>
        <v>100000</v>
      </c>
      <c r="J2531" s="31">
        <f t="shared" si="247"/>
        <v>7000.0000000000009</v>
      </c>
      <c r="K2531" s="44">
        <f t="shared" si="248"/>
        <v>19.178082191780824</v>
      </c>
      <c r="L2531" s="3">
        <f t="shared" si="249"/>
        <v>1419.178082191781</v>
      </c>
      <c r="M2531" s="3">
        <f t="shared" si="250"/>
        <v>85.150684931506859</v>
      </c>
      <c r="N2531" s="67">
        <f t="shared" si="251"/>
        <v>1334.027397260274</v>
      </c>
      <c r="O2531" s="3"/>
      <c r="P2531" s="70" t="s">
        <v>18613</v>
      </c>
      <c r="Q2531" s="2" t="s">
        <v>336</v>
      </c>
      <c r="R2531" s="2" t="s">
        <v>16551</v>
      </c>
      <c r="T2531" t="s">
        <v>18666</v>
      </c>
      <c r="U2531" t="s">
        <v>18652</v>
      </c>
      <c r="V2531" s="104">
        <v>45857</v>
      </c>
      <c r="X2531" s="97"/>
      <c r="Y2531" s="75">
        <v>1334.03</v>
      </c>
    </row>
    <row r="2532" spans="1:25" x14ac:dyDescent="0.25">
      <c r="A2532" s="76">
        <v>2564</v>
      </c>
      <c r="B2532" s="2" t="s">
        <v>2279</v>
      </c>
      <c r="C2532" s="2" t="s">
        <v>2280</v>
      </c>
      <c r="D2532" s="2" t="s">
        <v>2281</v>
      </c>
      <c r="E2532" s="2" t="s">
        <v>2282</v>
      </c>
      <c r="F2532" s="2" t="s">
        <v>2283</v>
      </c>
      <c r="G2532" s="2" t="s">
        <v>39</v>
      </c>
      <c r="H2532" s="17">
        <v>100</v>
      </c>
      <c r="I2532" s="31">
        <f t="shared" si="246"/>
        <v>100000</v>
      </c>
      <c r="J2532" s="31">
        <f t="shared" si="247"/>
        <v>7000.0000000000009</v>
      </c>
      <c r="K2532" s="44">
        <f t="shared" si="248"/>
        <v>19.178082191780824</v>
      </c>
      <c r="L2532" s="3">
        <f t="shared" si="249"/>
        <v>1419.178082191781</v>
      </c>
      <c r="M2532" s="3">
        <f t="shared" si="250"/>
        <v>85.150684931506859</v>
      </c>
      <c r="N2532" s="67">
        <f t="shared" si="251"/>
        <v>1334.027397260274</v>
      </c>
      <c r="O2532" s="3"/>
      <c r="P2532" s="70" t="s">
        <v>18613</v>
      </c>
      <c r="Q2532" s="2" t="s">
        <v>336</v>
      </c>
      <c r="R2532" s="2" t="s">
        <v>2284</v>
      </c>
      <c r="T2532" t="s">
        <v>18666</v>
      </c>
      <c r="U2532" t="s">
        <v>18652</v>
      </c>
      <c r="V2532" s="104">
        <v>45857</v>
      </c>
      <c r="X2532" s="97"/>
      <c r="Y2532" s="75">
        <v>1334.03</v>
      </c>
    </row>
    <row r="2533" spans="1:25" x14ac:dyDescent="0.25">
      <c r="A2533" s="76">
        <v>2565</v>
      </c>
      <c r="B2533" s="2" t="s">
        <v>5814</v>
      </c>
      <c r="C2533" s="2" t="s">
        <v>5815</v>
      </c>
      <c r="D2533" s="2" t="s">
        <v>5816</v>
      </c>
      <c r="E2533" s="2" t="s">
        <v>5817</v>
      </c>
      <c r="F2533" s="2" t="s">
        <v>5818</v>
      </c>
      <c r="G2533" s="2" t="s">
        <v>524</v>
      </c>
      <c r="H2533" s="17">
        <v>100</v>
      </c>
      <c r="I2533" s="31">
        <f t="shared" si="246"/>
        <v>100000</v>
      </c>
      <c r="J2533" s="31">
        <f t="shared" si="247"/>
        <v>7000.0000000000009</v>
      </c>
      <c r="K2533" s="44">
        <f t="shared" si="248"/>
        <v>19.178082191780824</v>
      </c>
      <c r="L2533" s="3">
        <f t="shared" si="249"/>
        <v>1419.178082191781</v>
      </c>
      <c r="M2533" s="3">
        <f t="shared" si="250"/>
        <v>85.150684931506859</v>
      </c>
      <c r="N2533" s="67">
        <f t="shared" si="251"/>
        <v>1334.027397260274</v>
      </c>
      <c r="O2533" s="3"/>
      <c r="P2533" s="70" t="s">
        <v>18613</v>
      </c>
      <c r="Q2533" s="2" t="s">
        <v>336</v>
      </c>
      <c r="R2533" s="2" t="s">
        <v>5819</v>
      </c>
      <c r="T2533" t="s">
        <v>18666</v>
      </c>
      <c r="U2533" t="s">
        <v>18652</v>
      </c>
      <c r="V2533" s="104">
        <v>45857</v>
      </c>
      <c r="X2533" s="97"/>
      <c r="Y2533" s="75">
        <v>1334.03</v>
      </c>
    </row>
    <row r="2534" spans="1:25" x14ac:dyDescent="0.25">
      <c r="A2534" s="76">
        <v>2566</v>
      </c>
      <c r="B2534" s="2" t="s">
        <v>11500</v>
      </c>
      <c r="C2534" s="2" t="s">
        <v>11501</v>
      </c>
      <c r="D2534" s="2" t="s">
        <v>11502</v>
      </c>
      <c r="E2534" s="2" t="s">
        <v>11503</v>
      </c>
      <c r="F2534" s="2" t="s">
        <v>11504</v>
      </c>
      <c r="G2534" s="2" t="s">
        <v>23</v>
      </c>
      <c r="H2534" s="17">
        <v>50</v>
      </c>
      <c r="I2534" s="31">
        <f t="shared" si="246"/>
        <v>50000</v>
      </c>
      <c r="J2534" s="31">
        <f t="shared" si="247"/>
        <v>3500.0000000000005</v>
      </c>
      <c r="K2534" s="44">
        <f t="shared" si="248"/>
        <v>9.589041095890412</v>
      </c>
      <c r="L2534" s="3">
        <f t="shared" si="249"/>
        <v>709.58904109589048</v>
      </c>
      <c r="M2534" s="3">
        <f t="shared" si="250"/>
        <v>42.57534246575343</v>
      </c>
      <c r="N2534" s="67">
        <f t="shared" si="251"/>
        <v>667.01369863013701</v>
      </c>
      <c r="O2534" s="3"/>
      <c r="P2534" s="70" t="s">
        <v>18613</v>
      </c>
      <c r="Q2534" s="2" t="s">
        <v>336</v>
      </c>
      <c r="R2534" s="2" t="s">
        <v>11505</v>
      </c>
      <c r="T2534" t="s">
        <v>18666</v>
      </c>
      <c r="U2534" t="s">
        <v>18652</v>
      </c>
      <c r="V2534" s="104">
        <v>45857</v>
      </c>
      <c r="X2534" s="97"/>
      <c r="Y2534" s="75">
        <v>667.02</v>
      </c>
    </row>
    <row r="2535" spans="1:25" x14ac:dyDescent="0.25">
      <c r="A2535" s="76">
        <v>2567</v>
      </c>
      <c r="B2535" s="2" t="s">
        <v>17300</v>
      </c>
      <c r="C2535" s="2" t="s">
        <v>17301</v>
      </c>
      <c r="D2535" s="2" t="s">
        <v>17302</v>
      </c>
      <c r="E2535" s="2" t="s">
        <v>17303</v>
      </c>
      <c r="F2535" s="2" t="s">
        <v>17304</v>
      </c>
      <c r="G2535" s="2" t="s">
        <v>31</v>
      </c>
      <c r="H2535" s="17">
        <v>25</v>
      </c>
      <c r="I2535" s="31">
        <f t="shared" si="246"/>
        <v>25000</v>
      </c>
      <c r="J2535" s="31">
        <f t="shared" si="247"/>
        <v>1750.0000000000002</v>
      </c>
      <c r="K2535" s="44">
        <f t="shared" si="248"/>
        <v>4.794520547945206</v>
      </c>
      <c r="L2535" s="3">
        <f t="shared" si="249"/>
        <v>354.79452054794524</v>
      </c>
      <c r="M2535" s="3">
        <f t="shared" si="250"/>
        <v>21.287671232876715</v>
      </c>
      <c r="N2535" s="67">
        <f t="shared" si="251"/>
        <v>333.50684931506851</v>
      </c>
      <c r="O2535" s="3"/>
      <c r="P2535" s="70" t="s">
        <v>18613</v>
      </c>
      <c r="Q2535" s="2" t="s">
        <v>336</v>
      </c>
      <c r="R2535" s="2" t="s">
        <v>17305</v>
      </c>
      <c r="T2535" t="s">
        <v>18666</v>
      </c>
      <c r="U2535" t="s">
        <v>18652</v>
      </c>
      <c r="V2535" s="104">
        <v>45857</v>
      </c>
      <c r="X2535" s="97"/>
      <c r="Y2535" s="75">
        <v>333.51</v>
      </c>
    </row>
    <row r="2536" spans="1:25" x14ac:dyDescent="0.25">
      <c r="A2536" s="76">
        <v>2568</v>
      </c>
      <c r="B2536" s="2" t="s">
        <v>5368</v>
      </c>
      <c r="C2536" s="2" t="s">
        <v>5369</v>
      </c>
      <c r="D2536" s="2" t="s">
        <v>5370</v>
      </c>
      <c r="E2536" s="2" t="s">
        <v>5371</v>
      </c>
      <c r="F2536" s="2" t="s">
        <v>5372</v>
      </c>
      <c r="G2536" s="2" t="s">
        <v>1017</v>
      </c>
      <c r="H2536" s="17">
        <v>25</v>
      </c>
      <c r="I2536" s="31">
        <f t="shared" si="246"/>
        <v>25000</v>
      </c>
      <c r="J2536" s="31">
        <f t="shared" si="247"/>
        <v>1750.0000000000002</v>
      </c>
      <c r="K2536" s="44">
        <f t="shared" si="248"/>
        <v>4.794520547945206</v>
      </c>
      <c r="L2536" s="3">
        <f t="shared" si="249"/>
        <v>354.79452054794524</v>
      </c>
      <c r="M2536" s="3">
        <f t="shared" si="250"/>
        <v>21.287671232876715</v>
      </c>
      <c r="N2536" s="67">
        <f t="shared" si="251"/>
        <v>333.50684931506851</v>
      </c>
      <c r="O2536" s="3"/>
      <c r="P2536" s="70" t="s">
        <v>18613</v>
      </c>
      <c r="Q2536" s="2" t="s">
        <v>336</v>
      </c>
      <c r="R2536" s="2" t="s">
        <v>5373</v>
      </c>
      <c r="T2536" t="s">
        <v>18666</v>
      </c>
      <c r="U2536" t="s">
        <v>18652</v>
      </c>
      <c r="V2536" s="104">
        <v>45857</v>
      </c>
      <c r="X2536" s="97"/>
      <c r="Y2536" s="75">
        <v>333.51</v>
      </c>
    </row>
    <row r="2537" spans="1:25" x14ac:dyDescent="0.25">
      <c r="A2537" s="76">
        <v>2569</v>
      </c>
      <c r="B2537" s="2" t="s">
        <v>6177</v>
      </c>
      <c r="C2537" s="2" t="s">
        <v>6178</v>
      </c>
      <c r="D2537" s="2" t="s">
        <v>6179</v>
      </c>
      <c r="E2537" s="2" t="s">
        <v>6180</v>
      </c>
      <c r="F2537" s="2" t="s">
        <v>6181</v>
      </c>
      <c r="G2537" s="2" t="s">
        <v>412</v>
      </c>
      <c r="H2537" s="17">
        <v>1000</v>
      </c>
      <c r="I2537" s="31">
        <f t="shared" si="246"/>
        <v>1000000</v>
      </c>
      <c r="J2537" s="31">
        <f t="shared" si="247"/>
        <v>70000</v>
      </c>
      <c r="K2537" s="44">
        <f t="shared" si="248"/>
        <v>191.78082191780823</v>
      </c>
      <c r="L2537" s="3">
        <f t="shared" si="249"/>
        <v>14191.780821917808</v>
      </c>
      <c r="M2537" s="3">
        <f t="shared" si="250"/>
        <v>851.50684931506839</v>
      </c>
      <c r="N2537" s="67">
        <f t="shared" si="251"/>
        <v>13340.273972602739</v>
      </c>
      <c r="O2537" s="3"/>
      <c r="P2537" s="70" t="s">
        <v>18613</v>
      </c>
      <c r="Q2537" s="2" t="s">
        <v>336</v>
      </c>
      <c r="R2537" s="2" t="s">
        <v>6182</v>
      </c>
      <c r="T2537" t="s">
        <v>18666</v>
      </c>
      <c r="U2537" t="s">
        <v>18652</v>
      </c>
      <c r="V2537" s="104">
        <v>45857</v>
      </c>
      <c r="X2537" s="97"/>
      <c r="Y2537" s="75">
        <v>13340.28</v>
      </c>
    </row>
    <row r="2538" spans="1:25" x14ac:dyDescent="0.25">
      <c r="A2538" s="76">
        <v>2570</v>
      </c>
      <c r="B2538" s="2" t="s">
        <v>11997</v>
      </c>
      <c r="C2538" s="2" t="s">
        <v>11998</v>
      </c>
      <c r="D2538" s="2" t="s">
        <v>11999</v>
      </c>
      <c r="E2538" s="2" t="s">
        <v>12000</v>
      </c>
      <c r="F2538" s="2" t="s">
        <v>12001</v>
      </c>
      <c r="G2538" s="2" t="s">
        <v>750</v>
      </c>
      <c r="H2538" s="17">
        <v>25</v>
      </c>
      <c r="I2538" s="31">
        <f t="shared" si="246"/>
        <v>25000</v>
      </c>
      <c r="J2538" s="31">
        <f t="shared" si="247"/>
        <v>1750.0000000000002</v>
      </c>
      <c r="K2538" s="44">
        <f t="shared" si="248"/>
        <v>4.794520547945206</v>
      </c>
      <c r="L2538" s="3">
        <f t="shared" si="249"/>
        <v>354.79452054794524</v>
      </c>
      <c r="M2538" s="3">
        <f t="shared" si="250"/>
        <v>21.287671232876715</v>
      </c>
      <c r="N2538" s="67">
        <f t="shared" si="251"/>
        <v>333.50684931506851</v>
      </c>
      <c r="O2538" s="3"/>
      <c r="P2538" s="70" t="s">
        <v>18613</v>
      </c>
      <c r="Q2538" s="2" t="s">
        <v>336</v>
      </c>
      <c r="R2538" s="2" t="s">
        <v>12002</v>
      </c>
      <c r="T2538" t="s">
        <v>18666</v>
      </c>
      <c r="U2538" t="s">
        <v>18652</v>
      </c>
      <c r="V2538" s="104">
        <v>45857</v>
      </c>
      <c r="X2538" s="97"/>
      <c r="Y2538" s="75">
        <v>333.51</v>
      </c>
    </row>
    <row r="2539" spans="1:25" x14ac:dyDescent="0.25">
      <c r="A2539" s="76">
        <v>2571</v>
      </c>
      <c r="B2539" s="2" t="s">
        <v>2351</v>
      </c>
      <c r="C2539" s="2" t="s">
        <v>2352</v>
      </c>
      <c r="D2539" s="2" t="s">
        <v>2353</v>
      </c>
      <c r="E2539" s="2" t="s">
        <v>2354</v>
      </c>
      <c r="F2539" s="2" t="s">
        <v>2355</v>
      </c>
      <c r="G2539" s="2" t="s">
        <v>233</v>
      </c>
      <c r="H2539" s="17">
        <v>100</v>
      </c>
      <c r="I2539" s="31">
        <f t="shared" si="246"/>
        <v>100000</v>
      </c>
      <c r="J2539" s="31">
        <f t="shared" si="247"/>
        <v>7000.0000000000009</v>
      </c>
      <c r="K2539" s="44">
        <f t="shared" si="248"/>
        <v>19.178082191780824</v>
      </c>
      <c r="L2539" s="3">
        <f t="shared" si="249"/>
        <v>1419.178082191781</v>
      </c>
      <c r="M2539" s="3">
        <f t="shared" si="250"/>
        <v>85.150684931506859</v>
      </c>
      <c r="N2539" s="67">
        <f t="shared" si="251"/>
        <v>1334.027397260274</v>
      </c>
      <c r="O2539" s="3"/>
      <c r="P2539" s="70" t="s">
        <v>18613</v>
      </c>
      <c r="Q2539" s="2" t="s">
        <v>336</v>
      </c>
      <c r="R2539" s="2" t="s">
        <v>2356</v>
      </c>
      <c r="T2539" t="s">
        <v>18666</v>
      </c>
      <c r="U2539" t="s">
        <v>18652</v>
      </c>
      <c r="V2539" s="104">
        <v>45857</v>
      </c>
      <c r="X2539" s="97"/>
      <c r="Y2539" s="75">
        <v>1334.03</v>
      </c>
    </row>
    <row r="2540" spans="1:25" x14ac:dyDescent="0.25">
      <c r="A2540" s="76">
        <v>2572</v>
      </c>
      <c r="B2540" s="2" t="s">
        <v>6555</v>
      </c>
      <c r="C2540" s="2" t="s">
        <v>6556</v>
      </c>
      <c r="D2540" s="2" t="s">
        <v>6557</v>
      </c>
      <c r="E2540" s="2" t="s">
        <v>6558</v>
      </c>
      <c r="F2540" s="2" t="s">
        <v>6559</v>
      </c>
      <c r="G2540" s="2" t="s">
        <v>1048</v>
      </c>
      <c r="H2540" s="17">
        <v>100</v>
      </c>
      <c r="I2540" s="31">
        <f t="shared" si="246"/>
        <v>100000</v>
      </c>
      <c r="J2540" s="31">
        <f t="shared" si="247"/>
        <v>7000.0000000000009</v>
      </c>
      <c r="K2540" s="44">
        <f t="shared" si="248"/>
        <v>19.178082191780824</v>
      </c>
      <c r="L2540" s="3">
        <f t="shared" si="249"/>
        <v>1419.178082191781</v>
      </c>
      <c r="M2540" s="3">
        <f t="shared" si="250"/>
        <v>85.150684931506859</v>
      </c>
      <c r="N2540" s="67">
        <f t="shared" si="251"/>
        <v>1334.027397260274</v>
      </c>
      <c r="O2540" s="3"/>
      <c r="P2540" s="70" t="s">
        <v>18613</v>
      </c>
      <c r="Q2540" s="2" t="s">
        <v>336</v>
      </c>
      <c r="R2540" s="2" t="s">
        <v>6560</v>
      </c>
      <c r="T2540" t="s">
        <v>18666</v>
      </c>
      <c r="U2540" t="s">
        <v>18652</v>
      </c>
      <c r="V2540" s="104">
        <v>45857</v>
      </c>
      <c r="X2540" s="97"/>
      <c r="Y2540" s="75">
        <v>1334.03</v>
      </c>
    </row>
    <row r="2541" spans="1:25" x14ac:dyDescent="0.25">
      <c r="A2541" s="76">
        <v>2573</v>
      </c>
      <c r="B2541" s="2" t="s">
        <v>15936</v>
      </c>
      <c r="C2541" s="2" t="s">
        <v>15937</v>
      </c>
      <c r="D2541" s="2" t="s">
        <v>15938</v>
      </c>
      <c r="E2541" s="2" t="s">
        <v>15939</v>
      </c>
      <c r="F2541" s="2" t="s">
        <v>15940</v>
      </c>
      <c r="G2541" s="2" t="s">
        <v>599</v>
      </c>
      <c r="H2541" s="17">
        <v>50</v>
      </c>
      <c r="I2541" s="31">
        <f t="shared" si="246"/>
        <v>50000</v>
      </c>
      <c r="J2541" s="31">
        <f t="shared" si="247"/>
        <v>3500.0000000000005</v>
      </c>
      <c r="K2541" s="44">
        <f t="shared" si="248"/>
        <v>9.589041095890412</v>
      </c>
      <c r="L2541" s="3">
        <f t="shared" si="249"/>
        <v>709.58904109589048</v>
      </c>
      <c r="M2541" s="3">
        <f t="shared" si="250"/>
        <v>42.57534246575343</v>
      </c>
      <c r="N2541" s="67">
        <f t="shared" si="251"/>
        <v>667.01369863013701</v>
      </c>
      <c r="O2541" s="3"/>
      <c r="P2541" s="70" t="s">
        <v>18613</v>
      </c>
      <c r="Q2541" s="2" t="s">
        <v>336</v>
      </c>
      <c r="R2541" s="2" t="s">
        <v>15941</v>
      </c>
      <c r="T2541" t="s">
        <v>18666</v>
      </c>
      <c r="U2541" t="s">
        <v>18652</v>
      </c>
      <c r="V2541" s="104">
        <v>45857</v>
      </c>
      <c r="X2541" s="97"/>
      <c r="Y2541" s="75">
        <v>667.02</v>
      </c>
    </row>
    <row r="2542" spans="1:25" x14ac:dyDescent="0.25">
      <c r="A2542" s="76">
        <v>2574</v>
      </c>
      <c r="B2542" s="2" t="s">
        <v>14900</v>
      </c>
      <c r="C2542" s="2" t="s">
        <v>14901</v>
      </c>
      <c r="D2542" s="2" t="s">
        <v>14902</v>
      </c>
      <c r="E2542" s="2" t="s">
        <v>14903</v>
      </c>
      <c r="F2542" s="2" t="s">
        <v>14904</v>
      </c>
      <c r="G2542" s="2" t="s">
        <v>31</v>
      </c>
      <c r="H2542" s="17">
        <v>50</v>
      </c>
      <c r="I2542" s="31">
        <f t="shared" si="246"/>
        <v>50000</v>
      </c>
      <c r="J2542" s="31">
        <f t="shared" si="247"/>
        <v>3500.0000000000005</v>
      </c>
      <c r="K2542" s="44">
        <f t="shared" si="248"/>
        <v>9.589041095890412</v>
      </c>
      <c r="L2542" s="3">
        <f t="shared" si="249"/>
        <v>709.58904109589048</v>
      </c>
      <c r="M2542" s="3">
        <f t="shared" si="250"/>
        <v>42.57534246575343</v>
      </c>
      <c r="N2542" s="67">
        <f t="shared" si="251"/>
        <v>667.01369863013701</v>
      </c>
      <c r="O2542" s="3"/>
      <c r="P2542" s="70" t="s">
        <v>18613</v>
      </c>
      <c r="Q2542" s="2" t="s">
        <v>336</v>
      </c>
      <c r="R2542" s="2" t="s">
        <v>14905</v>
      </c>
      <c r="T2542" t="s">
        <v>18666</v>
      </c>
      <c r="U2542" t="s">
        <v>18652</v>
      </c>
      <c r="V2542" s="104">
        <v>45857</v>
      </c>
      <c r="X2542" s="97"/>
      <c r="Y2542" s="75">
        <v>667.02</v>
      </c>
    </row>
    <row r="2543" spans="1:25" x14ac:dyDescent="0.25">
      <c r="A2543" s="76">
        <v>2575</v>
      </c>
      <c r="B2543" s="2" t="s">
        <v>17581</v>
      </c>
      <c r="C2543" s="2" t="s">
        <v>17582</v>
      </c>
      <c r="D2543" s="2" t="s">
        <v>17583</v>
      </c>
      <c r="E2543" s="2" t="s">
        <v>17584</v>
      </c>
      <c r="F2543" s="2" t="s">
        <v>17585</v>
      </c>
      <c r="G2543" s="2" t="s">
        <v>296</v>
      </c>
      <c r="H2543" s="17">
        <v>25</v>
      </c>
      <c r="I2543" s="31">
        <f t="shared" si="246"/>
        <v>25000</v>
      </c>
      <c r="J2543" s="31">
        <f t="shared" si="247"/>
        <v>1750.0000000000002</v>
      </c>
      <c r="K2543" s="44">
        <f t="shared" si="248"/>
        <v>4.794520547945206</v>
      </c>
      <c r="L2543" s="3">
        <f t="shared" si="249"/>
        <v>354.79452054794524</v>
      </c>
      <c r="M2543" s="3">
        <f t="shared" si="250"/>
        <v>21.287671232876715</v>
      </c>
      <c r="N2543" s="67">
        <f t="shared" si="251"/>
        <v>333.50684931506851</v>
      </c>
      <c r="O2543" s="3"/>
      <c r="P2543" s="70" t="s">
        <v>18613</v>
      </c>
      <c r="Q2543" s="2" t="s">
        <v>336</v>
      </c>
      <c r="R2543" s="2" t="s">
        <v>17586</v>
      </c>
      <c r="T2543" t="s">
        <v>18666</v>
      </c>
      <c r="U2543" t="s">
        <v>18652</v>
      </c>
      <c r="V2543" s="104">
        <v>45857</v>
      </c>
      <c r="X2543" s="97"/>
      <c r="Y2543" s="75">
        <v>333.51</v>
      </c>
    </row>
    <row r="2544" spans="1:25" x14ac:dyDescent="0.25">
      <c r="A2544" s="76">
        <v>2576</v>
      </c>
      <c r="B2544" s="2" t="s">
        <v>6472</v>
      </c>
      <c r="C2544" s="2" t="s">
        <v>6473</v>
      </c>
      <c r="D2544" s="2" t="s">
        <v>6474</v>
      </c>
      <c r="E2544" s="2" t="s">
        <v>6475</v>
      </c>
      <c r="F2544" s="2" t="s">
        <v>6476</v>
      </c>
      <c r="G2544" s="2" t="s">
        <v>296</v>
      </c>
      <c r="H2544" s="17">
        <v>25</v>
      </c>
      <c r="I2544" s="31">
        <f t="shared" si="246"/>
        <v>25000</v>
      </c>
      <c r="J2544" s="31">
        <f t="shared" si="247"/>
        <v>1750.0000000000002</v>
      </c>
      <c r="K2544" s="44">
        <f t="shared" si="248"/>
        <v>4.794520547945206</v>
      </c>
      <c r="L2544" s="3">
        <f t="shared" si="249"/>
        <v>354.79452054794524</v>
      </c>
      <c r="M2544" s="3">
        <f t="shared" si="250"/>
        <v>21.287671232876715</v>
      </c>
      <c r="N2544" s="67">
        <f t="shared" si="251"/>
        <v>333.50684931506851</v>
      </c>
      <c r="O2544" s="3"/>
      <c r="P2544" s="70" t="s">
        <v>18613</v>
      </c>
      <c r="Q2544" s="2" t="s">
        <v>336</v>
      </c>
      <c r="R2544" s="2" t="s">
        <v>6477</v>
      </c>
      <c r="T2544" t="s">
        <v>18666</v>
      </c>
      <c r="U2544" t="s">
        <v>18652</v>
      </c>
      <c r="V2544" s="104">
        <v>45857</v>
      </c>
      <c r="X2544" s="97"/>
      <c r="Y2544" s="75">
        <v>333.51</v>
      </c>
    </row>
    <row r="2545" spans="1:25" x14ac:dyDescent="0.25">
      <c r="A2545" s="76">
        <v>2577</v>
      </c>
      <c r="B2545" s="2" t="s">
        <v>1125</v>
      </c>
      <c r="C2545" s="2" t="s">
        <v>1126</v>
      </c>
      <c r="D2545" s="2" t="s">
        <v>1127</v>
      </c>
      <c r="E2545" s="2" t="s">
        <v>1128</v>
      </c>
      <c r="F2545" s="2" t="s">
        <v>1129</v>
      </c>
      <c r="G2545" s="2" t="s">
        <v>39</v>
      </c>
      <c r="H2545" s="17">
        <v>25</v>
      </c>
      <c r="I2545" s="31">
        <f t="shared" si="246"/>
        <v>25000</v>
      </c>
      <c r="J2545" s="31">
        <f t="shared" si="247"/>
        <v>1750.0000000000002</v>
      </c>
      <c r="K2545" s="44">
        <f t="shared" si="248"/>
        <v>4.794520547945206</v>
      </c>
      <c r="L2545" s="3">
        <f t="shared" si="249"/>
        <v>354.79452054794524</v>
      </c>
      <c r="M2545" s="3">
        <f t="shared" si="250"/>
        <v>21.287671232876715</v>
      </c>
      <c r="N2545" s="67">
        <f t="shared" si="251"/>
        <v>333.50684931506851</v>
      </c>
      <c r="O2545" s="3"/>
      <c r="P2545" s="70" t="s">
        <v>18613</v>
      </c>
      <c r="Q2545" s="2" t="s">
        <v>336</v>
      </c>
      <c r="R2545" s="2" t="s">
        <v>1130</v>
      </c>
      <c r="T2545" t="s">
        <v>18666</v>
      </c>
      <c r="U2545" t="s">
        <v>18652</v>
      </c>
      <c r="V2545" s="104">
        <v>45857</v>
      </c>
      <c r="X2545" s="97"/>
      <c r="Y2545" s="75">
        <v>333.51</v>
      </c>
    </row>
    <row r="2546" spans="1:25" x14ac:dyDescent="0.25">
      <c r="A2546" s="76">
        <v>2578</v>
      </c>
      <c r="B2546" s="2" t="s">
        <v>9416</v>
      </c>
      <c r="C2546" s="2" t="s">
        <v>9417</v>
      </c>
      <c r="D2546" s="2" t="s">
        <v>9418</v>
      </c>
      <c r="E2546" s="2" t="s">
        <v>9419</v>
      </c>
      <c r="F2546" s="2" t="s">
        <v>9420</v>
      </c>
      <c r="G2546" s="2" t="s">
        <v>247</v>
      </c>
      <c r="H2546" s="17">
        <v>25</v>
      </c>
      <c r="I2546" s="31">
        <f t="shared" si="246"/>
        <v>25000</v>
      </c>
      <c r="J2546" s="31">
        <f t="shared" si="247"/>
        <v>1750.0000000000002</v>
      </c>
      <c r="K2546" s="44">
        <f t="shared" si="248"/>
        <v>4.794520547945206</v>
      </c>
      <c r="L2546" s="3">
        <f t="shared" si="249"/>
        <v>354.79452054794524</v>
      </c>
      <c r="M2546" s="3">
        <f t="shared" si="250"/>
        <v>21.287671232876715</v>
      </c>
      <c r="N2546" s="67">
        <f t="shared" si="251"/>
        <v>333.50684931506851</v>
      </c>
      <c r="O2546" s="3"/>
      <c r="P2546" s="70" t="s">
        <v>18613</v>
      </c>
      <c r="Q2546" s="2" t="s">
        <v>336</v>
      </c>
      <c r="R2546" s="2" t="s">
        <v>9421</v>
      </c>
      <c r="T2546" t="s">
        <v>18666</v>
      </c>
      <c r="U2546" t="s">
        <v>18652</v>
      </c>
      <c r="V2546" s="104">
        <v>45857</v>
      </c>
      <c r="X2546" s="97"/>
      <c r="Y2546" s="75">
        <v>333.51</v>
      </c>
    </row>
    <row r="2547" spans="1:25" x14ac:dyDescent="0.25">
      <c r="A2547" s="76">
        <v>2579</v>
      </c>
      <c r="B2547" s="2" t="s">
        <v>17842</v>
      </c>
      <c r="C2547" s="2" t="s">
        <v>17843</v>
      </c>
      <c r="D2547" s="2" t="s">
        <v>17844</v>
      </c>
      <c r="E2547" s="2" t="s">
        <v>17845</v>
      </c>
      <c r="F2547" s="2" t="s">
        <v>17846</v>
      </c>
      <c r="G2547" s="2" t="s">
        <v>296</v>
      </c>
      <c r="H2547" s="17">
        <v>25</v>
      </c>
      <c r="I2547" s="31">
        <f t="shared" si="246"/>
        <v>25000</v>
      </c>
      <c r="J2547" s="31">
        <f t="shared" si="247"/>
        <v>1750.0000000000002</v>
      </c>
      <c r="K2547" s="44">
        <f t="shared" si="248"/>
        <v>4.794520547945206</v>
      </c>
      <c r="L2547" s="3">
        <f t="shared" si="249"/>
        <v>354.79452054794524</v>
      </c>
      <c r="M2547" s="3">
        <f t="shared" si="250"/>
        <v>21.287671232876715</v>
      </c>
      <c r="N2547" s="67">
        <f t="shared" si="251"/>
        <v>333.50684931506851</v>
      </c>
      <c r="O2547" s="3"/>
      <c r="P2547" s="70" t="s">
        <v>18613</v>
      </c>
      <c r="Q2547" s="2" t="s">
        <v>336</v>
      </c>
      <c r="R2547" s="2" t="s">
        <v>17847</v>
      </c>
      <c r="T2547" t="s">
        <v>18666</v>
      </c>
      <c r="U2547" t="s">
        <v>18652</v>
      </c>
      <c r="V2547" s="104">
        <v>45857</v>
      </c>
      <c r="X2547" s="97"/>
      <c r="Y2547" s="75">
        <v>333.51</v>
      </c>
    </row>
    <row r="2548" spans="1:25" x14ac:dyDescent="0.25">
      <c r="A2548" s="76">
        <v>2580</v>
      </c>
      <c r="B2548" s="2" t="s">
        <v>7285</v>
      </c>
      <c r="C2548" s="2" t="s">
        <v>7286</v>
      </c>
      <c r="D2548" s="2" t="s">
        <v>7287</v>
      </c>
      <c r="E2548" s="2" t="s">
        <v>7288</v>
      </c>
      <c r="F2548" s="2" t="s">
        <v>7289</v>
      </c>
      <c r="G2548" s="2" t="s">
        <v>282</v>
      </c>
      <c r="H2548" s="17">
        <v>25</v>
      </c>
      <c r="I2548" s="31">
        <f t="shared" si="246"/>
        <v>25000</v>
      </c>
      <c r="J2548" s="31">
        <f t="shared" si="247"/>
        <v>1750.0000000000002</v>
      </c>
      <c r="K2548" s="44">
        <f t="shared" si="248"/>
        <v>4.794520547945206</v>
      </c>
      <c r="L2548" s="3">
        <f t="shared" si="249"/>
        <v>354.79452054794524</v>
      </c>
      <c r="M2548" s="3">
        <f t="shared" si="250"/>
        <v>21.287671232876715</v>
      </c>
      <c r="N2548" s="67">
        <f t="shared" si="251"/>
        <v>333.50684931506851</v>
      </c>
      <c r="O2548" s="3"/>
      <c r="P2548" s="70" t="s">
        <v>18613</v>
      </c>
      <c r="Q2548" s="2" t="s">
        <v>336</v>
      </c>
      <c r="R2548" s="2" t="s">
        <v>7290</v>
      </c>
      <c r="T2548" t="s">
        <v>18666</v>
      </c>
      <c r="U2548" t="s">
        <v>18652</v>
      </c>
      <c r="V2548" s="104">
        <v>45857</v>
      </c>
      <c r="X2548" s="97"/>
      <c r="Y2548" s="75">
        <v>333.51</v>
      </c>
    </row>
    <row r="2549" spans="1:25" x14ac:dyDescent="0.25">
      <c r="A2549" s="76">
        <v>2581</v>
      </c>
      <c r="B2549" s="2" t="s">
        <v>8613</v>
      </c>
      <c r="C2549" s="2" t="s">
        <v>8614</v>
      </c>
      <c r="D2549" s="2" t="s">
        <v>8615</v>
      </c>
      <c r="E2549" s="2" t="s">
        <v>8616</v>
      </c>
      <c r="F2549" s="2" t="s">
        <v>8617</v>
      </c>
      <c r="G2549" s="2" t="s">
        <v>750</v>
      </c>
      <c r="H2549" s="17">
        <v>900</v>
      </c>
      <c r="I2549" s="31">
        <f t="shared" si="246"/>
        <v>900000</v>
      </c>
      <c r="J2549" s="31">
        <f t="shared" si="247"/>
        <v>63000.000000000007</v>
      </c>
      <c r="K2549" s="44">
        <f t="shared" si="248"/>
        <v>172.60273972602741</v>
      </c>
      <c r="L2549" s="3">
        <f t="shared" si="249"/>
        <v>12772.602739726028</v>
      </c>
      <c r="M2549" s="3">
        <f t="shared" si="250"/>
        <v>766.35616438356169</v>
      </c>
      <c r="N2549" s="67">
        <f t="shared" si="251"/>
        <v>12006.246575342466</v>
      </c>
      <c r="O2549" s="3"/>
      <c r="P2549" s="70" t="s">
        <v>18613</v>
      </c>
      <c r="Q2549" s="2" t="s">
        <v>336</v>
      </c>
      <c r="R2549" s="2" t="s">
        <v>8618</v>
      </c>
      <c r="T2549" t="s">
        <v>18666</v>
      </c>
      <c r="U2549" t="s">
        <v>18652</v>
      </c>
      <c r="V2549" s="104">
        <v>45857</v>
      </c>
      <c r="X2549" s="97"/>
      <c r="Y2549" s="75">
        <v>12006.25</v>
      </c>
    </row>
    <row r="2550" spans="1:25" x14ac:dyDescent="0.25">
      <c r="A2550" s="76">
        <v>2582</v>
      </c>
      <c r="B2550" s="2" t="s">
        <v>1854</v>
      </c>
      <c r="C2550" s="2" t="s">
        <v>1855</v>
      </c>
      <c r="D2550" s="2" t="s">
        <v>1856</v>
      </c>
      <c r="E2550" s="2" t="s">
        <v>1857</v>
      </c>
      <c r="F2550" s="2" t="s">
        <v>1858</v>
      </c>
      <c r="G2550" s="2" t="s">
        <v>750</v>
      </c>
      <c r="H2550" s="17">
        <v>200</v>
      </c>
      <c r="I2550" s="31">
        <f t="shared" si="246"/>
        <v>200000</v>
      </c>
      <c r="J2550" s="31">
        <f t="shared" si="247"/>
        <v>14000.000000000002</v>
      </c>
      <c r="K2550" s="44">
        <f t="shared" si="248"/>
        <v>38.356164383561648</v>
      </c>
      <c r="L2550" s="3">
        <f t="shared" si="249"/>
        <v>2838.3561643835619</v>
      </c>
      <c r="M2550" s="3">
        <f t="shared" si="250"/>
        <v>170.30136986301372</v>
      </c>
      <c r="N2550" s="67">
        <f t="shared" si="251"/>
        <v>2668.0547945205481</v>
      </c>
      <c r="O2550" s="3"/>
      <c r="P2550" s="70" t="s">
        <v>18613</v>
      </c>
      <c r="Q2550" s="2" t="s">
        <v>336</v>
      </c>
      <c r="R2550" s="2" t="s">
        <v>1859</v>
      </c>
      <c r="T2550" t="s">
        <v>18666</v>
      </c>
      <c r="U2550" t="s">
        <v>18652</v>
      </c>
      <c r="V2550" s="104">
        <v>45857</v>
      </c>
      <c r="X2550" s="97"/>
      <c r="Y2550" s="75">
        <v>2668.0600000000004</v>
      </c>
    </row>
    <row r="2551" spans="1:25" x14ac:dyDescent="0.25">
      <c r="A2551" s="76">
        <v>2583</v>
      </c>
      <c r="B2551" s="2" t="s">
        <v>7024</v>
      </c>
      <c r="C2551" s="2" t="s">
        <v>7025</v>
      </c>
      <c r="D2551" s="2" t="s">
        <v>7026</v>
      </c>
      <c r="E2551" s="2" t="s">
        <v>7027</v>
      </c>
      <c r="F2551" s="2" t="s">
        <v>7028</v>
      </c>
      <c r="G2551" s="2" t="s">
        <v>275</v>
      </c>
      <c r="H2551" s="17">
        <v>25</v>
      </c>
      <c r="I2551" s="31">
        <f t="shared" si="246"/>
        <v>25000</v>
      </c>
      <c r="J2551" s="31">
        <f t="shared" si="247"/>
        <v>1750.0000000000002</v>
      </c>
      <c r="K2551" s="44">
        <f t="shared" si="248"/>
        <v>4.794520547945206</v>
      </c>
      <c r="L2551" s="3">
        <f t="shared" si="249"/>
        <v>354.79452054794524</v>
      </c>
      <c r="M2551" s="3">
        <f t="shared" si="250"/>
        <v>21.287671232876715</v>
      </c>
      <c r="N2551" s="67">
        <f t="shared" si="251"/>
        <v>333.50684931506851</v>
      </c>
      <c r="O2551" s="3"/>
      <c r="P2551" s="70" t="s">
        <v>18613</v>
      </c>
      <c r="Q2551" s="2" t="s">
        <v>336</v>
      </c>
      <c r="R2551" s="2" t="s">
        <v>7029</v>
      </c>
      <c r="T2551" t="s">
        <v>18666</v>
      </c>
      <c r="U2551" t="s">
        <v>18652</v>
      </c>
      <c r="V2551" s="104">
        <v>45857</v>
      </c>
      <c r="X2551" s="97"/>
      <c r="Y2551" s="75">
        <v>333.51</v>
      </c>
    </row>
    <row r="2552" spans="1:25" x14ac:dyDescent="0.25">
      <c r="A2552" s="76">
        <v>2584</v>
      </c>
      <c r="B2552" s="2" t="s">
        <v>17978</v>
      </c>
      <c r="C2552" s="2" t="s">
        <v>17979</v>
      </c>
      <c r="D2552" s="2" t="s">
        <v>17980</v>
      </c>
      <c r="E2552" s="2" t="s">
        <v>17981</v>
      </c>
      <c r="F2552" s="2" t="s">
        <v>17982</v>
      </c>
      <c r="G2552" s="2" t="s">
        <v>247</v>
      </c>
      <c r="H2552" s="17">
        <v>100</v>
      </c>
      <c r="I2552" s="31">
        <f t="shared" si="246"/>
        <v>100000</v>
      </c>
      <c r="J2552" s="31">
        <f t="shared" si="247"/>
        <v>7000.0000000000009</v>
      </c>
      <c r="K2552" s="44">
        <f t="shared" si="248"/>
        <v>19.178082191780824</v>
      </c>
      <c r="L2552" s="3">
        <f t="shared" si="249"/>
        <v>1419.178082191781</v>
      </c>
      <c r="M2552" s="3">
        <f t="shared" si="250"/>
        <v>85.150684931506859</v>
      </c>
      <c r="N2552" s="67">
        <f t="shared" si="251"/>
        <v>1334.027397260274</v>
      </c>
      <c r="O2552" s="3"/>
      <c r="P2552" s="70" t="s">
        <v>18613</v>
      </c>
      <c r="Q2552" s="2" t="s">
        <v>336</v>
      </c>
      <c r="R2552" s="2" t="s">
        <v>17983</v>
      </c>
      <c r="T2552" t="s">
        <v>18666</v>
      </c>
      <c r="U2552" t="s">
        <v>18652</v>
      </c>
      <c r="V2552" s="104">
        <v>45857</v>
      </c>
      <c r="X2552" s="97"/>
      <c r="Y2552" s="75">
        <v>1334.03</v>
      </c>
    </row>
    <row r="2553" spans="1:25" x14ac:dyDescent="0.25">
      <c r="A2553" s="76">
        <v>2585</v>
      </c>
      <c r="B2553" s="2" t="s">
        <v>13932</v>
      </c>
      <c r="C2553" s="2" t="s">
        <v>13933</v>
      </c>
      <c r="D2553" s="2" t="s">
        <v>13934</v>
      </c>
      <c r="E2553" s="2" t="s">
        <v>13935</v>
      </c>
      <c r="F2553" s="2" t="s">
        <v>13936</v>
      </c>
      <c r="G2553" s="2" t="s">
        <v>254</v>
      </c>
      <c r="H2553" s="17">
        <v>100</v>
      </c>
      <c r="I2553" s="31">
        <f t="shared" si="246"/>
        <v>100000</v>
      </c>
      <c r="J2553" s="31">
        <f t="shared" si="247"/>
        <v>7000.0000000000009</v>
      </c>
      <c r="K2553" s="44">
        <f t="shared" si="248"/>
        <v>19.178082191780824</v>
      </c>
      <c r="L2553" s="3">
        <f t="shared" si="249"/>
        <v>1419.178082191781</v>
      </c>
      <c r="M2553" s="3">
        <f t="shared" si="250"/>
        <v>85.150684931506859</v>
      </c>
      <c r="N2553" s="67">
        <f t="shared" si="251"/>
        <v>1334.027397260274</v>
      </c>
      <c r="O2553" s="3"/>
      <c r="P2553" s="70" t="s">
        <v>18613</v>
      </c>
      <c r="Q2553" s="2" t="s">
        <v>336</v>
      </c>
      <c r="R2553" s="2" t="s">
        <v>13937</v>
      </c>
      <c r="T2553" t="s">
        <v>18666</v>
      </c>
      <c r="U2553" t="s">
        <v>18652</v>
      </c>
      <c r="V2553" s="104">
        <v>45857</v>
      </c>
      <c r="X2553" s="97"/>
      <c r="Y2553" s="75">
        <v>1334.03</v>
      </c>
    </row>
    <row r="2554" spans="1:25" x14ac:dyDescent="0.25">
      <c r="A2554" s="76">
        <v>2586</v>
      </c>
      <c r="B2554" s="2" t="s">
        <v>10007</v>
      </c>
      <c r="C2554" s="2" t="s">
        <v>10008</v>
      </c>
      <c r="D2554" s="2" t="s">
        <v>10009</v>
      </c>
      <c r="E2554" s="2" t="s">
        <v>10010</v>
      </c>
      <c r="F2554" s="2" t="s">
        <v>10011</v>
      </c>
      <c r="G2554" s="2" t="s">
        <v>39</v>
      </c>
      <c r="H2554" s="17">
        <v>25</v>
      </c>
      <c r="I2554" s="31">
        <f t="shared" si="246"/>
        <v>25000</v>
      </c>
      <c r="J2554" s="31">
        <f t="shared" si="247"/>
        <v>1750.0000000000002</v>
      </c>
      <c r="K2554" s="44">
        <f t="shared" si="248"/>
        <v>4.794520547945206</v>
      </c>
      <c r="L2554" s="3">
        <f t="shared" si="249"/>
        <v>354.79452054794524</v>
      </c>
      <c r="M2554" s="3">
        <f t="shared" si="250"/>
        <v>21.287671232876715</v>
      </c>
      <c r="N2554" s="67">
        <f t="shared" si="251"/>
        <v>333.50684931506851</v>
      </c>
      <c r="O2554" s="3"/>
      <c r="P2554" s="70" t="s">
        <v>18613</v>
      </c>
      <c r="Q2554" s="2" t="s">
        <v>336</v>
      </c>
      <c r="R2554" s="2" t="s">
        <v>10012</v>
      </c>
      <c r="T2554" t="s">
        <v>18666</v>
      </c>
      <c r="U2554" t="s">
        <v>18652</v>
      </c>
      <c r="V2554" s="104">
        <v>45857</v>
      </c>
      <c r="X2554" s="97"/>
      <c r="Y2554" s="75">
        <v>333.51</v>
      </c>
    </row>
    <row r="2555" spans="1:25" x14ac:dyDescent="0.25">
      <c r="A2555" s="76">
        <v>2587</v>
      </c>
      <c r="B2555" s="2" t="s">
        <v>3313</v>
      </c>
      <c r="C2555" s="2" t="s">
        <v>3314</v>
      </c>
      <c r="D2555" s="2" t="s">
        <v>3179</v>
      </c>
      <c r="E2555" s="2" t="s">
        <v>183</v>
      </c>
      <c r="F2555" s="2" t="s">
        <v>3315</v>
      </c>
      <c r="G2555" s="2" t="s">
        <v>240</v>
      </c>
      <c r="H2555" s="17">
        <v>25</v>
      </c>
      <c r="I2555" s="31">
        <f t="shared" si="246"/>
        <v>25000</v>
      </c>
      <c r="J2555" s="31">
        <f t="shared" si="247"/>
        <v>1750.0000000000002</v>
      </c>
      <c r="K2555" s="44">
        <f t="shared" si="248"/>
        <v>4.794520547945206</v>
      </c>
      <c r="L2555" s="3">
        <f t="shared" si="249"/>
        <v>354.79452054794524</v>
      </c>
      <c r="M2555" s="3">
        <f t="shared" si="250"/>
        <v>21.287671232876715</v>
      </c>
      <c r="N2555" s="67">
        <f t="shared" si="251"/>
        <v>333.50684931506851</v>
      </c>
      <c r="O2555" s="3"/>
      <c r="P2555" s="70" t="s">
        <v>18613</v>
      </c>
      <c r="Q2555" s="2" t="s">
        <v>336</v>
      </c>
      <c r="R2555" s="2" t="s">
        <v>3316</v>
      </c>
      <c r="T2555" t="s">
        <v>18666</v>
      </c>
      <c r="U2555" t="s">
        <v>18652</v>
      </c>
      <c r="V2555" s="104">
        <v>45857</v>
      </c>
      <c r="X2555" s="97"/>
      <c r="Y2555" s="75">
        <v>333.51</v>
      </c>
    </row>
    <row r="2556" spans="1:25" x14ac:dyDescent="0.25">
      <c r="A2556" s="76">
        <v>2588</v>
      </c>
      <c r="B2556" s="2" t="s">
        <v>16757</v>
      </c>
      <c r="C2556" s="2" t="s">
        <v>16758</v>
      </c>
      <c r="D2556" s="2" t="s">
        <v>16759</v>
      </c>
      <c r="E2556" s="2" t="s">
        <v>16760</v>
      </c>
      <c r="F2556" s="2" t="s">
        <v>16761</v>
      </c>
      <c r="G2556" s="2" t="s">
        <v>2380</v>
      </c>
      <c r="H2556" s="17">
        <v>50</v>
      </c>
      <c r="I2556" s="31">
        <f t="shared" si="246"/>
        <v>50000</v>
      </c>
      <c r="J2556" s="31">
        <f t="shared" si="247"/>
        <v>3500.0000000000005</v>
      </c>
      <c r="K2556" s="44">
        <f t="shared" si="248"/>
        <v>9.589041095890412</v>
      </c>
      <c r="L2556" s="3">
        <f t="shared" si="249"/>
        <v>709.58904109589048</v>
      </c>
      <c r="M2556" s="3">
        <f t="shared" si="250"/>
        <v>42.57534246575343</v>
      </c>
      <c r="N2556" s="67">
        <f t="shared" si="251"/>
        <v>667.01369863013701</v>
      </c>
      <c r="O2556" s="3"/>
      <c r="P2556" s="70" t="s">
        <v>18613</v>
      </c>
      <c r="Q2556" s="2" t="s">
        <v>336</v>
      </c>
      <c r="R2556" s="2" t="s">
        <v>16762</v>
      </c>
      <c r="T2556" t="s">
        <v>18666</v>
      </c>
      <c r="U2556" t="s">
        <v>18652</v>
      </c>
      <c r="V2556" s="104">
        <v>45857</v>
      </c>
      <c r="X2556" s="97"/>
      <c r="Y2556" s="75">
        <v>667.02</v>
      </c>
    </row>
    <row r="2557" spans="1:25" x14ac:dyDescent="0.25">
      <c r="A2557" s="76">
        <v>2589</v>
      </c>
      <c r="B2557" s="2" t="s">
        <v>16096</v>
      </c>
      <c r="C2557" s="2" t="s">
        <v>16097</v>
      </c>
      <c r="D2557" s="2" t="s">
        <v>16098</v>
      </c>
      <c r="E2557" s="2" t="s">
        <v>2819</v>
      </c>
      <c r="F2557" s="2" t="s">
        <v>16099</v>
      </c>
      <c r="G2557" s="2" t="s">
        <v>2571</v>
      </c>
      <c r="H2557" s="17">
        <v>100</v>
      </c>
      <c r="I2557" s="31">
        <f t="shared" si="246"/>
        <v>100000</v>
      </c>
      <c r="J2557" s="31">
        <f t="shared" si="247"/>
        <v>7000.0000000000009</v>
      </c>
      <c r="K2557" s="44">
        <f t="shared" si="248"/>
        <v>19.178082191780824</v>
      </c>
      <c r="L2557" s="3">
        <f t="shared" si="249"/>
        <v>1419.178082191781</v>
      </c>
      <c r="M2557" s="3">
        <f t="shared" si="250"/>
        <v>85.150684931506859</v>
      </c>
      <c r="N2557" s="67">
        <f t="shared" si="251"/>
        <v>1334.027397260274</v>
      </c>
      <c r="O2557" s="3"/>
      <c r="P2557" s="70" t="s">
        <v>18613</v>
      </c>
      <c r="Q2557" s="2" t="s">
        <v>336</v>
      </c>
      <c r="R2557" s="2" t="s">
        <v>16100</v>
      </c>
      <c r="T2557" t="s">
        <v>18666</v>
      </c>
      <c r="U2557" t="s">
        <v>18652</v>
      </c>
      <c r="V2557" s="104">
        <v>45857</v>
      </c>
      <c r="X2557" s="97"/>
      <c r="Y2557" s="75">
        <v>1334.03</v>
      </c>
    </row>
    <row r="2558" spans="1:25" x14ac:dyDescent="0.25">
      <c r="A2558" s="76">
        <v>2590</v>
      </c>
      <c r="B2558" s="2" t="s">
        <v>17436</v>
      </c>
      <c r="C2558" s="2" t="s">
        <v>17437</v>
      </c>
      <c r="D2558" s="2" t="s">
        <v>17438</v>
      </c>
      <c r="E2558" s="2" t="s">
        <v>17439</v>
      </c>
      <c r="F2558" s="2" t="s">
        <v>17440</v>
      </c>
      <c r="G2558" s="2" t="s">
        <v>247</v>
      </c>
      <c r="H2558" s="17">
        <v>25</v>
      </c>
      <c r="I2558" s="31">
        <f t="shared" si="246"/>
        <v>25000</v>
      </c>
      <c r="J2558" s="31">
        <f t="shared" si="247"/>
        <v>1750.0000000000002</v>
      </c>
      <c r="K2558" s="44">
        <f t="shared" si="248"/>
        <v>4.794520547945206</v>
      </c>
      <c r="L2558" s="3">
        <f t="shared" si="249"/>
        <v>354.79452054794524</v>
      </c>
      <c r="M2558" s="3">
        <f t="shared" si="250"/>
        <v>21.287671232876715</v>
      </c>
      <c r="N2558" s="67">
        <f t="shared" si="251"/>
        <v>333.50684931506851</v>
      </c>
      <c r="O2558" s="3"/>
      <c r="P2558" s="70" t="s">
        <v>18613</v>
      </c>
      <c r="Q2558" s="2" t="s">
        <v>336</v>
      </c>
      <c r="R2558" s="2" t="s">
        <v>17441</v>
      </c>
      <c r="T2558" t="s">
        <v>18666</v>
      </c>
      <c r="U2558" t="s">
        <v>18652</v>
      </c>
      <c r="V2558" s="104">
        <v>45857</v>
      </c>
      <c r="X2558" s="97"/>
      <c r="Y2558" s="75">
        <v>333.51</v>
      </c>
    </row>
    <row r="2559" spans="1:25" x14ac:dyDescent="0.25">
      <c r="A2559" s="76">
        <v>2591</v>
      </c>
      <c r="B2559" s="2" t="s">
        <v>10982</v>
      </c>
      <c r="C2559" s="2" t="s">
        <v>10983</v>
      </c>
      <c r="D2559" s="2" t="s">
        <v>10984</v>
      </c>
      <c r="E2559" s="2" t="s">
        <v>10985</v>
      </c>
      <c r="F2559" s="2" t="s">
        <v>10986</v>
      </c>
      <c r="G2559" s="2" t="s">
        <v>328</v>
      </c>
      <c r="H2559" s="17">
        <v>25</v>
      </c>
      <c r="I2559" s="31">
        <f t="shared" si="246"/>
        <v>25000</v>
      </c>
      <c r="J2559" s="31">
        <f t="shared" si="247"/>
        <v>1750.0000000000002</v>
      </c>
      <c r="K2559" s="44">
        <f t="shared" si="248"/>
        <v>4.794520547945206</v>
      </c>
      <c r="L2559" s="3">
        <f t="shared" si="249"/>
        <v>354.79452054794524</v>
      </c>
      <c r="M2559" s="3">
        <f t="shared" si="250"/>
        <v>21.287671232876715</v>
      </c>
      <c r="N2559" s="67">
        <f t="shared" si="251"/>
        <v>333.50684931506851</v>
      </c>
      <c r="O2559" s="3"/>
      <c r="P2559" s="70" t="s">
        <v>18613</v>
      </c>
      <c r="Q2559" s="2" t="s">
        <v>336</v>
      </c>
      <c r="R2559" s="2" t="s">
        <v>10987</v>
      </c>
      <c r="T2559" t="s">
        <v>18666</v>
      </c>
      <c r="U2559" t="s">
        <v>18652</v>
      </c>
      <c r="V2559" s="104">
        <v>45857</v>
      </c>
      <c r="X2559" s="97"/>
      <c r="Y2559" s="75">
        <v>333.51</v>
      </c>
    </row>
    <row r="2560" spans="1:25" x14ac:dyDescent="0.25">
      <c r="A2560" s="76">
        <v>2592</v>
      </c>
      <c r="B2560" s="2" t="s">
        <v>11448</v>
      </c>
      <c r="C2560" s="2" t="s">
        <v>11449</v>
      </c>
      <c r="D2560" s="2" t="s">
        <v>11450</v>
      </c>
      <c r="E2560" s="2" t="s">
        <v>11451</v>
      </c>
      <c r="F2560" s="2" t="s">
        <v>11452</v>
      </c>
      <c r="G2560" s="2" t="s">
        <v>328</v>
      </c>
      <c r="H2560" s="17">
        <v>25</v>
      </c>
      <c r="I2560" s="31">
        <f t="shared" si="246"/>
        <v>25000</v>
      </c>
      <c r="J2560" s="31">
        <f t="shared" si="247"/>
        <v>1750.0000000000002</v>
      </c>
      <c r="K2560" s="44">
        <f t="shared" si="248"/>
        <v>4.794520547945206</v>
      </c>
      <c r="L2560" s="3">
        <f t="shared" si="249"/>
        <v>354.79452054794524</v>
      </c>
      <c r="M2560" s="3">
        <f t="shared" si="250"/>
        <v>21.287671232876715</v>
      </c>
      <c r="N2560" s="67">
        <f t="shared" si="251"/>
        <v>333.50684931506851</v>
      </c>
      <c r="O2560" s="3"/>
      <c r="P2560" s="70" t="s">
        <v>18613</v>
      </c>
      <c r="Q2560" s="2" t="s">
        <v>336</v>
      </c>
      <c r="R2560" s="2" t="s">
        <v>11453</v>
      </c>
      <c r="T2560" t="s">
        <v>18666</v>
      </c>
      <c r="U2560" t="s">
        <v>18652</v>
      </c>
      <c r="V2560" s="104">
        <v>45857</v>
      </c>
      <c r="X2560" s="97"/>
      <c r="Y2560" s="75">
        <v>333.51</v>
      </c>
    </row>
    <row r="2561" spans="1:25" x14ac:dyDescent="0.25">
      <c r="A2561" s="76">
        <v>2593</v>
      </c>
      <c r="B2561" s="2" t="s">
        <v>8218</v>
      </c>
      <c r="C2561" s="2" t="s">
        <v>8219</v>
      </c>
      <c r="D2561" s="2" t="s">
        <v>8220</v>
      </c>
      <c r="E2561" s="2" t="s">
        <v>8221</v>
      </c>
      <c r="F2561" s="2" t="s">
        <v>8222</v>
      </c>
      <c r="G2561" s="2" t="s">
        <v>275</v>
      </c>
      <c r="H2561" s="17">
        <v>25</v>
      </c>
      <c r="I2561" s="31">
        <f t="shared" si="246"/>
        <v>25000</v>
      </c>
      <c r="J2561" s="31">
        <f t="shared" si="247"/>
        <v>1750.0000000000002</v>
      </c>
      <c r="K2561" s="44">
        <f t="shared" si="248"/>
        <v>4.794520547945206</v>
      </c>
      <c r="L2561" s="3">
        <f t="shared" si="249"/>
        <v>354.79452054794524</v>
      </c>
      <c r="M2561" s="3">
        <f t="shared" si="250"/>
        <v>21.287671232876715</v>
      </c>
      <c r="N2561" s="67">
        <f t="shared" si="251"/>
        <v>333.50684931506851</v>
      </c>
      <c r="O2561" s="3"/>
      <c r="P2561" s="70" t="s">
        <v>18613</v>
      </c>
      <c r="Q2561" s="2" t="s">
        <v>336</v>
      </c>
      <c r="R2561" s="2" t="s">
        <v>8223</v>
      </c>
      <c r="T2561" t="s">
        <v>18666</v>
      </c>
      <c r="U2561" t="s">
        <v>18652</v>
      </c>
      <c r="V2561" s="104">
        <v>45857</v>
      </c>
      <c r="X2561" s="97"/>
      <c r="Y2561" s="75">
        <v>333.51</v>
      </c>
    </row>
    <row r="2562" spans="1:25" x14ac:dyDescent="0.25">
      <c r="A2562" s="76">
        <v>2594</v>
      </c>
      <c r="B2562" s="2" t="s">
        <v>16541</v>
      </c>
      <c r="C2562" s="2" t="s">
        <v>16542</v>
      </c>
      <c r="D2562" s="2" t="s">
        <v>16543</v>
      </c>
      <c r="E2562" s="2" t="s">
        <v>16544</v>
      </c>
      <c r="F2562" s="2" t="s">
        <v>16545</v>
      </c>
      <c r="G2562" s="2" t="s">
        <v>261</v>
      </c>
      <c r="H2562" s="17">
        <v>100</v>
      </c>
      <c r="I2562" s="31">
        <f t="shared" si="246"/>
        <v>100000</v>
      </c>
      <c r="J2562" s="31">
        <f t="shared" si="247"/>
        <v>7000.0000000000009</v>
      </c>
      <c r="K2562" s="44">
        <f t="shared" si="248"/>
        <v>19.178082191780824</v>
      </c>
      <c r="L2562" s="3">
        <f t="shared" si="249"/>
        <v>1419.178082191781</v>
      </c>
      <c r="M2562" s="3">
        <f t="shared" si="250"/>
        <v>85.150684931506859</v>
      </c>
      <c r="N2562" s="67">
        <f t="shared" si="251"/>
        <v>1334.027397260274</v>
      </c>
      <c r="O2562" s="3"/>
      <c r="P2562" s="70" t="s">
        <v>18613</v>
      </c>
      <c r="Q2562" s="2" t="s">
        <v>336</v>
      </c>
      <c r="R2562" s="2" t="s">
        <v>16546</v>
      </c>
      <c r="T2562" t="s">
        <v>18666</v>
      </c>
      <c r="U2562" t="s">
        <v>18652</v>
      </c>
      <c r="V2562" s="104">
        <v>45857</v>
      </c>
      <c r="X2562" s="97"/>
      <c r="Y2562" s="75">
        <v>1334.03</v>
      </c>
    </row>
    <row r="2563" spans="1:25" x14ac:dyDescent="0.25">
      <c r="A2563" s="76">
        <v>2595</v>
      </c>
      <c r="B2563" s="2" t="s">
        <v>2452</v>
      </c>
      <c r="C2563" s="2" t="s">
        <v>2453</v>
      </c>
      <c r="D2563" s="2" t="s">
        <v>2454</v>
      </c>
      <c r="E2563" s="2" t="s">
        <v>2455</v>
      </c>
      <c r="F2563" s="2" t="s">
        <v>2456</v>
      </c>
      <c r="G2563" s="2" t="s">
        <v>2380</v>
      </c>
      <c r="H2563" s="17">
        <v>30</v>
      </c>
      <c r="I2563" s="31">
        <f t="shared" si="246"/>
        <v>30000</v>
      </c>
      <c r="J2563" s="31">
        <f t="shared" si="247"/>
        <v>2100</v>
      </c>
      <c r="K2563" s="44">
        <f t="shared" si="248"/>
        <v>5.7534246575342465</v>
      </c>
      <c r="L2563" s="3">
        <f t="shared" si="249"/>
        <v>425.75342465753425</v>
      </c>
      <c r="M2563" s="3">
        <f t="shared" si="250"/>
        <v>25.545205479452054</v>
      </c>
      <c r="N2563" s="67">
        <f t="shared" si="251"/>
        <v>400.20821917808217</v>
      </c>
      <c r="O2563" s="3"/>
      <c r="P2563" s="70" t="s">
        <v>18613</v>
      </c>
      <c r="Q2563" s="2" t="s">
        <v>336</v>
      </c>
      <c r="R2563" s="2" t="s">
        <v>2457</v>
      </c>
      <c r="T2563" t="s">
        <v>18666</v>
      </c>
      <c r="U2563" t="s">
        <v>18652</v>
      </c>
      <c r="V2563" s="104">
        <v>45857</v>
      </c>
      <c r="X2563" s="97"/>
      <c r="Y2563" s="75">
        <v>400.21</v>
      </c>
    </row>
    <row r="2564" spans="1:25" x14ac:dyDescent="0.25">
      <c r="A2564" s="76">
        <v>2596</v>
      </c>
      <c r="B2564" s="2" t="s">
        <v>5982</v>
      </c>
      <c r="C2564" s="2" t="s">
        <v>5983</v>
      </c>
      <c r="D2564" s="2" t="s">
        <v>5984</v>
      </c>
      <c r="E2564" s="2" t="s">
        <v>5985</v>
      </c>
      <c r="F2564" s="2" t="s">
        <v>5986</v>
      </c>
      <c r="G2564" s="2" t="s">
        <v>587</v>
      </c>
      <c r="H2564" s="17">
        <v>25</v>
      </c>
      <c r="I2564" s="31">
        <f t="shared" si="246"/>
        <v>25000</v>
      </c>
      <c r="J2564" s="31">
        <f t="shared" si="247"/>
        <v>1750.0000000000002</v>
      </c>
      <c r="K2564" s="44">
        <f t="shared" si="248"/>
        <v>4.794520547945206</v>
      </c>
      <c r="L2564" s="3">
        <f t="shared" si="249"/>
        <v>354.79452054794524</v>
      </c>
      <c r="M2564" s="3">
        <f t="shared" si="250"/>
        <v>21.287671232876715</v>
      </c>
      <c r="N2564" s="67">
        <f t="shared" si="251"/>
        <v>333.50684931506851</v>
      </c>
      <c r="O2564" s="3"/>
      <c r="P2564" s="70" t="s">
        <v>18613</v>
      </c>
      <c r="Q2564" s="2" t="s">
        <v>336</v>
      </c>
      <c r="R2564" s="2" t="s">
        <v>5987</v>
      </c>
      <c r="T2564" t="s">
        <v>18666</v>
      </c>
      <c r="U2564" t="s">
        <v>18652</v>
      </c>
      <c r="V2564" s="104">
        <v>45857</v>
      </c>
      <c r="X2564" s="97"/>
      <c r="Y2564" s="75">
        <v>333.51</v>
      </c>
    </row>
    <row r="2565" spans="1:25" x14ac:dyDescent="0.25">
      <c r="A2565" s="76">
        <v>2597</v>
      </c>
      <c r="B2565" s="2" t="s">
        <v>12242</v>
      </c>
      <c r="C2565" s="2" t="s">
        <v>12243</v>
      </c>
      <c r="D2565" s="2" t="s">
        <v>12244</v>
      </c>
      <c r="E2565" s="2" t="s">
        <v>12245</v>
      </c>
      <c r="F2565" s="2" t="s">
        <v>12246</v>
      </c>
      <c r="G2565" s="2" t="s">
        <v>412</v>
      </c>
      <c r="H2565" s="17">
        <v>25</v>
      </c>
      <c r="I2565" s="31">
        <f t="shared" si="246"/>
        <v>25000</v>
      </c>
      <c r="J2565" s="31">
        <f t="shared" si="247"/>
        <v>1750.0000000000002</v>
      </c>
      <c r="K2565" s="44">
        <f t="shared" si="248"/>
        <v>4.794520547945206</v>
      </c>
      <c r="L2565" s="3">
        <f t="shared" si="249"/>
        <v>354.79452054794524</v>
      </c>
      <c r="M2565" s="3">
        <f t="shared" si="250"/>
        <v>21.287671232876715</v>
      </c>
      <c r="N2565" s="67">
        <f t="shared" si="251"/>
        <v>333.50684931506851</v>
      </c>
      <c r="O2565" s="3"/>
      <c r="P2565" s="70" t="s">
        <v>18613</v>
      </c>
      <c r="Q2565" s="2" t="s">
        <v>336</v>
      </c>
      <c r="R2565" s="2" t="s">
        <v>12247</v>
      </c>
      <c r="T2565" t="s">
        <v>18666</v>
      </c>
      <c r="U2565" t="s">
        <v>18652</v>
      </c>
      <c r="V2565" s="104">
        <v>45857</v>
      </c>
      <c r="X2565" s="97"/>
      <c r="Y2565" s="75">
        <v>333.51</v>
      </c>
    </row>
    <row r="2566" spans="1:25" x14ac:dyDescent="0.25">
      <c r="A2566" s="76">
        <v>2598</v>
      </c>
      <c r="B2566" s="2" t="s">
        <v>6360</v>
      </c>
      <c r="C2566" s="2" t="s">
        <v>6361</v>
      </c>
      <c r="D2566" s="2" t="s">
        <v>6362</v>
      </c>
      <c r="E2566" s="2" t="s">
        <v>6363</v>
      </c>
      <c r="F2566" s="2" t="s">
        <v>6364</v>
      </c>
      <c r="G2566" s="2" t="s">
        <v>876</v>
      </c>
      <c r="H2566" s="17">
        <v>100</v>
      </c>
      <c r="I2566" s="31">
        <f t="shared" si="246"/>
        <v>100000</v>
      </c>
      <c r="J2566" s="31">
        <f t="shared" si="247"/>
        <v>7000.0000000000009</v>
      </c>
      <c r="K2566" s="44">
        <f t="shared" si="248"/>
        <v>19.178082191780824</v>
      </c>
      <c r="L2566" s="3">
        <f t="shared" si="249"/>
        <v>1419.178082191781</v>
      </c>
      <c r="M2566" s="3">
        <f t="shared" si="250"/>
        <v>85.150684931506859</v>
      </c>
      <c r="N2566" s="67">
        <f t="shared" si="251"/>
        <v>1334.027397260274</v>
      </c>
      <c r="O2566" s="3"/>
      <c r="P2566" s="70" t="s">
        <v>18613</v>
      </c>
      <c r="Q2566" s="2" t="s">
        <v>336</v>
      </c>
      <c r="R2566" s="2" t="s">
        <v>6365</v>
      </c>
      <c r="T2566" t="s">
        <v>18666</v>
      </c>
      <c r="U2566" t="s">
        <v>18652</v>
      </c>
      <c r="V2566" s="104">
        <v>45857</v>
      </c>
      <c r="X2566" s="97"/>
      <c r="Y2566" s="75">
        <v>1334.03</v>
      </c>
    </row>
    <row r="2567" spans="1:25" x14ac:dyDescent="0.25">
      <c r="A2567" s="76">
        <v>2599</v>
      </c>
      <c r="B2567" s="2" t="s">
        <v>7572</v>
      </c>
      <c r="C2567" s="2" t="s">
        <v>7573</v>
      </c>
      <c r="D2567" s="2" t="s">
        <v>7574</v>
      </c>
      <c r="E2567" s="2" t="s">
        <v>7575</v>
      </c>
      <c r="F2567" s="2" t="s">
        <v>7576</v>
      </c>
      <c r="G2567" s="2" t="s">
        <v>328</v>
      </c>
      <c r="H2567" s="17">
        <v>25</v>
      </c>
      <c r="I2567" s="31">
        <f t="shared" si="246"/>
        <v>25000</v>
      </c>
      <c r="J2567" s="31">
        <f t="shared" si="247"/>
        <v>1750.0000000000002</v>
      </c>
      <c r="K2567" s="44">
        <f t="shared" si="248"/>
        <v>4.794520547945206</v>
      </c>
      <c r="L2567" s="3">
        <f t="shared" si="249"/>
        <v>354.79452054794524</v>
      </c>
      <c r="M2567" s="3">
        <f t="shared" si="250"/>
        <v>21.287671232876715</v>
      </c>
      <c r="N2567" s="67">
        <f t="shared" si="251"/>
        <v>333.50684931506851</v>
      </c>
      <c r="O2567" s="3"/>
      <c r="P2567" s="70" t="s">
        <v>18613</v>
      </c>
      <c r="Q2567" s="2" t="s">
        <v>336</v>
      </c>
      <c r="R2567" s="2" t="s">
        <v>7577</v>
      </c>
      <c r="T2567" t="s">
        <v>18666</v>
      </c>
      <c r="U2567" t="s">
        <v>18652</v>
      </c>
      <c r="V2567" s="104">
        <v>45857</v>
      </c>
      <c r="X2567" s="97"/>
      <c r="Y2567" s="75">
        <v>333.51</v>
      </c>
    </row>
    <row r="2568" spans="1:25" x14ac:dyDescent="0.25">
      <c r="A2568" s="76">
        <v>2600</v>
      </c>
      <c r="B2568" s="2" t="s">
        <v>5877</v>
      </c>
      <c r="C2568" s="2" t="s">
        <v>5844</v>
      </c>
      <c r="D2568" s="2" t="s">
        <v>5845</v>
      </c>
      <c r="E2568" s="2" t="s">
        <v>5878</v>
      </c>
      <c r="F2568" s="2" t="s">
        <v>5879</v>
      </c>
      <c r="G2568" s="2" t="s">
        <v>31</v>
      </c>
      <c r="H2568" s="17">
        <v>270</v>
      </c>
      <c r="I2568" s="31">
        <f t="shared" si="246"/>
        <v>270000</v>
      </c>
      <c r="J2568" s="31">
        <f t="shared" si="247"/>
        <v>18900</v>
      </c>
      <c r="K2568" s="44">
        <f t="shared" si="248"/>
        <v>51.780821917808218</v>
      </c>
      <c r="L2568" s="3">
        <f t="shared" si="249"/>
        <v>3831.7808219178082</v>
      </c>
      <c r="M2568" s="3">
        <f t="shared" si="250"/>
        <v>229.90684931506848</v>
      </c>
      <c r="N2568" s="67">
        <f t="shared" si="251"/>
        <v>3601.8739726027397</v>
      </c>
      <c r="O2568" s="3"/>
      <c r="P2568" s="70" t="s">
        <v>18613</v>
      </c>
      <c r="Q2568" s="2" t="s">
        <v>336</v>
      </c>
      <c r="R2568" s="2" t="s">
        <v>5880</v>
      </c>
      <c r="T2568" t="s">
        <v>18666</v>
      </c>
      <c r="U2568" t="s">
        <v>18652</v>
      </c>
      <c r="V2568" s="104">
        <v>45857</v>
      </c>
      <c r="X2568" s="97"/>
      <c r="Y2568" s="75">
        <v>3601.88</v>
      </c>
    </row>
    <row r="2569" spans="1:25" x14ac:dyDescent="0.25">
      <c r="A2569" s="76">
        <v>2601</v>
      </c>
      <c r="B2569" s="2" t="s">
        <v>16653</v>
      </c>
      <c r="C2569" s="2" t="s">
        <v>16654</v>
      </c>
      <c r="D2569" s="2" t="s">
        <v>16655</v>
      </c>
      <c r="E2569" s="2" t="s">
        <v>16656</v>
      </c>
      <c r="F2569" s="2" t="s">
        <v>16657</v>
      </c>
      <c r="G2569" s="2" t="s">
        <v>166</v>
      </c>
      <c r="H2569" s="17">
        <v>25</v>
      </c>
      <c r="I2569" s="31">
        <f t="shared" si="246"/>
        <v>25000</v>
      </c>
      <c r="J2569" s="31">
        <f t="shared" si="247"/>
        <v>1750.0000000000002</v>
      </c>
      <c r="K2569" s="44">
        <f t="shared" si="248"/>
        <v>4.794520547945206</v>
      </c>
      <c r="L2569" s="3">
        <f t="shared" si="249"/>
        <v>354.79452054794524</v>
      </c>
      <c r="M2569" s="3">
        <f t="shared" si="250"/>
        <v>21.287671232876715</v>
      </c>
      <c r="N2569" s="67">
        <f t="shared" si="251"/>
        <v>333.50684931506851</v>
      </c>
      <c r="O2569" s="3"/>
      <c r="P2569" s="70" t="s">
        <v>18613</v>
      </c>
      <c r="Q2569" s="2" t="s">
        <v>336</v>
      </c>
      <c r="R2569" s="2" t="s">
        <v>16658</v>
      </c>
      <c r="T2569" t="s">
        <v>18666</v>
      </c>
      <c r="U2569" t="s">
        <v>18652</v>
      </c>
      <c r="V2569" s="104">
        <v>45857</v>
      </c>
      <c r="X2569" s="97"/>
      <c r="Y2569" s="75">
        <v>333.51</v>
      </c>
    </row>
    <row r="2570" spans="1:25" x14ac:dyDescent="0.25">
      <c r="A2570" s="76">
        <v>2602</v>
      </c>
      <c r="B2570" s="2" t="s">
        <v>3307</v>
      </c>
      <c r="C2570" s="2" t="s">
        <v>3308</v>
      </c>
      <c r="D2570" s="2" t="s">
        <v>3309</v>
      </c>
      <c r="E2570" s="2" t="s">
        <v>3310</v>
      </c>
      <c r="F2570" s="2" t="s">
        <v>3311</v>
      </c>
      <c r="G2570" s="2" t="s">
        <v>510</v>
      </c>
      <c r="H2570" s="17">
        <v>25</v>
      </c>
      <c r="I2570" s="31">
        <f t="shared" si="246"/>
        <v>25000</v>
      </c>
      <c r="J2570" s="31">
        <f t="shared" si="247"/>
        <v>1750.0000000000002</v>
      </c>
      <c r="K2570" s="44">
        <f t="shared" si="248"/>
        <v>4.794520547945206</v>
      </c>
      <c r="L2570" s="3">
        <f t="shared" si="249"/>
        <v>354.79452054794524</v>
      </c>
      <c r="M2570" s="3">
        <f t="shared" si="250"/>
        <v>21.287671232876715</v>
      </c>
      <c r="N2570" s="67">
        <f t="shared" si="251"/>
        <v>333.50684931506851</v>
      </c>
      <c r="O2570" s="3"/>
      <c r="P2570" s="70" t="s">
        <v>18613</v>
      </c>
      <c r="Q2570" s="2" t="s">
        <v>336</v>
      </c>
      <c r="R2570" s="2" t="s">
        <v>3312</v>
      </c>
      <c r="T2570" t="s">
        <v>18666</v>
      </c>
      <c r="U2570" t="s">
        <v>18652</v>
      </c>
      <c r="V2570" s="104">
        <v>45857</v>
      </c>
      <c r="X2570" s="97"/>
      <c r="Y2570" s="75">
        <v>333.51</v>
      </c>
    </row>
    <row r="2571" spans="1:25" x14ac:dyDescent="0.25">
      <c r="A2571" s="76">
        <v>2603</v>
      </c>
      <c r="B2571" s="2" t="s">
        <v>18136</v>
      </c>
      <c r="C2571" s="2" t="s">
        <v>18137</v>
      </c>
      <c r="D2571" s="2" t="s">
        <v>18138</v>
      </c>
      <c r="E2571" s="2" t="s">
        <v>18139</v>
      </c>
      <c r="F2571" s="2" t="s">
        <v>18140</v>
      </c>
      <c r="G2571" s="2" t="s">
        <v>151</v>
      </c>
      <c r="H2571" s="17">
        <v>25</v>
      </c>
      <c r="I2571" s="31">
        <f t="shared" si="246"/>
        <v>25000</v>
      </c>
      <c r="J2571" s="31">
        <f t="shared" si="247"/>
        <v>1750.0000000000002</v>
      </c>
      <c r="K2571" s="44">
        <f t="shared" si="248"/>
        <v>4.794520547945206</v>
      </c>
      <c r="L2571" s="3">
        <f t="shared" si="249"/>
        <v>354.79452054794524</v>
      </c>
      <c r="M2571" s="3">
        <f t="shared" si="250"/>
        <v>21.287671232876715</v>
      </c>
      <c r="N2571" s="67">
        <f t="shared" si="251"/>
        <v>333.50684931506851</v>
      </c>
      <c r="O2571" s="3"/>
      <c r="P2571" s="70" t="s">
        <v>18613</v>
      </c>
      <c r="Q2571" s="2" t="s">
        <v>336</v>
      </c>
      <c r="R2571" s="2" t="s">
        <v>18141</v>
      </c>
      <c r="T2571" t="s">
        <v>18666</v>
      </c>
      <c r="U2571" t="s">
        <v>18652</v>
      </c>
      <c r="V2571" s="104">
        <v>45857</v>
      </c>
      <c r="X2571" s="97"/>
      <c r="Y2571" s="75">
        <v>333.51</v>
      </c>
    </row>
    <row r="2572" spans="1:25" x14ac:dyDescent="0.25">
      <c r="A2572" s="76">
        <v>2604</v>
      </c>
      <c r="B2572" s="2" t="s">
        <v>9376</v>
      </c>
      <c r="C2572" s="2" t="s">
        <v>9377</v>
      </c>
      <c r="D2572" s="2" t="s">
        <v>9378</v>
      </c>
      <c r="E2572" s="2" t="s">
        <v>9379</v>
      </c>
      <c r="F2572" s="2" t="s">
        <v>9380</v>
      </c>
      <c r="G2572" s="2" t="s">
        <v>39</v>
      </c>
      <c r="H2572" s="17">
        <v>25</v>
      </c>
      <c r="I2572" s="31">
        <f t="shared" si="246"/>
        <v>25000</v>
      </c>
      <c r="J2572" s="31">
        <f t="shared" si="247"/>
        <v>1750.0000000000002</v>
      </c>
      <c r="K2572" s="44">
        <f t="shared" si="248"/>
        <v>4.794520547945206</v>
      </c>
      <c r="L2572" s="3">
        <f t="shared" si="249"/>
        <v>354.79452054794524</v>
      </c>
      <c r="M2572" s="3">
        <f t="shared" si="250"/>
        <v>21.287671232876715</v>
      </c>
      <c r="N2572" s="67">
        <f t="shared" si="251"/>
        <v>333.50684931506851</v>
      </c>
      <c r="O2572" s="3"/>
      <c r="P2572" s="70" t="s">
        <v>18613</v>
      </c>
      <c r="Q2572" s="2" t="s">
        <v>336</v>
      </c>
      <c r="R2572" s="2" t="s">
        <v>9381</v>
      </c>
      <c r="T2572" t="s">
        <v>18666</v>
      </c>
      <c r="U2572" t="s">
        <v>18652</v>
      </c>
      <c r="V2572" s="104">
        <v>45857</v>
      </c>
      <c r="X2572" s="97"/>
      <c r="Y2572" s="75">
        <v>333.51</v>
      </c>
    </row>
    <row r="2573" spans="1:25" x14ac:dyDescent="0.25">
      <c r="A2573" s="76">
        <v>2605</v>
      </c>
      <c r="B2573" s="2" t="s">
        <v>6614</v>
      </c>
      <c r="C2573" s="2" t="s">
        <v>6615</v>
      </c>
      <c r="D2573" s="2" t="s">
        <v>6616</v>
      </c>
      <c r="E2573" s="2" t="s">
        <v>6617</v>
      </c>
      <c r="F2573" s="2" t="s">
        <v>6618</v>
      </c>
      <c r="G2573" s="2" t="s">
        <v>2380</v>
      </c>
      <c r="H2573" s="17">
        <v>50</v>
      </c>
      <c r="I2573" s="31">
        <f t="shared" si="246"/>
        <v>50000</v>
      </c>
      <c r="J2573" s="31">
        <f t="shared" si="247"/>
        <v>3500.0000000000005</v>
      </c>
      <c r="K2573" s="44">
        <f t="shared" si="248"/>
        <v>9.589041095890412</v>
      </c>
      <c r="L2573" s="3">
        <f t="shared" si="249"/>
        <v>709.58904109589048</v>
      </c>
      <c r="M2573" s="3">
        <f t="shared" si="250"/>
        <v>42.57534246575343</v>
      </c>
      <c r="N2573" s="67">
        <f t="shared" si="251"/>
        <v>667.01369863013701</v>
      </c>
      <c r="O2573" s="3"/>
      <c r="P2573" s="70" t="s">
        <v>18613</v>
      </c>
      <c r="Q2573" s="2" t="s">
        <v>336</v>
      </c>
      <c r="R2573" s="2" t="s">
        <v>6619</v>
      </c>
      <c r="T2573" t="s">
        <v>18666</v>
      </c>
      <c r="U2573" t="s">
        <v>18652</v>
      </c>
      <c r="V2573" s="104">
        <v>45857</v>
      </c>
      <c r="X2573" s="97"/>
      <c r="Y2573" s="75">
        <v>667.02</v>
      </c>
    </row>
    <row r="2574" spans="1:25" x14ac:dyDescent="0.25">
      <c r="A2574" s="76">
        <v>2606</v>
      </c>
      <c r="B2574" s="2" t="s">
        <v>16956</v>
      </c>
      <c r="C2574" s="2" t="s">
        <v>16530</v>
      </c>
      <c r="D2574" s="2" t="s">
        <v>16957</v>
      </c>
      <c r="E2574" s="2" t="s">
        <v>16958</v>
      </c>
      <c r="F2574" s="2" t="s">
        <v>16959</v>
      </c>
      <c r="G2574" s="2" t="s">
        <v>1570</v>
      </c>
      <c r="H2574" s="17">
        <v>25</v>
      </c>
      <c r="I2574" s="31">
        <f t="shared" si="246"/>
        <v>25000</v>
      </c>
      <c r="J2574" s="31">
        <f t="shared" si="247"/>
        <v>1750.0000000000002</v>
      </c>
      <c r="K2574" s="44">
        <f t="shared" si="248"/>
        <v>4.794520547945206</v>
      </c>
      <c r="L2574" s="3">
        <f t="shared" si="249"/>
        <v>354.79452054794524</v>
      </c>
      <c r="M2574" s="3">
        <f t="shared" si="250"/>
        <v>21.287671232876715</v>
      </c>
      <c r="N2574" s="67">
        <f t="shared" si="251"/>
        <v>333.50684931506851</v>
      </c>
      <c r="O2574" s="3"/>
      <c r="P2574" s="70" t="s">
        <v>18613</v>
      </c>
      <c r="Q2574" s="2" t="s">
        <v>336</v>
      </c>
      <c r="R2574" s="2" t="s">
        <v>16960</v>
      </c>
      <c r="T2574" t="s">
        <v>18666</v>
      </c>
      <c r="U2574" t="s">
        <v>18652</v>
      </c>
      <c r="V2574" s="104">
        <v>45857</v>
      </c>
      <c r="X2574" s="97"/>
      <c r="Y2574" s="75">
        <v>333.51</v>
      </c>
    </row>
    <row r="2575" spans="1:25" x14ac:dyDescent="0.25">
      <c r="A2575" s="76">
        <v>2607</v>
      </c>
      <c r="B2575" s="2" t="s">
        <v>645</v>
      </c>
      <c r="C2575" s="2" t="s">
        <v>646</v>
      </c>
      <c r="D2575" s="2" t="s">
        <v>647</v>
      </c>
      <c r="E2575" s="2" t="s">
        <v>648</v>
      </c>
      <c r="F2575" s="2" t="s">
        <v>649</v>
      </c>
      <c r="G2575" s="2" t="s">
        <v>23</v>
      </c>
      <c r="H2575" s="17">
        <v>50</v>
      </c>
      <c r="I2575" s="31">
        <f t="shared" si="246"/>
        <v>50000</v>
      </c>
      <c r="J2575" s="31">
        <f t="shared" si="247"/>
        <v>3500.0000000000005</v>
      </c>
      <c r="K2575" s="44">
        <f t="shared" si="248"/>
        <v>9.589041095890412</v>
      </c>
      <c r="L2575" s="3">
        <f t="shared" si="249"/>
        <v>709.58904109589048</v>
      </c>
      <c r="M2575" s="3">
        <f t="shared" si="250"/>
        <v>42.57534246575343</v>
      </c>
      <c r="N2575" s="67">
        <f t="shared" si="251"/>
        <v>667.01369863013701</v>
      </c>
      <c r="O2575" s="3"/>
      <c r="P2575" s="70" t="s">
        <v>18613</v>
      </c>
      <c r="Q2575" s="2" t="s">
        <v>336</v>
      </c>
      <c r="R2575" s="2" t="s">
        <v>650</v>
      </c>
      <c r="T2575" t="s">
        <v>18666</v>
      </c>
      <c r="U2575" t="s">
        <v>18652</v>
      </c>
      <c r="V2575" s="104">
        <v>45857</v>
      </c>
      <c r="X2575" s="97"/>
      <c r="Y2575" s="75">
        <v>667.02</v>
      </c>
    </row>
    <row r="2576" spans="1:25" x14ac:dyDescent="0.25">
      <c r="A2576" s="76">
        <v>2608</v>
      </c>
      <c r="B2576" s="2" t="s">
        <v>8089</v>
      </c>
      <c r="C2576" s="2" t="s">
        <v>8090</v>
      </c>
      <c r="D2576" s="2" t="s">
        <v>8091</v>
      </c>
      <c r="E2576" s="2" t="s">
        <v>8092</v>
      </c>
      <c r="F2576" s="2" t="s">
        <v>8093</v>
      </c>
      <c r="G2576" s="2" t="s">
        <v>309</v>
      </c>
      <c r="H2576" s="17">
        <v>25</v>
      </c>
      <c r="I2576" s="31">
        <f t="shared" si="246"/>
        <v>25000</v>
      </c>
      <c r="J2576" s="31">
        <f t="shared" si="247"/>
        <v>1750.0000000000002</v>
      </c>
      <c r="K2576" s="44">
        <f t="shared" si="248"/>
        <v>4.794520547945206</v>
      </c>
      <c r="L2576" s="3">
        <f t="shared" si="249"/>
        <v>354.79452054794524</v>
      </c>
      <c r="M2576" s="3">
        <f t="shared" si="250"/>
        <v>21.287671232876715</v>
      </c>
      <c r="N2576" s="67">
        <f t="shared" si="251"/>
        <v>333.50684931506851</v>
      </c>
      <c r="O2576" s="3"/>
      <c r="P2576" s="70" t="s">
        <v>18613</v>
      </c>
      <c r="Q2576" s="2" t="s">
        <v>336</v>
      </c>
      <c r="R2576" s="2" t="s">
        <v>8094</v>
      </c>
      <c r="T2576" t="s">
        <v>18666</v>
      </c>
      <c r="U2576" t="s">
        <v>18652</v>
      </c>
      <c r="V2576" s="104">
        <v>45857</v>
      </c>
      <c r="X2576" s="97"/>
      <c r="Y2576" s="75">
        <v>333.51</v>
      </c>
    </row>
    <row r="2577" spans="1:25" x14ac:dyDescent="0.25">
      <c r="A2577" s="76">
        <v>2609</v>
      </c>
      <c r="B2577" s="2" t="s">
        <v>458</v>
      </c>
      <c r="C2577" s="2" t="s">
        <v>459</v>
      </c>
      <c r="D2577" s="2" t="s">
        <v>460</v>
      </c>
      <c r="E2577" s="2" t="s">
        <v>461</v>
      </c>
      <c r="F2577" s="2" t="s">
        <v>462</v>
      </c>
      <c r="G2577" s="2" t="s">
        <v>247</v>
      </c>
      <c r="H2577" s="17">
        <v>50</v>
      </c>
      <c r="I2577" s="31">
        <f t="shared" si="246"/>
        <v>50000</v>
      </c>
      <c r="J2577" s="31">
        <f t="shared" si="247"/>
        <v>3500.0000000000005</v>
      </c>
      <c r="K2577" s="44">
        <f t="shared" si="248"/>
        <v>9.589041095890412</v>
      </c>
      <c r="L2577" s="3">
        <f t="shared" si="249"/>
        <v>709.58904109589048</v>
      </c>
      <c r="M2577" s="3">
        <f t="shared" si="250"/>
        <v>42.57534246575343</v>
      </c>
      <c r="N2577" s="67">
        <f t="shared" si="251"/>
        <v>667.01369863013701</v>
      </c>
      <c r="O2577" s="3"/>
      <c r="P2577" s="70" t="s">
        <v>18613</v>
      </c>
      <c r="Q2577" s="2" t="s">
        <v>336</v>
      </c>
      <c r="R2577" s="2" t="s">
        <v>463</v>
      </c>
      <c r="T2577" t="s">
        <v>18666</v>
      </c>
      <c r="U2577" t="s">
        <v>18652</v>
      </c>
      <c r="V2577" s="104">
        <v>45857</v>
      </c>
      <c r="X2577" s="97"/>
      <c r="Y2577" s="75">
        <v>667.02</v>
      </c>
    </row>
    <row r="2578" spans="1:25" x14ac:dyDescent="0.25">
      <c r="A2578" s="76">
        <v>2610</v>
      </c>
      <c r="B2578" s="2" t="s">
        <v>14882</v>
      </c>
      <c r="C2578" s="2" t="s">
        <v>14883</v>
      </c>
      <c r="D2578" s="2" t="s">
        <v>14884</v>
      </c>
      <c r="E2578" s="2" t="s">
        <v>14885</v>
      </c>
      <c r="F2578" s="2" t="s">
        <v>14886</v>
      </c>
      <c r="G2578" s="2" t="s">
        <v>381</v>
      </c>
      <c r="H2578" s="17">
        <v>400</v>
      </c>
      <c r="I2578" s="31">
        <f t="shared" ref="I2578:I2641" si="252">H2578*1000</f>
        <v>400000</v>
      </c>
      <c r="J2578" s="31">
        <f t="shared" ref="J2578:J2641" si="253">I2578*7%</f>
        <v>28000.000000000004</v>
      </c>
      <c r="K2578" s="44">
        <f t="shared" ref="K2578:K2641" si="254">J2578/365</f>
        <v>76.712328767123296</v>
      </c>
      <c r="L2578" s="3">
        <f t="shared" ref="L2578:L2641" si="255">K2578*74</f>
        <v>5676.7123287671238</v>
      </c>
      <c r="M2578" s="3">
        <f t="shared" ref="M2578:M2641" si="256">L2578*6%</f>
        <v>340.60273972602744</v>
      </c>
      <c r="N2578" s="67">
        <f t="shared" ref="N2578:N2641" si="257">L2578-M2578</f>
        <v>5336.1095890410961</v>
      </c>
      <c r="O2578" s="3"/>
      <c r="P2578" s="70" t="s">
        <v>18613</v>
      </c>
      <c r="Q2578" s="2" t="s">
        <v>336</v>
      </c>
      <c r="R2578" s="2" t="s">
        <v>14887</v>
      </c>
      <c r="T2578" t="s">
        <v>18666</v>
      </c>
      <c r="U2578" t="s">
        <v>18652</v>
      </c>
      <c r="V2578" s="104">
        <v>45857</v>
      </c>
      <c r="X2578" s="97"/>
      <c r="Y2578" s="75">
        <v>5336.1100000000006</v>
      </c>
    </row>
    <row r="2579" spans="1:25" x14ac:dyDescent="0.25">
      <c r="A2579" s="76">
        <v>2611</v>
      </c>
      <c r="B2579" s="2" t="s">
        <v>2734</v>
      </c>
      <c r="C2579" s="2" t="s">
        <v>2735</v>
      </c>
      <c r="D2579" s="2" t="s">
        <v>2736</v>
      </c>
      <c r="E2579" s="2" t="s">
        <v>2737</v>
      </c>
      <c r="F2579" s="2" t="s">
        <v>2738</v>
      </c>
      <c r="G2579" s="2" t="s">
        <v>31</v>
      </c>
      <c r="H2579" s="17">
        <v>50</v>
      </c>
      <c r="I2579" s="31">
        <f t="shared" si="252"/>
        <v>50000</v>
      </c>
      <c r="J2579" s="31">
        <f t="shared" si="253"/>
        <v>3500.0000000000005</v>
      </c>
      <c r="K2579" s="44">
        <f t="shared" si="254"/>
        <v>9.589041095890412</v>
      </c>
      <c r="L2579" s="3">
        <f t="shared" si="255"/>
        <v>709.58904109589048</v>
      </c>
      <c r="M2579" s="3">
        <f t="shared" si="256"/>
        <v>42.57534246575343</v>
      </c>
      <c r="N2579" s="67">
        <f t="shared" si="257"/>
        <v>667.01369863013701</v>
      </c>
      <c r="O2579" s="3"/>
      <c r="P2579" s="70" t="s">
        <v>18613</v>
      </c>
      <c r="Q2579" s="2" t="s">
        <v>336</v>
      </c>
      <c r="R2579" s="2" t="s">
        <v>2739</v>
      </c>
      <c r="T2579" t="s">
        <v>18666</v>
      </c>
      <c r="U2579" t="s">
        <v>18652</v>
      </c>
      <c r="V2579" s="104">
        <v>45857</v>
      </c>
      <c r="X2579" s="97"/>
      <c r="Y2579" s="75">
        <v>667.02</v>
      </c>
    </row>
    <row r="2580" spans="1:25" x14ac:dyDescent="0.25">
      <c r="A2580" s="76">
        <v>2612</v>
      </c>
      <c r="B2580" s="2" t="s">
        <v>11591</v>
      </c>
      <c r="C2580" s="2" t="s">
        <v>11592</v>
      </c>
      <c r="D2580" s="2" t="s">
        <v>11593</v>
      </c>
      <c r="E2580" s="2" t="s">
        <v>11594</v>
      </c>
      <c r="F2580" s="2" t="s">
        <v>11595</v>
      </c>
      <c r="G2580" s="2" t="s">
        <v>328</v>
      </c>
      <c r="H2580" s="17">
        <v>25</v>
      </c>
      <c r="I2580" s="31">
        <f t="shared" si="252"/>
        <v>25000</v>
      </c>
      <c r="J2580" s="31">
        <f t="shared" si="253"/>
        <v>1750.0000000000002</v>
      </c>
      <c r="K2580" s="44">
        <f t="shared" si="254"/>
        <v>4.794520547945206</v>
      </c>
      <c r="L2580" s="3">
        <f t="shared" si="255"/>
        <v>354.79452054794524</v>
      </c>
      <c r="M2580" s="3">
        <f t="shared" si="256"/>
        <v>21.287671232876715</v>
      </c>
      <c r="N2580" s="67">
        <f t="shared" si="257"/>
        <v>333.50684931506851</v>
      </c>
      <c r="O2580" s="3"/>
      <c r="P2580" s="70" t="s">
        <v>18613</v>
      </c>
      <c r="Q2580" s="2" t="s">
        <v>336</v>
      </c>
      <c r="R2580" s="2" t="s">
        <v>11596</v>
      </c>
      <c r="T2580" t="s">
        <v>18666</v>
      </c>
      <c r="U2580" t="s">
        <v>18652</v>
      </c>
      <c r="V2580" s="104">
        <v>45857</v>
      </c>
      <c r="X2580" s="97"/>
      <c r="Y2580" s="75">
        <v>333.51</v>
      </c>
    </row>
    <row r="2581" spans="1:25" x14ac:dyDescent="0.25">
      <c r="A2581" s="76">
        <v>2613</v>
      </c>
      <c r="B2581" s="2" t="s">
        <v>1540</v>
      </c>
      <c r="C2581" s="2" t="s">
        <v>1541</v>
      </c>
      <c r="D2581" s="2" t="s">
        <v>1542</v>
      </c>
      <c r="E2581" s="2" t="s">
        <v>1543</v>
      </c>
      <c r="F2581" s="2" t="s">
        <v>1544</v>
      </c>
      <c r="G2581" s="2" t="s">
        <v>1545</v>
      </c>
      <c r="H2581" s="17">
        <v>50</v>
      </c>
      <c r="I2581" s="31">
        <f t="shared" si="252"/>
        <v>50000</v>
      </c>
      <c r="J2581" s="31">
        <f t="shared" si="253"/>
        <v>3500.0000000000005</v>
      </c>
      <c r="K2581" s="44">
        <f t="shared" si="254"/>
        <v>9.589041095890412</v>
      </c>
      <c r="L2581" s="3">
        <f t="shared" si="255"/>
        <v>709.58904109589048</v>
      </c>
      <c r="M2581" s="3">
        <f t="shared" si="256"/>
        <v>42.57534246575343</v>
      </c>
      <c r="N2581" s="67">
        <f t="shared" si="257"/>
        <v>667.01369863013701</v>
      </c>
      <c r="O2581" s="3"/>
      <c r="P2581" s="70" t="s">
        <v>18613</v>
      </c>
      <c r="Q2581" s="2" t="s">
        <v>336</v>
      </c>
      <c r="R2581" s="2" t="s">
        <v>1546</v>
      </c>
      <c r="T2581" t="s">
        <v>18666</v>
      </c>
      <c r="U2581" t="s">
        <v>18652</v>
      </c>
      <c r="V2581" s="104">
        <v>45857</v>
      </c>
      <c r="X2581" s="97"/>
      <c r="Y2581" s="75">
        <v>667.02</v>
      </c>
    </row>
    <row r="2582" spans="1:25" x14ac:dyDescent="0.25">
      <c r="A2582" s="76">
        <v>2614</v>
      </c>
      <c r="B2582" s="2" t="s">
        <v>14583</v>
      </c>
      <c r="C2582" s="2" t="s">
        <v>14584</v>
      </c>
      <c r="D2582" s="2" t="s">
        <v>14585</v>
      </c>
      <c r="E2582" s="2" t="s">
        <v>14586</v>
      </c>
      <c r="F2582" s="2" t="s">
        <v>14587</v>
      </c>
      <c r="G2582" s="2" t="s">
        <v>750</v>
      </c>
      <c r="H2582" s="17">
        <v>25</v>
      </c>
      <c r="I2582" s="31">
        <f t="shared" si="252"/>
        <v>25000</v>
      </c>
      <c r="J2582" s="31">
        <f t="shared" si="253"/>
        <v>1750.0000000000002</v>
      </c>
      <c r="K2582" s="44">
        <f t="shared" si="254"/>
        <v>4.794520547945206</v>
      </c>
      <c r="L2582" s="3">
        <f t="shared" si="255"/>
        <v>354.79452054794524</v>
      </c>
      <c r="M2582" s="3">
        <f t="shared" si="256"/>
        <v>21.287671232876715</v>
      </c>
      <c r="N2582" s="67">
        <f t="shared" si="257"/>
        <v>333.50684931506851</v>
      </c>
      <c r="O2582" s="3"/>
      <c r="P2582" s="70" t="s">
        <v>18613</v>
      </c>
      <c r="Q2582" s="2" t="s">
        <v>336</v>
      </c>
      <c r="R2582" s="2" t="s">
        <v>14588</v>
      </c>
      <c r="T2582" t="s">
        <v>18666</v>
      </c>
      <c r="U2582" t="s">
        <v>18652</v>
      </c>
      <c r="V2582" s="104">
        <v>45857</v>
      </c>
      <c r="X2582" s="97"/>
      <c r="Y2582" s="75">
        <v>333.51</v>
      </c>
    </row>
    <row r="2583" spans="1:25" x14ac:dyDescent="0.25">
      <c r="A2583" s="76">
        <v>2615</v>
      </c>
      <c r="B2583" s="2" t="s">
        <v>15134</v>
      </c>
      <c r="C2583" s="2" t="s">
        <v>14397</v>
      </c>
      <c r="D2583" s="2" t="s">
        <v>15125</v>
      </c>
      <c r="E2583" s="2" t="s">
        <v>14395</v>
      </c>
      <c r="F2583" s="2" t="s">
        <v>15135</v>
      </c>
      <c r="G2583" s="2" t="s">
        <v>31</v>
      </c>
      <c r="H2583" s="17">
        <v>40</v>
      </c>
      <c r="I2583" s="31">
        <f t="shared" si="252"/>
        <v>40000</v>
      </c>
      <c r="J2583" s="31">
        <f t="shared" si="253"/>
        <v>2800.0000000000005</v>
      </c>
      <c r="K2583" s="44">
        <f t="shared" si="254"/>
        <v>7.6712328767123301</v>
      </c>
      <c r="L2583" s="3">
        <f t="shared" si="255"/>
        <v>567.67123287671245</v>
      </c>
      <c r="M2583" s="3">
        <f t="shared" si="256"/>
        <v>34.060273972602744</v>
      </c>
      <c r="N2583" s="67">
        <f t="shared" si="257"/>
        <v>533.61095890410968</v>
      </c>
      <c r="O2583" s="3"/>
      <c r="P2583" s="70" t="s">
        <v>18613</v>
      </c>
      <c r="Q2583" s="2" t="s">
        <v>336</v>
      </c>
      <c r="R2583" s="2" t="s">
        <v>15136</v>
      </c>
      <c r="T2583" t="s">
        <v>18666</v>
      </c>
      <c r="U2583" t="s">
        <v>18652</v>
      </c>
      <c r="V2583" s="104">
        <v>45857</v>
      </c>
      <c r="X2583" s="97"/>
      <c r="Y2583" s="75">
        <v>533.62</v>
      </c>
    </row>
    <row r="2584" spans="1:25" x14ac:dyDescent="0.25">
      <c r="A2584" s="76">
        <v>2616</v>
      </c>
      <c r="B2584" s="2" t="s">
        <v>12087</v>
      </c>
      <c r="C2584" s="2" t="s">
        <v>12088</v>
      </c>
      <c r="D2584" s="2" t="s">
        <v>12089</v>
      </c>
      <c r="E2584" s="2" t="s">
        <v>12090</v>
      </c>
      <c r="F2584" s="2" t="s">
        <v>12091</v>
      </c>
      <c r="G2584" s="2" t="s">
        <v>718</v>
      </c>
      <c r="H2584" s="17">
        <v>25</v>
      </c>
      <c r="I2584" s="31">
        <f t="shared" si="252"/>
        <v>25000</v>
      </c>
      <c r="J2584" s="31">
        <f t="shared" si="253"/>
        <v>1750.0000000000002</v>
      </c>
      <c r="K2584" s="44">
        <f t="shared" si="254"/>
        <v>4.794520547945206</v>
      </c>
      <c r="L2584" s="3">
        <f t="shared" si="255"/>
        <v>354.79452054794524</v>
      </c>
      <c r="M2584" s="3">
        <f t="shared" si="256"/>
        <v>21.287671232876715</v>
      </c>
      <c r="N2584" s="67">
        <f t="shared" si="257"/>
        <v>333.50684931506851</v>
      </c>
      <c r="O2584" s="3"/>
      <c r="P2584" s="70" t="s">
        <v>18613</v>
      </c>
      <c r="Q2584" s="2" t="s">
        <v>336</v>
      </c>
      <c r="R2584" s="2" t="s">
        <v>12092</v>
      </c>
      <c r="T2584" t="s">
        <v>18666</v>
      </c>
      <c r="U2584" t="s">
        <v>18652</v>
      </c>
      <c r="V2584" s="104">
        <v>45857</v>
      </c>
      <c r="X2584" s="97"/>
      <c r="Y2584" s="75">
        <v>333.51</v>
      </c>
    </row>
    <row r="2585" spans="1:25" x14ac:dyDescent="0.25">
      <c r="A2585" s="76">
        <v>2617</v>
      </c>
      <c r="B2585" s="2" t="s">
        <v>18001</v>
      </c>
      <c r="C2585" s="2" t="s">
        <v>18002</v>
      </c>
      <c r="D2585" s="2" t="s">
        <v>18003</v>
      </c>
      <c r="E2585" s="2" t="s">
        <v>18004</v>
      </c>
      <c r="F2585" s="2" t="s">
        <v>18005</v>
      </c>
      <c r="G2585" s="2" t="s">
        <v>31</v>
      </c>
      <c r="H2585" s="17">
        <v>25</v>
      </c>
      <c r="I2585" s="31">
        <f t="shared" si="252"/>
        <v>25000</v>
      </c>
      <c r="J2585" s="31">
        <f t="shared" si="253"/>
        <v>1750.0000000000002</v>
      </c>
      <c r="K2585" s="44">
        <f t="shared" si="254"/>
        <v>4.794520547945206</v>
      </c>
      <c r="L2585" s="3">
        <f t="shared" si="255"/>
        <v>354.79452054794524</v>
      </c>
      <c r="M2585" s="3">
        <f t="shared" si="256"/>
        <v>21.287671232876715</v>
      </c>
      <c r="N2585" s="67">
        <f t="shared" si="257"/>
        <v>333.50684931506851</v>
      </c>
      <c r="O2585" s="3"/>
      <c r="P2585" s="70" t="s">
        <v>18613</v>
      </c>
      <c r="Q2585" s="2" t="s">
        <v>336</v>
      </c>
      <c r="R2585" s="2" t="s">
        <v>18006</v>
      </c>
      <c r="T2585" t="s">
        <v>18666</v>
      </c>
      <c r="U2585" t="s">
        <v>18652</v>
      </c>
      <c r="V2585" s="104">
        <v>45857</v>
      </c>
      <c r="X2585" s="97"/>
      <c r="Y2585" s="75">
        <v>333.51</v>
      </c>
    </row>
    <row r="2586" spans="1:25" x14ac:dyDescent="0.25">
      <c r="A2586" s="76">
        <v>2618</v>
      </c>
      <c r="B2586" s="2" t="s">
        <v>12573</v>
      </c>
      <c r="C2586" s="2" t="s">
        <v>12574</v>
      </c>
      <c r="D2586" s="2" t="s">
        <v>12575</v>
      </c>
      <c r="E2586" s="2" t="s">
        <v>12576</v>
      </c>
      <c r="F2586" s="2" t="s">
        <v>12577</v>
      </c>
      <c r="G2586" s="2" t="s">
        <v>31</v>
      </c>
      <c r="H2586" s="17">
        <v>150</v>
      </c>
      <c r="I2586" s="31">
        <f t="shared" si="252"/>
        <v>150000</v>
      </c>
      <c r="J2586" s="31">
        <f t="shared" si="253"/>
        <v>10500.000000000002</v>
      </c>
      <c r="K2586" s="44">
        <f t="shared" si="254"/>
        <v>28.767123287671239</v>
      </c>
      <c r="L2586" s="3">
        <f t="shared" si="255"/>
        <v>2128.7671232876719</v>
      </c>
      <c r="M2586" s="3">
        <f t="shared" si="256"/>
        <v>127.72602739726031</v>
      </c>
      <c r="N2586" s="67">
        <f t="shared" si="257"/>
        <v>2001.0410958904115</v>
      </c>
      <c r="O2586" s="3"/>
      <c r="P2586" s="70" t="s">
        <v>18613</v>
      </c>
      <c r="Q2586" s="2" t="s">
        <v>336</v>
      </c>
      <c r="R2586" s="2" t="s">
        <v>12578</v>
      </c>
      <c r="T2586" t="s">
        <v>18666</v>
      </c>
      <c r="U2586" t="s">
        <v>18652</v>
      </c>
      <c r="V2586" s="104">
        <v>45857</v>
      </c>
      <c r="X2586" s="97"/>
      <c r="Y2586" s="75">
        <v>2001.05</v>
      </c>
    </row>
    <row r="2587" spans="1:25" x14ac:dyDescent="0.25">
      <c r="A2587" s="76">
        <v>2619</v>
      </c>
      <c r="B2587" s="2" t="s">
        <v>16898</v>
      </c>
      <c r="C2587" s="2" t="s">
        <v>16899</v>
      </c>
      <c r="D2587" s="2" t="s">
        <v>16900</v>
      </c>
      <c r="E2587" s="2" t="s">
        <v>16901</v>
      </c>
      <c r="F2587" s="2" t="s">
        <v>16902</v>
      </c>
      <c r="G2587" s="2" t="s">
        <v>31</v>
      </c>
      <c r="H2587" s="17">
        <v>100</v>
      </c>
      <c r="I2587" s="31">
        <f t="shared" si="252"/>
        <v>100000</v>
      </c>
      <c r="J2587" s="31">
        <f t="shared" si="253"/>
        <v>7000.0000000000009</v>
      </c>
      <c r="K2587" s="44">
        <f t="shared" si="254"/>
        <v>19.178082191780824</v>
      </c>
      <c r="L2587" s="3">
        <f t="shared" si="255"/>
        <v>1419.178082191781</v>
      </c>
      <c r="M2587" s="3">
        <f t="shared" si="256"/>
        <v>85.150684931506859</v>
      </c>
      <c r="N2587" s="67">
        <f t="shared" si="257"/>
        <v>1334.027397260274</v>
      </c>
      <c r="O2587" s="3"/>
      <c r="P2587" s="70" t="s">
        <v>18613</v>
      </c>
      <c r="Q2587" s="2" t="s">
        <v>336</v>
      </c>
      <c r="R2587" s="2" t="s">
        <v>16903</v>
      </c>
      <c r="T2587" t="s">
        <v>18666</v>
      </c>
      <c r="U2587" t="s">
        <v>18652</v>
      </c>
      <c r="V2587" s="104">
        <v>45857</v>
      </c>
      <c r="X2587" s="97"/>
      <c r="Y2587" s="75">
        <v>1334.03</v>
      </c>
    </row>
    <row r="2588" spans="1:25" x14ac:dyDescent="0.25">
      <c r="A2588" s="76">
        <v>2620</v>
      </c>
      <c r="B2588" s="2" t="s">
        <v>16128</v>
      </c>
      <c r="C2588" s="2" t="s">
        <v>16129</v>
      </c>
      <c r="D2588" s="2" t="s">
        <v>16130</v>
      </c>
      <c r="E2588" s="2" t="s">
        <v>16131</v>
      </c>
      <c r="F2588" s="2" t="s">
        <v>16132</v>
      </c>
      <c r="G2588" s="2" t="s">
        <v>31</v>
      </c>
      <c r="H2588" s="17">
        <v>500</v>
      </c>
      <c r="I2588" s="31">
        <f t="shared" si="252"/>
        <v>500000</v>
      </c>
      <c r="J2588" s="31">
        <f t="shared" si="253"/>
        <v>35000</v>
      </c>
      <c r="K2588" s="44">
        <f t="shared" si="254"/>
        <v>95.890410958904113</v>
      </c>
      <c r="L2588" s="3">
        <f t="shared" si="255"/>
        <v>7095.8904109589039</v>
      </c>
      <c r="M2588" s="3">
        <f t="shared" si="256"/>
        <v>425.7534246575342</v>
      </c>
      <c r="N2588" s="67">
        <f t="shared" si="257"/>
        <v>6670.1369863013697</v>
      </c>
      <c r="O2588" s="3"/>
      <c r="P2588" s="70" t="s">
        <v>18613</v>
      </c>
      <c r="Q2588" s="2" t="s">
        <v>336</v>
      </c>
      <c r="R2588" s="2" t="s">
        <v>16133</v>
      </c>
      <c r="T2588" t="s">
        <v>18666</v>
      </c>
      <c r="U2588" t="s">
        <v>18652</v>
      </c>
      <c r="V2588" s="104">
        <v>45857</v>
      </c>
      <c r="X2588" s="97"/>
      <c r="Y2588" s="75">
        <v>6670.14</v>
      </c>
    </row>
    <row r="2589" spans="1:25" x14ac:dyDescent="0.25">
      <c r="A2589" s="76">
        <v>2621</v>
      </c>
      <c r="B2589" s="2" t="s">
        <v>14963</v>
      </c>
      <c r="C2589" s="2" t="s">
        <v>14964</v>
      </c>
      <c r="D2589" s="2" t="s">
        <v>14965</v>
      </c>
      <c r="E2589" s="2" t="s">
        <v>14966</v>
      </c>
      <c r="F2589" s="2" t="s">
        <v>14967</v>
      </c>
      <c r="G2589" s="2" t="s">
        <v>23</v>
      </c>
      <c r="H2589" s="17">
        <v>45</v>
      </c>
      <c r="I2589" s="31">
        <f t="shared" si="252"/>
        <v>45000</v>
      </c>
      <c r="J2589" s="31">
        <f t="shared" si="253"/>
        <v>3150.0000000000005</v>
      </c>
      <c r="K2589" s="44">
        <f t="shared" si="254"/>
        <v>8.6301369863013715</v>
      </c>
      <c r="L2589" s="3">
        <f t="shared" si="255"/>
        <v>638.63013698630152</v>
      </c>
      <c r="M2589" s="3">
        <f t="shared" si="256"/>
        <v>38.31780821917809</v>
      </c>
      <c r="N2589" s="67">
        <f t="shared" si="257"/>
        <v>600.3123287671234</v>
      </c>
      <c r="O2589" s="3"/>
      <c r="P2589" s="70" t="s">
        <v>18613</v>
      </c>
      <c r="Q2589" s="2" t="s">
        <v>336</v>
      </c>
      <c r="R2589" s="2" t="s">
        <v>14968</v>
      </c>
      <c r="T2589" t="s">
        <v>18666</v>
      </c>
      <c r="U2589" t="s">
        <v>18652</v>
      </c>
      <c r="V2589" s="104">
        <v>45857</v>
      </c>
      <c r="X2589" s="97"/>
      <c r="Y2589" s="75">
        <v>600.31999999999994</v>
      </c>
    </row>
    <row r="2590" spans="1:25" x14ac:dyDescent="0.25">
      <c r="A2590" s="76">
        <v>2622</v>
      </c>
      <c r="B2590" s="2" t="s">
        <v>5280</v>
      </c>
      <c r="C2590" s="2" t="s">
        <v>5281</v>
      </c>
      <c r="D2590" s="2" t="s">
        <v>5282</v>
      </c>
      <c r="E2590" s="2" t="s">
        <v>5283</v>
      </c>
      <c r="F2590" s="2" t="s">
        <v>5284</v>
      </c>
      <c r="G2590" s="2" t="s">
        <v>750</v>
      </c>
      <c r="H2590" s="17">
        <v>25</v>
      </c>
      <c r="I2590" s="31">
        <f t="shared" si="252"/>
        <v>25000</v>
      </c>
      <c r="J2590" s="31">
        <f t="shared" si="253"/>
        <v>1750.0000000000002</v>
      </c>
      <c r="K2590" s="44">
        <f t="shared" si="254"/>
        <v>4.794520547945206</v>
      </c>
      <c r="L2590" s="3">
        <f t="shared" si="255"/>
        <v>354.79452054794524</v>
      </c>
      <c r="M2590" s="3">
        <f t="shared" si="256"/>
        <v>21.287671232876715</v>
      </c>
      <c r="N2590" s="67">
        <f t="shared" si="257"/>
        <v>333.50684931506851</v>
      </c>
      <c r="O2590" s="3"/>
      <c r="P2590" s="70" t="s">
        <v>18613</v>
      </c>
      <c r="Q2590" s="2" t="s">
        <v>336</v>
      </c>
      <c r="R2590" s="2" t="s">
        <v>5285</v>
      </c>
      <c r="T2590" t="s">
        <v>18666</v>
      </c>
      <c r="U2590" t="s">
        <v>18652</v>
      </c>
      <c r="V2590" s="104">
        <v>45857</v>
      </c>
      <c r="X2590" s="97"/>
      <c r="Y2590" s="75">
        <v>333.51</v>
      </c>
    </row>
    <row r="2591" spans="1:25" x14ac:dyDescent="0.25">
      <c r="A2591" s="76">
        <v>2623</v>
      </c>
      <c r="B2591" s="2" t="s">
        <v>7143</v>
      </c>
      <c r="C2591" s="2" t="s">
        <v>7144</v>
      </c>
      <c r="D2591" s="2" t="s">
        <v>7145</v>
      </c>
      <c r="E2591" s="2" t="s">
        <v>7146</v>
      </c>
      <c r="F2591" s="2" t="s">
        <v>7147</v>
      </c>
      <c r="G2591" s="2" t="s">
        <v>750</v>
      </c>
      <c r="H2591" s="17">
        <v>25</v>
      </c>
      <c r="I2591" s="31">
        <f t="shared" si="252"/>
        <v>25000</v>
      </c>
      <c r="J2591" s="31">
        <f t="shared" si="253"/>
        <v>1750.0000000000002</v>
      </c>
      <c r="K2591" s="44">
        <f t="shared" si="254"/>
        <v>4.794520547945206</v>
      </c>
      <c r="L2591" s="3">
        <f t="shared" si="255"/>
        <v>354.79452054794524</v>
      </c>
      <c r="M2591" s="3">
        <f t="shared" si="256"/>
        <v>21.287671232876715</v>
      </c>
      <c r="N2591" s="67">
        <f t="shared" si="257"/>
        <v>333.50684931506851</v>
      </c>
      <c r="O2591" s="3"/>
      <c r="P2591" s="70" t="s">
        <v>18613</v>
      </c>
      <c r="Q2591" s="2" t="s">
        <v>336</v>
      </c>
      <c r="R2591" s="2" t="s">
        <v>7148</v>
      </c>
      <c r="T2591" t="s">
        <v>18666</v>
      </c>
      <c r="U2591" t="s">
        <v>18652</v>
      </c>
      <c r="V2591" s="104">
        <v>45857</v>
      </c>
      <c r="X2591" s="97"/>
      <c r="Y2591" s="75">
        <v>333.51</v>
      </c>
    </row>
    <row r="2592" spans="1:25" x14ac:dyDescent="0.25">
      <c r="A2592" s="76">
        <v>2624</v>
      </c>
      <c r="B2592" s="2" t="s">
        <v>5802</v>
      </c>
      <c r="C2592" s="2" t="s">
        <v>5803</v>
      </c>
      <c r="D2592" s="2" t="s">
        <v>5804</v>
      </c>
      <c r="E2592" s="2" t="s">
        <v>5805</v>
      </c>
      <c r="F2592" s="2" t="s">
        <v>5806</v>
      </c>
      <c r="G2592" s="2" t="s">
        <v>282</v>
      </c>
      <c r="H2592" s="17">
        <v>25</v>
      </c>
      <c r="I2592" s="31">
        <f t="shared" si="252"/>
        <v>25000</v>
      </c>
      <c r="J2592" s="31">
        <f t="shared" si="253"/>
        <v>1750.0000000000002</v>
      </c>
      <c r="K2592" s="44">
        <f t="shared" si="254"/>
        <v>4.794520547945206</v>
      </c>
      <c r="L2592" s="3">
        <f t="shared" si="255"/>
        <v>354.79452054794524</v>
      </c>
      <c r="M2592" s="3">
        <f t="shared" si="256"/>
        <v>21.287671232876715</v>
      </c>
      <c r="N2592" s="67">
        <f t="shared" si="257"/>
        <v>333.50684931506851</v>
      </c>
      <c r="O2592" s="3"/>
      <c r="P2592" s="70" t="s">
        <v>18613</v>
      </c>
      <c r="Q2592" s="2" t="s">
        <v>336</v>
      </c>
      <c r="R2592" s="2" t="s">
        <v>5807</v>
      </c>
      <c r="T2592" t="s">
        <v>18666</v>
      </c>
      <c r="U2592" t="s">
        <v>18652</v>
      </c>
      <c r="V2592" s="104">
        <v>45857</v>
      </c>
      <c r="X2592" s="97"/>
      <c r="Y2592" s="75">
        <v>333.51</v>
      </c>
    </row>
    <row r="2593" spans="1:25" x14ac:dyDescent="0.25">
      <c r="A2593" s="76">
        <v>2625</v>
      </c>
      <c r="B2593" s="2" t="s">
        <v>2591</v>
      </c>
      <c r="C2593" s="2" t="s">
        <v>2592</v>
      </c>
      <c r="D2593" s="2" t="s">
        <v>2593</v>
      </c>
      <c r="E2593" s="2" t="s">
        <v>2594</v>
      </c>
      <c r="F2593" s="2" t="s">
        <v>2595</v>
      </c>
      <c r="G2593" s="2" t="s">
        <v>510</v>
      </c>
      <c r="H2593" s="17">
        <v>25</v>
      </c>
      <c r="I2593" s="31">
        <f t="shared" si="252"/>
        <v>25000</v>
      </c>
      <c r="J2593" s="31">
        <f t="shared" si="253"/>
        <v>1750.0000000000002</v>
      </c>
      <c r="K2593" s="44">
        <f t="shared" si="254"/>
        <v>4.794520547945206</v>
      </c>
      <c r="L2593" s="3">
        <f t="shared" si="255"/>
        <v>354.79452054794524</v>
      </c>
      <c r="M2593" s="3">
        <f t="shared" si="256"/>
        <v>21.287671232876715</v>
      </c>
      <c r="N2593" s="67">
        <f t="shared" si="257"/>
        <v>333.50684931506851</v>
      </c>
      <c r="O2593" s="3"/>
      <c r="P2593" s="70" t="s">
        <v>18613</v>
      </c>
      <c r="Q2593" s="2" t="s">
        <v>336</v>
      </c>
      <c r="R2593" s="2" t="s">
        <v>2596</v>
      </c>
      <c r="T2593" t="s">
        <v>18666</v>
      </c>
      <c r="U2593" t="s">
        <v>18652</v>
      </c>
      <c r="V2593" s="104">
        <v>45857</v>
      </c>
      <c r="X2593" s="97"/>
      <c r="Y2593" s="75">
        <v>333.51</v>
      </c>
    </row>
    <row r="2594" spans="1:25" x14ac:dyDescent="0.25">
      <c r="A2594" s="76">
        <v>2626</v>
      </c>
      <c r="B2594" s="2" t="s">
        <v>11329</v>
      </c>
      <c r="C2594" s="2" t="s">
        <v>11330</v>
      </c>
      <c r="D2594" s="2" t="s">
        <v>11331</v>
      </c>
      <c r="E2594" s="2" t="s">
        <v>11332</v>
      </c>
      <c r="F2594" s="2" t="s">
        <v>11333</v>
      </c>
      <c r="G2594" s="2" t="s">
        <v>876</v>
      </c>
      <c r="H2594" s="17">
        <v>25</v>
      </c>
      <c r="I2594" s="31">
        <f t="shared" si="252"/>
        <v>25000</v>
      </c>
      <c r="J2594" s="31">
        <f t="shared" si="253"/>
        <v>1750.0000000000002</v>
      </c>
      <c r="K2594" s="44">
        <f t="shared" si="254"/>
        <v>4.794520547945206</v>
      </c>
      <c r="L2594" s="3">
        <f t="shared" si="255"/>
        <v>354.79452054794524</v>
      </c>
      <c r="M2594" s="3">
        <f t="shared" si="256"/>
        <v>21.287671232876715</v>
      </c>
      <c r="N2594" s="67">
        <f t="shared" si="257"/>
        <v>333.50684931506851</v>
      </c>
      <c r="O2594" s="3"/>
      <c r="P2594" s="70" t="s">
        <v>18637</v>
      </c>
      <c r="Q2594" s="2" t="s">
        <v>81</v>
      </c>
      <c r="R2594" s="2" t="s">
        <v>11334</v>
      </c>
      <c r="T2594" t="s">
        <v>18666</v>
      </c>
      <c r="U2594" t="s">
        <v>18652</v>
      </c>
      <c r="V2594" s="104">
        <v>45857</v>
      </c>
      <c r="X2594" s="97"/>
      <c r="Y2594" s="75">
        <v>333.51</v>
      </c>
    </row>
    <row r="2595" spans="1:25" x14ac:dyDescent="0.25">
      <c r="A2595" s="76">
        <v>2627</v>
      </c>
      <c r="B2595" s="2" t="s">
        <v>11055</v>
      </c>
      <c r="C2595" s="2" t="s">
        <v>11056</v>
      </c>
      <c r="D2595" s="2" t="s">
        <v>11057</v>
      </c>
      <c r="E2595" s="2" t="s">
        <v>11058</v>
      </c>
      <c r="F2595" s="2" t="s">
        <v>11059</v>
      </c>
      <c r="G2595" s="2" t="s">
        <v>144</v>
      </c>
      <c r="H2595" s="17">
        <v>25</v>
      </c>
      <c r="I2595" s="31">
        <f t="shared" si="252"/>
        <v>25000</v>
      </c>
      <c r="J2595" s="31">
        <f t="shared" si="253"/>
        <v>1750.0000000000002</v>
      </c>
      <c r="K2595" s="44">
        <f t="shared" si="254"/>
        <v>4.794520547945206</v>
      </c>
      <c r="L2595" s="3">
        <f t="shared" si="255"/>
        <v>354.79452054794524</v>
      </c>
      <c r="M2595" s="3">
        <f t="shared" si="256"/>
        <v>21.287671232876715</v>
      </c>
      <c r="N2595" s="67">
        <f t="shared" si="257"/>
        <v>333.50684931506851</v>
      </c>
      <c r="O2595" s="3"/>
      <c r="P2595" s="70" t="s">
        <v>18637</v>
      </c>
      <c r="Q2595" s="2" t="s">
        <v>81</v>
      </c>
      <c r="R2595" s="2" t="s">
        <v>11060</v>
      </c>
      <c r="T2595" t="s">
        <v>18666</v>
      </c>
      <c r="U2595" t="s">
        <v>18652</v>
      </c>
      <c r="V2595" s="104">
        <v>45857</v>
      </c>
      <c r="X2595" s="97"/>
      <c r="Y2595" s="75">
        <v>333.51</v>
      </c>
    </row>
    <row r="2596" spans="1:25" x14ac:dyDescent="0.25">
      <c r="A2596" s="76">
        <v>2628</v>
      </c>
      <c r="B2596" s="2" t="s">
        <v>9451</v>
      </c>
      <c r="C2596" s="2" t="s">
        <v>9452</v>
      </c>
      <c r="D2596" s="2" t="s">
        <v>9453</v>
      </c>
      <c r="E2596" s="2" t="s">
        <v>9454</v>
      </c>
      <c r="F2596" s="2" t="s">
        <v>9455</v>
      </c>
      <c r="G2596" s="2" t="s">
        <v>31</v>
      </c>
      <c r="H2596" s="17">
        <v>25</v>
      </c>
      <c r="I2596" s="31">
        <f t="shared" si="252"/>
        <v>25000</v>
      </c>
      <c r="J2596" s="31">
        <f t="shared" si="253"/>
        <v>1750.0000000000002</v>
      </c>
      <c r="K2596" s="44">
        <f t="shared" si="254"/>
        <v>4.794520547945206</v>
      </c>
      <c r="L2596" s="3">
        <f t="shared" si="255"/>
        <v>354.79452054794524</v>
      </c>
      <c r="M2596" s="3">
        <f t="shared" si="256"/>
        <v>21.287671232876715</v>
      </c>
      <c r="N2596" s="67">
        <f t="shared" si="257"/>
        <v>333.50684931506851</v>
      </c>
      <c r="O2596" s="3"/>
      <c r="P2596" s="70" t="s">
        <v>18637</v>
      </c>
      <c r="Q2596" s="2" t="s">
        <v>81</v>
      </c>
      <c r="R2596" s="2" t="s">
        <v>9456</v>
      </c>
      <c r="T2596" t="s">
        <v>18666</v>
      </c>
      <c r="U2596" t="s">
        <v>18652</v>
      </c>
      <c r="V2596" s="104">
        <v>45857</v>
      </c>
      <c r="X2596" s="97"/>
      <c r="Y2596" s="75">
        <v>333.51</v>
      </c>
    </row>
    <row r="2597" spans="1:25" x14ac:dyDescent="0.25">
      <c r="A2597" s="76">
        <v>2629</v>
      </c>
      <c r="B2597" s="2" t="s">
        <v>9463</v>
      </c>
      <c r="C2597" s="2" t="s">
        <v>9464</v>
      </c>
      <c r="D2597" s="2" t="s">
        <v>9465</v>
      </c>
      <c r="E2597" s="2" t="s">
        <v>9466</v>
      </c>
      <c r="F2597" s="2" t="s">
        <v>9467</v>
      </c>
      <c r="G2597" s="2" t="s">
        <v>31</v>
      </c>
      <c r="H2597" s="17">
        <v>25</v>
      </c>
      <c r="I2597" s="31">
        <f t="shared" si="252"/>
        <v>25000</v>
      </c>
      <c r="J2597" s="31">
        <f t="shared" si="253"/>
        <v>1750.0000000000002</v>
      </c>
      <c r="K2597" s="44">
        <f t="shared" si="254"/>
        <v>4.794520547945206</v>
      </c>
      <c r="L2597" s="3">
        <f t="shared" si="255"/>
        <v>354.79452054794524</v>
      </c>
      <c r="M2597" s="3">
        <f t="shared" si="256"/>
        <v>21.287671232876715</v>
      </c>
      <c r="N2597" s="67">
        <f t="shared" si="257"/>
        <v>333.50684931506851</v>
      </c>
      <c r="O2597" s="3"/>
      <c r="P2597" s="70" t="s">
        <v>18637</v>
      </c>
      <c r="Q2597" s="2" t="s">
        <v>81</v>
      </c>
      <c r="R2597" s="2" t="s">
        <v>9468</v>
      </c>
      <c r="T2597" t="s">
        <v>18666</v>
      </c>
      <c r="U2597" t="s">
        <v>18652</v>
      </c>
      <c r="V2597" s="104">
        <v>45857</v>
      </c>
      <c r="X2597" s="97"/>
      <c r="Y2597" s="75">
        <v>333.51</v>
      </c>
    </row>
    <row r="2598" spans="1:25" x14ac:dyDescent="0.25">
      <c r="A2598" s="76">
        <v>2630</v>
      </c>
      <c r="B2598" s="2" t="s">
        <v>12855</v>
      </c>
      <c r="C2598" s="2" t="s">
        <v>12856</v>
      </c>
      <c r="D2598" s="2" t="s">
        <v>12857</v>
      </c>
      <c r="E2598" s="2" t="s">
        <v>12858</v>
      </c>
      <c r="F2598" s="2" t="s">
        <v>12859</v>
      </c>
      <c r="G2598" s="2" t="s">
        <v>517</v>
      </c>
      <c r="H2598" s="17">
        <v>50</v>
      </c>
      <c r="I2598" s="31">
        <f t="shared" si="252"/>
        <v>50000</v>
      </c>
      <c r="J2598" s="31">
        <f t="shared" si="253"/>
        <v>3500.0000000000005</v>
      </c>
      <c r="K2598" s="44">
        <f t="shared" si="254"/>
        <v>9.589041095890412</v>
      </c>
      <c r="L2598" s="3">
        <f t="shared" si="255"/>
        <v>709.58904109589048</v>
      </c>
      <c r="M2598" s="3">
        <f t="shared" si="256"/>
        <v>42.57534246575343</v>
      </c>
      <c r="N2598" s="67">
        <f t="shared" si="257"/>
        <v>667.01369863013701</v>
      </c>
      <c r="O2598" s="3"/>
      <c r="P2598" s="70" t="s">
        <v>18637</v>
      </c>
      <c r="Q2598" s="2" t="s">
        <v>81</v>
      </c>
      <c r="R2598" s="2" t="s">
        <v>12860</v>
      </c>
      <c r="T2598" t="s">
        <v>18666</v>
      </c>
      <c r="U2598" t="s">
        <v>18652</v>
      </c>
      <c r="V2598" s="104">
        <v>45857</v>
      </c>
      <c r="X2598" s="97"/>
      <c r="Y2598" s="75">
        <v>667.02</v>
      </c>
    </row>
    <row r="2599" spans="1:25" x14ac:dyDescent="0.25">
      <c r="A2599" s="76">
        <v>2631</v>
      </c>
      <c r="B2599" s="2" t="s">
        <v>7119</v>
      </c>
      <c r="C2599" s="2" t="s">
        <v>7120</v>
      </c>
      <c r="D2599" s="2" t="s">
        <v>7121</v>
      </c>
      <c r="E2599" s="2" t="s">
        <v>7122</v>
      </c>
      <c r="F2599" s="2" t="s">
        <v>7123</v>
      </c>
      <c r="G2599" s="2" t="s">
        <v>31</v>
      </c>
      <c r="H2599" s="17">
        <v>25</v>
      </c>
      <c r="I2599" s="31">
        <f t="shared" si="252"/>
        <v>25000</v>
      </c>
      <c r="J2599" s="31">
        <f t="shared" si="253"/>
        <v>1750.0000000000002</v>
      </c>
      <c r="K2599" s="44">
        <f t="shared" si="254"/>
        <v>4.794520547945206</v>
      </c>
      <c r="L2599" s="3">
        <f t="shared" si="255"/>
        <v>354.79452054794524</v>
      </c>
      <c r="M2599" s="3">
        <f t="shared" si="256"/>
        <v>21.287671232876715</v>
      </c>
      <c r="N2599" s="67">
        <f t="shared" si="257"/>
        <v>333.50684931506851</v>
      </c>
      <c r="O2599" s="3"/>
      <c r="P2599" s="70" t="s">
        <v>18637</v>
      </c>
      <c r="Q2599" s="2" t="s">
        <v>81</v>
      </c>
      <c r="R2599" s="2" t="s">
        <v>7124</v>
      </c>
      <c r="T2599" t="s">
        <v>18666</v>
      </c>
      <c r="U2599" t="s">
        <v>18652</v>
      </c>
      <c r="V2599" s="104">
        <v>45857</v>
      </c>
      <c r="X2599" s="97"/>
      <c r="Y2599" s="75">
        <v>333.51</v>
      </c>
    </row>
    <row r="2600" spans="1:25" x14ac:dyDescent="0.25">
      <c r="A2600" s="76">
        <v>2632</v>
      </c>
      <c r="B2600" s="2" t="s">
        <v>8236</v>
      </c>
      <c r="C2600" s="2" t="s">
        <v>8237</v>
      </c>
      <c r="D2600" s="2" t="s">
        <v>8238</v>
      </c>
      <c r="E2600" s="2" t="s">
        <v>8239</v>
      </c>
      <c r="F2600" s="2" t="s">
        <v>8240</v>
      </c>
      <c r="G2600" s="2" t="s">
        <v>524</v>
      </c>
      <c r="H2600" s="17">
        <v>25</v>
      </c>
      <c r="I2600" s="31">
        <f t="shared" si="252"/>
        <v>25000</v>
      </c>
      <c r="J2600" s="31">
        <f t="shared" si="253"/>
        <v>1750.0000000000002</v>
      </c>
      <c r="K2600" s="44">
        <f t="shared" si="254"/>
        <v>4.794520547945206</v>
      </c>
      <c r="L2600" s="3">
        <f t="shared" si="255"/>
        <v>354.79452054794524</v>
      </c>
      <c r="M2600" s="3">
        <f t="shared" si="256"/>
        <v>21.287671232876715</v>
      </c>
      <c r="N2600" s="67">
        <f t="shared" si="257"/>
        <v>333.50684931506851</v>
      </c>
      <c r="O2600" s="3"/>
      <c r="P2600" s="70" t="s">
        <v>18637</v>
      </c>
      <c r="Q2600" s="2" t="s">
        <v>81</v>
      </c>
      <c r="R2600" s="2" t="s">
        <v>8241</v>
      </c>
      <c r="T2600" t="s">
        <v>18666</v>
      </c>
      <c r="U2600" t="s">
        <v>18652</v>
      </c>
      <c r="V2600" s="104">
        <v>45857</v>
      </c>
      <c r="X2600" s="97"/>
      <c r="Y2600" s="75">
        <v>333.51</v>
      </c>
    </row>
    <row r="2601" spans="1:25" x14ac:dyDescent="0.25">
      <c r="A2601" s="76">
        <v>2633</v>
      </c>
      <c r="B2601" s="2" t="s">
        <v>13007</v>
      </c>
      <c r="C2601" s="2" t="s">
        <v>13008</v>
      </c>
      <c r="D2601" s="2" t="s">
        <v>13009</v>
      </c>
      <c r="E2601" s="2" t="s">
        <v>13010</v>
      </c>
      <c r="F2601" s="2" t="s">
        <v>13011</v>
      </c>
      <c r="G2601" s="2" t="s">
        <v>151</v>
      </c>
      <c r="H2601" s="17">
        <v>500</v>
      </c>
      <c r="I2601" s="31">
        <f t="shared" si="252"/>
        <v>500000</v>
      </c>
      <c r="J2601" s="31">
        <f t="shared" si="253"/>
        <v>35000</v>
      </c>
      <c r="K2601" s="44">
        <f t="shared" si="254"/>
        <v>95.890410958904113</v>
      </c>
      <c r="L2601" s="3">
        <f t="shared" si="255"/>
        <v>7095.8904109589039</v>
      </c>
      <c r="M2601" s="3">
        <f t="shared" si="256"/>
        <v>425.7534246575342</v>
      </c>
      <c r="N2601" s="67">
        <f t="shared" si="257"/>
        <v>6670.1369863013697</v>
      </c>
      <c r="O2601" s="3"/>
      <c r="P2601" s="70" t="s">
        <v>18637</v>
      </c>
      <c r="Q2601" s="2" t="s">
        <v>81</v>
      </c>
      <c r="R2601" s="2" t="s">
        <v>13012</v>
      </c>
      <c r="T2601" t="s">
        <v>18666</v>
      </c>
      <c r="U2601" t="s">
        <v>18652</v>
      </c>
      <c r="V2601" s="104">
        <v>45857</v>
      </c>
      <c r="X2601" s="97"/>
      <c r="Y2601" s="75">
        <v>6670.14</v>
      </c>
    </row>
    <row r="2602" spans="1:25" x14ac:dyDescent="0.25">
      <c r="A2602" s="76">
        <v>2634</v>
      </c>
      <c r="B2602" s="2" t="s">
        <v>8248</v>
      </c>
      <c r="C2602" s="2" t="s">
        <v>8249</v>
      </c>
      <c r="D2602" s="2" t="s">
        <v>8250</v>
      </c>
      <c r="E2602" s="2" t="s">
        <v>8251</v>
      </c>
      <c r="F2602" s="2" t="s">
        <v>8252</v>
      </c>
      <c r="G2602" s="2" t="s">
        <v>31</v>
      </c>
      <c r="H2602" s="17">
        <v>50</v>
      </c>
      <c r="I2602" s="31">
        <f t="shared" si="252"/>
        <v>50000</v>
      </c>
      <c r="J2602" s="31">
        <f t="shared" si="253"/>
        <v>3500.0000000000005</v>
      </c>
      <c r="K2602" s="44">
        <f t="shared" si="254"/>
        <v>9.589041095890412</v>
      </c>
      <c r="L2602" s="3">
        <f t="shared" si="255"/>
        <v>709.58904109589048</v>
      </c>
      <c r="M2602" s="3">
        <f t="shared" si="256"/>
        <v>42.57534246575343</v>
      </c>
      <c r="N2602" s="67">
        <f t="shared" si="257"/>
        <v>667.01369863013701</v>
      </c>
      <c r="O2602" s="3"/>
      <c r="P2602" s="70" t="s">
        <v>18637</v>
      </c>
      <c r="Q2602" s="2" t="s">
        <v>81</v>
      </c>
      <c r="R2602" s="2" t="s">
        <v>8253</v>
      </c>
      <c r="T2602" t="s">
        <v>18666</v>
      </c>
      <c r="U2602" t="s">
        <v>18652</v>
      </c>
      <c r="V2602" s="104">
        <v>45857</v>
      </c>
      <c r="X2602" s="97"/>
      <c r="Y2602" s="75">
        <v>667.02</v>
      </c>
    </row>
    <row r="2603" spans="1:25" x14ac:dyDescent="0.25">
      <c r="A2603" s="76">
        <v>2635</v>
      </c>
      <c r="B2603" s="2" t="s">
        <v>2711</v>
      </c>
      <c r="C2603" s="2" t="s">
        <v>2712</v>
      </c>
      <c r="D2603" s="2" t="s">
        <v>2713</v>
      </c>
      <c r="E2603" s="2" t="s">
        <v>2714</v>
      </c>
      <c r="F2603" s="2" t="s">
        <v>2715</v>
      </c>
      <c r="G2603" s="2" t="s">
        <v>233</v>
      </c>
      <c r="H2603" s="17">
        <v>25</v>
      </c>
      <c r="I2603" s="31">
        <f t="shared" si="252"/>
        <v>25000</v>
      </c>
      <c r="J2603" s="31">
        <f t="shared" si="253"/>
        <v>1750.0000000000002</v>
      </c>
      <c r="K2603" s="44">
        <f t="shared" si="254"/>
        <v>4.794520547945206</v>
      </c>
      <c r="L2603" s="3">
        <f t="shared" si="255"/>
        <v>354.79452054794524</v>
      </c>
      <c r="M2603" s="3">
        <f t="shared" si="256"/>
        <v>21.287671232876715</v>
      </c>
      <c r="N2603" s="67">
        <f t="shared" si="257"/>
        <v>333.50684931506851</v>
      </c>
      <c r="O2603" s="3"/>
      <c r="P2603" s="70" t="s">
        <v>18637</v>
      </c>
      <c r="Q2603" s="2" t="s">
        <v>81</v>
      </c>
      <c r="R2603" s="2" t="s">
        <v>2716</v>
      </c>
      <c r="T2603" t="s">
        <v>18666</v>
      </c>
      <c r="U2603" t="s">
        <v>18652</v>
      </c>
      <c r="V2603" s="104">
        <v>45857</v>
      </c>
      <c r="X2603" s="97"/>
      <c r="Y2603" s="75">
        <v>333.51</v>
      </c>
    </row>
    <row r="2604" spans="1:25" x14ac:dyDescent="0.25">
      <c r="A2604" s="76">
        <v>2636</v>
      </c>
      <c r="B2604" s="2" t="s">
        <v>16733</v>
      </c>
      <c r="C2604" s="2" t="s">
        <v>16734</v>
      </c>
      <c r="D2604" s="2" t="s">
        <v>16735</v>
      </c>
      <c r="E2604" s="2" t="s">
        <v>16736</v>
      </c>
      <c r="F2604" s="2" t="s">
        <v>16737</v>
      </c>
      <c r="G2604" s="2" t="s">
        <v>39</v>
      </c>
      <c r="H2604" s="17">
        <v>50</v>
      </c>
      <c r="I2604" s="31">
        <f t="shared" si="252"/>
        <v>50000</v>
      </c>
      <c r="J2604" s="31">
        <f t="shared" si="253"/>
        <v>3500.0000000000005</v>
      </c>
      <c r="K2604" s="44">
        <f t="shared" si="254"/>
        <v>9.589041095890412</v>
      </c>
      <c r="L2604" s="3">
        <f t="shared" si="255"/>
        <v>709.58904109589048</v>
      </c>
      <c r="M2604" s="3">
        <f t="shared" si="256"/>
        <v>42.57534246575343</v>
      </c>
      <c r="N2604" s="67">
        <f t="shared" si="257"/>
        <v>667.01369863013701</v>
      </c>
      <c r="O2604" s="3"/>
      <c r="P2604" s="70" t="s">
        <v>18637</v>
      </c>
      <c r="Q2604" s="2" t="s">
        <v>81</v>
      </c>
      <c r="R2604" s="2" t="s">
        <v>16738</v>
      </c>
      <c r="T2604" t="s">
        <v>18666</v>
      </c>
      <c r="U2604" t="s">
        <v>18652</v>
      </c>
      <c r="V2604" s="104">
        <v>45857</v>
      </c>
      <c r="X2604" s="97"/>
      <c r="Y2604" s="75">
        <v>667.02</v>
      </c>
    </row>
    <row r="2605" spans="1:25" x14ac:dyDescent="0.25">
      <c r="A2605" s="76">
        <v>2637</v>
      </c>
      <c r="B2605" s="2" t="s">
        <v>9867</v>
      </c>
      <c r="C2605" s="2" t="s">
        <v>9868</v>
      </c>
      <c r="D2605" s="2" t="s">
        <v>9869</v>
      </c>
      <c r="E2605" s="2" t="s">
        <v>9870</v>
      </c>
      <c r="F2605" s="2" t="s">
        <v>9871</v>
      </c>
      <c r="G2605" s="2" t="s">
        <v>618</v>
      </c>
      <c r="H2605" s="17">
        <v>100</v>
      </c>
      <c r="I2605" s="31">
        <f t="shared" si="252"/>
        <v>100000</v>
      </c>
      <c r="J2605" s="31">
        <f t="shared" si="253"/>
        <v>7000.0000000000009</v>
      </c>
      <c r="K2605" s="44">
        <f t="shared" si="254"/>
        <v>19.178082191780824</v>
      </c>
      <c r="L2605" s="3">
        <f t="shared" si="255"/>
        <v>1419.178082191781</v>
      </c>
      <c r="M2605" s="3">
        <f t="shared" si="256"/>
        <v>85.150684931506859</v>
      </c>
      <c r="N2605" s="67">
        <f t="shared" si="257"/>
        <v>1334.027397260274</v>
      </c>
      <c r="O2605" s="3"/>
      <c r="P2605" s="70" t="s">
        <v>18637</v>
      </c>
      <c r="Q2605" s="2" t="s">
        <v>81</v>
      </c>
      <c r="R2605" s="2" t="s">
        <v>9872</v>
      </c>
      <c r="T2605" t="s">
        <v>18666</v>
      </c>
      <c r="U2605" t="s">
        <v>18652</v>
      </c>
      <c r="V2605" s="104">
        <v>45857</v>
      </c>
      <c r="X2605" s="97"/>
      <c r="Y2605" s="75">
        <v>1334.03</v>
      </c>
    </row>
    <row r="2606" spans="1:25" x14ac:dyDescent="0.25">
      <c r="A2606" s="76">
        <v>2638</v>
      </c>
      <c r="B2606" s="2" t="s">
        <v>12507</v>
      </c>
      <c r="C2606" s="2" t="s">
        <v>12508</v>
      </c>
      <c r="D2606" s="2" t="s">
        <v>12509</v>
      </c>
      <c r="E2606" s="2" t="s">
        <v>12510</v>
      </c>
      <c r="F2606" s="2" t="s">
        <v>12511</v>
      </c>
      <c r="G2606" s="2" t="s">
        <v>173</v>
      </c>
      <c r="H2606" s="17">
        <v>25</v>
      </c>
      <c r="I2606" s="31">
        <f t="shared" si="252"/>
        <v>25000</v>
      </c>
      <c r="J2606" s="31">
        <f t="shared" si="253"/>
        <v>1750.0000000000002</v>
      </c>
      <c r="K2606" s="44">
        <f t="shared" si="254"/>
        <v>4.794520547945206</v>
      </c>
      <c r="L2606" s="3">
        <f t="shared" si="255"/>
        <v>354.79452054794524</v>
      </c>
      <c r="M2606" s="3">
        <f t="shared" si="256"/>
        <v>21.287671232876715</v>
      </c>
      <c r="N2606" s="67">
        <f t="shared" si="257"/>
        <v>333.50684931506851</v>
      </c>
      <c r="O2606" s="3"/>
      <c r="P2606" s="70" t="s">
        <v>18637</v>
      </c>
      <c r="Q2606" s="2" t="s">
        <v>81</v>
      </c>
      <c r="R2606" s="2" t="s">
        <v>12512</v>
      </c>
      <c r="T2606" t="s">
        <v>18666</v>
      </c>
      <c r="U2606" t="s">
        <v>18652</v>
      </c>
      <c r="V2606" s="104">
        <v>45857</v>
      </c>
      <c r="X2606" s="97"/>
      <c r="Y2606" s="75">
        <v>333.51</v>
      </c>
    </row>
    <row r="2607" spans="1:25" x14ac:dyDescent="0.25">
      <c r="A2607" s="76">
        <v>2639</v>
      </c>
      <c r="B2607" s="2" t="s">
        <v>6029</v>
      </c>
      <c r="C2607" s="2" t="s">
        <v>6030</v>
      </c>
      <c r="D2607" s="2" t="s">
        <v>6031</v>
      </c>
      <c r="E2607" s="2" t="s">
        <v>6032</v>
      </c>
      <c r="F2607" s="2" t="s">
        <v>6033</v>
      </c>
      <c r="G2607" s="2" t="s">
        <v>412</v>
      </c>
      <c r="H2607" s="17">
        <v>25</v>
      </c>
      <c r="I2607" s="31">
        <f t="shared" si="252"/>
        <v>25000</v>
      </c>
      <c r="J2607" s="31">
        <f t="shared" si="253"/>
        <v>1750.0000000000002</v>
      </c>
      <c r="K2607" s="44">
        <f t="shared" si="254"/>
        <v>4.794520547945206</v>
      </c>
      <c r="L2607" s="3">
        <f t="shared" si="255"/>
        <v>354.79452054794524</v>
      </c>
      <c r="M2607" s="3">
        <f t="shared" si="256"/>
        <v>21.287671232876715</v>
      </c>
      <c r="N2607" s="67">
        <f t="shared" si="257"/>
        <v>333.50684931506851</v>
      </c>
      <c r="O2607" s="3"/>
      <c r="P2607" s="70" t="s">
        <v>18637</v>
      </c>
      <c r="Q2607" s="2" t="s">
        <v>81</v>
      </c>
      <c r="R2607" s="2" t="s">
        <v>6034</v>
      </c>
      <c r="T2607" t="s">
        <v>18666</v>
      </c>
      <c r="U2607" t="s">
        <v>18652</v>
      </c>
      <c r="V2607" s="104">
        <v>45857</v>
      </c>
      <c r="X2607" s="97"/>
      <c r="Y2607" s="75">
        <v>333.51</v>
      </c>
    </row>
    <row r="2608" spans="1:25" x14ac:dyDescent="0.25">
      <c r="A2608" s="76">
        <v>2640</v>
      </c>
      <c r="B2608" s="2" t="s">
        <v>15577</v>
      </c>
      <c r="C2608" s="2" t="s">
        <v>15578</v>
      </c>
      <c r="D2608" s="2" t="s">
        <v>15579</v>
      </c>
      <c r="E2608" s="2" t="s">
        <v>15580</v>
      </c>
      <c r="F2608" s="2" t="s">
        <v>15581</v>
      </c>
      <c r="G2608" s="2" t="s">
        <v>412</v>
      </c>
      <c r="H2608" s="17">
        <v>25</v>
      </c>
      <c r="I2608" s="31">
        <f t="shared" si="252"/>
        <v>25000</v>
      </c>
      <c r="J2608" s="31">
        <f t="shared" si="253"/>
        <v>1750.0000000000002</v>
      </c>
      <c r="K2608" s="44">
        <f t="shared" si="254"/>
        <v>4.794520547945206</v>
      </c>
      <c r="L2608" s="3">
        <f t="shared" si="255"/>
        <v>354.79452054794524</v>
      </c>
      <c r="M2608" s="3">
        <f t="shared" si="256"/>
        <v>21.287671232876715</v>
      </c>
      <c r="N2608" s="67">
        <f t="shared" si="257"/>
        <v>333.50684931506851</v>
      </c>
      <c r="O2608" s="3"/>
      <c r="P2608" s="70" t="s">
        <v>18637</v>
      </c>
      <c r="Q2608" s="2" t="s">
        <v>81</v>
      </c>
      <c r="R2608" s="2" t="s">
        <v>15582</v>
      </c>
      <c r="T2608" t="s">
        <v>18666</v>
      </c>
      <c r="U2608" t="s">
        <v>18652</v>
      </c>
      <c r="V2608" s="104">
        <v>45857</v>
      </c>
      <c r="X2608" s="97"/>
      <c r="Y2608" s="75">
        <v>333.51</v>
      </c>
    </row>
    <row r="2609" spans="1:25" x14ac:dyDescent="0.25">
      <c r="A2609" s="76">
        <v>2641</v>
      </c>
      <c r="B2609" s="2" t="s">
        <v>17190</v>
      </c>
      <c r="C2609" s="2" t="s">
        <v>17191</v>
      </c>
      <c r="D2609" s="2" t="s">
        <v>17192</v>
      </c>
      <c r="E2609" s="2" t="s">
        <v>7445</v>
      </c>
      <c r="F2609" s="2" t="s">
        <v>17193</v>
      </c>
      <c r="G2609" s="2" t="s">
        <v>23</v>
      </c>
      <c r="H2609" s="17">
        <v>100</v>
      </c>
      <c r="I2609" s="31">
        <f t="shared" si="252"/>
        <v>100000</v>
      </c>
      <c r="J2609" s="31">
        <f t="shared" si="253"/>
        <v>7000.0000000000009</v>
      </c>
      <c r="K2609" s="44">
        <f t="shared" si="254"/>
        <v>19.178082191780824</v>
      </c>
      <c r="L2609" s="3">
        <f t="shared" si="255"/>
        <v>1419.178082191781</v>
      </c>
      <c r="M2609" s="3">
        <f t="shared" si="256"/>
        <v>85.150684931506859</v>
      </c>
      <c r="N2609" s="67">
        <f t="shared" si="257"/>
        <v>1334.027397260274</v>
      </c>
      <c r="O2609" s="3"/>
      <c r="P2609" s="70" t="s">
        <v>18637</v>
      </c>
      <c r="Q2609" s="2" t="s">
        <v>81</v>
      </c>
      <c r="R2609" s="2" t="s">
        <v>17194</v>
      </c>
      <c r="T2609" t="s">
        <v>18666</v>
      </c>
      <c r="U2609" t="s">
        <v>18652</v>
      </c>
      <c r="V2609" s="104">
        <v>45857</v>
      </c>
      <c r="X2609" s="97"/>
      <c r="Y2609" s="75">
        <v>1334.03</v>
      </c>
    </row>
    <row r="2610" spans="1:25" x14ac:dyDescent="0.25">
      <c r="A2610" s="76">
        <v>2642</v>
      </c>
      <c r="B2610" s="2" t="s">
        <v>15203</v>
      </c>
      <c r="C2610" s="2" t="s">
        <v>15204</v>
      </c>
      <c r="D2610" s="2" t="s">
        <v>15205</v>
      </c>
      <c r="E2610" s="2" t="s">
        <v>15206</v>
      </c>
      <c r="F2610" s="2" t="s">
        <v>15207</v>
      </c>
      <c r="G2610" s="2" t="s">
        <v>31</v>
      </c>
      <c r="H2610" s="17">
        <v>25</v>
      </c>
      <c r="I2610" s="31">
        <f t="shared" si="252"/>
        <v>25000</v>
      </c>
      <c r="J2610" s="31">
        <f t="shared" si="253"/>
        <v>1750.0000000000002</v>
      </c>
      <c r="K2610" s="44">
        <f t="shared" si="254"/>
        <v>4.794520547945206</v>
      </c>
      <c r="L2610" s="3">
        <f t="shared" si="255"/>
        <v>354.79452054794524</v>
      </c>
      <c r="M2610" s="3">
        <f t="shared" si="256"/>
        <v>21.287671232876715</v>
      </c>
      <c r="N2610" s="67">
        <f t="shared" si="257"/>
        <v>333.50684931506851</v>
      </c>
      <c r="O2610" s="3"/>
      <c r="P2610" s="70" t="s">
        <v>18637</v>
      </c>
      <c r="Q2610" s="2" t="s">
        <v>81</v>
      </c>
      <c r="R2610" s="2" t="s">
        <v>15208</v>
      </c>
      <c r="T2610" t="s">
        <v>18666</v>
      </c>
      <c r="U2610" t="s">
        <v>18652</v>
      </c>
      <c r="V2610" s="104">
        <v>45857</v>
      </c>
      <c r="X2610" s="97"/>
      <c r="Y2610" s="75">
        <v>333.51</v>
      </c>
    </row>
    <row r="2611" spans="1:25" x14ac:dyDescent="0.25">
      <c r="A2611" s="76">
        <v>2643</v>
      </c>
      <c r="B2611" s="2" t="s">
        <v>2810</v>
      </c>
      <c r="C2611" s="2" t="s">
        <v>2811</v>
      </c>
      <c r="D2611" s="2" t="s">
        <v>2812</v>
      </c>
      <c r="E2611" s="2" t="s">
        <v>2813</v>
      </c>
      <c r="F2611" s="2" t="s">
        <v>2814</v>
      </c>
      <c r="G2611" s="2" t="s">
        <v>151</v>
      </c>
      <c r="H2611" s="17">
        <v>30</v>
      </c>
      <c r="I2611" s="31">
        <f t="shared" si="252"/>
        <v>30000</v>
      </c>
      <c r="J2611" s="31">
        <f t="shared" si="253"/>
        <v>2100</v>
      </c>
      <c r="K2611" s="44">
        <f t="shared" si="254"/>
        <v>5.7534246575342465</v>
      </c>
      <c r="L2611" s="3">
        <f t="shared" si="255"/>
        <v>425.75342465753425</v>
      </c>
      <c r="M2611" s="3">
        <f t="shared" si="256"/>
        <v>25.545205479452054</v>
      </c>
      <c r="N2611" s="67">
        <f t="shared" si="257"/>
        <v>400.20821917808217</v>
      </c>
      <c r="O2611" s="3"/>
      <c r="P2611" s="70" t="s">
        <v>18637</v>
      </c>
      <c r="Q2611" s="2" t="s">
        <v>81</v>
      </c>
      <c r="R2611" s="2" t="s">
        <v>2815</v>
      </c>
      <c r="T2611" t="s">
        <v>18666</v>
      </c>
      <c r="U2611" t="s">
        <v>18652</v>
      </c>
      <c r="V2611" s="104">
        <v>45857</v>
      </c>
      <c r="X2611" s="97"/>
      <c r="Y2611" s="75">
        <v>400.21</v>
      </c>
    </row>
    <row r="2612" spans="1:25" x14ac:dyDescent="0.25">
      <c r="A2612" s="76">
        <v>2644</v>
      </c>
      <c r="B2612" s="2" t="s">
        <v>3500</v>
      </c>
      <c r="C2612" s="2" t="s">
        <v>3501</v>
      </c>
      <c r="D2612" s="2" t="s">
        <v>3502</v>
      </c>
      <c r="E2612" s="2" t="s">
        <v>3503</v>
      </c>
      <c r="F2612" s="2" t="s">
        <v>3504</v>
      </c>
      <c r="G2612" s="2" t="s">
        <v>31</v>
      </c>
      <c r="H2612" s="17">
        <v>100</v>
      </c>
      <c r="I2612" s="31">
        <f t="shared" si="252"/>
        <v>100000</v>
      </c>
      <c r="J2612" s="31">
        <f t="shared" si="253"/>
        <v>7000.0000000000009</v>
      </c>
      <c r="K2612" s="44">
        <f t="shared" si="254"/>
        <v>19.178082191780824</v>
      </c>
      <c r="L2612" s="3">
        <f t="shared" si="255"/>
        <v>1419.178082191781</v>
      </c>
      <c r="M2612" s="3">
        <f t="shared" si="256"/>
        <v>85.150684931506859</v>
      </c>
      <c r="N2612" s="67">
        <f t="shared" si="257"/>
        <v>1334.027397260274</v>
      </c>
      <c r="O2612" s="3"/>
      <c r="P2612" s="70" t="s">
        <v>18637</v>
      </c>
      <c r="Q2612" s="2" t="s">
        <v>81</v>
      </c>
      <c r="R2612" s="2" t="s">
        <v>3505</v>
      </c>
      <c r="T2612" t="s">
        <v>18666</v>
      </c>
      <c r="U2612" t="s">
        <v>18652</v>
      </c>
      <c r="V2612" s="104">
        <v>45857</v>
      </c>
      <c r="X2612" s="97"/>
      <c r="Y2612" s="75">
        <v>1334.03</v>
      </c>
    </row>
    <row r="2613" spans="1:25" x14ac:dyDescent="0.25">
      <c r="A2613" s="76">
        <v>2645</v>
      </c>
      <c r="B2613" s="2" t="s">
        <v>1572</v>
      </c>
      <c r="C2613" s="2" t="s">
        <v>1573</v>
      </c>
      <c r="D2613" s="2" t="s">
        <v>1574</v>
      </c>
      <c r="E2613" s="2" t="s">
        <v>1575</v>
      </c>
      <c r="F2613" s="2" t="s">
        <v>1576</v>
      </c>
      <c r="G2613" s="2" t="s">
        <v>750</v>
      </c>
      <c r="H2613" s="17">
        <v>25</v>
      </c>
      <c r="I2613" s="31">
        <f t="shared" si="252"/>
        <v>25000</v>
      </c>
      <c r="J2613" s="31">
        <f t="shared" si="253"/>
        <v>1750.0000000000002</v>
      </c>
      <c r="K2613" s="44">
        <f t="shared" si="254"/>
        <v>4.794520547945206</v>
      </c>
      <c r="L2613" s="3">
        <f t="shared" si="255"/>
        <v>354.79452054794524</v>
      </c>
      <c r="M2613" s="3">
        <f t="shared" si="256"/>
        <v>21.287671232876715</v>
      </c>
      <c r="N2613" s="67">
        <f t="shared" si="257"/>
        <v>333.50684931506851</v>
      </c>
      <c r="O2613" s="3"/>
      <c r="P2613" s="70" t="s">
        <v>18637</v>
      </c>
      <c r="Q2613" s="2" t="s">
        <v>81</v>
      </c>
      <c r="R2613" s="2" t="s">
        <v>1577</v>
      </c>
      <c r="T2613" t="s">
        <v>18666</v>
      </c>
      <c r="U2613" t="s">
        <v>18652</v>
      </c>
      <c r="V2613" s="104">
        <v>45857</v>
      </c>
      <c r="X2613" s="97"/>
      <c r="Y2613" s="75">
        <v>333.51</v>
      </c>
    </row>
    <row r="2614" spans="1:25" x14ac:dyDescent="0.25">
      <c r="A2614" s="76">
        <v>2646</v>
      </c>
      <c r="B2614" s="2" t="s">
        <v>6695</v>
      </c>
      <c r="C2614" s="2" t="s">
        <v>2074</v>
      </c>
      <c r="D2614" s="2" t="s">
        <v>6696</v>
      </c>
      <c r="E2614" s="2" t="s">
        <v>4950</v>
      </c>
      <c r="F2614" s="2" t="s">
        <v>6697</v>
      </c>
      <c r="G2614" s="2" t="s">
        <v>524</v>
      </c>
      <c r="H2614" s="17">
        <v>25</v>
      </c>
      <c r="I2614" s="31">
        <f t="shared" si="252"/>
        <v>25000</v>
      </c>
      <c r="J2614" s="31">
        <f t="shared" si="253"/>
        <v>1750.0000000000002</v>
      </c>
      <c r="K2614" s="44">
        <f t="shared" si="254"/>
        <v>4.794520547945206</v>
      </c>
      <c r="L2614" s="3">
        <f t="shared" si="255"/>
        <v>354.79452054794524</v>
      </c>
      <c r="M2614" s="3">
        <f t="shared" si="256"/>
        <v>21.287671232876715</v>
      </c>
      <c r="N2614" s="67">
        <f t="shared" si="257"/>
        <v>333.50684931506851</v>
      </c>
      <c r="O2614" s="3"/>
      <c r="P2614" s="70" t="s">
        <v>18637</v>
      </c>
      <c r="Q2614" s="2" t="s">
        <v>81</v>
      </c>
      <c r="R2614" s="2" t="s">
        <v>6698</v>
      </c>
      <c r="T2614" t="s">
        <v>18666</v>
      </c>
      <c r="U2614" t="s">
        <v>18652</v>
      </c>
      <c r="V2614" s="104">
        <v>45857</v>
      </c>
      <c r="X2614" s="97"/>
      <c r="Y2614" s="75">
        <v>333.51</v>
      </c>
    </row>
    <row r="2615" spans="1:25" x14ac:dyDescent="0.25">
      <c r="A2615" s="76">
        <v>2647</v>
      </c>
      <c r="B2615" s="2" t="s">
        <v>10147</v>
      </c>
      <c r="C2615" s="2" t="s">
        <v>10148</v>
      </c>
      <c r="D2615" s="2" t="s">
        <v>10149</v>
      </c>
      <c r="E2615" s="2" t="s">
        <v>10150</v>
      </c>
      <c r="F2615" s="2" t="s">
        <v>10151</v>
      </c>
      <c r="G2615" s="2" t="s">
        <v>23</v>
      </c>
      <c r="H2615" s="17">
        <v>25</v>
      </c>
      <c r="I2615" s="31">
        <f t="shared" si="252"/>
        <v>25000</v>
      </c>
      <c r="J2615" s="31">
        <f t="shared" si="253"/>
        <v>1750.0000000000002</v>
      </c>
      <c r="K2615" s="44">
        <f t="shared" si="254"/>
        <v>4.794520547945206</v>
      </c>
      <c r="L2615" s="3">
        <f t="shared" si="255"/>
        <v>354.79452054794524</v>
      </c>
      <c r="M2615" s="3">
        <f t="shared" si="256"/>
        <v>21.287671232876715</v>
      </c>
      <c r="N2615" s="67">
        <f t="shared" si="257"/>
        <v>333.50684931506851</v>
      </c>
      <c r="O2615" s="3"/>
      <c r="P2615" s="70" t="s">
        <v>18637</v>
      </c>
      <c r="Q2615" s="2" t="s">
        <v>81</v>
      </c>
      <c r="R2615" s="2" t="s">
        <v>10152</v>
      </c>
      <c r="T2615" t="s">
        <v>18666</v>
      </c>
      <c r="U2615" t="s">
        <v>18652</v>
      </c>
      <c r="V2615" s="104">
        <v>45857</v>
      </c>
      <c r="X2615" s="97"/>
      <c r="Y2615" s="75">
        <v>333.51</v>
      </c>
    </row>
    <row r="2616" spans="1:25" x14ac:dyDescent="0.25">
      <c r="A2616" s="76">
        <v>2648</v>
      </c>
      <c r="B2616" s="2" t="s">
        <v>1232</v>
      </c>
      <c r="C2616" s="2" t="s">
        <v>1233</v>
      </c>
      <c r="D2616" s="2" t="s">
        <v>1234</v>
      </c>
      <c r="E2616" s="2" t="s">
        <v>1235</v>
      </c>
      <c r="F2616" s="2" t="s">
        <v>1236</v>
      </c>
      <c r="G2616" s="2" t="s">
        <v>23</v>
      </c>
      <c r="H2616" s="17">
        <v>500</v>
      </c>
      <c r="I2616" s="31">
        <f t="shared" si="252"/>
        <v>500000</v>
      </c>
      <c r="J2616" s="31">
        <f t="shared" si="253"/>
        <v>35000</v>
      </c>
      <c r="K2616" s="44">
        <f t="shared" si="254"/>
        <v>95.890410958904113</v>
      </c>
      <c r="L2616" s="3">
        <f t="shared" si="255"/>
        <v>7095.8904109589039</v>
      </c>
      <c r="M2616" s="3">
        <f t="shared" si="256"/>
        <v>425.7534246575342</v>
      </c>
      <c r="N2616" s="67">
        <f t="shared" si="257"/>
        <v>6670.1369863013697</v>
      </c>
      <c r="O2616" s="3"/>
      <c r="P2616" s="70" t="s">
        <v>18637</v>
      </c>
      <c r="Q2616" s="2" t="s">
        <v>81</v>
      </c>
      <c r="R2616" s="2" t="s">
        <v>1237</v>
      </c>
      <c r="T2616" t="s">
        <v>18666</v>
      </c>
      <c r="U2616" t="s">
        <v>18652</v>
      </c>
      <c r="V2616" s="104">
        <v>45857</v>
      </c>
      <c r="X2616" s="97"/>
      <c r="Y2616" s="75">
        <v>6670.14</v>
      </c>
    </row>
    <row r="2617" spans="1:25" x14ac:dyDescent="0.25">
      <c r="A2617" s="76">
        <v>2649</v>
      </c>
      <c r="B2617" s="2" t="s">
        <v>4612</v>
      </c>
      <c r="C2617" s="2" t="s">
        <v>4613</v>
      </c>
      <c r="D2617" s="2" t="s">
        <v>4614</v>
      </c>
      <c r="E2617" s="2" t="s">
        <v>4615</v>
      </c>
      <c r="F2617" s="2" t="s">
        <v>4616</v>
      </c>
      <c r="G2617" s="2" t="s">
        <v>835</v>
      </c>
      <c r="H2617" s="17">
        <v>25</v>
      </c>
      <c r="I2617" s="31">
        <f t="shared" si="252"/>
        <v>25000</v>
      </c>
      <c r="J2617" s="31">
        <f t="shared" si="253"/>
        <v>1750.0000000000002</v>
      </c>
      <c r="K2617" s="44">
        <f t="shared" si="254"/>
        <v>4.794520547945206</v>
      </c>
      <c r="L2617" s="3">
        <f t="shared" si="255"/>
        <v>354.79452054794524</v>
      </c>
      <c r="M2617" s="3">
        <f t="shared" si="256"/>
        <v>21.287671232876715</v>
      </c>
      <c r="N2617" s="67">
        <f t="shared" si="257"/>
        <v>333.50684931506851</v>
      </c>
      <c r="O2617" s="3"/>
      <c r="P2617" s="70" t="s">
        <v>18637</v>
      </c>
      <c r="Q2617" s="2" t="s">
        <v>81</v>
      </c>
      <c r="R2617" s="2" t="s">
        <v>4617</v>
      </c>
      <c r="T2617" t="s">
        <v>18666</v>
      </c>
      <c r="U2617" t="s">
        <v>18652</v>
      </c>
      <c r="V2617" s="104">
        <v>45857</v>
      </c>
      <c r="X2617" s="97"/>
      <c r="Y2617" s="75">
        <v>333.51</v>
      </c>
    </row>
    <row r="2618" spans="1:25" x14ac:dyDescent="0.25">
      <c r="A2618" s="76">
        <v>2650</v>
      </c>
      <c r="B2618" s="2" t="s">
        <v>16471</v>
      </c>
      <c r="C2618" s="2" t="s">
        <v>16472</v>
      </c>
      <c r="D2618" s="2" t="s">
        <v>16473</v>
      </c>
      <c r="E2618" s="2" t="s">
        <v>16474</v>
      </c>
      <c r="F2618" s="2" t="s">
        <v>16475</v>
      </c>
      <c r="G2618" s="2" t="s">
        <v>247</v>
      </c>
      <c r="H2618" s="17">
        <v>25</v>
      </c>
      <c r="I2618" s="31">
        <f t="shared" si="252"/>
        <v>25000</v>
      </c>
      <c r="J2618" s="31">
        <f t="shared" si="253"/>
        <v>1750.0000000000002</v>
      </c>
      <c r="K2618" s="44">
        <f t="shared" si="254"/>
        <v>4.794520547945206</v>
      </c>
      <c r="L2618" s="3">
        <f t="shared" si="255"/>
        <v>354.79452054794524</v>
      </c>
      <c r="M2618" s="3">
        <f t="shared" si="256"/>
        <v>21.287671232876715</v>
      </c>
      <c r="N2618" s="67">
        <f t="shared" si="257"/>
        <v>333.50684931506851</v>
      </c>
      <c r="O2618" s="3"/>
      <c r="P2618" s="70" t="s">
        <v>18637</v>
      </c>
      <c r="Q2618" s="2" t="s">
        <v>81</v>
      </c>
      <c r="R2618" s="2" t="s">
        <v>16476</v>
      </c>
      <c r="T2618" t="s">
        <v>18666</v>
      </c>
      <c r="U2618" t="s">
        <v>18652</v>
      </c>
      <c r="V2618" s="104">
        <v>45857</v>
      </c>
      <c r="X2618" s="97"/>
      <c r="Y2618" s="75">
        <v>333.51</v>
      </c>
    </row>
    <row r="2619" spans="1:25" x14ac:dyDescent="0.25">
      <c r="A2619" s="76">
        <v>2651</v>
      </c>
      <c r="B2619" s="2" t="s">
        <v>3057</v>
      </c>
      <c r="C2619" s="2" t="s">
        <v>3058</v>
      </c>
      <c r="D2619" s="2" t="s">
        <v>3059</v>
      </c>
      <c r="E2619" s="2" t="s">
        <v>3060</v>
      </c>
      <c r="F2619" s="2" t="s">
        <v>3061</v>
      </c>
      <c r="G2619" s="2" t="s">
        <v>23</v>
      </c>
      <c r="H2619" s="17">
        <v>25</v>
      </c>
      <c r="I2619" s="31">
        <f t="shared" si="252"/>
        <v>25000</v>
      </c>
      <c r="J2619" s="31">
        <f t="shared" si="253"/>
        <v>1750.0000000000002</v>
      </c>
      <c r="K2619" s="44">
        <f t="shared" si="254"/>
        <v>4.794520547945206</v>
      </c>
      <c r="L2619" s="3">
        <f t="shared" si="255"/>
        <v>354.79452054794524</v>
      </c>
      <c r="M2619" s="3">
        <f t="shared" si="256"/>
        <v>21.287671232876715</v>
      </c>
      <c r="N2619" s="67">
        <f t="shared" si="257"/>
        <v>333.50684931506851</v>
      </c>
      <c r="O2619" s="3"/>
      <c r="P2619" s="70" t="s">
        <v>18637</v>
      </c>
      <c r="Q2619" s="2" t="s">
        <v>81</v>
      </c>
      <c r="R2619" s="2" t="s">
        <v>3062</v>
      </c>
      <c r="T2619" t="s">
        <v>18666</v>
      </c>
      <c r="U2619" t="s">
        <v>18652</v>
      </c>
      <c r="V2619" s="104">
        <v>45857</v>
      </c>
      <c r="X2619" s="97"/>
      <c r="Y2619" s="75">
        <v>333.51</v>
      </c>
    </row>
    <row r="2620" spans="1:25" x14ac:dyDescent="0.25">
      <c r="A2620" s="76">
        <v>2652</v>
      </c>
      <c r="B2620" s="2" t="s">
        <v>13781</v>
      </c>
      <c r="C2620" s="2" t="s">
        <v>13782</v>
      </c>
      <c r="D2620" s="2" t="s">
        <v>13783</v>
      </c>
      <c r="E2620" s="2" t="s">
        <v>13784</v>
      </c>
      <c r="F2620" s="2" t="s">
        <v>13785</v>
      </c>
      <c r="G2620" s="2" t="s">
        <v>1424</v>
      </c>
      <c r="H2620" s="17">
        <v>25</v>
      </c>
      <c r="I2620" s="31">
        <f t="shared" si="252"/>
        <v>25000</v>
      </c>
      <c r="J2620" s="31">
        <f t="shared" si="253"/>
        <v>1750.0000000000002</v>
      </c>
      <c r="K2620" s="44">
        <f t="shared" si="254"/>
        <v>4.794520547945206</v>
      </c>
      <c r="L2620" s="3">
        <f t="shared" si="255"/>
        <v>354.79452054794524</v>
      </c>
      <c r="M2620" s="3">
        <f t="shared" si="256"/>
        <v>21.287671232876715</v>
      </c>
      <c r="N2620" s="67">
        <f t="shared" si="257"/>
        <v>333.50684931506851</v>
      </c>
      <c r="O2620" s="3"/>
      <c r="P2620" s="70" t="s">
        <v>18637</v>
      </c>
      <c r="Q2620" s="2" t="s">
        <v>81</v>
      </c>
      <c r="R2620" s="2" t="s">
        <v>13786</v>
      </c>
      <c r="T2620" t="s">
        <v>18666</v>
      </c>
      <c r="U2620" t="s">
        <v>18652</v>
      </c>
      <c r="V2620" s="104">
        <v>45857</v>
      </c>
      <c r="X2620" s="97"/>
      <c r="Y2620" s="75">
        <v>333.51</v>
      </c>
    </row>
    <row r="2621" spans="1:25" x14ac:dyDescent="0.25">
      <c r="A2621" s="76">
        <v>2653</v>
      </c>
      <c r="B2621" s="2" t="s">
        <v>13432</v>
      </c>
      <c r="C2621" s="2" t="s">
        <v>13433</v>
      </c>
      <c r="D2621" s="2" t="s">
        <v>13434</v>
      </c>
      <c r="E2621" s="2" t="s">
        <v>13435</v>
      </c>
      <c r="F2621" s="2" t="s">
        <v>13436</v>
      </c>
      <c r="G2621" s="2" t="s">
        <v>618</v>
      </c>
      <c r="H2621" s="17">
        <v>25</v>
      </c>
      <c r="I2621" s="31">
        <f t="shared" si="252"/>
        <v>25000</v>
      </c>
      <c r="J2621" s="31">
        <f t="shared" si="253"/>
        <v>1750.0000000000002</v>
      </c>
      <c r="K2621" s="44">
        <f t="shared" si="254"/>
        <v>4.794520547945206</v>
      </c>
      <c r="L2621" s="3">
        <f t="shared" si="255"/>
        <v>354.79452054794524</v>
      </c>
      <c r="M2621" s="3">
        <f t="shared" si="256"/>
        <v>21.287671232876715</v>
      </c>
      <c r="N2621" s="67">
        <f t="shared" si="257"/>
        <v>333.50684931506851</v>
      </c>
      <c r="O2621" s="3"/>
      <c r="P2621" s="70" t="s">
        <v>18637</v>
      </c>
      <c r="Q2621" s="2" t="s">
        <v>81</v>
      </c>
      <c r="R2621" s="2" t="s">
        <v>13437</v>
      </c>
      <c r="T2621" t="s">
        <v>18666</v>
      </c>
      <c r="U2621" t="s">
        <v>18652</v>
      </c>
      <c r="V2621" s="104">
        <v>45857</v>
      </c>
      <c r="X2621" s="97"/>
      <c r="Y2621" s="75">
        <v>333.51</v>
      </c>
    </row>
    <row r="2622" spans="1:25" x14ac:dyDescent="0.25">
      <c r="A2622" s="76">
        <v>2654</v>
      </c>
      <c r="B2622" s="2" t="s">
        <v>6437</v>
      </c>
      <c r="C2622" s="2" t="s">
        <v>6438</v>
      </c>
      <c r="D2622" s="2" t="s">
        <v>6439</v>
      </c>
      <c r="E2622" s="2" t="s">
        <v>6440</v>
      </c>
      <c r="F2622" s="2" t="s">
        <v>6441</v>
      </c>
      <c r="G2622" s="2" t="s">
        <v>580</v>
      </c>
      <c r="H2622" s="17">
        <v>25</v>
      </c>
      <c r="I2622" s="31">
        <f t="shared" si="252"/>
        <v>25000</v>
      </c>
      <c r="J2622" s="31">
        <f t="shared" si="253"/>
        <v>1750.0000000000002</v>
      </c>
      <c r="K2622" s="44">
        <f t="shared" si="254"/>
        <v>4.794520547945206</v>
      </c>
      <c r="L2622" s="3">
        <f t="shared" si="255"/>
        <v>354.79452054794524</v>
      </c>
      <c r="M2622" s="3">
        <f t="shared" si="256"/>
        <v>21.287671232876715</v>
      </c>
      <c r="N2622" s="67">
        <f t="shared" si="257"/>
        <v>333.50684931506851</v>
      </c>
      <c r="O2622" s="3"/>
      <c r="P2622" s="70" t="s">
        <v>18637</v>
      </c>
      <c r="Q2622" s="2" t="s">
        <v>81</v>
      </c>
      <c r="R2622" s="2" t="s">
        <v>6442</v>
      </c>
      <c r="T2622" t="s">
        <v>18666</v>
      </c>
      <c r="U2622" t="s">
        <v>18652</v>
      </c>
      <c r="V2622" s="104">
        <v>45857</v>
      </c>
      <c r="X2622" s="97"/>
      <c r="Y2622" s="75">
        <v>333.51</v>
      </c>
    </row>
    <row r="2623" spans="1:25" x14ac:dyDescent="0.25">
      <c r="A2623" s="76">
        <v>2655</v>
      </c>
      <c r="B2623" s="2" t="s">
        <v>12843</v>
      </c>
      <c r="C2623" s="2" t="s">
        <v>12844</v>
      </c>
      <c r="D2623" s="2" t="s">
        <v>12845</v>
      </c>
      <c r="E2623" s="2" t="s">
        <v>12846</v>
      </c>
      <c r="F2623" s="2" t="s">
        <v>12847</v>
      </c>
      <c r="G2623" s="2" t="s">
        <v>517</v>
      </c>
      <c r="H2623" s="17">
        <v>30</v>
      </c>
      <c r="I2623" s="31">
        <f t="shared" si="252"/>
        <v>30000</v>
      </c>
      <c r="J2623" s="31">
        <f t="shared" si="253"/>
        <v>2100</v>
      </c>
      <c r="K2623" s="44">
        <f t="shared" si="254"/>
        <v>5.7534246575342465</v>
      </c>
      <c r="L2623" s="3">
        <f t="shared" si="255"/>
        <v>425.75342465753425</v>
      </c>
      <c r="M2623" s="3">
        <f t="shared" si="256"/>
        <v>25.545205479452054</v>
      </c>
      <c r="N2623" s="67">
        <f t="shared" si="257"/>
        <v>400.20821917808217</v>
      </c>
      <c r="O2623" s="3"/>
      <c r="P2623" s="70" t="s">
        <v>18637</v>
      </c>
      <c r="Q2623" s="2" t="s">
        <v>81</v>
      </c>
      <c r="R2623" s="2" t="s">
        <v>12848</v>
      </c>
      <c r="T2623" t="s">
        <v>18666</v>
      </c>
      <c r="U2623" t="s">
        <v>18652</v>
      </c>
      <c r="V2623" s="104">
        <v>45857</v>
      </c>
      <c r="X2623" s="97"/>
      <c r="Y2623" s="75">
        <v>400.21</v>
      </c>
    </row>
    <row r="2624" spans="1:25" x14ac:dyDescent="0.25">
      <c r="A2624" s="76">
        <v>2656</v>
      </c>
      <c r="B2624" s="2" t="s">
        <v>1699</v>
      </c>
      <c r="C2624" s="2" t="s">
        <v>1700</v>
      </c>
      <c r="D2624" s="2" t="s">
        <v>1701</v>
      </c>
      <c r="E2624" s="2" t="s">
        <v>1702</v>
      </c>
      <c r="F2624" s="2" t="s">
        <v>1703</v>
      </c>
      <c r="G2624" s="2" t="s">
        <v>750</v>
      </c>
      <c r="H2624" s="17">
        <v>50</v>
      </c>
      <c r="I2624" s="31">
        <f t="shared" si="252"/>
        <v>50000</v>
      </c>
      <c r="J2624" s="31">
        <f t="shared" si="253"/>
        <v>3500.0000000000005</v>
      </c>
      <c r="K2624" s="44">
        <f t="shared" si="254"/>
        <v>9.589041095890412</v>
      </c>
      <c r="L2624" s="3">
        <f t="shared" si="255"/>
        <v>709.58904109589048</v>
      </c>
      <c r="M2624" s="3">
        <f t="shared" si="256"/>
        <v>42.57534246575343</v>
      </c>
      <c r="N2624" s="67">
        <f t="shared" si="257"/>
        <v>667.01369863013701</v>
      </c>
      <c r="O2624" s="3"/>
      <c r="P2624" s="70" t="s">
        <v>18637</v>
      </c>
      <c r="Q2624" s="2" t="s">
        <v>81</v>
      </c>
      <c r="R2624" s="2" t="s">
        <v>1704</v>
      </c>
      <c r="T2624" t="s">
        <v>18666</v>
      </c>
      <c r="U2624" t="s">
        <v>18652</v>
      </c>
      <c r="V2624" s="104">
        <v>45857</v>
      </c>
      <c r="X2624" s="97"/>
      <c r="Y2624" s="75">
        <v>667.02</v>
      </c>
    </row>
    <row r="2625" spans="1:25" x14ac:dyDescent="0.25">
      <c r="A2625" s="76">
        <v>2657</v>
      </c>
      <c r="B2625" s="2" t="s">
        <v>18148</v>
      </c>
      <c r="C2625" s="2" t="s">
        <v>18149</v>
      </c>
      <c r="D2625" s="2" t="s">
        <v>18150</v>
      </c>
      <c r="E2625" s="2" t="s">
        <v>18151</v>
      </c>
      <c r="F2625" s="2" t="s">
        <v>18152</v>
      </c>
      <c r="G2625" s="2" t="s">
        <v>750</v>
      </c>
      <c r="H2625" s="17">
        <v>35</v>
      </c>
      <c r="I2625" s="31">
        <f t="shared" si="252"/>
        <v>35000</v>
      </c>
      <c r="J2625" s="31">
        <f t="shared" si="253"/>
        <v>2450.0000000000005</v>
      </c>
      <c r="K2625" s="44">
        <f t="shared" si="254"/>
        <v>6.7123287671232887</v>
      </c>
      <c r="L2625" s="3">
        <f t="shared" si="255"/>
        <v>496.71232876712338</v>
      </c>
      <c r="M2625" s="3">
        <f t="shared" si="256"/>
        <v>29.802739726027401</v>
      </c>
      <c r="N2625" s="67">
        <f t="shared" si="257"/>
        <v>466.90958904109596</v>
      </c>
      <c r="O2625" s="3"/>
      <c r="P2625" s="70" t="s">
        <v>18637</v>
      </c>
      <c r="Q2625" s="2" t="s">
        <v>81</v>
      </c>
      <c r="R2625" s="2" t="s">
        <v>18153</v>
      </c>
      <c r="T2625" t="s">
        <v>18666</v>
      </c>
      <c r="U2625" t="s">
        <v>18652</v>
      </c>
      <c r="V2625" s="104">
        <v>45857</v>
      </c>
      <c r="X2625" s="97"/>
      <c r="Y2625" s="75">
        <v>466.90999999999997</v>
      </c>
    </row>
    <row r="2626" spans="1:25" x14ac:dyDescent="0.25">
      <c r="A2626" s="76">
        <v>2658</v>
      </c>
      <c r="B2626" s="2" t="s">
        <v>9067</v>
      </c>
      <c r="C2626" s="2" t="s">
        <v>9068</v>
      </c>
      <c r="D2626" s="2" t="s">
        <v>9069</v>
      </c>
      <c r="E2626" s="2" t="s">
        <v>9070</v>
      </c>
      <c r="F2626" s="2" t="s">
        <v>9071</v>
      </c>
      <c r="G2626" s="2" t="s">
        <v>101</v>
      </c>
      <c r="H2626" s="17">
        <v>25</v>
      </c>
      <c r="I2626" s="31">
        <f t="shared" si="252"/>
        <v>25000</v>
      </c>
      <c r="J2626" s="31">
        <f t="shared" si="253"/>
        <v>1750.0000000000002</v>
      </c>
      <c r="K2626" s="44">
        <f t="shared" si="254"/>
        <v>4.794520547945206</v>
      </c>
      <c r="L2626" s="3">
        <f t="shared" si="255"/>
        <v>354.79452054794524</v>
      </c>
      <c r="M2626" s="3">
        <f t="shared" si="256"/>
        <v>21.287671232876715</v>
      </c>
      <c r="N2626" s="67">
        <f t="shared" si="257"/>
        <v>333.50684931506851</v>
      </c>
      <c r="O2626" s="3"/>
      <c r="P2626" s="70" t="s">
        <v>18637</v>
      </c>
      <c r="Q2626" s="2" t="s">
        <v>81</v>
      </c>
      <c r="R2626" s="2" t="s">
        <v>9072</v>
      </c>
      <c r="T2626" t="s">
        <v>18666</v>
      </c>
      <c r="U2626" t="s">
        <v>18652</v>
      </c>
      <c r="V2626" s="104">
        <v>45857</v>
      </c>
      <c r="X2626" s="97"/>
      <c r="Y2626" s="75">
        <v>333.51</v>
      </c>
    </row>
    <row r="2627" spans="1:25" x14ac:dyDescent="0.25">
      <c r="A2627" s="76">
        <v>2659</v>
      </c>
      <c r="B2627" s="2" t="s">
        <v>3909</v>
      </c>
      <c r="C2627" s="2" t="s">
        <v>177</v>
      </c>
      <c r="D2627" s="2" t="s">
        <v>3910</v>
      </c>
      <c r="E2627" s="2" t="s">
        <v>3911</v>
      </c>
      <c r="F2627" s="2" t="s">
        <v>3912</v>
      </c>
      <c r="G2627" s="2" t="s">
        <v>158</v>
      </c>
      <c r="H2627" s="17">
        <v>30</v>
      </c>
      <c r="I2627" s="31">
        <f t="shared" si="252"/>
        <v>30000</v>
      </c>
      <c r="J2627" s="31">
        <f t="shared" si="253"/>
        <v>2100</v>
      </c>
      <c r="K2627" s="44">
        <f t="shared" si="254"/>
        <v>5.7534246575342465</v>
      </c>
      <c r="L2627" s="3">
        <f t="shared" si="255"/>
        <v>425.75342465753425</v>
      </c>
      <c r="M2627" s="3">
        <f t="shared" si="256"/>
        <v>25.545205479452054</v>
      </c>
      <c r="N2627" s="67">
        <f t="shared" si="257"/>
        <v>400.20821917808217</v>
      </c>
      <c r="O2627" s="3"/>
      <c r="P2627" s="70" t="s">
        <v>18637</v>
      </c>
      <c r="Q2627" s="2" t="s">
        <v>81</v>
      </c>
      <c r="R2627" s="2" t="s">
        <v>3913</v>
      </c>
      <c r="T2627" t="s">
        <v>18666</v>
      </c>
      <c r="U2627" t="s">
        <v>18652</v>
      </c>
      <c r="V2627" s="104">
        <v>45857</v>
      </c>
      <c r="X2627" s="97"/>
      <c r="Y2627" s="75">
        <v>400.21</v>
      </c>
    </row>
    <row r="2628" spans="1:25" x14ac:dyDescent="0.25">
      <c r="A2628" s="76">
        <v>2660</v>
      </c>
      <c r="B2628" s="2" t="s">
        <v>9716</v>
      </c>
      <c r="C2628" s="2" t="s">
        <v>9717</v>
      </c>
      <c r="D2628" s="2" t="s">
        <v>9718</v>
      </c>
      <c r="E2628" s="2" t="s">
        <v>9719</v>
      </c>
      <c r="F2628" s="2" t="s">
        <v>9720</v>
      </c>
      <c r="G2628" s="2" t="s">
        <v>309</v>
      </c>
      <c r="H2628" s="17">
        <v>50</v>
      </c>
      <c r="I2628" s="31">
        <f t="shared" si="252"/>
        <v>50000</v>
      </c>
      <c r="J2628" s="31">
        <f t="shared" si="253"/>
        <v>3500.0000000000005</v>
      </c>
      <c r="K2628" s="44">
        <f t="shared" si="254"/>
        <v>9.589041095890412</v>
      </c>
      <c r="L2628" s="3">
        <f t="shared" si="255"/>
        <v>709.58904109589048</v>
      </c>
      <c r="M2628" s="3">
        <f t="shared" si="256"/>
        <v>42.57534246575343</v>
      </c>
      <c r="N2628" s="67">
        <f t="shared" si="257"/>
        <v>667.01369863013701</v>
      </c>
      <c r="O2628" s="3"/>
      <c r="P2628" s="70" t="s">
        <v>18637</v>
      </c>
      <c r="Q2628" s="2" t="s">
        <v>81</v>
      </c>
      <c r="R2628" s="2" t="s">
        <v>9721</v>
      </c>
      <c r="T2628" t="s">
        <v>18666</v>
      </c>
      <c r="U2628" t="s">
        <v>18652</v>
      </c>
      <c r="V2628" s="104">
        <v>45857</v>
      </c>
      <c r="X2628" s="97"/>
      <c r="Y2628" s="75">
        <v>667.02</v>
      </c>
    </row>
    <row r="2629" spans="1:25" x14ac:dyDescent="0.25">
      <c r="A2629" s="76">
        <v>2661</v>
      </c>
      <c r="B2629" s="2" t="s">
        <v>7068</v>
      </c>
      <c r="C2629" s="2" t="s">
        <v>7069</v>
      </c>
      <c r="D2629" s="2" t="s">
        <v>7070</v>
      </c>
      <c r="E2629" s="2" t="s">
        <v>2334</v>
      </c>
      <c r="F2629" s="2" t="s">
        <v>7071</v>
      </c>
      <c r="G2629" s="2" t="s">
        <v>296</v>
      </c>
      <c r="H2629" s="17">
        <v>50</v>
      </c>
      <c r="I2629" s="31">
        <f t="shared" si="252"/>
        <v>50000</v>
      </c>
      <c r="J2629" s="31">
        <f t="shared" si="253"/>
        <v>3500.0000000000005</v>
      </c>
      <c r="K2629" s="44">
        <f t="shared" si="254"/>
        <v>9.589041095890412</v>
      </c>
      <c r="L2629" s="3">
        <f t="shared" si="255"/>
        <v>709.58904109589048</v>
      </c>
      <c r="M2629" s="3">
        <f t="shared" si="256"/>
        <v>42.57534246575343</v>
      </c>
      <c r="N2629" s="67">
        <f t="shared" si="257"/>
        <v>667.01369863013701</v>
      </c>
      <c r="O2629" s="3"/>
      <c r="P2629" s="70" t="s">
        <v>18637</v>
      </c>
      <c r="Q2629" s="2" t="s">
        <v>81</v>
      </c>
      <c r="R2629" s="2" t="s">
        <v>7072</v>
      </c>
      <c r="T2629" t="s">
        <v>18666</v>
      </c>
      <c r="U2629" t="s">
        <v>18652</v>
      </c>
      <c r="V2629" s="104">
        <v>45857</v>
      </c>
      <c r="X2629" s="97"/>
      <c r="Y2629" s="75">
        <v>667.02</v>
      </c>
    </row>
    <row r="2630" spans="1:25" x14ac:dyDescent="0.25">
      <c r="A2630" s="76">
        <v>2662</v>
      </c>
      <c r="B2630" s="2" t="s">
        <v>13380</v>
      </c>
      <c r="C2630" s="2" t="s">
        <v>13381</v>
      </c>
      <c r="D2630" s="2" t="s">
        <v>13382</v>
      </c>
      <c r="E2630" s="2" t="s">
        <v>13383</v>
      </c>
      <c r="F2630" s="2" t="s">
        <v>13384</v>
      </c>
      <c r="G2630" s="2" t="s">
        <v>750</v>
      </c>
      <c r="H2630" s="17">
        <v>25</v>
      </c>
      <c r="I2630" s="31">
        <f t="shared" si="252"/>
        <v>25000</v>
      </c>
      <c r="J2630" s="31">
        <f t="shared" si="253"/>
        <v>1750.0000000000002</v>
      </c>
      <c r="K2630" s="44">
        <f t="shared" si="254"/>
        <v>4.794520547945206</v>
      </c>
      <c r="L2630" s="3">
        <f t="shared" si="255"/>
        <v>354.79452054794524</v>
      </c>
      <c r="M2630" s="3">
        <f t="shared" si="256"/>
        <v>21.287671232876715</v>
      </c>
      <c r="N2630" s="67">
        <f t="shared" si="257"/>
        <v>333.50684931506851</v>
      </c>
      <c r="O2630" s="3"/>
      <c r="P2630" s="70" t="s">
        <v>18637</v>
      </c>
      <c r="Q2630" s="2" t="s">
        <v>81</v>
      </c>
      <c r="R2630" s="2" t="s">
        <v>13385</v>
      </c>
      <c r="T2630" t="s">
        <v>18666</v>
      </c>
      <c r="U2630" t="s">
        <v>18652</v>
      </c>
      <c r="V2630" s="104">
        <v>45857</v>
      </c>
      <c r="X2630" s="97"/>
      <c r="Y2630" s="75">
        <v>333.51</v>
      </c>
    </row>
    <row r="2631" spans="1:25" x14ac:dyDescent="0.25">
      <c r="A2631" s="76">
        <v>2663</v>
      </c>
      <c r="B2631" s="2" t="s">
        <v>3323</v>
      </c>
      <c r="C2631" s="2" t="s">
        <v>3324</v>
      </c>
      <c r="D2631" s="2" t="s">
        <v>3325</v>
      </c>
      <c r="E2631" s="2" t="s">
        <v>3326</v>
      </c>
      <c r="F2631" s="2" t="s">
        <v>3327</v>
      </c>
      <c r="G2631" s="2" t="s">
        <v>247</v>
      </c>
      <c r="H2631" s="17">
        <v>25</v>
      </c>
      <c r="I2631" s="31">
        <f t="shared" si="252"/>
        <v>25000</v>
      </c>
      <c r="J2631" s="31">
        <f t="shared" si="253"/>
        <v>1750.0000000000002</v>
      </c>
      <c r="K2631" s="44">
        <f t="shared" si="254"/>
        <v>4.794520547945206</v>
      </c>
      <c r="L2631" s="3">
        <f t="shared" si="255"/>
        <v>354.79452054794524</v>
      </c>
      <c r="M2631" s="3">
        <f t="shared" si="256"/>
        <v>21.287671232876715</v>
      </c>
      <c r="N2631" s="67">
        <f t="shared" si="257"/>
        <v>333.50684931506851</v>
      </c>
      <c r="O2631" s="3"/>
      <c r="P2631" s="70" t="s">
        <v>18637</v>
      </c>
      <c r="Q2631" s="2" t="s">
        <v>81</v>
      </c>
      <c r="R2631" s="2" t="s">
        <v>3328</v>
      </c>
      <c r="T2631" t="s">
        <v>18666</v>
      </c>
      <c r="U2631" t="s">
        <v>18652</v>
      </c>
      <c r="V2631" s="104">
        <v>45857</v>
      </c>
      <c r="X2631" s="97"/>
      <c r="Y2631" s="75">
        <v>333.51</v>
      </c>
    </row>
    <row r="2632" spans="1:25" x14ac:dyDescent="0.25">
      <c r="A2632" s="76">
        <v>2664</v>
      </c>
      <c r="B2632" s="2" t="s">
        <v>3806</v>
      </c>
      <c r="C2632" s="2" t="s">
        <v>3807</v>
      </c>
      <c r="D2632" s="2" t="s">
        <v>3808</v>
      </c>
      <c r="E2632" s="2" t="s">
        <v>3809</v>
      </c>
      <c r="F2632" s="2" t="s">
        <v>3810</v>
      </c>
      <c r="G2632" s="2" t="s">
        <v>144</v>
      </c>
      <c r="H2632" s="17">
        <v>25</v>
      </c>
      <c r="I2632" s="31">
        <f t="shared" si="252"/>
        <v>25000</v>
      </c>
      <c r="J2632" s="31">
        <f t="shared" si="253"/>
        <v>1750.0000000000002</v>
      </c>
      <c r="K2632" s="44">
        <f t="shared" si="254"/>
        <v>4.794520547945206</v>
      </c>
      <c r="L2632" s="3">
        <f t="shared" si="255"/>
        <v>354.79452054794524</v>
      </c>
      <c r="M2632" s="3">
        <f t="shared" si="256"/>
        <v>21.287671232876715</v>
      </c>
      <c r="N2632" s="67">
        <f t="shared" si="257"/>
        <v>333.50684931506851</v>
      </c>
      <c r="O2632" s="3"/>
      <c r="P2632" s="70" t="s">
        <v>18637</v>
      </c>
      <c r="Q2632" s="2" t="s">
        <v>81</v>
      </c>
      <c r="R2632" s="2" t="s">
        <v>3811</v>
      </c>
      <c r="T2632" t="s">
        <v>18666</v>
      </c>
      <c r="U2632" t="s">
        <v>18652</v>
      </c>
      <c r="V2632" s="104">
        <v>45857</v>
      </c>
      <c r="X2632" s="97"/>
      <c r="Y2632" s="75">
        <v>333.51</v>
      </c>
    </row>
    <row r="2633" spans="1:25" x14ac:dyDescent="0.25">
      <c r="A2633" s="76">
        <v>2665</v>
      </c>
      <c r="B2633" s="2" t="s">
        <v>15403</v>
      </c>
      <c r="C2633" s="2" t="s">
        <v>15404</v>
      </c>
      <c r="D2633" s="2" t="s">
        <v>15405</v>
      </c>
      <c r="E2633" s="2" t="s">
        <v>15406</v>
      </c>
      <c r="F2633" s="2" t="s">
        <v>15407</v>
      </c>
      <c r="G2633" s="2" t="s">
        <v>618</v>
      </c>
      <c r="H2633" s="17">
        <v>25</v>
      </c>
      <c r="I2633" s="31">
        <f t="shared" si="252"/>
        <v>25000</v>
      </c>
      <c r="J2633" s="31">
        <f t="shared" si="253"/>
        <v>1750.0000000000002</v>
      </c>
      <c r="K2633" s="44">
        <f t="shared" si="254"/>
        <v>4.794520547945206</v>
      </c>
      <c r="L2633" s="3">
        <f t="shared" si="255"/>
        <v>354.79452054794524</v>
      </c>
      <c r="M2633" s="3">
        <f t="shared" si="256"/>
        <v>21.287671232876715</v>
      </c>
      <c r="N2633" s="67">
        <f t="shared" si="257"/>
        <v>333.50684931506851</v>
      </c>
      <c r="O2633" s="3"/>
      <c r="P2633" s="70" t="s">
        <v>18637</v>
      </c>
      <c r="Q2633" s="2" t="s">
        <v>81</v>
      </c>
      <c r="R2633" s="2" t="s">
        <v>15408</v>
      </c>
      <c r="T2633" t="s">
        <v>18666</v>
      </c>
      <c r="U2633" t="s">
        <v>18652</v>
      </c>
      <c r="V2633" s="104">
        <v>45857</v>
      </c>
      <c r="X2633" s="97"/>
      <c r="Y2633" s="75">
        <v>333.51</v>
      </c>
    </row>
    <row r="2634" spans="1:25" x14ac:dyDescent="0.25">
      <c r="A2634" s="76">
        <v>2666</v>
      </c>
      <c r="B2634" s="2" t="s">
        <v>76</v>
      </c>
      <c r="C2634" s="2" t="s">
        <v>77</v>
      </c>
      <c r="D2634" s="2" t="s">
        <v>78</v>
      </c>
      <c r="E2634" s="2" t="s">
        <v>79</v>
      </c>
      <c r="F2634" s="2" t="s">
        <v>80</v>
      </c>
      <c r="G2634" s="2" t="s">
        <v>31</v>
      </c>
      <c r="H2634" s="17">
        <v>25</v>
      </c>
      <c r="I2634" s="31">
        <f t="shared" si="252"/>
        <v>25000</v>
      </c>
      <c r="J2634" s="31">
        <f t="shared" si="253"/>
        <v>1750.0000000000002</v>
      </c>
      <c r="K2634" s="44">
        <f t="shared" si="254"/>
        <v>4.794520547945206</v>
      </c>
      <c r="L2634" s="3">
        <f t="shared" si="255"/>
        <v>354.79452054794524</v>
      </c>
      <c r="M2634" s="3">
        <f t="shared" si="256"/>
        <v>21.287671232876715</v>
      </c>
      <c r="N2634" s="67">
        <f t="shared" si="257"/>
        <v>333.50684931506851</v>
      </c>
      <c r="O2634" s="3"/>
      <c r="P2634" s="70" t="s">
        <v>18637</v>
      </c>
      <c r="Q2634" s="2" t="s">
        <v>81</v>
      </c>
      <c r="R2634" s="2" t="s">
        <v>82</v>
      </c>
      <c r="T2634" t="s">
        <v>18666</v>
      </c>
      <c r="U2634" t="s">
        <v>18652</v>
      </c>
      <c r="V2634" s="104">
        <v>45857</v>
      </c>
      <c r="X2634" s="97"/>
      <c r="Y2634" s="75">
        <v>333.51</v>
      </c>
    </row>
    <row r="2635" spans="1:25" x14ac:dyDescent="0.25">
      <c r="A2635" s="76">
        <v>2667</v>
      </c>
      <c r="B2635" s="2" t="s">
        <v>1031</v>
      </c>
      <c r="C2635" s="2" t="s">
        <v>1032</v>
      </c>
      <c r="D2635" s="2" t="s">
        <v>1033</v>
      </c>
      <c r="E2635" s="2" t="s">
        <v>1034</v>
      </c>
      <c r="F2635" s="2" t="s">
        <v>1035</v>
      </c>
      <c r="G2635" s="2" t="s">
        <v>543</v>
      </c>
      <c r="H2635" s="17">
        <v>25</v>
      </c>
      <c r="I2635" s="31">
        <f t="shared" si="252"/>
        <v>25000</v>
      </c>
      <c r="J2635" s="31">
        <f t="shared" si="253"/>
        <v>1750.0000000000002</v>
      </c>
      <c r="K2635" s="44">
        <f t="shared" si="254"/>
        <v>4.794520547945206</v>
      </c>
      <c r="L2635" s="3">
        <f t="shared" si="255"/>
        <v>354.79452054794524</v>
      </c>
      <c r="M2635" s="3">
        <f t="shared" si="256"/>
        <v>21.287671232876715</v>
      </c>
      <c r="N2635" s="67">
        <f t="shared" si="257"/>
        <v>333.50684931506851</v>
      </c>
      <c r="O2635" s="3"/>
      <c r="P2635" s="70" t="s">
        <v>18637</v>
      </c>
      <c r="Q2635" s="2" t="s">
        <v>81</v>
      </c>
      <c r="R2635" s="2" t="s">
        <v>1036</v>
      </c>
      <c r="T2635" t="s">
        <v>18666</v>
      </c>
      <c r="U2635" t="s">
        <v>18652</v>
      </c>
      <c r="V2635" s="104">
        <v>45857</v>
      </c>
      <c r="X2635" s="97"/>
      <c r="Y2635" s="75">
        <v>333.51</v>
      </c>
    </row>
    <row r="2636" spans="1:25" x14ac:dyDescent="0.25">
      <c r="A2636" s="76">
        <v>2668</v>
      </c>
      <c r="B2636" s="2" t="s">
        <v>10060</v>
      </c>
      <c r="C2636" s="2" t="s">
        <v>10061</v>
      </c>
      <c r="D2636" s="2" t="s">
        <v>10062</v>
      </c>
      <c r="E2636" s="2" t="s">
        <v>10063</v>
      </c>
      <c r="F2636" s="2" t="s">
        <v>10064</v>
      </c>
      <c r="G2636" s="2" t="s">
        <v>2137</v>
      </c>
      <c r="H2636" s="17">
        <v>25</v>
      </c>
      <c r="I2636" s="31">
        <f t="shared" si="252"/>
        <v>25000</v>
      </c>
      <c r="J2636" s="31">
        <f t="shared" si="253"/>
        <v>1750.0000000000002</v>
      </c>
      <c r="K2636" s="44">
        <f t="shared" si="254"/>
        <v>4.794520547945206</v>
      </c>
      <c r="L2636" s="3">
        <f t="shared" si="255"/>
        <v>354.79452054794524</v>
      </c>
      <c r="M2636" s="3">
        <f t="shared" si="256"/>
        <v>21.287671232876715</v>
      </c>
      <c r="N2636" s="67">
        <f t="shared" si="257"/>
        <v>333.50684931506851</v>
      </c>
      <c r="O2636" s="3"/>
      <c r="P2636" s="70" t="s">
        <v>18637</v>
      </c>
      <c r="Q2636" s="2" t="s">
        <v>81</v>
      </c>
      <c r="R2636" s="2" t="s">
        <v>10065</v>
      </c>
      <c r="T2636" t="s">
        <v>18666</v>
      </c>
      <c r="U2636" t="s">
        <v>18652</v>
      </c>
      <c r="V2636" s="104">
        <v>45857</v>
      </c>
      <c r="X2636" s="97"/>
      <c r="Y2636" s="75">
        <v>333.51</v>
      </c>
    </row>
    <row r="2637" spans="1:25" x14ac:dyDescent="0.25">
      <c r="A2637" s="76">
        <v>2669</v>
      </c>
      <c r="B2637" s="2" t="s">
        <v>1653</v>
      </c>
      <c r="C2637" s="2" t="s">
        <v>1654</v>
      </c>
      <c r="D2637" s="2" t="s">
        <v>1655</v>
      </c>
      <c r="E2637" s="2" t="s">
        <v>1656</v>
      </c>
      <c r="F2637" s="2" t="s">
        <v>1657</v>
      </c>
      <c r="G2637" s="2" t="s">
        <v>750</v>
      </c>
      <c r="H2637" s="17">
        <v>50</v>
      </c>
      <c r="I2637" s="31">
        <f t="shared" si="252"/>
        <v>50000</v>
      </c>
      <c r="J2637" s="31">
        <f t="shared" si="253"/>
        <v>3500.0000000000005</v>
      </c>
      <c r="K2637" s="44">
        <f t="shared" si="254"/>
        <v>9.589041095890412</v>
      </c>
      <c r="L2637" s="3">
        <f t="shared" si="255"/>
        <v>709.58904109589048</v>
      </c>
      <c r="M2637" s="3">
        <f t="shared" si="256"/>
        <v>42.57534246575343</v>
      </c>
      <c r="N2637" s="67">
        <f t="shared" si="257"/>
        <v>667.01369863013701</v>
      </c>
      <c r="O2637" s="3"/>
      <c r="P2637" s="70" t="s">
        <v>18637</v>
      </c>
      <c r="Q2637" s="2" t="s">
        <v>81</v>
      </c>
      <c r="R2637" s="2" t="s">
        <v>1658</v>
      </c>
      <c r="T2637" t="s">
        <v>18666</v>
      </c>
      <c r="U2637" t="s">
        <v>18652</v>
      </c>
      <c r="V2637" s="104">
        <v>45857</v>
      </c>
      <c r="X2637" s="97"/>
      <c r="Y2637" s="75">
        <v>667.02</v>
      </c>
    </row>
    <row r="2638" spans="1:25" x14ac:dyDescent="0.25">
      <c r="A2638" s="76">
        <v>2670</v>
      </c>
      <c r="B2638" s="2" t="s">
        <v>17703</v>
      </c>
      <c r="C2638" s="2" t="s">
        <v>17704</v>
      </c>
      <c r="D2638" s="2" t="s">
        <v>2196</v>
      </c>
      <c r="E2638" s="2" t="s">
        <v>17705</v>
      </c>
      <c r="F2638" s="2" t="s">
        <v>17706</v>
      </c>
      <c r="G2638" s="2" t="s">
        <v>835</v>
      </c>
      <c r="H2638" s="17">
        <v>25</v>
      </c>
      <c r="I2638" s="31">
        <f t="shared" si="252"/>
        <v>25000</v>
      </c>
      <c r="J2638" s="31">
        <f t="shared" si="253"/>
        <v>1750.0000000000002</v>
      </c>
      <c r="K2638" s="44">
        <f t="shared" si="254"/>
        <v>4.794520547945206</v>
      </c>
      <c r="L2638" s="3">
        <f t="shared" si="255"/>
        <v>354.79452054794524</v>
      </c>
      <c r="M2638" s="3">
        <f t="shared" si="256"/>
        <v>21.287671232876715</v>
      </c>
      <c r="N2638" s="67">
        <f t="shared" si="257"/>
        <v>333.50684931506851</v>
      </c>
      <c r="O2638" s="3"/>
      <c r="P2638" s="70" t="s">
        <v>18637</v>
      </c>
      <c r="Q2638" s="2" t="s">
        <v>81</v>
      </c>
      <c r="R2638" s="2" t="s">
        <v>17707</v>
      </c>
      <c r="T2638" t="s">
        <v>18666</v>
      </c>
      <c r="U2638" t="s">
        <v>18652</v>
      </c>
      <c r="V2638" s="104">
        <v>45857</v>
      </c>
      <c r="X2638" s="97"/>
      <c r="Y2638" s="75">
        <v>333.51</v>
      </c>
    </row>
    <row r="2639" spans="1:25" x14ac:dyDescent="0.25">
      <c r="A2639" s="76">
        <v>2671</v>
      </c>
      <c r="B2639" s="2" t="s">
        <v>2740</v>
      </c>
      <c r="C2639" s="2" t="s">
        <v>2741</v>
      </c>
      <c r="D2639" s="2" t="s">
        <v>2742</v>
      </c>
      <c r="E2639" s="2" t="s">
        <v>2743</v>
      </c>
      <c r="F2639" s="2" t="s">
        <v>2744</v>
      </c>
      <c r="G2639" s="2" t="s">
        <v>743</v>
      </c>
      <c r="H2639" s="17">
        <v>25</v>
      </c>
      <c r="I2639" s="31">
        <f t="shared" si="252"/>
        <v>25000</v>
      </c>
      <c r="J2639" s="31">
        <f t="shared" si="253"/>
        <v>1750.0000000000002</v>
      </c>
      <c r="K2639" s="44">
        <f t="shared" si="254"/>
        <v>4.794520547945206</v>
      </c>
      <c r="L2639" s="3">
        <f t="shared" si="255"/>
        <v>354.79452054794524</v>
      </c>
      <c r="M2639" s="3">
        <f t="shared" si="256"/>
        <v>21.287671232876715</v>
      </c>
      <c r="N2639" s="67">
        <f t="shared" si="257"/>
        <v>333.50684931506851</v>
      </c>
      <c r="O2639" s="3"/>
      <c r="P2639" s="70" t="s">
        <v>18637</v>
      </c>
      <c r="Q2639" s="2" t="s">
        <v>81</v>
      </c>
      <c r="R2639" s="2" t="s">
        <v>2745</v>
      </c>
      <c r="T2639" t="s">
        <v>18666</v>
      </c>
      <c r="U2639" t="s">
        <v>18652</v>
      </c>
      <c r="V2639" s="104">
        <v>45857</v>
      </c>
      <c r="X2639" s="97"/>
      <c r="Y2639" s="75">
        <v>333.51</v>
      </c>
    </row>
    <row r="2640" spans="1:25" x14ac:dyDescent="0.25">
      <c r="A2640" s="76">
        <v>2672</v>
      </c>
      <c r="B2640" s="2" t="s">
        <v>16002</v>
      </c>
      <c r="C2640" s="2" t="s">
        <v>16003</v>
      </c>
      <c r="D2640" s="2" t="s">
        <v>16004</v>
      </c>
      <c r="E2640" s="2" t="s">
        <v>16005</v>
      </c>
      <c r="F2640" s="2" t="s">
        <v>16006</v>
      </c>
      <c r="G2640" s="2" t="s">
        <v>1017</v>
      </c>
      <c r="H2640" s="17">
        <v>25</v>
      </c>
      <c r="I2640" s="31">
        <f t="shared" si="252"/>
        <v>25000</v>
      </c>
      <c r="J2640" s="31">
        <f t="shared" si="253"/>
        <v>1750.0000000000002</v>
      </c>
      <c r="K2640" s="44">
        <f t="shared" si="254"/>
        <v>4.794520547945206</v>
      </c>
      <c r="L2640" s="3">
        <f t="shared" si="255"/>
        <v>354.79452054794524</v>
      </c>
      <c r="M2640" s="3">
        <f t="shared" si="256"/>
        <v>21.287671232876715</v>
      </c>
      <c r="N2640" s="67">
        <f t="shared" si="257"/>
        <v>333.50684931506851</v>
      </c>
      <c r="O2640" s="3"/>
      <c r="P2640" s="70" t="s">
        <v>18637</v>
      </c>
      <c r="Q2640" s="2" t="s">
        <v>81</v>
      </c>
      <c r="R2640" s="2" t="s">
        <v>16007</v>
      </c>
      <c r="T2640" t="s">
        <v>18666</v>
      </c>
      <c r="U2640" t="s">
        <v>18652</v>
      </c>
      <c r="V2640" s="104">
        <v>45857</v>
      </c>
      <c r="X2640" s="97"/>
      <c r="Y2640" s="75">
        <v>333.51</v>
      </c>
    </row>
    <row r="2641" spans="1:25" x14ac:dyDescent="0.25">
      <c r="A2641" s="76">
        <v>2673</v>
      </c>
      <c r="B2641" s="2" t="s">
        <v>4234</v>
      </c>
      <c r="C2641" s="2" t="s">
        <v>4235</v>
      </c>
      <c r="D2641" s="2" t="s">
        <v>4236</v>
      </c>
      <c r="E2641" s="2" t="s">
        <v>4237</v>
      </c>
      <c r="F2641" s="2" t="s">
        <v>4238</v>
      </c>
      <c r="G2641" s="2" t="s">
        <v>31</v>
      </c>
      <c r="H2641" s="17">
        <v>25</v>
      </c>
      <c r="I2641" s="31">
        <f t="shared" si="252"/>
        <v>25000</v>
      </c>
      <c r="J2641" s="31">
        <f t="shared" si="253"/>
        <v>1750.0000000000002</v>
      </c>
      <c r="K2641" s="44">
        <f t="shared" si="254"/>
        <v>4.794520547945206</v>
      </c>
      <c r="L2641" s="3">
        <f t="shared" si="255"/>
        <v>354.79452054794524</v>
      </c>
      <c r="M2641" s="3">
        <f t="shared" si="256"/>
        <v>21.287671232876715</v>
      </c>
      <c r="N2641" s="67">
        <f t="shared" si="257"/>
        <v>333.50684931506851</v>
      </c>
      <c r="O2641" s="3"/>
      <c r="P2641" s="70" t="s">
        <v>18637</v>
      </c>
      <c r="Q2641" s="2" t="s">
        <v>81</v>
      </c>
      <c r="R2641" s="2" t="s">
        <v>4239</v>
      </c>
      <c r="T2641" t="s">
        <v>18666</v>
      </c>
      <c r="U2641" t="s">
        <v>18652</v>
      </c>
      <c r="V2641" s="104">
        <v>45857</v>
      </c>
      <c r="X2641" s="97"/>
      <c r="Y2641" s="75">
        <v>333.51</v>
      </c>
    </row>
    <row r="2642" spans="1:25" x14ac:dyDescent="0.25">
      <c r="A2642" s="76">
        <v>2674</v>
      </c>
      <c r="B2642" s="2" t="s">
        <v>11842</v>
      </c>
      <c r="C2642" s="2" t="s">
        <v>11843</v>
      </c>
      <c r="D2642" s="2" t="s">
        <v>11844</v>
      </c>
      <c r="E2642" s="2" t="s">
        <v>11845</v>
      </c>
      <c r="F2642" s="2" t="s">
        <v>11846</v>
      </c>
      <c r="G2642" s="2" t="s">
        <v>31</v>
      </c>
      <c r="H2642" s="17">
        <v>150</v>
      </c>
      <c r="I2642" s="31">
        <f t="shared" ref="I2642:I2705" si="258">H2642*1000</f>
        <v>150000</v>
      </c>
      <c r="J2642" s="31">
        <f t="shared" ref="J2642:J2705" si="259">I2642*7%</f>
        <v>10500.000000000002</v>
      </c>
      <c r="K2642" s="44">
        <f t="shared" ref="K2642:K2705" si="260">J2642/365</f>
        <v>28.767123287671239</v>
      </c>
      <c r="L2642" s="3">
        <f t="shared" ref="L2642:L2705" si="261">K2642*74</f>
        <v>2128.7671232876719</v>
      </c>
      <c r="M2642" s="3">
        <f t="shared" ref="M2642:M2705" si="262">L2642*6%</f>
        <v>127.72602739726031</v>
      </c>
      <c r="N2642" s="67">
        <f t="shared" ref="N2642:N2705" si="263">L2642-M2642</f>
        <v>2001.0410958904115</v>
      </c>
      <c r="O2642" s="3"/>
      <c r="P2642" s="70" t="s">
        <v>18637</v>
      </c>
      <c r="Q2642" s="2" t="s">
        <v>81</v>
      </c>
      <c r="R2642" s="2" t="s">
        <v>11847</v>
      </c>
      <c r="T2642" t="s">
        <v>18666</v>
      </c>
      <c r="U2642" t="s">
        <v>18652</v>
      </c>
      <c r="V2642" s="104">
        <v>45857</v>
      </c>
      <c r="X2642" s="97"/>
      <c r="Y2642" s="75">
        <v>2001.05</v>
      </c>
    </row>
    <row r="2643" spans="1:25" x14ac:dyDescent="0.25">
      <c r="A2643" s="76">
        <v>2675</v>
      </c>
      <c r="B2643" s="2" t="s">
        <v>3335</v>
      </c>
      <c r="C2643" s="2" t="s">
        <v>3336</v>
      </c>
      <c r="D2643" s="2" t="s">
        <v>3337</v>
      </c>
      <c r="E2643" s="2" t="s">
        <v>3338</v>
      </c>
      <c r="F2643" s="2" t="s">
        <v>3339</v>
      </c>
      <c r="G2643" s="2" t="s">
        <v>247</v>
      </c>
      <c r="H2643" s="17">
        <v>25</v>
      </c>
      <c r="I2643" s="31">
        <f t="shared" si="258"/>
        <v>25000</v>
      </c>
      <c r="J2643" s="31">
        <f t="shared" si="259"/>
        <v>1750.0000000000002</v>
      </c>
      <c r="K2643" s="44">
        <f t="shared" si="260"/>
        <v>4.794520547945206</v>
      </c>
      <c r="L2643" s="3">
        <f t="shared" si="261"/>
        <v>354.79452054794524</v>
      </c>
      <c r="M2643" s="3">
        <f t="shared" si="262"/>
        <v>21.287671232876715</v>
      </c>
      <c r="N2643" s="67">
        <f t="shared" si="263"/>
        <v>333.50684931506851</v>
      </c>
      <c r="O2643" s="3"/>
      <c r="P2643" s="70" t="s">
        <v>18637</v>
      </c>
      <c r="Q2643" s="2" t="s">
        <v>81</v>
      </c>
      <c r="R2643" s="2" t="s">
        <v>3340</v>
      </c>
      <c r="T2643" t="s">
        <v>18666</v>
      </c>
      <c r="U2643" t="s">
        <v>18652</v>
      </c>
      <c r="V2643" s="104">
        <v>45857</v>
      </c>
      <c r="X2643" s="97"/>
      <c r="Y2643" s="75">
        <v>333.51</v>
      </c>
    </row>
    <row r="2644" spans="1:25" x14ac:dyDescent="0.25">
      <c r="A2644" s="76">
        <v>2676</v>
      </c>
      <c r="B2644" s="2" t="s">
        <v>10564</v>
      </c>
      <c r="C2644" s="2" t="s">
        <v>10565</v>
      </c>
      <c r="D2644" s="2" t="s">
        <v>10566</v>
      </c>
      <c r="E2644" s="2" t="s">
        <v>10567</v>
      </c>
      <c r="F2644" s="2" t="s">
        <v>1194</v>
      </c>
      <c r="G2644" s="2" t="s">
        <v>599</v>
      </c>
      <c r="H2644" s="17">
        <v>25</v>
      </c>
      <c r="I2644" s="31">
        <f t="shared" si="258"/>
        <v>25000</v>
      </c>
      <c r="J2644" s="31">
        <f t="shared" si="259"/>
        <v>1750.0000000000002</v>
      </c>
      <c r="K2644" s="44">
        <f t="shared" si="260"/>
        <v>4.794520547945206</v>
      </c>
      <c r="L2644" s="3">
        <f t="shared" si="261"/>
        <v>354.79452054794524</v>
      </c>
      <c r="M2644" s="3">
        <f t="shared" si="262"/>
        <v>21.287671232876715</v>
      </c>
      <c r="N2644" s="67">
        <f t="shared" si="263"/>
        <v>333.50684931506851</v>
      </c>
      <c r="O2644" s="3"/>
      <c r="P2644" s="70" t="s">
        <v>18637</v>
      </c>
      <c r="Q2644" s="2" t="s">
        <v>81</v>
      </c>
      <c r="R2644" s="2" t="s">
        <v>10568</v>
      </c>
      <c r="T2644" t="s">
        <v>18666</v>
      </c>
      <c r="U2644" t="s">
        <v>18652</v>
      </c>
      <c r="V2644" s="104">
        <v>45857</v>
      </c>
      <c r="X2644" s="97"/>
      <c r="Y2644" s="75">
        <v>333.51</v>
      </c>
    </row>
    <row r="2645" spans="1:25" x14ac:dyDescent="0.25">
      <c r="A2645" s="76">
        <v>2677</v>
      </c>
      <c r="B2645" s="2" t="s">
        <v>5027</v>
      </c>
      <c r="C2645" s="2" t="s">
        <v>5028</v>
      </c>
      <c r="D2645" s="2" t="s">
        <v>5029</v>
      </c>
      <c r="E2645" s="2" t="s">
        <v>540</v>
      </c>
      <c r="F2645" s="2" t="s">
        <v>5030</v>
      </c>
      <c r="G2645" s="2" t="s">
        <v>643</v>
      </c>
      <c r="H2645" s="17">
        <v>25</v>
      </c>
      <c r="I2645" s="31">
        <f t="shared" si="258"/>
        <v>25000</v>
      </c>
      <c r="J2645" s="31">
        <f t="shared" si="259"/>
        <v>1750.0000000000002</v>
      </c>
      <c r="K2645" s="44">
        <f t="shared" si="260"/>
        <v>4.794520547945206</v>
      </c>
      <c r="L2645" s="3">
        <f t="shared" si="261"/>
        <v>354.79452054794524</v>
      </c>
      <c r="M2645" s="3">
        <f t="shared" si="262"/>
        <v>21.287671232876715</v>
      </c>
      <c r="N2645" s="67">
        <f t="shared" si="263"/>
        <v>333.50684931506851</v>
      </c>
      <c r="O2645" s="3"/>
      <c r="P2645" s="70" t="s">
        <v>18637</v>
      </c>
      <c r="Q2645" s="2" t="s">
        <v>81</v>
      </c>
      <c r="R2645" s="2" t="s">
        <v>5031</v>
      </c>
      <c r="T2645" t="s">
        <v>18666</v>
      </c>
      <c r="U2645" t="s">
        <v>18652</v>
      </c>
      <c r="V2645" s="104">
        <v>45857</v>
      </c>
      <c r="X2645" s="97"/>
      <c r="Y2645" s="75">
        <v>333.51</v>
      </c>
    </row>
    <row r="2646" spans="1:25" x14ac:dyDescent="0.25">
      <c r="A2646" s="76">
        <v>2678</v>
      </c>
      <c r="B2646" s="2" t="s">
        <v>12196</v>
      </c>
      <c r="C2646" s="2" t="s">
        <v>12197</v>
      </c>
      <c r="D2646" s="2" t="s">
        <v>12198</v>
      </c>
      <c r="E2646" s="2" t="s">
        <v>12199</v>
      </c>
      <c r="F2646" s="2" t="s">
        <v>12200</v>
      </c>
      <c r="G2646" s="2" t="s">
        <v>186</v>
      </c>
      <c r="H2646" s="17">
        <v>25</v>
      </c>
      <c r="I2646" s="31">
        <f t="shared" si="258"/>
        <v>25000</v>
      </c>
      <c r="J2646" s="31">
        <f t="shared" si="259"/>
        <v>1750.0000000000002</v>
      </c>
      <c r="K2646" s="44">
        <f t="shared" si="260"/>
        <v>4.794520547945206</v>
      </c>
      <c r="L2646" s="3">
        <f t="shared" si="261"/>
        <v>354.79452054794524</v>
      </c>
      <c r="M2646" s="3">
        <f t="shared" si="262"/>
        <v>21.287671232876715</v>
      </c>
      <c r="N2646" s="67">
        <f t="shared" si="263"/>
        <v>333.50684931506851</v>
      </c>
      <c r="O2646" s="3"/>
      <c r="P2646" s="70" t="s">
        <v>18637</v>
      </c>
      <c r="Q2646" s="2" t="s">
        <v>81</v>
      </c>
      <c r="R2646" s="2" t="s">
        <v>12201</v>
      </c>
      <c r="T2646" t="s">
        <v>18666</v>
      </c>
      <c r="U2646" t="s">
        <v>18652</v>
      </c>
      <c r="V2646" s="104">
        <v>45857</v>
      </c>
      <c r="X2646" s="97"/>
      <c r="Y2646" s="75">
        <v>333.51</v>
      </c>
    </row>
    <row r="2647" spans="1:25" x14ac:dyDescent="0.25">
      <c r="A2647" s="76">
        <v>2679</v>
      </c>
      <c r="B2647" s="2" t="s">
        <v>1933</v>
      </c>
      <c r="C2647" s="2" t="s">
        <v>1934</v>
      </c>
      <c r="D2647" s="2" t="s">
        <v>1935</v>
      </c>
      <c r="E2647" s="2" t="s">
        <v>1936</v>
      </c>
      <c r="F2647" s="2" t="s">
        <v>1937</v>
      </c>
      <c r="G2647" s="2" t="s">
        <v>166</v>
      </c>
      <c r="H2647" s="17">
        <v>100</v>
      </c>
      <c r="I2647" s="31">
        <f t="shared" si="258"/>
        <v>100000</v>
      </c>
      <c r="J2647" s="31">
        <f t="shared" si="259"/>
        <v>7000.0000000000009</v>
      </c>
      <c r="K2647" s="44">
        <f t="shared" si="260"/>
        <v>19.178082191780824</v>
      </c>
      <c r="L2647" s="3">
        <f t="shared" si="261"/>
        <v>1419.178082191781</v>
      </c>
      <c r="M2647" s="3">
        <f t="shared" si="262"/>
        <v>85.150684931506859</v>
      </c>
      <c r="N2647" s="67">
        <f t="shared" si="263"/>
        <v>1334.027397260274</v>
      </c>
      <c r="O2647" s="3"/>
      <c r="P2647" s="70" t="s">
        <v>18637</v>
      </c>
      <c r="Q2647" s="2" t="s">
        <v>81</v>
      </c>
      <c r="R2647" s="2" t="s">
        <v>1938</v>
      </c>
      <c r="T2647" t="s">
        <v>18666</v>
      </c>
      <c r="U2647" t="s">
        <v>18652</v>
      </c>
      <c r="V2647" s="104">
        <v>45857</v>
      </c>
      <c r="X2647" s="97"/>
      <c r="Y2647" s="75">
        <v>1334.03</v>
      </c>
    </row>
    <row r="2648" spans="1:25" x14ac:dyDescent="0.25">
      <c r="A2648" s="76">
        <v>2680</v>
      </c>
      <c r="B2648" s="2" t="s">
        <v>5701</v>
      </c>
      <c r="C2648" s="2" t="s">
        <v>5702</v>
      </c>
      <c r="D2648" s="2" t="s">
        <v>5703</v>
      </c>
      <c r="E2648" s="2" t="s">
        <v>5704</v>
      </c>
      <c r="F2648" s="2" t="s">
        <v>5705</v>
      </c>
      <c r="G2648" s="2" t="s">
        <v>31</v>
      </c>
      <c r="H2648" s="17">
        <v>1000</v>
      </c>
      <c r="I2648" s="31">
        <f t="shared" si="258"/>
        <v>1000000</v>
      </c>
      <c r="J2648" s="31">
        <f t="shared" si="259"/>
        <v>70000</v>
      </c>
      <c r="K2648" s="44">
        <f t="shared" si="260"/>
        <v>191.78082191780823</v>
      </c>
      <c r="L2648" s="3">
        <f t="shared" si="261"/>
        <v>14191.780821917808</v>
      </c>
      <c r="M2648" s="3">
        <f t="shared" si="262"/>
        <v>851.50684931506839</v>
      </c>
      <c r="N2648" s="67">
        <f t="shared" si="263"/>
        <v>13340.273972602739</v>
      </c>
      <c r="O2648" s="3"/>
      <c r="P2648" s="70" t="s">
        <v>18637</v>
      </c>
      <c r="Q2648" s="2" t="s">
        <v>81</v>
      </c>
      <c r="R2648" s="2" t="s">
        <v>5706</v>
      </c>
      <c r="T2648" t="s">
        <v>18666</v>
      </c>
      <c r="U2648" t="s">
        <v>18652</v>
      </c>
      <c r="V2648" s="104">
        <v>45857</v>
      </c>
      <c r="X2648" s="97"/>
      <c r="Y2648" s="75">
        <v>13340.28</v>
      </c>
    </row>
    <row r="2649" spans="1:25" x14ac:dyDescent="0.25">
      <c r="A2649" s="76">
        <v>2681</v>
      </c>
      <c r="B2649" s="2" t="s">
        <v>9722</v>
      </c>
      <c r="C2649" s="2" t="s">
        <v>9723</v>
      </c>
      <c r="D2649" s="2" t="s">
        <v>9724</v>
      </c>
      <c r="E2649" s="2" t="s">
        <v>9725</v>
      </c>
      <c r="F2649" s="2" t="s">
        <v>9726</v>
      </c>
      <c r="G2649" s="2" t="s">
        <v>226</v>
      </c>
      <c r="H2649" s="17">
        <v>100</v>
      </c>
      <c r="I2649" s="31">
        <f t="shared" si="258"/>
        <v>100000</v>
      </c>
      <c r="J2649" s="31">
        <f t="shared" si="259"/>
        <v>7000.0000000000009</v>
      </c>
      <c r="K2649" s="44">
        <f t="shared" si="260"/>
        <v>19.178082191780824</v>
      </c>
      <c r="L2649" s="3">
        <f t="shared" si="261"/>
        <v>1419.178082191781</v>
      </c>
      <c r="M2649" s="3">
        <f t="shared" si="262"/>
        <v>85.150684931506859</v>
      </c>
      <c r="N2649" s="67">
        <f t="shared" si="263"/>
        <v>1334.027397260274</v>
      </c>
      <c r="O2649" s="3"/>
      <c r="P2649" s="70" t="s">
        <v>18637</v>
      </c>
      <c r="Q2649" s="2" t="s">
        <v>81</v>
      </c>
      <c r="R2649" s="2" t="s">
        <v>9727</v>
      </c>
      <c r="T2649" t="s">
        <v>18666</v>
      </c>
      <c r="U2649" t="s">
        <v>18652</v>
      </c>
      <c r="V2649" s="104">
        <v>45857</v>
      </c>
      <c r="X2649" s="97"/>
      <c r="Y2649" s="75">
        <v>1334.03</v>
      </c>
    </row>
    <row r="2650" spans="1:25" x14ac:dyDescent="0.25">
      <c r="A2650" s="76">
        <v>2682</v>
      </c>
      <c r="B2650" s="2" t="s">
        <v>5784</v>
      </c>
      <c r="C2650" s="2" t="s">
        <v>5785</v>
      </c>
      <c r="D2650" s="2" t="s">
        <v>5786</v>
      </c>
      <c r="E2650" s="2" t="s">
        <v>5787</v>
      </c>
      <c r="F2650" s="2" t="s">
        <v>5788</v>
      </c>
      <c r="G2650" s="2" t="s">
        <v>2380</v>
      </c>
      <c r="H2650" s="17">
        <v>25</v>
      </c>
      <c r="I2650" s="31">
        <f t="shared" si="258"/>
        <v>25000</v>
      </c>
      <c r="J2650" s="31">
        <f t="shared" si="259"/>
        <v>1750.0000000000002</v>
      </c>
      <c r="K2650" s="44">
        <f t="shared" si="260"/>
        <v>4.794520547945206</v>
      </c>
      <c r="L2650" s="3">
        <f t="shared" si="261"/>
        <v>354.79452054794524</v>
      </c>
      <c r="M2650" s="3">
        <f t="shared" si="262"/>
        <v>21.287671232876715</v>
      </c>
      <c r="N2650" s="67">
        <f t="shared" si="263"/>
        <v>333.50684931506851</v>
      </c>
      <c r="O2650" s="3"/>
      <c r="P2650" s="70" t="s">
        <v>18637</v>
      </c>
      <c r="Q2650" s="2" t="s">
        <v>81</v>
      </c>
      <c r="R2650" s="2" t="s">
        <v>5789</v>
      </c>
      <c r="T2650" t="s">
        <v>18666</v>
      </c>
      <c r="U2650" t="s">
        <v>18652</v>
      </c>
      <c r="V2650" s="104">
        <v>45857</v>
      </c>
      <c r="X2650" s="97"/>
      <c r="Y2650" s="75">
        <v>333.51</v>
      </c>
    </row>
    <row r="2651" spans="1:25" x14ac:dyDescent="0.25">
      <c r="A2651" s="76">
        <v>2683</v>
      </c>
      <c r="B2651" s="2" t="s">
        <v>871</v>
      </c>
      <c r="C2651" s="2" t="s">
        <v>872</v>
      </c>
      <c r="D2651" s="2" t="s">
        <v>873</v>
      </c>
      <c r="E2651" s="2" t="s">
        <v>874</v>
      </c>
      <c r="F2651" s="2" t="s">
        <v>875</v>
      </c>
      <c r="G2651" s="2" t="s">
        <v>876</v>
      </c>
      <c r="H2651" s="17">
        <v>100</v>
      </c>
      <c r="I2651" s="31">
        <f t="shared" si="258"/>
        <v>100000</v>
      </c>
      <c r="J2651" s="31">
        <f t="shared" si="259"/>
        <v>7000.0000000000009</v>
      </c>
      <c r="K2651" s="44">
        <f t="shared" si="260"/>
        <v>19.178082191780824</v>
      </c>
      <c r="L2651" s="3">
        <f t="shared" si="261"/>
        <v>1419.178082191781</v>
      </c>
      <c r="M2651" s="3">
        <f t="shared" si="262"/>
        <v>85.150684931506859</v>
      </c>
      <c r="N2651" s="67">
        <f t="shared" si="263"/>
        <v>1334.027397260274</v>
      </c>
      <c r="O2651" s="3"/>
      <c r="P2651" s="70" t="s">
        <v>18637</v>
      </c>
      <c r="Q2651" s="2" t="s">
        <v>81</v>
      </c>
      <c r="R2651" s="2" t="s">
        <v>877</v>
      </c>
      <c r="T2651" t="s">
        <v>18666</v>
      </c>
      <c r="U2651" t="s">
        <v>18652</v>
      </c>
      <c r="V2651" s="104">
        <v>45857</v>
      </c>
      <c r="X2651" s="97"/>
      <c r="Y2651" s="75">
        <v>1334.03</v>
      </c>
    </row>
    <row r="2652" spans="1:25" x14ac:dyDescent="0.25">
      <c r="A2652" s="76">
        <v>2684</v>
      </c>
      <c r="B2652" s="2" t="s">
        <v>9310</v>
      </c>
      <c r="C2652" s="2" t="s">
        <v>9311</v>
      </c>
      <c r="D2652" s="2" t="s">
        <v>9312</v>
      </c>
      <c r="E2652" s="2" t="s">
        <v>9313</v>
      </c>
      <c r="F2652" s="2" t="s">
        <v>9314</v>
      </c>
      <c r="G2652" s="2" t="s">
        <v>39</v>
      </c>
      <c r="H2652" s="17">
        <v>25</v>
      </c>
      <c r="I2652" s="31">
        <f t="shared" si="258"/>
        <v>25000</v>
      </c>
      <c r="J2652" s="31">
        <f t="shared" si="259"/>
        <v>1750.0000000000002</v>
      </c>
      <c r="K2652" s="44">
        <f t="shared" si="260"/>
        <v>4.794520547945206</v>
      </c>
      <c r="L2652" s="3">
        <f t="shared" si="261"/>
        <v>354.79452054794524</v>
      </c>
      <c r="M2652" s="3">
        <f t="shared" si="262"/>
        <v>21.287671232876715</v>
      </c>
      <c r="N2652" s="67">
        <f t="shared" si="263"/>
        <v>333.50684931506851</v>
      </c>
      <c r="O2652" s="3"/>
      <c r="P2652" s="70" t="s">
        <v>18637</v>
      </c>
      <c r="Q2652" s="2" t="s">
        <v>81</v>
      </c>
      <c r="R2652" s="2" t="s">
        <v>9315</v>
      </c>
      <c r="T2652" t="s">
        <v>18666</v>
      </c>
      <c r="U2652" t="s">
        <v>18652</v>
      </c>
      <c r="V2652" s="104">
        <v>45857</v>
      </c>
      <c r="X2652" s="97"/>
      <c r="Y2652" s="75">
        <v>333.51</v>
      </c>
    </row>
    <row r="2653" spans="1:25" x14ac:dyDescent="0.25">
      <c r="A2653" s="76">
        <v>2685</v>
      </c>
      <c r="B2653" s="2" t="s">
        <v>3742</v>
      </c>
      <c r="C2653" s="2" t="s">
        <v>3743</v>
      </c>
      <c r="D2653" s="2" t="s">
        <v>3744</v>
      </c>
      <c r="E2653" s="2" t="s">
        <v>3745</v>
      </c>
      <c r="F2653" s="2" t="s">
        <v>3746</v>
      </c>
      <c r="G2653" s="2" t="s">
        <v>166</v>
      </c>
      <c r="H2653" s="17">
        <v>30</v>
      </c>
      <c r="I2653" s="31">
        <f t="shared" si="258"/>
        <v>30000</v>
      </c>
      <c r="J2653" s="31">
        <f t="shared" si="259"/>
        <v>2100</v>
      </c>
      <c r="K2653" s="44">
        <f t="shared" si="260"/>
        <v>5.7534246575342465</v>
      </c>
      <c r="L2653" s="3">
        <f t="shared" si="261"/>
        <v>425.75342465753425</v>
      </c>
      <c r="M2653" s="3">
        <f t="shared" si="262"/>
        <v>25.545205479452054</v>
      </c>
      <c r="N2653" s="67">
        <f t="shared" si="263"/>
        <v>400.20821917808217</v>
      </c>
      <c r="O2653" s="3"/>
      <c r="P2653" s="70" t="s">
        <v>18637</v>
      </c>
      <c r="Q2653" s="2" t="s">
        <v>81</v>
      </c>
      <c r="R2653" s="2" t="s">
        <v>3747</v>
      </c>
      <c r="T2653" t="s">
        <v>18666</v>
      </c>
      <c r="U2653" t="s">
        <v>18652</v>
      </c>
      <c r="V2653" s="104">
        <v>45857</v>
      </c>
      <c r="X2653" s="97"/>
      <c r="Y2653" s="75">
        <v>400.21</v>
      </c>
    </row>
    <row r="2654" spans="1:25" x14ac:dyDescent="0.25">
      <c r="A2654" s="76">
        <v>2686</v>
      </c>
      <c r="B2654" s="2" t="s">
        <v>10475</v>
      </c>
      <c r="C2654" s="2" t="s">
        <v>10476</v>
      </c>
      <c r="D2654" s="2" t="s">
        <v>10477</v>
      </c>
      <c r="E2654" s="2" t="s">
        <v>10478</v>
      </c>
      <c r="F2654" s="2" t="s">
        <v>10479</v>
      </c>
      <c r="G2654" s="2" t="s">
        <v>1823</v>
      </c>
      <c r="H2654" s="17">
        <v>50</v>
      </c>
      <c r="I2654" s="31">
        <f t="shared" si="258"/>
        <v>50000</v>
      </c>
      <c r="J2654" s="31">
        <f t="shared" si="259"/>
        <v>3500.0000000000005</v>
      </c>
      <c r="K2654" s="44">
        <f t="shared" si="260"/>
        <v>9.589041095890412</v>
      </c>
      <c r="L2654" s="3">
        <f t="shared" si="261"/>
        <v>709.58904109589048</v>
      </c>
      <c r="M2654" s="3">
        <f t="shared" si="262"/>
        <v>42.57534246575343</v>
      </c>
      <c r="N2654" s="67">
        <f t="shared" si="263"/>
        <v>667.01369863013701</v>
      </c>
      <c r="O2654" s="3"/>
      <c r="P2654" s="70" t="s">
        <v>18637</v>
      </c>
      <c r="Q2654" s="2" t="s">
        <v>81</v>
      </c>
      <c r="R2654" s="2" t="s">
        <v>10480</v>
      </c>
      <c r="T2654" t="s">
        <v>18666</v>
      </c>
      <c r="U2654" t="s">
        <v>18652</v>
      </c>
      <c r="V2654" s="104">
        <v>45857</v>
      </c>
      <c r="X2654" s="97"/>
      <c r="Y2654" s="75">
        <v>667.02</v>
      </c>
    </row>
    <row r="2655" spans="1:25" x14ac:dyDescent="0.25">
      <c r="A2655" s="76">
        <v>2687</v>
      </c>
      <c r="B2655" s="2" t="s">
        <v>9404</v>
      </c>
      <c r="C2655" s="2" t="s">
        <v>9405</v>
      </c>
      <c r="D2655" s="2" t="s">
        <v>9406</v>
      </c>
      <c r="E2655" s="2" t="s">
        <v>9407</v>
      </c>
      <c r="F2655" s="2" t="s">
        <v>9408</v>
      </c>
      <c r="G2655" s="2" t="s">
        <v>193</v>
      </c>
      <c r="H2655" s="17">
        <v>25</v>
      </c>
      <c r="I2655" s="31">
        <f t="shared" si="258"/>
        <v>25000</v>
      </c>
      <c r="J2655" s="31">
        <f t="shared" si="259"/>
        <v>1750.0000000000002</v>
      </c>
      <c r="K2655" s="44">
        <f t="shared" si="260"/>
        <v>4.794520547945206</v>
      </c>
      <c r="L2655" s="3">
        <f t="shared" si="261"/>
        <v>354.79452054794524</v>
      </c>
      <c r="M2655" s="3">
        <f t="shared" si="262"/>
        <v>21.287671232876715</v>
      </c>
      <c r="N2655" s="67">
        <f t="shared" si="263"/>
        <v>333.50684931506851</v>
      </c>
      <c r="O2655" s="3"/>
      <c r="P2655" s="70" t="s">
        <v>18637</v>
      </c>
      <c r="Q2655" s="2" t="s">
        <v>81</v>
      </c>
      <c r="R2655" s="2" t="s">
        <v>9409</v>
      </c>
      <c r="T2655" t="s">
        <v>18666</v>
      </c>
      <c r="U2655" t="s">
        <v>18652</v>
      </c>
      <c r="V2655" s="104">
        <v>45857</v>
      </c>
      <c r="X2655" s="97"/>
      <c r="Y2655" s="75">
        <v>333.51</v>
      </c>
    </row>
    <row r="2656" spans="1:25" x14ac:dyDescent="0.25">
      <c r="A2656" s="76">
        <v>2688</v>
      </c>
      <c r="B2656" s="2" t="s">
        <v>17762</v>
      </c>
      <c r="C2656" s="2" t="s">
        <v>17763</v>
      </c>
      <c r="D2656" s="2" t="s">
        <v>17764</v>
      </c>
      <c r="E2656" s="2" t="s">
        <v>17765</v>
      </c>
      <c r="F2656" s="2" t="s">
        <v>17766</v>
      </c>
      <c r="G2656" s="2" t="s">
        <v>151</v>
      </c>
      <c r="H2656" s="17">
        <v>50</v>
      </c>
      <c r="I2656" s="31">
        <f t="shared" si="258"/>
        <v>50000</v>
      </c>
      <c r="J2656" s="31">
        <f t="shared" si="259"/>
        <v>3500.0000000000005</v>
      </c>
      <c r="K2656" s="44">
        <f t="shared" si="260"/>
        <v>9.589041095890412</v>
      </c>
      <c r="L2656" s="3">
        <f t="shared" si="261"/>
        <v>709.58904109589048</v>
      </c>
      <c r="M2656" s="3">
        <f t="shared" si="262"/>
        <v>42.57534246575343</v>
      </c>
      <c r="N2656" s="67">
        <f t="shared" si="263"/>
        <v>667.01369863013701</v>
      </c>
      <c r="O2656" s="3"/>
      <c r="P2656" s="70" t="s">
        <v>18637</v>
      </c>
      <c r="Q2656" s="2" t="s">
        <v>81</v>
      </c>
      <c r="R2656" s="2" t="s">
        <v>17767</v>
      </c>
      <c r="T2656" t="s">
        <v>18666</v>
      </c>
      <c r="U2656" t="s">
        <v>18652</v>
      </c>
      <c r="V2656" s="104">
        <v>45857</v>
      </c>
      <c r="X2656" s="97"/>
      <c r="Y2656" s="75">
        <v>667.02</v>
      </c>
    </row>
    <row r="2657" spans="1:25" x14ac:dyDescent="0.25">
      <c r="A2657" s="76">
        <v>2689</v>
      </c>
      <c r="B2657" s="2" t="s">
        <v>4198</v>
      </c>
      <c r="C2657" s="2" t="s">
        <v>4199</v>
      </c>
      <c r="D2657" s="2" t="s">
        <v>4200</v>
      </c>
      <c r="E2657" s="2" t="s">
        <v>4201</v>
      </c>
      <c r="F2657" s="2" t="s">
        <v>4202</v>
      </c>
      <c r="G2657" s="2" t="s">
        <v>2680</v>
      </c>
      <c r="H2657" s="17">
        <v>25</v>
      </c>
      <c r="I2657" s="31">
        <f t="shared" si="258"/>
        <v>25000</v>
      </c>
      <c r="J2657" s="31">
        <f t="shared" si="259"/>
        <v>1750.0000000000002</v>
      </c>
      <c r="K2657" s="44">
        <f t="shared" si="260"/>
        <v>4.794520547945206</v>
      </c>
      <c r="L2657" s="3">
        <f t="shared" si="261"/>
        <v>354.79452054794524</v>
      </c>
      <c r="M2657" s="3">
        <f t="shared" si="262"/>
        <v>21.287671232876715</v>
      </c>
      <c r="N2657" s="67">
        <f t="shared" si="263"/>
        <v>333.50684931506851</v>
      </c>
      <c r="O2657" s="3"/>
      <c r="P2657" s="70" t="s">
        <v>18637</v>
      </c>
      <c r="Q2657" s="2" t="s">
        <v>81</v>
      </c>
      <c r="R2657" s="2" t="s">
        <v>4203</v>
      </c>
      <c r="T2657" t="s">
        <v>18666</v>
      </c>
      <c r="U2657" t="s">
        <v>18652</v>
      </c>
      <c r="V2657" s="104">
        <v>45857</v>
      </c>
      <c r="X2657" s="97"/>
      <c r="Y2657" s="75">
        <v>333.51</v>
      </c>
    </row>
    <row r="2658" spans="1:25" x14ac:dyDescent="0.25">
      <c r="A2658" s="76">
        <v>2690</v>
      </c>
      <c r="B2658" s="2" t="s">
        <v>16270</v>
      </c>
      <c r="C2658" s="2" t="s">
        <v>16271</v>
      </c>
      <c r="D2658" s="2" t="s">
        <v>16272</v>
      </c>
      <c r="E2658" s="2" t="s">
        <v>16273</v>
      </c>
      <c r="F2658" s="2" t="s">
        <v>16274</v>
      </c>
      <c r="G2658" s="2" t="s">
        <v>580</v>
      </c>
      <c r="H2658" s="17">
        <v>45</v>
      </c>
      <c r="I2658" s="31">
        <f t="shared" si="258"/>
        <v>45000</v>
      </c>
      <c r="J2658" s="31">
        <f t="shared" si="259"/>
        <v>3150.0000000000005</v>
      </c>
      <c r="K2658" s="44">
        <f t="shared" si="260"/>
        <v>8.6301369863013715</v>
      </c>
      <c r="L2658" s="3">
        <f t="shared" si="261"/>
        <v>638.63013698630152</v>
      </c>
      <c r="M2658" s="3">
        <f t="shared" si="262"/>
        <v>38.31780821917809</v>
      </c>
      <c r="N2658" s="67">
        <f t="shared" si="263"/>
        <v>600.3123287671234</v>
      </c>
      <c r="O2658" s="3"/>
      <c r="P2658" s="70" t="s">
        <v>18637</v>
      </c>
      <c r="Q2658" s="2" t="s">
        <v>81</v>
      </c>
      <c r="R2658" s="2" t="s">
        <v>16275</v>
      </c>
      <c r="T2658" t="s">
        <v>18666</v>
      </c>
      <c r="U2658" t="s">
        <v>18652</v>
      </c>
      <c r="V2658" s="104">
        <v>45857</v>
      </c>
      <c r="X2658" s="97"/>
      <c r="Y2658" s="75">
        <v>600.31999999999994</v>
      </c>
    </row>
    <row r="2659" spans="1:25" x14ac:dyDescent="0.25">
      <c r="A2659" s="76">
        <v>2691</v>
      </c>
      <c r="B2659" s="2" t="s">
        <v>12681</v>
      </c>
      <c r="C2659" s="2" t="s">
        <v>12682</v>
      </c>
      <c r="D2659" s="2" t="s">
        <v>12683</v>
      </c>
      <c r="E2659" s="2" t="s">
        <v>12684</v>
      </c>
      <c r="F2659" s="2" t="s">
        <v>12685</v>
      </c>
      <c r="G2659" s="2" t="s">
        <v>268</v>
      </c>
      <c r="H2659" s="17">
        <v>25</v>
      </c>
      <c r="I2659" s="31">
        <f t="shared" si="258"/>
        <v>25000</v>
      </c>
      <c r="J2659" s="31">
        <f t="shared" si="259"/>
        <v>1750.0000000000002</v>
      </c>
      <c r="K2659" s="44">
        <f t="shared" si="260"/>
        <v>4.794520547945206</v>
      </c>
      <c r="L2659" s="3">
        <f t="shared" si="261"/>
        <v>354.79452054794524</v>
      </c>
      <c r="M2659" s="3">
        <f t="shared" si="262"/>
        <v>21.287671232876715</v>
      </c>
      <c r="N2659" s="67">
        <f t="shared" si="263"/>
        <v>333.50684931506851</v>
      </c>
      <c r="O2659" s="3"/>
      <c r="P2659" s="70" t="s">
        <v>18637</v>
      </c>
      <c r="Q2659" s="2" t="s">
        <v>81</v>
      </c>
      <c r="R2659" s="2" t="s">
        <v>12686</v>
      </c>
      <c r="T2659" t="s">
        <v>18666</v>
      </c>
      <c r="U2659" t="s">
        <v>18652</v>
      </c>
      <c r="V2659" s="104">
        <v>45857</v>
      </c>
      <c r="X2659" s="97"/>
      <c r="Y2659" s="75">
        <v>333.51</v>
      </c>
    </row>
    <row r="2660" spans="1:25" x14ac:dyDescent="0.25">
      <c r="A2660" s="76">
        <v>2692</v>
      </c>
      <c r="B2660" s="2" t="s">
        <v>17896</v>
      </c>
      <c r="C2660" s="2" t="s">
        <v>17897</v>
      </c>
      <c r="D2660" s="2" t="s">
        <v>17898</v>
      </c>
      <c r="E2660" s="2" t="s">
        <v>17899</v>
      </c>
      <c r="F2660" s="2" t="s">
        <v>17900</v>
      </c>
      <c r="G2660" s="2" t="s">
        <v>750</v>
      </c>
      <c r="H2660" s="17">
        <v>80</v>
      </c>
      <c r="I2660" s="31">
        <f t="shared" si="258"/>
        <v>80000</v>
      </c>
      <c r="J2660" s="31">
        <f t="shared" si="259"/>
        <v>5600.0000000000009</v>
      </c>
      <c r="K2660" s="44">
        <f t="shared" si="260"/>
        <v>15.34246575342466</v>
      </c>
      <c r="L2660" s="3">
        <f t="shared" si="261"/>
        <v>1135.3424657534249</v>
      </c>
      <c r="M2660" s="3">
        <f t="shared" si="262"/>
        <v>68.120547945205487</v>
      </c>
      <c r="N2660" s="67">
        <f t="shared" si="263"/>
        <v>1067.2219178082194</v>
      </c>
      <c r="O2660" s="3"/>
      <c r="P2660" s="70" t="s">
        <v>18637</v>
      </c>
      <c r="Q2660" s="2" t="s">
        <v>81</v>
      </c>
      <c r="R2660" s="2" t="s">
        <v>17901</v>
      </c>
      <c r="T2660" t="s">
        <v>18666</v>
      </c>
      <c r="U2660" t="s">
        <v>18652</v>
      </c>
      <c r="V2660" s="104">
        <v>45857</v>
      </c>
      <c r="X2660" s="97"/>
      <c r="Y2660" s="75">
        <v>1067.23</v>
      </c>
    </row>
    <row r="2661" spans="1:25" x14ac:dyDescent="0.25">
      <c r="A2661" s="76">
        <v>2693</v>
      </c>
      <c r="B2661" s="2" t="s">
        <v>15571</v>
      </c>
      <c r="C2661" s="2" t="s">
        <v>15572</v>
      </c>
      <c r="D2661" s="2" t="s">
        <v>15573</v>
      </c>
      <c r="E2661" s="2" t="s">
        <v>15574</v>
      </c>
      <c r="F2661" s="2" t="s">
        <v>15575</v>
      </c>
      <c r="G2661" s="2" t="s">
        <v>31</v>
      </c>
      <c r="H2661" s="17">
        <v>25</v>
      </c>
      <c r="I2661" s="31">
        <f t="shared" si="258"/>
        <v>25000</v>
      </c>
      <c r="J2661" s="31">
        <f t="shared" si="259"/>
        <v>1750.0000000000002</v>
      </c>
      <c r="K2661" s="44">
        <f t="shared" si="260"/>
        <v>4.794520547945206</v>
      </c>
      <c r="L2661" s="3">
        <f t="shared" si="261"/>
        <v>354.79452054794524</v>
      </c>
      <c r="M2661" s="3">
        <f t="shared" si="262"/>
        <v>21.287671232876715</v>
      </c>
      <c r="N2661" s="67">
        <f t="shared" si="263"/>
        <v>333.50684931506851</v>
      </c>
      <c r="O2661" s="3"/>
      <c r="P2661" s="70" t="s">
        <v>18637</v>
      </c>
      <c r="Q2661" s="2" t="s">
        <v>81</v>
      </c>
      <c r="R2661" s="2" t="s">
        <v>15576</v>
      </c>
      <c r="T2661" t="s">
        <v>18666</v>
      </c>
      <c r="U2661" t="s">
        <v>18652</v>
      </c>
      <c r="V2661" s="104">
        <v>45857</v>
      </c>
      <c r="X2661" s="97"/>
      <c r="Y2661" s="75">
        <v>333.51</v>
      </c>
    </row>
    <row r="2662" spans="1:25" x14ac:dyDescent="0.25">
      <c r="A2662" s="76">
        <v>2694</v>
      </c>
      <c r="B2662" s="2" t="s">
        <v>16694</v>
      </c>
      <c r="C2662" s="2" t="s">
        <v>16695</v>
      </c>
      <c r="D2662" s="2" t="s">
        <v>16696</v>
      </c>
      <c r="E2662" s="2" t="s">
        <v>16697</v>
      </c>
      <c r="F2662" s="2" t="s">
        <v>16698</v>
      </c>
      <c r="G2662" s="2" t="s">
        <v>193</v>
      </c>
      <c r="H2662" s="17">
        <v>25</v>
      </c>
      <c r="I2662" s="31">
        <f t="shared" si="258"/>
        <v>25000</v>
      </c>
      <c r="J2662" s="31">
        <f t="shared" si="259"/>
        <v>1750.0000000000002</v>
      </c>
      <c r="K2662" s="44">
        <f t="shared" si="260"/>
        <v>4.794520547945206</v>
      </c>
      <c r="L2662" s="3">
        <f t="shared" si="261"/>
        <v>354.79452054794524</v>
      </c>
      <c r="M2662" s="3">
        <f t="shared" si="262"/>
        <v>21.287671232876715</v>
      </c>
      <c r="N2662" s="67">
        <f t="shared" si="263"/>
        <v>333.50684931506851</v>
      </c>
      <c r="O2662" s="3"/>
      <c r="P2662" s="70" t="s">
        <v>18637</v>
      </c>
      <c r="Q2662" s="2" t="s">
        <v>81</v>
      </c>
      <c r="R2662" s="2" t="s">
        <v>16699</v>
      </c>
      <c r="T2662" t="s">
        <v>18666</v>
      </c>
      <c r="U2662" t="s">
        <v>18652</v>
      </c>
      <c r="V2662" s="104">
        <v>45857</v>
      </c>
      <c r="X2662" s="97"/>
      <c r="Y2662" s="75">
        <v>333.51</v>
      </c>
    </row>
    <row r="2663" spans="1:25" x14ac:dyDescent="0.25">
      <c r="A2663" s="76">
        <v>2695</v>
      </c>
      <c r="B2663" s="2" t="s">
        <v>1069</v>
      </c>
      <c r="C2663" s="2" t="s">
        <v>1070</v>
      </c>
      <c r="D2663" s="2" t="s">
        <v>1071</v>
      </c>
      <c r="E2663" s="2" t="s">
        <v>1072</v>
      </c>
      <c r="F2663" s="2" t="s">
        <v>1073</v>
      </c>
      <c r="G2663" s="2" t="s">
        <v>524</v>
      </c>
      <c r="H2663" s="17">
        <v>50</v>
      </c>
      <c r="I2663" s="31">
        <f t="shared" si="258"/>
        <v>50000</v>
      </c>
      <c r="J2663" s="31">
        <f t="shared" si="259"/>
        <v>3500.0000000000005</v>
      </c>
      <c r="K2663" s="44">
        <f t="shared" si="260"/>
        <v>9.589041095890412</v>
      </c>
      <c r="L2663" s="3">
        <f t="shared" si="261"/>
        <v>709.58904109589048</v>
      </c>
      <c r="M2663" s="3">
        <f t="shared" si="262"/>
        <v>42.57534246575343</v>
      </c>
      <c r="N2663" s="67">
        <f t="shared" si="263"/>
        <v>667.01369863013701</v>
      </c>
      <c r="O2663" s="3"/>
      <c r="P2663" s="70" t="s">
        <v>18637</v>
      </c>
      <c r="Q2663" s="2" t="s">
        <v>81</v>
      </c>
      <c r="R2663" s="2" t="s">
        <v>1074</v>
      </c>
      <c r="T2663" t="s">
        <v>18666</v>
      </c>
      <c r="U2663" t="s">
        <v>18652</v>
      </c>
      <c r="V2663" s="104">
        <v>45857</v>
      </c>
      <c r="X2663" s="97"/>
      <c r="Y2663" s="75">
        <v>667.02</v>
      </c>
    </row>
    <row r="2664" spans="1:25" x14ac:dyDescent="0.25">
      <c r="A2664" s="76">
        <v>2696</v>
      </c>
      <c r="B2664" s="2" t="s">
        <v>5724</v>
      </c>
      <c r="C2664" s="2" t="s">
        <v>5725</v>
      </c>
      <c r="D2664" s="2" t="s">
        <v>5702</v>
      </c>
      <c r="E2664" s="2" t="s">
        <v>5703</v>
      </c>
      <c r="F2664" s="2" t="s">
        <v>5726</v>
      </c>
      <c r="G2664" s="2" t="s">
        <v>31</v>
      </c>
      <c r="H2664" s="17">
        <v>1000</v>
      </c>
      <c r="I2664" s="31">
        <f t="shared" si="258"/>
        <v>1000000</v>
      </c>
      <c r="J2664" s="31">
        <f t="shared" si="259"/>
        <v>70000</v>
      </c>
      <c r="K2664" s="44">
        <f t="shared" si="260"/>
        <v>191.78082191780823</v>
      </c>
      <c r="L2664" s="3">
        <f t="shared" si="261"/>
        <v>14191.780821917808</v>
      </c>
      <c r="M2664" s="3">
        <f t="shared" si="262"/>
        <v>851.50684931506839</v>
      </c>
      <c r="N2664" s="67">
        <f t="shared" si="263"/>
        <v>13340.273972602739</v>
      </c>
      <c r="O2664" s="3"/>
      <c r="P2664" s="70" t="s">
        <v>18637</v>
      </c>
      <c r="Q2664" s="2" t="s">
        <v>81</v>
      </c>
      <c r="R2664" s="2" t="s">
        <v>5727</v>
      </c>
      <c r="T2664" t="s">
        <v>18666</v>
      </c>
      <c r="U2664" t="s">
        <v>18652</v>
      </c>
      <c r="V2664" s="104">
        <v>45857</v>
      </c>
      <c r="X2664" s="97"/>
      <c r="Y2664" s="75">
        <v>13340.28</v>
      </c>
    </row>
    <row r="2665" spans="1:25" x14ac:dyDescent="0.25">
      <c r="A2665" s="76">
        <v>2697</v>
      </c>
      <c r="B2665" s="2" t="s">
        <v>10414</v>
      </c>
      <c r="C2665" s="2" t="s">
        <v>10415</v>
      </c>
      <c r="D2665" s="2" t="s">
        <v>10416</v>
      </c>
      <c r="E2665" s="2" t="s">
        <v>10417</v>
      </c>
      <c r="F2665" s="2" t="s">
        <v>10418</v>
      </c>
      <c r="G2665" s="2" t="s">
        <v>247</v>
      </c>
      <c r="H2665" s="17">
        <v>25</v>
      </c>
      <c r="I2665" s="31">
        <f t="shared" si="258"/>
        <v>25000</v>
      </c>
      <c r="J2665" s="31">
        <f t="shared" si="259"/>
        <v>1750.0000000000002</v>
      </c>
      <c r="K2665" s="44">
        <f t="shared" si="260"/>
        <v>4.794520547945206</v>
      </c>
      <c r="L2665" s="3">
        <f t="shared" si="261"/>
        <v>354.79452054794524</v>
      </c>
      <c r="M2665" s="3">
        <f t="shared" si="262"/>
        <v>21.287671232876715</v>
      </c>
      <c r="N2665" s="67">
        <f t="shared" si="263"/>
        <v>333.50684931506851</v>
      </c>
      <c r="O2665" s="3"/>
      <c r="P2665" s="70" t="s">
        <v>18637</v>
      </c>
      <c r="Q2665" s="2" t="s">
        <v>81</v>
      </c>
      <c r="R2665" s="2" t="s">
        <v>10419</v>
      </c>
      <c r="T2665" t="s">
        <v>18666</v>
      </c>
      <c r="U2665" t="s">
        <v>18652</v>
      </c>
      <c r="V2665" s="104">
        <v>45857</v>
      </c>
      <c r="X2665" s="97"/>
      <c r="Y2665" s="75">
        <v>333.51</v>
      </c>
    </row>
    <row r="2666" spans="1:25" x14ac:dyDescent="0.25">
      <c r="A2666" s="76">
        <v>2698</v>
      </c>
      <c r="B2666" s="2" t="s">
        <v>7613</v>
      </c>
      <c r="C2666" s="2" t="s">
        <v>7614</v>
      </c>
      <c r="D2666" s="2" t="s">
        <v>7615</v>
      </c>
      <c r="E2666" s="2" t="s">
        <v>7616</v>
      </c>
      <c r="F2666" s="2" t="s">
        <v>7617</v>
      </c>
      <c r="G2666" s="2" t="s">
        <v>193</v>
      </c>
      <c r="H2666" s="17">
        <v>25</v>
      </c>
      <c r="I2666" s="31">
        <f t="shared" si="258"/>
        <v>25000</v>
      </c>
      <c r="J2666" s="31">
        <f t="shared" si="259"/>
        <v>1750.0000000000002</v>
      </c>
      <c r="K2666" s="44">
        <f t="shared" si="260"/>
        <v>4.794520547945206</v>
      </c>
      <c r="L2666" s="3">
        <f t="shared" si="261"/>
        <v>354.79452054794524</v>
      </c>
      <c r="M2666" s="3">
        <f t="shared" si="262"/>
        <v>21.287671232876715</v>
      </c>
      <c r="N2666" s="67">
        <f t="shared" si="263"/>
        <v>333.50684931506851</v>
      </c>
      <c r="O2666" s="3"/>
      <c r="P2666" s="70" t="s">
        <v>18637</v>
      </c>
      <c r="Q2666" s="2" t="s">
        <v>81</v>
      </c>
      <c r="R2666" s="2" t="s">
        <v>7618</v>
      </c>
      <c r="T2666" t="s">
        <v>18666</v>
      </c>
      <c r="U2666" t="s">
        <v>18652</v>
      </c>
      <c r="V2666" s="104">
        <v>45857</v>
      </c>
      <c r="X2666" s="97"/>
      <c r="Y2666" s="75">
        <v>333.51</v>
      </c>
    </row>
    <row r="2667" spans="1:25" x14ac:dyDescent="0.25">
      <c r="A2667" s="76">
        <v>2699</v>
      </c>
      <c r="B2667" s="2" t="s">
        <v>8066</v>
      </c>
      <c r="C2667" s="2" t="s">
        <v>8067</v>
      </c>
      <c r="D2667" s="2" t="s">
        <v>8068</v>
      </c>
      <c r="E2667" s="2" t="s">
        <v>8069</v>
      </c>
      <c r="F2667" s="2" t="s">
        <v>8070</v>
      </c>
      <c r="G2667" s="2" t="s">
        <v>328</v>
      </c>
      <c r="H2667" s="17">
        <v>25</v>
      </c>
      <c r="I2667" s="31">
        <f t="shared" si="258"/>
        <v>25000</v>
      </c>
      <c r="J2667" s="31">
        <f t="shared" si="259"/>
        <v>1750.0000000000002</v>
      </c>
      <c r="K2667" s="44">
        <f t="shared" si="260"/>
        <v>4.794520547945206</v>
      </c>
      <c r="L2667" s="3">
        <f t="shared" si="261"/>
        <v>354.79452054794524</v>
      </c>
      <c r="M2667" s="3">
        <f t="shared" si="262"/>
        <v>21.287671232876715</v>
      </c>
      <c r="N2667" s="67">
        <f t="shared" si="263"/>
        <v>333.50684931506851</v>
      </c>
      <c r="O2667" s="3"/>
      <c r="P2667" s="70" t="s">
        <v>18637</v>
      </c>
      <c r="Q2667" s="2" t="s">
        <v>81</v>
      </c>
      <c r="R2667" s="2" t="s">
        <v>8071</v>
      </c>
      <c r="T2667" t="s">
        <v>18666</v>
      </c>
      <c r="U2667" t="s">
        <v>18652</v>
      </c>
      <c r="V2667" s="104">
        <v>45857</v>
      </c>
      <c r="X2667" s="97"/>
      <c r="Y2667" s="75">
        <v>333.51</v>
      </c>
    </row>
    <row r="2668" spans="1:25" x14ac:dyDescent="0.25">
      <c r="A2668" s="76">
        <v>2700</v>
      </c>
      <c r="B2668" s="2" t="s">
        <v>6349</v>
      </c>
      <c r="C2668" s="2" t="s">
        <v>6350</v>
      </c>
      <c r="D2668" s="2" t="s">
        <v>6351</v>
      </c>
      <c r="E2668" s="2" t="s">
        <v>6352</v>
      </c>
      <c r="F2668" s="2" t="s">
        <v>6353</v>
      </c>
      <c r="G2668" s="2" t="s">
        <v>876</v>
      </c>
      <c r="H2668" s="17">
        <v>50</v>
      </c>
      <c r="I2668" s="31">
        <f t="shared" si="258"/>
        <v>50000</v>
      </c>
      <c r="J2668" s="31">
        <f t="shared" si="259"/>
        <v>3500.0000000000005</v>
      </c>
      <c r="K2668" s="44">
        <f t="shared" si="260"/>
        <v>9.589041095890412</v>
      </c>
      <c r="L2668" s="3">
        <f t="shared" si="261"/>
        <v>709.58904109589048</v>
      </c>
      <c r="M2668" s="3">
        <f t="shared" si="262"/>
        <v>42.57534246575343</v>
      </c>
      <c r="N2668" s="67">
        <f t="shared" si="263"/>
        <v>667.01369863013701</v>
      </c>
      <c r="O2668" s="3"/>
      <c r="P2668" s="70" t="s">
        <v>18637</v>
      </c>
      <c r="Q2668" s="2" t="s">
        <v>81</v>
      </c>
      <c r="R2668" s="2" t="s">
        <v>6354</v>
      </c>
      <c r="T2668" t="s">
        <v>18666</v>
      </c>
      <c r="U2668" t="s">
        <v>18652</v>
      </c>
      <c r="V2668" s="104">
        <v>45857</v>
      </c>
      <c r="X2668" s="97"/>
      <c r="Y2668" s="75">
        <v>667.02</v>
      </c>
    </row>
    <row r="2669" spans="1:25" x14ac:dyDescent="0.25">
      <c r="A2669" s="76">
        <v>2701</v>
      </c>
      <c r="B2669" s="2" t="s">
        <v>7063</v>
      </c>
      <c r="C2669" s="2" t="s">
        <v>7064</v>
      </c>
      <c r="D2669" s="2" t="s">
        <v>1090</v>
      </c>
      <c r="E2669" s="2" t="s">
        <v>7065</v>
      </c>
      <c r="F2669" s="2" t="s">
        <v>7066</v>
      </c>
      <c r="G2669" s="2" t="s">
        <v>876</v>
      </c>
      <c r="H2669" s="17">
        <v>200</v>
      </c>
      <c r="I2669" s="31">
        <f t="shared" si="258"/>
        <v>200000</v>
      </c>
      <c r="J2669" s="31">
        <f t="shared" si="259"/>
        <v>14000.000000000002</v>
      </c>
      <c r="K2669" s="44">
        <f t="shared" si="260"/>
        <v>38.356164383561648</v>
      </c>
      <c r="L2669" s="3">
        <f t="shared" si="261"/>
        <v>2838.3561643835619</v>
      </c>
      <c r="M2669" s="3">
        <f t="shared" si="262"/>
        <v>170.30136986301372</v>
      </c>
      <c r="N2669" s="67">
        <f t="shared" si="263"/>
        <v>2668.0547945205481</v>
      </c>
      <c r="O2669" s="3"/>
      <c r="P2669" s="70" t="s">
        <v>18637</v>
      </c>
      <c r="Q2669" s="2" t="s">
        <v>81</v>
      </c>
      <c r="R2669" s="2" t="s">
        <v>7067</v>
      </c>
      <c r="T2669" t="s">
        <v>18666</v>
      </c>
      <c r="U2669" t="s">
        <v>18652</v>
      </c>
      <c r="V2669" s="104">
        <v>45857</v>
      </c>
      <c r="X2669" s="97"/>
      <c r="Y2669" s="75">
        <v>2668.0600000000004</v>
      </c>
    </row>
    <row r="2670" spans="1:25" x14ac:dyDescent="0.25">
      <c r="A2670" s="76">
        <v>2702</v>
      </c>
      <c r="B2670" s="2" t="s">
        <v>4783</v>
      </c>
      <c r="C2670" s="2" t="s">
        <v>4784</v>
      </c>
      <c r="D2670" s="2" t="s">
        <v>4785</v>
      </c>
      <c r="E2670" s="2" t="s">
        <v>4786</v>
      </c>
      <c r="F2670" s="2" t="s">
        <v>4787</v>
      </c>
      <c r="G2670" s="2" t="s">
        <v>226</v>
      </c>
      <c r="H2670" s="17">
        <v>25</v>
      </c>
      <c r="I2670" s="31">
        <f t="shared" si="258"/>
        <v>25000</v>
      </c>
      <c r="J2670" s="31">
        <f t="shared" si="259"/>
        <v>1750.0000000000002</v>
      </c>
      <c r="K2670" s="44">
        <f t="shared" si="260"/>
        <v>4.794520547945206</v>
      </c>
      <c r="L2670" s="3">
        <f t="shared" si="261"/>
        <v>354.79452054794524</v>
      </c>
      <c r="M2670" s="3">
        <f t="shared" si="262"/>
        <v>21.287671232876715</v>
      </c>
      <c r="N2670" s="67">
        <f t="shared" si="263"/>
        <v>333.50684931506851</v>
      </c>
      <c r="O2670" s="3"/>
      <c r="P2670" s="70" t="s">
        <v>18637</v>
      </c>
      <c r="Q2670" s="2" t="s">
        <v>81</v>
      </c>
      <c r="R2670" s="2" t="s">
        <v>4788</v>
      </c>
      <c r="T2670" t="s">
        <v>18666</v>
      </c>
      <c r="U2670" t="s">
        <v>18652</v>
      </c>
      <c r="V2670" s="104">
        <v>45857</v>
      </c>
      <c r="X2670" s="97"/>
      <c r="Y2670" s="75">
        <v>333.51</v>
      </c>
    </row>
    <row r="2671" spans="1:25" x14ac:dyDescent="0.25">
      <c r="A2671" s="76">
        <v>2703</v>
      </c>
      <c r="B2671" s="2" t="s">
        <v>682</v>
      </c>
      <c r="C2671" s="2" t="s">
        <v>683</v>
      </c>
      <c r="D2671" s="2" t="s">
        <v>684</v>
      </c>
      <c r="E2671" s="2" t="s">
        <v>685</v>
      </c>
      <c r="F2671" s="2" t="s">
        <v>686</v>
      </c>
      <c r="G2671" s="2" t="s">
        <v>687</v>
      </c>
      <c r="H2671" s="17">
        <v>50</v>
      </c>
      <c r="I2671" s="31">
        <f t="shared" si="258"/>
        <v>50000</v>
      </c>
      <c r="J2671" s="31">
        <f t="shared" si="259"/>
        <v>3500.0000000000005</v>
      </c>
      <c r="K2671" s="44">
        <f t="shared" si="260"/>
        <v>9.589041095890412</v>
      </c>
      <c r="L2671" s="3">
        <f t="shared" si="261"/>
        <v>709.58904109589048</v>
      </c>
      <c r="M2671" s="3">
        <f t="shared" si="262"/>
        <v>42.57534246575343</v>
      </c>
      <c r="N2671" s="67">
        <f t="shared" si="263"/>
        <v>667.01369863013701</v>
      </c>
      <c r="O2671" s="3"/>
      <c r="P2671" s="70" t="s">
        <v>18637</v>
      </c>
      <c r="Q2671" s="2" t="s">
        <v>81</v>
      </c>
      <c r="R2671" s="2" t="s">
        <v>688</v>
      </c>
      <c r="T2671" t="s">
        <v>18666</v>
      </c>
      <c r="U2671" t="s">
        <v>18652</v>
      </c>
      <c r="V2671" s="104">
        <v>45857</v>
      </c>
      <c r="X2671" s="97"/>
      <c r="Y2671" s="75">
        <v>667.02</v>
      </c>
    </row>
    <row r="2672" spans="1:25" x14ac:dyDescent="0.25">
      <c r="A2672" s="76">
        <v>2704</v>
      </c>
      <c r="B2672" s="2" t="s">
        <v>1553</v>
      </c>
      <c r="C2672" s="2" t="s">
        <v>1554</v>
      </c>
      <c r="D2672" s="2" t="s">
        <v>1555</v>
      </c>
      <c r="E2672" s="2" t="s">
        <v>1556</v>
      </c>
      <c r="F2672" s="2" t="s">
        <v>1557</v>
      </c>
      <c r="G2672" s="2" t="s">
        <v>599</v>
      </c>
      <c r="H2672" s="17">
        <v>25</v>
      </c>
      <c r="I2672" s="31">
        <f t="shared" si="258"/>
        <v>25000</v>
      </c>
      <c r="J2672" s="31">
        <f t="shared" si="259"/>
        <v>1750.0000000000002</v>
      </c>
      <c r="K2672" s="44">
        <f t="shared" si="260"/>
        <v>4.794520547945206</v>
      </c>
      <c r="L2672" s="3">
        <f t="shared" si="261"/>
        <v>354.79452054794524</v>
      </c>
      <c r="M2672" s="3">
        <f t="shared" si="262"/>
        <v>21.287671232876715</v>
      </c>
      <c r="N2672" s="67">
        <f t="shared" si="263"/>
        <v>333.50684931506851</v>
      </c>
      <c r="O2672" s="3"/>
      <c r="P2672" s="70" t="s">
        <v>18637</v>
      </c>
      <c r="Q2672" s="2" t="s">
        <v>81</v>
      </c>
      <c r="R2672" s="2" t="s">
        <v>1558</v>
      </c>
      <c r="T2672" t="s">
        <v>18666</v>
      </c>
      <c r="U2672" t="s">
        <v>18652</v>
      </c>
      <c r="V2672" s="104">
        <v>45857</v>
      </c>
      <c r="X2672" s="97"/>
      <c r="Y2672" s="75">
        <v>333.51</v>
      </c>
    </row>
    <row r="2673" spans="1:25" x14ac:dyDescent="0.25">
      <c r="A2673" s="76">
        <v>2705</v>
      </c>
      <c r="B2673" s="2" t="s">
        <v>738</v>
      </c>
      <c r="C2673" s="2" t="s">
        <v>739</v>
      </c>
      <c r="D2673" s="2" t="s">
        <v>740</v>
      </c>
      <c r="E2673" s="2" t="s">
        <v>741</v>
      </c>
      <c r="F2673" s="2" t="s">
        <v>742</v>
      </c>
      <c r="G2673" s="2" t="s">
        <v>743</v>
      </c>
      <c r="H2673" s="17">
        <v>100</v>
      </c>
      <c r="I2673" s="31">
        <f t="shared" si="258"/>
        <v>100000</v>
      </c>
      <c r="J2673" s="31">
        <f t="shared" si="259"/>
        <v>7000.0000000000009</v>
      </c>
      <c r="K2673" s="44">
        <f t="shared" si="260"/>
        <v>19.178082191780824</v>
      </c>
      <c r="L2673" s="3">
        <f t="shared" si="261"/>
        <v>1419.178082191781</v>
      </c>
      <c r="M2673" s="3">
        <f t="shared" si="262"/>
        <v>85.150684931506859</v>
      </c>
      <c r="N2673" s="67">
        <f t="shared" si="263"/>
        <v>1334.027397260274</v>
      </c>
      <c r="O2673" s="3"/>
      <c r="P2673" s="70" t="s">
        <v>18637</v>
      </c>
      <c r="Q2673" s="2" t="s">
        <v>81</v>
      </c>
      <c r="R2673" s="2" t="s">
        <v>744</v>
      </c>
      <c r="T2673" t="s">
        <v>18666</v>
      </c>
      <c r="U2673" t="s">
        <v>18652</v>
      </c>
      <c r="V2673" s="104">
        <v>45857</v>
      </c>
      <c r="X2673" s="97"/>
      <c r="Y2673" s="75">
        <v>1334.03</v>
      </c>
    </row>
    <row r="2674" spans="1:25" x14ac:dyDescent="0.25">
      <c r="A2674" s="76">
        <v>2706</v>
      </c>
      <c r="B2674" s="2" t="s">
        <v>3944</v>
      </c>
      <c r="C2674" s="2" t="s">
        <v>3945</v>
      </c>
      <c r="D2674" s="2" t="s">
        <v>3946</v>
      </c>
      <c r="E2674" s="2" t="s">
        <v>3947</v>
      </c>
      <c r="F2674" s="2" t="s">
        <v>3948</v>
      </c>
      <c r="G2674" s="2" t="s">
        <v>31</v>
      </c>
      <c r="H2674" s="17">
        <v>25</v>
      </c>
      <c r="I2674" s="31">
        <f t="shared" si="258"/>
        <v>25000</v>
      </c>
      <c r="J2674" s="31">
        <f t="shared" si="259"/>
        <v>1750.0000000000002</v>
      </c>
      <c r="K2674" s="44">
        <f t="shared" si="260"/>
        <v>4.794520547945206</v>
      </c>
      <c r="L2674" s="3">
        <f t="shared" si="261"/>
        <v>354.79452054794524</v>
      </c>
      <c r="M2674" s="3">
        <f t="shared" si="262"/>
        <v>21.287671232876715</v>
      </c>
      <c r="N2674" s="67">
        <f t="shared" si="263"/>
        <v>333.50684931506851</v>
      </c>
      <c r="O2674" s="3"/>
      <c r="P2674" s="70" t="s">
        <v>18637</v>
      </c>
      <c r="Q2674" s="2" t="s">
        <v>81</v>
      </c>
      <c r="R2674" s="2" t="s">
        <v>3949</v>
      </c>
      <c r="T2674" t="s">
        <v>18666</v>
      </c>
      <c r="U2674" t="s">
        <v>18652</v>
      </c>
      <c r="V2674" s="104">
        <v>45857</v>
      </c>
      <c r="X2674" s="97"/>
      <c r="Y2674" s="75">
        <v>333.51</v>
      </c>
    </row>
    <row r="2675" spans="1:25" x14ac:dyDescent="0.25">
      <c r="A2675" s="76">
        <v>2707</v>
      </c>
      <c r="B2675" s="2" t="s">
        <v>9833</v>
      </c>
      <c r="C2675" s="2" t="s">
        <v>9834</v>
      </c>
      <c r="D2675" s="2" t="s">
        <v>9835</v>
      </c>
      <c r="E2675" s="2" t="s">
        <v>9836</v>
      </c>
      <c r="F2675" s="2" t="s">
        <v>9837</v>
      </c>
      <c r="G2675" s="2" t="s">
        <v>643</v>
      </c>
      <c r="H2675" s="17">
        <v>200</v>
      </c>
      <c r="I2675" s="31">
        <f t="shared" si="258"/>
        <v>200000</v>
      </c>
      <c r="J2675" s="31">
        <f t="shared" si="259"/>
        <v>14000.000000000002</v>
      </c>
      <c r="K2675" s="44">
        <f t="shared" si="260"/>
        <v>38.356164383561648</v>
      </c>
      <c r="L2675" s="3">
        <f t="shared" si="261"/>
        <v>2838.3561643835619</v>
      </c>
      <c r="M2675" s="3">
        <f t="shared" si="262"/>
        <v>170.30136986301372</v>
      </c>
      <c r="N2675" s="67">
        <f t="shared" si="263"/>
        <v>2668.0547945205481</v>
      </c>
      <c r="O2675" s="3"/>
      <c r="P2675" s="70" t="s">
        <v>18637</v>
      </c>
      <c r="Q2675" s="2" t="s">
        <v>81</v>
      </c>
      <c r="R2675" s="2" t="s">
        <v>9838</v>
      </c>
      <c r="T2675" t="s">
        <v>18666</v>
      </c>
      <c r="U2675" t="s">
        <v>18652</v>
      </c>
      <c r="V2675" s="104">
        <v>45857</v>
      </c>
      <c r="X2675" s="97"/>
      <c r="Y2675" s="75">
        <v>2668.0600000000004</v>
      </c>
    </row>
    <row r="2676" spans="1:25" x14ac:dyDescent="0.25">
      <c r="A2676" s="76">
        <v>2708</v>
      </c>
      <c r="B2676" s="2" t="s">
        <v>7525</v>
      </c>
      <c r="C2676" s="2" t="s">
        <v>7526</v>
      </c>
      <c r="D2676" s="2" t="s">
        <v>7527</v>
      </c>
      <c r="E2676" s="2" t="s">
        <v>7528</v>
      </c>
      <c r="F2676" s="2" t="s">
        <v>7529</v>
      </c>
      <c r="G2676" s="2" t="s">
        <v>166</v>
      </c>
      <c r="H2676" s="17">
        <v>25</v>
      </c>
      <c r="I2676" s="31">
        <f t="shared" si="258"/>
        <v>25000</v>
      </c>
      <c r="J2676" s="31">
        <f t="shared" si="259"/>
        <v>1750.0000000000002</v>
      </c>
      <c r="K2676" s="44">
        <f t="shared" si="260"/>
        <v>4.794520547945206</v>
      </c>
      <c r="L2676" s="3">
        <f t="shared" si="261"/>
        <v>354.79452054794524</v>
      </c>
      <c r="M2676" s="3">
        <f t="shared" si="262"/>
        <v>21.287671232876715</v>
      </c>
      <c r="N2676" s="67">
        <f t="shared" si="263"/>
        <v>333.50684931506851</v>
      </c>
      <c r="O2676" s="3"/>
      <c r="P2676" s="70" t="s">
        <v>18637</v>
      </c>
      <c r="Q2676" s="2" t="s">
        <v>81</v>
      </c>
      <c r="R2676" s="2" t="s">
        <v>7530</v>
      </c>
      <c r="T2676" t="s">
        <v>18666</v>
      </c>
      <c r="U2676" t="s">
        <v>18652</v>
      </c>
      <c r="V2676" s="104">
        <v>45857</v>
      </c>
      <c r="X2676" s="97"/>
      <c r="Y2676" s="75">
        <v>333.51</v>
      </c>
    </row>
    <row r="2677" spans="1:25" x14ac:dyDescent="0.25">
      <c r="A2677" s="76">
        <v>2709</v>
      </c>
      <c r="B2677" s="2" t="s">
        <v>14181</v>
      </c>
      <c r="C2677" s="2" t="s">
        <v>14182</v>
      </c>
      <c r="D2677" s="2" t="s">
        <v>14183</v>
      </c>
      <c r="E2677" s="2" t="s">
        <v>14184</v>
      </c>
      <c r="F2677" s="2" t="s">
        <v>14185</v>
      </c>
      <c r="G2677" s="2" t="s">
        <v>1017</v>
      </c>
      <c r="H2677" s="17">
        <v>25</v>
      </c>
      <c r="I2677" s="31">
        <f t="shared" si="258"/>
        <v>25000</v>
      </c>
      <c r="J2677" s="31">
        <f t="shared" si="259"/>
        <v>1750.0000000000002</v>
      </c>
      <c r="K2677" s="44">
        <f t="shared" si="260"/>
        <v>4.794520547945206</v>
      </c>
      <c r="L2677" s="3">
        <f t="shared" si="261"/>
        <v>354.79452054794524</v>
      </c>
      <c r="M2677" s="3">
        <f t="shared" si="262"/>
        <v>21.287671232876715</v>
      </c>
      <c r="N2677" s="67">
        <f t="shared" si="263"/>
        <v>333.50684931506851</v>
      </c>
      <c r="O2677" s="3"/>
      <c r="P2677" s="70" t="s">
        <v>18637</v>
      </c>
      <c r="Q2677" s="2" t="s">
        <v>81</v>
      </c>
      <c r="R2677" s="2" t="s">
        <v>14186</v>
      </c>
      <c r="T2677" t="s">
        <v>18666</v>
      </c>
      <c r="U2677" t="s">
        <v>18652</v>
      </c>
      <c r="V2677" s="104">
        <v>45857</v>
      </c>
      <c r="X2677" s="97"/>
      <c r="Y2677" s="75">
        <v>333.51</v>
      </c>
    </row>
    <row r="2678" spans="1:25" x14ac:dyDescent="0.25">
      <c r="A2678" s="76">
        <v>2710</v>
      </c>
      <c r="B2678" s="2" t="s">
        <v>8207</v>
      </c>
      <c r="C2678" s="2" t="s">
        <v>8208</v>
      </c>
      <c r="D2678" s="2" t="s">
        <v>8209</v>
      </c>
      <c r="E2678" s="2" t="s">
        <v>7527</v>
      </c>
      <c r="F2678" s="2" t="s">
        <v>8210</v>
      </c>
      <c r="G2678" s="2" t="s">
        <v>1570</v>
      </c>
      <c r="H2678" s="17">
        <v>25</v>
      </c>
      <c r="I2678" s="31">
        <f t="shared" si="258"/>
        <v>25000</v>
      </c>
      <c r="J2678" s="31">
        <f t="shared" si="259"/>
        <v>1750.0000000000002</v>
      </c>
      <c r="K2678" s="44">
        <f t="shared" si="260"/>
        <v>4.794520547945206</v>
      </c>
      <c r="L2678" s="3">
        <f t="shared" si="261"/>
        <v>354.79452054794524</v>
      </c>
      <c r="M2678" s="3">
        <f t="shared" si="262"/>
        <v>21.287671232876715</v>
      </c>
      <c r="N2678" s="67">
        <f t="shared" si="263"/>
        <v>333.50684931506851</v>
      </c>
      <c r="O2678" s="3"/>
      <c r="P2678" s="70" t="s">
        <v>18637</v>
      </c>
      <c r="Q2678" s="2" t="s">
        <v>81</v>
      </c>
      <c r="R2678" s="2" t="s">
        <v>8211</v>
      </c>
      <c r="T2678" t="s">
        <v>18666</v>
      </c>
      <c r="U2678" t="s">
        <v>18652</v>
      </c>
      <c r="V2678" s="104">
        <v>45857</v>
      </c>
      <c r="X2678" s="97"/>
      <c r="Y2678" s="75">
        <v>333.51</v>
      </c>
    </row>
    <row r="2679" spans="1:25" x14ac:dyDescent="0.25">
      <c r="A2679" s="76">
        <v>2711</v>
      </c>
      <c r="B2679" s="2" t="s">
        <v>10796</v>
      </c>
      <c r="C2679" s="2" t="s">
        <v>10797</v>
      </c>
      <c r="D2679" s="2" t="s">
        <v>10798</v>
      </c>
      <c r="E2679" s="2" t="s">
        <v>10724</v>
      </c>
      <c r="F2679" s="2" t="s">
        <v>10799</v>
      </c>
      <c r="G2679" s="2" t="s">
        <v>31</v>
      </c>
      <c r="H2679" s="17">
        <v>1000</v>
      </c>
      <c r="I2679" s="31">
        <f t="shared" si="258"/>
        <v>1000000</v>
      </c>
      <c r="J2679" s="31">
        <f t="shared" si="259"/>
        <v>70000</v>
      </c>
      <c r="K2679" s="44">
        <f t="shared" si="260"/>
        <v>191.78082191780823</v>
      </c>
      <c r="L2679" s="3">
        <f t="shared" si="261"/>
        <v>14191.780821917808</v>
      </c>
      <c r="M2679" s="3">
        <f t="shared" si="262"/>
        <v>851.50684931506839</v>
      </c>
      <c r="N2679" s="67">
        <f t="shared" si="263"/>
        <v>13340.273972602739</v>
      </c>
      <c r="O2679" s="3"/>
      <c r="P2679" s="70" t="s">
        <v>18637</v>
      </c>
      <c r="Q2679" s="2" t="s">
        <v>81</v>
      </c>
      <c r="R2679" s="2" t="s">
        <v>10800</v>
      </c>
      <c r="T2679" t="s">
        <v>18666</v>
      </c>
      <c r="U2679" t="s">
        <v>18652</v>
      </c>
      <c r="V2679" s="104">
        <v>45857</v>
      </c>
      <c r="X2679" s="97"/>
      <c r="Y2679" s="75">
        <v>13340.28</v>
      </c>
    </row>
    <row r="2680" spans="1:25" x14ac:dyDescent="0.25">
      <c r="A2680" s="76">
        <v>2712</v>
      </c>
      <c r="B2680" s="2" t="s">
        <v>4687</v>
      </c>
      <c r="C2680" s="2" t="s">
        <v>4688</v>
      </c>
      <c r="D2680" s="2" t="s">
        <v>4689</v>
      </c>
      <c r="E2680" s="2" t="s">
        <v>4690</v>
      </c>
      <c r="F2680" s="2" t="s">
        <v>4691</v>
      </c>
      <c r="G2680" s="2" t="s">
        <v>31</v>
      </c>
      <c r="H2680" s="17">
        <v>25</v>
      </c>
      <c r="I2680" s="31">
        <f t="shared" si="258"/>
        <v>25000</v>
      </c>
      <c r="J2680" s="31">
        <f t="shared" si="259"/>
        <v>1750.0000000000002</v>
      </c>
      <c r="K2680" s="44">
        <f t="shared" si="260"/>
        <v>4.794520547945206</v>
      </c>
      <c r="L2680" s="3">
        <f t="shared" si="261"/>
        <v>354.79452054794524</v>
      </c>
      <c r="M2680" s="3">
        <f t="shared" si="262"/>
        <v>21.287671232876715</v>
      </c>
      <c r="N2680" s="67">
        <f t="shared" si="263"/>
        <v>333.50684931506851</v>
      </c>
      <c r="O2680" s="3"/>
      <c r="P2680" s="70" t="s">
        <v>18637</v>
      </c>
      <c r="Q2680" s="2" t="s">
        <v>81</v>
      </c>
      <c r="R2680" s="2" t="s">
        <v>4692</v>
      </c>
      <c r="T2680" t="s">
        <v>18666</v>
      </c>
      <c r="U2680" t="s">
        <v>18652</v>
      </c>
      <c r="V2680" s="104">
        <v>45857</v>
      </c>
      <c r="X2680" s="97"/>
      <c r="Y2680" s="75">
        <v>333.51</v>
      </c>
    </row>
    <row r="2681" spans="1:25" x14ac:dyDescent="0.25">
      <c r="A2681" s="76">
        <v>2713</v>
      </c>
      <c r="B2681" s="2" t="s">
        <v>16072</v>
      </c>
      <c r="C2681" s="2" t="s">
        <v>16073</v>
      </c>
      <c r="D2681" s="2" t="s">
        <v>16074</v>
      </c>
      <c r="E2681" s="2" t="s">
        <v>16075</v>
      </c>
      <c r="F2681" s="2" t="s">
        <v>16076</v>
      </c>
      <c r="G2681" s="2" t="s">
        <v>1017</v>
      </c>
      <c r="H2681" s="17">
        <v>50</v>
      </c>
      <c r="I2681" s="31">
        <f t="shared" si="258"/>
        <v>50000</v>
      </c>
      <c r="J2681" s="31">
        <f t="shared" si="259"/>
        <v>3500.0000000000005</v>
      </c>
      <c r="K2681" s="44">
        <f t="shared" si="260"/>
        <v>9.589041095890412</v>
      </c>
      <c r="L2681" s="3">
        <f t="shared" si="261"/>
        <v>709.58904109589048</v>
      </c>
      <c r="M2681" s="3">
        <f t="shared" si="262"/>
        <v>42.57534246575343</v>
      </c>
      <c r="N2681" s="67">
        <f t="shared" si="263"/>
        <v>667.01369863013701</v>
      </c>
      <c r="O2681" s="3"/>
      <c r="P2681" s="70" t="s">
        <v>18637</v>
      </c>
      <c r="Q2681" s="2" t="s">
        <v>81</v>
      </c>
      <c r="R2681" s="2" t="s">
        <v>16077</v>
      </c>
      <c r="T2681" t="s">
        <v>18666</v>
      </c>
      <c r="U2681" t="s">
        <v>18652</v>
      </c>
      <c r="V2681" s="104">
        <v>45857</v>
      </c>
      <c r="X2681" s="97"/>
      <c r="Y2681" s="75">
        <v>667.02</v>
      </c>
    </row>
    <row r="2682" spans="1:25" x14ac:dyDescent="0.25">
      <c r="A2682" s="76">
        <v>2714</v>
      </c>
      <c r="B2682" s="2" t="s">
        <v>2363</v>
      </c>
      <c r="C2682" s="2" t="s">
        <v>2364</v>
      </c>
      <c r="D2682" s="2" t="s">
        <v>2365</v>
      </c>
      <c r="E2682" s="2" t="s">
        <v>2366</v>
      </c>
      <c r="F2682" s="2" t="s">
        <v>2367</v>
      </c>
      <c r="G2682" s="2" t="s">
        <v>261</v>
      </c>
      <c r="H2682" s="17">
        <v>50</v>
      </c>
      <c r="I2682" s="31">
        <f t="shared" si="258"/>
        <v>50000</v>
      </c>
      <c r="J2682" s="31">
        <f t="shared" si="259"/>
        <v>3500.0000000000005</v>
      </c>
      <c r="K2682" s="44">
        <f t="shared" si="260"/>
        <v>9.589041095890412</v>
      </c>
      <c r="L2682" s="3">
        <f t="shared" si="261"/>
        <v>709.58904109589048</v>
      </c>
      <c r="M2682" s="3">
        <f t="shared" si="262"/>
        <v>42.57534246575343</v>
      </c>
      <c r="N2682" s="67">
        <f t="shared" si="263"/>
        <v>667.01369863013701</v>
      </c>
      <c r="O2682" s="3"/>
      <c r="P2682" s="70" t="s">
        <v>18637</v>
      </c>
      <c r="Q2682" s="2" t="s">
        <v>81</v>
      </c>
      <c r="R2682" s="2" t="s">
        <v>2368</v>
      </c>
      <c r="T2682" t="s">
        <v>18666</v>
      </c>
      <c r="U2682" t="s">
        <v>18652</v>
      </c>
      <c r="V2682" s="104">
        <v>45857</v>
      </c>
      <c r="X2682" s="97"/>
      <c r="Y2682" s="75">
        <v>667.02</v>
      </c>
    </row>
    <row r="2683" spans="1:25" x14ac:dyDescent="0.25">
      <c r="A2683" s="76">
        <v>2715</v>
      </c>
      <c r="B2683" s="2" t="s">
        <v>17599</v>
      </c>
      <c r="C2683" s="2" t="s">
        <v>17600</v>
      </c>
      <c r="D2683" s="2" t="s">
        <v>17601</v>
      </c>
      <c r="E2683" s="2" t="s">
        <v>17602</v>
      </c>
      <c r="F2683" s="2" t="s">
        <v>17603</v>
      </c>
      <c r="G2683" s="2" t="s">
        <v>643</v>
      </c>
      <c r="H2683" s="17">
        <v>50</v>
      </c>
      <c r="I2683" s="31">
        <f t="shared" si="258"/>
        <v>50000</v>
      </c>
      <c r="J2683" s="31">
        <f t="shared" si="259"/>
        <v>3500.0000000000005</v>
      </c>
      <c r="K2683" s="44">
        <f t="shared" si="260"/>
        <v>9.589041095890412</v>
      </c>
      <c r="L2683" s="3">
        <f t="shared" si="261"/>
        <v>709.58904109589048</v>
      </c>
      <c r="M2683" s="3">
        <f t="shared" si="262"/>
        <v>42.57534246575343</v>
      </c>
      <c r="N2683" s="67">
        <f t="shared" si="263"/>
        <v>667.01369863013701</v>
      </c>
      <c r="O2683" s="3"/>
      <c r="P2683" s="70" t="s">
        <v>18637</v>
      </c>
      <c r="Q2683" s="2" t="s">
        <v>81</v>
      </c>
      <c r="R2683" s="2" t="s">
        <v>17604</v>
      </c>
      <c r="T2683" t="s">
        <v>18666</v>
      </c>
      <c r="U2683" t="s">
        <v>18652</v>
      </c>
      <c r="V2683" s="104">
        <v>45857</v>
      </c>
      <c r="X2683" s="97"/>
      <c r="Y2683" s="75">
        <v>667.02</v>
      </c>
    </row>
    <row r="2684" spans="1:25" x14ac:dyDescent="0.25">
      <c r="A2684" s="76">
        <v>2716</v>
      </c>
      <c r="B2684" s="2" t="s">
        <v>4772</v>
      </c>
      <c r="C2684" s="2" t="s">
        <v>4773</v>
      </c>
      <c r="D2684" s="2" t="s">
        <v>4774</v>
      </c>
      <c r="E2684" s="2" t="s">
        <v>4775</v>
      </c>
      <c r="F2684" s="2" t="s">
        <v>4776</v>
      </c>
      <c r="G2684" s="2" t="s">
        <v>876</v>
      </c>
      <c r="H2684" s="17">
        <v>25</v>
      </c>
      <c r="I2684" s="31">
        <f t="shared" si="258"/>
        <v>25000</v>
      </c>
      <c r="J2684" s="31">
        <f t="shared" si="259"/>
        <v>1750.0000000000002</v>
      </c>
      <c r="K2684" s="44">
        <f t="shared" si="260"/>
        <v>4.794520547945206</v>
      </c>
      <c r="L2684" s="3">
        <f t="shared" si="261"/>
        <v>354.79452054794524</v>
      </c>
      <c r="M2684" s="3">
        <f t="shared" si="262"/>
        <v>21.287671232876715</v>
      </c>
      <c r="N2684" s="67">
        <f t="shared" si="263"/>
        <v>333.50684931506851</v>
      </c>
      <c r="O2684" s="3"/>
      <c r="P2684" s="70" t="s">
        <v>18637</v>
      </c>
      <c r="Q2684" s="2" t="s">
        <v>81</v>
      </c>
      <c r="R2684" s="2" t="s">
        <v>4777</v>
      </c>
      <c r="T2684" t="s">
        <v>18666</v>
      </c>
      <c r="U2684" t="s">
        <v>18652</v>
      </c>
      <c r="V2684" s="104">
        <v>45857</v>
      </c>
      <c r="X2684" s="97"/>
      <c r="Y2684" s="75">
        <v>333.51</v>
      </c>
    </row>
    <row r="2685" spans="1:25" x14ac:dyDescent="0.25">
      <c r="A2685" s="76">
        <v>2717</v>
      </c>
      <c r="B2685" s="2" t="s">
        <v>351</v>
      </c>
      <c r="C2685" s="2" t="s">
        <v>352</v>
      </c>
      <c r="D2685" s="2" t="s">
        <v>353</v>
      </c>
      <c r="E2685" s="2" t="s">
        <v>354</v>
      </c>
      <c r="F2685" s="2" t="s">
        <v>355</v>
      </c>
      <c r="G2685" s="2" t="s">
        <v>282</v>
      </c>
      <c r="H2685" s="17">
        <v>25</v>
      </c>
      <c r="I2685" s="31">
        <f t="shared" si="258"/>
        <v>25000</v>
      </c>
      <c r="J2685" s="31">
        <f t="shared" si="259"/>
        <v>1750.0000000000002</v>
      </c>
      <c r="K2685" s="44">
        <f t="shared" si="260"/>
        <v>4.794520547945206</v>
      </c>
      <c r="L2685" s="3">
        <f t="shared" si="261"/>
        <v>354.79452054794524</v>
      </c>
      <c r="M2685" s="3">
        <f t="shared" si="262"/>
        <v>21.287671232876715</v>
      </c>
      <c r="N2685" s="67">
        <f t="shared" si="263"/>
        <v>333.50684931506851</v>
      </c>
      <c r="O2685" s="3"/>
      <c r="P2685" s="70" t="s">
        <v>18637</v>
      </c>
      <c r="Q2685" s="2" t="s">
        <v>81</v>
      </c>
      <c r="R2685" s="2" t="s">
        <v>356</v>
      </c>
      <c r="T2685" t="s">
        <v>18666</v>
      </c>
      <c r="U2685" t="s">
        <v>18652</v>
      </c>
      <c r="V2685" s="104">
        <v>45857</v>
      </c>
      <c r="X2685" s="97"/>
      <c r="Y2685" s="75">
        <v>333.51</v>
      </c>
    </row>
    <row r="2686" spans="1:25" x14ac:dyDescent="0.25">
      <c r="A2686" s="76">
        <v>2718</v>
      </c>
      <c r="B2686" s="2" t="s">
        <v>6319</v>
      </c>
      <c r="C2686" s="2" t="s">
        <v>6320</v>
      </c>
      <c r="D2686" s="2" t="s">
        <v>6321</v>
      </c>
      <c r="E2686" s="2" t="s">
        <v>6322</v>
      </c>
      <c r="F2686" s="2" t="s">
        <v>6323</v>
      </c>
      <c r="G2686" s="2" t="s">
        <v>587</v>
      </c>
      <c r="H2686" s="17">
        <v>50</v>
      </c>
      <c r="I2686" s="31">
        <f t="shared" si="258"/>
        <v>50000</v>
      </c>
      <c r="J2686" s="31">
        <f t="shared" si="259"/>
        <v>3500.0000000000005</v>
      </c>
      <c r="K2686" s="44">
        <f t="shared" si="260"/>
        <v>9.589041095890412</v>
      </c>
      <c r="L2686" s="3">
        <f t="shared" si="261"/>
        <v>709.58904109589048</v>
      </c>
      <c r="M2686" s="3">
        <f t="shared" si="262"/>
        <v>42.57534246575343</v>
      </c>
      <c r="N2686" s="67">
        <f t="shared" si="263"/>
        <v>667.01369863013701</v>
      </c>
      <c r="O2686" s="3"/>
      <c r="P2686" s="70" t="s">
        <v>18637</v>
      </c>
      <c r="Q2686" s="2" t="s">
        <v>81</v>
      </c>
      <c r="R2686" s="2" t="s">
        <v>6324</v>
      </c>
      <c r="T2686" t="s">
        <v>18666</v>
      </c>
      <c r="U2686" t="s">
        <v>18652</v>
      </c>
      <c r="V2686" s="104">
        <v>45857</v>
      </c>
      <c r="X2686" s="97"/>
      <c r="Y2686" s="75">
        <v>667.02</v>
      </c>
    </row>
    <row r="2687" spans="1:25" x14ac:dyDescent="0.25">
      <c r="A2687" s="76">
        <v>2719</v>
      </c>
      <c r="B2687" s="2" t="s">
        <v>10353</v>
      </c>
      <c r="C2687" s="2" t="s">
        <v>10354</v>
      </c>
      <c r="D2687" s="2" t="s">
        <v>10355</v>
      </c>
      <c r="E2687" s="2" t="s">
        <v>10356</v>
      </c>
      <c r="F2687" s="2" t="s">
        <v>10357</v>
      </c>
      <c r="G2687" s="2" t="s">
        <v>2571</v>
      </c>
      <c r="H2687" s="17">
        <v>25</v>
      </c>
      <c r="I2687" s="31">
        <f t="shared" si="258"/>
        <v>25000</v>
      </c>
      <c r="J2687" s="31">
        <f t="shared" si="259"/>
        <v>1750.0000000000002</v>
      </c>
      <c r="K2687" s="44">
        <f t="shared" si="260"/>
        <v>4.794520547945206</v>
      </c>
      <c r="L2687" s="3">
        <f t="shared" si="261"/>
        <v>354.79452054794524</v>
      </c>
      <c r="M2687" s="3">
        <f t="shared" si="262"/>
        <v>21.287671232876715</v>
      </c>
      <c r="N2687" s="67">
        <f t="shared" si="263"/>
        <v>333.50684931506851</v>
      </c>
      <c r="O2687" s="3"/>
      <c r="P2687" s="70" t="s">
        <v>18637</v>
      </c>
      <c r="Q2687" s="2" t="s">
        <v>81</v>
      </c>
      <c r="R2687" s="2" t="s">
        <v>10358</v>
      </c>
      <c r="T2687" t="s">
        <v>18666</v>
      </c>
      <c r="U2687" t="s">
        <v>18652</v>
      </c>
      <c r="V2687" s="104">
        <v>45857</v>
      </c>
      <c r="X2687" s="97"/>
      <c r="Y2687" s="75">
        <v>333.51</v>
      </c>
    </row>
    <row r="2688" spans="1:25" x14ac:dyDescent="0.25">
      <c r="A2688" s="76">
        <v>2720</v>
      </c>
      <c r="B2688" s="2" t="s">
        <v>1951</v>
      </c>
      <c r="C2688" s="2" t="s">
        <v>1952</v>
      </c>
      <c r="D2688" s="2" t="s">
        <v>1953</v>
      </c>
      <c r="E2688" s="2" t="s">
        <v>1954</v>
      </c>
      <c r="F2688" s="2" t="s">
        <v>1955</v>
      </c>
      <c r="G2688" s="2" t="s">
        <v>39</v>
      </c>
      <c r="H2688" s="17">
        <v>25</v>
      </c>
      <c r="I2688" s="31">
        <f t="shared" si="258"/>
        <v>25000</v>
      </c>
      <c r="J2688" s="31">
        <f t="shared" si="259"/>
        <v>1750.0000000000002</v>
      </c>
      <c r="K2688" s="44">
        <f t="shared" si="260"/>
        <v>4.794520547945206</v>
      </c>
      <c r="L2688" s="3">
        <f t="shared" si="261"/>
        <v>354.79452054794524</v>
      </c>
      <c r="M2688" s="3">
        <f t="shared" si="262"/>
        <v>21.287671232876715</v>
      </c>
      <c r="N2688" s="67">
        <f t="shared" si="263"/>
        <v>333.50684931506851</v>
      </c>
      <c r="O2688" s="3"/>
      <c r="P2688" s="70" t="s">
        <v>18637</v>
      </c>
      <c r="Q2688" s="2" t="s">
        <v>81</v>
      </c>
      <c r="R2688" s="2" t="s">
        <v>1956</v>
      </c>
      <c r="T2688" t="s">
        <v>18666</v>
      </c>
      <c r="U2688" t="s">
        <v>18652</v>
      </c>
      <c r="V2688" s="104">
        <v>45857</v>
      </c>
      <c r="X2688" s="97"/>
      <c r="Y2688" s="75">
        <v>333.51</v>
      </c>
    </row>
    <row r="2689" spans="1:25" x14ac:dyDescent="0.25">
      <c r="A2689" s="76">
        <v>2721</v>
      </c>
      <c r="B2689" s="2" t="s">
        <v>4681</v>
      </c>
      <c r="C2689" s="2" t="s">
        <v>4682</v>
      </c>
      <c r="D2689" s="2" t="s">
        <v>4683</v>
      </c>
      <c r="E2689" s="2" t="s">
        <v>4684</v>
      </c>
      <c r="F2689" s="2" t="s">
        <v>4685</v>
      </c>
      <c r="G2689" s="2" t="s">
        <v>1017</v>
      </c>
      <c r="H2689" s="17">
        <v>50</v>
      </c>
      <c r="I2689" s="31">
        <f t="shared" si="258"/>
        <v>50000</v>
      </c>
      <c r="J2689" s="31">
        <f t="shared" si="259"/>
        <v>3500.0000000000005</v>
      </c>
      <c r="K2689" s="44">
        <f t="shared" si="260"/>
        <v>9.589041095890412</v>
      </c>
      <c r="L2689" s="3">
        <f t="shared" si="261"/>
        <v>709.58904109589048</v>
      </c>
      <c r="M2689" s="3">
        <f t="shared" si="262"/>
        <v>42.57534246575343</v>
      </c>
      <c r="N2689" s="67">
        <f t="shared" si="263"/>
        <v>667.01369863013701</v>
      </c>
      <c r="O2689" s="3"/>
      <c r="P2689" s="70" t="s">
        <v>18637</v>
      </c>
      <c r="Q2689" s="2" t="s">
        <v>81</v>
      </c>
      <c r="R2689" s="2" t="s">
        <v>4686</v>
      </c>
      <c r="T2689" t="s">
        <v>18666</v>
      </c>
      <c r="U2689" t="s">
        <v>18652</v>
      </c>
      <c r="V2689" s="104">
        <v>45857</v>
      </c>
      <c r="X2689" s="97"/>
      <c r="Y2689" s="75">
        <v>667.02</v>
      </c>
    </row>
    <row r="2690" spans="1:25" x14ac:dyDescent="0.25">
      <c r="A2690" s="76">
        <v>2722</v>
      </c>
      <c r="B2690" s="2" t="s">
        <v>18089</v>
      </c>
      <c r="C2690" s="2" t="s">
        <v>18090</v>
      </c>
      <c r="D2690" s="2" t="s">
        <v>18091</v>
      </c>
      <c r="E2690" s="2" t="s">
        <v>18092</v>
      </c>
      <c r="F2690" s="2" t="s">
        <v>18093</v>
      </c>
      <c r="G2690" s="2" t="s">
        <v>510</v>
      </c>
      <c r="H2690" s="17">
        <v>25</v>
      </c>
      <c r="I2690" s="31">
        <f t="shared" si="258"/>
        <v>25000</v>
      </c>
      <c r="J2690" s="31">
        <f t="shared" si="259"/>
        <v>1750.0000000000002</v>
      </c>
      <c r="K2690" s="44">
        <f t="shared" si="260"/>
        <v>4.794520547945206</v>
      </c>
      <c r="L2690" s="3">
        <f t="shared" si="261"/>
        <v>354.79452054794524</v>
      </c>
      <c r="M2690" s="3">
        <f t="shared" si="262"/>
        <v>21.287671232876715</v>
      </c>
      <c r="N2690" s="67">
        <f t="shared" si="263"/>
        <v>333.50684931506851</v>
      </c>
      <c r="O2690" s="3"/>
      <c r="P2690" s="70" t="s">
        <v>18637</v>
      </c>
      <c r="Q2690" s="2" t="s">
        <v>81</v>
      </c>
      <c r="R2690" s="2" t="s">
        <v>18094</v>
      </c>
      <c r="T2690" t="s">
        <v>18666</v>
      </c>
      <c r="U2690" t="s">
        <v>18652</v>
      </c>
      <c r="V2690" s="104">
        <v>45857</v>
      </c>
      <c r="X2690" s="97"/>
      <c r="Y2690" s="75">
        <v>333.51</v>
      </c>
    </row>
    <row r="2691" spans="1:25" x14ac:dyDescent="0.25">
      <c r="A2691" s="76">
        <v>2723</v>
      </c>
      <c r="B2691" s="2" t="s">
        <v>8992</v>
      </c>
      <c r="C2691" s="2" t="s">
        <v>8993</v>
      </c>
      <c r="D2691" s="2" t="s">
        <v>8994</v>
      </c>
      <c r="E2691" s="2" t="s">
        <v>8995</v>
      </c>
      <c r="F2691" s="2" t="s">
        <v>3459</v>
      </c>
      <c r="G2691" s="2" t="s">
        <v>31</v>
      </c>
      <c r="H2691" s="17">
        <v>10000</v>
      </c>
      <c r="I2691" s="31">
        <f t="shared" si="258"/>
        <v>10000000</v>
      </c>
      <c r="J2691" s="31">
        <f t="shared" si="259"/>
        <v>700000.00000000012</v>
      </c>
      <c r="K2691" s="44">
        <f t="shared" si="260"/>
        <v>1917.8082191780825</v>
      </c>
      <c r="L2691" s="3">
        <f t="shared" si="261"/>
        <v>141917.80821917811</v>
      </c>
      <c r="M2691" s="3">
        <f t="shared" si="262"/>
        <v>8515.0684931506858</v>
      </c>
      <c r="N2691" s="67">
        <f t="shared" si="263"/>
        <v>133402.73972602742</v>
      </c>
      <c r="O2691" s="3"/>
      <c r="P2691" s="70" t="s">
        <v>18637</v>
      </c>
      <c r="Q2691" s="2" t="s">
        <v>81</v>
      </c>
      <c r="R2691" s="2" t="s">
        <v>8996</v>
      </c>
      <c r="T2691" t="s">
        <v>18666</v>
      </c>
      <c r="U2691" t="s">
        <v>18652</v>
      </c>
      <c r="V2691" s="104">
        <v>45857</v>
      </c>
      <c r="X2691" s="97"/>
      <c r="Y2691" s="75">
        <v>133402.74000000002</v>
      </c>
    </row>
    <row r="2692" spans="1:25" x14ac:dyDescent="0.25">
      <c r="A2692" s="76">
        <v>2724</v>
      </c>
      <c r="B2692" s="2" t="s">
        <v>7460</v>
      </c>
      <c r="C2692" s="2" t="s">
        <v>7461</v>
      </c>
      <c r="D2692" s="2" t="s">
        <v>7462</v>
      </c>
      <c r="E2692" s="2" t="s">
        <v>7463</v>
      </c>
      <c r="F2692" s="2" t="s">
        <v>7464</v>
      </c>
      <c r="G2692" s="2" t="s">
        <v>31</v>
      </c>
      <c r="H2692" s="17">
        <v>30</v>
      </c>
      <c r="I2692" s="31">
        <f t="shared" si="258"/>
        <v>30000</v>
      </c>
      <c r="J2692" s="31">
        <f t="shared" si="259"/>
        <v>2100</v>
      </c>
      <c r="K2692" s="44">
        <f t="shared" si="260"/>
        <v>5.7534246575342465</v>
      </c>
      <c r="L2692" s="3">
        <f t="shared" si="261"/>
        <v>425.75342465753425</v>
      </c>
      <c r="M2692" s="3">
        <f t="shared" si="262"/>
        <v>25.545205479452054</v>
      </c>
      <c r="N2692" s="67">
        <f t="shared" si="263"/>
        <v>400.20821917808217</v>
      </c>
      <c r="O2692" s="3"/>
      <c r="P2692" s="70" t="s">
        <v>18637</v>
      </c>
      <c r="Q2692" s="2" t="s">
        <v>81</v>
      </c>
      <c r="R2692" s="2" t="s">
        <v>7465</v>
      </c>
      <c r="T2692" t="s">
        <v>18666</v>
      </c>
      <c r="U2692" t="s">
        <v>18652</v>
      </c>
      <c r="V2692" s="104">
        <v>45857</v>
      </c>
      <c r="X2692" s="97"/>
      <c r="Y2692" s="75">
        <v>400.21</v>
      </c>
    </row>
    <row r="2693" spans="1:25" x14ac:dyDescent="0.25">
      <c r="A2693" s="76">
        <v>2725</v>
      </c>
      <c r="B2693" s="2" t="s">
        <v>4187</v>
      </c>
      <c r="C2693" s="2" t="s">
        <v>4188</v>
      </c>
      <c r="D2693" s="2" t="s">
        <v>4188</v>
      </c>
      <c r="E2693" s="2" t="s">
        <v>4189</v>
      </c>
      <c r="F2693" s="2" t="s">
        <v>4190</v>
      </c>
      <c r="G2693" s="2" t="s">
        <v>144</v>
      </c>
      <c r="H2693" s="17">
        <v>140</v>
      </c>
      <c r="I2693" s="31">
        <f t="shared" si="258"/>
        <v>140000</v>
      </c>
      <c r="J2693" s="31">
        <f t="shared" si="259"/>
        <v>9800.0000000000018</v>
      </c>
      <c r="K2693" s="44">
        <f t="shared" si="260"/>
        <v>26.849315068493155</v>
      </c>
      <c r="L2693" s="3">
        <f t="shared" si="261"/>
        <v>1986.8493150684935</v>
      </c>
      <c r="M2693" s="3">
        <f t="shared" si="262"/>
        <v>119.2109589041096</v>
      </c>
      <c r="N2693" s="67">
        <f t="shared" si="263"/>
        <v>1867.6383561643838</v>
      </c>
      <c r="O2693" s="3"/>
      <c r="P2693" s="70" t="s">
        <v>18637</v>
      </c>
      <c r="Q2693" s="2" t="s">
        <v>81</v>
      </c>
      <c r="R2693" s="2" t="s">
        <v>4191</v>
      </c>
      <c r="T2693" t="s">
        <v>18666</v>
      </c>
      <c r="U2693" t="s">
        <v>18652</v>
      </c>
      <c r="V2693" s="104">
        <v>45857</v>
      </c>
      <c r="X2693" s="97"/>
      <c r="Y2693" s="75">
        <v>1867.64</v>
      </c>
    </row>
    <row r="2694" spans="1:25" x14ac:dyDescent="0.25">
      <c r="A2694" s="76">
        <v>2726</v>
      </c>
      <c r="B2694" s="2" t="s">
        <v>10825</v>
      </c>
      <c r="C2694" s="2" t="s">
        <v>7991</v>
      </c>
      <c r="D2694" s="2" t="s">
        <v>455</v>
      </c>
      <c r="E2694" s="2" t="s">
        <v>7992</v>
      </c>
      <c r="F2694" s="2" t="s">
        <v>10826</v>
      </c>
      <c r="G2694" s="2" t="s">
        <v>31</v>
      </c>
      <c r="H2694" s="17">
        <v>25</v>
      </c>
      <c r="I2694" s="31">
        <f t="shared" si="258"/>
        <v>25000</v>
      </c>
      <c r="J2694" s="31">
        <f t="shared" si="259"/>
        <v>1750.0000000000002</v>
      </c>
      <c r="K2694" s="44">
        <f t="shared" si="260"/>
        <v>4.794520547945206</v>
      </c>
      <c r="L2694" s="3">
        <f t="shared" si="261"/>
        <v>354.79452054794524</v>
      </c>
      <c r="M2694" s="3">
        <f t="shared" si="262"/>
        <v>21.287671232876715</v>
      </c>
      <c r="N2694" s="67">
        <f t="shared" si="263"/>
        <v>333.50684931506851</v>
      </c>
      <c r="O2694" s="3"/>
      <c r="P2694" s="70" t="s">
        <v>18637</v>
      </c>
      <c r="Q2694" s="2" t="s">
        <v>81</v>
      </c>
      <c r="R2694" s="2" t="s">
        <v>10827</v>
      </c>
      <c r="T2694" t="s">
        <v>18666</v>
      </c>
      <c r="U2694" t="s">
        <v>18652</v>
      </c>
      <c r="V2694" s="104">
        <v>45857</v>
      </c>
      <c r="X2694" s="97"/>
      <c r="Y2694" s="75">
        <v>333.51</v>
      </c>
    </row>
    <row r="2695" spans="1:25" x14ac:dyDescent="0.25">
      <c r="A2695" s="76">
        <v>2727</v>
      </c>
      <c r="B2695" s="2" t="s">
        <v>11837</v>
      </c>
      <c r="C2695" s="2" t="s">
        <v>11838</v>
      </c>
      <c r="D2695" s="2" t="s">
        <v>11839</v>
      </c>
      <c r="E2695" s="2" t="s">
        <v>11822</v>
      </c>
      <c r="F2695" s="2" t="s">
        <v>11840</v>
      </c>
      <c r="G2695" s="2" t="s">
        <v>31</v>
      </c>
      <c r="H2695" s="17">
        <v>150</v>
      </c>
      <c r="I2695" s="31">
        <f t="shared" si="258"/>
        <v>150000</v>
      </c>
      <c r="J2695" s="31">
        <f t="shared" si="259"/>
        <v>10500.000000000002</v>
      </c>
      <c r="K2695" s="44">
        <f t="shared" si="260"/>
        <v>28.767123287671239</v>
      </c>
      <c r="L2695" s="3">
        <f t="shared" si="261"/>
        <v>2128.7671232876719</v>
      </c>
      <c r="M2695" s="3">
        <f t="shared" si="262"/>
        <v>127.72602739726031</v>
      </c>
      <c r="N2695" s="67">
        <f t="shared" si="263"/>
        <v>2001.0410958904115</v>
      </c>
      <c r="O2695" s="3"/>
      <c r="P2695" s="70" t="s">
        <v>18637</v>
      </c>
      <c r="Q2695" s="2" t="s">
        <v>81</v>
      </c>
      <c r="R2695" s="2" t="s">
        <v>11841</v>
      </c>
      <c r="T2695" t="s">
        <v>18666</v>
      </c>
      <c r="U2695" t="s">
        <v>18652</v>
      </c>
      <c r="V2695" s="104">
        <v>45857</v>
      </c>
      <c r="X2695" s="97"/>
      <c r="Y2695" s="75">
        <v>2001.05</v>
      </c>
    </row>
    <row r="2696" spans="1:25" x14ac:dyDescent="0.25">
      <c r="A2696" s="76">
        <v>2728</v>
      </c>
      <c r="B2696" s="2" t="s">
        <v>11819</v>
      </c>
      <c r="C2696" s="2" t="s">
        <v>11820</v>
      </c>
      <c r="D2696" s="2" t="s">
        <v>11821</v>
      </c>
      <c r="E2696" s="2" t="s">
        <v>11822</v>
      </c>
      <c r="F2696" s="2" t="s">
        <v>11823</v>
      </c>
      <c r="G2696" s="2" t="s">
        <v>31</v>
      </c>
      <c r="H2696" s="17">
        <v>150</v>
      </c>
      <c r="I2696" s="31">
        <f t="shared" si="258"/>
        <v>150000</v>
      </c>
      <c r="J2696" s="31">
        <f t="shared" si="259"/>
        <v>10500.000000000002</v>
      </c>
      <c r="K2696" s="44">
        <f t="shared" si="260"/>
        <v>28.767123287671239</v>
      </c>
      <c r="L2696" s="3">
        <f t="shared" si="261"/>
        <v>2128.7671232876719</v>
      </c>
      <c r="M2696" s="3">
        <f t="shared" si="262"/>
        <v>127.72602739726031</v>
      </c>
      <c r="N2696" s="67">
        <f t="shared" si="263"/>
        <v>2001.0410958904115</v>
      </c>
      <c r="O2696" s="3"/>
      <c r="P2696" s="70" t="s">
        <v>18637</v>
      </c>
      <c r="Q2696" s="2" t="s">
        <v>81</v>
      </c>
      <c r="R2696" s="2" t="s">
        <v>11824</v>
      </c>
      <c r="T2696" t="s">
        <v>18666</v>
      </c>
      <c r="U2696" t="s">
        <v>18652</v>
      </c>
      <c r="V2696" s="104">
        <v>45857</v>
      </c>
      <c r="X2696" s="97"/>
      <c r="Y2696" s="75">
        <v>2001.05</v>
      </c>
    </row>
    <row r="2697" spans="1:25" x14ac:dyDescent="0.25">
      <c r="A2697" s="76">
        <v>2729</v>
      </c>
      <c r="B2697" s="2" t="s">
        <v>3920</v>
      </c>
      <c r="C2697" s="2" t="s">
        <v>3921</v>
      </c>
      <c r="D2697" s="2" t="s">
        <v>3922</v>
      </c>
      <c r="E2697" s="2" t="s">
        <v>3923</v>
      </c>
      <c r="F2697" s="2" t="s">
        <v>3924</v>
      </c>
      <c r="G2697" s="2" t="s">
        <v>247</v>
      </c>
      <c r="H2697" s="17">
        <v>100</v>
      </c>
      <c r="I2697" s="31">
        <f t="shared" si="258"/>
        <v>100000</v>
      </c>
      <c r="J2697" s="31">
        <f t="shared" si="259"/>
        <v>7000.0000000000009</v>
      </c>
      <c r="K2697" s="44">
        <f t="shared" si="260"/>
        <v>19.178082191780824</v>
      </c>
      <c r="L2697" s="3">
        <f t="shared" si="261"/>
        <v>1419.178082191781</v>
      </c>
      <c r="M2697" s="3">
        <f t="shared" si="262"/>
        <v>85.150684931506859</v>
      </c>
      <c r="N2697" s="67">
        <f t="shared" si="263"/>
        <v>1334.027397260274</v>
      </c>
      <c r="O2697" s="3"/>
      <c r="P2697" s="70" t="s">
        <v>18637</v>
      </c>
      <c r="Q2697" s="2" t="s">
        <v>81</v>
      </c>
      <c r="R2697" s="2" t="s">
        <v>3925</v>
      </c>
      <c r="T2697" t="s">
        <v>18666</v>
      </c>
      <c r="U2697" t="s">
        <v>18652</v>
      </c>
      <c r="V2697" s="104">
        <v>45857</v>
      </c>
      <c r="X2697" s="97"/>
      <c r="Y2697" s="75">
        <v>1334.03</v>
      </c>
    </row>
    <row r="2698" spans="1:25" x14ac:dyDescent="0.25">
      <c r="A2698" s="76">
        <v>2730</v>
      </c>
      <c r="B2698" s="2" t="s">
        <v>5569</v>
      </c>
      <c r="C2698" s="2" t="s">
        <v>5570</v>
      </c>
      <c r="D2698" s="2" t="s">
        <v>5571</v>
      </c>
      <c r="E2698" s="2" t="s">
        <v>5572</v>
      </c>
      <c r="F2698" s="2" t="s">
        <v>5573</v>
      </c>
      <c r="G2698" s="2" t="s">
        <v>750</v>
      </c>
      <c r="H2698" s="17">
        <v>25</v>
      </c>
      <c r="I2698" s="31">
        <f t="shared" si="258"/>
        <v>25000</v>
      </c>
      <c r="J2698" s="31">
        <f t="shared" si="259"/>
        <v>1750.0000000000002</v>
      </c>
      <c r="K2698" s="44">
        <f t="shared" si="260"/>
        <v>4.794520547945206</v>
      </c>
      <c r="L2698" s="3">
        <f t="shared" si="261"/>
        <v>354.79452054794524</v>
      </c>
      <c r="M2698" s="3">
        <f t="shared" si="262"/>
        <v>21.287671232876715</v>
      </c>
      <c r="N2698" s="67">
        <f t="shared" si="263"/>
        <v>333.50684931506851</v>
      </c>
      <c r="O2698" s="3"/>
      <c r="P2698" s="70" t="s">
        <v>18637</v>
      </c>
      <c r="Q2698" s="2" t="s">
        <v>81</v>
      </c>
      <c r="R2698" s="2" t="s">
        <v>5574</v>
      </c>
      <c r="T2698" t="s">
        <v>18666</v>
      </c>
      <c r="U2698" t="s">
        <v>18652</v>
      </c>
      <c r="V2698" s="104">
        <v>45857</v>
      </c>
      <c r="X2698" s="97"/>
      <c r="Y2698" s="75">
        <v>333.51</v>
      </c>
    </row>
    <row r="2699" spans="1:25" x14ac:dyDescent="0.25">
      <c r="A2699" s="76">
        <v>2731</v>
      </c>
      <c r="B2699" s="2" t="s">
        <v>13042</v>
      </c>
      <c r="C2699" s="2" t="s">
        <v>13043</v>
      </c>
      <c r="D2699" s="2" t="s">
        <v>13044</v>
      </c>
      <c r="E2699" s="2" t="s">
        <v>13045</v>
      </c>
      <c r="F2699" s="2" t="s">
        <v>13046</v>
      </c>
      <c r="G2699" s="2" t="s">
        <v>144</v>
      </c>
      <c r="H2699" s="17">
        <v>25</v>
      </c>
      <c r="I2699" s="31">
        <f t="shared" si="258"/>
        <v>25000</v>
      </c>
      <c r="J2699" s="31">
        <f t="shared" si="259"/>
        <v>1750.0000000000002</v>
      </c>
      <c r="K2699" s="44">
        <f t="shared" si="260"/>
        <v>4.794520547945206</v>
      </c>
      <c r="L2699" s="3">
        <f t="shared" si="261"/>
        <v>354.79452054794524</v>
      </c>
      <c r="M2699" s="3">
        <f t="shared" si="262"/>
        <v>21.287671232876715</v>
      </c>
      <c r="N2699" s="67">
        <f t="shared" si="263"/>
        <v>333.50684931506851</v>
      </c>
      <c r="O2699" s="3"/>
      <c r="P2699" s="70" t="s">
        <v>18637</v>
      </c>
      <c r="Q2699" s="2" t="s">
        <v>81</v>
      </c>
      <c r="R2699" s="2" t="s">
        <v>13047</v>
      </c>
      <c r="T2699" t="s">
        <v>18666</v>
      </c>
      <c r="U2699" t="s">
        <v>18652</v>
      </c>
      <c r="V2699" s="104">
        <v>45857</v>
      </c>
      <c r="X2699" s="97"/>
      <c r="Y2699" s="75">
        <v>333.51</v>
      </c>
    </row>
    <row r="2700" spans="1:25" x14ac:dyDescent="0.25">
      <c r="A2700" s="76">
        <v>2732</v>
      </c>
      <c r="B2700" s="2" t="s">
        <v>7421</v>
      </c>
      <c r="C2700" s="2" t="s">
        <v>7422</v>
      </c>
      <c r="D2700" s="2" t="s">
        <v>1281</v>
      </c>
      <c r="E2700" s="2" t="s">
        <v>7423</v>
      </c>
      <c r="F2700" s="2" t="s">
        <v>7424</v>
      </c>
      <c r="G2700" s="2" t="s">
        <v>750</v>
      </c>
      <c r="H2700" s="17">
        <v>25</v>
      </c>
      <c r="I2700" s="31">
        <f t="shared" si="258"/>
        <v>25000</v>
      </c>
      <c r="J2700" s="31">
        <f t="shared" si="259"/>
        <v>1750.0000000000002</v>
      </c>
      <c r="K2700" s="44">
        <f t="shared" si="260"/>
        <v>4.794520547945206</v>
      </c>
      <c r="L2700" s="3">
        <f t="shared" si="261"/>
        <v>354.79452054794524</v>
      </c>
      <c r="M2700" s="3">
        <f t="shared" si="262"/>
        <v>21.287671232876715</v>
      </c>
      <c r="N2700" s="67">
        <f t="shared" si="263"/>
        <v>333.50684931506851</v>
      </c>
      <c r="O2700" s="3"/>
      <c r="P2700" s="70" t="s">
        <v>18637</v>
      </c>
      <c r="Q2700" s="2" t="s">
        <v>81</v>
      </c>
      <c r="R2700" s="2" t="s">
        <v>7425</v>
      </c>
      <c r="T2700" t="s">
        <v>18666</v>
      </c>
      <c r="U2700" t="s">
        <v>18652</v>
      </c>
      <c r="V2700" s="104">
        <v>45857</v>
      </c>
      <c r="X2700" s="97"/>
      <c r="Y2700" s="75">
        <v>333.51</v>
      </c>
    </row>
    <row r="2701" spans="1:25" x14ac:dyDescent="0.25">
      <c r="A2701" s="76">
        <v>2733</v>
      </c>
      <c r="B2701" s="2" t="s">
        <v>18178</v>
      </c>
      <c r="C2701" s="2" t="s">
        <v>9184</v>
      </c>
      <c r="D2701" s="2" t="s">
        <v>18179</v>
      </c>
      <c r="E2701" s="2" t="s">
        <v>18180</v>
      </c>
      <c r="F2701" s="2" t="s">
        <v>18181</v>
      </c>
      <c r="G2701" s="2" t="s">
        <v>5013</v>
      </c>
      <c r="H2701" s="17">
        <v>1000</v>
      </c>
      <c r="I2701" s="31">
        <f t="shared" si="258"/>
        <v>1000000</v>
      </c>
      <c r="J2701" s="31">
        <f t="shared" si="259"/>
        <v>70000</v>
      </c>
      <c r="K2701" s="44">
        <f t="shared" si="260"/>
        <v>191.78082191780823</v>
      </c>
      <c r="L2701" s="3">
        <f t="shared" si="261"/>
        <v>14191.780821917808</v>
      </c>
      <c r="M2701" s="3">
        <f t="shared" si="262"/>
        <v>851.50684931506839</v>
      </c>
      <c r="N2701" s="67">
        <f t="shared" si="263"/>
        <v>13340.273972602739</v>
      </c>
      <c r="O2701" s="3"/>
      <c r="P2701" s="70" t="s">
        <v>18637</v>
      </c>
      <c r="Q2701" s="2" t="s">
        <v>81</v>
      </c>
      <c r="R2701" s="2" t="s">
        <v>18182</v>
      </c>
      <c r="T2701" t="s">
        <v>18666</v>
      </c>
      <c r="U2701" t="s">
        <v>18652</v>
      </c>
      <c r="V2701" s="104">
        <v>45857</v>
      </c>
      <c r="X2701" s="97"/>
      <c r="Y2701" s="75">
        <v>13340.28</v>
      </c>
    </row>
    <row r="2702" spans="1:25" x14ac:dyDescent="0.25">
      <c r="A2702" s="76">
        <v>2734</v>
      </c>
      <c r="B2702" s="2" t="s">
        <v>2096</v>
      </c>
      <c r="C2702" s="2" t="s">
        <v>2097</v>
      </c>
      <c r="D2702" s="2" t="s">
        <v>2098</v>
      </c>
      <c r="E2702" s="2" t="s">
        <v>2099</v>
      </c>
      <c r="F2702" s="2" t="s">
        <v>2100</v>
      </c>
      <c r="G2702" s="2" t="s">
        <v>31</v>
      </c>
      <c r="H2702" s="17">
        <v>25</v>
      </c>
      <c r="I2702" s="31">
        <f t="shared" si="258"/>
        <v>25000</v>
      </c>
      <c r="J2702" s="31">
        <f t="shared" si="259"/>
        <v>1750.0000000000002</v>
      </c>
      <c r="K2702" s="44">
        <f t="shared" si="260"/>
        <v>4.794520547945206</v>
      </c>
      <c r="L2702" s="3">
        <f t="shared" si="261"/>
        <v>354.79452054794524</v>
      </c>
      <c r="M2702" s="3">
        <f t="shared" si="262"/>
        <v>21.287671232876715</v>
      </c>
      <c r="N2702" s="67">
        <f t="shared" si="263"/>
        <v>333.50684931506851</v>
      </c>
      <c r="O2702" s="3"/>
      <c r="P2702" s="70" t="s">
        <v>18637</v>
      </c>
      <c r="Q2702" s="2" t="s">
        <v>81</v>
      </c>
      <c r="R2702" s="2" t="s">
        <v>2101</v>
      </c>
      <c r="T2702" t="s">
        <v>18666</v>
      </c>
      <c r="U2702" t="s">
        <v>18652</v>
      </c>
      <c r="V2702" s="104">
        <v>45857</v>
      </c>
      <c r="X2702" s="97"/>
      <c r="Y2702" s="75">
        <v>333.51</v>
      </c>
    </row>
    <row r="2703" spans="1:25" x14ac:dyDescent="0.25">
      <c r="A2703" s="76">
        <v>2735</v>
      </c>
      <c r="B2703" s="2" t="s">
        <v>15220</v>
      </c>
      <c r="C2703" s="2" t="s">
        <v>15221</v>
      </c>
      <c r="D2703" s="2" t="s">
        <v>15222</v>
      </c>
      <c r="E2703" s="2" t="s">
        <v>15223</v>
      </c>
      <c r="F2703" s="2" t="s">
        <v>15224</v>
      </c>
      <c r="G2703" s="2" t="s">
        <v>186</v>
      </c>
      <c r="H2703" s="17">
        <v>100</v>
      </c>
      <c r="I2703" s="31">
        <f t="shared" si="258"/>
        <v>100000</v>
      </c>
      <c r="J2703" s="31">
        <f t="shared" si="259"/>
        <v>7000.0000000000009</v>
      </c>
      <c r="K2703" s="44">
        <f t="shared" si="260"/>
        <v>19.178082191780824</v>
      </c>
      <c r="L2703" s="3">
        <f t="shared" si="261"/>
        <v>1419.178082191781</v>
      </c>
      <c r="M2703" s="3">
        <f t="shared" si="262"/>
        <v>85.150684931506859</v>
      </c>
      <c r="N2703" s="67">
        <f t="shared" si="263"/>
        <v>1334.027397260274</v>
      </c>
      <c r="O2703" s="3"/>
      <c r="P2703" s="70" t="s">
        <v>18637</v>
      </c>
      <c r="Q2703" s="2" t="s">
        <v>81</v>
      </c>
      <c r="R2703" s="2" t="s">
        <v>15225</v>
      </c>
      <c r="T2703" t="s">
        <v>18666</v>
      </c>
      <c r="U2703" t="s">
        <v>18652</v>
      </c>
      <c r="V2703" s="104">
        <v>45857</v>
      </c>
      <c r="X2703" s="97"/>
      <c r="Y2703" s="75">
        <v>1334.03</v>
      </c>
    </row>
    <row r="2704" spans="1:25" x14ac:dyDescent="0.25">
      <c r="A2704" s="76">
        <v>2736</v>
      </c>
      <c r="B2704" s="2" t="s">
        <v>4640</v>
      </c>
      <c r="C2704" s="2" t="s">
        <v>4641</v>
      </c>
      <c r="D2704" s="2" t="s">
        <v>4642</v>
      </c>
      <c r="E2704" s="2" t="s">
        <v>4643</v>
      </c>
      <c r="F2704" s="2" t="s">
        <v>4644</v>
      </c>
      <c r="G2704" s="2" t="s">
        <v>835</v>
      </c>
      <c r="H2704" s="17">
        <v>25</v>
      </c>
      <c r="I2704" s="31">
        <f t="shared" si="258"/>
        <v>25000</v>
      </c>
      <c r="J2704" s="31">
        <f t="shared" si="259"/>
        <v>1750.0000000000002</v>
      </c>
      <c r="K2704" s="44">
        <f t="shared" si="260"/>
        <v>4.794520547945206</v>
      </c>
      <c r="L2704" s="3">
        <f t="shared" si="261"/>
        <v>354.79452054794524</v>
      </c>
      <c r="M2704" s="3">
        <f t="shared" si="262"/>
        <v>21.287671232876715</v>
      </c>
      <c r="N2704" s="67">
        <f t="shared" si="263"/>
        <v>333.50684931506851</v>
      </c>
      <c r="O2704" s="3"/>
      <c r="P2704" s="70" t="s">
        <v>18637</v>
      </c>
      <c r="Q2704" s="2" t="s">
        <v>81</v>
      </c>
      <c r="R2704" s="2" t="s">
        <v>4645</v>
      </c>
      <c r="T2704" t="s">
        <v>18666</v>
      </c>
      <c r="U2704" t="s">
        <v>18652</v>
      </c>
      <c r="V2704" s="104">
        <v>45857</v>
      </c>
      <c r="X2704" s="97"/>
      <c r="Y2704" s="75">
        <v>333.51</v>
      </c>
    </row>
    <row r="2705" spans="1:25" x14ac:dyDescent="0.25">
      <c r="A2705" s="76">
        <v>2737</v>
      </c>
      <c r="B2705" s="2" t="s">
        <v>14217</v>
      </c>
      <c r="C2705" s="2" t="s">
        <v>14218</v>
      </c>
      <c r="D2705" s="2" t="s">
        <v>14219</v>
      </c>
      <c r="E2705" s="2" t="s">
        <v>14220</v>
      </c>
      <c r="F2705" s="2" t="s">
        <v>14221</v>
      </c>
      <c r="G2705" s="2" t="s">
        <v>23</v>
      </c>
      <c r="H2705" s="17">
        <v>25</v>
      </c>
      <c r="I2705" s="31">
        <f t="shared" si="258"/>
        <v>25000</v>
      </c>
      <c r="J2705" s="31">
        <f t="shared" si="259"/>
        <v>1750.0000000000002</v>
      </c>
      <c r="K2705" s="44">
        <f t="shared" si="260"/>
        <v>4.794520547945206</v>
      </c>
      <c r="L2705" s="3">
        <f t="shared" si="261"/>
        <v>354.79452054794524</v>
      </c>
      <c r="M2705" s="3">
        <f t="shared" si="262"/>
        <v>21.287671232876715</v>
      </c>
      <c r="N2705" s="67">
        <f t="shared" si="263"/>
        <v>333.50684931506851</v>
      </c>
      <c r="O2705" s="3"/>
      <c r="P2705" s="70" t="s">
        <v>18637</v>
      </c>
      <c r="Q2705" s="2" t="s">
        <v>81</v>
      </c>
      <c r="R2705" s="2" t="s">
        <v>14222</v>
      </c>
      <c r="T2705" t="s">
        <v>18666</v>
      </c>
      <c r="U2705" t="s">
        <v>18652</v>
      </c>
      <c r="V2705" s="104">
        <v>45857</v>
      </c>
      <c r="X2705" s="97"/>
      <c r="Y2705" s="75">
        <v>333.51</v>
      </c>
    </row>
    <row r="2706" spans="1:25" x14ac:dyDescent="0.25">
      <c r="A2706" s="76">
        <v>2738</v>
      </c>
      <c r="B2706" s="2" t="s">
        <v>16727</v>
      </c>
      <c r="C2706" s="2" t="s">
        <v>16728</v>
      </c>
      <c r="D2706" s="2" t="s">
        <v>16729</v>
      </c>
      <c r="E2706" s="2" t="s">
        <v>16730</v>
      </c>
      <c r="F2706" s="2" t="s">
        <v>16731</v>
      </c>
      <c r="G2706" s="2" t="s">
        <v>2380</v>
      </c>
      <c r="H2706" s="17">
        <v>50</v>
      </c>
      <c r="I2706" s="31">
        <f t="shared" ref="I2706:I2769" si="264">H2706*1000</f>
        <v>50000</v>
      </c>
      <c r="J2706" s="31">
        <f t="shared" ref="J2706:J2769" si="265">I2706*7%</f>
        <v>3500.0000000000005</v>
      </c>
      <c r="K2706" s="44">
        <f t="shared" ref="K2706:K2769" si="266">J2706/365</f>
        <v>9.589041095890412</v>
      </c>
      <c r="L2706" s="3">
        <f t="shared" ref="L2706:L2769" si="267">K2706*74</f>
        <v>709.58904109589048</v>
      </c>
      <c r="M2706" s="3">
        <f t="shared" ref="M2706:M2769" si="268">L2706*6%</f>
        <v>42.57534246575343</v>
      </c>
      <c r="N2706" s="67">
        <f t="shared" ref="N2706:N2769" si="269">L2706-M2706</f>
        <v>667.01369863013701</v>
      </c>
      <c r="O2706" s="3"/>
      <c r="P2706" s="70" t="s">
        <v>18637</v>
      </c>
      <c r="Q2706" s="2" t="s">
        <v>81</v>
      </c>
      <c r="R2706" s="2" t="s">
        <v>16732</v>
      </c>
      <c r="T2706" t="s">
        <v>18666</v>
      </c>
      <c r="U2706" t="s">
        <v>18652</v>
      </c>
      <c r="V2706" s="104">
        <v>45857</v>
      </c>
      <c r="X2706" s="97"/>
      <c r="Y2706" s="75">
        <v>667.02</v>
      </c>
    </row>
    <row r="2707" spans="1:25" x14ac:dyDescent="0.25">
      <c r="A2707" s="76">
        <v>2739</v>
      </c>
      <c r="B2707" s="2" t="s">
        <v>12003</v>
      </c>
      <c r="C2707" s="2" t="s">
        <v>12004</v>
      </c>
      <c r="D2707" s="2" t="s">
        <v>12005</v>
      </c>
      <c r="E2707" s="2" t="s">
        <v>12006</v>
      </c>
      <c r="F2707" s="2" t="s">
        <v>12007</v>
      </c>
      <c r="G2707" s="2" t="s">
        <v>158</v>
      </c>
      <c r="H2707" s="17">
        <v>50</v>
      </c>
      <c r="I2707" s="31">
        <f t="shared" si="264"/>
        <v>50000</v>
      </c>
      <c r="J2707" s="31">
        <f t="shared" si="265"/>
        <v>3500.0000000000005</v>
      </c>
      <c r="K2707" s="44">
        <f t="shared" si="266"/>
        <v>9.589041095890412</v>
      </c>
      <c r="L2707" s="3">
        <f t="shared" si="267"/>
        <v>709.58904109589048</v>
      </c>
      <c r="M2707" s="3">
        <f t="shared" si="268"/>
        <v>42.57534246575343</v>
      </c>
      <c r="N2707" s="67">
        <f t="shared" si="269"/>
        <v>667.01369863013701</v>
      </c>
      <c r="O2707" s="3"/>
      <c r="P2707" s="70" t="s">
        <v>18637</v>
      </c>
      <c r="Q2707" s="2" t="s">
        <v>81</v>
      </c>
      <c r="R2707" s="2" t="s">
        <v>12008</v>
      </c>
      <c r="T2707" t="s">
        <v>18666</v>
      </c>
      <c r="U2707" t="s">
        <v>18652</v>
      </c>
      <c r="V2707" s="104">
        <v>45857</v>
      </c>
      <c r="X2707" s="97"/>
      <c r="Y2707" s="75">
        <v>667.02</v>
      </c>
    </row>
    <row r="2708" spans="1:25" x14ac:dyDescent="0.25">
      <c r="A2708" s="76">
        <v>2740</v>
      </c>
      <c r="B2708" s="2" t="s">
        <v>14987</v>
      </c>
      <c r="C2708" s="2" t="s">
        <v>14988</v>
      </c>
      <c r="D2708" s="2" t="s">
        <v>14989</v>
      </c>
      <c r="E2708" s="2" t="s">
        <v>14990</v>
      </c>
      <c r="F2708" s="2" t="s">
        <v>14991</v>
      </c>
      <c r="G2708" s="2" t="s">
        <v>580</v>
      </c>
      <c r="H2708" s="17">
        <v>25</v>
      </c>
      <c r="I2708" s="31">
        <f t="shared" si="264"/>
        <v>25000</v>
      </c>
      <c r="J2708" s="31">
        <f t="shared" si="265"/>
        <v>1750.0000000000002</v>
      </c>
      <c r="K2708" s="44">
        <f t="shared" si="266"/>
        <v>4.794520547945206</v>
      </c>
      <c r="L2708" s="3">
        <f t="shared" si="267"/>
        <v>354.79452054794524</v>
      </c>
      <c r="M2708" s="3">
        <f t="shared" si="268"/>
        <v>21.287671232876715</v>
      </c>
      <c r="N2708" s="67">
        <f t="shared" si="269"/>
        <v>333.50684931506851</v>
      </c>
      <c r="O2708" s="3"/>
      <c r="P2708" s="70" t="s">
        <v>18637</v>
      </c>
      <c r="Q2708" s="2" t="s">
        <v>81</v>
      </c>
      <c r="R2708" s="2" t="s">
        <v>14992</v>
      </c>
      <c r="T2708" t="s">
        <v>18666</v>
      </c>
      <c r="U2708" t="s">
        <v>18652</v>
      </c>
      <c r="V2708" s="104">
        <v>45857</v>
      </c>
      <c r="X2708" s="97"/>
      <c r="Y2708" s="75">
        <v>333.51</v>
      </c>
    </row>
    <row r="2709" spans="1:25" x14ac:dyDescent="0.25">
      <c r="A2709" s="76">
        <v>2741</v>
      </c>
      <c r="B2709" s="2" t="s">
        <v>6289</v>
      </c>
      <c r="C2709" s="2" t="s">
        <v>6290</v>
      </c>
      <c r="D2709" s="2" t="s">
        <v>6291</v>
      </c>
      <c r="E2709" s="2" t="s">
        <v>6292</v>
      </c>
      <c r="F2709" s="2" t="s">
        <v>6293</v>
      </c>
      <c r="G2709" s="2" t="s">
        <v>31</v>
      </c>
      <c r="H2709" s="17">
        <v>500</v>
      </c>
      <c r="I2709" s="31">
        <f t="shared" si="264"/>
        <v>500000</v>
      </c>
      <c r="J2709" s="31">
        <f t="shared" si="265"/>
        <v>35000</v>
      </c>
      <c r="K2709" s="44">
        <f t="shared" si="266"/>
        <v>95.890410958904113</v>
      </c>
      <c r="L2709" s="3">
        <f t="shared" si="267"/>
        <v>7095.8904109589039</v>
      </c>
      <c r="M2709" s="3">
        <f t="shared" si="268"/>
        <v>425.7534246575342</v>
      </c>
      <c r="N2709" s="67">
        <f t="shared" si="269"/>
        <v>6670.1369863013697</v>
      </c>
      <c r="O2709" s="3"/>
      <c r="P2709" s="70" t="s">
        <v>18637</v>
      </c>
      <c r="Q2709" s="2" t="s">
        <v>81</v>
      </c>
      <c r="R2709" s="2" t="s">
        <v>6294</v>
      </c>
      <c r="T2709" t="s">
        <v>18666</v>
      </c>
      <c r="U2709" t="s">
        <v>18652</v>
      </c>
      <c r="V2709" s="104">
        <v>45857</v>
      </c>
      <c r="X2709" s="97"/>
      <c r="Y2709" s="75">
        <v>6670.14</v>
      </c>
    </row>
    <row r="2710" spans="1:25" x14ac:dyDescent="0.25">
      <c r="A2710" s="76">
        <v>2742</v>
      </c>
      <c r="B2710" s="2" t="s">
        <v>15291</v>
      </c>
      <c r="C2710" s="2" t="s">
        <v>15292</v>
      </c>
      <c r="D2710" s="2" t="s">
        <v>15293</v>
      </c>
      <c r="E2710" s="2" t="s">
        <v>15294</v>
      </c>
      <c r="F2710" s="2" t="s">
        <v>15295</v>
      </c>
      <c r="G2710" s="2" t="s">
        <v>186</v>
      </c>
      <c r="H2710" s="17">
        <v>25</v>
      </c>
      <c r="I2710" s="31">
        <f t="shared" si="264"/>
        <v>25000</v>
      </c>
      <c r="J2710" s="31">
        <f t="shared" si="265"/>
        <v>1750.0000000000002</v>
      </c>
      <c r="K2710" s="44">
        <f t="shared" si="266"/>
        <v>4.794520547945206</v>
      </c>
      <c r="L2710" s="3">
        <f t="shared" si="267"/>
        <v>354.79452054794524</v>
      </c>
      <c r="M2710" s="3">
        <f t="shared" si="268"/>
        <v>21.287671232876715</v>
      </c>
      <c r="N2710" s="67">
        <f t="shared" si="269"/>
        <v>333.50684931506851</v>
      </c>
      <c r="O2710" s="3"/>
      <c r="P2710" s="70" t="s">
        <v>18637</v>
      </c>
      <c r="Q2710" s="2" t="s">
        <v>81</v>
      </c>
      <c r="R2710" s="2" t="s">
        <v>15296</v>
      </c>
      <c r="T2710" t="s">
        <v>18666</v>
      </c>
      <c r="U2710" t="s">
        <v>18652</v>
      </c>
      <c r="V2710" s="104">
        <v>45857</v>
      </c>
      <c r="X2710" s="97"/>
      <c r="Y2710" s="75">
        <v>333.51</v>
      </c>
    </row>
    <row r="2711" spans="1:25" x14ac:dyDescent="0.25">
      <c r="A2711" s="76">
        <v>2743</v>
      </c>
      <c r="B2711" s="2" t="s">
        <v>12170</v>
      </c>
      <c r="C2711" s="2" t="s">
        <v>12171</v>
      </c>
      <c r="D2711" s="2" t="s">
        <v>12172</v>
      </c>
      <c r="E2711" s="2" t="s">
        <v>12173</v>
      </c>
      <c r="F2711" s="2" t="s">
        <v>12174</v>
      </c>
      <c r="G2711" s="2" t="s">
        <v>328</v>
      </c>
      <c r="H2711" s="17">
        <v>100</v>
      </c>
      <c r="I2711" s="31">
        <f t="shared" si="264"/>
        <v>100000</v>
      </c>
      <c r="J2711" s="31">
        <f t="shared" si="265"/>
        <v>7000.0000000000009</v>
      </c>
      <c r="K2711" s="44">
        <f t="shared" si="266"/>
        <v>19.178082191780824</v>
      </c>
      <c r="L2711" s="3">
        <f t="shared" si="267"/>
        <v>1419.178082191781</v>
      </c>
      <c r="M2711" s="3">
        <f t="shared" si="268"/>
        <v>85.150684931506859</v>
      </c>
      <c r="N2711" s="67">
        <f t="shared" si="269"/>
        <v>1334.027397260274</v>
      </c>
      <c r="O2711" s="3"/>
      <c r="P2711" s="70" t="s">
        <v>18637</v>
      </c>
      <c r="Q2711" s="2" t="s">
        <v>81</v>
      </c>
      <c r="R2711" s="2" t="s">
        <v>12175</v>
      </c>
      <c r="T2711" t="s">
        <v>18666</v>
      </c>
      <c r="U2711" t="s">
        <v>18652</v>
      </c>
      <c r="V2711" s="104">
        <v>45857</v>
      </c>
      <c r="X2711" s="97"/>
      <c r="Y2711" s="75">
        <v>1334.03</v>
      </c>
    </row>
    <row r="2712" spans="1:25" x14ac:dyDescent="0.25">
      <c r="A2712" s="76">
        <v>2744</v>
      </c>
      <c r="B2712" s="2" t="s">
        <v>8914</v>
      </c>
      <c r="C2712" s="2" t="s">
        <v>8915</v>
      </c>
      <c r="D2712" s="2" t="s">
        <v>8916</v>
      </c>
      <c r="E2712" s="2" t="s">
        <v>8917</v>
      </c>
      <c r="F2712" s="2" t="s">
        <v>8918</v>
      </c>
      <c r="G2712" s="2" t="s">
        <v>750</v>
      </c>
      <c r="H2712" s="17">
        <v>100</v>
      </c>
      <c r="I2712" s="31">
        <f t="shared" si="264"/>
        <v>100000</v>
      </c>
      <c r="J2712" s="31">
        <f t="shared" si="265"/>
        <v>7000.0000000000009</v>
      </c>
      <c r="K2712" s="44">
        <f t="shared" si="266"/>
        <v>19.178082191780824</v>
      </c>
      <c r="L2712" s="3">
        <f t="shared" si="267"/>
        <v>1419.178082191781</v>
      </c>
      <c r="M2712" s="3">
        <f t="shared" si="268"/>
        <v>85.150684931506859</v>
      </c>
      <c r="N2712" s="67">
        <f t="shared" si="269"/>
        <v>1334.027397260274</v>
      </c>
      <c r="O2712" s="3"/>
      <c r="P2712" s="70" t="s">
        <v>18637</v>
      </c>
      <c r="Q2712" s="2" t="s">
        <v>81</v>
      </c>
      <c r="R2712" s="2" t="s">
        <v>8919</v>
      </c>
      <c r="T2712" t="s">
        <v>18666</v>
      </c>
      <c r="U2712" t="s">
        <v>18652</v>
      </c>
      <c r="V2712" s="104">
        <v>45857</v>
      </c>
      <c r="X2712" s="97"/>
      <c r="Y2712" s="75">
        <v>1334.03</v>
      </c>
    </row>
    <row r="2713" spans="1:25" x14ac:dyDescent="0.25">
      <c r="A2713" s="76">
        <v>2745</v>
      </c>
      <c r="B2713" s="2" t="s">
        <v>12849</v>
      </c>
      <c r="C2713" s="2" t="s">
        <v>12850</v>
      </c>
      <c r="D2713" s="2" t="s">
        <v>12851</v>
      </c>
      <c r="E2713" s="2" t="s">
        <v>12852</v>
      </c>
      <c r="F2713" s="2" t="s">
        <v>12853</v>
      </c>
      <c r="G2713" s="2" t="s">
        <v>517</v>
      </c>
      <c r="H2713" s="17">
        <v>30</v>
      </c>
      <c r="I2713" s="31">
        <f t="shared" si="264"/>
        <v>30000</v>
      </c>
      <c r="J2713" s="31">
        <f t="shared" si="265"/>
        <v>2100</v>
      </c>
      <c r="K2713" s="44">
        <f t="shared" si="266"/>
        <v>5.7534246575342465</v>
      </c>
      <c r="L2713" s="3">
        <f t="shared" si="267"/>
        <v>425.75342465753425</v>
      </c>
      <c r="M2713" s="3">
        <f t="shared" si="268"/>
        <v>25.545205479452054</v>
      </c>
      <c r="N2713" s="67">
        <f t="shared" si="269"/>
        <v>400.20821917808217</v>
      </c>
      <c r="O2713" s="3"/>
      <c r="P2713" s="70" t="s">
        <v>18637</v>
      </c>
      <c r="Q2713" s="2" t="s">
        <v>81</v>
      </c>
      <c r="R2713" s="2" t="s">
        <v>12854</v>
      </c>
      <c r="T2713" t="s">
        <v>18666</v>
      </c>
      <c r="U2713" t="s">
        <v>18652</v>
      </c>
      <c r="V2713" s="104">
        <v>45857</v>
      </c>
      <c r="X2713" s="97"/>
      <c r="Y2713" s="75">
        <v>400.21</v>
      </c>
    </row>
    <row r="2714" spans="1:25" x14ac:dyDescent="0.25">
      <c r="A2714" s="76">
        <v>2746</v>
      </c>
      <c r="B2714" s="2" t="s">
        <v>7972</v>
      </c>
      <c r="C2714" s="2" t="s">
        <v>7973</v>
      </c>
      <c r="D2714" s="2" t="s">
        <v>7974</v>
      </c>
      <c r="E2714" s="2" t="s">
        <v>7975</v>
      </c>
      <c r="F2714" s="2" t="s">
        <v>7976</v>
      </c>
      <c r="G2714" s="2" t="s">
        <v>750</v>
      </c>
      <c r="H2714" s="17">
        <v>25</v>
      </c>
      <c r="I2714" s="31">
        <f t="shared" si="264"/>
        <v>25000</v>
      </c>
      <c r="J2714" s="31">
        <f t="shared" si="265"/>
        <v>1750.0000000000002</v>
      </c>
      <c r="K2714" s="44">
        <f t="shared" si="266"/>
        <v>4.794520547945206</v>
      </c>
      <c r="L2714" s="3">
        <f t="shared" si="267"/>
        <v>354.79452054794524</v>
      </c>
      <c r="M2714" s="3">
        <f t="shared" si="268"/>
        <v>21.287671232876715</v>
      </c>
      <c r="N2714" s="67">
        <f t="shared" si="269"/>
        <v>333.50684931506851</v>
      </c>
      <c r="O2714" s="3"/>
      <c r="P2714" s="70" t="s">
        <v>18637</v>
      </c>
      <c r="Q2714" s="2" t="s">
        <v>81</v>
      </c>
      <c r="R2714" s="2" t="s">
        <v>7977</v>
      </c>
      <c r="T2714" t="s">
        <v>18666</v>
      </c>
      <c r="U2714" t="s">
        <v>18652</v>
      </c>
      <c r="V2714" s="104">
        <v>45857</v>
      </c>
      <c r="X2714" s="97"/>
      <c r="Y2714" s="75">
        <v>333.51</v>
      </c>
    </row>
    <row r="2715" spans="1:25" x14ac:dyDescent="0.25">
      <c r="A2715" s="76">
        <v>2747</v>
      </c>
      <c r="B2715" s="2" t="s">
        <v>499</v>
      </c>
      <c r="C2715" s="2" t="s">
        <v>500</v>
      </c>
      <c r="D2715" s="2" t="s">
        <v>501</v>
      </c>
      <c r="E2715" s="2" t="s">
        <v>502</v>
      </c>
      <c r="F2715" s="2" t="s">
        <v>503</v>
      </c>
      <c r="G2715" s="2" t="s">
        <v>240</v>
      </c>
      <c r="H2715" s="17">
        <v>25</v>
      </c>
      <c r="I2715" s="31">
        <f t="shared" si="264"/>
        <v>25000</v>
      </c>
      <c r="J2715" s="31">
        <f t="shared" si="265"/>
        <v>1750.0000000000002</v>
      </c>
      <c r="K2715" s="44">
        <f t="shared" si="266"/>
        <v>4.794520547945206</v>
      </c>
      <c r="L2715" s="3">
        <f t="shared" si="267"/>
        <v>354.79452054794524</v>
      </c>
      <c r="M2715" s="3">
        <f t="shared" si="268"/>
        <v>21.287671232876715</v>
      </c>
      <c r="N2715" s="67">
        <f t="shared" si="269"/>
        <v>333.50684931506851</v>
      </c>
      <c r="O2715" s="3"/>
      <c r="P2715" s="70" t="s">
        <v>18637</v>
      </c>
      <c r="Q2715" s="2" t="s">
        <v>81</v>
      </c>
      <c r="R2715" s="2" t="s">
        <v>504</v>
      </c>
      <c r="T2715" t="s">
        <v>18666</v>
      </c>
      <c r="U2715" t="s">
        <v>18652</v>
      </c>
      <c r="V2715" s="104">
        <v>45857</v>
      </c>
      <c r="X2715" s="97"/>
      <c r="Y2715" s="75">
        <v>333.51</v>
      </c>
    </row>
    <row r="2716" spans="1:25" x14ac:dyDescent="0.25">
      <c r="A2716" s="76">
        <v>2748</v>
      </c>
      <c r="B2716" s="2" t="s">
        <v>6201</v>
      </c>
      <c r="C2716" s="2" t="s">
        <v>6202</v>
      </c>
      <c r="D2716" s="2" t="s">
        <v>6203</v>
      </c>
      <c r="E2716" s="2" t="s">
        <v>6204</v>
      </c>
      <c r="F2716" s="2" t="s">
        <v>6205</v>
      </c>
      <c r="G2716" s="2" t="s">
        <v>254</v>
      </c>
      <c r="H2716" s="17">
        <v>25</v>
      </c>
      <c r="I2716" s="31">
        <f t="shared" si="264"/>
        <v>25000</v>
      </c>
      <c r="J2716" s="31">
        <f t="shared" si="265"/>
        <v>1750.0000000000002</v>
      </c>
      <c r="K2716" s="44">
        <f t="shared" si="266"/>
        <v>4.794520547945206</v>
      </c>
      <c r="L2716" s="3">
        <f t="shared" si="267"/>
        <v>354.79452054794524</v>
      </c>
      <c r="M2716" s="3">
        <f t="shared" si="268"/>
        <v>21.287671232876715</v>
      </c>
      <c r="N2716" s="67">
        <f t="shared" si="269"/>
        <v>333.50684931506851</v>
      </c>
      <c r="O2716" s="3"/>
      <c r="P2716" s="70" t="s">
        <v>18637</v>
      </c>
      <c r="Q2716" s="2" t="s">
        <v>81</v>
      </c>
      <c r="R2716" s="2" t="s">
        <v>6206</v>
      </c>
      <c r="T2716" t="s">
        <v>18666</v>
      </c>
      <c r="U2716" t="s">
        <v>18652</v>
      </c>
      <c r="V2716" s="104">
        <v>45857</v>
      </c>
      <c r="X2716" s="97"/>
      <c r="Y2716" s="75">
        <v>333.51</v>
      </c>
    </row>
    <row r="2717" spans="1:25" x14ac:dyDescent="0.25">
      <c r="A2717" s="76">
        <v>2749</v>
      </c>
      <c r="B2717" s="2" t="s">
        <v>2845</v>
      </c>
      <c r="C2717" s="2" t="s">
        <v>2846</v>
      </c>
      <c r="D2717" s="2" t="s">
        <v>2847</v>
      </c>
      <c r="E2717" s="2" t="s">
        <v>2848</v>
      </c>
      <c r="F2717" s="2" t="s">
        <v>2849</v>
      </c>
      <c r="G2717" s="2" t="s">
        <v>247</v>
      </c>
      <c r="H2717" s="17">
        <v>25</v>
      </c>
      <c r="I2717" s="31">
        <f t="shared" si="264"/>
        <v>25000</v>
      </c>
      <c r="J2717" s="31">
        <f t="shared" si="265"/>
        <v>1750.0000000000002</v>
      </c>
      <c r="K2717" s="44">
        <f t="shared" si="266"/>
        <v>4.794520547945206</v>
      </c>
      <c r="L2717" s="3">
        <f t="shared" si="267"/>
        <v>354.79452054794524</v>
      </c>
      <c r="M2717" s="3">
        <f t="shared" si="268"/>
        <v>21.287671232876715</v>
      </c>
      <c r="N2717" s="67">
        <f t="shared" si="269"/>
        <v>333.50684931506851</v>
      </c>
      <c r="O2717" s="3"/>
      <c r="P2717" s="70" t="s">
        <v>18637</v>
      </c>
      <c r="Q2717" s="2" t="s">
        <v>81</v>
      </c>
      <c r="R2717" s="2" t="s">
        <v>2850</v>
      </c>
      <c r="T2717" t="s">
        <v>18666</v>
      </c>
      <c r="U2717" t="s">
        <v>18652</v>
      </c>
      <c r="V2717" s="104">
        <v>45857</v>
      </c>
      <c r="X2717" s="97"/>
      <c r="Y2717" s="75">
        <v>333.51</v>
      </c>
    </row>
    <row r="2718" spans="1:25" x14ac:dyDescent="0.25">
      <c r="A2718" s="76">
        <v>2750</v>
      </c>
      <c r="B2718" s="2" t="s">
        <v>11138</v>
      </c>
      <c r="C2718" s="2" t="s">
        <v>11139</v>
      </c>
      <c r="D2718" s="2" t="s">
        <v>11140</v>
      </c>
      <c r="E2718" s="2" t="s">
        <v>11141</v>
      </c>
      <c r="F2718" s="2" t="s">
        <v>11142</v>
      </c>
      <c r="G2718" s="2" t="s">
        <v>151</v>
      </c>
      <c r="H2718" s="17">
        <v>25</v>
      </c>
      <c r="I2718" s="31">
        <f t="shared" si="264"/>
        <v>25000</v>
      </c>
      <c r="J2718" s="31">
        <f t="shared" si="265"/>
        <v>1750.0000000000002</v>
      </c>
      <c r="K2718" s="44">
        <f t="shared" si="266"/>
        <v>4.794520547945206</v>
      </c>
      <c r="L2718" s="3">
        <f t="shared" si="267"/>
        <v>354.79452054794524</v>
      </c>
      <c r="M2718" s="3">
        <f t="shared" si="268"/>
        <v>21.287671232876715</v>
      </c>
      <c r="N2718" s="67">
        <f t="shared" si="269"/>
        <v>333.50684931506851</v>
      </c>
      <c r="O2718" s="3"/>
      <c r="P2718" s="70" t="s">
        <v>18637</v>
      </c>
      <c r="Q2718" s="2" t="s">
        <v>81</v>
      </c>
      <c r="R2718" s="2" t="s">
        <v>11143</v>
      </c>
      <c r="T2718" t="s">
        <v>18666</v>
      </c>
      <c r="U2718" t="s">
        <v>18652</v>
      </c>
      <c r="V2718" s="104">
        <v>45857</v>
      </c>
      <c r="X2718" s="97"/>
      <c r="Y2718" s="75">
        <v>333.51</v>
      </c>
    </row>
    <row r="2719" spans="1:25" x14ac:dyDescent="0.25">
      <c r="A2719" s="76">
        <v>2751</v>
      </c>
      <c r="B2719" s="2" t="s">
        <v>2746</v>
      </c>
      <c r="C2719" s="2" t="s">
        <v>2747</v>
      </c>
      <c r="D2719" s="2" t="s">
        <v>2748</v>
      </c>
      <c r="E2719" s="2" t="s">
        <v>2749</v>
      </c>
      <c r="F2719" s="2" t="s">
        <v>2750</v>
      </c>
      <c r="G2719" s="2" t="s">
        <v>31</v>
      </c>
      <c r="H2719" s="17">
        <v>25</v>
      </c>
      <c r="I2719" s="31">
        <f t="shared" si="264"/>
        <v>25000</v>
      </c>
      <c r="J2719" s="31">
        <f t="shared" si="265"/>
        <v>1750.0000000000002</v>
      </c>
      <c r="K2719" s="44">
        <f t="shared" si="266"/>
        <v>4.794520547945206</v>
      </c>
      <c r="L2719" s="3">
        <f t="shared" si="267"/>
        <v>354.79452054794524</v>
      </c>
      <c r="M2719" s="3">
        <f t="shared" si="268"/>
        <v>21.287671232876715</v>
      </c>
      <c r="N2719" s="67">
        <f t="shared" si="269"/>
        <v>333.50684931506851</v>
      </c>
      <c r="O2719" s="3"/>
      <c r="P2719" s="70" t="s">
        <v>18637</v>
      </c>
      <c r="Q2719" s="2" t="s">
        <v>81</v>
      </c>
      <c r="R2719" s="2" t="s">
        <v>2751</v>
      </c>
      <c r="T2719" t="s">
        <v>18666</v>
      </c>
      <c r="U2719" t="s">
        <v>18652</v>
      </c>
      <c r="V2719" s="104">
        <v>45857</v>
      </c>
      <c r="X2719" s="97"/>
      <c r="Y2719" s="75">
        <v>333.51</v>
      </c>
    </row>
    <row r="2720" spans="1:25" x14ac:dyDescent="0.25">
      <c r="A2720" s="76">
        <v>2752</v>
      </c>
      <c r="B2720" s="2" t="s">
        <v>5226</v>
      </c>
      <c r="C2720" s="2" t="s">
        <v>5227</v>
      </c>
      <c r="D2720" s="2" t="s">
        <v>5228</v>
      </c>
      <c r="E2720" s="2" t="s">
        <v>5229</v>
      </c>
      <c r="F2720" s="2" t="s">
        <v>5230</v>
      </c>
      <c r="G2720" s="2" t="s">
        <v>1017</v>
      </c>
      <c r="H2720" s="17">
        <v>50</v>
      </c>
      <c r="I2720" s="31">
        <f t="shared" si="264"/>
        <v>50000</v>
      </c>
      <c r="J2720" s="31">
        <f t="shared" si="265"/>
        <v>3500.0000000000005</v>
      </c>
      <c r="K2720" s="44">
        <f t="shared" si="266"/>
        <v>9.589041095890412</v>
      </c>
      <c r="L2720" s="3">
        <f t="shared" si="267"/>
        <v>709.58904109589048</v>
      </c>
      <c r="M2720" s="3">
        <f t="shared" si="268"/>
        <v>42.57534246575343</v>
      </c>
      <c r="N2720" s="67">
        <f t="shared" si="269"/>
        <v>667.01369863013701</v>
      </c>
      <c r="O2720" s="3"/>
      <c r="P2720" s="70" t="s">
        <v>18637</v>
      </c>
      <c r="Q2720" s="2" t="s">
        <v>81</v>
      </c>
      <c r="R2720" s="2" t="s">
        <v>5231</v>
      </c>
      <c r="T2720" t="s">
        <v>18666</v>
      </c>
      <c r="U2720" t="s">
        <v>18652</v>
      </c>
      <c r="V2720" s="104">
        <v>45857</v>
      </c>
      <c r="X2720" s="97"/>
      <c r="Y2720" s="75">
        <v>667.02</v>
      </c>
    </row>
    <row r="2721" spans="1:25" x14ac:dyDescent="0.25">
      <c r="A2721" s="76">
        <v>2753</v>
      </c>
      <c r="B2721" s="2" t="s">
        <v>1480</v>
      </c>
      <c r="C2721" s="2" t="s">
        <v>1481</v>
      </c>
      <c r="D2721" s="2" t="s">
        <v>1482</v>
      </c>
      <c r="E2721" s="2" t="s">
        <v>1483</v>
      </c>
      <c r="F2721" s="2" t="s">
        <v>1484</v>
      </c>
      <c r="G2721" s="2" t="s">
        <v>282</v>
      </c>
      <c r="H2721" s="17">
        <v>25</v>
      </c>
      <c r="I2721" s="31">
        <f t="shared" si="264"/>
        <v>25000</v>
      </c>
      <c r="J2721" s="31">
        <f t="shared" si="265"/>
        <v>1750.0000000000002</v>
      </c>
      <c r="K2721" s="44">
        <f t="shared" si="266"/>
        <v>4.794520547945206</v>
      </c>
      <c r="L2721" s="3">
        <f t="shared" si="267"/>
        <v>354.79452054794524</v>
      </c>
      <c r="M2721" s="3">
        <f t="shared" si="268"/>
        <v>21.287671232876715</v>
      </c>
      <c r="N2721" s="67">
        <f t="shared" si="269"/>
        <v>333.50684931506851</v>
      </c>
      <c r="O2721" s="3"/>
      <c r="P2721" s="70" t="s">
        <v>18637</v>
      </c>
      <c r="Q2721" s="2" t="s">
        <v>81</v>
      </c>
      <c r="R2721" s="2" t="s">
        <v>1485</v>
      </c>
      <c r="T2721" t="s">
        <v>18666</v>
      </c>
      <c r="U2721" t="s">
        <v>18652</v>
      </c>
      <c r="V2721" s="104">
        <v>45857</v>
      </c>
      <c r="X2721" s="97"/>
      <c r="Y2721" s="75">
        <v>333.51</v>
      </c>
    </row>
    <row r="2722" spans="1:25" x14ac:dyDescent="0.25">
      <c r="A2722" s="76">
        <v>2754</v>
      </c>
      <c r="B2722" s="2" t="s">
        <v>12445</v>
      </c>
      <c r="C2722" s="2" t="s">
        <v>12446</v>
      </c>
      <c r="D2722" s="2" t="s">
        <v>12447</v>
      </c>
      <c r="E2722" s="2" t="s">
        <v>12448</v>
      </c>
      <c r="F2722" s="2" t="s">
        <v>12449</v>
      </c>
      <c r="G2722" s="2" t="s">
        <v>510</v>
      </c>
      <c r="H2722" s="17">
        <v>25</v>
      </c>
      <c r="I2722" s="31">
        <f t="shared" si="264"/>
        <v>25000</v>
      </c>
      <c r="J2722" s="31">
        <f t="shared" si="265"/>
        <v>1750.0000000000002</v>
      </c>
      <c r="K2722" s="44">
        <f t="shared" si="266"/>
        <v>4.794520547945206</v>
      </c>
      <c r="L2722" s="3">
        <f t="shared" si="267"/>
        <v>354.79452054794524</v>
      </c>
      <c r="M2722" s="3">
        <f t="shared" si="268"/>
        <v>21.287671232876715</v>
      </c>
      <c r="N2722" s="67">
        <f t="shared" si="269"/>
        <v>333.50684931506851</v>
      </c>
      <c r="O2722" s="3"/>
      <c r="P2722" s="70" t="s">
        <v>18637</v>
      </c>
      <c r="Q2722" s="2" t="s">
        <v>81</v>
      </c>
      <c r="R2722" s="2" t="s">
        <v>12450</v>
      </c>
      <c r="T2722" t="s">
        <v>18666</v>
      </c>
      <c r="U2722" t="s">
        <v>18652</v>
      </c>
      <c r="V2722" s="104">
        <v>45857</v>
      </c>
      <c r="X2722" s="97"/>
      <c r="Y2722" s="75">
        <v>333.51</v>
      </c>
    </row>
    <row r="2723" spans="1:25" x14ac:dyDescent="0.25">
      <c r="A2723" s="76">
        <v>2755</v>
      </c>
      <c r="B2723" s="2" t="s">
        <v>3766</v>
      </c>
      <c r="C2723" s="2" t="s">
        <v>3767</v>
      </c>
      <c r="D2723" s="2" t="s">
        <v>3768</v>
      </c>
      <c r="E2723" s="2" t="s">
        <v>3769</v>
      </c>
      <c r="F2723" s="2" t="s">
        <v>3770</v>
      </c>
      <c r="G2723" s="2" t="s">
        <v>2571</v>
      </c>
      <c r="H2723" s="17">
        <v>25</v>
      </c>
      <c r="I2723" s="31">
        <f t="shared" si="264"/>
        <v>25000</v>
      </c>
      <c r="J2723" s="31">
        <f t="shared" si="265"/>
        <v>1750.0000000000002</v>
      </c>
      <c r="K2723" s="44">
        <f t="shared" si="266"/>
        <v>4.794520547945206</v>
      </c>
      <c r="L2723" s="3">
        <f t="shared" si="267"/>
        <v>354.79452054794524</v>
      </c>
      <c r="M2723" s="3">
        <f t="shared" si="268"/>
        <v>21.287671232876715</v>
      </c>
      <c r="N2723" s="67">
        <f t="shared" si="269"/>
        <v>333.50684931506851</v>
      </c>
      <c r="O2723" s="3"/>
      <c r="P2723" s="70" t="s">
        <v>18637</v>
      </c>
      <c r="Q2723" s="2" t="s">
        <v>81</v>
      </c>
      <c r="R2723" s="2" t="s">
        <v>3771</v>
      </c>
      <c r="T2723" t="s">
        <v>18666</v>
      </c>
      <c r="U2723" t="s">
        <v>18652</v>
      </c>
      <c r="V2723" s="104">
        <v>45857</v>
      </c>
      <c r="X2723" s="97"/>
      <c r="Y2723" s="75">
        <v>333.51</v>
      </c>
    </row>
    <row r="2724" spans="1:25" x14ac:dyDescent="0.25">
      <c r="A2724" s="76">
        <v>2756</v>
      </c>
      <c r="B2724" s="2" t="s">
        <v>12237</v>
      </c>
      <c r="C2724" s="2" t="s">
        <v>7180</v>
      </c>
      <c r="D2724" s="2" t="s">
        <v>12238</v>
      </c>
      <c r="E2724" s="2" t="s">
        <v>12239</v>
      </c>
      <c r="F2724" s="2" t="s">
        <v>12240</v>
      </c>
      <c r="G2724" s="2" t="s">
        <v>939</v>
      </c>
      <c r="H2724" s="17">
        <v>25</v>
      </c>
      <c r="I2724" s="31">
        <f t="shared" si="264"/>
        <v>25000</v>
      </c>
      <c r="J2724" s="31">
        <f t="shared" si="265"/>
        <v>1750.0000000000002</v>
      </c>
      <c r="K2724" s="44">
        <f t="shared" si="266"/>
        <v>4.794520547945206</v>
      </c>
      <c r="L2724" s="3">
        <f t="shared" si="267"/>
        <v>354.79452054794524</v>
      </c>
      <c r="M2724" s="3">
        <f t="shared" si="268"/>
        <v>21.287671232876715</v>
      </c>
      <c r="N2724" s="67">
        <f t="shared" si="269"/>
        <v>333.50684931506851</v>
      </c>
      <c r="O2724" s="3"/>
      <c r="P2724" s="70" t="s">
        <v>18637</v>
      </c>
      <c r="Q2724" s="2" t="s">
        <v>81</v>
      </c>
      <c r="R2724" s="2" t="s">
        <v>12241</v>
      </c>
      <c r="T2724" t="s">
        <v>18666</v>
      </c>
      <c r="U2724" t="s">
        <v>18652</v>
      </c>
      <c r="V2724" s="104">
        <v>45857</v>
      </c>
      <c r="X2724" s="97"/>
      <c r="Y2724" s="75">
        <v>333.51</v>
      </c>
    </row>
    <row r="2725" spans="1:25" x14ac:dyDescent="0.25">
      <c r="A2725" s="76">
        <v>2757</v>
      </c>
      <c r="B2725" s="2" t="s">
        <v>669</v>
      </c>
      <c r="C2725" s="2" t="s">
        <v>670</v>
      </c>
      <c r="D2725" s="2" t="s">
        <v>671</v>
      </c>
      <c r="E2725" s="2" t="s">
        <v>672</v>
      </c>
      <c r="F2725" s="2" t="s">
        <v>673</v>
      </c>
      <c r="G2725" s="2" t="s">
        <v>599</v>
      </c>
      <c r="H2725" s="17">
        <v>25</v>
      </c>
      <c r="I2725" s="31">
        <f t="shared" si="264"/>
        <v>25000</v>
      </c>
      <c r="J2725" s="31">
        <f t="shared" si="265"/>
        <v>1750.0000000000002</v>
      </c>
      <c r="K2725" s="44">
        <f t="shared" si="266"/>
        <v>4.794520547945206</v>
      </c>
      <c r="L2725" s="3">
        <f t="shared" si="267"/>
        <v>354.79452054794524</v>
      </c>
      <c r="M2725" s="3">
        <f t="shared" si="268"/>
        <v>21.287671232876715</v>
      </c>
      <c r="N2725" s="67">
        <f t="shared" si="269"/>
        <v>333.50684931506851</v>
      </c>
      <c r="O2725" s="3"/>
      <c r="P2725" s="70" t="s">
        <v>18637</v>
      </c>
      <c r="Q2725" s="2" t="s">
        <v>81</v>
      </c>
      <c r="R2725" s="2" t="s">
        <v>674</v>
      </c>
      <c r="T2725" t="s">
        <v>18666</v>
      </c>
      <c r="U2725" t="s">
        <v>18652</v>
      </c>
      <c r="V2725" s="104">
        <v>45857</v>
      </c>
      <c r="X2725" s="97"/>
      <c r="Y2725" s="75">
        <v>333.51</v>
      </c>
    </row>
    <row r="2726" spans="1:25" x14ac:dyDescent="0.25">
      <c r="A2726" s="76">
        <v>2758</v>
      </c>
      <c r="B2726" s="2" t="s">
        <v>3272</v>
      </c>
      <c r="C2726" s="2" t="s">
        <v>3273</v>
      </c>
      <c r="D2726" s="2" t="s">
        <v>3274</v>
      </c>
      <c r="E2726" s="2" t="s">
        <v>1550</v>
      </c>
      <c r="F2726" s="2" t="s">
        <v>3275</v>
      </c>
      <c r="G2726" s="2" t="s">
        <v>151</v>
      </c>
      <c r="H2726" s="17">
        <v>25</v>
      </c>
      <c r="I2726" s="31">
        <f t="shared" si="264"/>
        <v>25000</v>
      </c>
      <c r="J2726" s="31">
        <f t="shared" si="265"/>
        <v>1750.0000000000002</v>
      </c>
      <c r="K2726" s="44">
        <f t="shared" si="266"/>
        <v>4.794520547945206</v>
      </c>
      <c r="L2726" s="3">
        <f t="shared" si="267"/>
        <v>354.79452054794524</v>
      </c>
      <c r="M2726" s="3">
        <f t="shared" si="268"/>
        <v>21.287671232876715</v>
      </c>
      <c r="N2726" s="67">
        <f t="shared" si="269"/>
        <v>333.50684931506851</v>
      </c>
      <c r="O2726" s="3"/>
      <c r="P2726" s="70" t="s">
        <v>18637</v>
      </c>
      <c r="Q2726" s="2" t="s">
        <v>81</v>
      </c>
      <c r="R2726" s="2" t="s">
        <v>3276</v>
      </c>
      <c r="T2726" t="s">
        <v>18666</v>
      </c>
      <c r="U2726" t="s">
        <v>18652</v>
      </c>
      <c r="V2726" s="104">
        <v>45857</v>
      </c>
      <c r="X2726" s="97"/>
      <c r="Y2726" s="75">
        <v>333.51</v>
      </c>
    </row>
    <row r="2727" spans="1:25" x14ac:dyDescent="0.25">
      <c r="A2727" s="76">
        <v>2759</v>
      </c>
      <c r="B2727" s="2" t="s">
        <v>9897</v>
      </c>
      <c r="C2727" s="2" t="s">
        <v>9898</v>
      </c>
      <c r="D2727" s="2" t="s">
        <v>9899</v>
      </c>
      <c r="E2727" s="2" t="s">
        <v>9900</v>
      </c>
      <c r="F2727" s="2" t="s">
        <v>9901</v>
      </c>
      <c r="G2727" s="2" t="s">
        <v>296</v>
      </c>
      <c r="H2727" s="17">
        <v>25</v>
      </c>
      <c r="I2727" s="31">
        <f t="shared" si="264"/>
        <v>25000</v>
      </c>
      <c r="J2727" s="31">
        <f t="shared" si="265"/>
        <v>1750.0000000000002</v>
      </c>
      <c r="K2727" s="44">
        <f t="shared" si="266"/>
        <v>4.794520547945206</v>
      </c>
      <c r="L2727" s="3">
        <f t="shared" si="267"/>
        <v>354.79452054794524</v>
      </c>
      <c r="M2727" s="3">
        <f t="shared" si="268"/>
        <v>21.287671232876715</v>
      </c>
      <c r="N2727" s="67">
        <f t="shared" si="269"/>
        <v>333.50684931506851</v>
      </c>
      <c r="O2727" s="3"/>
      <c r="P2727" s="70" t="s">
        <v>18637</v>
      </c>
      <c r="Q2727" s="2" t="s">
        <v>81</v>
      </c>
      <c r="R2727" s="2" t="s">
        <v>9902</v>
      </c>
      <c r="T2727" t="s">
        <v>18666</v>
      </c>
      <c r="U2727" t="s">
        <v>18652</v>
      </c>
      <c r="V2727" s="104">
        <v>45857</v>
      </c>
      <c r="X2727" s="97"/>
      <c r="Y2727" s="75">
        <v>333.51</v>
      </c>
    </row>
    <row r="2728" spans="1:25" x14ac:dyDescent="0.25">
      <c r="A2728" s="76">
        <v>2760</v>
      </c>
      <c r="B2728" s="2" t="s">
        <v>2255</v>
      </c>
      <c r="C2728" s="2" t="s">
        <v>2256</v>
      </c>
      <c r="D2728" s="2" t="s">
        <v>2257</v>
      </c>
      <c r="E2728" s="2" t="s">
        <v>2258</v>
      </c>
      <c r="F2728" s="2" t="s">
        <v>2259</v>
      </c>
      <c r="G2728" s="2" t="s">
        <v>1315</v>
      </c>
      <c r="H2728" s="17">
        <v>25</v>
      </c>
      <c r="I2728" s="31">
        <f t="shared" si="264"/>
        <v>25000</v>
      </c>
      <c r="J2728" s="31">
        <f t="shared" si="265"/>
        <v>1750.0000000000002</v>
      </c>
      <c r="K2728" s="44">
        <f t="shared" si="266"/>
        <v>4.794520547945206</v>
      </c>
      <c r="L2728" s="3">
        <f t="shared" si="267"/>
        <v>354.79452054794524</v>
      </c>
      <c r="M2728" s="3">
        <f t="shared" si="268"/>
        <v>21.287671232876715</v>
      </c>
      <c r="N2728" s="67">
        <f t="shared" si="269"/>
        <v>333.50684931506851</v>
      </c>
      <c r="O2728" s="3"/>
      <c r="P2728" s="70" t="s">
        <v>18637</v>
      </c>
      <c r="Q2728" s="2" t="s">
        <v>81</v>
      </c>
      <c r="R2728" s="2" t="s">
        <v>2260</v>
      </c>
      <c r="T2728" t="s">
        <v>18666</v>
      </c>
      <c r="U2728" t="s">
        <v>18652</v>
      </c>
      <c r="V2728" s="104">
        <v>45857</v>
      </c>
      <c r="X2728" s="97"/>
      <c r="Y2728" s="75">
        <v>333.51</v>
      </c>
    </row>
    <row r="2729" spans="1:25" x14ac:dyDescent="0.25">
      <c r="A2729" s="76">
        <v>2761</v>
      </c>
      <c r="B2729" s="2" t="s">
        <v>519</v>
      </c>
      <c r="C2729" s="2" t="s">
        <v>520</v>
      </c>
      <c r="D2729" s="2" t="s">
        <v>521</v>
      </c>
      <c r="E2729" s="2" t="s">
        <v>522</v>
      </c>
      <c r="F2729" s="2" t="s">
        <v>523</v>
      </c>
      <c r="G2729" s="2" t="s">
        <v>524</v>
      </c>
      <c r="H2729" s="17">
        <v>25</v>
      </c>
      <c r="I2729" s="31">
        <f t="shared" si="264"/>
        <v>25000</v>
      </c>
      <c r="J2729" s="31">
        <f t="shared" si="265"/>
        <v>1750.0000000000002</v>
      </c>
      <c r="K2729" s="44">
        <f t="shared" si="266"/>
        <v>4.794520547945206</v>
      </c>
      <c r="L2729" s="3">
        <f t="shared" si="267"/>
        <v>354.79452054794524</v>
      </c>
      <c r="M2729" s="3">
        <f t="shared" si="268"/>
        <v>21.287671232876715</v>
      </c>
      <c r="N2729" s="67">
        <f t="shared" si="269"/>
        <v>333.50684931506851</v>
      </c>
      <c r="O2729" s="3"/>
      <c r="P2729" s="70" t="s">
        <v>18637</v>
      </c>
      <c r="Q2729" s="2" t="s">
        <v>81</v>
      </c>
      <c r="R2729" s="2" t="s">
        <v>525</v>
      </c>
      <c r="T2729" t="s">
        <v>18666</v>
      </c>
      <c r="U2729" t="s">
        <v>18652</v>
      </c>
      <c r="V2729" s="104">
        <v>45857</v>
      </c>
      <c r="X2729" s="97"/>
      <c r="Y2729" s="75">
        <v>333.51</v>
      </c>
    </row>
    <row r="2730" spans="1:25" x14ac:dyDescent="0.25">
      <c r="A2730" s="76">
        <v>2762</v>
      </c>
      <c r="B2730" s="2" t="s">
        <v>1806</v>
      </c>
      <c r="C2730" s="2" t="s">
        <v>1807</v>
      </c>
      <c r="D2730" s="2" t="s">
        <v>1808</v>
      </c>
      <c r="E2730" s="2" t="s">
        <v>1809</v>
      </c>
      <c r="F2730" s="2" t="s">
        <v>1810</v>
      </c>
      <c r="G2730" s="2" t="s">
        <v>510</v>
      </c>
      <c r="H2730" s="17">
        <v>25</v>
      </c>
      <c r="I2730" s="31">
        <f t="shared" si="264"/>
        <v>25000</v>
      </c>
      <c r="J2730" s="31">
        <f t="shared" si="265"/>
        <v>1750.0000000000002</v>
      </c>
      <c r="K2730" s="44">
        <f t="shared" si="266"/>
        <v>4.794520547945206</v>
      </c>
      <c r="L2730" s="3">
        <f t="shared" si="267"/>
        <v>354.79452054794524</v>
      </c>
      <c r="M2730" s="3">
        <f t="shared" si="268"/>
        <v>21.287671232876715</v>
      </c>
      <c r="N2730" s="67">
        <f t="shared" si="269"/>
        <v>333.50684931506851</v>
      </c>
      <c r="O2730" s="3"/>
      <c r="P2730" s="70" t="s">
        <v>18637</v>
      </c>
      <c r="Q2730" s="2" t="s">
        <v>81</v>
      </c>
      <c r="R2730" s="2" t="s">
        <v>1811</v>
      </c>
      <c r="T2730" t="s">
        <v>18666</v>
      </c>
      <c r="U2730" t="s">
        <v>18652</v>
      </c>
      <c r="V2730" s="104">
        <v>45857</v>
      </c>
      <c r="X2730" s="97"/>
      <c r="Y2730" s="75">
        <v>333.51</v>
      </c>
    </row>
    <row r="2731" spans="1:25" x14ac:dyDescent="0.25">
      <c r="A2731" s="76">
        <v>2763</v>
      </c>
      <c r="B2731" s="2" t="s">
        <v>11848</v>
      </c>
      <c r="C2731" s="2" t="s">
        <v>11821</v>
      </c>
      <c r="D2731" s="2" t="s">
        <v>11822</v>
      </c>
      <c r="E2731" s="2" t="s">
        <v>11849</v>
      </c>
      <c r="F2731" s="2" t="s">
        <v>11850</v>
      </c>
      <c r="G2731" s="2" t="s">
        <v>31</v>
      </c>
      <c r="H2731" s="17">
        <v>150</v>
      </c>
      <c r="I2731" s="31">
        <f t="shared" si="264"/>
        <v>150000</v>
      </c>
      <c r="J2731" s="31">
        <f t="shared" si="265"/>
        <v>10500.000000000002</v>
      </c>
      <c r="K2731" s="44">
        <f t="shared" si="266"/>
        <v>28.767123287671239</v>
      </c>
      <c r="L2731" s="3">
        <f t="shared" si="267"/>
        <v>2128.7671232876719</v>
      </c>
      <c r="M2731" s="3">
        <f t="shared" si="268"/>
        <v>127.72602739726031</v>
      </c>
      <c r="N2731" s="67">
        <f t="shared" si="269"/>
        <v>2001.0410958904115</v>
      </c>
      <c r="O2731" s="3"/>
      <c r="P2731" s="70" t="s">
        <v>18637</v>
      </c>
      <c r="Q2731" s="2" t="s">
        <v>81</v>
      </c>
      <c r="R2731" s="2" t="s">
        <v>11851</v>
      </c>
      <c r="T2731" t="s">
        <v>18666</v>
      </c>
      <c r="U2731" t="s">
        <v>18652</v>
      </c>
      <c r="V2731" s="104">
        <v>45857</v>
      </c>
      <c r="X2731" s="97"/>
      <c r="Y2731" s="75">
        <v>2001.05</v>
      </c>
    </row>
    <row r="2732" spans="1:25" x14ac:dyDescent="0.25">
      <c r="A2732" s="76">
        <v>2764</v>
      </c>
      <c r="B2732" s="2" t="s">
        <v>6776</v>
      </c>
      <c r="C2732" s="2" t="s">
        <v>6777</v>
      </c>
      <c r="D2732" s="2" t="s">
        <v>6778</v>
      </c>
      <c r="E2732" s="2" t="s">
        <v>6779</v>
      </c>
      <c r="F2732" s="2" t="s">
        <v>6780</v>
      </c>
      <c r="G2732" s="2" t="s">
        <v>1104</v>
      </c>
      <c r="H2732" s="17">
        <v>25</v>
      </c>
      <c r="I2732" s="31">
        <f t="shared" si="264"/>
        <v>25000</v>
      </c>
      <c r="J2732" s="31">
        <f t="shared" si="265"/>
        <v>1750.0000000000002</v>
      </c>
      <c r="K2732" s="44">
        <f t="shared" si="266"/>
        <v>4.794520547945206</v>
      </c>
      <c r="L2732" s="3">
        <f t="shared" si="267"/>
        <v>354.79452054794524</v>
      </c>
      <c r="M2732" s="3">
        <f t="shared" si="268"/>
        <v>21.287671232876715</v>
      </c>
      <c r="N2732" s="67">
        <f t="shared" si="269"/>
        <v>333.50684931506851</v>
      </c>
      <c r="O2732" s="3"/>
      <c r="P2732" s="70" t="s">
        <v>18637</v>
      </c>
      <c r="Q2732" s="2" t="s">
        <v>81</v>
      </c>
      <c r="R2732" s="2" t="s">
        <v>6781</v>
      </c>
      <c r="T2732" t="s">
        <v>18666</v>
      </c>
      <c r="U2732" t="s">
        <v>18652</v>
      </c>
      <c r="V2732" s="104">
        <v>45857</v>
      </c>
      <c r="X2732" s="97"/>
      <c r="Y2732" s="75">
        <v>333.51</v>
      </c>
    </row>
    <row r="2733" spans="1:25" x14ac:dyDescent="0.25">
      <c r="A2733" s="76">
        <v>2765</v>
      </c>
      <c r="B2733" s="2" t="s">
        <v>11529</v>
      </c>
      <c r="C2733" s="2" t="s">
        <v>11530</v>
      </c>
      <c r="D2733" s="2" t="s">
        <v>11531</v>
      </c>
      <c r="E2733" s="2" t="s">
        <v>11532</v>
      </c>
      <c r="F2733" s="2" t="s">
        <v>11533</v>
      </c>
      <c r="G2733" s="2" t="s">
        <v>412</v>
      </c>
      <c r="H2733" s="17">
        <v>100</v>
      </c>
      <c r="I2733" s="31">
        <f t="shared" si="264"/>
        <v>100000</v>
      </c>
      <c r="J2733" s="31">
        <f t="shared" si="265"/>
        <v>7000.0000000000009</v>
      </c>
      <c r="K2733" s="44">
        <f t="shared" si="266"/>
        <v>19.178082191780824</v>
      </c>
      <c r="L2733" s="3">
        <f t="shared" si="267"/>
        <v>1419.178082191781</v>
      </c>
      <c r="M2733" s="3">
        <f t="shared" si="268"/>
        <v>85.150684931506859</v>
      </c>
      <c r="N2733" s="67">
        <f t="shared" si="269"/>
        <v>1334.027397260274</v>
      </c>
      <c r="O2733" s="3"/>
      <c r="P2733" s="70" t="s">
        <v>18637</v>
      </c>
      <c r="Q2733" s="2" t="s">
        <v>81</v>
      </c>
      <c r="R2733" s="2" t="s">
        <v>11534</v>
      </c>
      <c r="T2733" t="s">
        <v>18666</v>
      </c>
      <c r="U2733" t="s">
        <v>18652</v>
      </c>
      <c r="V2733" s="104">
        <v>45857</v>
      </c>
      <c r="X2733" s="97"/>
      <c r="Y2733" s="75">
        <v>1334.03</v>
      </c>
    </row>
    <row r="2734" spans="1:25" x14ac:dyDescent="0.25">
      <c r="A2734" s="76">
        <v>2766</v>
      </c>
      <c r="B2734" s="2" t="s">
        <v>13599</v>
      </c>
      <c r="C2734" s="2" t="s">
        <v>13600</v>
      </c>
      <c r="D2734" s="2" t="s">
        <v>13601</v>
      </c>
      <c r="E2734" s="2" t="s">
        <v>13602</v>
      </c>
      <c r="F2734" s="2" t="s">
        <v>13603</v>
      </c>
      <c r="G2734" s="2" t="s">
        <v>31</v>
      </c>
      <c r="H2734" s="17">
        <v>25</v>
      </c>
      <c r="I2734" s="31">
        <f t="shared" si="264"/>
        <v>25000</v>
      </c>
      <c r="J2734" s="31">
        <f t="shared" si="265"/>
        <v>1750.0000000000002</v>
      </c>
      <c r="K2734" s="44">
        <f t="shared" si="266"/>
        <v>4.794520547945206</v>
      </c>
      <c r="L2734" s="3">
        <f t="shared" si="267"/>
        <v>354.79452054794524</v>
      </c>
      <c r="M2734" s="3">
        <f t="shared" si="268"/>
        <v>21.287671232876715</v>
      </c>
      <c r="N2734" s="67">
        <f t="shared" si="269"/>
        <v>333.50684931506851</v>
      </c>
      <c r="O2734" s="3"/>
      <c r="P2734" s="70" t="s">
        <v>18637</v>
      </c>
      <c r="Q2734" s="2" t="s">
        <v>81</v>
      </c>
      <c r="R2734" s="2" t="s">
        <v>13604</v>
      </c>
      <c r="T2734" t="s">
        <v>18666</v>
      </c>
      <c r="U2734" t="s">
        <v>18652</v>
      </c>
      <c r="V2734" s="104">
        <v>45857</v>
      </c>
      <c r="X2734" s="97"/>
      <c r="Y2734" s="75">
        <v>333.51</v>
      </c>
    </row>
    <row r="2735" spans="1:25" x14ac:dyDescent="0.25">
      <c r="A2735" s="76">
        <v>2767</v>
      </c>
      <c r="B2735" s="2" t="s">
        <v>9328</v>
      </c>
      <c r="C2735" s="2" t="s">
        <v>9329</v>
      </c>
      <c r="D2735" s="2" t="s">
        <v>9330</v>
      </c>
      <c r="E2735" s="2" t="s">
        <v>9331</v>
      </c>
      <c r="F2735" s="2" t="s">
        <v>9332</v>
      </c>
      <c r="G2735" s="2" t="s">
        <v>193</v>
      </c>
      <c r="H2735" s="17">
        <v>25</v>
      </c>
      <c r="I2735" s="31">
        <f t="shared" si="264"/>
        <v>25000</v>
      </c>
      <c r="J2735" s="31">
        <f t="shared" si="265"/>
        <v>1750.0000000000002</v>
      </c>
      <c r="K2735" s="44">
        <f t="shared" si="266"/>
        <v>4.794520547945206</v>
      </c>
      <c r="L2735" s="3">
        <f t="shared" si="267"/>
        <v>354.79452054794524</v>
      </c>
      <c r="M2735" s="3">
        <f t="shared" si="268"/>
        <v>21.287671232876715</v>
      </c>
      <c r="N2735" s="67">
        <f t="shared" si="269"/>
        <v>333.50684931506851</v>
      </c>
      <c r="O2735" s="3"/>
      <c r="P2735" s="70" t="s">
        <v>18637</v>
      </c>
      <c r="Q2735" s="2" t="s">
        <v>81</v>
      </c>
      <c r="R2735" s="2" t="s">
        <v>9333</v>
      </c>
      <c r="T2735" t="s">
        <v>18666</v>
      </c>
      <c r="U2735" t="s">
        <v>18652</v>
      </c>
      <c r="V2735" s="104">
        <v>45857</v>
      </c>
      <c r="X2735" s="97"/>
      <c r="Y2735" s="75">
        <v>333.51</v>
      </c>
    </row>
    <row r="2736" spans="1:25" x14ac:dyDescent="0.25">
      <c r="A2736" s="76">
        <v>2768</v>
      </c>
      <c r="B2736" s="2" t="s">
        <v>3301</v>
      </c>
      <c r="C2736" s="2" t="s">
        <v>3302</v>
      </c>
      <c r="D2736" s="2" t="s">
        <v>3303</v>
      </c>
      <c r="E2736" s="2" t="s">
        <v>3304</v>
      </c>
      <c r="F2736" s="2" t="s">
        <v>3305</v>
      </c>
      <c r="G2736" s="2" t="s">
        <v>144</v>
      </c>
      <c r="H2736" s="17">
        <v>25</v>
      </c>
      <c r="I2736" s="31">
        <f t="shared" si="264"/>
        <v>25000</v>
      </c>
      <c r="J2736" s="31">
        <f t="shared" si="265"/>
        <v>1750.0000000000002</v>
      </c>
      <c r="K2736" s="44">
        <f t="shared" si="266"/>
        <v>4.794520547945206</v>
      </c>
      <c r="L2736" s="3">
        <f t="shared" si="267"/>
        <v>354.79452054794524</v>
      </c>
      <c r="M2736" s="3">
        <f t="shared" si="268"/>
        <v>21.287671232876715</v>
      </c>
      <c r="N2736" s="67">
        <f t="shared" si="269"/>
        <v>333.50684931506851</v>
      </c>
      <c r="O2736" s="3"/>
      <c r="P2736" s="70" t="s">
        <v>18637</v>
      </c>
      <c r="Q2736" s="2" t="s">
        <v>81</v>
      </c>
      <c r="R2736" s="2" t="s">
        <v>3306</v>
      </c>
      <c r="T2736" t="s">
        <v>18666</v>
      </c>
      <c r="U2736" t="s">
        <v>18652</v>
      </c>
      <c r="V2736" s="104">
        <v>45857</v>
      </c>
      <c r="X2736" s="97"/>
      <c r="Y2736" s="75">
        <v>333.51</v>
      </c>
    </row>
    <row r="2737" spans="1:25" x14ac:dyDescent="0.25">
      <c r="A2737" s="76">
        <v>2769</v>
      </c>
      <c r="B2737" s="2" t="s">
        <v>5527</v>
      </c>
      <c r="C2737" s="2" t="s">
        <v>5528</v>
      </c>
      <c r="D2737" s="2" t="s">
        <v>5529</v>
      </c>
      <c r="E2737" s="2" t="s">
        <v>5530</v>
      </c>
      <c r="F2737" s="2" t="s">
        <v>5531</v>
      </c>
      <c r="G2737" s="2" t="s">
        <v>151</v>
      </c>
      <c r="H2737" s="17">
        <v>25</v>
      </c>
      <c r="I2737" s="31">
        <f t="shared" si="264"/>
        <v>25000</v>
      </c>
      <c r="J2737" s="31">
        <f t="shared" si="265"/>
        <v>1750.0000000000002</v>
      </c>
      <c r="K2737" s="44">
        <f t="shared" si="266"/>
        <v>4.794520547945206</v>
      </c>
      <c r="L2737" s="3">
        <f t="shared" si="267"/>
        <v>354.79452054794524</v>
      </c>
      <c r="M2737" s="3">
        <f t="shared" si="268"/>
        <v>21.287671232876715</v>
      </c>
      <c r="N2737" s="67">
        <f t="shared" si="269"/>
        <v>333.50684931506851</v>
      </c>
      <c r="O2737" s="3"/>
      <c r="P2737" s="70" t="s">
        <v>18637</v>
      </c>
      <c r="Q2737" s="2" t="s">
        <v>81</v>
      </c>
      <c r="R2737" s="2" t="s">
        <v>5532</v>
      </c>
      <c r="T2737" t="s">
        <v>18666</v>
      </c>
      <c r="U2737" t="s">
        <v>18652</v>
      </c>
      <c r="V2737" s="104">
        <v>45857</v>
      </c>
      <c r="X2737" s="97"/>
      <c r="Y2737" s="75">
        <v>333.51</v>
      </c>
    </row>
    <row r="2738" spans="1:25" x14ac:dyDescent="0.25">
      <c r="A2738" s="76">
        <v>2770</v>
      </c>
      <c r="B2738" s="2" t="s">
        <v>9276</v>
      </c>
      <c r="C2738" s="2" t="s">
        <v>9277</v>
      </c>
      <c r="D2738" s="2" t="s">
        <v>9278</v>
      </c>
      <c r="E2738" s="2" t="s">
        <v>9279</v>
      </c>
      <c r="F2738" s="2" t="s">
        <v>9280</v>
      </c>
      <c r="G2738" s="2" t="s">
        <v>151</v>
      </c>
      <c r="H2738" s="17">
        <v>25</v>
      </c>
      <c r="I2738" s="31">
        <f t="shared" si="264"/>
        <v>25000</v>
      </c>
      <c r="J2738" s="31">
        <f t="shared" si="265"/>
        <v>1750.0000000000002</v>
      </c>
      <c r="K2738" s="44">
        <f t="shared" si="266"/>
        <v>4.794520547945206</v>
      </c>
      <c r="L2738" s="3">
        <f t="shared" si="267"/>
        <v>354.79452054794524</v>
      </c>
      <c r="M2738" s="3">
        <f t="shared" si="268"/>
        <v>21.287671232876715</v>
      </c>
      <c r="N2738" s="67">
        <f t="shared" si="269"/>
        <v>333.50684931506851</v>
      </c>
      <c r="O2738" s="3"/>
      <c r="P2738" s="70" t="s">
        <v>18637</v>
      </c>
      <c r="Q2738" s="2" t="s">
        <v>81</v>
      </c>
      <c r="R2738" s="2" t="s">
        <v>9281</v>
      </c>
      <c r="T2738" t="s">
        <v>18666</v>
      </c>
      <c r="U2738" t="s">
        <v>18652</v>
      </c>
      <c r="V2738" s="104">
        <v>45857</v>
      </c>
      <c r="X2738" s="97"/>
      <c r="Y2738" s="75">
        <v>333.51</v>
      </c>
    </row>
    <row r="2739" spans="1:25" x14ac:dyDescent="0.25">
      <c r="A2739" s="76">
        <v>2771</v>
      </c>
      <c r="B2739" s="2" t="s">
        <v>9885</v>
      </c>
      <c r="C2739" s="2" t="s">
        <v>9886</v>
      </c>
      <c r="D2739" s="2" t="s">
        <v>9887</v>
      </c>
      <c r="E2739" s="2" t="s">
        <v>9888</v>
      </c>
      <c r="F2739" s="2" t="s">
        <v>9889</v>
      </c>
      <c r="G2739" s="2" t="s">
        <v>282</v>
      </c>
      <c r="H2739" s="17">
        <v>100</v>
      </c>
      <c r="I2739" s="31">
        <f t="shared" si="264"/>
        <v>100000</v>
      </c>
      <c r="J2739" s="31">
        <f t="shared" si="265"/>
        <v>7000.0000000000009</v>
      </c>
      <c r="K2739" s="44">
        <f t="shared" si="266"/>
        <v>19.178082191780824</v>
      </c>
      <c r="L2739" s="3">
        <f t="shared" si="267"/>
        <v>1419.178082191781</v>
      </c>
      <c r="M2739" s="3">
        <f t="shared" si="268"/>
        <v>85.150684931506859</v>
      </c>
      <c r="N2739" s="67">
        <f t="shared" si="269"/>
        <v>1334.027397260274</v>
      </c>
      <c r="O2739" s="3"/>
      <c r="P2739" s="70" t="s">
        <v>18637</v>
      </c>
      <c r="Q2739" s="2" t="s">
        <v>81</v>
      </c>
      <c r="R2739" s="2" t="s">
        <v>9890</v>
      </c>
      <c r="T2739" t="s">
        <v>18666</v>
      </c>
      <c r="U2739" t="s">
        <v>18652</v>
      </c>
      <c r="V2739" s="104">
        <v>45857</v>
      </c>
      <c r="X2739" s="97"/>
      <c r="Y2739" s="75">
        <v>1334.03</v>
      </c>
    </row>
    <row r="2740" spans="1:25" x14ac:dyDescent="0.25">
      <c r="A2740" s="76">
        <v>2772</v>
      </c>
      <c r="B2740" s="2" t="s">
        <v>2261</v>
      </c>
      <c r="C2740" s="2" t="s">
        <v>2262</v>
      </c>
      <c r="D2740" s="2" t="s">
        <v>2263</v>
      </c>
      <c r="E2740" s="2" t="s">
        <v>2264</v>
      </c>
      <c r="F2740" s="2" t="s">
        <v>2265</v>
      </c>
      <c r="G2740" s="2" t="s">
        <v>1570</v>
      </c>
      <c r="H2740" s="17">
        <v>25</v>
      </c>
      <c r="I2740" s="31">
        <f t="shared" si="264"/>
        <v>25000</v>
      </c>
      <c r="J2740" s="31">
        <f t="shared" si="265"/>
        <v>1750.0000000000002</v>
      </c>
      <c r="K2740" s="44">
        <f t="shared" si="266"/>
        <v>4.794520547945206</v>
      </c>
      <c r="L2740" s="3">
        <f t="shared" si="267"/>
        <v>354.79452054794524</v>
      </c>
      <c r="M2740" s="3">
        <f t="shared" si="268"/>
        <v>21.287671232876715</v>
      </c>
      <c r="N2740" s="67">
        <f t="shared" si="269"/>
        <v>333.50684931506851</v>
      </c>
      <c r="O2740" s="3"/>
      <c r="P2740" s="70" t="s">
        <v>18637</v>
      </c>
      <c r="Q2740" s="2" t="s">
        <v>81</v>
      </c>
      <c r="R2740" s="2" t="s">
        <v>2266</v>
      </c>
      <c r="T2740" t="s">
        <v>18666</v>
      </c>
      <c r="U2740" t="s">
        <v>18652</v>
      </c>
      <c r="V2740" s="104">
        <v>45857</v>
      </c>
      <c r="X2740" s="97"/>
      <c r="Y2740" s="75">
        <v>333.51</v>
      </c>
    </row>
    <row r="2741" spans="1:25" x14ac:dyDescent="0.25">
      <c r="A2741" s="76">
        <v>2773</v>
      </c>
      <c r="B2741" s="2" t="s">
        <v>16570</v>
      </c>
      <c r="C2741" s="2" t="s">
        <v>16571</v>
      </c>
      <c r="D2741" s="2" t="s">
        <v>16572</v>
      </c>
      <c r="E2741" s="2" t="s">
        <v>16573</v>
      </c>
      <c r="F2741" s="2" t="s">
        <v>16574</v>
      </c>
      <c r="G2741" s="2" t="s">
        <v>643</v>
      </c>
      <c r="H2741" s="17">
        <v>30</v>
      </c>
      <c r="I2741" s="31">
        <f t="shared" si="264"/>
        <v>30000</v>
      </c>
      <c r="J2741" s="31">
        <f t="shared" si="265"/>
        <v>2100</v>
      </c>
      <c r="K2741" s="44">
        <f t="shared" si="266"/>
        <v>5.7534246575342465</v>
      </c>
      <c r="L2741" s="3">
        <f t="shared" si="267"/>
        <v>425.75342465753425</v>
      </c>
      <c r="M2741" s="3">
        <f t="shared" si="268"/>
        <v>25.545205479452054</v>
      </c>
      <c r="N2741" s="67">
        <f t="shared" si="269"/>
        <v>400.20821917808217</v>
      </c>
      <c r="O2741" s="3"/>
      <c r="P2741" s="70" t="s">
        <v>18637</v>
      </c>
      <c r="Q2741" s="2" t="s">
        <v>81</v>
      </c>
      <c r="R2741" s="2" t="s">
        <v>16575</v>
      </c>
      <c r="T2741" t="s">
        <v>18666</v>
      </c>
      <c r="U2741" t="s">
        <v>18652</v>
      </c>
      <c r="V2741" s="104">
        <v>45857</v>
      </c>
      <c r="X2741" s="97"/>
      <c r="Y2741" s="75">
        <v>400.21</v>
      </c>
    </row>
    <row r="2742" spans="1:25" x14ac:dyDescent="0.25">
      <c r="A2742" s="76">
        <v>2774</v>
      </c>
      <c r="B2742" s="2" t="s">
        <v>4133</v>
      </c>
      <c r="C2742" s="2" t="s">
        <v>4134</v>
      </c>
      <c r="D2742" s="2" t="s">
        <v>4135</v>
      </c>
      <c r="E2742" s="2" t="s">
        <v>4136</v>
      </c>
      <c r="F2742" s="2" t="s">
        <v>4137</v>
      </c>
      <c r="G2742" s="2" t="s">
        <v>275</v>
      </c>
      <c r="H2742" s="17">
        <v>50</v>
      </c>
      <c r="I2742" s="31">
        <f t="shared" si="264"/>
        <v>50000</v>
      </c>
      <c r="J2742" s="31">
        <f t="shared" si="265"/>
        <v>3500.0000000000005</v>
      </c>
      <c r="K2742" s="44">
        <f t="shared" si="266"/>
        <v>9.589041095890412</v>
      </c>
      <c r="L2742" s="3">
        <f t="shared" si="267"/>
        <v>709.58904109589048</v>
      </c>
      <c r="M2742" s="3">
        <f t="shared" si="268"/>
        <v>42.57534246575343</v>
      </c>
      <c r="N2742" s="67">
        <f t="shared" si="269"/>
        <v>667.01369863013701</v>
      </c>
      <c r="O2742" s="3"/>
      <c r="P2742" s="70" t="s">
        <v>18637</v>
      </c>
      <c r="Q2742" s="2" t="s">
        <v>81</v>
      </c>
      <c r="R2742" s="2" t="s">
        <v>4138</v>
      </c>
      <c r="T2742" t="s">
        <v>18666</v>
      </c>
      <c r="U2742" t="s">
        <v>18652</v>
      </c>
      <c r="V2742" s="104">
        <v>45857</v>
      </c>
      <c r="X2742" s="97"/>
      <c r="Y2742" s="75">
        <v>667.02</v>
      </c>
    </row>
    <row r="2743" spans="1:25" x14ac:dyDescent="0.25">
      <c r="A2743" s="76">
        <v>2775</v>
      </c>
      <c r="B2743" s="2" t="s">
        <v>9446</v>
      </c>
      <c r="C2743" s="2" t="s">
        <v>9447</v>
      </c>
      <c r="D2743" s="2" t="s">
        <v>9448</v>
      </c>
      <c r="E2743" s="2" t="s">
        <v>9449</v>
      </c>
      <c r="F2743" s="2" t="s">
        <v>411</v>
      </c>
      <c r="G2743" s="2" t="s">
        <v>31</v>
      </c>
      <c r="H2743" s="17">
        <v>25</v>
      </c>
      <c r="I2743" s="31">
        <f t="shared" si="264"/>
        <v>25000</v>
      </c>
      <c r="J2743" s="31">
        <f t="shared" si="265"/>
        <v>1750.0000000000002</v>
      </c>
      <c r="K2743" s="44">
        <f t="shared" si="266"/>
        <v>4.794520547945206</v>
      </c>
      <c r="L2743" s="3">
        <f t="shared" si="267"/>
        <v>354.79452054794524</v>
      </c>
      <c r="M2743" s="3">
        <f t="shared" si="268"/>
        <v>21.287671232876715</v>
      </c>
      <c r="N2743" s="67">
        <f t="shared" si="269"/>
        <v>333.50684931506851</v>
      </c>
      <c r="O2743" s="3"/>
      <c r="P2743" s="70" t="s">
        <v>18637</v>
      </c>
      <c r="Q2743" s="2" t="s">
        <v>81</v>
      </c>
      <c r="R2743" s="2" t="s">
        <v>9450</v>
      </c>
      <c r="T2743" t="s">
        <v>18666</v>
      </c>
      <c r="U2743" t="s">
        <v>18652</v>
      </c>
      <c r="V2743" s="104">
        <v>45857</v>
      </c>
      <c r="X2743" s="97"/>
      <c r="Y2743" s="75">
        <v>333.51</v>
      </c>
    </row>
    <row r="2744" spans="1:25" x14ac:dyDescent="0.25">
      <c r="A2744" s="76">
        <v>2776</v>
      </c>
      <c r="B2744" s="2" t="s">
        <v>17143</v>
      </c>
      <c r="C2744" s="2" t="s">
        <v>17133</v>
      </c>
      <c r="D2744" s="2" t="s">
        <v>17144</v>
      </c>
      <c r="E2744" s="2" t="s">
        <v>17145</v>
      </c>
      <c r="F2744" s="2" t="s">
        <v>17146</v>
      </c>
      <c r="G2744" s="2" t="s">
        <v>750</v>
      </c>
      <c r="H2744" s="17">
        <v>25</v>
      </c>
      <c r="I2744" s="31">
        <f t="shared" si="264"/>
        <v>25000</v>
      </c>
      <c r="J2744" s="31">
        <f t="shared" si="265"/>
        <v>1750.0000000000002</v>
      </c>
      <c r="K2744" s="44">
        <f t="shared" si="266"/>
        <v>4.794520547945206</v>
      </c>
      <c r="L2744" s="3">
        <f t="shared" si="267"/>
        <v>354.79452054794524</v>
      </c>
      <c r="M2744" s="3">
        <f t="shared" si="268"/>
        <v>21.287671232876715</v>
      </c>
      <c r="N2744" s="67">
        <f t="shared" si="269"/>
        <v>333.50684931506851</v>
      </c>
      <c r="O2744" s="3"/>
      <c r="P2744" s="70" t="s">
        <v>18637</v>
      </c>
      <c r="Q2744" s="2" t="s">
        <v>81</v>
      </c>
      <c r="R2744" s="2" t="s">
        <v>17147</v>
      </c>
      <c r="T2744" t="s">
        <v>18666</v>
      </c>
      <c r="U2744" t="s">
        <v>18652</v>
      </c>
      <c r="V2744" s="104">
        <v>45857</v>
      </c>
      <c r="X2744" s="97"/>
      <c r="Y2744" s="75">
        <v>333.51</v>
      </c>
    </row>
    <row r="2745" spans="1:25" x14ac:dyDescent="0.25">
      <c r="A2745" s="76">
        <v>2777</v>
      </c>
      <c r="B2745" s="2" t="s">
        <v>16688</v>
      </c>
      <c r="C2745" s="2" t="s">
        <v>16689</v>
      </c>
      <c r="D2745" s="2" t="s">
        <v>16690</v>
      </c>
      <c r="E2745" s="2" t="s">
        <v>16691</v>
      </c>
      <c r="F2745" s="2" t="s">
        <v>16692</v>
      </c>
      <c r="G2745" s="2" t="s">
        <v>23</v>
      </c>
      <c r="H2745" s="17">
        <v>25</v>
      </c>
      <c r="I2745" s="31">
        <f t="shared" si="264"/>
        <v>25000</v>
      </c>
      <c r="J2745" s="31">
        <f t="shared" si="265"/>
        <v>1750.0000000000002</v>
      </c>
      <c r="K2745" s="44">
        <f t="shared" si="266"/>
        <v>4.794520547945206</v>
      </c>
      <c r="L2745" s="3">
        <f t="shared" si="267"/>
        <v>354.79452054794524</v>
      </c>
      <c r="M2745" s="3">
        <f t="shared" si="268"/>
        <v>21.287671232876715</v>
      </c>
      <c r="N2745" s="67">
        <f t="shared" si="269"/>
        <v>333.50684931506851</v>
      </c>
      <c r="O2745" s="3"/>
      <c r="P2745" s="70" t="s">
        <v>18637</v>
      </c>
      <c r="Q2745" s="2" t="s">
        <v>81</v>
      </c>
      <c r="R2745" s="2" t="s">
        <v>16693</v>
      </c>
      <c r="T2745" t="s">
        <v>18666</v>
      </c>
      <c r="U2745" t="s">
        <v>18652</v>
      </c>
      <c r="V2745" s="104">
        <v>45857</v>
      </c>
      <c r="X2745" s="97"/>
      <c r="Y2745" s="75">
        <v>333.51</v>
      </c>
    </row>
    <row r="2746" spans="1:25" x14ac:dyDescent="0.25">
      <c r="A2746" s="76">
        <v>2778</v>
      </c>
      <c r="B2746" s="2" t="s">
        <v>14571</v>
      </c>
      <c r="C2746" s="2" t="s">
        <v>14572</v>
      </c>
      <c r="D2746" s="2" t="s">
        <v>14573</v>
      </c>
      <c r="E2746" s="2" t="s">
        <v>14574</v>
      </c>
      <c r="F2746" s="2" t="s">
        <v>14575</v>
      </c>
      <c r="G2746" s="2" t="s">
        <v>31</v>
      </c>
      <c r="H2746" s="17">
        <v>25</v>
      </c>
      <c r="I2746" s="31">
        <f t="shared" si="264"/>
        <v>25000</v>
      </c>
      <c r="J2746" s="31">
        <f t="shared" si="265"/>
        <v>1750.0000000000002</v>
      </c>
      <c r="K2746" s="44">
        <f t="shared" si="266"/>
        <v>4.794520547945206</v>
      </c>
      <c r="L2746" s="3">
        <f t="shared" si="267"/>
        <v>354.79452054794524</v>
      </c>
      <c r="M2746" s="3">
        <f t="shared" si="268"/>
        <v>21.287671232876715</v>
      </c>
      <c r="N2746" s="67">
        <f t="shared" si="269"/>
        <v>333.50684931506851</v>
      </c>
      <c r="O2746" s="3"/>
      <c r="P2746" s="70" t="s">
        <v>18637</v>
      </c>
      <c r="Q2746" s="2" t="s">
        <v>81</v>
      </c>
      <c r="R2746" s="2" t="s">
        <v>14576</v>
      </c>
      <c r="T2746" t="s">
        <v>18666</v>
      </c>
      <c r="U2746" t="s">
        <v>18652</v>
      </c>
      <c r="V2746" s="104">
        <v>45857</v>
      </c>
      <c r="X2746" s="97"/>
      <c r="Y2746" s="75">
        <v>333.51</v>
      </c>
    </row>
    <row r="2747" spans="1:25" x14ac:dyDescent="0.25">
      <c r="A2747" s="76">
        <v>2779</v>
      </c>
      <c r="B2747" s="2" t="s">
        <v>18401</v>
      </c>
      <c r="C2747" s="2" t="s">
        <v>15963</v>
      </c>
      <c r="D2747" s="2" t="s">
        <v>18402</v>
      </c>
      <c r="E2747" s="2" t="s">
        <v>18403</v>
      </c>
      <c r="F2747" s="2" t="s">
        <v>18404</v>
      </c>
      <c r="G2747" s="2" t="s">
        <v>144</v>
      </c>
      <c r="H2747" s="17">
        <v>25</v>
      </c>
      <c r="I2747" s="31">
        <f t="shared" si="264"/>
        <v>25000</v>
      </c>
      <c r="J2747" s="31">
        <f t="shared" si="265"/>
        <v>1750.0000000000002</v>
      </c>
      <c r="K2747" s="44">
        <f t="shared" si="266"/>
        <v>4.794520547945206</v>
      </c>
      <c r="L2747" s="3">
        <f t="shared" si="267"/>
        <v>354.79452054794524</v>
      </c>
      <c r="M2747" s="3">
        <f t="shared" si="268"/>
        <v>21.287671232876715</v>
      </c>
      <c r="N2747" s="67">
        <f t="shared" si="269"/>
        <v>333.50684931506851</v>
      </c>
      <c r="O2747" s="3"/>
      <c r="P2747" s="70" t="s">
        <v>18637</v>
      </c>
      <c r="Q2747" s="2" t="s">
        <v>81</v>
      </c>
      <c r="R2747" s="2" t="s">
        <v>18405</v>
      </c>
      <c r="T2747" t="s">
        <v>18666</v>
      </c>
      <c r="U2747" t="s">
        <v>18652</v>
      </c>
      <c r="V2747" s="104">
        <v>45857</v>
      </c>
      <c r="X2747" s="97"/>
      <c r="Y2747" s="75">
        <v>333.51</v>
      </c>
    </row>
    <row r="2748" spans="1:25" x14ac:dyDescent="0.25">
      <c r="A2748" s="76">
        <v>2780</v>
      </c>
      <c r="B2748" s="2" t="s">
        <v>1150</v>
      </c>
      <c r="C2748" s="2" t="s">
        <v>1151</v>
      </c>
      <c r="D2748" s="2" t="s">
        <v>1120</v>
      </c>
      <c r="E2748" s="2" t="s">
        <v>1121</v>
      </c>
      <c r="F2748" s="2" t="s">
        <v>1152</v>
      </c>
      <c r="G2748" s="2" t="s">
        <v>31</v>
      </c>
      <c r="H2748" s="17">
        <v>30</v>
      </c>
      <c r="I2748" s="31">
        <f t="shared" si="264"/>
        <v>30000</v>
      </c>
      <c r="J2748" s="31">
        <f t="shared" si="265"/>
        <v>2100</v>
      </c>
      <c r="K2748" s="44">
        <f t="shared" si="266"/>
        <v>5.7534246575342465</v>
      </c>
      <c r="L2748" s="3">
        <f t="shared" si="267"/>
        <v>425.75342465753425</v>
      </c>
      <c r="M2748" s="3">
        <f t="shared" si="268"/>
        <v>25.545205479452054</v>
      </c>
      <c r="N2748" s="67">
        <f t="shared" si="269"/>
        <v>400.20821917808217</v>
      </c>
      <c r="O2748" s="3"/>
      <c r="P2748" s="70" t="s">
        <v>18637</v>
      </c>
      <c r="Q2748" s="2" t="s">
        <v>81</v>
      </c>
      <c r="R2748" s="2" t="s">
        <v>1153</v>
      </c>
      <c r="T2748" t="s">
        <v>18666</v>
      </c>
      <c r="U2748" t="s">
        <v>18652</v>
      </c>
      <c r="V2748" s="104">
        <v>45857</v>
      </c>
      <c r="X2748" s="97"/>
      <c r="Y2748" s="75">
        <v>400.21</v>
      </c>
    </row>
    <row r="2749" spans="1:25" x14ac:dyDescent="0.25">
      <c r="A2749" s="76">
        <v>2781</v>
      </c>
      <c r="B2749" s="2" t="s">
        <v>15600</v>
      </c>
      <c r="C2749" s="2" t="s">
        <v>15601</v>
      </c>
      <c r="D2749" s="2" t="s">
        <v>15602</v>
      </c>
      <c r="E2749" s="2" t="s">
        <v>15603</v>
      </c>
      <c r="F2749" s="2" t="s">
        <v>15604</v>
      </c>
      <c r="G2749" s="2" t="s">
        <v>31</v>
      </c>
      <c r="H2749" s="17">
        <v>30</v>
      </c>
      <c r="I2749" s="31">
        <f t="shared" si="264"/>
        <v>30000</v>
      </c>
      <c r="J2749" s="31">
        <f t="shared" si="265"/>
        <v>2100</v>
      </c>
      <c r="K2749" s="44">
        <f t="shared" si="266"/>
        <v>5.7534246575342465</v>
      </c>
      <c r="L2749" s="3">
        <f t="shared" si="267"/>
        <v>425.75342465753425</v>
      </c>
      <c r="M2749" s="3">
        <f t="shared" si="268"/>
        <v>25.545205479452054</v>
      </c>
      <c r="N2749" s="67">
        <f t="shared" si="269"/>
        <v>400.20821917808217</v>
      </c>
      <c r="O2749" s="3"/>
      <c r="P2749" s="70" t="s">
        <v>18637</v>
      </c>
      <c r="Q2749" s="2" t="s">
        <v>81</v>
      </c>
      <c r="R2749" s="2" t="s">
        <v>15605</v>
      </c>
      <c r="T2749" t="s">
        <v>18666</v>
      </c>
      <c r="U2749" t="s">
        <v>18652</v>
      </c>
      <c r="V2749" s="104">
        <v>45857</v>
      </c>
      <c r="X2749" s="97"/>
      <c r="Y2749" s="75">
        <v>400.21</v>
      </c>
    </row>
    <row r="2750" spans="1:25" x14ac:dyDescent="0.25">
      <c r="A2750" s="76">
        <v>2782</v>
      </c>
      <c r="B2750" s="2" t="s">
        <v>14643</v>
      </c>
      <c r="C2750" s="2" t="s">
        <v>14644</v>
      </c>
      <c r="D2750" s="2" t="s">
        <v>14645</v>
      </c>
      <c r="E2750" s="2" t="s">
        <v>14646</v>
      </c>
      <c r="F2750" s="2" t="s">
        <v>14647</v>
      </c>
      <c r="G2750" s="2" t="s">
        <v>1048</v>
      </c>
      <c r="H2750" s="17">
        <v>50</v>
      </c>
      <c r="I2750" s="31">
        <f t="shared" si="264"/>
        <v>50000</v>
      </c>
      <c r="J2750" s="31">
        <f t="shared" si="265"/>
        <v>3500.0000000000005</v>
      </c>
      <c r="K2750" s="44">
        <f t="shared" si="266"/>
        <v>9.589041095890412</v>
      </c>
      <c r="L2750" s="3">
        <f t="shared" si="267"/>
        <v>709.58904109589048</v>
      </c>
      <c r="M2750" s="3">
        <f t="shared" si="268"/>
        <v>42.57534246575343</v>
      </c>
      <c r="N2750" s="67">
        <f t="shared" si="269"/>
        <v>667.01369863013701</v>
      </c>
      <c r="O2750" s="3"/>
      <c r="P2750" s="70" t="s">
        <v>18637</v>
      </c>
      <c r="Q2750" s="2" t="s">
        <v>81</v>
      </c>
      <c r="R2750" s="2" t="s">
        <v>14648</v>
      </c>
      <c r="T2750" t="s">
        <v>18666</v>
      </c>
      <c r="U2750" t="s">
        <v>18652</v>
      </c>
      <c r="V2750" s="104">
        <v>45857</v>
      </c>
      <c r="X2750" s="97"/>
      <c r="Y2750" s="75">
        <v>667.02</v>
      </c>
    </row>
    <row r="2751" spans="1:25" x14ac:dyDescent="0.25">
      <c r="A2751" s="76">
        <v>2783</v>
      </c>
      <c r="B2751" s="2" t="s">
        <v>12579</v>
      </c>
      <c r="C2751" s="2" t="s">
        <v>12580</v>
      </c>
      <c r="D2751" s="2" t="s">
        <v>12581</v>
      </c>
      <c r="E2751" s="2" t="s">
        <v>12582</v>
      </c>
      <c r="F2751" s="2" t="s">
        <v>12583</v>
      </c>
      <c r="G2751" s="2" t="s">
        <v>835</v>
      </c>
      <c r="H2751" s="17">
        <v>30</v>
      </c>
      <c r="I2751" s="31">
        <f t="shared" si="264"/>
        <v>30000</v>
      </c>
      <c r="J2751" s="31">
        <f t="shared" si="265"/>
        <v>2100</v>
      </c>
      <c r="K2751" s="44">
        <f t="shared" si="266"/>
        <v>5.7534246575342465</v>
      </c>
      <c r="L2751" s="3">
        <f t="shared" si="267"/>
        <v>425.75342465753425</v>
      </c>
      <c r="M2751" s="3">
        <f t="shared" si="268"/>
        <v>25.545205479452054</v>
      </c>
      <c r="N2751" s="67">
        <f t="shared" si="269"/>
        <v>400.20821917808217</v>
      </c>
      <c r="O2751" s="3"/>
      <c r="P2751" s="70" t="s">
        <v>18637</v>
      </c>
      <c r="Q2751" s="2" t="s">
        <v>81</v>
      </c>
      <c r="R2751" s="2" t="s">
        <v>12584</v>
      </c>
      <c r="T2751" t="s">
        <v>18666</v>
      </c>
      <c r="U2751" t="s">
        <v>18652</v>
      </c>
      <c r="V2751" s="104">
        <v>45857</v>
      </c>
      <c r="X2751" s="97"/>
      <c r="Y2751" s="75">
        <v>400.21</v>
      </c>
    </row>
    <row r="2752" spans="1:25" x14ac:dyDescent="0.25">
      <c r="A2752" s="76">
        <v>2784</v>
      </c>
      <c r="B2752" s="2" t="s">
        <v>18279</v>
      </c>
      <c r="C2752" s="2" t="s">
        <v>18280</v>
      </c>
      <c r="D2752" s="2" t="s">
        <v>18281</v>
      </c>
      <c r="E2752" s="2" t="s">
        <v>18282</v>
      </c>
      <c r="F2752" s="2" t="s">
        <v>18283</v>
      </c>
      <c r="G2752" s="2" t="s">
        <v>543</v>
      </c>
      <c r="H2752" s="17">
        <v>30</v>
      </c>
      <c r="I2752" s="31">
        <f t="shared" si="264"/>
        <v>30000</v>
      </c>
      <c r="J2752" s="31">
        <f t="shared" si="265"/>
        <v>2100</v>
      </c>
      <c r="K2752" s="44">
        <f t="shared" si="266"/>
        <v>5.7534246575342465</v>
      </c>
      <c r="L2752" s="3">
        <f t="shared" si="267"/>
        <v>425.75342465753425</v>
      </c>
      <c r="M2752" s="3">
        <f t="shared" si="268"/>
        <v>25.545205479452054</v>
      </c>
      <c r="N2752" s="67">
        <f t="shared" si="269"/>
        <v>400.20821917808217</v>
      </c>
      <c r="O2752" s="3"/>
      <c r="P2752" s="70" t="s">
        <v>18638</v>
      </c>
      <c r="Q2752" s="2" t="s">
        <v>116</v>
      </c>
      <c r="R2752" s="2" t="s">
        <v>18284</v>
      </c>
      <c r="T2752" t="s">
        <v>18666</v>
      </c>
      <c r="U2752" t="s">
        <v>18652</v>
      </c>
      <c r="V2752" s="104">
        <v>45857</v>
      </c>
      <c r="X2752" s="97"/>
      <c r="Y2752" s="75">
        <v>400.21</v>
      </c>
    </row>
    <row r="2753" spans="1:25" x14ac:dyDescent="0.25">
      <c r="A2753" s="76">
        <v>2785</v>
      </c>
      <c r="B2753" s="2" t="s">
        <v>10272</v>
      </c>
      <c r="C2753" s="2" t="s">
        <v>10273</v>
      </c>
      <c r="D2753" s="2" t="s">
        <v>10274</v>
      </c>
      <c r="E2753" s="2" t="s">
        <v>10275</v>
      </c>
      <c r="F2753" s="2" t="s">
        <v>10276</v>
      </c>
      <c r="G2753" s="2" t="s">
        <v>362</v>
      </c>
      <c r="H2753" s="17">
        <v>26</v>
      </c>
      <c r="I2753" s="31">
        <f t="shared" si="264"/>
        <v>26000</v>
      </c>
      <c r="J2753" s="31">
        <f t="shared" si="265"/>
        <v>1820.0000000000002</v>
      </c>
      <c r="K2753" s="44">
        <f t="shared" si="266"/>
        <v>4.9863013698630141</v>
      </c>
      <c r="L2753" s="3">
        <f t="shared" si="267"/>
        <v>368.98630136986304</v>
      </c>
      <c r="M2753" s="3">
        <f t="shared" si="268"/>
        <v>22.139178082191783</v>
      </c>
      <c r="N2753" s="67">
        <f t="shared" si="269"/>
        <v>346.84712328767125</v>
      </c>
      <c r="O2753" s="3"/>
      <c r="P2753" s="70" t="s">
        <v>18638</v>
      </c>
      <c r="Q2753" s="2" t="s">
        <v>116</v>
      </c>
      <c r="R2753" s="2" t="s">
        <v>10277</v>
      </c>
      <c r="T2753" t="s">
        <v>18666</v>
      </c>
      <c r="U2753" t="s">
        <v>18652</v>
      </c>
      <c r="V2753" s="104">
        <v>45857</v>
      </c>
      <c r="X2753" s="97"/>
      <c r="Y2753" s="75">
        <v>346.84999999999997</v>
      </c>
    </row>
    <row r="2754" spans="1:25" x14ac:dyDescent="0.25">
      <c r="A2754" s="76">
        <v>2786</v>
      </c>
      <c r="B2754" s="2" t="s">
        <v>16448</v>
      </c>
      <c r="C2754" s="2" t="s">
        <v>16449</v>
      </c>
      <c r="D2754" s="2" t="s">
        <v>16450</v>
      </c>
      <c r="E2754" s="2" t="s">
        <v>16451</v>
      </c>
      <c r="F2754" s="2" t="s">
        <v>16452</v>
      </c>
      <c r="G2754" s="2" t="s">
        <v>580</v>
      </c>
      <c r="H2754" s="17">
        <v>25</v>
      </c>
      <c r="I2754" s="31">
        <f t="shared" si="264"/>
        <v>25000</v>
      </c>
      <c r="J2754" s="31">
        <f t="shared" si="265"/>
        <v>1750.0000000000002</v>
      </c>
      <c r="K2754" s="44">
        <f t="shared" si="266"/>
        <v>4.794520547945206</v>
      </c>
      <c r="L2754" s="3">
        <f t="shared" si="267"/>
        <v>354.79452054794524</v>
      </c>
      <c r="M2754" s="3">
        <f t="shared" si="268"/>
        <v>21.287671232876715</v>
      </c>
      <c r="N2754" s="67">
        <f t="shared" si="269"/>
        <v>333.50684931506851</v>
      </c>
      <c r="O2754" s="3"/>
      <c r="P2754" s="70" t="s">
        <v>18638</v>
      </c>
      <c r="Q2754" s="2" t="s">
        <v>116</v>
      </c>
      <c r="R2754" s="2" t="s">
        <v>16453</v>
      </c>
      <c r="T2754" t="s">
        <v>18666</v>
      </c>
      <c r="U2754" t="s">
        <v>18652</v>
      </c>
      <c r="V2754" s="104">
        <v>45857</v>
      </c>
      <c r="X2754" s="97"/>
      <c r="Y2754" s="75">
        <v>333.51</v>
      </c>
    </row>
    <row r="2755" spans="1:25" x14ac:dyDescent="0.25">
      <c r="A2755" s="76">
        <v>2787</v>
      </c>
      <c r="B2755" s="2" t="s">
        <v>15670</v>
      </c>
      <c r="C2755" s="2" t="s">
        <v>15671</v>
      </c>
      <c r="D2755" s="2" t="s">
        <v>15672</v>
      </c>
      <c r="E2755" s="2" t="s">
        <v>15673</v>
      </c>
      <c r="F2755" s="2" t="s">
        <v>15674</v>
      </c>
      <c r="G2755" s="2" t="s">
        <v>31</v>
      </c>
      <c r="H2755" s="17">
        <v>25</v>
      </c>
      <c r="I2755" s="31">
        <f t="shared" si="264"/>
        <v>25000</v>
      </c>
      <c r="J2755" s="31">
        <f t="shared" si="265"/>
        <v>1750.0000000000002</v>
      </c>
      <c r="K2755" s="44">
        <f t="shared" si="266"/>
        <v>4.794520547945206</v>
      </c>
      <c r="L2755" s="3">
        <f t="shared" si="267"/>
        <v>354.79452054794524</v>
      </c>
      <c r="M2755" s="3">
        <f t="shared" si="268"/>
        <v>21.287671232876715</v>
      </c>
      <c r="N2755" s="67">
        <f t="shared" si="269"/>
        <v>333.50684931506851</v>
      </c>
      <c r="O2755" s="3"/>
      <c r="P2755" s="70" t="s">
        <v>18638</v>
      </c>
      <c r="Q2755" s="2" t="s">
        <v>116</v>
      </c>
      <c r="R2755" s="2" t="s">
        <v>15675</v>
      </c>
      <c r="T2755" t="s">
        <v>18666</v>
      </c>
      <c r="U2755" t="s">
        <v>18652</v>
      </c>
      <c r="V2755" s="104">
        <v>45857</v>
      </c>
      <c r="X2755" s="97"/>
      <c r="Y2755" s="75">
        <v>333.51</v>
      </c>
    </row>
    <row r="2756" spans="1:25" x14ac:dyDescent="0.25">
      <c r="A2756" s="76">
        <v>2788</v>
      </c>
      <c r="B2756" s="2" t="s">
        <v>4918</v>
      </c>
      <c r="C2756" s="2" t="s">
        <v>4919</v>
      </c>
      <c r="D2756" s="2" t="s">
        <v>4920</v>
      </c>
      <c r="E2756" s="2" t="s">
        <v>4921</v>
      </c>
      <c r="F2756" s="2" t="s">
        <v>4922</v>
      </c>
      <c r="G2756" s="2" t="s">
        <v>31</v>
      </c>
      <c r="H2756" s="17">
        <v>200</v>
      </c>
      <c r="I2756" s="31">
        <f t="shared" si="264"/>
        <v>200000</v>
      </c>
      <c r="J2756" s="31">
        <f t="shared" si="265"/>
        <v>14000.000000000002</v>
      </c>
      <c r="K2756" s="44">
        <f t="shared" si="266"/>
        <v>38.356164383561648</v>
      </c>
      <c r="L2756" s="3">
        <f t="shared" si="267"/>
        <v>2838.3561643835619</v>
      </c>
      <c r="M2756" s="3">
        <f t="shared" si="268"/>
        <v>170.30136986301372</v>
      </c>
      <c r="N2756" s="67">
        <f t="shared" si="269"/>
        <v>2668.0547945205481</v>
      </c>
      <c r="O2756" s="3"/>
      <c r="P2756" s="70" t="s">
        <v>18638</v>
      </c>
      <c r="Q2756" s="2" t="s">
        <v>116</v>
      </c>
      <c r="R2756" s="2" t="s">
        <v>4923</v>
      </c>
      <c r="T2756" t="s">
        <v>18666</v>
      </c>
      <c r="U2756" t="s">
        <v>18652</v>
      </c>
      <c r="V2756" s="104">
        <v>45857</v>
      </c>
      <c r="X2756" s="97"/>
      <c r="Y2756" s="75">
        <v>2668.0600000000004</v>
      </c>
    </row>
    <row r="2757" spans="1:25" x14ac:dyDescent="0.25">
      <c r="A2757" s="76">
        <v>2789</v>
      </c>
      <c r="B2757" s="2" t="s">
        <v>770</v>
      </c>
      <c r="C2757" s="2" t="s">
        <v>771</v>
      </c>
      <c r="D2757" s="2" t="s">
        <v>772</v>
      </c>
      <c r="E2757" s="2" t="s">
        <v>773</v>
      </c>
      <c r="F2757" s="2" t="s">
        <v>774</v>
      </c>
      <c r="G2757" s="2" t="s">
        <v>31</v>
      </c>
      <c r="H2757" s="17">
        <v>100</v>
      </c>
      <c r="I2757" s="31">
        <f t="shared" si="264"/>
        <v>100000</v>
      </c>
      <c r="J2757" s="31">
        <f t="shared" si="265"/>
        <v>7000.0000000000009</v>
      </c>
      <c r="K2757" s="44">
        <f t="shared" si="266"/>
        <v>19.178082191780824</v>
      </c>
      <c r="L2757" s="3">
        <f t="shared" si="267"/>
        <v>1419.178082191781</v>
      </c>
      <c r="M2757" s="3">
        <f t="shared" si="268"/>
        <v>85.150684931506859</v>
      </c>
      <c r="N2757" s="67">
        <f t="shared" si="269"/>
        <v>1334.027397260274</v>
      </c>
      <c r="O2757" s="3"/>
      <c r="P2757" s="70" t="s">
        <v>18638</v>
      </c>
      <c r="Q2757" s="2" t="s">
        <v>116</v>
      </c>
      <c r="R2757" s="2" t="s">
        <v>775</v>
      </c>
      <c r="T2757" t="s">
        <v>18666</v>
      </c>
      <c r="U2757" t="s">
        <v>18652</v>
      </c>
      <c r="V2757" s="104">
        <v>45857</v>
      </c>
      <c r="X2757" s="97"/>
      <c r="Y2757" s="75">
        <v>1334.03</v>
      </c>
    </row>
    <row r="2758" spans="1:25" x14ac:dyDescent="0.25">
      <c r="A2758" s="76">
        <v>2790</v>
      </c>
      <c r="B2758" s="2" t="s">
        <v>17774</v>
      </c>
      <c r="C2758" s="2" t="s">
        <v>17775</v>
      </c>
      <c r="D2758" s="2" t="s">
        <v>17776</v>
      </c>
      <c r="E2758" s="2" t="s">
        <v>17777</v>
      </c>
      <c r="F2758" s="2" t="s">
        <v>17778</v>
      </c>
      <c r="G2758" s="2" t="s">
        <v>328</v>
      </c>
      <c r="H2758" s="17">
        <v>50</v>
      </c>
      <c r="I2758" s="31">
        <f t="shared" si="264"/>
        <v>50000</v>
      </c>
      <c r="J2758" s="31">
        <f t="shared" si="265"/>
        <v>3500.0000000000005</v>
      </c>
      <c r="K2758" s="44">
        <f t="shared" si="266"/>
        <v>9.589041095890412</v>
      </c>
      <c r="L2758" s="3">
        <f t="shared" si="267"/>
        <v>709.58904109589048</v>
      </c>
      <c r="M2758" s="3">
        <f t="shared" si="268"/>
        <v>42.57534246575343</v>
      </c>
      <c r="N2758" s="67">
        <f t="shared" si="269"/>
        <v>667.01369863013701</v>
      </c>
      <c r="O2758" s="3"/>
      <c r="P2758" s="70" t="s">
        <v>18638</v>
      </c>
      <c r="Q2758" s="2" t="s">
        <v>116</v>
      </c>
      <c r="R2758" s="2" t="s">
        <v>17779</v>
      </c>
      <c r="T2758" t="s">
        <v>18666</v>
      </c>
      <c r="U2758" t="s">
        <v>18652</v>
      </c>
      <c r="V2758" s="104">
        <v>45857</v>
      </c>
      <c r="X2758" s="97"/>
      <c r="Y2758" s="75">
        <v>667.02</v>
      </c>
    </row>
    <row r="2759" spans="1:25" x14ac:dyDescent="0.25">
      <c r="A2759" s="76">
        <v>2791</v>
      </c>
      <c r="B2759" s="2" t="s">
        <v>5120</v>
      </c>
      <c r="C2759" s="2" t="s">
        <v>5121</v>
      </c>
      <c r="D2759" s="2" t="s">
        <v>5122</v>
      </c>
      <c r="E2759" s="2" t="s">
        <v>5123</v>
      </c>
      <c r="F2759" s="2" t="s">
        <v>3588</v>
      </c>
      <c r="G2759" s="2" t="s">
        <v>166</v>
      </c>
      <c r="H2759" s="17">
        <v>25</v>
      </c>
      <c r="I2759" s="31">
        <f t="shared" si="264"/>
        <v>25000</v>
      </c>
      <c r="J2759" s="31">
        <f t="shared" si="265"/>
        <v>1750.0000000000002</v>
      </c>
      <c r="K2759" s="44">
        <f t="shared" si="266"/>
        <v>4.794520547945206</v>
      </c>
      <c r="L2759" s="3">
        <f t="shared" si="267"/>
        <v>354.79452054794524</v>
      </c>
      <c r="M2759" s="3">
        <f t="shared" si="268"/>
        <v>21.287671232876715</v>
      </c>
      <c r="N2759" s="67">
        <f t="shared" si="269"/>
        <v>333.50684931506851</v>
      </c>
      <c r="O2759" s="3"/>
      <c r="P2759" s="70" t="s">
        <v>18638</v>
      </c>
      <c r="Q2759" s="2" t="s">
        <v>116</v>
      </c>
      <c r="R2759" s="2" t="s">
        <v>5124</v>
      </c>
      <c r="T2759" t="s">
        <v>18666</v>
      </c>
      <c r="U2759" t="s">
        <v>18652</v>
      </c>
      <c r="V2759" s="104">
        <v>45857</v>
      </c>
      <c r="X2759" s="97"/>
      <c r="Y2759" s="75">
        <v>333.51</v>
      </c>
    </row>
    <row r="2760" spans="1:25" x14ac:dyDescent="0.25">
      <c r="A2760" s="76">
        <v>2792</v>
      </c>
      <c r="B2760" s="2" t="s">
        <v>9798</v>
      </c>
      <c r="C2760" s="2" t="s">
        <v>9799</v>
      </c>
      <c r="D2760" s="2" t="s">
        <v>9800</v>
      </c>
      <c r="E2760" s="2" t="s">
        <v>9801</v>
      </c>
      <c r="F2760" s="2" t="s">
        <v>9802</v>
      </c>
      <c r="G2760" s="2" t="s">
        <v>835</v>
      </c>
      <c r="H2760" s="17">
        <v>25</v>
      </c>
      <c r="I2760" s="31">
        <f t="shared" si="264"/>
        <v>25000</v>
      </c>
      <c r="J2760" s="31">
        <f t="shared" si="265"/>
        <v>1750.0000000000002</v>
      </c>
      <c r="K2760" s="44">
        <f t="shared" si="266"/>
        <v>4.794520547945206</v>
      </c>
      <c r="L2760" s="3">
        <f t="shared" si="267"/>
        <v>354.79452054794524</v>
      </c>
      <c r="M2760" s="3">
        <f t="shared" si="268"/>
        <v>21.287671232876715</v>
      </c>
      <c r="N2760" s="67">
        <f t="shared" si="269"/>
        <v>333.50684931506851</v>
      </c>
      <c r="O2760" s="3"/>
      <c r="P2760" s="70" t="s">
        <v>18638</v>
      </c>
      <c r="Q2760" s="2" t="s">
        <v>116</v>
      </c>
      <c r="R2760" s="2" t="s">
        <v>9803</v>
      </c>
      <c r="T2760" t="s">
        <v>18666</v>
      </c>
      <c r="U2760" t="s">
        <v>18652</v>
      </c>
      <c r="V2760" s="104">
        <v>45857</v>
      </c>
      <c r="X2760" s="97"/>
      <c r="Y2760" s="75">
        <v>333.51</v>
      </c>
    </row>
    <row r="2761" spans="1:25" x14ac:dyDescent="0.25">
      <c r="A2761" s="76">
        <v>2793</v>
      </c>
      <c r="B2761" s="2" t="s">
        <v>11679</v>
      </c>
      <c r="C2761" s="2" t="s">
        <v>11680</v>
      </c>
      <c r="D2761" s="2" t="s">
        <v>11681</v>
      </c>
      <c r="E2761" s="2" t="s">
        <v>11682</v>
      </c>
      <c r="F2761" s="2" t="s">
        <v>11683</v>
      </c>
      <c r="G2761" s="2" t="s">
        <v>31</v>
      </c>
      <c r="H2761" s="17">
        <v>50</v>
      </c>
      <c r="I2761" s="31">
        <f t="shared" si="264"/>
        <v>50000</v>
      </c>
      <c r="J2761" s="31">
        <f t="shared" si="265"/>
        <v>3500.0000000000005</v>
      </c>
      <c r="K2761" s="44">
        <f t="shared" si="266"/>
        <v>9.589041095890412</v>
      </c>
      <c r="L2761" s="3">
        <f t="shared" si="267"/>
        <v>709.58904109589048</v>
      </c>
      <c r="M2761" s="3">
        <f t="shared" si="268"/>
        <v>42.57534246575343</v>
      </c>
      <c r="N2761" s="67">
        <f t="shared" si="269"/>
        <v>667.01369863013701</v>
      </c>
      <c r="O2761" s="3"/>
      <c r="P2761" s="70" t="s">
        <v>18638</v>
      </c>
      <c r="Q2761" s="2" t="s">
        <v>116</v>
      </c>
      <c r="R2761" s="2" t="s">
        <v>11684</v>
      </c>
      <c r="T2761" t="s">
        <v>18666</v>
      </c>
      <c r="U2761" t="s">
        <v>18652</v>
      </c>
      <c r="V2761" s="104">
        <v>45857</v>
      </c>
      <c r="X2761" s="97"/>
      <c r="Y2761" s="75">
        <v>667.02</v>
      </c>
    </row>
    <row r="2762" spans="1:25" x14ac:dyDescent="0.25">
      <c r="A2762" s="76">
        <v>2794</v>
      </c>
      <c r="B2762" s="2" t="s">
        <v>4913</v>
      </c>
      <c r="C2762" s="2" t="s">
        <v>4914</v>
      </c>
      <c r="D2762" s="2" t="s">
        <v>4915</v>
      </c>
      <c r="E2762" s="2" t="s">
        <v>3833</v>
      </c>
      <c r="F2762" s="2" t="s">
        <v>4916</v>
      </c>
      <c r="G2762" s="2" t="s">
        <v>31</v>
      </c>
      <c r="H2762" s="17">
        <v>100</v>
      </c>
      <c r="I2762" s="31">
        <f t="shared" si="264"/>
        <v>100000</v>
      </c>
      <c r="J2762" s="31">
        <f t="shared" si="265"/>
        <v>7000.0000000000009</v>
      </c>
      <c r="K2762" s="44">
        <f t="shared" si="266"/>
        <v>19.178082191780824</v>
      </c>
      <c r="L2762" s="3">
        <f t="shared" si="267"/>
        <v>1419.178082191781</v>
      </c>
      <c r="M2762" s="3">
        <f t="shared" si="268"/>
        <v>85.150684931506859</v>
      </c>
      <c r="N2762" s="67">
        <f t="shared" si="269"/>
        <v>1334.027397260274</v>
      </c>
      <c r="O2762" s="3"/>
      <c r="P2762" s="70" t="s">
        <v>18638</v>
      </c>
      <c r="Q2762" s="2" t="s">
        <v>116</v>
      </c>
      <c r="R2762" s="2" t="s">
        <v>4917</v>
      </c>
      <c r="T2762" t="s">
        <v>18666</v>
      </c>
      <c r="U2762" t="s">
        <v>18652</v>
      </c>
      <c r="V2762" s="104">
        <v>45857</v>
      </c>
      <c r="X2762" s="97"/>
      <c r="Y2762" s="75">
        <v>1334.03</v>
      </c>
    </row>
    <row r="2763" spans="1:25" x14ac:dyDescent="0.25">
      <c r="A2763" s="76">
        <v>2795</v>
      </c>
      <c r="B2763" s="2" t="s">
        <v>557</v>
      </c>
      <c r="C2763" s="2" t="s">
        <v>558</v>
      </c>
      <c r="D2763" s="2" t="s">
        <v>559</v>
      </c>
      <c r="E2763" s="2" t="s">
        <v>560</v>
      </c>
      <c r="F2763" s="2" t="s">
        <v>561</v>
      </c>
      <c r="G2763" s="2" t="s">
        <v>31</v>
      </c>
      <c r="H2763" s="17">
        <v>25</v>
      </c>
      <c r="I2763" s="31">
        <f t="shared" si="264"/>
        <v>25000</v>
      </c>
      <c r="J2763" s="31">
        <f t="shared" si="265"/>
        <v>1750.0000000000002</v>
      </c>
      <c r="K2763" s="44">
        <f t="shared" si="266"/>
        <v>4.794520547945206</v>
      </c>
      <c r="L2763" s="3">
        <f t="shared" si="267"/>
        <v>354.79452054794524</v>
      </c>
      <c r="M2763" s="3">
        <f t="shared" si="268"/>
        <v>21.287671232876715</v>
      </c>
      <c r="N2763" s="67">
        <f t="shared" si="269"/>
        <v>333.50684931506851</v>
      </c>
      <c r="O2763" s="3"/>
      <c r="P2763" s="70" t="s">
        <v>18638</v>
      </c>
      <c r="Q2763" s="2" t="s">
        <v>116</v>
      </c>
      <c r="R2763" s="2" t="s">
        <v>562</v>
      </c>
      <c r="T2763" t="s">
        <v>18666</v>
      </c>
      <c r="U2763" t="s">
        <v>18652</v>
      </c>
      <c r="V2763" s="104">
        <v>45857</v>
      </c>
      <c r="X2763" s="97"/>
      <c r="Y2763" s="75">
        <v>333.51</v>
      </c>
    </row>
    <row r="2764" spans="1:25" x14ac:dyDescent="0.25">
      <c r="A2764" s="76">
        <v>2796</v>
      </c>
      <c r="B2764" s="2" t="s">
        <v>2333</v>
      </c>
      <c r="C2764" s="2" t="s">
        <v>2334</v>
      </c>
      <c r="D2764" s="2" t="s">
        <v>2335</v>
      </c>
      <c r="E2764" s="2" t="s">
        <v>2336</v>
      </c>
      <c r="F2764" s="2" t="s">
        <v>2337</v>
      </c>
      <c r="G2764" s="2" t="s">
        <v>296</v>
      </c>
      <c r="H2764" s="17">
        <v>400</v>
      </c>
      <c r="I2764" s="31">
        <f t="shared" si="264"/>
        <v>400000</v>
      </c>
      <c r="J2764" s="31">
        <f t="shared" si="265"/>
        <v>28000.000000000004</v>
      </c>
      <c r="K2764" s="44">
        <f t="shared" si="266"/>
        <v>76.712328767123296</v>
      </c>
      <c r="L2764" s="3">
        <f t="shared" si="267"/>
        <v>5676.7123287671238</v>
      </c>
      <c r="M2764" s="3">
        <f t="shared" si="268"/>
        <v>340.60273972602744</v>
      </c>
      <c r="N2764" s="67">
        <f t="shared" si="269"/>
        <v>5336.1095890410961</v>
      </c>
      <c r="O2764" s="3"/>
      <c r="P2764" s="70" t="s">
        <v>18638</v>
      </c>
      <c r="Q2764" s="2" t="s">
        <v>116</v>
      </c>
      <c r="R2764" s="2" t="s">
        <v>2338</v>
      </c>
      <c r="T2764" t="s">
        <v>18666</v>
      </c>
      <c r="U2764" t="s">
        <v>18652</v>
      </c>
      <c r="V2764" s="104">
        <v>45857</v>
      </c>
      <c r="X2764" s="97"/>
      <c r="Y2764" s="75">
        <v>5336.1100000000006</v>
      </c>
    </row>
    <row r="2765" spans="1:25" x14ac:dyDescent="0.25">
      <c r="A2765" s="76">
        <v>2797</v>
      </c>
      <c r="B2765" s="2" t="s">
        <v>3371</v>
      </c>
      <c r="C2765" s="2" t="s">
        <v>3372</v>
      </c>
      <c r="D2765" s="2" t="s">
        <v>3373</v>
      </c>
      <c r="E2765" s="2" t="s">
        <v>3374</v>
      </c>
      <c r="F2765" s="2" t="s">
        <v>3375</v>
      </c>
      <c r="G2765" s="2" t="s">
        <v>381</v>
      </c>
      <c r="H2765" s="17">
        <v>25</v>
      </c>
      <c r="I2765" s="31">
        <f t="shared" si="264"/>
        <v>25000</v>
      </c>
      <c r="J2765" s="31">
        <f t="shared" si="265"/>
        <v>1750.0000000000002</v>
      </c>
      <c r="K2765" s="44">
        <f t="shared" si="266"/>
        <v>4.794520547945206</v>
      </c>
      <c r="L2765" s="3">
        <f t="shared" si="267"/>
        <v>354.79452054794524</v>
      </c>
      <c r="M2765" s="3">
        <f t="shared" si="268"/>
        <v>21.287671232876715</v>
      </c>
      <c r="N2765" s="67">
        <f t="shared" si="269"/>
        <v>333.50684931506851</v>
      </c>
      <c r="O2765" s="3"/>
      <c r="P2765" s="70" t="s">
        <v>18638</v>
      </c>
      <c r="Q2765" s="2" t="s">
        <v>116</v>
      </c>
      <c r="R2765" s="2" t="s">
        <v>3376</v>
      </c>
      <c r="T2765" t="s">
        <v>18666</v>
      </c>
      <c r="U2765" t="s">
        <v>18652</v>
      </c>
      <c r="V2765" s="104">
        <v>45857</v>
      </c>
      <c r="X2765" s="97"/>
      <c r="Y2765" s="75">
        <v>333.51</v>
      </c>
    </row>
    <row r="2766" spans="1:25" x14ac:dyDescent="0.25">
      <c r="A2766" s="76">
        <v>2798</v>
      </c>
      <c r="B2766" s="2" t="s">
        <v>4034</v>
      </c>
      <c r="C2766" s="2" t="s">
        <v>4035</v>
      </c>
      <c r="D2766" s="2" t="s">
        <v>4036</v>
      </c>
      <c r="E2766" s="2" t="s">
        <v>4037</v>
      </c>
      <c r="F2766" s="2" t="s">
        <v>4038</v>
      </c>
      <c r="G2766" s="2" t="s">
        <v>39</v>
      </c>
      <c r="H2766" s="17">
        <v>25</v>
      </c>
      <c r="I2766" s="31">
        <f t="shared" si="264"/>
        <v>25000</v>
      </c>
      <c r="J2766" s="31">
        <f t="shared" si="265"/>
        <v>1750.0000000000002</v>
      </c>
      <c r="K2766" s="44">
        <f t="shared" si="266"/>
        <v>4.794520547945206</v>
      </c>
      <c r="L2766" s="3">
        <f t="shared" si="267"/>
        <v>354.79452054794524</v>
      </c>
      <c r="M2766" s="3">
        <f t="shared" si="268"/>
        <v>21.287671232876715</v>
      </c>
      <c r="N2766" s="67">
        <f t="shared" si="269"/>
        <v>333.50684931506851</v>
      </c>
      <c r="O2766" s="3"/>
      <c r="P2766" s="70" t="s">
        <v>18638</v>
      </c>
      <c r="Q2766" s="2" t="s">
        <v>116</v>
      </c>
      <c r="R2766" s="2" t="s">
        <v>4039</v>
      </c>
      <c r="T2766" t="s">
        <v>18666</v>
      </c>
      <c r="U2766" t="s">
        <v>18652</v>
      </c>
      <c r="V2766" s="104">
        <v>45857</v>
      </c>
      <c r="X2766" s="97"/>
      <c r="Y2766" s="75">
        <v>333.51</v>
      </c>
    </row>
    <row r="2767" spans="1:25" x14ac:dyDescent="0.25">
      <c r="A2767" s="76">
        <v>2799</v>
      </c>
      <c r="B2767" s="2" t="s">
        <v>6811</v>
      </c>
      <c r="C2767" s="2" t="s">
        <v>6812</v>
      </c>
      <c r="D2767" s="2" t="s">
        <v>6813</v>
      </c>
      <c r="E2767" s="2" t="s">
        <v>6814</v>
      </c>
      <c r="F2767" s="2" t="s">
        <v>6815</v>
      </c>
      <c r="G2767" s="2" t="s">
        <v>5013</v>
      </c>
      <c r="H2767" s="17">
        <v>25</v>
      </c>
      <c r="I2767" s="31">
        <f t="shared" si="264"/>
        <v>25000</v>
      </c>
      <c r="J2767" s="31">
        <f t="shared" si="265"/>
        <v>1750.0000000000002</v>
      </c>
      <c r="K2767" s="44">
        <f t="shared" si="266"/>
        <v>4.794520547945206</v>
      </c>
      <c r="L2767" s="3">
        <f t="shared" si="267"/>
        <v>354.79452054794524</v>
      </c>
      <c r="M2767" s="3">
        <f t="shared" si="268"/>
        <v>21.287671232876715</v>
      </c>
      <c r="N2767" s="67">
        <f t="shared" si="269"/>
        <v>333.50684931506851</v>
      </c>
      <c r="O2767" s="3"/>
      <c r="P2767" s="70" t="s">
        <v>18638</v>
      </c>
      <c r="Q2767" s="2" t="s">
        <v>116</v>
      </c>
      <c r="R2767" s="2" t="s">
        <v>6816</v>
      </c>
      <c r="T2767" t="s">
        <v>18666</v>
      </c>
      <c r="U2767" t="s">
        <v>18652</v>
      </c>
      <c r="V2767" s="104">
        <v>45857</v>
      </c>
      <c r="X2767" s="97"/>
      <c r="Y2767" s="75">
        <v>333.51</v>
      </c>
    </row>
    <row r="2768" spans="1:25" x14ac:dyDescent="0.25">
      <c r="A2768" s="76">
        <v>2800</v>
      </c>
      <c r="B2768" s="2" t="s">
        <v>10922</v>
      </c>
      <c r="C2768" s="2" t="s">
        <v>10923</v>
      </c>
      <c r="D2768" s="2" t="s">
        <v>10924</v>
      </c>
      <c r="E2768" s="2" t="s">
        <v>10925</v>
      </c>
      <c r="F2768" s="2" t="s">
        <v>10926</v>
      </c>
      <c r="G2768" s="2" t="s">
        <v>876</v>
      </c>
      <c r="H2768" s="17">
        <v>50</v>
      </c>
      <c r="I2768" s="31">
        <f t="shared" si="264"/>
        <v>50000</v>
      </c>
      <c r="J2768" s="31">
        <f t="shared" si="265"/>
        <v>3500.0000000000005</v>
      </c>
      <c r="K2768" s="44">
        <f t="shared" si="266"/>
        <v>9.589041095890412</v>
      </c>
      <c r="L2768" s="3">
        <f t="shared" si="267"/>
        <v>709.58904109589048</v>
      </c>
      <c r="M2768" s="3">
        <f t="shared" si="268"/>
        <v>42.57534246575343</v>
      </c>
      <c r="N2768" s="67">
        <f t="shared" si="269"/>
        <v>667.01369863013701</v>
      </c>
      <c r="O2768" s="3"/>
      <c r="P2768" s="70" t="s">
        <v>18638</v>
      </c>
      <c r="Q2768" s="2" t="s">
        <v>116</v>
      </c>
      <c r="R2768" s="2" t="s">
        <v>10927</v>
      </c>
      <c r="T2768" t="s">
        <v>18666</v>
      </c>
      <c r="U2768" t="s">
        <v>18652</v>
      </c>
      <c r="V2768" s="104">
        <v>45857</v>
      </c>
      <c r="X2768" s="97"/>
      <c r="Y2768" s="75">
        <v>667.02</v>
      </c>
    </row>
    <row r="2769" spans="1:25" x14ac:dyDescent="0.25">
      <c r="A2769" s="76">
        <v>2801</v>
      </c>
      <c r="B2769" s="2" t="s">
        <v>12948</v>
      </c>
      <c r="C2769" s="2" t="s">
        <v>12949</v>
      </c>
      <c r="D2769" s="2" t="s">
        <v>12950</v>
      </c>
      <c r="E2769" s="2" t="s">
        <v>12951</v>
      </c>
      <c r="F2769" s="2" t="s">
        <v>12952</v>
      </c>
      <c r="G2769" s="2" t="s">
        <v>282</v>
      </c>
      <c r="H2769" s="17">
        <v>35</v>
      </c>
      <c r="I2769" s="31">
        <f t="shared" si="264"/>
        <v>35000</v>
      </c>
      <c r="J2769" s="31">
        <f t="shared" si="265"/>
        <v>2450.0000000000005</v>
      </c>
      <c r="K2769" s="44">
        <f t="shared" si="266"/>
        <v>6.7123287671232887</v>
      </c>
      <c r="L2769" s="3">
        <f t="shared" si="267"/>
        <v>496.71232876712338</v>
      </c>
      <c r="M2769" s="3">
        <f t="shared" si="268"/>
        <v>29.802739726027401</v>
      </c>
      <c r="N2769" s="67">
        <f t="shared" si="269"/>
        <v>466.90958904109596</v>
      </c>
      <c r="O2769" s="3"/>
      <c r="P2769" s="70" t="s">
        <v>18638</v>
      </c>
      <c r="Q2769" s="2" t="s">
        <v>116</v>
      </c>
      <c r="R2769" s="2" t="s">
        <v>12953</v>
      </c>
      <c r="T2769" t="s">
        <v>18666</v>
      </c>
      <c r="U2769" t="s">
        <v>18652</v>
      </c>
      <c r="V2769" s="104">
        <v>45857</v>
      </c>
      <c r="X2769" s="97"/>
      <c r="Y2769" s="75">
        <v>466.90999999999997</v>
      </c>
    </row>
    <row r="2770" spans="1:25" x14ac:dyDescent="0.25">
      <c r="A2770" s="76">
        <v>2802</v>
      </c>
      <c r="B2770" s="2" t="s">
        <v>17213</v>
      </c>
      <c r="C2770" s="2" t="s">
        <v>17214</v>
      </c>
      <c r="D2770" s="2" t="s">
        <v>17215</v>
      </c>
      <c r="E2770" s="2" t="s">
        <v>17216</v>
      </c>
      <c r="F2770" s="2" t="s">
        <v>17217</v>
      </c>
      <c r="G2770" s="2" t="s">
        <v>5013</v>
      </c>
      <c r="H2770" s="17">
        <v>50</v>
      </c>
      <c r="I2770" s="31">
        <f t="shared" ref="I2770:I2833" si="270">H2770*1000</f>
        <v>50000</v>
      </c>
      <c r="J2770" s="31">
        <f t="shared" ref="J2770:J2833" si="271">I2770*7%</f>
        <v>3500.0000000000005</v>
      </c>
      <c r="K2770" s="44">
        <f t="shared" ref="K2770:K2833" si="272">J2770/365</f>
        <v>9.589041095890412</v>
      </c>
      <c r="L2770" s="3">
        <f t="shared" ref="L2770:L2833" si="273">K2770*74</f>
        <v>709.58904109589048</v>
      </c>
      <c r="M2770" s="3">
        <f t="shared" ref="M2770:M2833" si="274">L2770*6%</f>
        <v>42.57534246575343</v>
      </c>
      <c r="N2770" s="67">
        <f t="shared" ref="N2770:N2833" si="275">L2770-M2770</f>
        <v>667.01369863013701</v>
      </c>
      <c r="O2770" s="3"/>
      <c r="P2770" s="70" t="s">
        <v>18638</v>
      </c>
      <c r="Q2770" s="2" t="s">
        <v>116</v>
      </c>
      <c r="R2770" s="2" t="s">
        <v>17218</v>
      </c>
      <c r="T2770" t="s">
        <v>18666</v>
      </c>
      <c r="U2770" t="s">
        <v>18652</v>
      </c>
      <c r="V2770" s="104">
        <v>45857</v>
      </c>
      <c r="X2770" s="97"/>
      <c r="Y2770" s="75">
        <v>667.02</v>
      </c>
    </row>
    <row r="2771" spans="1:25" x14ac:dyDescent="0.25">
      <c r="A2771" s="76">
        <v>2803</v>
      </c>
      <c r="B2771" s="2" t="s">
        <v>14489</v>
      </c>
      <c r="C2771" s="2" t="s">
        <v>14490</v>
      </c>
      <c r="D2771" s="2" t="s">
        <v>14491</v>
      </c>
      <c r="E2771" s="2" t="s">
        <v>14492</v>
      </c>
      <c r="F2771" s="2" t="s">
        <v>14493</v>
      </c>
      <c r="G2771" s="2" t="s">
        <v>144</v>
      </c>
      <c r="H2771" s="17">
        <v>25</v>
      </c>
      <c r="I2771" s="31">
        <f t="shared" si="270"/>
        <v>25000</v>
      </c>
      <c r="J2771" s="31">
        <f t="shared" si="271"/>
        <v>1750.0000000000002</v>
      </c>
      <c r="K2771" s="44">
        <f t="shared" si="272"/>
        <v>4.794520547945206</v>
      </c>
      <c r="L2771" s="3">
        <f t="shared" si="273"/>
        <v>354.79452054794524</v>
      </c>
      <c r="M2771" s="3">
        <f t="shared" si="274"/>
        <v>21.287671232876715</v>
      </c>
      <c r="N2771" s="67">
        <f t="shared" si="275"/>
        <v>333.50684931506851</v>
      </c>
      <c r="O2771" s="3"/>
      <c r="P2771" s="70" t="s">
        <v>18638</v>
      </c>
      <c r="Q2771" s="2" t="s">
        <v>116</v>
      </c>
      <c r="R2771" s="2" t="s">
        <v>14494</v>
      </c>
      <c r="T2771" t="s">
        <v>18666</v>
      </c>
      <c r="U2771" t="s">
        <v>18652</v>
      </c>
      <c r="V2771" s="104">
        <v>45857</v>
      </c>
      <c r="X2771" s="97"/>
      <c r="Y2771" s="75">
        <v>333.51</v>
      </c>
    </row>
    <row r="2772" spans="1:25" x14ac:dyDescent="0.25">
      <c r="A2772" s="76">
        <v>2804</v>
      </c>
      <c r="B2772" s="2" t="s">
        <v>14565</v>
      </c>
      <c r="C2772" s="2" t="s">
        <v>14566</v>
      </c>
      <c r="D2772" s="2" t="s">
        <v>14567</v>
      </c>
      <c r="E2772" s="2" t="s">
        <v>14568</v>
      </c>
      <c r="F2772" s="2" t="s">
        <v>14569</v>
      </c>
      <c r="G2772" s="2" t="s">
        <v>151</v>
      </c>
      <c r="H2772" s="17">
        <v>200</v>
      </c>
      <c r="I2772" s="31">
        <f t="shared" si="270"/>
        <v>200000</v>
      </c>
      <c r="J2772" s="31">
        <f t="shared" si="271"/>
        <v>14000.000000000002</v>
      </c>
      <c r="K2772" s="44">
        <f t="shared" si="272"/>
        <v>38.356164383561648</v>
      </c>
      <c r="L2772" s="3">
        <f t="shared" si="273"/>
        <v>2838.3561643835619</v>
      </c>
      <c r="M2772" s="3">
        <f t="shared" si="274"/>
        <v>170.30136986301372</v>
      </c>
      <c r="N2772" s="67">
        <f t="shared" si="275"/>
        <v>2668.0547945205481</v>
      </c>
      <c r="O2772" s="3"/>
      <c r="P2772" s="70" t="s">
        <v>18638</v>
      </c>
      <c r="Q2772" s="2" t="s">
        <v>116</v>
      </c>
      <c r="R2772" s="2" t="s">
        <v>14570</v>
      </c>
      <c r="T2772" t="s">
        <v>18666</v>
      </c>
      <c r="U2772" t="s">
        <v>18652</v>
      </c>
      <c r="V2772" s="104">
        <v>45857</v>
      </c>
      <c r="X2772" s="97"/>
      <c r="Y2772" s="75">
        <v>2668.0600000000004</v>
      </c>
    </row>
    <row r="2773" spans="1:25" x14ac:dyDescent="0.25">
      <c r="A2773" s="76">
        <v>2805</v>
      </c>
      <c r="B2773" s="2" t="s">
        <v>4363</v>
      </c>
      <c r="C2773" s="2" t="s">
        <v>4364</v>
      </c>
      <c r="D2773" s="2" t="s">
        <v>4365</v>
      </c>
      <c r="E2773" s="2" t="s">
        <v>4366</v>
      </c>
      <c r="F2773" s="2" t="s">
        <v>4367</v>
      </c>
      <c r="G2773" s="2" t="s">
        <v>412</v>
      </c>
      <c r="H2773" s="17">
        <v>100</v>
      </c>
      <c r="I2773" s="31">
        <f t="shared" si="270"/>
        <v>100000</v>
      </c>
      <c r="J2773" s="31">
        <f t="shared" si="271"/>
        <v>7000.0000000000009</v>
      </c>
      <c r="K2773" s="44">
        <f t="shared" si="272"/>
        <v>19.178082191780824</v>
      </c>
      <c r="L2773" s="3">
        <f t="shared" si="273"/>
        <v>1419.178082191781</v>
      </c>
      <c r="M2773" s="3">
        <f t="shared" si="274"/>
        <v>85.150684931506859</v>
      </c>
      <c r="N2773" s="67">
        <f t="shared" si="275"/>
        <v>1334.027397260274</v>
      </c>
      <c r="O2773" s="3"/>
      <c r="P2773" s="70" t="s">
        <v>18638</v>
      </c>
      <c r="Q2773" s="2" t="s">
        <v>116</v>
      </c>
      <c r="R2773" s="2" t="s">
        <v>4368</v>
      </c>
      <c r="T2773" t="s">
        <v>18666</v>
      </c>
      <c r="U2773" t="s">
        <v>18652</v>
      </c>
      <c r="V2773" s="104">
        <v>45857</v>
      </c>
      <c r="X2773" s="97"/>
      <c r="Y2773" s="75">
        <v>1334.03</v>
      </c>
    </row>
    <row r="2774" spans="1:25" x14ac:dyDescent="0.25">
      <c r="A2774" s="76">
        <v>2806</v>
      </c>
      <c r="B2774" s="2" t="s">
        <v>15320</v>
      </c>
      <c r="C2774" s="2" t="s">
        <v>15321</v>
      </c>
      <c r="D2774" s="2" t="s">
        <v>15322</v>
      </c>
      <c r="E2774" s="2" t="s">
        <v>15323</v>
      </c>
      <c r="F2774" s="2" t="s">
        <v>15324</v>
      </c>
      <c r="G2774" s="2" t="s">
        <v>618</v>
      </c>
      <c r="H2774" s="17">
        <v>25</v>
      </c>
      <c r="I2774" s="31">
        <f t="shared" si="270"/>
        <v>25000</v>
      </c>
      <c r="J2774" s="31">
        <f t="shared" si="271"/>
        <v>1750.0000000000002</v>
      </c>
      <c r="K2774" s="44">
        <f t="shared" si="272"/>
        <v>4.794520547945206</v>
      </c>
      <c r="L2774" s="3">
        <f t="shared" si="273"/>
        <v>354.79452054794524</v>
      </c>
      <c r="M2774" s="3">
        <f t="shared" si="274"/>
        <v>21.287671232876715</v>
      </c>
      <c r="N2774" s="67">
        <f t="shared" si="275"/>
        <v>333.50684931506851</v>
      </c>
      <c r="O2774" s="3"/>
      <c r="P2774" s="70" t="s">
        <v>18638</v>
      </c>
      <c r="Q2774" s="2" t="s">
        <v>116</v>
      </c>
      <c r="R2774" s="2" t="s">
        <v>15325</v>
      </c>
      <c r="T2774" t="s">
        <v>18666</v>
      </c>
      <c r="U2774" t="s">
        <v>18652</v>
      </c>
      <c r="V2774" s="104">
        <v>45857</v>
      </c>
      <c r="X2774" s="97"/>
      <c r="Y2774" s="75">
        <v>333.51</v>
      </c>
    </row>
    <row r="2775" spans="1:25" x14ac:dyDescent="0.25">
      <c r="A2775" s="76">
        <v>2807</v>
      </c>
      <c r="B2775" s="2" t="s">
        <v>5766</v>
      </c>
      <c r="C2775" s="2" t="s">
        <v>5767</v>
      </c>
      <c r="D2775" s="2" t="s">
        <v>5768</v>
      </c>
      <c r="E2775" s="2" t="s">
        <v>5769</v>
      </c>
      <c r="F2775" s="2" t="s">
        <v>5770</v>
      </c>
      <c r="G2775" s="2" t="s">
        <v>412</v>
      </c>
      <c r="H2775" s="17">
        <v>25</v>
      </c>
      <c r="I2775" s="31">
        <f t="shared" si="270"/>
        <v>25000</v>
      </c>
      <c r="J2775" s="31">
        <f t="shared" si="271"/>
        <v>1750.0000000000002</v>
      </c>
      <c r="K2775" s="44">
        <f t="shared" si="272"/>
        <v>4.794520547945206</v>
      </c>
      <c r="L2775" s="3">
        <f t="shared" si="273"/>
        <v>354.79452054794524</v>
      </c>
      <c r="M2775" s="3">
        <f t="shared" si="274"/>
        <v>21.287671232876715</v>
      </c>
      <c r="N2775" s="67">
        <f t="shared" si="275"/>
        <v>333.50684931506851</v>
      </c>
      <c r="O2775" s="3"/>
      <c r="P2775" s="70" t="s">
        <v>18638</v>
      </c>
      <c r="Q2775" s="2" t="s">
        <v>116</v>
      </c>
      <c r="R2775" s="2" t="s">
        <v>5771</v>
      </c>
      <c r="T2775" t="s">
        <v>18666</v>
      </c>
      <c r="U2775" t="s">
        <v>18652</v>
      </c>
      <c r="V2775" s="104">
        <v>45857</v>
      </c>
      <c r="X2775" s="97"/>
      <c r="Y2775" s="75">
        <v>333.51</v>
      </c>
    </row>
    <row r="2776" spans="1:25" x14ac:dyDescent="0.25">
      <c r="A2776" s="76">
        <v>2808</v>
      </c>
      <c r="B2776" s="2" t="s">
        <v>13869</v>
      </c>
      <c r="C2776" s="2" t="s">
        <v>13870</v>
      </c>
      <c r="D2776" s="2" t="s">
        <v>13871</v>
      </c>
      <c r="E2776" s="2" t="s">
        <v>13872</v>
      </c>
      <c r="F2776" s="2" t="s">
        <v>13873</v>
      </c>
      <c r="G2776" s="2" t="s">
        <v>618</v>
      </c>
      <c r="H2776" s="17">
        <v>25</v>
      </c>
      <c r="I2776" s="31">
        <f t="shared" si="270"/>
        <v>25000</v>
      </c>
      <c r="J2776" s="31">
        <f t="shared" si="271"/>
        <v>1750.0000000000002</v>
      </c>
      <c r="K2776" s="44">
        <f t="shared" si="272"/>
        <v>4.794520547945206</v>
      </c>
      <c r="L2776" s="3">
        <f t="shared" si="273"/>
        <v>354.79452054794524</v>
      </c>
      <c r="M2776" s="3">
        <f t="shared" si="274"/>
        <v>21.287671232876715</v>
      </c>
      <c r="N2776" s="67">
        <f t="shared" si="275"/>
        <v>333.50684931506851</v>
      </c>
      <c r="O2776" s="3"/>
      <c r="P2776" s="70" t="s">
        <v>18638</v>
      </c>
      <c r="Q2776" s="2" t="s">
        <v>116</v>
      </c>
      <c r="R2776" s="2" t="s">
        <v>13874</v>
      </c>
      <c r="T2776" t="s">
        <v>18666</v>
      </c>
      <c r="U2776" t="s">
        <v>18652</v>
      </c>
      <c r="V2776" s="104">
        <v>45857</v>
      </c>
      <c r="X2776" s="97"/>
      <c r="Y2776" s="75">
        <v>333.51</v>
      </c>
    </row>
    <row r="2777" spans="1:25" x14ac:dyDescent="0.25">
      <c r="A2777" s="76">
        <v>2809</v>
      </c>
      <c r="B2777" s="2" t="s">
        <v>1903</v>
      </c>
      <c r="C2777" s="2" t="s">
        <v>1904</v>
      </c>
      <c r="D2777" s="2" t="s">
        <v>1905</v>
      </c>
      <c r="E2777" s="2" t="s">
        <v>1906</v>
      </c>
      <c r="F2777" s="2" t="s">
        <v>1907</v>
      </c>
      <c r="G2777" s="2" t="s">
        <v>247</v>
      </c>
      <c r="H2777" s="17">
        <v>50</v>
      </c>
      <c r="I2777" s="31">
        <f t="shared" si="270"/>
        <v>50000</v>
      </c>
      <c r="J2777" s="31">
        <f t="shared" si="271"/>
        <v>3500.0000000000005</v>
      </c>
      <c r="K2777" s="44">
        <f t="shared" si="272"/>
        <v>9.589041095890412</v>
      </c>
      <c r="L2777" s="3">
        <f t="shared" si="273"/>
        <v>709.58904109589048</v>
      </c>
      <c r="M2777" s="3">
        <f t="shared" si="274"/>
        <v>42.57534246575343</v>
      </c>
      <c r="N2777" s="67">
        <f t="shared" si="275"/>
        <v>667.01369863013701</v>
      </c>
      <c r="O2777" s="3"/>
      <c r="P2777" s="70" t="s">
        <v>18638</v>
      </c>
      <c r="Q2777" s="2" t="s">
        <v>116</v>
      </c>
      <c r="R2777" s="2" t="s">
        <v>1908</v>
      </c>
      <c r="T2777" t="s">
        <v>18666</v>
      </c>
      <c r="U2777" t="s">
        <v>18652</v>
      </c>
      <c r="V2777" s="104">
        <v>45857</v>
      </c>
      <c r="X2777" s="97"/>
      <c r="Y2777" s="75">
        <v>667.02</v>
      </c>
    </row>
    <row r="2778" spans="1:25" x14ac:dyDescent="0.25">
      <c r="A2778" s="76">
        <v>2810</v>
      </c>
      <c r="B2778" s="2" t="s">
        <v>14739</v>
      </c>
      <c r="C2778" s="2" t="s">
        <v>14740</v>
      </c>
      <c r="D2778" s="2" t="s">
        <v>14741</v>
      </c>
      <c r="E2778" s="2" t="s">
        <v>14742</v>
      </c>
      <c r="F2778" s="2" t="s">
        <v>14743</v>
      </c>
      <c r="G2778" s="2" t="s">
        <v>412</v>
      </c>
      <c r="H2778" s="17">
        <v>25</v>
      </c>
      <c r="I2778" s="31">
        <f t="shared" si="270"/>
        <v>25000</v>
      </c>
      <c r="J2778" s="31">
        <f t="shared" si="271"/>
        <v>1750.0000000000002</v>
      </c>
      <c r="K2778" s="44">
        <f t="shared" si="272"/>
        <v>4.794520547945206</v>
      </c>
      <c r="L2778" s="3">
        <f t="shared" si="273"/>
        <v>354.79452054794524</v>
      </c>
      <c r="M2778" s="3">
        <f t="shared" si="274"/>
        <v>21.287671232876715</v>
      </c>
      <c r="N2778" s="67">
        <f t="shared" si="275"/>
        <v>333.50684931506851</v>
      </c>
      <c r="O2778" s="3"/>
      <c r="P2778" s="70" t="s">
        <v>18638</v>
      </c>
      <c r="Q2778" s="2" t="s">
        <v>116</v>
      </c>
      <c r="R2778" s="2" t="s">
        <v>14744</v>
      </c>
      <c r="T2778" t="s">
        <v>18666</v>
      </c>
      <c r="U2778" t="s">
        <v>18652</v>
      </c>
      <c r="V2778" s="104">
        <v>45857</v>
      </c>
      <c r="X2778" s="97"/>
      <c r="Y2778" s="75">
        <v>333.51</v>
      </c>
    </row>
    <row r="2779" spans="1:25" x14ac:dyDescent="0.25">
      <c r="A2779" s="76">
        <v>2811</v>
      </c>
      <c r="B2779" s="2" t="s">
        <v>4004</v>
      </c>
      <c r="C2779" s="2" t="s">
        <v>4005</v>
      </c>
      <c r="D2779" s="2" t="s">
        <v>4006</v>
      </c>
      <c r="E2779" s="2" t="s">
        <v>4007</v>
      </c>
      <c r="F2779" s="2" t="s">
        <v>4008</v>
      </c>
      <c r="G2779" s="2" t="s">
        <v>643</v>
      </c>
      <c r="H2779" s="17">
        <v>25</v>
      </c>
      <c r="I2779" s="31">
        <f t="shared" si="270"/>
        <v>25000</v>
      </c>
      <c r="J2779" s="31">
        <f t="shared" si="271"/>
        <v>1750.0000000000002</v>
      </c>
      <c r="K2779" s="44">
        <f t="shared" si="272"/>
        <v>4.794520547945206</v>
      </c>
      <c r="L2779" s="3">
        <f t="shared" si="273"/>
        <v>354.79452054794524</v>
      </c>
      <c r="M2779" s="3">
        <f t="shared" si="274"/>
        <v>21.287671232876715</v>
      </c>
      <c r="N2779" s="67">
        <f t="shared" si="275"/>
        <v>333.50684931506851</v>
      </c>
      <c r="O2779" s="3"/>
      <c r="P2779" s="70" t="s">
        <v>18638</v>
      </c>
      <c r="Q2779" s="2" t="s">
        <v>116</v>
      </c>
      <c r="R2779" s="2" t="s">
        <v>4009</v>
      </c>
      <c r="T2779" t="s">
        <v>18666</v>
      </c>
      <c r="U2779" t="s">
        <v>18652</v>
      </c>
      <c r="V2779" s="104">
        <v>45857</v>
      </c>
      <c r="X2779" s="97"/>
      <c r="Y2779" s="75">
        <v>333.51</v>
      </c>
    </row>
    <row r="2780" spans="1:25" x14ac:dyDescent="0.25">
      <c r="A2780" s="76">
        <v>2812</v>
      </c>
      <c r="B2780" s="2" t="s">
        <v>111</v>
      </c>
      <c r="C2780" s="2" t="s">
        <v>112</v>
      </c>
      <c r="D2780" s="2" t="s">
        <v>113</v>
      </c>
      <c r="E2780" s="2" t="s">
        <v>114</v>
      </c>
      <c r="F2780" s="2" t="s">
        <v>115</v>
      </c>
      <c r="G2780" s="2" t="s">
        <v>31</v>
      </c>
      <c r="H2780" s="17">
        <v>50</v>
      </c>
      <c r="I2780" s="31">
        <f t="shared" si="270"/>
        <v>50000</v>
      </c>
      <c r="J2780" s="31">
        <f t="shared" si="271"/>
        <v>3500.0000000000005</v>
      </c>
      <c r="K2780" s="44">
        <f t="shared" si="272"/>
        <v>9.589041095890412</v>
      </c>
      <c r="L2780" s="3">
        <f t="shared" si="273"/>
        <v>709.58904109589048</v>
      </c>
      <c r="M2780" s="3">
        <f t="shared" si="274"/>
        <v>42.57534246575343</v>
      </c>
      <c r="N2780" s="67">
        <f t="shared" si="275"/>
        <v>667.01369863013701</v>
      </c>
      <c r="O2780" s="3"/>
      <c r="P2780" s="70" t="s">
        <v>18638</v>
      </c>
      <c r="Q2780" s="2" t="s">
        <v>116</v>
      </c>
      <c r="R2780" s="2" t="s">
        <v>117</v>
      </c>
      <c r="T2780" t="s">
        <v>18666</v>
      </c>
      <c r="U2780" t="s">
        <v>18652</v>
      </c>
      <c r="V2780" s="104">
        <v>45857</v>
      </c>
      <c r="X2780" s="97"/>
      <c r="Y2780" s="75">
        <v>667.02</v>
      </c>
    </row>
    <row r="2781" spans="1:25" x14ac:dyDescent="0.25">
      <c r="A2781" s="76">
        <v>2813</v>
      </c>
      <c r="B2781" s="2" t="s">
        <v>2216</v>
      </c>
      <c r="C2781" s="2" t="s">
        <v>2217</v>
      </c>
      <c r="D2781" s="2" t="s">
        <v>2218</v>
      </c>
      <c r="E2781" s="2" t="s">
        <v>2219</v>
      </c>
      <c r="F2781" s="2" t="s">
        <v>2220</v>
      </c>
      <c r="G2781" s="2" t="s">
        <v>1136</v>
      </c>
      <c r="H2781" s="17">
        <v>50</v>
      </c>
      <c r="I2781" s="31">
        <f t="shared" si="270"/>
        <v>50000</v>
      </c>
      <c r="J2781" s="31">
        <f t="shared" si="271"/>
        <v>3500.0000000000005</v>
      </c>
      <c r="K2781" s="44">
        <f t="shared" si="272"/>
        <v>9.589041095890412</v>
      </c>
      <c r="L2781" s="3">
        <f t="shared" si="273"/>
        <v>709.58904109589048</v>
      </c>
      <c r="M2781" s="3">
        <f t="shared" si="274"/>
        <v>42.57534246575343</v>
      </c>
      <c r="N2781" s="67">
        <f t="shared" si="275"/>
        <v>667.01369863013701</v>
      </c>
      <c r="O2781" s="3"/>
      <c r="P2781" s="70" t="s">
        <v>18638</v>
      </c>
      <c r="Q2781" s="2" t="s">
        <v>116</v>
      </c>
      <c r="R2781" s="2" t="s">
        <v>2221</v>
      </c>
      <c r="T2781" t="s">
        <v>18666</v>
      </c>
      <c r="U2781" t="s">
        <v>18652</v>
      </c>
      <c r="V2781" s="104">
        <v>45857</v>
      </c>
      <c r="X2781" s="97"/>
      <c r="Y2781" s="75">
        <v>667.02</v>
      </c>
    </row>
    <row r="2782" spans="1:25" x14ac:dyDescent="0.25">
      <c r="A2782" s="76">
        <v>2814</v>
      </c>
      <c r="B2782" s="2" t="s">
        <v>12129</v>
      </c>
      <c r="C2782" s="2" t="s">
        <v>5387</v>
      </c>
      <c r="D2782" s="2" t="s">
        <v>12130</v>
      </c>
      <c r="E2782" s="2" t="s">
        <v>12131</v>
      </c>
      <c r="F2782" s="2" t="s">
        <v>12132</v>
      </c>
      <c r="G2782" s="2" t="s">
        <v>2624</v>
      </c>
      <c r="H2782" s="17">
        <v>25</v>
      </c>
      <c r="I2782" s="31">
        <f t="shared" si="270"/>
        <v>25000</v>
      </c>
      <c r="J2782" s="31">
        <f t="shared" si="271"/>
        <v>1750.0000000000002</v>
      </c>
      <c r="K2782" s="44">
        <f t="shared" si="272"/>
        <v>4.794520547945206</v>
      </c>
      <c r="L2782" s="3">
        <f t="shared" si="273"/>
        <v>354.79452054794524</v>
      </c>
      <c r="M2782" s="3">
        <f t="shared" si="274"/>
        <v>21.287671232876715</v>
      </c>
      <c r="N2782" s="67">
        <f t="shared" si="275"/>
        <v>333.50684931506851</v>
      </c>
      <c r="O2782" s="3"/>
      <c r="P2782" s="70" t="s">
        <v>18638</v>
      </c>
      <c r="Q2782" s="2" t="s">
        <v>116</v>
      </c>
      <c r="R2782" s="2" t="s">
        <v>12133</v>
      </c>
      <c r="T2782" t="s">
        <v>18666</v>
      </c>
      <c r="U2782" t="s">
        <v>18652</v>
      </c>
      <c r="V2782" s="104">
        <v>45857</v>
      </c>
      <c r="X2782" s="97"/>
      <c r="Y2782" s="75">
        <v>333.51</v>
      </c>
    </row>
    <row r="2783" spans="1:25" x14ac:dyDescent="0.25">
      <c r="A2783" s="76">
        <v>2815</v>
      </c>
      <c r="B2783" s="2" t="s">
        <v>3027</v>
      </c>
      <c r="C2783" s="2" t="s">
        <v>3028</v>
      </c>
      <c r="D2783" s="2" t="s">
        <v>3029</v>
      </c>
      <c r="E2783" s="2" t="s">
        <v>3030</v>
      </c>
      <c r="F2783" s="2" t="s">
        <v>3031</v>
      </c>
      <c r="G2783" s="2" t="s">
        <v>31</v>
      </c>
      <c r="H2783" s="17">
        <v>25</v>
      </c>
      <c r="I2783" s="31">
        <f t="shared" si="270"/>
        <v>25000</v>
      </c>
      <c r="J2783" s="31">
        <f t="shared" si="271"/>
        <v>1750.0000000000002</v>
      </c>
      <c r="K2783" s="44">
        <f t="shared" si="272"/>
        <v>4.794520547945206</v>
      </c>
      <c r="L2783" s="3">
        <f t="shared" si="273"/>
        <v>354.79452054794524</v>
      </c>
      <c r="M2783" s="3">
        <f t="shared" si="274"/>
        <v>21.287671232876715</v>
      </c>
      <c r="N2783" s="67">
        <f t="shared" si="275"/>
        <v>333.50684931506851</v>
      </c>
      <c r="O2783" s="3"/>
      <c r="P2783" s="70" t="s">
        <v>18638</v>
      </c>
      <c r="Q2783" s="2" t="s">
        <v>116</v>
      </c>
      <c r="R2783" s="2" t="s">
        <v>3032</v>
      </c>
      <c r="T2783" t="s">
        <v>18666</v>
      </c>
      <c r="U2783" t="s">
        <v>18652</v>
      </c>
      <c r="V2783" s="104">
        <v>45857</v>
      </c>
      <c r="X2783" s="97"/>
      <c r="Y2783" s="75">
        <v>333.51</v>
      </c>
    </row>
    <row r="2784" spans="1:25" x14ac:dyDescent="0.25">
      <c r="A2784" s="76">
        <v>2816</v>
      </c>
      <c r="B2784" s="2" t="s">
        <v>6906</v>
      </c>
      <c r="C2784" s="2" t="s">
        <v>6907</v>
      </c>
      <c r="D2784" s="2" t="s">
        <v>6908</v>
      </c>
      <c r="E2784" s="2" t="s">
        <v>6909</v>
      </c>
      <c r="F2784" s="2" t="s">
        <v>6910</v>
      </c>
      <c r="G2784" s="2" t="s">
        <v>1055</v>
      </c>
      <c r="H2784" s="17">
        <v>25</v>
      </c>
      <c r="I2784" s="31">
        <f t="shared" si="270"/>
        <v>25000</v>
      </c>
      <c r="J2784" s="31">
        <f t="shared" si="271"/>
        <v>1750.0000000000002</v>
      </c>
      <c r="K2784" s="44">
        <f t="shared" si="272"/>
        <v>4.794520547945206</v>
      </c>
      <c r="L2784" s="3">
        <f t="shared" si="273"/>
        <v>354.79452054794524</v>
      </c>
      <c r="M2784" s="3">
        <f t="shared" si="274"/>
        <v>21.287671232876715</v>
      </c>
      <c r="N2784" s="67">
        <f t="shared" si="275"/>
        <v>333.50684931506851</v>
      </c>
      <c r="O2784" s="3"/>
      <c r="P2784" s="70" t="s">
        <v>18638</v>
      </c>
      <c r="Q2784" s="2" t="s">
        <v>116</v>
      </c>
      <c r="R2784" s="2" t="s">
        <v>6911</v>
      </c>
      <c r="T2784" t="s">
        <v>18666</v>
      </c>
      <c r="U2784" t="s">
        <v>18652</v>
      </c>
      <c r="V2784" s="104">
        <v>45857</v>
      </c>
      <c r="X2784" s="97"/>
      <c r="Y2784" s="75">
        <v>333.51</v>
      </c>
    </row>
    <row r="2785" spans="1:25" x14ac:dyDescent="0.25">
      <c r="A2785" s="76">
        <v>2817</v>
      </c>
      <c r="B2785" s="2" t="s">
        <v>9745</v>
      </c>
      <c r="C2785" s="2" t="s">
        <v>9746</v>
      </c>
      <c r="D2785" s="2" t="s">
        <v>9747</v>
      </c>
      <c r="E2785" s="2" t="s">
        <v>9748</v>
      </c>
      <c r="F2785" s="2" t="s">
        <v>9749</v>
      </c>
      <c r="G2785" s="2" t="s">
        <v>268</v>
      </c>
      <c r="H2785" s="17">
        <v>25</v>
      </c>
      <c r="I2785" s="31">
        <f t="shared" si="270"/>
        <v>25000</v>
      </c>
      <c r="J2785" s="31">
        <f t="shared" si="271"/>
        <v>1750.0000000000002</v>
      </c>
      <c r="K2785" s="44">
        <f t="shared" si="272"/>
        <v>4.794520547945206</v>
      </c>
      <c r="L2785" s="3">
        <f t="shared" si="273"/>
        <v>354.79452054794524</v>
      </c>
      <c r="M2785" s="3">
        <f t="shared" si="274"/>
        <v>21.287671232876715</v>
      </c>
      <c r="N2785" s="67">
        <f t="shared" si="275"/>
        <v>333.50684931506851</v>
      </c>
      <c r="O2785" s="3"/>
      <c r="P2785" s="70" t="s">
        <v>18638</v>
      </c>
      <c r="Q2785" s="2" t="s">
        <v>116</v>
      </c>
      <c r="R2785" s="2" t="s">
        <v>9750</v>
      </c>
      <c r="T2785" t="s">
        <v>18666</v>
      </c>
      <c r="U2785" t="s">
        <v>18652</v>
      </c>
      <c r="V2785" s="104">
        <v>45857</v>
      </c>
      <c r="X2785" s="97"/>
      <c r="Y2785" s="75">
        <v>333.51</v>
      </c>
    </row>
    <row r="2786" spans="1:25" x14ac:dyDescent="0.25">
      <c r="A2786" s="76">
        <v>2818</v>
      </c>
      <c r="B2786" s="2" t="s">
        <v>10523</v>
      </c>
      <c r="C2786" s="2" t="s">
        <v>10524</v>
      </c>
      <c r="D2786" s="2" t="s">
        <v>10525</v>
      </c>
      <c r="E2786" s="2" t="s">
        <v>10526</v>
      </c>
      <c r="F2786" s="2" t="s">
        <v>10527</v>
      </c>
      <c r="G2786" s="2" t="s">
        <v>743</v>
      </c>
      <c r="H2786" s="17">
        <v>25</v>
      </c>
      <c r="I2786" s="31">
        <f t="shared" si="270"/>
        <v>25000</v>
      </c>
      <c r="J2786" s="31">
        <f t="shared" si="271"/>
        <v>1750.0000000000002</v>
      </c>
      <c r="K2786" s="44">
        <f t="shared" si="272"/>
        <v>4.794520547945206</v>
      </c>
      <c r="L2786" s="3">
        <f t="shared" si="273"/>
        <v>354.79452054794524</v>
      </c>
      <c r="M2786" s="3">
        <f t="shared" si="274"/>
        <v>21.287671232876715</v>
      </c>
      <c r="N2786" s="67">
        <f t="shared" si="275"/>
        <v>333.50684931506851</v>
      </c>
      <c r="O2786" s="3"/>
      <c r="P2786" s="70" t="s">
        <v>18638</v>
      </c>
      <c r="Q2786" s="2" t="s">
        <v>116</v>
      </c>
      <c r="R2786" s="2" t="s">
        <v>10528</v>
      </c>
      <c r="T2786" t="s">
        <v>18666</v>
      </c>
      <c r="U2786" t="s">
        <v>18652</v>
      </c>
      <c r="V2786" s="104">
        <v>45857</v>
      </c>
      <c r="X2786" s="97"/>
      <c r="Y2786" s="75">
        <v>333.51</v>
      </c>
    </row>
    <row r="2787" spans="1:25" x14ac:dyDescent="0.25">
      <c r="A2787" s="76">
        <v>2819</v>
      </c>
      <c r="B2787" s="2" t="s">
        <v>1777</v>
      </c>
      <c r="C2787" s="2" t="s">
        <v>1778</v>
      </c>
      <c r="D2787" s="2" t="s">
        <v>1779</v>
      </c>
      <c r="E2787" s="2" t="s">
        <v>1774</v>
      </c>
      <c r="F2787" s="2" t="s">
        <v>1780</v>
      </c>
      <c r="G2787" s="2" t="s">
        <v>282</v>
      </c>
      <c r="H2787" s="17">
        <v>25</v>
      </c>
      <c r="I2787" s="31">
        <f t="shared" si="270"/>
        <v>25000</v>
      </c>
      <c r="J2787" s="31">
        <f t="shared" si="271"/>
        <v>1750.0000000000002</v>
      </c>
      <c r="K2787" s="44">
        <f t="shared" si="272"/>
        <v>4.794520547945206</v>
      </c>
      <c r="L2787" s="3">
        <f t="shared" si="273"/>
        <v>354.79452054794524</v>
      </c>
      <c r="M2787" s="3">
        <f t="shared" si="274"/>
        <v>21.287671232876715</v>
      </c>
      <c r="N2787" s="67">
        <f t="shared" si="275"/>
        <v>333.50684931506851</v>
      </c>
      <c r="O2787" s="3"/>
      <c r="P2787" s="70" t="s">
        <v>18638</v>
      </c>
      <c r="Q2787" s="2" t="s">
        <v>116</v>
      </c>
      <c r="R2787" s="2" t="s">
        <v>1781</v>
      </c>
      <c r="T2787" t="s">
        <v>18666</v>
      </c>
      <c r="U2787" t="s">
        <v>18652</v>
      </c>
      <c r="V2787" s="104">
        <v>45857</v>
      </c>
      <c r="X2787" s="97"/>
      <c r="Y2787" s="75">
        <v>333.51</v>
      </c>
    </row>
    <row r="2788" spans="1:25" x14ac:dyDescent="0.25">
      <c r="A2788" s="76">
        <v>2820</v>
      </c>
      <c r="B2788" s="2" t="s">
        <v>1736</v>
      </c>
      <c r="C2788" s="2" t="s">
        <v>1737</v>
      </c>
      <c r="D2788" s="2" t="s">
        <v>1738</v>
      </c>
      <c r="E2788" s="2" t="s">
        <v>1739</v>
      </c>
      <c r="F2788" s="2" t="s">
        <v>1740</v>
      </c>
      <c r="G2788" s="2" t="s">
        <v>362</v>
      </c>
      <c r="H2788" s="17">
        <v>25</v>
      </c>
      <c r="I2788" s="31">
        <f t="shared" si="270"/>
        <v>25000</v>
      </c>
      <c r="J2788" s="31">
        <f t="shared" si="271"/>
        <v>1750.0000000000002</v>
      </c>
      <c r="K2788" s="44">
        <f t="shared" si="272"/>
        <v>4.794520547945206</v>
      </c>
      <c r="L2788" s="3">
        <f t="shared" si="273"/>
        <v>354.79452054794524</v>
      </c>
      <c r="M2788" s="3">
        <f t="shared" si="274"/>
        <v>21.287671232876715</v>
      </c>
      <c r="N2788" s="67">
        <f t="shared" si="275"/>
        <v>333.50684931506851</v>
      </c>
      <c r="O2788" s="3"/>
      <c r="P2788" s="70" t="s">
        <v>18638</v>
      </c>
      <c r="Q2788" s="2" t="s">
        <v>116</v>
      </c>
      <c r="R2788" s="2" t="s">
        <v>1741</v>
      </c>
      <c r="T2788" t="s">
        <v>18666</v>
      </c>
      <c r="U2788" t="s">
        <v>18652</v>
      </c>
      <c r="V2788" s="104">
        <v>45857</v>
      </c>
      <c r="X2788" s="97"/>
      <c r="Y2788" s="75">
        <v>333.51</v>
      </c>
    </row>
    <row r="2789" spans="1:25" x14ac:dyDescent="0.25">
      <c r="A2789" s="76">
        <v>2821</v>
      </c>
      <c r="B2789" s="2" t="s">
        <v>7755</v>
      </c>
      <c r="C2789" s="2" t="s">
        <v>7756</v>
      </c>
      <c r="D2789" s="2" t="s">
        <v>7757</v>
      </c>
      <c r="E2789" s="2" t="s">
        <v>7758</v>
      </c>
      <c r="F2789" s="2" t="s">
        <v>7759</v>
      </c>
      <c r="G2789" s="2" t="s">
        <v>186</v>
      </c>
      <c r="H2789" s="17">
        <v>50</v>
      </c>
      <c r="I2789" s="31">
        <f t="shared" si="270"/>
        <v>50000</v>
      </c>
      <c r="J2789" s="31">
        <f t="shared" si="271"/>
        <v>3500.0000000000005</v>
      </c>
      <c r="K2789" s="44">
        <f t="shared" si="272"/>
        <v>9.589041095890412</v>
      </c>
      <c r="L2789" s="3">
        <f t="shared" si="273"/>
        <v>709.58904109589048</v>
      </c>
      <c r="M2789" s="3">
        <f t="shared" si="274"/>
        <v>42.57534246575343</v>
      </c>
      <c r="N2789" s="67">
        <f t="shared" si="275"/>
        <v>667.01369863013701</v>
      </c>
      <c r="O2789" s="3"/>
      <c r="P2789" s="70" t="s">
        <v>18638</v>
      </c>
      <c r="Q2789" s="2" t="s">
        <v>116</v>
      </c>
      <c r="R2789" s="2" t="s">
        <v>7760</v>
      </c>
      <c r="T2789" t="s">
        <v>18666</v>
      </c>
      <c r="U2789" t="s">
        <v>18652</v>
      </c>
      <c r="V2789" s="104">
        <v>45857</v>
      </c>
      <c r="X2789" s="97"/>
      <c r="Y2789" s="75">
        <v>667.02</v>
      </c>
    </row>
    <row r="2790" spans="1:25" x14ac:dyDescent="0.25">
      <c r="A2790" s="76">
        <v>2822</v>
      </c>
      <c r="B2790" s="2" t="s">
        <v>4842</v>
      </c>
      <c r="C2790" s="2" t="s">
        <v>4843</v>
      </c>
      <c r="D2790" s="2" t="s">
        <v>4844</v>
      </c>
      <c r="E2790" s="2" t="s">
        <v>4845</v>
      </c>
      <c r="F2790" s="2" t="s">
        <v>4846</v>
      </c>
      <c r="G2790" s="2" t="s">
        <v>328</v>
      </c>
      <c r="H2790" s="17">
        <v>25</v>
      </c>
      <c r="I2790" s="31">
        <f t="shared" si="270"/>
        <v>25000</v>
      </c>
      <c r="J2790" s="31">
        <f t="shared" si="271"/>
        <v>1750.0000000000002</v>
      </c>
      <c r="K2790" s="44">
        <f t="shared" si="272"/>
        <v>4.794520547945206</v>
      </c>
      <c r="L2790" s="3">
        <f t="shared" si="273"/>
        <v>354.79452054794524</v>
      </c>
      <c r="M2790" s="3">
        <f t="shared" si="274"/>
        <v>21.287671232876715</v>
      </c>
      <c r="N2790" s="67">
        <f t="shared" si="275"/>
        <v>333.50684931506851</v>
      </c>
      <c r="O2790" s="3"/>
      <c r="P2790" s="70" t="s">
        <v>18638</v>
      </c>
      <c r="Q2790" s="2" t="s">
        <v>116</v>
      </c>
      <c r="R2790" s="2" t="s">
        <v>4847</v>
      </c>
      <c r="T2790" t="s">
        <v>18666</v>
      </c>
      <c r="U2790" t="s">
        <v>18652</v>
      </c>
      <c r="V2790" s="104">
        <v>45857</v>
      </c>
      <c r="X2790" s="97"/>
      <c r="Y2790" s="75">
        <v>333.51</v>
      </c>
    </row>
    <row r="2791" spans="1:25" x14ac:dyDescent="0.25">
      <c r="A2791" s="76">
        <v>2823</v>
      </c>
      <c r="B2791" s="2" t="s">
        <v>17667</v>
      </c>
      <c r="C2791" s="2" t="s">
        <v>17668</v>
      </c>
      <c r="D2791" s="2" t="s">
        <v>17669</v>
      </c>
      <c r="E2791" s="2" t="s">
        <v>17670</v>
      </c>
      <c r="F2791" s="2" t="s">
        <v>17671</v>
      </c>
      <c r="G2791" s="2" t="s">
        <v>31</v>
      </c>
      <c r="H2791" s="17">
        <v>50</v>
      </c>
      <c r="I2791" s="31">
        <f t="shared" si="270"/>
        <v>50000</v>
      </c>
      <c r="J2791" s="31">
        <f t="shared" si="271"/>
        <v>3500.0000000000005</v>
      </c>
      <c r="K2791" s="44">
        <f t="shared" si="272"/>
        <v>9.589041095890412</v>
      </c>
      <c r="L2791" s="3">
        <f t="shared" si="273"/>
        <v>709.58904109589048</v>
      </c>
      <c r="M2791" s="3">
        <f t="shared" si="274"/>
        <v>42.57534246575343</v>
      </c>
      <c r="N2791" s="67">
        <f t="shared" si="275"/>
        <v>667.01369863013701</v>
      </c>
      <c r="O2791" s="3"/>
      <c r="P2791" s="70" t="s">
        <v>18638</v>
      </c>
      <c r="Q2791" s="2" t="s">
        <v>116</v>
      </c>
      <c r="R2791" s="2" t="s">
        <v>17672</v>
      </c>
      <c r="T2791" t="s">
        <v>18666</v>
      </c>
      <c r="U2791" t="s">
        <v>18652</v>
      </c>
      <c r="V2791" s="104">
        <v>45857</v>
      </c>
      <c r="X2791" s="97"/>
      <c r="Y2791" s="75">
        <v>667.02</v>
      </c>
    </row>
    <row r="2792" spans="1:25" x14ac:dyDescent="0.25">
      <c r="A2792" s="76">
        <v>2824</v>
      </c>
      <c r="B2792" s="2" t="s">
        <v>16710</v>
      </c>
      <c r="C2792" s="2" t="s">
        <v>16711</v>
      </c>
      <c r="D2792" s="2" t="s">
        <v>16712</v>
      </c>
      <c r="E2792" s="2" t="s">
        <v>16713</v>
      </c>
      <c r="F2792" s="2" t="s">
        <v>16714</v>
      </c>
      <c r="G2792" s="2" t="s">
        <v>1136</v>
      </c>
      <c r="H2792" s="17">
        <v>25</v>
      </c>
      <c r="I2792" s="31">
        <f t="shared" si="270"/>
        <v>25000</v>
      </c>
      <c r="J2792" s="31">
        <f t="shared" si="271"/>
        <v>1750.0000000000002</v>
      </c>
      <c r="K2792" s="44">
        <f t="shared" si="272"/>
        <v>4.794520547945206</v>
      </c>
      <c r="L2792" s="3">
        <f t="shared" si="273"/>
        <v>354.79452054794524</v>
      </c>
      <c r="M2792" s="3">
        <f t="shared" si="274"/>
        <v>21.287671232876715</v>
      </c>
      <c r="N2792" s="67">
        <f t="shared" si="275"/>
        <v>333.50684931506851</v>
      </c>
      <c r="O2792" s="3"/>
      <c r="P2792" s="70" t="s">
        <v>18638</v>
      </c>
      <c r="Q2792" s="2" t="s">
        <v>116</v>
      </c>
      <c r="R2792" s="2" t="s">
        <v>16715</v>
      </c>
      <c r="T2792" t="s">
        <v>18666</v>
      </c>
      <c r="U2792" t="s">
        <v>18652</v>
      </c>
      <c r="V2792" s="104">
        <v>45857</v>
      </c>
      <c r="X2792" s="97"/>
      <c r="Y2792" s="75">
        <v>333.51</v>
      </c>
    </row>
    <row r="2793" spans="1:25" x14ac:dyDescent="0.25">
      <c r="A2793" s="76">
        <v>2825</v>
      </c>
      <c r="B2793" s="2" t="s">
        <v>1788</v>
      </c>
      <c r="C2793" s="2" t="s">
        <v>1789</v>
      </c>
      <c r="D2793" s="2" t="s">
        <v>1790</v>
      </c>
      <c r="E2793" s="2" t="s">
        <v>1791</v>
      </c>
      <c r="F2793" s="2" t="s">
        <v>1792</v>
      </c>
      <c r="G2793" s="2" t="s">
        <v>151</v>
      </c>
      <c r="H2793" s="17">
        <v>25</v>
      </c>
      <c r="I2793" s="31">
        <f t="shared" si="270"/>
        <v>25000</v>
      </c>
      <c r="J2793" s="31">
        <f t="shared" si="271"/>
        <v>1750.0000000000002</v>
      </c>
      <c r="K2793" s="44">
        <f t="shared" si="272"/>
        <v>4.794520547945206</v>
      </c>
      <c r="L2793" s="3">
        <f t="shared" si="273"/>
        <v>354.79452054794524</v>
      </c>
      <c r="M2793" s="3">
        <f t="shared" si="274"/>
        <v>21.287671232876715</v>
      </c>
      <c r="N2793" s="67">
        <f t="shared" si="275"/>
        <v>333.50684931506851</v>
      </c>
      <c r="O2793" s="3"/>
      <c r="P2793" s="70" t="s">
        <v>18638</v>
      </c>
      <c r="Q2793" s="2" t="s">
        <v>116</v>
      </c>
      <c r="R2793" s="2" t="s">
        <v>1793</v>
      </c>
      <c r="T2793" t="s">
        <v>18666</v>
      </c>
      <c r="U2793" t="s">
        <v>18652</v>
      </c>
      <c r="V2793" s="104">
        <v>45857</v>
      </c>
      <c r="X2793" s="97"/>
      <c r="Y2793" s="75">
        <v>333.51</v>
      </c>
    </row>
    <row r="2794" spans="1:25" x14ac:dyDescent="0.25">
      <c r="A2794" s="76">
        <v>2826</v>
      </c>
      <c r="B2794" s="2" t="s">
        <v>3914</v>
      </c>
      <c r="C2794" s="2" t="s">
        <v>3915</v>
      </c>
      <c r="D2794" s="2" t="s">
        <v>3916</v>
      </c>
      <c r="E2794" s="2" t="s">
        <v>3917</v>
      </c>
      <c r="F2794" s="2" t="s">
        <v>3918</v>
      </c>
      <c r="G2794" s="2" t="s">
        <v>599</v>
      </c>
      <c r="H2794" s="17">
        <v>25</v>
      </c>
      <c r="I2794" s="31">
        <f t="shared" si="270"/>
        <v>25000</v>
      </c>
      <c r="J2794" s="31">
        <f t="shared" si="271"/>
        <v>1750.0000000000002</v>
      </c>
      <c r="K2794" s="44">
        <f t="shared" si="272"/>
        <v>4.794520547945206</v>
      </c>
      <c r="L2794" s="3">
        <f t="shared" si="273"/>
        <v>354.79452054794524</v>
      </c>
      <c r="M2794" s="3">
        <f t="shared" si="274"/>
        <v>21.287671232876715</v>
      </c>
      <c r="N2794" s="67">
        <f t="shared" si="275"/>
        <v>333.50684931506851</v>
      </c>
      <c r="O2794" s="3"/>
      <c r="P2794" s="70" t="s">
        <v>18638</v>
      </c>
      <c r="Q2794" s="2" t="s">
        <v>116</v>
      </c>
      <c r="R2794" s="2" t="s">
        <v>3919</v>
      </c>
      <c r="T2794" t="s">
        <v>18666</v>
      </c>
      <c r="U2794" t="s">
        <v>18652</v>
      </c>
      <c r="V2794" s="104">
        <v>45857</v>
      </c>
      <c r="X2794" s="97"/>
      <c r="Y2794" s="75">
        <v>333.51</v>
      </c>
    </row>
    <row r="2795" spans="1:25" x14ac:dyDescent="0.25">
      <c r="A2795" s="76">
        <v>2827</v>
      </c>
      <c r="B2795" s="2" t="s">
        <v>7827</v>
      </c>
      <c r="C2795" s="2" t="s">
        <v>7828</v>
      </c>
      <c r="D2795" s="2" t="s">
        <v>2766</v>
      </c>
      <c r="E2795" s="2" t="s">
        <v>7829</v>
      </c>
      <c r="F2795" s="2" t="s">
        <v>7830</v>
      </c>
      <c r="G2795" s="2" t="s">
        <v>296</v>
      </c>
      <c r="H2795" s="17">
        <v>25</v>
      </c>
      <c r="I2795" s="31">
        <f t="shared" si="270"/>
        <v>25000</v>
      </c>
      <c r="J2795" s="31">
        <f t="shared" si="271"/>
        <v>1750.0000000000002</v>
      </c>
      <c r="K2795" s="44">
        <f t="shared" si="272"/>
        <v>4.794520547945206</v>
      </c>
      <c r="L2795" s="3">
        <f t="shared" si="273"/>
        <v>354.79452054794524</v>
      </c>
      <c r="M2795" s="3">
        <f t="shared" si="274"/>
        <v>21.287671232876715</v>
      </c>
      <c r="N2795" s="67">
        <f t="shared" si="275"/>
        <v>333.50684931506851</v>
      </c>
      <c r="O2795" s="3"/>
      <c r="P2795" s="70" t="s">
        <v>18638</v>
      </c>
      <c r="Q2795" s="2" t="s">
        <v>116</v>
      </c>
      <c r="R2795" s="2" t="s">
        <v>7831</v>
      </c>
      <c r="T2795" t="s">
        <v>18666</v>
      </c>
      <c r="U2795" t="s">
        <v>18652</v>
      </c>
      <c r="V2795" s="104">
        <v>45857</v>
      </c>
      <c r="X2795" s="97"/>
      <c r="Y2795" s="75">
        <v>333.51</v>
      </c>
    </row>
    <row r="2796" spans="1:25" x14ac:dyDescent="0.25">
      <c r="A2796" s="76">
        <v>2828</v>
      </c>
      <c r="B2796" s="2" t="s">
        <v>1872</v>
      </c>
      <c r="C2796" s="2" t="s">
        <v>1873</v>
      </c>
      <c r="D2796" s="2" t="s">
        <v>1874</v>
      </c>
      <c r="E2796" s="2" t="s">
        <v>1875</v>
      </c>
      <c r="F2796" s="2" t="s">
        <v>1876</v>
      </c>
      <c r="G2796" s="2" t="s">
        <v>835</v>
      </c>
      <c r="H2796" s="17">
        <v>25</v>
      </c>
      <c r="I2796" s="31">
        <f t="shared" si="270"/>
        <v>25000</v>
      </c>
      <c r="J2796" s="31">
        <f t="shared" si="271"/>
        <v>1750.0000000000002</v>
      </c>
      <c r="K2796" s="44">
        <f t="shared" si="272"/>
        <v>4.794520547945206</v>
      </c>
      <c r="L2796" s="3">
        <f t="shared" si="273"/>
        <v>354.79452054794524</v>
      </c>
      <c r="M2796" s="3">
        <f t="shared" si="274"/>
        <v>21.287671232876715</v>
      </c>
      <c r="N2796" s="67">
        <f t="shared" si="275"/>
        <v>333.50684931506851</v>
      </c>
      <c r="O2796" s="3"/>
      <c r="P2796" s="70" t="s">
        <v>18638</v>
      </c>
      <c r="Q2796" s="2" t="s">
        <v>116</v>
      </c>
      <c r="R2796" s="2" t="s">
        <v>1877</v>
      </c>
      <c r="T2796" t="s">
        <v>18666</v>
      </c>
      <c r="U2796" t="s">
        <v>18652</v>
      </c>
      <c r="V2796" s="104">
        <v>45857</v>
      </c>
      <c r="X2796" s="97"/>
      <c r="Y2796" s="75">
        <v>333.51</v>
      </c>
    </row>
    <row r="2797" spans="1:25" x14ac:dyDescent="0.25">
      <c r="A2797" s="76">
        <v>2829</v>
      </c>
      <c r="B2797" s="2" t="s">
        <v>4157</v>
      </c>
      <c r="C2797" s="2" t="s">
        <v>4158</v>
      </c>
      <c r="D2797" s="2" t="s">
        <v>4159</v>
      </c>
      <c r="E2797" s="2" t="s">
        <v>4160</v>
      </c>
      <c r="F2797" s="2" t="s">
        <v>4161</v>
      </c>
      <c r="G2797" s="2" t="s">
        <v>328</v>
      </c>
      <c r="H2797" s="17">
        <v>25</v>
      </c>
      <c r="I2797" s="31">
        <f t="shared" si="270"/>
        <v>25000</v>
      </c>
      <c r="J2797" s="31">
        <f t="shared" si="271"/>
        <v>1750.0000000000002</v>
      </c>
      <c r="K2797" s="44">
        <f t="shared" si="272"/>
        <v>4.794520547945206</v>
      </c>
      <c r="L2797" s="3">
        <f t="shared" si="273"/>
        <v>354.79452054794524</v>
      </c>
      <c r="M2797" s="3">
        <f t="shared" si="274"/>
        <v>21.287671232876715</v>
      </c>
      <c r="N2797" s="67">
        <f t="shared" si="275"/>
        <v>333.50684931506851</v>
      </c>
      <c r="O2797" s="3"/>
      <c r="P2797" s="70" t="s">
        <v>18638</v>
      </c>
      <c r="Q2797" s="2" t="s">
        <v>116</v>
      </c>
      <c r="R2797" s="2" t="s">
        <v>4162</v>
      </c>
      <c r="T2797" t="s">
        <v>18666</v>
      </c>
      <c r="U2797" t="s">
        <v>18652</v>
      </c>
      <c r="V2797" s="104">
        <v>45857</v>
      </c>
      <c r="X2797" s="97"/>
      <c r="Y2797" s="75">
        <v>333.51</v>
      </c>
    </row>
    <row r="2798" spans="1:25" x14ac:dyDescent="0.25">
      <c r="A2798" s="76">
        <v>2830</v>
      </c>
      <c r="B2798" s="2" t="s">
        <v>7931</v>
      </c>
      <c r="C2798" s="2" t="s">
        <v>7469</v>
      </c>
      <c r="D2798" s="2" t="s">
        <v>7932</v>
      </c>
      <c r="E2798" s="2" t="s">
        <v>7933</v>
      </c>
      <c r="F2798" s="2" t="s">
        <v>7934</v>
      </c>
      <c r="G2798" s="2" t="s">
        <v>39</v>
      </c>
      <c r="H2798" s="17">
        <v>25</v>
      </c>
      <c r="I2798" s="31">
        <f t="shared" si="270"/>
        <v>25000</v>
      </c>
      <c r="J2798" s="31">
        <f t="shared" si="271"/>
        <v>1750.0000000000002</v>
      </c>
      <c r="K2798" s="44">
        <f t="shared" si="272"/>
        <v>4.794520547945206</v>
      </c>
      <c r="L2798" s="3">
        <f t="shared" si="273"/>
        <v>354.79452054794524</v>
      </c>
      <c r="M2798" s="3">
        <f t="shared" si="274"/>
        <v>21.287671232876715</v>
      </c>
      <c r="N2798" s="67">
        <f t="shared" si="275"/>
        <v>333.50684931506851</v>
      </c>
      <c r="O2798" s="3"/>
      <c r="P2798" s="70" t="s">
        <v>18638</v>
      </c>
      <c r="Q2798" s="2" t="s">
        <v>116</v>
      </c>
      <c r="R2798" s="2" t="s">
        <v>7935</v>
      </c>
      <c r="T2798" t="s">
        <v>18666</v>
      </c>
      <c r="U2798" t="s">
        <v>18652</v>
      </c>
      <c r="V2798" s="104">
        <v>45857</v>
      </c>
      <c r="X2798" s="97"/>
      <c r="Y2798" s="75">
        <v>333.51</v>
      </c>
    </row>
    <row r="2799" spans="1:25" x14ac:dyDescent="0.25">
      <c r="A2799" s="76">
        <v>2831</v>
      </c>
      <c r="B2799" s="2" t="s">
        <v>10054</v>
      </c>
      <c r="C2799" s="2" t="s">
        <v>10055</v>
      </c>
      <c r="D2799" s="2" t="s">
        <v>10056</v>
      </c>
      <c r="E2799" s="2" t="s">
        <v>10057</v>
      </c>
      <c r="F2799" s="2" t="s">
        <v>10058</v>
      </c>
      <c r="G2799" s="2" t="s">
        <v>876</v>
      </c>
      <c r="H2799" s="17">
        <v>25</v>
      </c>
      <c r="I2799" s="31">
        <f t="shared" si="270"/>
        <v>25000</v>
      </c>
      <c r="J2799" s="31">
        <f t="shared" si="271"/>
        <v>1750.0000000000002</v>
      </c>
      <c r="K2799" s="44">
        <f t="shared" si="272"/>
        <v>4.794520547945206</v>
      </c>
      <c r="L2799" s="3">
        <f t="shared" si="273"/>
        <v>354.79452054794524</v>
      </c>
      <c r="M2799" s="3">
        <f t="shared" si="274"/>
        <v>21.287671232876715</v>
      </c>
      <c r="N2799" s="67">
        <f t="shared" si="275"/>
        <v>333.50684931506851</v>
      </c>
      <c r="O2799" s="3"/>
      <c r="P2799" s="70" t="s">
        <v>18638</v>
      </c>
      <c r="Q2799" s="2" t="s">
        <v>116</v>
      </c>
      <c r="R2799" s="2" t="s">
        <v>10059</v>
      </c>
      <c r="T2799" t="s">
        <v>18666</v>
      </c>
      <c r="U2799" t="s">
        <v>18652</v>
      </c>
      <c r="V2799" s="104">
        <v>45857</v>
      </c>
      <c r="X2799" s="97"/>
      <c r="Y2799" s="75">
        <v>333.51</v>
      </c>
    </row>
    <row r="2800" spans="1:25" x14ac:dyDescent="0.25">
      <c r="A2800" s="76">
        <v>2832</v>
      </c>
      <c r="B2800" s="2" t="s">
        <v>2804</v>
      </c>
      <c r="C2800" s="2" t="s">
        <v>2805</v>
      </c>
      <c r="D2800" s="2" t="s">
        <v>2806</v>
      </c>
      <c r="E2800" s="2" t="s">
        <v>2807</v>
      </c>
      <c r="F2800" s="2" t="s">
        <v>2808</v>
      </c>
      <c r="G2800" s="2" t="s">
        <v>74</v>
      </c>
      <c r="H2800" s="17">
        <v>35</v>
      </c>
      <c r="I2800" s="31">
        <f t="shared" si="270"/>
        <v>35000</v>
      </c>
      <c r="J2800" s="31">
        <f t="shared" si="271"/>
        <v>2450.0000000000005</v>
      </c>
      <c r="K2800" s="44">
        <f t="shared" si="272"/>
        <v>6.7123287671232887</v>
      </c>
      <c r="L2800" s="3">
        <f t="shared" si="273"/>
        <v>496.71232876712338</v>
      </c>
      <c r="M2800" s="3">
        <f t="shared" si="274"/>
        <v>29.802739726027401</v>
      </c>
      <c r="N2800" s="67">
        <f t="shared" si="275"/>
        <v>466.90958904109596</v>
      </c>
      <c r="O2800" s="3"/>
      <c r="P2800" s="70" t="s">
        <v>18638</v>
      </c>
      <c r="Q2800" s="2" t="s">
        <v>116</v>
      </c>
      <c r="R2800" s="2" t="s">
        <v>2809</v>
      </c>
      <c r="T2800" t="s">
        <v>18666</v>
      </c>
      <c r="U2800" t="s">
        <v>18652</v>
      </c>
      <c r="V2800" s="104">
        <v>45857</v>
      </c>
      <c r="X2800" s="97"/>
      <c r="Y2800" s="75">
        <v>466.90999999999997</v>
      </c>
    </row>
    <row r="2801" spans="1:25" x14ac:dyDescent="0.25">
      <c r="A2801" s="76">
        <v>2833</v>
      </c>
      <c r="B2801" s="2" t="s">
        <v>17178</v>
      </c>
      <c r="C2801" s="2" t="s">
        <v>17179</v>
      </c>
      <c r="D2801" s="2" t="s">
        <v>17180</v>
      </c>
      <c r="E2801" s="2" t="s">
        <v>17181</v>
      </c>
      <c r="F2801" s="2" t="s">
        <v>17182</v>
      </c>
      <c r="G2801" s="2" t="s">
        <v>233</v>
      </c>
      <c r="H2801" s="17">
        <v>25</v>
      </c>
      <c r="I2801" s="31">
        <f t="shared" si="270"/>
        <v>25000</v>
      </c>
      <c r="J2801" s="31">
        <f t="shared" si="271"/>
        <v>1750.0000000000002</v>
      </c>
      <c r="K2801" s="44">
        <f t="shared" si="272"/>
        <v>4.794520547945206</v>
      </c>
      <c r="L2801" s="3">
        <f t="shared" si="273"/>
        <v>354.79452054794524</v>
      </c>
      <c r="M2801" s="3">
        <f t="shared" si="274"/>
        <v>21.287671232876715</v>
      </c>
      <c r="N2801" s="67">
        <f t="shared" si="275"/>
        <v>333.50684931506851</v>
      </c>
      <c r="O2801" s="3"/>
      <c r="P2801" s="70" t="s">
        <v>18638</v>
      </c>
      <c r="Q2801" s="2" t="s">
        <v>116</v>
      </c>
      <c r="R2801" s="2" t="s">
        <v>17183</v>
      </c>
      <c r="T2801" t="s">
        <v>18666</v>
      </c>
      <c r="U2801" t="s">
        <v>18652</v>
      </c>
      <c r="V2801" s="104">
        <v>45857</v>
      </c>
      <c r="X2801" s="97"/>
      <c r="Y2801" s="75">
        <v>333.51</v>
      </c>
    </row>
    <row r="2802" spans="1:25" x14ac:dyDescent="0.25">
      <c r="A2802" s="76">
        <v>2834</v>
      </c>
      <c r="B2802" s="2" t="s">
        <v>7173</v>
      </c>
      <c r="C2802" s="2" t="s">
        <v>7174</v>
      </c>
      <c r="D2802" s="2" t="s">
        <v>7175</v>
      </c>
      <c r="E2802" s="2" t="s">
        <v>7176</v>
      </c>
      <c r="F2802" s="2" t="s">
        <v>7177</v>
      </c>
      <c r="G2802" s="2" t="s">
        <v>23</v>
      </c>
      <c r="H2802" s="17">
        <v>25</v>
      </c>
      <c r="I2802" s="31">
        <f t="shared" si="270"/>
        <v>25000</v>
      </c>
      <c r="J2802" s="31">
        <f t="shared" si="271"/>
        <v>1750.0000000000002</v>
      </c>
      <c r="K2802" s="44">
        <f t="shared" si="272"/>
        <v>4.794520547945206</v>
      </c>
      <c r="L2802" s="3">
        <f t="shared" si="273"/>
        <v>354.79452054794524</v>
      </c>
      <c r="M2802" s="3">
        <f t="shared" si="274"/>
        <v>21.287671232876715</v>
      </c>
      <c r="N2802" s="67">
        <f t="shared" si="275"/>
        <v>333.50684931506851</v>
      </c>
      <c r="O2802" s="3"/>
      <c r="P2802" s="70" t="s">
        <v>18639</v>
      </c>
      <c r="Q2802" s="2" t="s">
        <v>94</v>
      </c>
      <c r="R2802" s="2" t="s">
        <v>7178</v>
      </c>
      <c r="T2802" t="s">
        <v>18666</v>
      </c>
      <c r="U2802" t="s">
        <v>18652</v>
      </c>
      <c r="V2802" s="104">
        <v>45857</v>
      </c>
      <c r="X2802" s="97"/>
      <c r="Y2802" s="75">
        <v>333.51</v>
      </c>
    </row>
    <row r="2803" spans="1:25" x14ac:dyDescent="0.25">
      <c r="A2803" s="76">
        <v>2835</v>
      </c>
      <c r="B2803" s="2" t="s">
        <v>1963</v>
      </c>
      <c r="C2803" s="2" t="s">
        <v>1964</v>
      </c>
      <c r="D2803" s="2" t="s">
        <v>1965</v>
      </c>
      <c r="E2803" s="2" t="s">
        <v>1966</v>
      </c>
      <c r="F2803" s="2" t="s">
        <v>1967</v>
      </c>
      <c r="G2803" s="2" t="s">
        <v>31</v>
      </c>
      <c r="H2803" s="17">
        <v>300</v>
      </c>
      <c r="I2803" s="31">
        <f t="shared" si="270"/>
        <v>300000</v>
      </c>
      <c r="J2803" s="31">
        <f t="shared" si="271"/>
        <v>21000.000000000004</v>
      </c>
      <c r="K2803" s="44">
        <f t="shared" si="272"/>
        <v>57.534246575342479</v>
      </c>
      <c r="L2803" s="3">
        <f t="shared" si="273"/>
        <v>4257.5342465753438</v>
      </c>
      <c r="M2803" s="3">
        <f t="shared" si="274"/>
        <v>255.45205479452062</v>
      </c>
      <c r="N2803" s="67">
        <f t="shared" si="275"/>
        <v>4002.082191780823</v>
      </c>
      <c r="O2803" s="3"/>
      <c r="P2803" s="70" t="s">
        <v>18639</v>
      </c>
      <c r="Q2803" s="2" t="s">
        <v>94</v>
      </c>
      <c r="R2803" s="2" t="s">
        <v>1968</v>
      </c>
      <c r="T2803" t="s">
        <v>18666</v>
      </c>
      <c r="U2803" t="s">
        <v>18652</v>
      </c>
      <c r="V2803" s="104">
        <v>45857</v>
      </c>
      <c r="X2803" s="97"/>
      <c r="Y2803" s="75">
        <v>4002.09</v>
      </c>
    </row>
    <row r="2804" spans="1:25" x14ac:dyDescent="0.25">
      <c r="A2804" s="76">
        <v>2836</v>
      </c>
      <c r="B2804" s="2" t="s">
        <v>12531</v>
      </c>
      <c r="C2804" s="2" t="s">
        <v>12532</v>
      </c>
      <c r="D2804" s="2" t="s">
        <v>12533</v>
      </c>
      <c r="E2804" s="2" t="s">
        <v>12534</v>
      </c>
      <c r="F2804" s="2" t="s">
        <v>12535</v>
      </c>
      <c r="G2804" s="2" t="s">
        <v>618</v>
      </c>
      <c r="H2804" s="17">
        <v>50</v>
      </c>
      <c r="I2804" s="31">
        <f t="shared" si="270"/>
        <v>50000</v>
      </c>
      <c r="J2804" s="31">
        <f t="shared" si="271"/>
        <v>3500.0000000000005</v>
      </c>
      <c r="K2804" s="44">
        <f t="shared" si="272"/>
        <v>9.589041095890412</v>
      </c>
      <c r="L2804" s="3">
        <f t="shared" si="273"/>
        <v>709.58904109589048</v>
      </c>
      <c r="M2804" s="3">
        <f t="shared" si="274"/>
        <v>42.57534246575343</v>
      </c>
      <c r="N2804" s="67">
        <f t="shared" si="275"/>
        <v>667.01369863013701</v>
      </c>
      <c r="O2804" s="3"/>
      <c r="P2804" s="70" t="s">
        <v>18639</v>
      </c>
      <c r="Q2804" s="2" t="s">
        <v>94</v>
      </c>
      <c r="R2804" s="2" t="s">
        <v>12536</v>
      </c>
      <c r="T2804" t="s">
        <v>18666</v>
      </c>
      <c r="U2804" t="s">
        <v>18652</v>
      </c>
      <c r="V2804" s="104">
        <v>45857</v>
      </c>
      <c r="X2804" s="97"/>
      <c r="Y2804" s="75">
        <v>667.02</v>
      </c>
    </row>
    <row r="2805" spans="1:25" x14ac:dyDescent="0.25">
      <c r="A2805" s="76">
        <v>2837</v>
      </c>
      <c r="B2805" s="2" t="s">
        <v>15332</v>
      </c>
      <c r="C2805" s="2" t="s">
        <v>15333</v>
      </c>
      <c r="D2805" s="2" t="s">
        <v>15334</v>
      </c>
      <c r="E2805" s="2" t="s">
        <v>15335</v>
      </c>
      <c r="F2805" s="2" t="s">
        <v>15336</v>
      </c>
      <c r="G2805" s="2" t="s">
        <v>218</v>
      </c>
      <c r="H2805" s="17">
        <v>25</v>
      </c>
      <c r="I2805" s="31">
        <f t="shared" si="270"/>
        <v>25000</v>
      </c>
      <c r="J2805" s="31">
        <f t="shared" si="271"/>
        <v>1750.0000000000002</v>
      </c>
      <c r="K2805" s="44">
        <f t="shared" si="272"/>
        <v>4.794520547945206</v>
      </c>
      <c r="L2805" s="3">
        <f t="shared" si="273"/>
        <v>354.79452054794524</v>
      </c>
      <c r="M2805" s="3">
        <f t="shared" si="274"/>
        <v>21.287671232876715</v>
      </c>
      <c r="N2805" s="67">
        <f t="shared" si="275"/>
        <v>333.50684931506851</v>
      </c>
      <c r="O2805" s="3"/>
      <c r="P2805" s="70" t="s">
        <v>18639</v>
      </c>
      <c r="Q2805" s="2" t="s">
        <v>94</v>
      </c>
      <c r="R2805" s="2" t="s">
        <v>15337</v>
      </c>
      <c r="T2805" t="s">
        <v>18666</v>
      </c>
      <c r="U2805" t="s">
        <v>18652</v>
      </c>
      <c r="V2805" s="104">
        <v>45857</v>
      </c>
      <c r="X2805" s="97"/>
      <c r="Y2805" s="75">
        <v>333.51</v>
      </c>
    </row>
    <row r="2806" spans="1:25" x14ac:dyDescent="0.25">
      <c r="A2806" s="76">
        <v>2838</v>
      </c>
      <c r="B2806" s="2" t="s">
        <v>7884</v>
      </c>
      <c r="C2806" s="2" t="s">
        <v>7885</v>
      </c>
      <c r="D2806" s="2" t="s">
        <v>7886</v>
      </c>
      <c r="E2806" s="2" t="s">
        <v>6237</v>
      </c>
      <c r="F2806" s="2" t="s">
        <v>7887</v>
      </c>
      <c r="G2806" s="2" t="s">
        <v>524</v>
      </c>
      <c r="H2806" s="17">
        <v>25</v>
      </c>
      <c r="I2806" s="31">
        <f t="shared" si="270"/>
        <v>25000</v>
      </c>
      <c r="J2806" s="31">
        <f t="shared" si="271"/>
        <v>1750.0000000000002</v>
      </c>
      <c r="K2806" s="44">
        <f t="shared" si="272"/>
        <v>4.794520547945206</v>
      </c>
      <c r="L2806" s="3">
        <f t="shared" si="273"/>
        <v>354.79452054794524</v>
      </c>
      <c r="M2806" s="3">
        <f t="shared" si="274"/>
        <v>21.287671232876715</v>
      </c>
      <c r="N2806" s="67">
        <f t="shared" si="275"/>
        <v>333.50684931506851</v>
      </c>
      <c r="O2806" s="3"/>
      <c r="P2806" s="70" t="s">
        <v>18639</v>
      </c>
      <c r="Q2806" s="2" t="s">
        <v>94</v>
      </c>
      <c r="R2806" s="2" t="s">
        <v>7888</v>
      </c>
      <c r="T2806" t="s">
        <v>18666</v>
      </c>
      <c r="U2806" t="s">
        <v>18652</v>
      </c>
      <c r="V2806" s="104">
        <v>45857</v>
      </c>
      <c r="X2806" s="97"/>
      <c r="Y2806" s="75">
        <v>333.51</v>
      </c>
    </row>
    <row r="2807" spans="1:25" x14ac:dyDescent="0.25">
      <c r="A2807" s="76">
        <v>2839</v>
      </c>
      <c r="B2807" s="2" t="s">
        <v>14071</v>
      </c>
      <c r="C2807" s="2" t="s">
        <v>14072</v>
      </c>
      <c r="D2807" s="2" t="s">
        <v>14073</v>
      </c>
      <c r="E2807" s="2" t="s">
        <v>14074</v>
      </c>
      <c r="F2807" s="2" t="s">
        <v>14075</v>
      </c>
      <c r="G2807" s="2" t="s">
        <v>1424</v>
      </c>
      <c r="H2807" s="17">
        <v>25</v>
      </c>
      <c r="I2807" s="31">
        <f t="shared" si="270"/>
        <v>25000</v>
      </c>
      <c r="J2807" s="31">
        <f t="shared" si="271"/>
        <v>1750.0000000000002</v>
      </c>
      <c r="K2807" s="44">
        <f t="shared" si="272"/>
        <v>4.794520547945206</v>
      </c>
      <c r="L2807" s="3">
        <f t="shared" si="273"/>
        <v>354.79452054794524</v>
      </c>
      <c r="M2807" s="3">
        <f t="shared" si="274"/>
        <v>21.287671232876715</v>
      </c>
      <c r="N2807" s="67">
        <f t="shared" si="275"/>
        <v>333.50684931506851</v>
      </c>
      <c r="O2807" s="3"/>
      <c r="P2807" s="70" t="s">
        <v>18639</v>
      </c>
      <c r="Q2807" s="2" t="s">
        <v>94</v>
      </c>
      <c r="R2807" s="2" t="s">
        <v>14076</v>
      </c>
      <c r="T2807" t="s">
        <v>18666</v>
      </c>
      <c r="U2807" t="s">
        <v>18652</v>
      </c>
      <c r="V2807" s="104">
        <v>45857</v>
      </c>
      <c r="X2807" s="97"/>
      <c r="Y2807" s="75">
        <v>333.51</v>
      </c>
    </row>
    <row r="2808" spans="1:25" x14ac:dyDescent="0.25">
      <c r="A2808" s="76">
        <v>2840</v>
      </c>
      <c r="B2808" s="2" t="s">
        <v>10113</v>
      </c>
      <c r="C2808" s="2" t="s">
        <v>10114</v>
      </c>
      <c r="D2808" s="2" t="s">
        <v>10115</v>
      </c>
      <c r="E2808" s="2" t="s">
        <v>2455</v>
      </c>
      <c r="F2808" s="2" t="s">
        <v>10116</v>
      </c>
      <c r="G2808" s="2" t="s">
        <v>186</v>
      </c>
      <c r="H2808" s="17">
        <v>25</v>
      </c>
      <c r="I2808" s="31">
        <f t="shared" si="270"/>
        <v>25000</v>
      </c>
      <c r="J2808" s="31">
        <f t="shared" si="271"/>
        <v>1750.0000000000002</v>
      </c>
      <c r="K2808" s="44">
        <f t="shared" si="272"/>
        <v>4.794520547945206</v>
      </c>
      <c r="L2808" s="3">
        <f t="shared" si="273"/>
        <v>354.79452054794524</v>
      </c>
      <c r="M2808" s="3">
        <f t="shared" si="274"/>
        <v>21.287671232876715</v>
      </c>
      <c r="N2808" s="67">
        <f t="shared" si="275"/>
        <v>333.50684931506851</v>
      </c>
      <c r="O2808" s="3"/>
      <c r="P2808" s="70" t="s">
        <v>18639</v>
      </c>
      <c r="Q2808" s="2" t="s">
        <v>94</v>
      </c>
      <c r="R2808" s="2" t="s">
        <v>10117</v>
      </c>
      <c r="T2808" t="s">
        <v>18666</v>
      </c>
      <c r="U2808" t="s">
        <v>18652</v>
      </c>
      <c r="V2808" s="104">
        <v>45857</v>
      </c>
      <c r="X2808" s="97"/>
      <c r="Y2808" s="75">
        <v>333.51</v>
      </c>
    </row>
    <row r="2809" spans="1:25" x14ac:dyDescent="0.25">
      <c r="A2809" s="76">
        <v>2841</v>
      </c>
      <c r="B2809" s="2" t="s">
        <v>18013</v>
      </c>
      <c r="C2809" s="2" t="s">
        <v>18014</v>
      </c>
      <c r="D2809" s="2" t="s">
        <v>18015</v>
      </c>
      <c r="E2809" s="2" t="s">
        <v>245</v>
      </c>
      <c r="F2809" s="2" t="s">
        <v>18016</v>
      </c>
      <c r="G2809" s="2" t="s">
        <v>31</v>
      </c>
      <c r="H2809" s="17">
        <v>600</v>
      </c>
      <c r="I2809" s="31">
        <f t="shared" si="270"/>
        <v>600000</v>
      </c>
      <c r="J2809" s="31">
        <f t="shared" si="271"/>
        <v>42000.000000000007</v>
      </c>
      <c r="K2809" s="44">
        <f t="shared" si="272"/>
        <v>115.06849315068496</v>
      </c>
      <c r="L2809" s="3">
        <f t="shared" si="273"/>
        <v>8515.0684931506876</v>
      </c>
      <c r="M2809" s="3">
        <f t="shared" si="274"/>
        <v>510.90410958904124</v>
      </c>
      <c r="N2809" s="67">
        <f t="shared" si="275"/>
        <v>8004.164383561646</v>
      </c>
      <c r="O2809" s="3"/>
      <c r="P2809" s="70" t="s">
        <v>18639</v>
      </c>
      <c r="Q2809" s="2" t="s">
        <v>94</v>
      </c>
      <c r="R2809" s="2" t="s">
        <v>18017</v>
      </c>
      <c r="T2809" t="s">
        <v>18666</v>
      </c>
      <c r="U2809" t="s">
        <v>18652</v>
      </c>
      <c r="V2809" s="104">
        <v>45857</v>
      </c>
      <c r="X2809" s="97"/>
      <c r="Y2809" s="75">
        <v>8004.17</v>
      </c>
    </row>
    <row r="2810" spans="1:25" x14ac:dyDescent="0.25">
      <c r="A2810" s="76">
        <v>2842</v>
      </c>
      <c r="B2810" s="2" t="s">
        <v>3219</v>
      </c>
      <c r="C2810" s="2" t="s">
        <v>3220</v>
      </c>
      <c r="D2810" s="2" t="s">
        <v>3221</v>
      </c>
      <c r="E2810" s="2" t="s">
        <v>3222</v>
      </c>
      <c r="F2810" s="2" t="s">
        <v>3223</v>
      </c>
      <c r="G2810" s="2" t="s">
        <v>240</v>
      </c>
      <c r="H2810" s="17">
        <v>100</v>
      </c>
      <c r="I2810" s="31">
        <f t="shared" si="270"/>
        <v>100000</v>
      </c>
      <c r="J2810" s="31">
        <f t="shared" si="271"/>
        <v>7000.0000000000009</v>
      </c>
      <c r="K2810" s="44">
        <f t="shared" si="272"/>
        <v>19.178082191780824</v>
      </c>
      <c r="L2810" s="3">
        <f t="shared" si="273"/>
        <v>1419.178082191781</v>
      </c>
      <c r="M2810" s="3">
        <f t="shared" si="274"/>
        <v>85.150684931506859</v>
      </c>
      <c r="N2810" s="67">
        <f t="shared" si="275"/>
        <v>1334.027397260274</v>
      </c>
      <c r="O2810" s="3"/>
      <c r="P2810" s="70" t="s">
        <v>18639</v>
      </c>
      <c r="Q2810" s="2" t="s">
        <v>94</v>
      </c>
      <c r="R2810" s="2" t="s">
        <v>3224</v>
      </c>
      <c r="T2810" t="s">
        <v>18666</v>
      </c>
      <c r="U2810" t="s">
        <v>18652</v>
      </c>
      <c r="V2810" s="104">
        <v>45857</v>
      </c>
      <c r="X2810" s="97"/>
      <c r="Y2810" s="75">
        <v>1334.03</v>
      </c>
    </row>
    <row r="2811" spans="1:25" x14ac:dyDescent="0.25">
      <c r="A2811" s="76">
        <v>2843</v>
      </c>
      <c r="B2811" s="2" t="s">
        <v>18475</v>
      </c>
      <c r="C2811" s="2" t="s">
        <v>18476</v>
      </c>
      <c r="D2811" s="2" t="s">
        <v>18477</v>
      </c>
      <c r="E2811" s="2" t="s">
        <v>18478</v>
      </c>
      <c r="F2811" s="2" t="s">
        <v>18479</v>
      </c>
      <c r="G2811" s="2" t="s">
        <v>23</v>
      </c>
      <c r="H2811" s="17">
        <v>50</v>
      </c>
      <c r="I2811" s="31">
        <f t="shared" si="270"/>
        <v>50000</v>
      </c>
      <c r="J2811" s="31">
        <f t="shared" si="271"/>
        <v>3500.0000000000005</v>
      </c>
      <c r="K2811" s="44">
        <f t="shared" si="272"/>
        <v>9.589041095890412</v>
      </c>
      <c r="L2811" s="3">
        <f t="shared" si="273"/>
        <v>709.58904109589048</v>
      </c>
      <c r="M2811" s="3">
        <f t="shared" si="274"/>
        <v>42.57534246575343</v>
      </c>
      <c r="N2811" s="67">
        <f t="shared" si="275"/>
        <v>667.01369863013701</v>
      </c>
      <c r="O2811" s="3"/>
      <c r="P2811" s="70" t="s">
        <v>18639</v>
      </c>
      <c r="Q2811" s="2" t="s">
        <v>94</v>
      </c>
      <c r="R2811" s="2" t="s">
        <v>18480</v>
      </c>
      <c r="T2811" t="s">
        <v>18666</v>
      </c>
      <c r="U2811" t="s">
        <v>18652</v>
      </c>
      <c r="V2811" s="104">
        <v>45857</v>
      </c>
      <c r="X2811" s="97"/>
      <c r="Y2811" s="75">
        <v>667.02</v>
      </c>
    </row>
    <row r="2812" spans="1:25" x14ac:dyDescent="0.25">
      <c r="A2812" s="76">
        <v>2844</v>
      </c>
      <c r="B2812" s="2" t="s">
        <v>89</v>
      </c>
      <c r="C2812" s="2" t="s">
        <v>90</v>
      </c>
      <c r="D2812" s="2" t="s">
        <v>91</v>
      </c>
      <c r="E2812" s="2" t="s">
        <v>92</v>
      </c>
      <c r="F2812" s="2" t="s">
        <v>93</v>
      </c>
      <c r="G2812" s="2" t="s">
        <v>31</v>
      </c>
      <c r="H2812" s="17">
        <v>25</v>
      </c>
      <c r="I2812" s="31">
        <f t="shared" si="270"/>
        <v>25000</v>
      </c>
      <c r="J2812" s="31">
        <f t="shared" si="271"/>
        <v>1750.0000000000002</v>
      </c>
      <c r="K2812" s="44">
        <f t="shared" si="272"/>
        <v>4.794520547945206</v>
      </c>
      <c r="L2812" s="3">
        <f t="shared" si="273"/>
        <v>354.79452054794524</v>
      </c>
      <c r="M2812" s="3">
        <f t="shared" si="274"/>
        <v>21.287671232876715</v>
      </c>
      <c r="N2812" s="67">
        <f t="shared" si="275"/>
        <v>333.50684931506851</v>
      </c>
      <c r="O2812" s="3"/>
      <c r="P2812" s="70" t="s">
        <v>18639</v>
      </c>
      <c r="Q2812" s="2" t="s">
        <v>94</v>
      </c>
      <c r="R2812" s="2" t="s">
        <v>95</v>
      </c>
      <c r="T2812" t="s">
        <v>18666</v>
      </c>
      <c r="U2812" t="s">
        <v>18652</v>
      </c>
      <c r="V2812" s="104">
        <v>45857</v>
      </c>
      <c r="X2812" s="97"/>
      <c r="Y2812" s="75">
        <v>333.51</v>
      </c>
    </row>
    <row r="2813" spans="1:25" x14ac:dyDescent="0.25">
      <c r="A2813" s="76">
        <v>2845</v>
      </c>
      <c r="B2813" s="2" t="s">
        <v>7331</v>
      </c>
      <c r="C2813" s="2" t="s">
        <v>7332</v>
      </c>
      <c r="D2813" s="2" t="s">
        <v>7333</v>
      </c>
      <c r="E2813" s="2" t="s">
        <v>7334</v>
      </c>
      <c r="F2813" s="2" t="s">
        <v>7335</v>
      </c>
      <c r="G2813" s="2" t="s">
        <v>193</v>
      </c>
      <c r="H2813" s="17">
        <v>25</v>
      </c>
      <c r="I2813" s="31">
        <f t="shared" si="270"/>
        <v>25000</v>
      </c>
      <c r="J2813" s="31">
        <f t="shared" si="271"/>
        <v>1750.0000000000002</v>
      </c>
      <c r="K2813" s="44">
        <f t="shared" si="272"/>
        <v>4.794520547945206</v>
      </c>
      <c r="L2813" s="3">
        <f t="shared" si="273"/>
        <v>354.79452054794524</v>
      </c>
      <c r="M2813" s="3">
        <f t="shared" si="274"/>
        <v>21.287671232876715</v>
      </c>
      <c r="N2813" s="67">
        <f t="shared" si="275"/>
        <v>333.50684931506851</v>
      </c>
      <c r="O2813" s="3"/>
      <c r="P2813" s="70" t="s">
        <v>18639</v>
      </c>
      <c r="Q2813" s="2" t="s">
        <v>94</v>
      </c>
      <c r="R2813" s="2" t="s">
        <v>7336</v>
      </c>
      <c r="T2813" t="s">
        <v>18666</v>
      </c>
      <c r="U2813" t="s">
        <v>18652</v>
      </c>
      <c r="V2813" s="104">
        <v>45857</v>
      </c>
      <c r="X2813" s="97"/>
      <c r="Y2813" s="75">
        <v>333.51</v>
      </c>
    </row>
    <row r="2814" spans="1:25" x14ac:dyDescent="0.25">
      <c r="A2814" s="76">
        <v>2846</v>
      </c>
      <c r="B2814" s="2" t="s">
        <v>2440</v>
      </c>
      <c r="C2814" s="2" t="s">
        <v>2441</v>
      </c>
      <c r="D2814" s="2" t="s">
        <v>2442</v>
      </c>
      <c r="E2814" s="2" t="s">
        <v>2443</v>
      </c>
      <c r="F2814" s="2" t="s">
        <v>2444</v>
      </c>
      <c r="G2814" s="2" t="s">
        <v>247</v>
      </c>
      <c r="H2814" s="17">
        <v>25</v>
      </c>
      <c r="I2814" s="31">
        <f t="shared" si="270"/>
        <v>25000</v>
      </c>
      <c r="J2814" s="31">
        <f t="shared" si="271"/>
        <v>1750.0000000000002</v>
      </c>
      <c r="K2814" s="44">
        <f t="shared" si="272"/>
        <v>4.794520547945206</v>
      </c>
      <c r="L2814" s="3">
        <f t="shared" si="273"/>
        <v>354.79452054794524</v>
      </c>
      <c r="M2814" s="3">
        <f t="shared" si="274"/>
        <v>21.287671232876715</v>
      </c>
      <c r="N2814" s="67">
        <f t="shared" si="275"/>
        <v>333.50684931506851</v>
      </c>
      <c r="O2814" s="3"/>
      <c r="P2814" s="70" t="s">
        <v>18639</v>
      </c>
      <c r="Q2814" s="2" t="s">
        <v>94</v>
      </c>
      <c r="R2814" s="2" t="s">
        <v>2445</v>
      </c>
      <c r="T2814" t="s">
        <v>18666</v>
      </c>
      <c r="U2814" t="s">
        <v>18652</v>
      </c>
      <c r="V2814" s="104">
        <v>45857</v>
      </c>
      <c r="X2814" s="97"/>
      <c r="Y2814" s="75">
        <v>333.51</v>
      </c>
    </row>
    <row r="2815" spans="1:25" x14ac:dyDescent="0.25">
      <c r="A2815" s="76">
        <v>2847</v>
      </c>
      <c r="B2815" s="2" t="s">
        <v>14888</v>
      </c>
      <c r="C2815" s="2" t="s">
        <v>14889</v>
      </c>
      <c r="D2815" s="2" t="s">
        <v>14890</v>
      </c>
      <c r="E2815" s="2" t="s">
        <v>14891</v>
      </c>
      <c r="F2815" s="2" t="s">
        <v>14892</v>
      </c>
      <c r="G2815" s="2" t="s">
        <v>524</v>
      </c>
      <c r="H2815" s="17">
        <v>25</v>
      </c>
      <c r="I2815" s="31">
        <f t="shared" si="270"/>
        <v>25000</v>
      </c>
      <c r="J2815" s="31">
        <f t="shared" si="271"/>
        <v>1750.0000000000002</v>
      </c>
      <c r="K2815" s="44">
        <f t="shared" si="272"/>
        <v>4.794520547945206</v>
      </c>
      <c r="L2815" s="3">
        <f t="shared" si="273"/>
        <v>354.79452054794524</v>
      </c>
      <c r="M2815" s="3">
        <f t="shared" si="274"/>
        <v>21.287671232876715</v>
      </c>
      <c r="N2815" s="67">
        <f t="shared" si="275"/>
        <v>333.50684931506851</v>
      </c>
      <c r="O2815" s="3"/>
      <c r="P2815" s="70" t="s">
        <v>18639</v>
      </c>
      <c r="Q2815" s="2" t="s">
        <v>94</v>
      </c>
      <c r="R2815" s="2" t="s">
        <v>14893</v>
      </c>
      <c r="T2815" t="s">
        <v>18666</v>
      </c>
      <c r="U2815" t="s">
        <v>18652</v>
      </c>
      <c r="V2815" s="104">
        <v>45857</v>
      </c>
      <c r="X2815" s="97"/>
      <c r="Y2815" s="75">
        <v>333.51</v>
      </c>
    </row>
    <row r="2816" spans="1:25" x14ac:dyDescent="0.25">
      <c r="A2816" s="76">
        <v>2848</v>
      </c>
      <c r="B2816" s="2" t="s">
        <v>10278</v>
      </c>
      <c r="C2816" s="2" t="s">
        <v>10279</v>
      </c>
      <c r="D2816" s="2" t="s">
        <v>10280</v>
      </c>
      <c r="E2816" s="2" t="s">
        <v>10281</v>
      </c>
      <c r="F2816" s="2" t="s">
        <v>10282</v>
      </c>
      <c r="G2816" s="2" t="s">
        <v>362</v>
      </c>
      <c r="H2816" s="17">
        <v>25</v>
      </c>
      <c r="I2816" s="31">
        <f t="shared" si="270"/>
        <v>25000</v>
      </c>
      <c r="J2816" s="31">
        <f t="shared" si="271"/>
        <v>1750.0000000000002</v>
      </c>
      <c r="K2816" s="44">
        <f t="shared" si="272"/>
        <v>4.794520547945206</v>
      </c>
      <c r="L2816" s="3">
        <f t="shared" si="273"/>
        <v>354.79452054794524</v>
      </c>
      <c r="M2816" s="3">
        <f t="shared" si="274"/>
        <v>21.287671232876715</v>
      </c>
      <c r="N2816" s="67">
        <f t="shared" si="275"/>
        <v>333.50684931506851</v>
      </c>
      <c r="O2816" s="3"/>
      <c r="P2816" s="70" t="s">
        <v>18639</v>
      </c>
      <c r="Q2816" s="2" t="s">
        <v>94</v>
      </c>
      <c r="R2816" s="2" t="s">
        <v>10283</v>
      </c>
      <c r="T2816" t="s">
        <v>18666</v>
      </c>
      <c r="U2816" t="s">
        <v>18652</v>
      </c>
      <c r="V2816" s="104">
        <v>45857</v>
      </c>
      <c r="X2816" s="97"/>
      <c r="Y2816" s="75">
        <v>333.51</v>
      </c>
    </row>
    <row r="2817" spans="1:25" x14ac:dyDescent="0.25">
      <c r="A2817" s="76">
        <v>2849</v>
      </c>
      <c r="B2817" s="2" t="s">
        <v>17046</v>
      </c>
      <c r="C2817" s="2" t="s">
        <v>17047</v>
      </c>
      <c r="D2817" s="2" t="s">
        <v>10280</v>
      </c>
      <c r="E2817" s="2" t="s">
        <v>10281</v>
      </c>
      <c r="F2817" s="2" t="s">
        <v>17048</v>
      </c>
      <c r="G2817" s="2" t="s">
        <v>362</v>
      </c>
      <c r="H2817" s="17">
        <v>25</v>
      </c>
      <c r="I2817" s="31">
        <f t="shared" si="270"/>
        <v>25000</v>
      </c>
      <c r="J2817" s="31">
        <f t="shared" si="271"/>
        <v>1750.0000000000002</v>
      </c>
      <c r="K2817" s="44">
        <f t="shared" si="272"/>
        <v>4.794520547945206</v>
      </c>
      <c r="L2817" s="3">
        <f t="shared" si="273"/>
        <v>354.79452054794524</v>
      </c>
      <c r="M2817" s="3">
        <f t="shared" si="274"/>
        <v>21.287671232876715</v>
      </c>
      <c r="N2817" s="67">
        <f t="shared" si="275"/>
        <v>333.50684931506851</v>
      </c>
      <c r="O2817" s="3"/>
      <c r="P2817" s="70" t="s">
        <v>18639</v>
      </c>
      <c r="Q2817" s="2" t="s">
        <v>94</v>
      </c>
      <c r="R2817" s="2" t="s">
        <v>17049</v>
      </c>
      <c r="T2817" t="s">
        <v>18666</v>
      </c>
      <c r="U2817" t="s">
        <v>18652</v>
      </c>
      <c r="V2817" s="104">
        <v>45857</v>
      </c>
      <c r="X2817" s="97"/>
      <c r="Y2817" s="75">
        <v>333.51</v>
      </c>
    </row>
    <row r="2818" spans="1:25" x14ac:dyDescent="0.25">
      <c r="A2818" s="76">
        <v>2850</v>
      </c>
      <c r="B2818" s="2" t="s">
        <v>476</v>
      </c>
      <c r="C2818" s="2" t="s">
        <v>477</v>
      </c>
      <c r="D2818" s="2" t="s">
        <v>478</v>
      </c>
      <c r="E2818" s="2" t="s">
        <v>472</v>
      </c>
      <c r="F2818" s="2" t="s">
        <v>479</v>
      </c>
      <c r="G2818" s="2" t="s">
        <v>31</v>
      </c>
      <c r="H2818" s="17">
        <v>50</v>
      </c>
      <c r="I2818" s="31">
        <f t="shared" si="270"/>
        <v>50000</v>
      </c>
      <c r="J2818" s="31">
        <f t="shared" si="271"/>
        <v>3500.0000000000005</v>
      </c>
      <c r="K2818" s="44">
        <f t="shared" si="272"/>
        <v>9.589041095890412</v>
      </c>
      <c r="L2818" s="3">
        <f t="shared" si="273"/>
        <v>709.58904109589048</v>
      </c>
      <c r="M2818" s="3">
        <f t="shared" si="274"/>
        <v>42.57534246575343</v>
      </c>
      <c r="N2818" s="67">
        <f t="shared" si="275"/>
        <v>667.01369863013701</v>
      </c>
      <c r="O2818" s="3"/>
      <c r="P2818" s="70" t="s">
        <v>18639</v>
      </c>
      <c r="Q2818" s="2" t="s">
        <v>94</v>
      </c>
      <c r="R2818" s="2" t="s">
        <v>480</v>
      </c>
      <c r="T2818" t="s">
        <v>18666</v>
      </c>
      <c r="U2818" t="s">
        <v>18652</v>
      </c>
      <c r="V2818" s="104">
        <v>45857</v>
      </c>
      <c r="X2818" s="97"/>
      <c r="Y2818" s="75">
        <v>667.02</v>
      </c>
    </row>
    <row r="2819" spans="1:25" x14ac:dyDescent="0.25">
      <c r="A2819" s="76">
        <v>2851</v>
      </c>
      <c r="B2819" s="2" t="s">
        <v>2787</v>
      </c>
      <c r="C2819" s="2" t="s">
        <v>2788</v>
      </c>
      <c r="D2819" s="2" t="s">
        <v>2789</v>
      </c>
      <c r="E2819" s="2" t="s">
        <v>2777</v>
      </c>
      <c r="F2819" s="2" t="s">
        <v>2790</v>
      </c>
      <c r="G2819" s="2" t="s">
        <v>247</v>
      </c>
      <c r="H2819" s="17">
        <v>300</v>
      </c>
      <c r="I2819" s="31">
        <f t="shared" si="270"/>
        <v>300000</v>
      </c>
      <c r="J2819" s="31">
        <f t="shared" si="271"/>
        <v>21000.000000000004</v>
      </c>
      <c r="K2819" s="44">
        <f t="shared" si="272"/>
        <v>57.534246575342479</v>
      </c>
      <c r="L2819" s="3">
        <f t="shared" si="273"/>
        <v>4257.5342465753438</v>
      </c>
      <c r="M2819" s="3">
        <f t="shared" si="274"/>
        <v>255.45205479452062</v>
      </c>
      <c r="N2819" s="67">
        <f t="shared" si="275"/>
        <v>4002.082191780823</v>
      </c>
      <c r="O2819" s="3"/>
      <c r="P2819" s="70" t="s">
        <v>18639</v>
      </c>
      <c r="Q2819" s="2" t="s">
        <v>94</v>
      </c>
      <c r="R2819" s="2" t="s">
        <v>2791</v>
      </c>
      <c r="T2819" t="s">
        <v>18666</v>
      </c>
      <c r="U2819" t="s">
        <v>18652</v>
      </c>
      <c r="V2819" s="104">
        <v>45857</v>
      </c>
      <c r="X2819" s="97"/>
      <c r="Y2819" s="75">
        <v>4002.09</v>
      </c>
    </row>
    <row r="2820" spans="1:25" x14ac:dyDescent="0.25">
      <c r="A2820" s="76">
        <v>2852</v>
      </c>
      <c r="B2820" s="2" t="s">
        <v>17137</v>
      </c>
      <c r="C2820" s="2" t="s">
        <v>17138</v>
      </c>
      <c r="D2820" s="2" t="s">
        <v>17139</v>
      </c>
      <c r="E2820" s="2" t="s">
        <v>17140</v>
      </c>
      <c r="F2820" s="2" t="s">
        <v>17141</v>
      </c>
      <c r="G2820" s="2" t="s">
        <v>31</v>
      </c>
      <c r="H2820" s="17">
        <v>100</v>
      </c>
      <c r="I2820" s="31">
        <f t="shared" si="270"/>
        <v>100000</v>
      </c>
      <c r="J2820" s="31">
        <f t="shared" si="271"/>
        <v>7000.0000000000009</v>
      </c>
      <c r="K2820" s="44">
        <f t="shared" si="272"/>
        <v>19.178082191780824</v>
      </c>
      <c r="L2820" s="3">
        <f t="shared" si="273"/>
        <v>1419.178082191781</v>
      </c>
      <c r="M2820" s="3">
        <f t="shared" si="274"/>
        <v>85.150684931506859</v>
      </c>
      <c r="N2820" s="67">
        <f t="shared" si="275"/>
        <v>1334.027397260274</v>
      </c>
      <c r="O2820" s="3"/>
      <c r="P2820" s="70" t="s">
        <v>18639</v>
      </c>
      <c r="Q2820" s="2" t="s">
        <v>94</v>
      </c>
      <c r="R2820" s="2" t="s">
        <v>17142</v>
      </c>
      <c r="T2820" t="s">
        <v>18666</v>
      </c>
      <c r="U2820" t="s">
        <v>18652</v>
      </c>
      <c r="V2820" s="104">
        <v>45857</v>
      </c>
      <c r="X2820" s="97"/>
      <c r="Y2820" s="75">
        <v>1334.03</v>
      </c>
    </row>
    <row r="2821" spans="1:25" x14ac:dyDescent="0.25">
      <c r="A2821" s="76">
        <v>2853</v>
      </c>
      <c r="B2821" s="2" t="s">
        <v>18360</v>
      </c>
      <c r="C2821" s="2" t="s">
        <v>18361</v>
      </c>
      <c r="D2821" s="2" t="s">
        <v>18362</v>
      </c>
      <c r="E2821" s="2" t="s">
        <v>18363</v>
      </c>
      <c r="F2821" s="2" t="s">
        <v>18364</v>
      </c>
      <c r="G2821" s="2" t="s">
        <v>750</v>
      </c>
      <c r="H2821" s="17">
        <v>25</v>
      </c>
      <c r="I2821" s="31">
        <f t="shared" si="270"/>
        <v>25000</v>
      </c>
      <c r="J2821" s="31">
        <f t="shared" si="271"/>
        <v>1750.0000000000002</v>
      </c>
      <c r="K2821" s="44">
        <f t="shared" si="272"/>
        <v>4.794520547945206</v>
      </c>
      <c r="L2821" s="3">
        <f t="shared" si="273"/>
        <v>354.79452054794524</v>
      </c>
      <c r="M2821" s="3">
        <f t="shared" si="274"/>
        <v>21.287671232876715</v>
      </c>
      <c r="N2821" s="67">
        <f t="shared" si="275"/>
        <v>333.50684931506851</v>
      </c>
      <c r="O2821" s="3"/>
      <c r="P2821" s="70" t="s">
        <v>18639</v>
      </c>
      <c r="Q2821" s="2" t="s">
        <v>94</v>
      </c>
      <c r="R2821" s="2" t="s">
        <v>18365</v>
      </c>
      <c r="T2821" t="s">
        <v>18666</v>
      </c>
      <c r="U2821" t="s">
        <v>18652</v>
      </c>
      <c r="V2821" s="104">
        <v>45857</v>
      </c>
      <c r="X2821" s="97"/>
      <c r="Y2821" s="75">
        <v>333.51</v>
      </c>
    </row>
    <row r="2822" spans="1:25" x14ac:dyDescent="0.25">
      <c r="A2822" s="76">
        <v>2854</v>
      </c>
      <c r="B2822" s="2" t="s">
        <v>12375</v>
      </c>
      <c r="C2822" s="2" t="s">
        <v>12376</v>
      </c>
      <c r="D2822" s="2" t="s">
        <v>12377</v>
      </c>
      <c r="E2822" s="2" t="s">
        <v>12378</v>
      </c>
      <c r="F2822" s="2" t="s">
        <v>12379</v>
      </c>
      <c r="G2822" s="2" t="s">
        <v>517</v>
      </c>
      <c r="H2822" s="17">
        <v>25</v>
      </c>
      <c r="I2822" s="31">
        <f t="shared" si="270"/>
        <v>25000</v>
      </c>
      <c r="J2822" s="31">
        <f t="shared" si="271"/>
        <v>1750.0000000000002</v>
      </c>
      <c r="K2822" s="44">
        <f t="shared" si="272"/>
        <v>4.794520547945206</v>
      </c>
      <c r="L2822" s="3">
        <f t="shared" si="273"/>
        <v>354.79452054794524</v>
      </c>
      <c r="M2822" s="3">
        <f t="shared" si="274"/>
        <v>21.287671232876715</v>
      </c>
      <c r="N2822" s="67">
        <f t="shared" si="275"/>
        <v>333.50684931506851</v>
      </c>
      <c r="O2822" s="3"/>
      <c r="P2822" s="70" t="s">
        <v>18639</v>
      </c>
      <c r="Q2822" s="2" t="s">
        <v>94</v>
      </c>
      <c r="R2822" s="2" t="s">
        <v>12380</v>
      </c>
      <c r="T2822" t="s">
        <v>18666</v>
      </c>
      <c r="U2822" t="s">
        <v>18652</v>
      </c>
      <c r="V2822" s="104">
        <v>45857</v>
      </c>
      <c r="X2822" s="97"/>
      <c r="Y2822" s="75">
        <v>333.51</v>
      </c>
    </row>
    <row r="2823" spans="1:25" x14ac:dyDescent="0.25">
      <c r="A2823" s="76">
        <v>2855</v>
      </c>
      <c r="B2823" s="2" t="s">
        <v>17013</v>
      </c>
      <c r="C2823" s="2" t="s">
        <v>17014</v>
      </c>
      <c r="D2823" s="2" t="s">
        <v>2424</v>
      </c>
      <c r="E2823" s="2" t="s">
        <v>17015</v>
      </c>
      <c r="F2823" s="2" t="s">
        <v>17016</v>
      </c>
      <c r="G2823" s="2" t="s">
        <v>23</v>
      </c>
      <c r="H2823" s="17">
        <v>25</v>
      </c>
      <c r="I2823" s="31">
        <f t="shared" si="270"/>
        <v>25000</v>
      </c>
      <c r="J2823" s="31">
        <f t="shared" si="271"/>
        <v>1750.0000000000002</v>
      </c>
      <c r="K2823" s="44">
        <f t="shared" si="272"/>
        <v>4.794520547945206</v>
      </c>
      <c r="L2823" s="3">
        <f t="shared" si="273"/>
        <v>354.79452054794524</v>
      </c>
      <c r="M2823" s="3">
        <f t="shared" si="274"/>
        <v>21.287671232876715</v>
      </c>
      <c r="N2823" s="67">
        <f t="shared" si="275"/>
        <v>333.50684931506851</v>
      </c>
      <c r="O2823" s="3"/>
      <c r="P2823" s="70" t="s">
        <v>18639</v>
      </c>
      <c r="Q2823" s="2" t="s">
        <v>94</v>
      </c>
      <c r="R2823" s="2" t="s">
        <v>17017</v>
      </c>
      <c r="T2823" t="s">
        <v>18666</v>
      </c>
      <c r="U2823" t="s">
        <v>18652</v>
      </c>
      <c r="V2823" s="104">
        <v>45857</v>
      </c>
      <c r="X2823" s="97"/>
      <c r="Y2823" s="75">
        <v>333.51</v>
      </c>
    </row>
    <row r="2824" spans="1:25" x14ac:dyDescent="0.25">
      <c r="A2824" s="76">
        <v>2856</v>
      </c>
      <c r="B2824" s="2" t="s">
        <v>9236</v>
      </c>
      <c r="C2824" s="2" t="s">
        <v>9237</v>
      </c>
      <c r="D2824" s="2" t="s">
        <v>9238</v>
      </c>
      <c r="E2824" s="2" t="s">
        <v>9239</v>
      </c>
      <c r="F2824" s="2" t="s">
        <v>9240</v>
      </c>
      <c r="G2824" s="2" t="s">
        <v>61</v>
      </c>
      <c r="H2824" s="17">
        <v>25</v>
      </c>
      <c r="I2824" s="31">
        <f t="shared" si="270"/>
        <v>25000</v>
      </c>
      <c r="J2824" s="31">
        <f t="shared" si="271"/>
        <v>1750.0000000000002</v>
      </c>
      <c r="K2824" s="44">
        <f t="shared" si="272"/>
        <v>4.794520547945206</v>
      </c>
      <c r="L2824" s="3">
        <f t="shared" si="273"/>
        <v>354.79452054794524</v>
      </c>
      <c r="M2824" s="3">
        <f t="shared" si="274"/>
        <v>21.287671232876715</v>
      </c>
      <c r="N2824" s="67">
        <f t="shared" si="275"/>
        <v>333.50684931506851</v>
      </c>
      <c r="O2824" s="3"/>
      <c r="P2824" s="70" t="s">
        <v>18639</v>
      </c>
      <c r="Q2824" s="2" t="s">
        <v>94</v>
      </c>
      <c r="R2824" s="2" t="s">
        <v>9241</v>
      </c>
      <c r="T2824" t="s">
        <v>18666</v>
      </c>
      <c r="U2824" t="s">
        <v>18652</v>
      </c>
      <c r="V2824" s="104">
        <v>45857</v>
      </c>
      <c r="X2824" s="97"/>
      <c r="Y2824" s="75">
        <v>333.51</v>
      </c>
    </row>
    <row r="2825" spans="1:25" x14ac:dyDescent="0.25">
      <c r="A2825" s="76">
        <v>2857</v>
      </c>
      <c r="B2825" s="2" t="s">
        <v>7665</v>
      </c>
      <c r="C2825" s="2" t="s">
        <v>7666</v>
      </c>
      <c r="D2825" s="2" t="s">
        <v>7667</v>
      </c>
      <c r="E2825" s="2" t="s">
        <v>7668</v>
      </c>
      <c r="F2825" s="2" t="s">
        <v>7669</v>
      </c>
      <c r="G2825" s="2" t="s">
        <v>193</v>
      </c>
      <c r="H2825" s="17">
        <v>100</v>
      </c>
      <c r="I2825" s="31">
        <f t="shared" si="270"/>
        <v>100000</v>
      </c>
      <c r="J2825" s="31">
        <f t="shared" si="271"/>
        <v>7000.0000000000009</v>
      </c>
      <c r="K2825" s="44">
        <f t="shared" si="272"/>
        <v>19.178082191780824</v>
      </c>
      <c r="L2825" s="3">
        <f t="shared" si="273"/>
        <v>1419.178082191781</v>
      </c>
      <c r="M2825" s="3">
        <f t="shared" si="274"/>
        <v>85.150684931506859</v>
      </c>
      <c r="N2825" s="67">
        <f t="shared" si="275"/>
        <v>1334.027397260274</v>
      </c>
      <c r="O2825" s="3"/>
      <c r="P2825" s="70" t="s">
        <v>18639</v>
      </c>
      <c r="Q2825" s="2" t="s">
        <v>94</v>
      </c>
      <c r="R2825" s="2" t="s">
        <v>7670</v>
      </c>
      <c r="T2825" t="s">
        <v>18666</v>
      </c>
      <c r="U2825" t="s">
        <v>18652</v>
      </c>
      <c r="V2825" s="104">
        <v>45857</v>
      </c>
      <c r="X2825" s="97"/>
      <c r="Y2825" s="75">
        <v>1334.03</v>
      </c>
    </row>
    <row r="2826" spans="1:25" x14ac:dyDescent="0.25">
      <c r="A2826" s="76">
        <v>2858</v>
      </c>
      <c r="B2826" s="2" t="s">
        <v>10048</v>
      </c>
      <c r="C2826" s="2" t="s">
        <v>10049</v>
      </c>
      <c r="D2826" s="2" t="s">
        <v>10050</v>
      </c>
      <c r="E2826" s="2" t="s">
        <v>10051</v>
      </c>
      <c r="F2826" s="2" t="s">
        <v>10052</v>
      </c>
      <c r="G2826" s="2" t="s">
        <v>186</v>
      </c>
      <c r="H2826" s="17">
        <v>25</v>
      </c>
      <c r="I2826" s="31">
        <f t="shared" si="270"/>
        <v>25000</v>
      </c>
      <c r="J2826" s="31">
        <f t="shared" si="271"/>
        <v>1750.0000000000002</v>
      </c>
      <c r="K2826" s="44">
        <f t="shared" si="272"/>
        <v>4.794520547945206</v>
      </c>
      <c r="L2826" s="3">
        <f t="shared" si="273"/>
        <v>354.79452054794524</v>
      </c>
      <c r="M2826" s="3">
        <f t="shared" si="274"/>
        <v>21.287671232876715</v>
      </c>
      <c r="N2826" s="67">
        <f t="shared" si="275"/>
        <v>333.50684931506851</v>
      </c>
      <c r="O2826" s="3"/>
      <c r="P2826" s="70" t="s">
        <v>18639</v>
      </c>
      <c r="Q2826" s="2" t="s">
        <v>94</v>
      </c>
      <c r="R2826" s="2" t="s">
        <v>10053</v>
      </c>
      <c r="T2826" t="s">
        <v>18666</v>
      </c>
      <c r="U2826" t="s">
        <v>18652</v>
      </c>
      <c r="V2826" s="104">
        <v>45857</v>
      </c>
      <c r="X2826" s="97"/>
      <c r="Y2826" s="75">
        <v>333.51</v>
      </c>
    </row>
    <row r="2827" spans="1:25" x14ac:dyDescent="0.25">
      <c r="A2827" s="76">
        <v>2859</v>
      </c>
      <c r="B2827" s="2" t="s">
        <v>15308</v>
      </c>
      <c r="C2827" s="2" t="s">
        <v>15309</v>
      </c>
      <c r="D2827" s="2" t="s">
        <v>15310</v>
      </c>
      <c r="E2827" s="2" t="s">
        <v>15311</v>
      </c>
      <c r="F2827" s="2" t="s">
        <v>15312</v>
      </c>
      <c r="G2827" s="2" t="s">
        <v>296</v>
      </c>
      <c r="H2827" s="17">
        <v>25</v>
      </c>
      <c r="I2827" s="31">
        <f t="shared" si="270"/>
        <v>25000</v>
      </c>
      <c r="J2827" s="31">
        <f t="shared" si="271"/>
        <v>1750.0000000000002</v>
      </c>
      <c r="K2827" s="44">
        <f t="shared" si="272"/>
        <v>4.794520547945206</v>
      </c>
      <c r="L2827" s="3">
        <f t="shared" si="273"/>
        <v>354.79452054794524</v>
      </c>
      <c r="M2827" s="3">
        <f t="shared" si="274"/>
        <v>21.287671232876715</v>
      </c>
      <c r="N2827" s="67">
        <f t="shared" si="275"/>
        <v>333.50684931506851</v>
      </c>
      <c r="O2827" s="3"/>
      <c r="P2827" s="70" t="s">
        <v>18639</v>
      </c>
      <c r="Q2827" s="2" t="s">
        <v>94</v>
      </c>
      <c r="R2827" s="2" t="s">
        <v>15313</v>
      </c>
      <c r="T2827" t="s">
        <v>18666</v>
      </c>
      <c r="U2827" t="s">
        <v>18652</v>
      </c>
      <c r="V2827" s="104">
        <v>45857</v>
      </c>
      <c r="X2827" s="97"/>
      <c r="Y2827" s="75">
        <v>333.51</v>
      </c>
    </row>
    <row r="2828" spans="1:25" x14ac:dyDescent="0.25">
      <c r="A2828" s="76">
        <v>2860</v>
      </c>
      <c r="B2828" s="2" t="s">
        <v>17848</v>
      </c>
      <c r="C2828" s="2" t="s">
        <v>17849</v>
      </c>
      <c r="D2828" s="2" t="s">
        <v>17850</v>
      </c>
      <c r="E2828" s="2" t="s">
        <v>3072</v>
      </c>
      <c r="F2828" s="2" t="s">
        <v>17851</v>
      </c>
      <c r="G2828" s="2" t="s">
        <v>328</v>
      </c>
      <c r="H2828" s="17">
        <v>25</v>
      </c>
      <c r="I2828" s="31">
        <f t="shared" si="270"/>
        <v>25000</v>
      </c>
      <c r="J2828" s="31">
        <f t="shared" si="271"/>
        <v>1750.0000000000002</v>
      </c>
      <c r="K2828" s="44">
        <f t="shared" si="272"/>
        <v>4.794520547945206</v>
      </c>
      <c r="L2828" s="3">
        <f t="shared" si="273"/>
        <v>354.79452054794524</v>
      </c>
      <c r="M2828" s="3">
        <f t="shared" si="274"/>
        <v>21.287671232876715</v>
      </c>
      <c r="N2828" s="67">
        <f t="shared" si="275"/>
        <v>333.50684931506851</v>
      </c>
      <c r="O2828" s="3"/>
      <c r="P2828" s="70" t="s">
        <v>18639</v>
      </c>
      <c r="Q2828" s="2" t="s">
        <v>94</v>
      </c>
      <c r="R2828" s="2" t="s">
        <v>17852</v>
      </c>
      <c r="T2828" t="s">
        <v>18666</v>
      </c>
      <c r="U2828" t="s">
        <v>18652</v>
      </c>
      <c r="V2828" s="104">
        <v>45857</v>
      </c>
      <c r="X2828" s="97"/>
      <c r="Y2828" s="75">
        <v>333.51</v>
      </c>
    </row>
    <row r="2829" spans="1:25" x14ac:dyDescent="0.25">
      <c r="A2829" s="76">
        <v>2861</v>
      </c>
      <c r="B2829" s="2" t="s">
        <v>12134</v>
      </c>
      <c r="C2829" s="2" t="s">
        <v>12135</v>
      </c>
      <c r="D2829" s="2" t="s">
        <v>12136</v>
      </c>
      <c r="E2829" s="2" t="s">
        <v>12137</v>
      </c>
      <c r="F2829" s="2" t="s">
        <v>12138</v>
      </c>
      <c r="G2829" s="2" t="s">
        <v>144</v>
      </c>
      <c r="H2829" s="17">
        <v>25</v>
      </c>
      <c r="I2829" s="31">
        <f t="shared" si="270"/>
        <v>25000</v>
      </c>
      <c r="J2829" s="31">
        <f t="shared" si="271"/>
        <v>1750.0000000000002</v>
      </c>
      <c r="K2829" s="44">
        <f t="shared" si="272"/>
        <v>4.794520547945206</v>
      </c>
      <c r="L2829" s="3">
        <f t="shared" si="273"/>
        <v>354.79452054794524</v>
      </c>
      <c r="M2829" s="3">
        <f t="shared" si="274"/>
        <v>21.287671232876715</v>
      </c>
      <c r="N2829" s="67">
        <f t="shared" si="275"/>
        <v>333.50684931506851</v>
      </c>
      <c r="O2829" s="3"/>
      <c r="P2829" s="70" t="s">
        <v>18639</v>
      </c>
      <c r="Q2829" s="2" t="s">
        <v>94</v>
      </c>
      <c r="R2829" s="2" t="s">
        <v>12139</v>
      </c>
      <c r="T2829" t="s">
        <v>18666</v>
      </c>
      <c r="U2829" t="s">
        <v>18652</v>
      </c>
      <c r="V2829" s="104">
        <v>45857</v>
      </c>
      <c r="X2829" s="97"/>
      <c r="Y2829" s="75">
        <v>333.51</v>
      </c>
    </row>
    <row r="2830" spans="1:25" x14ac:dyDescent="0.25">
      <c r="A2830" s="76">
        <v>2862</v>
      </c>
      <c r="B2830" s="2" t="s">
        <v>17259</v>
      </c>
      <c r="C2830" s="2" t="s">
        <v>17260</v>
      </c>
      <c r="D2830" s="2" t="s">
        <v>17261</v>
      </c>
      <c r="E2830" s="2" t="s">
        <v>17262</v>
      </c>
      <c r="F2830" s="2" t="s">
        <v>17263</v>
      </c>
      <c r="G2830" s="2" t="s">
        <v>643</v>
      </c>
      <c r="H2830" s="17">
        <v>25</v>
      </c>
      <c r="I2830" s="31">
        <f t="shared" si="270"/>
        <v>25000</v>
      </c>
      <c r="J2830" s="31">
        <f t="shared" si="271"/>
        <v>1750.0000000000002</v>
      </c>
      <c r="K2830" s="44">
        <f t="shared" si="272"/>
        <v>4.794520547945206</v>
      </c>
      <c r="L2830" s="3">
        <f t="shared" si="273"/>
        <v>354.79452054794524</v>
      </c>
      <c r="M2830" s="3">
        <f t="shared" si="274"/>
        <v>21.287671232876715</v>
      </c>
      <c r="N2830" s="67">
        <f t="shared" si="275"/>
        <v>333.50684931506851</v>
      </c>
      <c r="O2830" s="3"/>
      <c r="P2830" s="70" t="s">
        <v>18639</v>
      </c>
      <c r="Q2830" s="2" t="s">
        <v>94</v>
      </c>
      <c r="R2830" s="2" t="s">
        <v>17264</v>
      </c>
      <c r="T2830" t="s">
        <v>18666</v>
      </c>
      <c r="U2830" t="s">
        <v>18652</v>
      </c>
      <c r="V2830" s="104">
        <v>45857</v>
      </c>
      <c r="X2830" s="97"/>
      <c r="Y2830" s="75">
        <v>333.51</v>
      </c>
    </row>
    <row r="2831" spans="1:25" x14ac:dyDescent="0.25">
      <c r="A2831" s="76">
        <v>2863</v>
      </c>
      <c r="B2831" s="2" t="s">
        <v>9588</v>
      </c>
      <c r="C2831" s="2" t="s">
        <v>9589</v>
      </c>
      <c r="D2831" s="2" t="s">
        <v>9590</v>
      </c>
      <c r="E2831" s="2" t="s">
        <v>9591</v>
      </c>
      <c r="F2831" s="2" t="s">
        <v>9592</v>
      </c>
      <c r="G2831" s="2" t="s">
        <v>1017</v>
      </c>
      <c r="H2831" s="17">
        <v>25</v>
      </c>
      <c r="I2831" s="31">
        <f t="shared" si="270"/>
        <v>25000</v>
      </c>
      <c r="J2831" s="31">
        <f t="shared" si="271"/>
        <v>1750.0000000000002</v>
      </c>
      <c r="K2831" s="44">
        <f t="shared" si="272"/>
        <v>4.794520547945206</v>
      </c>
      <c r="L2831" s="3">
        <f t="shared" si="273"/>
        <v>354.79452054794524</v>
      </c>
      <c r="M2831" s="3">
        <f t="shared" si="274"/>
        <v>21.287671232876715</v>
      </c>
      <c r="N2831" s="67">
        <f t="shared" si="275"/>
        <v>333.50684931506851</v>
      </c>
      <c r="O2831" s="3"/>
      <c r="P2831" s="70" t="s">
        <v>18639</v>
      </c>
      <c r="Q2831" s="2" t="s">
        <v>94</v>
      </c>
      <c r="R2831" s="2" t="s">
        <v>9593</v>
      </c>
      <c r="T2831" t="s">
        <v>18666</v>
      </c>
      <c r="U2831" t="s">
        <v>18652</v>
      </c>
      <c r="V2831" s="104">
        <v>45857</v>
      </c>
      <c r="X2831" s="97"/>
      <c r="Y2831" s="75">
        <v>333.51</v>
      </c>
    </row>
    <row r="2832" spans="1:25" x14ac:dyDescent="0.25">
      <c r="A2832" s="76">
        <v>2864</v>
      </c>
      <c r="B2832" s="2" t="s">
        <v>6817</v>
      </c>
      <c r="C2832" s="2" t="s">
        <v>6818</v>
      </c>
      <c r="D2832" s="2" t="s">
        <v>6819</v>
      </c>
      <c r="E2832" s="2" t="s">
        <v>6820</v>
      </c>
      <c r="F2832" s="2" t="s">
        <v>6821</v>
      </c>
      <c r="G2832" s="2" t="s">
        <v>151</v>
      </c>
      <c r="H2832" s="17">
        <v>25</v>
      </c>
      <c r="I2832" s="31">
        <f t="shared" si="270"/>
        <v>25000</v>
      </c>
      <c r="J2832" s="31">
        <f t="shared" si="271"/>
        <v>1750.0000000000002</v>
      </c>
      <c r="K2832" s="44">
        <f t="shared" si="272"/>
        <v>4.794520547945206</v>
      </c>
      <c r="L2832" s="3">
        <f t="shared" si="273"/>
        <v>354.79452054794524</v>
      </c>
      <c r="M2832" s="3">
        <f t="shared" si="274"/>
        <v>21.287671232876715</v>
      </c>
      <c r="N2832" s="67">
        <f t="shared" si="275"/>
        <v>333.50684931506851</v>
      </c>
      <c r="O2832" s="3"/>
      <c r="P2832" s="70" t="s">
        <v>18639</v>
      </c>
      <c r="Q2832" s="2" t="s">
        <v>94</v>
      </c>
      <c r="R2832" s="2" t="s">
        <v>6822</v>
      </c>
      <c r="T2832" t="s">
        <v>18666</v>
      </c>
      <c r="U2832" t="s">
        <v>18652</v>
      </c>
      <c r="V2832" s="104">
        <v>45857</v>
      </c>
      <c r="X2832" s="97"/>
      <c r="Y2832" s="75">
        <v>333.51</v>
      </c>
    </row>
    <row r="2833" spans="1:25" x14ac:dyDescent="0.25">
      <c r="A2833" s="76">
        <v>2865</v>
      </c>
      <c r="B2833" s="2" t="s">
        <v>2090</v>
      </c>
      <c r="C2833" s="2" t="s">
        <v>2091</v>
      </c>
      <c r="D2833" s="2" t="s">
        <v>2092</v>
      </c>
      <c r="E2833" s="2" t="s">
        <v>2093</v>
      </c>
      <c r="F2833" s="2" t="s">
        <v>2094</v>
      </c>
      <c r="G2833" s="2" t="s">
        <v>31</v>
      </c>
      <c r="H2833" s="17">
        <v>25</v>
      </c>
      <c r="I2833" s="31">
        <f t="shared" si="270"/>
        <v>25000</v>
      </c>
      <c r="J2833" s="31">
        <f t="shared" si="271"/>
        <v>1750.0000000000002</v>
      </c>
      <c r="K2833" s="44">
        <f t="shared" si="272"/>
        <v>4.794520547945206</v>
      </c>
      <c r="L2833" s="3">
        <f t="shared" si="273"/>
        <v>354.79452054794524</v>
      </c>
      <c r="M2833" s="3">
        <f t="shared" si="274"/>
        <v>21.287671232876715</v>
      </c>
      <c r="N2833" s="67">
        <f t="shared" si="275"/>
        <v>333.50684931506851</v>
      </c>
      <c r="O2833" s="3"/>
      <c r="P2833" s="70" t="s">
        <v>18639</v>
      </c>
      <c r="Q2833" s="2" t="s">
        <v>94</v>
      </c>
      <c r="R2833" s="2" t="s">
        <v>2095</v>
      </c>
      <c r="T2833" t="s">
        <v>18666</v>
      </c>
      <c r="U2833" t="s">
        <v>18652</v>
      </c>
      <c r="V2833" s="104">
        <v>45857</v>
      </c>
      <c r="X2833" s="97"/>
      <c r="Y2833" s="75">
        <v>333.51</v>
      </c>
    </row>
    <row r="2834" spans="1:25" x14ac:dyDescent="0.25">
      <c r="A2834" s="76">
        <v>2866</v>
      </c>
      <c r="B2834" s="2" t="s">
        <v>14316</v>
      </c>
      <c r="C2834" s="2" t="s">
        <v>14317</v>
      </c>
      <c r="D2834" s="2" t="s">
        <v>14318</v>
      </c>
      <c r="E2834" s="2" t="s">
        <v>14319</v>
      </c>
      <c r="F2834" s="2" t="s">
        <v>14320</v>
      </c>
      <c r="G2834" s="2" t="s">
        <v>296</v>
      </c>
      <c r="H2834" s="17">
        <v>25</v>
      </c>
      <c r="I2834" s="31">
        <f t="shared" ref="I2834:I2897" si="276">H2834*1000</f>
        <v>25000</v>
      </c>
      <c r="J2834" s="31">
        <f t="shared" ref="J2834:J2897" si="277">I2834*7%</f>
        <v>1750.0000000000002</v>
      </c>
      <c r="K2834" s="44">
        <f t="shared" ref="K2834:K2897" si="278">J2834/365</f>
        <v>4.794520547945206</v>
      </c>
      <c r="L2834" s="3">
        <f t="shared" ref="L2834:L2897" si="279">K2834*74</f>
        <v>354.79452054794524</v>
      </c>
      <c r="M2834" s="3">
        <f t="shared" ref="M2834:M2897" si="280">L2834*6%</f>
        <v>21.287671232876715</v>
      </c>
      <c r="N2834" s="67">
        <f t="shared" ref="N2834:N2897" si="281">L2834-M2834</f>
        <v>333.50684931506851</v>
      </c>
      <c r="O2834" s="3"/>
      <c r="P2834" s="70" t="s">
        <v>18639</v>
      </c>
      <c r="Q2834" s="2" t="s">
        <v>94</v>
      </c>
      <c r="R2834" s="2" t="s">
        <v>14321</v>
      </c>
      <c r="T2834" t="s">
        <v>18666</v>
      </c>
      <c r="U2834" t="s">
        <v>18652</v>
      </c>
      <c r="V2834" s="104">
        <v>45857</v>
      </c>
      <c r="X2834" s="97"/>
      <c r="Y2834" s="75">
        <v>333.51</v>
      </c>
    </row>
    <row r="2835" spans="1:25" x14ac:dyDescent="0.25">
      <c r="A2835" s="76">
        <v>2867</v>
      </c>
      <c r="B2835" s="2" t="s">
        <v>5262</v>
      </c>
      <c r="C2835" s="2" t="s">
        <v>5263</v>
      </c>
      <c r="D2835" s="2" t="s">
        <v>5264</v>
      </c>
      <c r="E2835" s="2" t="s">
        <v>5265</v>
      </c>
      <c r="F2835" s="2" t="s">
        <v>5266</v>
      </c>
      <c r="G2835" s="2" t="s">
        <v>524</v>
      </c>
      <c r="H2835" s="17">
        <v>25</v>
      </c>
      <c r="I2835" s="31">
        <f t="shared" si="276"/>
        <v>25000</v>
      </c>
      <c r="J2835" s="31">
        <f t="shared" si="277"/>
        <v>1750.0000000000002</v>
      </c>
      <c r="K2835" s="44">
        <f t="shared" si="278"/>
        <v>4.794520547945206</v>
      </c>
      <c r="L2835" s="3">
        <f t="shared" si="279"/>
        <v>354.79452054794524</v>
      </c>
      <c r="M2835" s="3">
        <f t="shared" si="280"/>
        <v>21.287671232876715</v>
      </c>
      <c r="N2835" s="67">
        <f t="shared" si="281"/>
        <v>333.50684931506851</v>
      </c>
      <c r="O2835" s="3"/>
      <c r="P2835" s="70" t="s">
        <v>18639</v>
      </c>
      <c r="Q2835" s="2" t="s">
        <v>94</v>
      </c>
      <c r="R2835" s="2" t="s">
        <v>5267</v>
      </c>
      <c r="T2835" t="s">
        <v>18666</v>
      </c>
      <c r="U2835" t="s">
        <v>18652</v>
      </c>
      <c r="V2835" s="104">
        <v>45857</v>
      </c>
      <c r="X2835" s="97"/>
      <c r="Y2835" s="75">
        <v>333.51</v>
      </c>
    </row>
    <row r="2836" spans="1:25" x14ac:dyDescent="0.25">
      <c r="A2836" s="76">
        <v>2868</v>
      </c>
      <c r="B2836" s="2" t="s">
        <v>11737</v>
      </c>
      <c r="C2836" s="2" t="s">
        <v>11738</v>
      </c>
      <c r="D2836" s="2" t="s">
        <v>11739</v>
      </c>
      <c r="E2836" s="2" t="s">
        <v>11740</v>
      </c>
      <c r="F2836" s="2" t="s">
        <v>11741</v>
      </c>
      <c r="G2836" s="2" t="s">
        <v>718</v>
      </c>
      <c r="H2836" s="17">
        <v>25</v>
      </c>
      <c r="I2836" s="31">
        <f t="shared" si="276"/>
        <v>25000</v>
      </c>
      <c r="J2836" s="31">
        <f t="shared" si="277"/>
        <v>1750.0000000000002</v>
      </c>
      <c r="K2836" s="44">
        <f t="shared" si="278"/>
        <v>4.794520547945206</v>
      </c>
      <c r="L2836" s="3">
        <f t="shared" si="279"/>
        <v>354.79452054794524</v>
      </c>
      <c r="M2836" s="3">
        <f t="shared" si="280"/>
        <v>21.287671232876715</v>
      </c>
      <c r="N2836" s="67">
        <f t="shared" si="281"/>
        <v>333.50684931506851</v>
      </c>
      <c r="O2836" s="3"/>
      <c r="P2836" s="70" t="s">
        <v>18639</v>
      </c>
      <c r="Q2836" s="2" t="s">
        <v>94</v>
      </c>
      <c r="R2836" s="2" t="s">
        <v>11742</v>
      </c>
      <c r="T2836" t="s">
        <v>18666</v>
      </c>
      <c r="U2836" t="s">
        <v>18652</v>
      </c>
      <c r="V2836" s="104">
        <v>45857</v>
      </c>
      <c r="X2836" s="97"/>
      <c r="Y2836" s="75">
        <v>333.51</v>
      </c>
    </row>
    <row r="2837" spans="1:25" x14ac:dyDescent="0.25">
      <c r="A2837" s="76">
        <v>2869</v>
      </c>
      <c r="B2837" s="2" t="s">
        <v>470</v>
      </c>
      <c r="C2837" s="2" t="s">
        <v>471</v>
      </c>
      <c r="D2837" s="2" t="s">
        <v>472</v>
      </c>
      <c r="E2837" s="2" t="s">
        <v>473</v>
      </c>
      <c r="F2837" s="2" t="s">
        <v>474</v>
      </c>
      <c r="G2837" s="2" t="s">
        <v>31</v>
      </c>
      <c r="H2837" s="17">
        <v>100</v>
      </c>
      <c r="I2837" s="31">
        <f t="shared" si="276"/>
        <v>100000</v>
      </c>
      <c r="J2837" s="31">
        <f t="shared" si="277"/>
        <v>7000.0000000000009</v>
      </c>
      <c r="K2837" s="44">
        <f t="shared" si="278"/>
        <v>19.178082191780824</v>
      </c>
      <c r="L2837" s="3">
        <f t="shared" si="279"/>
        <v>1419.178082191781</v>
      </c>
      <c r="M2837" s="3">
        <f t="shared" si="280"/>
        <v>85.150684931506859</v>
      </c>
      <c r="N2837" s="67">
        <f t="shared" si="281"/>
        <v>1334.027397260274</v>
      </c>
      <c r="O2837" s="3"/>
      <c r="P2837" s="70" t="s">
        <v>18639</v>
      </c>
      <c r="Q2837" s="2" t="s">
        <v>94</v>
      </c>
      <c r="R2837" s="2" t="s">
        <v>475</v>
      </c>
      <c r="T2837" t="s">
        <v>18666</v>
      </c>
      <c r="U2837" t="s">
        <v>18652</v>
      </c>
      <c r="V2837" s="104">
        <v>45857</v>
      </c>
      <c r="X2837" s="97"/>
      <c r="Y2837" s="75">
        <v>1334.03</v>
      </c>
    </row>
    <row r="2838" spans="1:25" x14ac:dyDescent="0.25">
      <c r="A2838" s="76">
        <v>2870</v>
      </c>
      <c r="B2838" s="2" t="s">
        <v>17489</v>
      </c>
      <c r="C2838" s="2" t="s">
        <v>17490</v>
      </c>
      <c r="D2838" s="2" t="s">
        <v>17491</v>
      </c>
      <c r="E2838" s="2" t="s">
        <v>17492</v>
      </c>
      <c r="F2838" s="2" t="s">
        <v>17493</v>
      </c>
      <c r="G2838" s="2" t="s">
        <v>31</v>
      </c>
      <c r="H2838" s="17">
        <v>25</v>
      </c>
      <c r="I2838" s="31">
        <f t="shared" si="276"/>
        <v>25000</v>
      </c>
      <c r="J2838" s="31">
        <f t="shared" si="277"/>
        <v>1750.0000000000002</v>
      </c>
      <c r="K2838" s="44">
        <f t="shared" si="278"/>
        <v>4.794520547945206</v>
      </c>
      <c r="L2838" s="3">
        <f t="shared" si="279"/>
        <v>354.79452054794524</v>
      </c>
      <c r="M2838" s="3">
        <f t="shared" si="280"/>
        <v>21.287671232876715</v>
      </c>
      <c r="N2838" s="67">
        <f t="shared" si="281"/>
        <v>333.50684931506851</v>
      </c>
      <c r="O2838" s="3"/>
      <c r="P2838" s="70" t="s">
        <v>18639</v>
      </c>
      <c r="Q2838" s="2" t="s">
        <v>94</v>
      </c>
      <c r="R2838" s="2" t="s">
        <v>17494</v>
      </c>
      <c r="T2838" t="s">
        <v>18666</v>
      </c>
      <c r="U2838" t="s">
        <v>18652</v>
      </c>
      <c r="V2838" s="104">
        <v>45857</v>
      </c>
      <c r="X2838" s="97"/>
      <c r="Y2838" s="75">
        <v>333.51</v>
      </c>
    </row>
    <row r="2839" spans="1:25" x14ac:dyDescent="0.25">
      <c r="A2839" s="76">
        <v>2871</v>
      </c>
      <c r="B2839" s="2" t="s">
        <v>4715</v>
      </c>
      <c r="C2839" s="2" t="s">
        <v>4716</v>
      </c>
      <c r="D2839" s="2" t="s">
        <v>4717</v>
      </c>
      <c r="E2839" s="2" t="s">
        <v>4718</v>
      </c>
      <c r="F2839" s="2" t="s">
        <v>4719</v>
      </c>
      <c r="G2839" s="2" t="s">
        <v>31</v>
      </c>
      <c r="H2839" s="17">
        <v>75</v>
      </c>
      <c r="I2839" s="31">
        <f t="shared" si="276"/>
        <v>75000</v>
      </c>
      <c r="J2839" s="31">
        <f t="shared" si="277"/>
        <v>5250.0000000000009</v>
      </c>
      <c r="K2839" s="44">
        <f t="shared" si="278"/>
        <v>14.38356164383562</v>
      </c>
      <c r="L2839" s="3">
        <f t="shared" si="279"/>
        <v>1064.3835616438359</v>
      </c>
      <c r="M2839" s="3">
        <f t="shared" si="280"/>
        <v>63.863013698630155</v>
      </c>
      <c r="N2839" s="67">
        <f t="shared" si="281"/>
        <v>1000.5205479452057</v>
      </c>
      <c r="O2839" s="3"/>
      <c r="P2839" s="70" t="s">
        <v>18639</v>
      </c>
      <c r="Q2839" s="2" t="s">
        <v>94</v>
      </c>
      <c r="R2839" s="2" t="s">
        <v>4720</v>
      </c>
      <c r="T2839" t="s">
        <v>18666</v>
      </c>
      <c r="U2839" t="s">
        <v>18652</v>
      </c>
      <c r="V2839" s="104">
        <v>45857</v>
      </c>
      <c r="X2839" s="97"/>
      <c r="Y2839" s="75">
        <v>1000.53</v>
      </c>
    </row>
    <row r="2840" spans="1:25" x14ac:dyDescent="0.25">
      <c r="A2840" s="76">
        <v>2872</v>
      </c>
      <c r="B2840" s="2" t="s">
        <v>18018</v>
      </c>
      <c r="C2840" s="2" t="s">
        <v>18019</v>
      </c>
      <c r="D2840" s="2" t="s">
        <v>18020</v>
      </c>
      <c r="E2840" s="2" t="s">
        <v>18021</v>
      </c>
      <c r="F2840" s="2" t="s">
        <v>18022</v>
      </c>
      <c r="G2840" s="2" t="s">
        <v>643</v>
      </c>
      <c r="H2840" s="17">
        <v>25</v>
      </c>
      <c r="I2840" s="31">
        <f t="shared" si="276"/>
        <v>25000</v>
      </c>
      <c r="J2840" s="31">
        <f t="shared" si="277"/>
        <v>1750.0000000000002</v>
      </c>
      <c r="K2840" s="44">
        <f t="shared" si="278"/>
        <v>4.794520547945206</v>
      </c>
      <c r="L2840" s="3">
        <f t="shared" si="279"/>
        <v>354.79452054794524</v>
      </c>
      <c r="M2840" s="3">
        <f t="shared" si="280"/>
        <v>21.287671232876715</v>
      </c>
      <c r="N2840" s="67">
        <f t="shared" si="281"/>
        <v>333.50684931506851</v>
      </c>
      <c r="O2840" s="3"/>
      <c r="P2840" s="70" t="s">
        <v>18639</v>
      </c>
      <c r="Q2840" s="2" t="s">
        <v>94</v>
      </c>
      <c r="R2840" s="2" t="s">
        <v>18023</v>
      </c>
      <c r="T2840" t="s">
        <v>18666</v>
      </c>
      <c r="U2840" t="s">
        <v>18652</v>
      </c>
      <c r="V2840" s="104">
        <v>45857</v>
      </c>
      <c r="X2840" s="97"/>
      <c r="Y2840" s="75">
        <v>333.51</v>
      </c>
    </row>
    <row r="2841" spans="1:25" x14ac:dyDescent="0.25">
      <c r="A2841" s="76">
        <v>2873</v>
      </c>
      <c r="B2841" s="2" t="s">
        <v>5322</v>
      </c>
      <c r="C2841" s="2" t="s">
        <v>5323</v>
      </c>
      <c r="D2841" s="2" t="s">
        <v>5324</v>
      </c>
      <c r="E2841" s="2" t="s">
        <v>5325</v>
      </c>
      <c r="F2841" s="2" t="s">
        <v>5326</v>
      </c>
      <c r="G2841" s="2" t="s">
        <v>247</v>
      </c>
      <c r="H2841" s="17">
        <v>25</v>
      </c>
      <c r="I2841" s="31">
        <f t="shared" si="276"/>
        <v>25000</v>
      </c>
      <c r="J2841" s="31">
        <f t="shared" si="277"/>
        <v>1750.0000000000002</v>
      </c>
      <c r="K2841" s="44">
        <f t="shared" si="278"/>
        <v>4.794520547945206</v>
      </c>
      <c r="L2841" s="3">
        <f t="shared" si="279"/>
        <v>354.79452054794524</v>
      </c>
      <c r="M2841" s="3">
        <f t="shared" si="280"/>
        <v>21.287671232876715</v>
      </c>
      <c r="N2841" s="67">
        <f t="shared" si="281"/>
        <v>333.50684931506851</v>
      </c>
      <c r="O2841" s="3"/>
      <c r="P2841" s="70" t="s">
        <v>18639</v>
      </c>
      <c r="Q2841" s="2" t="s">
        <v>94</v>
      </c>
      <c r="R2841" s="2" t="s">
        <v>5327</v>
      </c>
      <c r="T2841" t="s">
        <v>18666</v>
      </c>
      <c r="U2841" t="s">
        <v>18652</v>
      </c>
      <c r="V2841" s="104">
        <v>45857</v>
      </c>
      <c r="X2841" s="97"/>
      <c r="Y2841" s="75">
        <v>333.51</v>
      </c>
    </row>
    <row r="2842" spans="1:25" x14ac:dyDescent="0.25">
      <c r="A2842" s="76">
        <v>2874</v>
      </c>
      <c r="B2842" s="2" t="s">
        <v>11506</v>
      </c>
      <c r="C2842" s="2" t="s">
        <v>11507</v>
      </c>
      <c r="D2842" s="2" t="s">
        <v>11508</v>
      </c>
      <c r="E2842" s="2" t="s">
        <v>11509</v>
      </c>
      <c r="F2842" s="2" t="s">
        <v>11510</v>
      </c>
      <c r="G2842" s="2" t="s">
        <v>275</v>
      </c>
      <c r="H2842" s="17">
        <v>25</v>
      </c>
      <c r="I2842" s="31">
        <f t="shared" si="276"/>
        <v>25000</v>
      </c>
      <c r="J2842" s="31">
        <f t="shared" si="277"/>
        <v>1750.0000000000002</v>
      </c>
      <c r="K2842" s="44">
        <f t="shared" si="278"/>
        <v>4.794520547945206</v>
      </c>
      <c r="L2842" s="3">
        <f t="shared" si="279"/>
        <v>354.79452054794524</v>
      </c>
      <c r="M2842" s="3">
        <f t="shared" si="280"/>
        <v>21.287671232876715</v>
      </c>
      <c r="N2842" s="67">
        <f t="shared" si="281"/>
        <v>333.50684931506851</v>
      </c>
      <c r="O2842" s="3"/>
      <c r="P2842" s="70" t="s">
        <v>18639</v>
      </c>
      <c r="Q2842" s="2" t="s">
        <v>94</v>
      </c>
      <c r="R2842" s="2" t="s">
        <v>11511</v>
      </c>
      <c r="T2842" t="s">
        <v>18666</v>
      </c>
      <c r="U2842" t="s">
        <v>18652</v>
      </c>
      <c r="V2842" s="104">
        <v>45857</v>
      </c>
      <c r="X2842" s="97"/>
      <c r="Y2842" s="75">
        <v>333.51</v>
      </c>
    </row>
    <row r="2843" spans="1:25" x14ac:dyDescent="0.25">
      <c r="A2843" s="76">
        <v>2875</v>
      </c>
      <c r="B2843" s="2" t="s">
        <v>1987</v>
      </c>
      <c r="C2843" s="2" t="s">
        <v>1988</v>
      </c>
      <c r="D2843" s="2" t="s">
        <v>1989</v>
      </c>
      <c r="E2843" s="2" t="s">
        <v>1990</v>
      </c>
      <c r="F2843" s="2" t="s">
        <v>1991</v>
      </c>
      <c r="G2843" s="2" t="s">
        <v>151</v>
      </c>
      <c r="H2843" s="17">
        <v>25</v>
      </c>
      <c r="I2843" s="31">
        <f t="shared" si="276"/>
        <v>25000</v>
      </c>
      <c r="J2843" s="31">
        <f t="shared" si="277"/>
        <v>1750.0000000000002</v>
      </c>
      <c r="K2843" s="44">
        <f t="shared" si="278"/>
        <v>4.794520547945206</v>
      </c>
      <c r="L2843" s="3">
        <f t="shared" si="279"/>
        <v>354.79452054794524</v>
      </c>
      <c r="M2843" s="3">
        <f t="shared" si="280"/>
        <v>21.287671232876715</v>
      </c>
      <c r="N2843" s="67">
        <f t="shared" si="281"/>
        <v>333.50684931506851</v>
      </c>
      <c r="O2843" s="3"/>
      <c r="P2843" s="70" t="s">
        <v>18639</v>
      </c>
      <c r="Q2843" s="2" t="s">
        <v>94</v>
      </c>
      <c r="R2843" s="2" t="s">
        <v>1992</v>
      </c>
      <c r="T2843" t="s">
        <v>18666</v>
      </c>
      <c r="U2843" t="s">
        <v>18652</v>
      </c>
      <c r="V2843" s="104">
        <v>45857</v>
      </c>
      <c r="X2843" s="97"/>
      <c r="Y2843" s="75">
        <v>333.51</v>
      </c>
    </row>
    <row r="2844" spans="1:25" x14ac:dyDescent="0.25">
      <c r="A2844" s="76">
        <v>2876</v>
      </c>
      <c r="B2844" s="2" t="s">
        <v>17560</v>
      </c>
      <c r="C2844" s="2" t="s">
        <v>17561</v>
      </c>
      <c r="D2844" s="2" t="s">
        <v>17562</v>
      </c>
      <c r="E2844" s="2" t="s">
        <v>17563</v>
      </c>
      <c r="F2844" s="2" t="s">
        <v>17564</v>
      </c>
      <c r="G2844" s="2" t="s">
        <v>39</v>
      </c>
      <c r="H2844" s="17">
        <v>100</v>
      </c>
      <c r="I2844" s="31">
        <f t="shared" si="276"/>
        <v>100000</v>
      </c>
      <c r="J2844" s="31">
        <f t="shared" si="277"/>
        <v>7000.0000000000009</v>
      </c>
      <c r="K2844" s="44">
        <f t="shared" si="278"/>
        <v>19.178082191780824</v>
      </c>
      <c r="L2844" s="3">
        <f t="shared" si="279"/>
        <v>1419.178082191781</v>
      </c>
      <c r="M2844" s="3">
        <f t="shared" si="280"/>
        <v>85.150684931506859</v>
      </c>
      <c r="N2844" s="67">
        <f t="shared" si="281"/>
        <v>1334.027397260274</v>
      </c>
      <c r="O2844" s="3"/>
      <c r="P2844" s="70" t="s">
        <v>18639</v>
      </c>
      <c r="Q2844" s="2" t="s">
        <v>94</v>
      </c>
      <c r="R2844" s="2" t="s">
        <v>17565</v>
      </c>
      <c r="T2844" t="s">
        <v>18666</v>
      </c>
      <c r="U2844" t="s">
        <v>18652</v>
      </c>
      <c r="V2844" s="104">
        <v>45857</v>
      </c>
      <c r="X2844" s="97"/>
      <c r="Y2844" s="75">
        <v>1334.03</v>
      </c>
    </row>
    <row r="2845" spans="1:25" x14ac:dyDescent="0.25">
      <c r="A2845" s="76">
        <v>2877</v>
      </c>
      <c r="B2845" s="2" t="s">
        <v>17507</v>
      </c>
      <c r="C2845" s="2" t="s">
        <v>17508</v>
      </c>
      <c r="D2845" s="2" t="s">
        <v>17509</v>
      </c>
      <c r="E2845" s="2" t="s">
        <v>17510</v>
      </c>
      <c r="F2845" s="2" t="s">
        <v>17511</v>
      </c>
      <c r="G2845" s="2" t="s">
        <v>158</v>
      </c>
      <c r="H2845" s="17">
        <v>50</v>
      </c>
      <c r="I2845" s="31">
        <f t="shared" si="276"/>
        <v>50000</v>
      </c>
      <c r="J2845" s="31">
        <f t="shared" si="277"/>
        <v>3500.0000000000005</v>
      </c>
      <c r="K2845" s="44">
        <f t="shared" si="278"/>
        <v>9.589041095890412</v>
      </c>
      <c r="L2845" s="3">
        <f t="shared" si="279"/>
        <v>709.58904109589048</v>
      </c>
      <c r="M2845" s="3">
        <f t="shared" si="280"/>
        <v>42.57534246575343</v>
      </c>
      <c r="N2845" s="67">
        <f t="shared" si="281"/>
        <v>667.01369863013701</v>
      </c>
      <c r="O2845" s="3"/>
      <c r="P2845" s="70" t="s">
        <v>18639</v>
      </c>
      <c r="Q2845" s="2" t="s">
        <v>94</v>
      </c>
      <c r="R2845" s="2" t="s">
        <v>17512</v>
      </c>
      <c r="T2845" t="s">
        <v>18666</v>
      </c>
      <c r="U2845" t="s">
        <v>18652</v>
      </c>
      <c r="V2845" s="104">
        <v>45857</v>
      </c>
      <c r="X2845" s="97"/>
      <c r="Y2845" s="75">
        <v>667.02</v>
      </c>
    </row>
    <row r="2846" spans="1:25" x14ac:dyDescent="0.25">
      <c r="A2846" s="76">
        <v>2878</v>
      </c>
      <c r="B2846" s="2" t="s">
        <v>17056</v>
      </c>
      <c r="C2846" s="2" t="s">
        <v>17057</v>
      </c>
      <c r="D2846" s="2" t="s">
        <v>17058</v>
      </c>
      <c r="E2846" s="2" t="s">
        <v>17059</v>
      </c>
      <c r="F2846" s="2" t="s">
        <v>17060</v>
      </c>
      <c r="G2846" s="2" t="s">
        <v>362</v>
      </c>
      <c r="H2846" s="17">
        <v>25</v>
      </c>
      <c r="I2846" s="31">
        <f t="shared" si="276"/>
        <v>25000</v>
      </c>
      <c r="J2846" s="31">
        <f t="shared" si="277"/>
        <v>1750.0000000000002</v>
      </c>
      <c r="K2846" s="44">
        <f t="shared" si="278"/>
        <v>4.794520547945206</v>
      </c>
      <c r="L2846" s="3">
        <f t="shared" si="279"/>
        <v>354.79452054794524</v>
      </c>
      <c r="M2846" s="3">
        <f t="shared" si="280"/>
        <v>21.287671232876715</v>
      </c>
      <c r="N2846" s="67">
        <f t="shared" si="281"/>
        <v>333.50684931506851</v>
      </c>
      <c r="O2846" s="3"/>
      <c r="P2846" s="70" t="s">
        <v>18639</v>
      </c>
      <c r="Q2846" s="2" t="s">
        <v>94</v>
      </c>
      <c r="R2846" s="2" t="s">
        <v>17061</v>
      </c>
      <c r="T2846" t="s">
        <v>18666</v>
      </c>
      <c r="U2846" t="s">
        <v>18652</v>
      </c>
      <c r="V2846" s="104">
        <v>45857</v>
      </c>
      <c r="X2846" s="97"/>
      <c r="Y2846" s="75">
        <v>333.51</v>
      </c>
    </row>
    <row r="2847" spans="1:25" x14ac:dyDescent="0.25">
      <c r="A2847" s="76">
        <v>2879</v>
      </c>
      <c r="B2847" s="2" t="s">
        <v>3938</v>
      </c>
      <c r="C2847" s="2" t="s">
        <v>3939</v>
      </c>
      <c r="D2847" s="2" t="s">
        <v>3940</v>
      </c>
      <c r="E2847" s="2" t="s">
        <v>3941</v>
      </c>
      <c r="F2847" s="2" t="s">
        <v>3942</v>
      </c>
      <c r="G2847" s="2" t="s">
        <v>296</v>
      </c>
      <c r="H2847" s="17">
        <v>25</v>
      </c>
      <c r="I2847" s="31">
        <f t="shared" si="276"/>
        <v>25000</v>
      </c>
      <c r="J2847" s="31">
        <f t="shared" si="277"/>
        <v>1750.0000000000002</v>
      </c>
      <c r="K2847" s="44">
        <f t="shared" si="278"/>
        <v>4.794520547945206</v>
      </c>
      <c r="L2847" s="3">
        <f t="shared" si="279"/>
        <v>354.79452054794524</v>
      </c>
      <c r="M2847" s="3">
        <f t="shared" si="280"/>
        <v>21.287671232876715</v>
      </c>
      <c r="N2847" s="67">
        <f t="shared" si="281"/>
        <v>333.50684931506851</v>
      </c>
      <c r="O2847" s="3"/>
      <c r="P2847" s="70" t="s">
        <v>18639</v>
      </c>
      <c r="Q2847" s="2" t="s">
        <v>94</v>
      </c>
      <c r="R2847" s="2" t="s">
        <v>3943</v>
      </c>
      <c r="T2847" t="s">
        <v>18666</v>
      </c>
      <c r="U2847" t="s">
        <v>18652</v>
      </c>
      <c r="V2847" s="104">
        <v>45857</v>
      </c>
      <c r="X2847" s="97"/>
      <c r="Y2847" s="75">
        <v>333.51</v>
      </c>
    </row>
    <row r="2848" spans="1:25" x14ac:dyDescent="0.25">
      <c r="A2848" s="76">
        <v>2880</v>
      </c>
      <c r="B2848" s="2" t="s">
        <v>5718</v>
      </c>
      <c r="C2848" s="2" t="s">
        <v>5719</v>
      </c>
      <c r="D2848" s="2" t="s">
        <v>5720</v>
      </c>
      <c r="E2848" s="2" t="s">
        <v>5721</v>
      </c>
      <c r="F2848" s="2" t="s">
        <v>5722</v>
      </c>
      <c r="G2848" s="2" t="s">
        <v>151</v>
      </c>
      <c r="H2848" s="17">
        <v>25</v>
      </c>
      <c r="I2848" s="31">
        <f t="shared" si="276"/>
        <v>25000</v>
      </c>
      <c r="J2848" s="31">
        <f t="shared" si="277"/>
        <v>1750.0000000000002</v>
      </c>
      <c r="K2848" s="44">
        <f t="shared" si="278"/>
        <v>4.794520547945206</v>
      </c>
      <c r="L2848" s="3">
        <f t="shared" si="279"/>
        <v>354.79452054794524</v>
      </c>
      <c r="M2848" s="3">
        <f t="shared" si="280"/>
        <v>21.287671232876715</v>
      </c>
      <c r="N2848" s="67">
        <f t="shared" si="281"/>
        <v>333.50684931506851</v>
      </c>
      <c r="O2848" s="3"/>
      <c r="P2848" s="70" t="s">
        <v>18639</v>
      </c>
      <c r="Q2848" s="2" t="s">
        <v>94</v>
      </c>
      <c r="R2848" s="2" t="s">
        <v>5723</v>
      </c>
      <c r="T2848" t="s">
        <v>18666</v>
      </c>
      <c r="U2848" t="s">
        <v>18652</v>
      </c>
      <c r="V2848" s="104">
        <v>45857</v>
      </c>
      <c r="X2848" s="97"/>
      <c r="Y2848" s="75">
        <v>333.51</v>
      </c>
    </row>
    <row r="2849" spans="1:25" x14ac:dyDescent="0.25">
      <c r="A2849" s="76">
        <v>2881</v>
      </c>
      <c r="B2849" s="2" t="s">
        <v>4369</v>
      </c>
      <c r="C2849" s="2" t="s">
        <v>4370</v>
      </c>
      <c r="D2849" s="2" t="s">
        <v>4371</v>
      </c>
      <c r="E2849" s="2" t="s">
        <v>4372</v>
      </c>
      <c r="F2849" s="2" t="s">
        <v>4373</v>
      </c>
      <c r="G2849" s="2" t="s">
        <v>282</v>
      </c>
      <c r="H2849" s="17">
        <v>25</v>
      </c>
      <c r="I2849" s="31">
        <f t="shared" si="276"/>
        <v>25000</v>
      </c>
      <c r="J2849" s="31">
        <f t="shared" si="277"/>
        <v>1750.0000000000002</v>
      </c>
      <c r="K2849" s="44">
        <f t="shared" si="278"/>
        <v>4.794520547945206</v>
      </c>
      <c r="L2849" s="3">
        <f t="shared" si="279"/>
        <v>354.79452054794524</v>
      </c>
      <c r="M2849" s="3">
        <f t="shared" si="280"/>
        <v>21.287671232876715</v>
      </c>
      <c r="N2849" s="67">
        <f t="shared" si="281"/>
        <v>333.50684931506851</v>
      </c>
      <c r="O2849" s="3"/>
      <c r="P2849" s="70" t="s">
        <v>18639</v>
      </c>
      <c r="Q2849" s="2" t="s">
        <v>94</v>
      </c>
      <c r="R2849" s="2" t="s">
        <v>4374</v>
      </c>
      <c r="T2849" t="s">
        <v>18666</v>
      </c>
      <c r="U2849" t="s">
        <v>18652</v>
      </c>
      <c r="V2849" s="104">
        <v>45857</v>
      </c>
      <c r="X2849" s="97"/>
      <c r="Y2849" s="75">
        <v>333.51</v>
      </c>
    </row>
    <row r="2850" spans="1:25" x14ac:dyDescent="0.25">
      <c r="A2850" s="76">
        <v>2882</v>
      </c>
      <c r="B2850" s="2" t="s">
        <v>6573</v>
      </c>
      <c r="C2850" s="2" t="s">
        <v>6574</v>
      </c>
      <c r="D2850" s="2" t="s">
        <v>6575</v>
      </c>
      <c r="E2850" s="2" t="s">
        <v>6576</v>
      </c>
      <c r="F2850" s="2" t="s">
        <v>6577</v>
      </c>
      <c r="G2850" s="2" t="s">
        <v>31</v>
      </c>
      <c r="H2850" s="17">
        <v>25</v>
      </c>
      <c r="I2850" s="31">
        <f t="shared" si="276"/>
        <v>25000</v>
      </c>
      <c r="J2850" s="31">
        <f t="shared" si="277"/>
        <v>1750.0000000000002</v>
      </c>
      <c r="K2850" s="44">
        <f t="shared" si="278"/>
        <v>4.794520547945206</v>
      </c>
      <c r="L2850" s="3">
        <f t="shared" si="279"/>
        <v>354.79452054794524</v>
      </c>
      <c r="M2850" s="3">
        <f t="shared" si="280"/>
        <v>21.287671232876715</v>
      </c>
      <c r="N2850" s="67">
        <f t="shared" si="281"/>
        <v>333.50684931506851</v>
      </c>
      <c r="O2850" s="3"/>
      <c r="P2850" s="70" t="s">
        <v>18639</v>
      </c>
      <c r="Q2850" s="2" t="s">
        <v>94</v>
      </c>
      <c r="R2850" s="2" t="s">
        <v>6578</v>
      </c>
      <c r="T2850" t="s">
        <v>18666</v>
      </c>
      <c r="U2850" t="s">
        <v>18652</v>
      </c>
      <c r="V2850" s="104">
        <v>45857</v>
      </c>
      <c r="X2850" s="97"/>
      <c r="Y2850" s="75">
        <v>333.51</v>
      </c>
    </row>
    <row r="2851" spans="1:25" x14ac:dyDescent="0.25">
      <c r="A2851" s="76">
        <v>2883</v>
      </c>
      <c r="B2851" s="2" t="s">
        <v>17115</v>
      </c>
      <c r="C2851" s="2" t="s">
        <v>17116</v>
      </c>
      <c r="D2851" s="2" t="s">
        <v>17117</v>
      </c>
      <c r="E2851" s="2" t="s">
        <v>17118</v>
      </c>
      <c r="F2851" s="2" t="s">
        <v>17119</v>
      </c>
      <c r="G2851" s="2" t="s">
        <v>54</v>
      </c>
      <c r="H2851" s="17">
        <v>50</v>
      </c>
      <c r="I2851" s="31">
        <f t="shared" si="276"/>
        <v>50000</v>
      </c>
      <c r="J2851" s="31">
        <f t="shared" si="277"/>
        <v>3500.0000000000005</v>
      </c>
      <c r="K2851" s="44">
        <f t="shared" si="278"/>
        <v>9.589041095890412</v>
      </c>
      <c r="L2851" s="3">
        <f t="shared" si="279"/>
        <v>709.58904109589048</v>
      </c>
      <c r="M2851" s="3">
        <f t="shared" si="280"/>
        <v>42.57534246575343</v>
      </c>
      <c r="N2851" s="67">
        <f t="shared" si="281"/>
        <v>667.01369863013701</v>
      </c>
      <c r="O2851" s="3"/>
      <c r="P2851" s="70" t="s">
        <v>18639</v>
      </c>
      <c r="Q2851" s="2" t="s">
        <v>94</v>
      </c>
      <c r="R2851" s="2" t="s">
        <v>17120</v>
      </c>
      <c r="T2851" t="s">
        <v>18666</v>
      </c>
      <c r="U2851" t="s">
        <v>18652</v>
      </c>
      <c r="V2851" s="104">
        <v>45857</v>
      </c>
      <c r="X2851" s="97"/>
      <c r="Y2851" s="75">
        <v>667.02</v>
      </c>
    </row>
    <row r="2852" spans="1:25" x14ac:dyDescent="0.25">
      <c r="A2852" s="76">
        <v>2884</v>
      </c>
      <c r="B2852" s="2" t="s">
        <v>10493</v>
      </c>
      <c r="C2852" s="2" t="s">
        <v>10494</v>
      </c>
      <c r="D2852" s="2" t="s">
        <v>10495</v>
      </c>
      <c r="E2852" s="2" t="s">
        <v>10496</v>
      </c>
      <c r="F2852" s="2" t="s">
        <v>10497</v>
      </c>
      <c r="G2852" s="2" t="s">
        <v>31</v>
      </c>
      <c r="H2852" s="17">
        <v>100</v>
      </c>
      <c r="I2852" s="31">
        <f t="shared" si="276"/>
        <v>100000</v>
      </c>
      <c r="J2852" s="31">
        <f t="shared" si="277"/>
        <v>7000.0000000000009</v>
      </c>
      <c r="K2852" s="44">
        <f t="shared" si="278"/>
        <v>19.178082191780824</v>
      </c>
      <c r="L2852" s="3">
        <f t="shared" si="279"/>
        <v>1419.178082191781</v>
      </c>
      <c r="M2852" s="3">
        <f t="shared" si="280"/>
        <v>85.150684931506859</v>
      </c>
      <c r="N2852" s="67">
        <f t="shared" si="281"/>
        <v>1334.027397260274</v>
      </c>
      <c r="O2852" s="3"/>
      <c r="P2852" s="70" t="s">
        <v>18639</v>
      </c>
      <c r="Q2852" s="2" t="s">
        <v>94</v>
      </c>
      <c r="R2852" s="2" t="s">
        <v>10498</v>
      </c>
      <c r="T2852" t="s">
        <v>18666</v>
      </c>
      <c r="U2852" t="s">
        <v>18652</v>
      </c>
      <c r="V2852" s="104">
        <v>45857</v>
      </c>
      <c r="X2852" s="97"/>
      <c r="Y2852" s="75">
        <v>1334.03</v>
      </c>
    </row>
    <row r="2853" spans="1:25" x14ac:dyDescent="0.25">
      <c r="A2853" s="76">
        <v>2885</v>
      </c>
      <c r="B2853" s="2" t="s">
        <v>8956</v>
      </c>
      <c r="C2853" s="2" t="s">
        <v>8957</v>
      </c>
      <c r="D2853" s="2" t="s">
        <v>8958</v>
      </c>
      <c r="E2853" s="2" t="s">
        <v>8959</v>
      </c>
      <c r="F2853" s="2" t="s">
        <v>8960</v>
      </c>
      <c r="G2853" s="2" t="s">
        <v>524</v>
      </c>
      <c r="H2853" s="17">
        <v>30</v>
      </c>
      <c r="I2853" s="31">
        <f t="shared" si="276"/>
        <v>30000</v>
      </c>
      <c r="J2853" s="31">
        <f t="shared" si="277"/>
        <v>2100</v>
      </c>
      <c r="K2853" s="44">
        <f t="shared" si="278"/>
        <v>5.7534246575342465</v>
      </c>
      <c r="L2853" s="3">
        <f t="shared" si="279"/>
        <v>425.75342465753425</v>
      </c>
      <c r="M2853" s="3">
        <f t="shared" si="280"/>
        <v>25.545205479452054</v>
      </c>
      <c r="N2853" s="67">
        <f t="shared" si="281"/>
        <v>400.20821917808217</v>
      </c>
      <c r="O2853" s="3"/>
      <c r="P2853" s="70" t="s">
        <v>18639</v>
      </c>
      <c r="Q2853" s="2" t="s">
        <v>94</v>
      </c>
      <c r="R2853" s="2" t="s">
        <v>8961</v>
      </c>
      <c r="T2853" t="s">
        <v>18666</v>
      </c>
      <c r="U2853" t="s">
        <v>18652</v>
      </c>
      <c r="V2853" s="104">
        <v>45857</v>
      </c>
      <c r="X2853" s="97"/>
      <c r="Y2853" s="75">
        <v>400.21</v>
      </c>
    </row>
    <row r="2854" spans="1:25" x14ac:dyDescent="0.25">
      <c r="A2854" s="76">
        <v>2886</v>
      </c>
      <c r="B2854" s="2" t="s">
        <v>16144</v>
      </c>
      <c r="C2854" s="2" t="s">
        <v>16145</v>
      </c>
      <c r="D2854" s="2" t="s">
        <v>16146</v>
      </c>
      <c r="E2854" s="2" t="s">
        <v>16147</v>
      </c>
      <c r="F2854" s="2" t="s">
        <v>16148</v>
      </c>
      <c r="G2854" s="2" t="s">
        <v>151</v>
      </c>
      <c r="H2854" s="17">
        <v>25</v>
      </c>
      <c r="I2854" s="31">
        <f t="shared" si="276"/>
        <v>25000</v>
      </c>
      <c r="J2854" s="31">
        <f t="shared" si="277"/>
        <v>1750.0000000000002</v>
      </c>
      <c r="K2854" s="44">
        <f t="shared" si="278"/>
        <v>4.794520547945206</v>
      </c>
      <c r="L2854" s="3">
        <f t="shared" si="279"/>
        <v>354.79452054794524</v>
      </c>
      <c r="M2854" s="3">
        <f t="shared" si="280"/>
        <v>21.287671232876715</v>
      </c>
      <c r="N2854" s="67">
        <f t="shared" si="281"/>
        <v>333.50684931506851</v>
      </c>
      <c r="O2854" s="3"/>
      <c r="P2854" s="70" t="s">
        <v>18639</v>
      </c>
      <c r="Q2854" s="2" t="s">
        <v>94</v>
      </c>
      <c r="R2854" s="2" t="s">
        <v>16149</v>
      </c>
      <c r="T2854" t="s">
        <v>18666</v>
      </c>
      <c r="U2854" t="s">
        <v>18652</v>
      </c>
      <c r="V2854" s="104">
        <v>45857</v>
      </c>
      <c r="X2854" s="97"/>
      <c r="Y2854" s="75">
        <v>333.51</v>
      </c>
    </row>
    <row r="2855" spans="1:25" x14ac:dyDescent="0.25">
      <c r="A2855" s="76">
        <v>2887</v>
      </c>
      <c r="B2855" s="2" t="s">
        <v>13259</v>
      </c>
      <c r="C2855" s="2" t="s">
        <v>13260</v>
      </c>
      <c r="D2855" s="2" t="s">
        <v>5010</v>
      </c>
      <c r="E2855" s="2" t="s">
        <v>8519</v>
      </c>
      <c r="F2855" s="2" t="s">
        <v>13261</v>
      </c>
      <c r="G2855" s="2" t="s">
        <v>618</v>
      </c>
      <c r="H2855" s="17">
        <v>25</v>
      </c>
      <c r="I2855" s="31">
        <f t="shared" si="276"/>
        <v>25000</v>
      </c>
      <c r="J2855" s="31">
        <f t="shared" si="277"/>
        <v>1750.0000000000002</v>
      </c>
      <c r="K2855" s="44">
        <f t="shared" si="278"/>
        <v>4.794520547945206</v>
      </c>
      <c r="L2855" s="3">
        <f t="shared" si="279"/>
        <v>354.79452054794524</v>
      </c>
      <c r="M2855" s="3">
        <f t="shared" si="280"/>
        <v>21.287671232876715</v>
      </c>
      <c r="N2855" s="67">
        <f t="shared" si="281"/>
        <v>333.50684931506851</v>
      </c>
      <c r="O2855" s="3"/>
      <c r="P2855" s="70" t="s">
        <v>18639</v>
      </c>
      <c r="Q2855" s="2" t="s">
        <v>94</v>
      </c>
      <c r="R2855" s="2" t="s">
        <v>13262</v>
      </c>
      <c r="T2855" t="s">
        <v>18666</v>
      </c>
      <c r="U2855" t="s">
        <v>18652</v>
      </c>
      <c r="V2855" s="104">
        <v>45857</v>
      </c>
      <c r="X2855" s="97"/>
      <c r="Y2855" s="75">
        <v>333.51</v>
      </c>
    </row>
    <row r="2856" spans="1:25" x14ac:dyDescent="0.25">
      <c r="A2856" s="76">
        <v>2888</v>
      </c>
      <c r="B2856" s="2" t="s">
        <v>15128</v>
      </c>
      <c r="C2856" s="2" t="s">
        <v>15129</v>
      </c>
      <c r="D2856" s="2" t="s">
        <v>15130</v>
      </c>
      <c r="E2856" s="2" t="s">
        <v>15131</v>
      </c>
      <c r="F2856" s="2" t="s">
        <v>15132</v>
      </c>
      <c r="G2856" s="2" t="s">
        <v>381</v>
      </c>
      <c r="H2856" s="17">
        <v>25</v>
      </c>
      <c r="I2856" s="31">
        <f t="shared" si="276"/>
        <v>25000</v>
      </c>
      <c r="J2856" s="31">
        <f t="shared" si="277"/>
        <v>1750.0000000000002</v>
      </c>
      <c r="K2856" s="44">
        <f t="shared" si="278"/>
        <v>4.794520547945206</v>
      </c>
      <c r="L2856" s="3">
        <f t="shared" si="279"/>
        <v>354.79452054794524</v>
      </c>
      <c r="M2856" s="3">
        <f t="shared" si="280"/>
        <v>21.287671232876715</v>
      </c>
      <c r="N2856" s="67">
        <f t="shared" si="281"/>
        <v>333.50684931506851</v>
      </c>
      <c r="O2856" s="3"/>
      <c r="P2856" s="70" t="s">
        <v>18639</v>
      </c>
      <c r="Q2856" s="2" t="s">
        <v>94</v>
      </c>
      <c r="R2856" s="2" t="s">
        <v>15133</v>
      </c>
      <c r="T2856" t="s">
        <v>18666</v>
      </c>
      <c r="U2856" t="s">
        <v>18652</v>
      </c>
      <c r="V2856" s="104">
        <v>45857</v>
      </c>
      <c r="X2856" s="97"/>
      <c r="Y2856" s="75">
        <v>333.51</v>
      </c>
    </row>
    <row r="2857" spans="1:25" x14ac:dyDescent="0.25">
      <c r="A2857" s="76">
        <v>2889</v>
      </c>
      <c r="B2857" s="2" t="s">
        <v>11005</v>
      </c>
      <c r="C2857" s="2" t="s">
        <v>11006</v>
      </c>
      <c r="D2857" s="2" t="s">
        <v>11007</v>
      </c>
      <c r="E2857" s="2" t="s">
        <v>11008</v>
      </c>
      <c r="F2857" s="2" t="s">
        <v>11009</v>
      </c>
      <c r="G2857" s="2" t="s">
        <v>580</v>
      </c>
      <c r="H2857" s="17">
        <v>100</v>
      </c>
      <c r="I2857" s="31">
        <f t="shared" si="276"/>
        <v>100000</v>
      </c>
      <c r="J2857" s="31">
        <f t="shared" si="277"/>
        <v>7000.0000000000009</v>
      </c>
      <c r="K2857" s="44">
        <f t="shared" si="278"/>
        <v>19.178082191780824</v>
      </c>
      <c r="L2857" s="3">
        <f t="shared" si="279"/>
        <v>1419.178082191781</v>
      </c>
      <c r="M2857" s="3">
        <f t="shared" si="280"/>
        <v>85.150684931506859</v>
      </c>
      <c r="N2857" s="67">
        <f t="shared" si="281"/>
        <v>1334.027397260274</v>
      </c>
      <c r="O2857" s="3"/>
      <c r="P2857" s="70" t="s">
        <v>18639</v>
      </c>
      <c r="Q2857" s="2" t="s">
        <v>94</v>
      </c>
      <c r="R2857" s="2" t="s">
        <v>11010</v>
      </c>
      <c r="T2857" t="s">
        <v>18666</v>
      </c>
      <c r="U2857" t="s">
        <v>18652</v>
      </c>
      <c r="V2857" s="104">
        <v>45857</v>
      </c>
      <c r="X2857" s="97"/>
      <c r="Y2857" s="75">
        <v>1334.03</v>
      </c>
    </row>
    <row r="2858" spans="1:25" x14ac:dyDescent="0.25">
      <c r="A2858" s="76">
        <v>2890</v>
      </c>
      <c r="B2858" s="2" t="s">
        <v>11897</v>
      </c>
      <c r="C2858" s="2" t="s">
        <v>11898</v>
      </c>
      <c r="D2858" s="2" t="s">
        <v>11899</v>
      </c>
      <c r="E2858" s="2" t="s">
        <v>11900</v>
      </c>
      <c r="F2858" s="2" t="s">
        <v>11901</v>
      </c>
      <c r="G2858" s="2" t="s">
        <v>158</v>
      </c>
      <c r="H2858" s="17">
        <v>100</v>
      </c>
      <c r="I2858" s="31">
        <f t="shared" si="276"/>
        <v>100000</v>
      </c>
      <c r="J2858" s="31">
        <f t="shared" si="277"/>
        <v>7000.0000000000009</v>
      </c>
      <c r="K2858" s="44">
        <f t="shared" si="278"/>
        <v>19.178082191780824</v>
      </c>
      <c r="L2858" s="3">
        <f t="shared" si="279"/>
        <v>1419.178082191781</v>
      </c>
      <c r="M2858" s="3">
        <f t="shared" si="280"/>
        <v>85.150684931506859</v>
      </c>
      <c r="N2858" s="67">
        <f t="shared" si="281"/>
        <v>1334.027397260274</v>
      </c>
      <c r="O2858" s="3"/>
      <c r="P2858" s="70" t="s">
        <v>18639</v>
      </c>
      <c r="Q2858" s="2" t="s">
        <v>94</v>
      </c>
      <c r="R2858" s="2" t="s">
        <v>11902</v>
      </c>
      <c r="T2858" t="s">
        <v>18666</v>
      </c>
      <c r="U2858" t="s">
        <v>18652</v>
      </c>
      <c r="V2858" s="104">
        <v>45857</v>
      </c>
      <c r="X2858" s="97"/>
      <c r="Y2858" s="75">
        <v>1334.03</v>
      </c>
    </row>
    <row r="2859" spans="1:25" x14ac:dyDescent="0.25">
      <c r="A2859" s="76">
        <v>2891</v>
      </c>
      <c r="B2859" s="2" t="s">
        <v>487</v>
      </c>
      <c r="C2859" s="2" t="s">
        <v>488</v>
      </c>
      <c r="D2859" s="2" t="s">
        <v>489</v>
      </c>
      <c r="E2859" s="2" t="s">
        <v>490</v>
      </c>
      <c r="F2859" s="2" t="s">
        <v>491</v>
      </c>
      <c r="G2859" s="2" t="s">
        <v>31</v>
      </c>
      <c r="H2859" s="17">
        <v>200</v>
      </c>
      <c r="I2859" s="31">
        <f t="shared" si="276"/>
        <v>200000</v>
      </c>
      <c r="J2859" s="31">
        <f t="shared" si="277"/>
        <v>14000.000000000002</v>
      </c>
      <c r="K2859" s="44">
        <f t="shared" si="278"/>
        <v>38.356164383561648</v>
      </c>
      <c r="L2859" s="3">
        <f t="shared" si="279"/>
        <v>2838.3561643835619</v>
      </c>
      <c r="M2859" s="3">
        <f t="shared" si="280"/>
        <v>170.30136986301372</v>
      </c>
      <c r="N2859" s="67">
        <f t="shared" si="281"/>
        <v>2668.0547945205481</v>
      </c>
      <c r="O2859" s="3"/>
      <c r="P2859" s="70" t="s">
        <v>18639</v>
      </c>
      <c r="Q2859" s="2" t="s">
        <v>94</v>
      </c>
      <c r="R2859" s="2" t="s">
        <v>492</v>
      </c>
      <c r="T2859" t="s">
        <v>18666</v>
      </c>
      <c r="U2859" t="s">
        <v>18652</v>
      </c>
      <c r="V2859" s="104">
        <v>45857</v>
      </c>
      <c r="X2859" s="97"/>
      <c r="Y2859" s="75">
        <v>2668.0600000000004</v>
      </c>
    </row>
    <row r="2860" spans="1:25" x14ac:dyDescent="0.25">
      <c r="A2860" s="76">
        <v>2892</v>
      </c>
      <c r="B2860" s="2" t="s">
        <v>15526</v>
      </c>
      <c r="C2860" s="2" t="s">
        <v>15527</v>
      </c>
      <c r="D2860" s="2" t="s">
        <v>15528</v>
      </c>
      <c r="E2860" s="2" t="s">
        <v>15529</v>
      </c>
      <c r="F2860" s="2" t="s">
        <v>15530</v>
      </c>
      <c r="G2860" s="2" t="s">
        <v>618</v>
      </c>
      <c r="H2860" s="17">
        <v>100</v>
      </c>
      <c r="I2860" s="31">
        <f t="shared" si="276"/>
        <v>100000</v>
      </c>
      <c r="J2860" s="31">
        <f t="shared" si="277"/>
        <v>7000.0000000000009</v>
      </c>
      <c r="K2860" s="44">
        <f t="shared" si="278"/>
        <v>19.178082191780824</v>
      </c>
      <c r="L2860" s="3">
        <f t="shared" si="279"/>
        <v>1419.178082191781</v>
      </c>
      <c r="M2860" s="3">
        <f t="shared" si="280"/>
        <v>85.150684931506859</v>
      </c>
      <c r="N2860" s="67">
        <f t="shared" si="281"/>
        <v>1334.027397260274</v>
      </c>
      <c r="O2860" s="3"/>
      <c r="P2860" s="70" t="s">
        <v>18639</v>
      </c>
      <c r="Q2860" s="2" t="s">
        <v>94</v>
      </c>
      <c r="R2860" s="2" t="s">
        <v>15531</v>
      </c>
      <c r="T2860" t="s">
        <v>18666</v>
      </c>
      <c r="U2860" t="s">
        <v>18652</v>
      </c>
      <c r="V2860" s="104">
        <v>45857</v>
      </c>
      <c r="X2860" s="97"/>
      <c r="Y2860" s="75">
        <v>1334.03</v>
      </c>
    </row>
    <row r="2861" spans="1:25" x14ac:dyDescent="0.25">
      <c r="A2861" s="76">
        <v>2893</v>
      </c>
      <c r="B2861" s="2" t="s">
        <v>14042</v>
      </c>
      <c r="C2861" s="2" t="s">
        <v>14043</v>
      </c>
      <c r="D2861" s="2" t="s">
        <v>14044</v>
      </c>
      <c r="E2861" s="2" t="s">
        <v>14045</v>
      </c>
      <c r="F2861" s="2" t="s">
        <v>14046</v>
      </c>
      <c r="G2861" s="2" t="s">
        <v>1315</v>
      </c>
      <c r="H2861" s="17">
        <v>25</v>
      </c>
      <c r="I2861" s="31">
        <f t="shared" si="276"/>
        <v>25000</v>
      </c>
      <c r="J2861" s="31">
        <f t="shared" si="277"/>
        <v>1750.0000000000002</v>
      </c>
      <c r="K2861" s="44">
        <f t="shared" si="278"/>
        <v>4.794520547945206</v>
      </c>
      <c r="L2861" s="3">
        <f t="shared" si="279"/>
        <v>354.79452054794524</v>
      </c>
      <c r="M2861" s="3">
        <f t="shared" si="280"/>
        <v>21.287671232876715</v>
      </c>
      <c r="N2861" s="67">
        <f t="shared" si="281"/>
        <v>333.50684931506851</v>
      </c>
      <c r="O2861" s="3"/>
      <c r="P2861" s="70" t="s">
        <v>18639</v>
      </c>
      <c r="Q2861" s="2" t="s">
        <v>94</v>
      </c>
      <c r="R2861" s="2" t="s">
        <v>14047</v>
      </c>
      <c r="T2861" t="s">
        <v>18666</v>
      </c>
      <c r="U2861" t="s">
        <v>18652</v>
      </c>
      <c r="V2861" s="104">
        <v>45857</v>
      </c>
      <c r="X2861" s="97"/>
      <c r="Y2861" s="75">
        <v>333.51</v>
      </c>
    </row>
    <row r="2862" spans="1:25" x14ac:dyDescent="0.25">
      <c r="A2862" s="76">
        <v>2894</v>
      </c>
      <c r="B2862" s="2" t="s">
        <v>15398</v>
      </c>
      <c r="C2862" s="2" t="s">
        <v>15389</v>
      </c>
      <c r="D2862" s="2" t="s">
        <v>15399</v>
      </c>
      <c r="E2862" s="2" t="s">
        <v>15400</v>
      </c>
      <c r="F2862" s="2" t="s">
        <v>15401</v>
      </c>
      <c r="G2862" s="2" t="s">
        <v>580</v>
      </c>
      <c r="H2862" s="17">
        <v>25</v>
      </c>
      <c r="I2862" s="31">
        <f t="shared" si="276"/>
        <v>25000</v>
      </c>
      <c r="J2862" s="31">
        <f t="shared" si="277"/>
        <v>1750.0000000000002</v>
      </c>
      <c r="K2862" s="44">
        <f t="shared" si="278"/>
        <v>4.794520547945206</v>
      </c>
      <c r="L2862" s="3">
        <f t="shared" si="279"/>
        <v>354.79452054794524</v>
      </c>
      <c r="M2862" s="3">
        <f t="shared" si="280"/>
        <v>21.287671232876715</v>
      </c>
      <c r="N2862" s="67">
        <f t="shared" si="281"/>
        <v>333.50684931506851</v>
      </c>
      <c r="O2862" s="3"/>
      <c r="P2862" s="70" t="s">
        <v>18639</v>
      </c>
      <c r="Q2862" s="2" t="s">
        <v>94</v>
      </c>
      <c r="R2862" s="2" t="s">
        <v>15402</v>
      </c>
      <c r="T2862" t="s">
        <v>18666</v>
      </c>
      <c r="U2862" t="s">
        <v>18652</v>
      </c>
      <c r="V2862" s="104">
        <v>45857</v>
      </c>
      <c r="X2862" s="97"/>
      <c r="Y2862" s="75">
        <v>333.51</v>
      </c>
    </row>
    <row r="2863" spans="1:25" x14ac:dyDescent="0.25">
      <c r="A2863" s="76">
        <v>2895</v>
      </c>
      <c r="B2863" s="2" t="s">
        <v>17237</v>
      </c>
      <c r="C2863" s="2" t="s">
        <v>17238</v>
      </c>
      <c r="D2863" s="2" t="s">
        <v>17239</v>
      </c>
      <c r="E2863" s="2" t="s">
        <v>6884</v>
      </c>
      <c r="F2863" s="2" t="s">
        <v>17240</v>
      </c>
      <c r="G2863" s="2" t="s">
        <v>282</v>
      </c>
      <c r="H2863" s="17">
        <v>25</v>
      </c>
      <c r="I2863" s="31">
        <f t="shared" si="276"/>
        <v>25000</v>
      </c>
      <c r="J2863" s="31">
        <f t="shared" si="277"/>
        <v>1750.0000000000002</v>
      </c>
      <c r="K2863" s="44">
        <f t="shared" si="278"/>
        <v>4.794520547945206</v>
      </c>
      <c r="L2863" s="3">
        <f t="shared" si="279"/>
        <v>354.79452054794524</v>
      </c>
      <c r="M2863" s="3">
        <f t="shared" si="280"/>
        <v>21.287671232876715</v>
      </c>
      <c r="N2863" s="67">
        <f t="shared" si="281"/>
        <v>333.50684931506851</v>
      </c>
      <c r="O2863" s="3"/>
      <c r="P2863" s="70" t="s">
        <v>18639</v>
      </c>
      <c r="Q2863" s="2" t="s">
        <v>94</v>
      </c>
      <c r="R2863" s="2" t="s">
        <v>17241</v>
      </c>
      <c r="T2863" t="s">
        <v>18666</v>
      </c>
      <c r="U2863" t="s">
        <v>18652</v>
      </c>
      <c r="V2863" s="104">
        <v>45857</v>
      </c>
      <c r="X2863" s="97"/>
      <c r="Y2863" s="75">
        <v>333.51</v>
      </c>
    </row>
    <row r="2864" spans="1:25" x14ac:dyDescent="0.25">
      <c r="A2864" s="76">
        <v>2896</v>
      </c>
      <c r="B2864" s="2" t="s">
        <v>7555</v>
      </c>
      <c r="C2864" s="2" t="s">
        <v>7556</v>
      </c>
      <c r="D2864" s="2" t="s">
        <v>7557</v>
      </c>
      <c r="E2864" s="2" t="s">
        <v>7558</v>
      </c>
      <c r="F2864" s="2" t="s">
        <v>7559</v>
      </c>
      <c r="G2864" s="2" t="s">
        <v>618</v>
      </c>
      <c r="H2864" s="17">
        <v>25</v>
      </c>
      <c r="I2864" s="31">
        <f t="shared" si="276"/>
        <v>25000</v>
      </c>
      <c r="J2864" s="31">
        <f t="shared" si="277"/>
        <v>1750.0000000000002</v>
      </c>
      <c r="K2864" s="44">
        <f t="shared" si="278"/>
        <v>4.794520547945206</v>
      </c>
      <c r="L2864" s="3">
        <f t="shared" si="279"/>
        <v>354.79452054794524</v>
      </c>
      <c r="M2864" s="3">
        <f t="shared" si="280"/>
        <v>21.287671232876715</v>
      </c>
      <c r="N2864" s="67">
        <f t="shared" si="281"/>
        <v>333.50684931506851</v>
      </c>
      <c r="O2864" s="3"/>
      <c r="P2864" s="70" t="s">
        <v>18639</v>
      </c>
      <c r="Q2864" s="2" t="s">
        <v>94</v>
      </c>
      <c r="R2864" s="2" t="s">
        <v>7560</v>
      </c>
      <c r="T2864" t="s">
        <v>18666</v>
      </c>
      <c r="U2864" t="s">
        <v>18652</v>
      </c>
      <c r="V2864" s="104">
        <v>45857</v>
      </c>
      <c r="X2864" s="97"/>
      <c r="Y2864" s="75">
        <v>333.51</v>
      </c>
    </row>
    <row r="2865" spans="1:25" x14ac:dyDescent="0.25">
      <c r="A2865" s="76">
        <v>2897</v>
      </c>
      <c r="B2865" s="2" t="s">
        <v>9827</v>
      </c>
      <c r="C2865" s="2" t="s">
        <v>9828</v>
      </c>
      <c r="D2865" s="2" t="s">
        <v>9829</v>
      </c>
      <c r="E2865" s="2" t="s">
        <v>9830</v>
      </c>
      <c r="F2865" s="2" t="s">
        <v>9831</v>
      </c>
      <c r="G2865" s="2" t="s">
        <v>835</v>
      </c>
      <c r="H2865" s="17">
        <v>25</v>
      </c>
      <c r="I2865" s="31">
        <f t="shared" si="276"/>
        <v>25000</v>
      </c>
      <c r="J2865" s="31">
        <f t="shared" si="277"/>
        <v>1750.0000000000002</v>
      </c>
      <c r="K2865" s="44">
        <f t="shared" si="278"/>
        <v>4.794520547945206</v>
      </c>
      <c r="L2865" s="3">
        <f t="shared" si="279"/>
        <v>354.79452054794524</v>
      </c>
      <c r="M2865" s="3">
        <f t="shared" si="280"/>
        <v>21.287671232876715</v>
      </c>
      <c r="N2865" s="67">
        <f t="shared" si="281"/>
        <v>333.50684931506851</v>
      </c>
      <c r="O2865" s="3"/>
      <c r="P2865" s="70" t="s">
        <v>18639</v>
      </c>
      <c r="Q2865" s="2" t="s">
        <v>94</v>
      </c>
      <c r="R2865" s="2" t="s">
        <v>9832</v>
      </c>
      <c r="T2865" t="s">
        <v>18666</v>
      </c>
      <c r="U2865" t="s">
        <v>18652</v>
      </c>
      <c r="V2865" s="104">
        <v>45857</v>
      </c>
      <c r="X2865" s="97"/>
      <c r="Y2865" s="75">
        <v>333.51</v>
      </c>
    </row>
    <row r="2866" spans="1:25" x14ac:dyDescent="0.25">
      <c r="A2866" s="76">
        <v>2898</v>
      </c>
      <c r="B2866" s="2" t="s">
        <v>14946</v>
      </c>
      <c r="C2866" s="2" t="s">
        <v>14947</v>
      </c>
      <c r="D2866" s="2" t="s">
        <v>14948</v>
      </c>
      <c r="E2866" s="2" t="s">
        <v>14949</v>
      </c>
      <c r="F2866" s="2" t="s">
        <v>14950</v>
      </c>
      <c r="G2866" s="2" t="s">
        <v>750</v>
      </c>
      <c r="H2866" s="17">
        <v>25</v>
      </c>
      <c r="I2866" s="31">
        <f t="shared" si="276"/>
        <v>25000</v>
      </c>
      <c r="J2866" s="31">
        <f t="shared" si="277"/>
        <v>1750.0000000000002</v>
      </c>
      <c r="K2866" s="44">
        <f t="shared" si="278"/>
        <v>4.794520547945206</v>
      </c>
      <c r="L2866" s="3">
        <f t="shared" si="279"/>
        <v>354.79452054794524</v>
      </c>
      <c r="M2866" s="3">
        <f t="shared" si="280"/>
        <v>21.287671232876715</v>
      </c>
      <c r="N2866" s="67">
        <f t="shared" si="281"/>
        <v>333.50684931506851</v>
      </c>
      <c r="O2866" s="3"/>
      <c r="P2866" s="70" t="s">
        <v>18639</v>
      </c>
      <c r="Q2866" s="2" t="s">
        <v>94</v>
      </c>
      <c r="R2866" s="2" t="s">
        <v>14951</v>
      </c>
      <c r="T2866" t="s">
        <v>18666</v>
      </c>
      <c r="U2866" t="s">
        <v>18652</v>
      </c>
      <c r="V2866" s="104">
        <v>45857</v>
      </c>
      <c r="X2866" s="97"/>
      <c r="Y2866" s="75">
        <v>333.51</v>
      </c>
    </row>
    <row r="2867" spans="1:25" x14ac:dyDescent="0.25">
      <c r="A2867" s="76">
        <v>2899</v>
      </c>
      <c r="B2867" s="2" t="s">
        <v>6337</v>
      </c>
      <c r="C2867" s="2" t="s">
        <v>6338</v>
      </c>
      <c r="D2867" s="2" t="s">
        <v>6339</v>
      </c>
      <c r="E2867" s="2" t="s">
        <v>6340</v>
      </c>
      <c r="F2867" s="2" t="s">
        <v>6341</v>
      </c>
      <c r="G2867" s="2" t="s">
        <v>247</v>
      </c>
      <c r="H2867" s="17">
        <v>50</v>
      </c>
      <c r="I2867" s="31">
        <f t="shared" si="276"/>
        <v>50000</v>
      </c>
      <c r="J2867" s="31">
        <f t="shared" si="277"/>
        <v>3500.0000000000005</v>
      </c>
      <c r="K2867" s="44">
        <f t="shared" si="278"/>
        <v>9.589041095890412</v>
      </c>
      <c r="L2867" s="3">
        <f t="shared" si="279"/>
        <v>709.58904109589048</v>
      </c>
      <c r="M2867" s="3">
        <f t="shared" si="280"/>
        <v>42.57534246575343</v>
      </c>
      <c r="N2867" s="67">
        <f t="shared" si="281"/>
        <v>667.01369863013701</v>
      </c>
      <c r="O2867" s="3"/>
      <c r="P2867" s="70" t="s">
        <v>18639</v>
      </c>
      <c r="Q2867" s="2" t="s">
        <v>94</v>
      </c>
      <c r="R2867" s="2" t="s">
        <v>6342</v>
      </c>
      <c r="T2867" t="s">
        <v>18666</v>
      </c>
      <c r="U2867" t="s">
        <v>18652</v>
      </c>
      <c r="V2867" s="104">
        <v>45857</v>
      </c>
      <c r="X2867" s="97"/>
      <c r="Y2867" s="75">
        <v>667.02</v>
      </c>
    </row>
    <row r="2868" spans="1:25" x14ac:dyDescent="0.25">
      <c r="A2868" s="76">
        <v>2900</v>
      </c>
      <c r="B2868" s="2" t="s">
        <v>14981</v>
      </c>
      <c r="C2868" s="2" t="s">
        <v>14982</v>
      </c>
      <c r="D2868" s="2" t="s">
        <v>14983</v>
      </c>
      <c r="E2868" s="2" t="s">
        <v>14984</v>
      </c>
      <c r="F2868" s="2" t="s">
        <v>14985</v>
      </c>
      <c r="G2868" s="2" t="s">
        <v>587</v>
      </c>
      <c r="H2868" s="17">
        <v>100</v>
      </c>
      <c r="I2868" s="31">
        <f t="shared" si="276"/>
        <v>100000</v>
      </c>
      <c r="J2868" s="31">
        <f t="shared" si="277"/>
        <v>7000.0000000000009</v>
      </c>
      <c r="K2868" s="44">
        <f t="shared" si="278"/>
        <v>19.178082191780824</v>
      </c>
      <c r="L2868" s="3">
        <f t="shared" si="279"/>
        <v>1419.178082191781</v>
      </c>
      <c r="M2868" s="3">
        <f t="shared" si="280"/>
        <v>85.150684931506859</v>
      </c>
      <c r="N2868" s="67">
        <f t="shared" si="281"/>
        <v>1334.027397260274</v>
      </c>
      <c r="O2868" s="3"/>
      <c r="P2868" s="70" t="s">
        <v>18639</v>
      </c>
      <c r="Q2868" s="2" t="s">
        <v>94</v>
      </c>
      <c r="R2868" s="2" t="s">
        <v>14986</v>
      </c>
      <c r="T2868" t="s">
        <v>18666</v>
      </c>
      <c r="U2868" t="s">
        <v>18652</v>
      </c>
      <c r="V2868" s="104">
        <v>45857</v>
      </c>
      <c r="X2868" s="97"/>
      <c r="Y2868" s="75">
        <v>1334.03</v>
      </c>
    </row>
    <row r="2869" spans="1:25" x14ac:dyDescent="0.25">
      <c r="A2869" s="76">
        <v>2901</v>
      </c>
      <c r="B2869" s="2" t="s">
        <v>9582</v>
      </c>
      <c r="C2869" s="2" t="s">
        <v>9583</v>
      </c>
      <c r="D2869" s="2" t="s">
        <v>9584</v>
      </c>
      <c r="E2869" s="2" t="s">
        <v>9585</v>
      </c>
      <c r="F2869" s="2" t="s">
        <v>9586</v>
      </c>
      <c r="G2869" s="2" t="s">
        <v>186</v>
      </c>
      <c r="H2869" s="17">
        <v>25</v>
      </c>
      <c r="I2869" s="31">
        <f t="shared" si="276"/>
        <v>25000</v>
      </c>
      <c r="J2869" s="31">
        <f t="shared" si="277"/>
        <v>1750.0000000000002</v>
      </c>
      <c r="K2869" s="44">
        <f t="shared" si="278"/>
        <v>4.794520547945206</v>
      </c>
      <c r="L2869" s="3">
        <f t="shared" si="279"/>
        <v>354.79452054794524</v>
      </c>
      <c r="M2869" s="3">
        <f t="shared" si="280"/>
        <v>21.287671232876715</v>
      </c>
      <c r="N2869" s="67">
        <f t="shared" si="281"/>
        <v>333.50684931506851</v>
      </c>
      <c r="O2869" s="3"/>
      <c r="P2869" s="70" t="s">
        <v>18639</v>
      </c>
      <c r="Q2869" s="2" t="s">
        <v>94</v>
      </c>
      <c r="R2869" s="2" t="s">
        <v>9587</v>
      </c>
      <c r="T2869" t="s">
        <v>18666</v>
      </c>
      <c r="U2869" t="s">
        <v>18652</v>
      </c>
      <c r="V2869" s="104">
        <v>45857</v>
      </c>
      <c r="X2869" s="97"/>
      <c r="Y2869" s="75">
        <v>333.51</v>
      </c>
    </row>
    <row r="2870" spans="1:25" x14ac:dyDescent="0.25">
      <c r="A2870" s="76">
        <v>2902</v>
      </c>
      <c r="B2870" s="2" t="s">
        <v>6865</v>
      </c>
      <c r="C2870" s="2" t="s">
        <v>6866</v>
      </c>
      <c r="D2870" s="2" t="s">
        <v>6867</v>
      </c>
      <c r="E2870" s="2" t="s">
        <v>6868</v>
      </c>
      <c r="F2870" s="2" t="s">
        <v>6869</v>
      </c>
      <c r="G2870" s="2" t="s">
        <v>517</v>
      </c>
      <c r="H2870" s="17">
        <v>25</v>
      </c>
      <c r="I2870" s="31">
        <f t="shared" si="276"/>
        <v>25000</v>
      </c>
      <c r="J2870" s="31">
        <f t="shared" si="277"/>
        <v>1750.0000000000002</v>
      </c>
      <c r="K2870" s="44">
        <f t="shared" si="278"/>
        <v>4.794520547945206</v>
      </c>
      <c r="L2870" s="3">
        <f t="shared" si="279"/>
        <v>354.79452054794524</v>
      </c>
      <c r="M2870" s="3">
        <f t="shared" si="280"/>
        <v>21.287671232876715</v>
      </c>
      <c r="N2870" s="67">
        <f t="shared" si="281"/>
        <v>333.50684931506851</v>
      </c>
      <c r="O2870" s="3"/>
      <c r="P2870" s="70" t="s">
        <v>18639</v>
      </c>
      <c r="Q2870" s="2" t="s">
        <v>94</v>
      </c>
      <c r="R2870" s="2" t="s">
        <v>6870</v>
      </c>
      <c r="T2870" t="s">
        <v>18666</v>
      </c>
      <c r="U2870" t="s">
        <v>18652</v>
      </c>
      <c r="V2870" s="104">
        <v>45857</v>
      </c>
      <c r="X2870" s="97"/>
      <c r="Y2870" s="75">
        <v>333.51</v>
      </c>
    </row>
    <row r="2871" spans="1:25" x14ac:dyDescent="0.25">
      <c r="A2871" s="76">
        <v>2903</v>
      </c>
      <c r="B2871" s="2" t="s">
        <v>3731</v>
      </c>
      <c r="C2871" s="2" t="s">
        <v>3732</v>
      </c>
      <c r="D2871" s="2" t="s">
        <v>3733</v>
      </c>
      <c r="E2871" s="2" t="s">
        <v>3734</v>
      </c>
      <c r="F2871" s="2" t="s">
        <v>3735</v>
      </c>
      <c r="G2871" s="2" t="s">
        <v>381</v>
      </c>
      <c r="H2871" s="17">
        <v>25</v>
      </c>
      <c r="I2871" s="31">
        <f t="shared" si="276"/>
        <v>25000</v>
      </c>
      <c r="J2871" s="31">
        <f t="shared" si="277"/>
        <v>1750.0000000000002</v>
      </c>
      <c r="K2871" s="44">
        <f t="shared" si="278"/>
        <v>4.794520547945206</v>
      </c>
      <c r="L2871" s="3">
        <f t="shared" si="279"/>
        <v>354.79452054794524</v>
      </c>
      <c r="M2871" s="3">
        <f t="shared" si="280"/>
        <v>21.287671232876715</v>
      </c>
      <c r="N2871" s="67">
        <f t="shared" si="281"/>
        <v>333.50684931506851</v>
      </c>
      <c r="O2871" s="3"/>
      <c r="P2871" s="70" t="s">
        <v>18639</v>
      </c>
      <c r="Q2871" s="2" t="s">
        <v>94</v>
      </c>
      <c r="R2871" s="2" t="s">
        <v>3736</v>
      </c>
      <c r="T2871" t="s">
        <v>18666</v>
      </c>
      <c r="U2871" t="s">
        <v>18652</v>
      </c>
      <c r="V2871" s="104">
        <v>45857</v>
      </c>
      <c r="X2871" s="97"/>
      <c r="Y2871" s="75">
        <v>333.51</v>
      </c>
    </row>
    <row r="2872" spans="1:25" x14ac:dyDescent="0.25">
      <c r="A2872" s="76">
        <v>2904</v>
      </c>
      <c r="B2872" s="2" t="s">
        <v>1993</v>
      </c>
      <c r="C2872" s="2" t="s">
        <v>1994</v>
      </c>
      <c r="D2872" s="2" t="s">
        <v>1995</v>
      </c>
      <c r="E2872" s="2" t="s">
        <v>1996</v>
      </c>
      <c r="F2872" s="2" t="s">
        <v>1997</v>
      </c>
      <c r="G2872" s="2" t="s">
        <v>166</v>
      </c>
      <c r="H2872" s="17">
        <v>25</v>
      </c>
      <c r="I2872" s="31">
        <f t="shared" si="276"/>
        <v>25000</v>
      </c>
      <c r="J2872" s="31">
        <f t="shared" si="277"/>
        <v>1750.0000000000002</v>
      </c>
      <c r="K2872" s="44">
        <f t="shared" si="278"/>
        <v>4.794520547945206</v>
      </c>
      <c r="L2872" s="3">
        <f t="shared" si="279"/>
        <v>354.79452054794524</v>
      </c>
      <c r="M2872" s="3">
        <f t="shared" si="280"/>
        <v>21.287671232876715</v>
      </c>
      <c r="N2872" s="67">
        <f t="shared" si="281"/>
        <v>333.50684931506851</v>
      </c>
      <c r="O2872" s="3"/>
      <c r="P2872" s="70" t="s">
        <v>18639</v>
      </c>
      <c r="Q2872" s="2" t="s">
        <v>94</v>
      </c>
      <c r="R2872" s="2" t="s">
        <v>1998</v>
      </c>
      <c r="T2872" t="s">
        <v>18666</v>
      </c>
      <c r="U2872" t="s">
        <v>18652</v>
      </c>
      <c r="V2872" s="104">
        <v>45857</v>
      </c>
      <c r="X2872" s="97"/>
      <c r="Y2872" s="75">
        <v>333.51</v>
      </c>
    </row>
    <row r="2873" spans="1:25" x14ac:dyDescent="0.25">
      <c r="A2873" s="76">
        <v>2905</v>
      </c>
      <c r="B2873" s="2" t="s">
        <v>6077</v>
      </c>
      <c r="C2873" s="2" t="s">
        <v>6078</v>
      </c>
      <c r="D2873" s="2" t="s">
        <v>6079</v>
      </c>
      <c r="E2873" s="2" t="s">
        <v>6080</v>
      </c>
      <c r="F2873" s="2" t="s">
        <v>6081</v>
      </c>
      <c r="G2873" s="2" t="s">
        <v>268</v>
      </c>
      <c r="H2873" s="17">
        <v>25</v>
      </c>
      <c r="I2873" s="31">
        <f t="shared" si="276"/>
        <v>25000</v>
      </c>
      <c r="J2873" s="31">
        <f t="shared" si="277"/>
        <v>1750.0000000000002</v>
      </c>
      <c r="K2873" s="44">
        <f t="shared" si="278"/>
        <v>4.794520547945206</v>
      </c>
      <c r="L2873" s="3">
        <f t="shared" si="279"/>
        <v>354.79452054794524</v>
      </c>
      <c r="M2873" s="3">
        <f t="shared" si="280"/>
        <v>21.287671232876715</v>
      </c>
      <c r="N2873" s="67">
        <f t="shared" si="281"/>
        <v>333.50684931506851</v>
      </c>
      <c r="O2873" s="3"/>
      <c r="P2873" s="70" t="s">
        <v>18639</v>
      </c>
      <c r="Q2873" s="2" t="s">
        <v>94</v>
      </c>
      <c r="R2873" s="2" t="s">
        <v>6082</v>
      </c>
      <c r="T2873" t="s">
        <v>18666</v>
      </c>
      <c r="U2873" t="s">
        <v>18652</v>
      </c>
      <c r="V2873" s="104">
        <v>45857</v>
      </c>
      <c r="X2873" s="97"/>
      <c r="Y2873" s="75">
        <v>333.51</v>
      </c>
    </row>
    <row r="2874" spans="1:25" x14ac:dyDescent="0.25">
      <c r="A2874" s="76">
        <v>2906</v>
      </c>
      <c r="B2874" s="2" t="s">
        <v>12187</v>
      </c>
      <c r="C2874" s="2" t="s">
        <v>12188</v>
      </c>
      <c r="D2874" s="2" t="s">
        <v>12189</v>
      </c>
      <c r="E2874" s="2" t="s">
        <v>873</v>
      </c>
      <c r="F2874" s="2" t="s">
        <v>12190</v>
      </c>
      <c r="G2874" s="2" t="s">
        <v>1017</v>
      </c>
      <c r="H2874" s="17">
        <v>1000</v>
      </c>
      <c r="I2874" s="31">
        <f t="shared" si="276"/>
        <v>1000000</v>
      </c>
      <c r="J2874" s="31">
        <f t="shared" si="277"/>
        <v>70000</v>
      </c>
      <c r="K2874" s="44">
        <f t="shared" si="278"/>
        <v>191.78082191780823</v>
      </c>
      <c r="L2874" s="3">
        <f t="shared" si="279"/>
        <v>14191.780821917808</v>
      </c>
      <c r="M2874" s="3">
        <f t="shared" si="280"/>
        <v>851.50684931506839</v>
      </c>
      <c r="N2874" s="67">
        <f t="shared" si="281"/>
        <v>13340.273972602739</v>
      </c>
      <c r="O2874" s="3"/>
      <c r="P2874" s="70" t="s">
        <v>18639</v>
      </c>
      <c r="Q2874" s="2" t="s">
        <v>94</v>
      </c>
      <c r="R2874" s="2" t="s">
        <v>12191</v>
      </c>
      <c r="T2874" t="s">
        <v>18666</v>
      </c>
      <c r="U2874" t="s">
        <v>18652</v>
      </c>
      <c r="V2874" s="104">
        <v>45857</v>
      </c>
      <c r="X2874" s="97"/>
      <c r="Y2874" s="75">
        <v>13340.28</v>
      </c>
    </row>
    <row r="2875" spans="1:25" x14ac:dyDescent="0.25">
      <c r="A2875" s="76">
        <v>2907</v>
      </c>
      <c r="B2875" s="2" t="s">
        <v>2991</v>
      </c>
      <c r="C2875" s="2" t="s">
        <v>2992</v>
      </c>
      <c r="D2875" s="2" t="s">
        <v>2993</v>
      </c>
      <c r="E2875" s="2" t="s">
        <v>2994</v>
      </c>
      <c r="F2875" s="2" t="s">
        <v>2995</v>
      </c>
      <c r="G2875" s="2" t="s">
        <v>23</v>
      </c>
      <c r="H2875" s="17">
        <v>25</v>
      </c>
      <c r="I2875" s="31">
        <f t="shared" si="276"/>
        <v>25000</v>
      </c>
      <c r="J2875" s="31">
        <f t="shared" si="277"/>
        <v>1750.0000000000002</v>
      </c>
      <c r="K2875" s="44">
        <f t="shared" si="278"/>
        <v>4.794520547945206</v>
      </c>
      <c r="L2875" s="3">
        <f t="shared" si="279"/>
        <v>354.79452054794524</v>
      </c>
      <c r="M2875" s="3">
        <f t="shared" si="280"/>
        <v>21.287671232876715</v>
      </c>
      <c r="N2875" s="67">
        <f t="shared" si="281"/>
        <v>333.50684931506851</v>
      </c>
      <c r="O2875" s="3"/>
      <c r="P2875" s="70" t="s">
        <v>18639</v>
      </c>
      <c r="Q2875" s="2" t="s">
        <v>94</v>
      </c>
      <c r="R2875" s="2" t="s">
        <v>2996</v>
      </c>
      <c r="T2875" t="s">
        <v>18666</v>
      </c>
      <c r="U2875" t="s">
        <v>18652</v>
      </c>
      <c r="V2875" s="104">
        <v>45857</v>
      </c>
      <c r="X2875" s="97"/>
      <c r="Y2875" s="75">
        <v>333.51</v>
      </c>
    </row>
    <row r="2876" spans="1:25" x14ac:dyDescent="0.25">
      <c r="A2876" s="76">
        <v>2908</v>
      </c>
      <c r="B2876" s="2" t="s">
        <v>9594</v>
      </c>
      <c r="C2876" s="2" t="s">
        <v>9595</v>
      </c>
      <c r="D2876" s="2" t="s">
        <v>9596</v>
      </c>
      <c r="E2876" s="2" t="s">
        <v>9597</v>
      </c>
      <c r="F2876" s="2" t="s">
        <v>9598</v>
      </c>
      <c r="G2876" s="2" t="s">
        <v>186</v>
      </c>
      <c r="H2876" s="17">
        <v>25</v>
      </c>
      <c r="I2876" s="31">
        <f t="shared" si="276"/>
        <v>25000</v>
      </c>
      <c r="J2876" s="31">
        <f t="shared" si="277"/>
        <v>1750.0000000000002</v>
      </c>
      <c r="K2876" s="44">
        <f t="shared" si="278"/>
        <v>4.794520547945206</v>
      </c>
      <c r="L2876" s="3">
        <f t="shared" si="279"/>
        <v>354.79452054794524</v>
      </c>
      <c r="M2876" s="3">
        <f t="shared" si="280"/>
        <v>21.287671232876715</v>
      </c>
      <c r="N2876" s="67">
        <f t="shared" si="281"/>
        <v>333.50684931506851</v>
      </c>
      <c r="O2876" s="3"/>
      <c r="P2876" s="70" t="s">
        <v>18639</v>
      </c>
      <c r="Q2876" s="2" t="s">
        <v>94</v>
      </c>
      <c r="R2876" s="2" t="s">
        <v>9599</v>
      </c>
      <c r="T2876" t="s">
        <v>18666</v>
      </c>
      <c r="U2876" t="s">
        <v>18652</v>
      </c>
      <c r="V2876" s="104">
        <v>45857</v>
      </c>
      <c r="X2876" s="97"/>
      <c r="Y2876" s="75">
        <v>333.51</v>
      </c>
    </row>
    <row r="2877" spans="1:25" x14ac:dyDescent="0.25">
      <c r="A2877" s="76">
        <v>2909</v>
      </c>
      <c r="B2877" s="2" t="s">
        <v>4246</v>
      </c>
      <c r="C2877" s="2" t="s">
        <v>4247</v>
      </c>
      <c r="D2877" s="2" t="s">
        <v>4248</v>
      </c>
      <c r="E2877" s="2" t="s">
        <v>4249</v>
      </c>
      <c r="F2877" s="2" t="s">
        <v>4250</v>
      </c>
      <c r="G2877" s="2" t="s">
        <v>381</v>
      </c>
      <c r="H2877" s="17">
        <v>25</v>
      </c>
      <c r="I2877" s="31">
        <f t="shared" si="276"/>
        <v>25000</v>
      </c>
      <c r="J2877" s="31">
        <f t="shared" si="277"/>
        <v>1750.0000000000002</v>
      </c>
      <c r="K2877" s="44">
        <f t="shared" si="278"/>
        <v>4.794520547945206</v>
      </c>
      <c r="L2877" s="3">
        <f t="shared" si="279"/>
        <v>354.79452054794524</v>
      </c>
      <c r="M2877" s="3">
        <f t="shared" si="280"/>
        <v>21.287671232876715</v>
      </c>
      <c r="N2877" s="67">
        <f t="shared" si="281"/>
        <v>333.50684931506851</v>
      </c>
      <c r="O2877" s="3"/>
      <c r="P2877" s="70" t="s">
        <v>18639</v>
      </c>
      <c r="Q2877" s="2" t="s">
        <v>94</v>
      </c>
      <c r="R2877" s="2" t="s">
        <v>4251</v>
      </c>
      <c r="T2877" t="s">
        <v>18666</v>
      </c>
      <c r="U2877" t="s">
        <v>18652</v>
      </c>
      <c r="V2877" s="104">
        <v>45857</v>
      </c>
      <c r="X2877" s="97"/>
      <c r="Y2877" s="75">
        <v>333.51</v>
      </c>
    </row>
    <row r="2878" spans="1:25" x14ac:dyDescent="0.25">
      <c r="A2878" s="76">
        <v>2910</v>
      </c>
      <c r="B2878" s="2" t="s">
        <v>16552</v>
      </c>
      <c r="C2878" s="2" t="s">
        <v>16553</v>
      </c>
      <c r="D2878" s="2" t="s">
        <v>16554</v>
      </c>
      <c r="E2878" s="2" t="s">
        <v>16555</v>
      </c>
      <c r="F2878" s="2" t="s">
        <v>16556</v>
      </c>
      <c r="G2878" s="2" t="s">
        <v>296</v>
      </c>
      <c r="H2878" s="17">
        <v>25</v>
      </c>
      <c r="I2878" s="31">
        <f t="shared" si="276"/>
        <v>25000</v>
      </c>
      <c r="J2878" s="31">
        <f t="shared" si="277"/>
        <v>1750.0000000000002</v>
      </c>
      <c r="K2878" s="44">
        <f t="shared" si="278"/>
        <v>4.794520547945206</v>
      </c>
      <c r="L2878" s="3">
        <f t="shared" si="279"/>
        <v>354.79452054794524</v>
      </c>
      <c r="M2878" s="3">
        <f t="shared" si="280"/>
        <v>21.287671232876715</v>
      </c>
      <c r="N2878" s="67">
        <f t="shared" si="281"/>
        <v>333.50684931506851</v>
      </c>
      <c r="O2878" s="3"/>
      <c r="P2878" s="70" t="s">
        <v>18639</v>
      </c>
      <c r="Q2878" s="2" t="s">
        <v>94</v>
      </c>
      <c r="R2878" s="2" t="s">
        <v>16557</v>
      </c>
      <c r="T2878" t="s">
        <v>18666</v>
      </c>
      <c r="U2878" t="s">
        <v>18652</v>
      </c>
      <c r="V2878" s="104">
        <v>45857</v>
      </c>
      <c r="X2878" s="97"/>
      <c r="Y2878" s="75">
        <v>333.51</v>
      </c>
    </row>
    <row r="2879" spans="1:25" x14ac:dyDescent="0.25">
      <c r="A2879" s="76">
        <v>2911</v>
      </c>
      <c r="B2879" s="2" t="s">
        <v>13486</v>
      </c>
      <c r="C2879" s="2" t="s">
        <v>13487</v>
      </c>
      <c r="D2879" s="2" t="s">
        <v>13488</v>
      </c>
      <c r="E2879" s="2" t="s">
        <v>1193</v>
      </c>
      <c r="F2879" s="2" t="s">
        <v>13489</v>
      </c>
      <c r="G2879" s="2" t="s">
        <v>166</v>
      </c>
      <c r="H2879" s="17">
        <v>26</v>
      </c>
      <c r="I2879" s="31">
        <f t="shared" si="276"/>
        <v>26000</v>
      </c>
      <c r="J2879" s="31">
        <f t="shared" si="277"/>
        <v>1820.0000000000002</v>
      </c>
      <c r="K2879" s="44">
        <f t="shared" si="278"/>
        <v>4.9863013698630141</v>
      </c>
      <c r="L2879" s="3">
        <f t="shared" si="279"/>
        <v>368.98630136986304</v>
      </c>
      <c r="M2879" s="3">
        <f t="shared" si="280"/>
        <v>22.139178082191783</v>
      </c>
      <c r="N2879" s="67">
        <f t="shared" si="281"/>
        <v>346.84712328767125</v>
      </c>
      <c r="O2879" s="3"/>
      <c r="P2879" s="70" t="s">
        <v>18639</v>
      </c>
      <c r="Q2879" s="2" t="s">
        <v>94</v>
      </c>
      <c r="R2879" s="2" t="s">
        <v>13490</v>
      </c>
      <c r="T2879" t="s">
        <v>18666</v>
      </c>
      <c r="U2879" t="s">
        <v>18652</v>
      </c>
      <c r="V2879" s="104">
        <v>45857</v>
      </c>
      <c r="X2879" s="97"/>
      <c r="Y2879" s="75">
        <v>346.84999999999997</v>
      </c>
    </row>
    <row r="2880" spans="1:25" x14ac:dyDescent="0.25">
      <c r="A2880" s="76">
        <v>2912</v>
      </c>
      <c r="B2880" s="2" t="s">
        <v>13845</v>
      </c>
      <c r="C2880" s="2" t="s">
        <v>13846</v>
      </c>
      <c r="D2880" s="2" t="s">
        <v>13847</v>
      </c>
      <c r="E2880" s="2" t="s">
        <v>13848</v>
      </c>
      <c r="F2880" s="2" t="s">
        <v>13849</v>
      </c>
      <c r="G2880" s="2" t="s">
        <v>1136</v>
      </c>
      <c r="H2880" s="17">
        <v>200</v>
      </c>
      <c r="I2880" s="31">
        <f t="shared" si="276"/>
        <v>200000</v>
      </c>
      <c r="J2880" s="31">
        <f t="shared" si="277"/>
        <v>14000.000000000002</v>
      </c>
      <c r="K2880" s="44">
        <f t="shared" si="278"/>
        <v>38.356164383561648</v>
      </c>
      <c r="L2880" s="3">
        <f t="shared" si="279"/>
        <v>2838.3561643835619</v>
      </c>
      <c r="M2880" s="3">
        <f t="shared" si="280"/>
        <v>170.30136986301372</v>
      </c>
      <c r="N2880" s="67">
        <f t="shared" si="281"/>
        <v>2668.0547945205481</v>
      </c>
      <c r="O2880" s="3"/>
      <c r="P2880" s="70" t="s">
        <v>18639</v>
      </c>
      <c r="Q2880" s="2" t="s">
        <v>94</v>
      </c>
      <c r="R2880" s="2" t="s">
        <v>13850</v>
      </c>
      <c r="T2880" t="s">
        <v>18666</v>
      </c>
      <c r="U2880" t="s">
        <v>18652</v>
      </c>
      <c r="V2880" s="104">
        <v>45857</v>
      </c>
      <c r="X2880" s="97"/>
      <c r="Y2880" s="75">
        <v>2668.0600000000004</v>
      </c>
    </row>
    <row r="2881" spans="1:25" x14ac:dyDescent="0.25">
      <c r="A2881" s="76">
        <v>2913</v>
      </c>
      <c r="B2881" s="2" t="s">
        <v>13915</v>
      </c>
      <c r="C2881" s="2" t="s">
        <v>13916</v>
      </c>
      <c r="D2881" s="2" t="s">
        <v>13917</v>
      </c>
      <c r="E2881" s="2" t="s">
        <v>13918</v>
      </c>
      <c r="F2881" s="2" t="s">
        <v>13919</v>
      </c>
      <c r="G2881" s="2" t="s">
        <v>381</v>
      </c>
      <c r="H2881" s="17">
        <v>25</v>
      </c>
      <c r="I2881" s="31">
        <f t="shared" si="276"/>
        <v>25000</v>
      </c>
      <c r="J2881" s="31">
        <f t="shared" si="277"/>
        <v>1750.0000000000002</v>
      </c>
      <c r="K2881" s="44">
        <f t="shared" si="278"/>
        <v>4.794520547945206</v>
      </c>
      <c r="L2881" s="3">
        <f t="shared" si="279"/>
        <v>354.79452054794524</v>
      </c>
      <c r="M2881" s="3">
        <f t="shared" si="280"/>
        <v>21.287671232876715</v>
      </c>
      <c r="N2881" s="67">
        <f t="shared" si="281"/>
        <v>333.50684931506851</v>
      </c>
      <c r="O2881" s="3"/>
      <c r="P2881" s="70" t="s">
        <v>18639</v>
      </c>
      <c r="Q2881" s="2" t="s">
        <v>94</v>
      </c>
      <c r="R2881" s="2" t="s">
        <v>13920</v>
      </c>
      <c r="T2881" t="s">
        <v>18666</v>
      </c>
      <c r="U2881" t="s">
        <v>18652</v>
      </c>
      <c r="V2881" s="104">
        <v>45857</v>
      </c>
      <c r="X2881" s="97"/>
      <c r="Y2881" s="75">
        <v>333.51</v>
      </c>
    </row>
    <row r="2882" spans="1:25" x14ac:dyDescent="0.25">
      <c r="A2882" s="76">
        <v>2914</v>
      </c>
      <c r="B2882" s="2" t="s">
        <v>9576</v>
      </c>
      <c r="C2882" s="2" t="s">
        <v>9577</v>
      </c>
      <c r="D2882" s="2" t="s">
        <v>9578</v>
      </c>
      <c r="E2882" s="2" t="s">
        <v>9579</v>
      </c>
      <c r="F2882" s="2" t="s">
        <v>9580</v>
      </c>
      <c r="G2882" s="2" t="s">
        <v>186</v>
      </c>
      <c r="H2882" s="17">
        <v>25</v>
      </c>
      <c r="I2882" s="31">
        <f t="shared" si="276"/>
        <v>25000</v>
      </c>
      <c r="J2882" s="31">
        <f t="shared" si="277"/>
        <v>1750.0000000000002</v>
      </c>
      <c r="K2882" s="44">
        <f t="shared" si="278"/>
        <v>4.794520547945206</v>
      </c>
      <c r="L2882" s="3">
        <f t="shared" si="279"/>
        <v>354.79452054794524</v>
      </c>
      <c r="M2882" s="3">
        <f t="shared" si="280"/>
        <v>21.287671232876715</v>
      </c>
      <c r="N2882" s="67">
        <f t="shared" si="281"/>
        <v>333.50684931506851</v>
      </c>
      <c r="O2882" s="3"/>
      <c r="P2882" s="70" t="s">
        <v>18639</v>
      </c>
      <c r="Q2882" s="2" t="s">
        <v>94</v>
      </c>
      <c r="R2882" s="2" t="s">
        <v>9581</v>
      </c>
      <c r="T2882" t="s">
        <v>18666</v>
      </c>
      <c r="U2882" t="s">
        <v>18652</v>
      </c>
      <c r="V2882" s="104">
        <v>45857</v>
      </c>
      <c r="X2882" s="97"/>
      <c r="Y2882" s="75">
        <v>333.51</v>
      </c>
    </row>
    <row r="2883" spans="1:25" x14ac:dyDescent="0.25">
      <c r="A2883" s="76">
        <v>2915</v>
      </c>
      <c r="B2883" s="2" t="s">
        <v>7347</v>
      </c>
      <c r="C2883" s="2" t="s">
        <v>7348</v>
      </c>
      <c r="D2883" s="2" t="s">
        <v>7349</v>
      </c>
      <c r="E2883" s="2" t="s">
        <v>7350</v>
      </c>
      <c r="F2883" s="2" t="s">
        <v>7351</v>
      </c>
      <c r="G2883" s="2" t="s">
        <v>226</v>
      </c>
      <c r="H2883" s="17">
        <v>1000</v>
      </c>
      <c r="I2883" s="31">
        <f t="shared" si="276"/>
        <v>1000000</v>
      </c>
      <c r="J2883" s="31">
        <f t="shared" si="277"/>
        <v>70000</v>
      </c>
      <c r="K2883" s="44">
        <f t="shared" si="278"/>
        <v>191.78082191780823</v>
      </c>
      <c r="L2883" s="3">
        <f t="shared" si="279"/>
        <v>14191.780821917808</v>
      </c>
      <c r="M2883" s="3">
        <f t="shared" si="280"/>
        <v>851.50684931506839</v>
      </c>
      <c r="N2883" s="67">
        <f t="shared" si="281"/>
        <v>13340.273972602739</v>
      </c>
      <c r="O2883" s="3"/>
      <c r="P2883" s="70" t="s">
        <v>18639</v>
      </c>
      <c r="Q2883" s="2" t="s">
        <v>94</v>
      </c>
      <c r="R2883" s="2" t="s">
        <v>7352</v>
      </c>
      <c r="T2883" t="s">
        <v>18666</v>
      </c>
      <c r="U2883" t="s">
        <v>18652</v>
      </c>
      <c r="V2883" s="104">
        <v>45857</v>
      </c>
      <c r="X2883" s="97"/>
      <c r="Y2883" s="75">
        <v>13340.28</v>
      </c>
    </row>
    <row r="2884" spans="1:25" x14ac:dyDescent="0.25">
      <c r="A2884" s="76">
        <v>2916</v>
      </c>
      <c r="B2884" s="2" t="s">
        <v>12288</v>
      </c>
      <c r="C2884" s="2" t="s">
        <v>12289</v>
      </c>
      <c r="D2884" s="2" t="s">
        <v>12290</v>
      </c>
      <c r="E2884" s="2" t="s">
        <v>12291</v>
      </c>
      <c r="F2884" s="2" t="s">
        <v>12292</v>
      </c>
      <c r="G2884" s="2" t="s">
        <v>5013</v>
      </c>
      <c r="H2884" s="17">
        <v>25</v>
      </c>
      <c r="I2884" s="31">
        <f t="shared" si="276"/>
        <v>25000</v>
      </c>
      <c r="J2884" s="31">
        <f t="shared" si="277"/>
        <v>1750.0000000000002</v>
      </c>
      <c r="K2884" s="44">
        <f t="shared" si="278"/>
        <v>4.794520547945206</v>
      </c>
      <c r="L2884" s="3">
        <f t="shared" si="279"/>
        <v>354.79452054794524</v>
      </c>
      <c r="M2884" s="3">
        <f t="shared" si="280"/>
        <v>21.287671232876715</v>
      </c>
      <c r="N2884" s="67">
        <f t="shared" si="281"/>
        <v>333.50684931506851</v>
      </c>
      <c r="O2884" s="3"/>
      <c r="P2884" s="70" t="s">
        <v>18639</v>
      </c>
      <c r="Q2884" s="2" t="s">
        <v>94</v>
      </c>
      <c r="R2884" s="2" t="s">
        <v>12293</v>
      </c>
      <c r="T2884" t="s">
        <v>18666</v>
      </c>
      <c r="U2884" t="s">
        <v>18652</v>
      </c>
      <c r="V2884" s="104">
        <v>45857</v>
      </c>
      <c r="X2884" s="97"/>
      <c r="Y2884" s="75">
        <v>333.51</v>
      </c>
    </row>
    <row r="2885" spans="1:25" x14ac:dyDescent="0.25">
      <c r="A2885" s="76">
        <v>2917</v>
      </c>
      <c r="B2885" s="2" t="s">
        <v>15676</v>
      </c>
      <c r="C2885" s="2" t="s">
        <v>15677</v>
      </c>
      <c r="D2885" s="2" t="s">
        <v>15678</v>
      </c>
      <c r="E2885" s="2" t="s">
        <v>15679</v>
      </c>
      <c r="F2885" s="2" t="s">
        <v>15680</v>
      </c>
      <c r="G2885" s="2" t="s">
        <v>517</v>
      </c>
      <c r="H2885" s="17">
        <v>25</v>
      </c>
      <c r="I2885" s="31">
        <f t="shared" si="276"/>
        <v>25000</v>
      </c>
      <c r="J2885" s="31">
        <f t="shared" si="277"/>
        <v>1750.0000000000002</v>
      </c>
      <c r="K2885" s="44">
        <f t="shared" si="278"/>
        <v>4.794520547945206</v>
      </c>
      <c r="L2885" s="3">
        <f t="shared" si="279"/>
        <v>354.79452054794524</v>
      </c>
      <c r="M2885" s="3">
        <f t="shared" si="280"/>
        <v>21.287671232876715</v>
      </c>
      <c r="N2885" s="67">
        <f t="shared" si="281"/>
        <v>333.50684931506851</v>
      </c>
      <c r="O2885" s="3"/>
      <c r="P2885" s="70" t="s">
        <v>18639</v>
      </c>
      <c r="Q2885" s="2" t="s">
        <v>94</v>
      </c>
      <c r="R2885" s="2" t="s">
        <v>15681</v>
      </c>
      <c r="T2885" t="s">
        <v>18666</v>
      </c>
      <c r="U2885" t="s">
        <v>18652</v>
      </c>
      <c r="V2885" s="104">
        <v>45857</v>
      </c>
      <c r="X2885" s="97"/>
      <c r="Y2885" s="75">
        <v>333.51</v>
      </c>
    </row>
    <row r="2886" spans="1:25" x14ac:dyDescent="0.25">
      <c r="A2886" s="76">
        <v>2918</v>
      </c>
      <c r="B2886" s="2" t="s">
        <v>15688</v>
      </c>
      <c r="C2886" s="2" t="s">
        <v>15689</v>
      </c>
      <c r="D2886" s="2" t="s">
        <v>15678</v>
      </c>
      <c r="E2886" s="2" t="s">
        <v>15679</v>
      </c>
      <c r="F2886" s="2" t="s">
        <v>15690</v>
      </c>
      <c r="G2886" s="2" t="s">
        <v>517</v>
      </c>
      <c r="H2886" s="17">
        <v>25</v>
      </c>
      <c r="I2886" s="31">
        <f t="shared" si="276"/>
        <v>25000</v>
      </c>
      <c r="J2886" s="31">
        <f t="shared" si="277"/>
        <v>1750.0000000000002</v>
      </c>
      <c r="K2886" s="44">
        <f t="shared" si="278"/>
        <v>4.794520547945206</v>
      </c>
      <c r="L2886" s="3">
        <f t="shared" si="279"/>
        <v>354.79452054794524</v>
      </c>
      <c r="M2886" s="3">
        <f t="shared" si="280"/>
        <v>21.287671232876715</v>
      </c>
      <c r="N2886" s="67">
        <f t="shared" si="281"/>
        <v>333.50684931506851</v>
      </c>
      <c r="O2886" s="3"/>
      <c r="P2886" s="70" t="s">
        <v>18639</v>
      </c>
      <c r="Q2886" s="2" t="s">
        <v>94</v>
      </c>
      <c r="R2886" s="2" t="s">
        <v>15691</v>
      </c>
      <c r="T2886" t="s">
        <v>18666</v>
      </c>
      <c r="U2886" t="s">
        <v>18652</v>
      </c>
      <c r="V2886" s="104">
        <v>45857</v>
      </c>
      <c r="X2886" s="97"/>
      <c r="Y2886" s="75">
        <v>333.51</v>
      </c>
    </row>
    <row r="2887" spans="1:25" x14ac:dyDescent="0.25">
      <c r="A2887" s="76">
        <v>2919</v>
      </c>
      <c r="B2887" s="2" t="s">
        <v>14065</v>
      </c>
      <c r="C2887" s="2" t="s">
        <v>14066</v>
      </c>
      <c r="D2887" s="2" t="s">
        <v>14067</v>
      </c>
      <c r="E2887" s="2" t="s">
        <v>14068</v>
      </c>
      <c r="F2887" s="2" t="s">
        <v>14069</v>
      </c>
      <c r="G2887" s="2" t="s">
        <v>186</v>
      </c>
      <c r="H2887" s="17">
        <v>25</v>
      </c>
      <c r="I2887" s="31">
        <f t="shared" si="276"/>
        <v>25000</v>
      </c>
      <c r="J2887" s="31">
        <f t="shared" si="277"/>
        <v>1750.0000000000002</v>
      </c>
      <c r="K2887" s="44">
        <f t="shared" si="278"/>
        <v>4.794520547945206</v>
      </c>
      <c r="L2887" s="3">
        <f t="shared" si="279"/>
        <v>354.79452054794524</v>
      </c>
      <c r="M2887" s="3">
        <f t="shared" si="280"/>
        <v>21.287671232876715</v>
      </c>
      <c r="N2887" s="67">
        <f t="shared" si="281"/>
        <v>333.50684931506851</v>
      </c>
      <c r="O2887" s="3"/>
      <c r="P2887" s="70" t="s">
        <v>18639</v>
      </c>
      <c r="Q2887" s="2" t="s">
        <v>94</v>
      </c>
      <c r="R2887" s="2" t="s">
        <v>14070</v>
      </c>
      <c r="T2887" t="s">
        <v>18666</v>
      </c>
      <c r="U2887" t="s">
        <v>18652</v>
      </c>
      <c r="V2887" s="104">
        <v>45857</v>
      </c>
      <c r="X2887" s="97"/>
      <c r="Y2887" s="75">
        <v>333.51</v>
      </c>
    </row>
    <row r="2888" spans="1:25" x14ac:dyDescent="0.25">
      <c r="A2888" s="76">
        <v>2920</v>
      </c>
      <c r="B2888" s="2" t="s">
        <v>7415</v>
      </c>
      <c r="C2888" s="2" t="s">
        <v>7416</v>
      </c>
      <c r="D2888" s="2" t="s">
        <v>7417</v>
      </c>
      <c r="E2888" s="2" t="s">
        <v>7418</v>
      </c>
      <c r="F2888" s="2" t="s">
        <v>7419</v>
      </c>
      <c r="G2888" s="2" t="s">
        <v>296</v>
      </c>
      <c r="H2888" s="17">
        <v>100</v>
      </c>
      <c r="I2888" s="31">
        <f t="shared" si="276"/>
        <v>100000</v>
      </c>
      <c r="J2888" s="31">
        <f t="shared" si="277"/>
        <v>7000.0000000000009</v>
      </c>
      <c r="K2888" s="44">
        <f t="shared" si="278"/>
        <v>19.178082191780824</v>
      </c>
      <c r="L2888" s="3">
        <f t="shared" si="279"/>
        <v>1419.178082191781</v>
      </c>
      <c r="M2888" s="3">
        <f t="shared" si="280"/>
        <v>85.150684931506859</v>
      </c>
      <c r="N2888" s="67">
        <f t="shared" si="281"/>
        <v>1334.027397260274</v>
      </c>
      <c r="O2888" s="3"/>
      <c r="P2888" s="70" t="s">
        <v>18640</v>
      </c>
      <c r="Q2888" s="2" t="s">
        <v>3865</v>
      </c>
      <c r="R2888" s="2" t="s">
        <v>7420</v>
      </c>
      <c r="T2888" t="s">
        <v>18666</v>
      </c>
      <c r="U2888" t="s">
        <v>18652</v>
      </c>
      <c r="V2888" s="104">
        <v>45857</v>
      </c>
      <c r="X2888" s="97"/>
      <c r="Y2888" s="75">
        <v>1334.03</v>
      </c>
    </row>
    <row r="2889" spans="1:25" x14ac:dyDescent="0.25">
      <c r="A2889" s="76">
        <v>2921</v>
      </c>
      <c r="B2889" s="2" t="s">
        <v>3860</v>
      </c>
      <c r="C2889" s="2" t="s">
        <v>3861</v>
      </c>
      <c r="D2889" s="2" t="s">
        <v>3862</v>
      </c>
      <c r="E2889" s="2" t="s">
        <v>3863</v>
      </c>
      <c r="F2889" s="2" t="s">
        <v>3864</v>
      </c>
      <c r="G2889" s="2" t="s">
        <v>31</v>
      </c>
      <c r="H2889" s="17">
        <v>50</v>
      </c>
      <c r="I2889" s="31">
        <f t="shared" si="276"/>
        <v>50000</v>
      </c>
      <c r="J2889" s="31">
        <f t="shared" si="277"/>
        <v>3500.0000000000005</v>
      </c>
      <c r="K2889" s="44">
        <f t="shared" si="278"/>
        <v>9.589041095890412</v>
      </c>
      <c r="L2889" s="3">
        <f t="shared" si="279"/>
        <v>709.58904109589048</v>
      </c>
      <c r="M2889" s="3">
        <f t="shared" si="280"/>
        <v>42.57534246575343</v>
      </c>
      <c r="N2889" s="67">
        <f t="shared" si="281"/>
        <v>667.01369863013701</v>
      </c>
      <c r="O2889" s="3"/>
      <c r="P2889" s="70" t="s">
        <v>18640</v>
      </c>
      <c r="Q2889" s="2" t="s">
        <v>3865</v>
      </c>
      <c r="R2889" s="2" t="s">
        <v>3866</v>
      </c>
      <c r="T2889" t="s">
        <v>18666</v>
      </c>
      <c r="U2889" t="s">
        <v>18652</v>
      </c>
      <c r="V2889" s="104">
        <v>45857</v>
      </c>
      <c r="X2889" s="97"/>
      <c r="Y2889" s="75">
        <v>667.02</v>
      </c>
    </row>
    <row r="2890" spans="1:25" x14ac:dyDescent="0.25">
      <c r="A2890" s="76">
        <v>2922</v>
      </c>
      <c r="B2890" s="2" t="s">
        <v>12081</v>
      </c>
      <c r="C2890" s="2" t="s">
        <v>12082</v>
      </c>
      <c r="D2890" s="2" t="s">
        <v>12083</v>
      </c>
      <c r="E2890" s="2" t="s">
        <v>12084</v>
      </c>
      <c r="F2890" s="2" t="s">
        <v>12085</v>
      </c>
      <c r="G2890" s="2" t="s">
        <v>750</v>
      </c>
      <c r="H2890" s="17">
        <v>100</v>
      </c>
      <c r="I2890" s="31">
        <f t="shared" si="276"/>
        <v>100000</v>
      </c>
      <c r="J2890" s="31">
        <f t="shared" si="277"/>
        <v>7000.0000000000009</v>
      </c>
      <c r="K2890" s="44">
        <f t="shared" si="278"/>
        <v>19.178082191780824</v>
      </c>
      <c r="L2890" s="3">
        <f t="shared" si="279"/>
        <v>1419.178082191781</v>
      </c>
      <c r="M2890" s="3">
        <f t="shared" si="280"/>
        <v>85.150684931506859</v>
      </c>
      <c r="N2890" s="67">
        <f t="shared" si="281"/>
        <v>1334.027397260274</v>
      </c>
      <c r="O2890" s="3"/>
      <c r="P2890" s="70" t="s">
        <v>18640</v>
      </c>
      <c r="Q2890" s="2" t="s">
        <v>3865</v>
      </c>
      <c r="R2890" s="2" t="s">
        <v>12086</v>
      </c>
      <c r="T2890" t="s">
        <v>18666</v>
      </c>
      <c r="U2890" t="s">
        <v>18652</v>
      </c>
      <c r="V2890" s="104">
        <v>45857</v>
      </c>
      <c r="X2890" s="97"/>
      <c r="Y2890" s="75">
        <v>1334.03</v>
      </c>
    </row>
    <row r="2891" spans="1:25" x14ac:dyDescent="0.25">
      <c r="A2891" s="76">
        <v>2923</v>
      </c>
      <c r="B2891" s="2" t="s">
        <v>5166</v>
      </c>
      <c r="C2891" s="2" t="s">
        <v>5167</v>
      </c>
      <c r="D2891" s="2" t="s">
        <v>5168</v>
      </c>
      <c r="E2891" s="2" t="s">
        <v>5169</v>
      </c>
      <c r="F2891" s="2" t="s">
        <v>5170</v>
      </c>
      <c r="G2891" s="2" t="s">
        <v>61</v>
      </c>
      <c r="H2891" s="17">
        <v>25</v>
      </c>
      <c r="I2891" s="31">
        <f t="shared" si="276"/>
        <v>25000</v>
      </c>
      <c r="J2891" s="31">
        <f t="shared" si="277"/>
        <v>1750.0000000000002</v>
      </c>
      <c r="K2891" s="44">
        <f t="shared" si="278"/>
        <v>4.794520547945206</v>
      </c>
      <c r="L2891" s="3">
        <f t="shared" si="279"/>
        <v>354.79452054794524</v>
      </c>
      <c r="M2891" s="3">
        <f t="shared" si="280"/>
        <v>21.287671232876715</v>
      </c>
      <c r="N2891" s="67">
        <f t="shared" si="281"/>
        <v>333.50684931506851</v>
      </c>
      <c r="O2891" s="3"/>
      <c r="P2891" s="70" t="s">
        <v>18640</v>
      </c>
      <c r="Q2891" s="2" t="s">
        <v>3865</v>
      </c>
      <c r="R2891" s="2" t="s">
        <v>5171</v>
      </c>
      <c r="T2891" t="s">
        <v>18666</v>
      </c>
      <c r="U2891" t="s">
        <v>18652</v>
      </c>
      <c r="V2891" s="104">
        <v>45857</v>
      </c>
      <c r="X2891" s="97"/>
      <c r="Y2891" s="75">
        <v>333.51</v>
      </c>
    </row>
    <row r="2892" spans="1:25" x14ac:dyDescent="0.25">
      <c r="A2892" s="76">
        <v>2924</v>
      </c>
      <c r="B2892" s="2" t="s">
        <v>10733</v>
      </c>
      <c r="C2892" s="2" t="s">
        <v>10734</v>
      </c>
      <c r="D2892" s="2" t="s">
        <v>10735</v>
      </c>
      <c r="E2892" s="2" t="s">
        <v>10736</v>
      </c>
      <c r="F2892" s="2" t="s">
        <v>10737</v>
      </c>
      <c r="G2892" s="2" t="s">
        <v>261</v>
      </c>
      <c r="H2892" s="17">
        <v>200</v>
      </c>
      <c r="I2892" s="31">
        <f t="shared" si="276"/>
        <v>200000</v>
      </c>
      <c r="J2892" s="31">
        <f t="shared" si="277"/>
        <v>14000.000000000002</v>
      </c>
      <c r="K2892" s="44">
        <f t="shared" si="278"/>
        <v>38.356164383561648</v>
      </c>
      <c r="L2892" s="3">
        <f t="shared" si="279"/>
        <v>2838.3561643835619</v>
      </c>
      <c r="M2892" s="3">
        <f t="shared" si="280"/>
        <v>170.30136986301372</v>
      </c>
      <c r="N2892" s="67">
        <f t="shared" si="281"/>
        <v>2668.0547945205481</v>
      </c>
      <c r="O2892" s="3"/>
      <c r="P2892" s="70" t="s">
        <v>18640</v>
      </c>
      <c r="Q2892" s="2" t="s">
        <v>3865</v>
      </c>
      <c r="R2892" s="2" t="s">
        <v>10738</v>
      </c>
      <c r="T2892" t="s">
        <v>18666</v>
      </c>
      <c r="U2892" t="s">
        <v>18652</v>
      </c>
      <c r="V2892" s="104">
        <v>45857</v>
      </c>
      <c r="X2892" s="97"/>
      <c r="Y2892" s="75">
        <v>2668.0600000000004</v>
      </c>
    </row>
    <row r="2893" spans="1:25" x14ac:dyDescent="0.25">
      <c r="A2893" s="76">
        <v>2925</v>
      </c>
      <c r="B2893" s="2" t="s">
        <v>17404</v>
      </c>
      <c r="C2893" s="2" t="s">
        <v>17405</v>
      </c>
      <c r="D2893" s="2" t="s">
        <v>17406</v>
      </c>
      <c r="E2893" s="2" t="s">
        <v>17407</v>
      </c>
      <c r="F2893" s="2" t="s">
        <v>17408</v>
      </c>
      <c r="G2893" s="2" t="s">
        <v>1017</v>
      </c>
      <c r="H2893" s="17">
        <v>25</v>
      </c>
      <c r="I2893" s="31">
        <f t="shared" si="276"/>
        <v>25000</v>
      </c>
      <c r="J2893" s="31">
        <f t="shared" si="277"/>
        <v>1750.0000000000002</v>
      </c>
      <c r="K2893" s="44">
        <f t="shared" si="278"/>
        <v>4.794520547945206</v>
      </c>
      <c r="L2893" s="3">
        <f t="shared" si="279"/>
        <v>354.79452054794524</v>
      </c>
      <c r="M2893" s="3">
        <f t="shared" si="280"/>
        <v>21.287671232876715</v>
      </c>
      <c r="N2893" s="67">
        <f t="shared" si="281"/>
        <v>333.50684931506851</v>
      </c>
      <c r="O2893" s="3"/>
      <c r="P2893" s="70" t="s">
        <v>18640</v>
      </c>
      <c r="Q2893" s="2" t="s">
        <v>3865</v>
      </c>
      <c r="R2893" s="2" t="s">
        <v>17409</v>
      </c>
      <c r="T2893" t="s">
        <v>18666</v>
      </c>
      <c r="U2893" t="s">
        <v>18652</v>
      </c>
      <c r="V2893" s="104">
        <v>45857</v>
      </c>
      <c r="X2893" s="97"/>
      <c r="Y2893" s="75">
        <v>333.51</v>
      </c>
    </row>
    <row r="2894" spans="1:25" x14ac:dyDescent="0.25">
      <c r="A2894" s="76">
        <v>2926</v>
      </c>
      <c r="B2894" s="2" t="s">
        <v>6525</v>
      </c>
      <c r="C2894" s="2" t="s">
        <v>6526</v>
      </c>
      <c r="D2894" s="2" t="s">
        <v>6527</v>
      </c>
      <c r="E2894" s="2" t="s">
        <v>6528</v>
      </c>
      <c r="F2894" s="2" t="s">
        <v>6529</v>
      </c>
      <c r="G2894" s="2" t="s">
        <v>750</v>
      </c>
      <c r="H2894" s="17">
        <v>25</v>
      </c>
      <c r="I2894" s="31">
        <f t="shared" si="276"/>
        <v>25000</v>
      </c>
      <c r="J2894" s="31">
        <f t="shared" si="277"/>
        <v>1750.0000000000002</v>
      </c>
      <c r="K2894" s="44">
        <f t="shared" si="278"/>
        <v>4.794520547945206</v>
      </c>
      <c r="L2894" s="3">
        <f t="shared" si="279"/>
        <v>354.79452054794524</v>
      </c>
      <c r="M2894" s="3">
        <f t="shared" si="280"/>
        <v>21.287671232876715</v>
      </c>
      <c r="N2894" s="67">
        <f t="shared" si="281"/>
        <v>333.50684931506851</v>
      </c>
      <c r="O2894" s="3"/>
      <c r="P2894" s="70" t="s">
        <v>18640</v>
      </c>
      <c r="Q2894" s="2" t="s">
        <v>3865</v>
      </c>
      <c r="R2894" s="2" t="s">
        <v>6530</v>
      </c>
      <c r="T2894" t="s">
        <v>18666</v>
      </c>
      <c r="U2894" t="s">
        <v>18652</v>
      </c>
      <c r="V2894" s="104">
        <v>45857</v>
      </c>
      <c r="X2894" s="97"/>
      <c r="Y2894" s="75">
        <v>333.51</v>
      </c>
    </row>
    <row r="2895" spans="1:25" x14ac:dyDescent="0.25">
      <c r="A2895" s="76">
        <v>2927</v>
      </c>
      <c r="B2895" s="2" t="s">
        <v>6224</v>
      </c>
      <c r="C2895" s="2" t="s">
        <v>6225</v>
      </c>
      <c r="D2895" s="2" t="s">
        <v>6226</v>
      </c>
      <c r="E2895" s="2" t="s">
        <v>6227</v>
      </c>
      <c r="F2895" s="2" t="s">
        <v>3930</v>
      </c>
      <c r="G2895" s="2" t="s">
        <v>31</v>
      </c>
      <c r="H2895" s="17">
        <v>25</v>
      </c>
      <c r="I2895" s="31">
        <f t="shared" si="276"/>
        <v>25000</v>
      </c>
      <c r="J2895" s="31">
        <f t="shared" si="277"/>
        <v>1750.0000000000002</v>
      </c>
      <c r="K2895" s="44">
        <f t="shared" si="278"/>
        <v>4.794520547945206</v>
      </c>
      <c r="L2895" s="3">
        <f t="shared" si="279"/>
        <v>354.79452054794524</v>
      </c>
      <c r="M2895" s="3">
        <f t="shared" si="280"/>
        <v>21.287671232876715</v>
      </c>
      <c r="N2895" s="67">
        <f t="shared" si="281"/>
        <v>333.50684931506851</v>
      </c>
      <c r="O2895" s="3"/>
      <c r="P2895" s="70" t="s">
        <v>18640</v>
      </c>
      <c r="Q2895" s="2" t="s">
        <v>3865</v>
      </c>
      <c r="R2895" s="2" t="s">
        <v>6228</v>
      </c>
      <c r="T2895" t="s">
        <v>18666</v>
      </c>
      <c r="U2895" t="s">
        <v>18652</v>
      </c>
      <c r="V2895" s="104">
        <v>45857</v>
      </c>
      <c r="X2895" s="97"/>
      <c r="Y2895" s="75">
        <v>333.51</v>
      </c>
    </row>
    <row r="2896" spans="1:25" x14ac:dyDescent="0.25">
      <c r="A2896" s="76">
        <v>2928</v>
      </c>
      <c r="B2896" s="2" t="s">
        <v>10858</v>
      </c>
      <c r="C2896" s="2" t="s">
        <v>10859</v>
      </c>
      <c r="D2896" s="2" t="s">
        <v>10860</v>
      </c>
      <c r="E2896" s="2" t="s">
        <v>10861</v>
      </c>
      <c r="F2896" s="2" t="s">
        <v>10862</v>
      </c>
      <c r="G2896" s="2" t="s">
        <v>1315</v>
      </c>
      <c r="H2896" s="17">
        <v>25</v>
      </c>
      <c r="I2896" s="31">
        <f t="shared" si="276"/>
        <v>25000</v>
      </c>
      <c r="J2896" s="31">
        <f t="shared" si="277"/>
        <v>1750.0000000000002</v>
      </c>
      <c r="K2896" s="44">
        <f t="shared" si="278"/>
        <v>4.794520547945206</v>
      </c>
      <c r="L2896" s="3">
        <f t="shared" si="279"/>
        <v>354.79452054794524</v>
      </c>
      <c r="M2896" s="3">
        <f t="shared" si="280"/>
        <v>21.287671232876715</v>
      </c>
      <c r="N2896" s="67">
        <f t="shared" si="281"/>
        <v>333.50684931506851</v>
      </c>
      <c r="O2896" s="3"/>
      <c r="P2896" s="70" t="s">
        <v>18641</v>
      </c>
      <c r="Q2896" s="2" t="s">
        <v>2150</v>
      </c>
      <c r="R2896" s="2" t="s">
        <v>10863</v>
      </c>
      <c r="T2896" t="s">
        <v>18666</v>
      </c>
      <c r="U2896" t="s">
        <v>18652</v>
      </c>
      <c r="V2896" s="104">
        <v>45857</v>
      </c>
      <c r="X2896" s="97"/>
      <c r="Y2896" s="75">
        <v>333.51</v>
      </c>
    </row>
    <row r="2897" spans="1:25" x14ac:dyDescent="0.25">
      <c r="A2897" s="76">
        <v>2929</v>
      </c>
      <c r="B2897" s="2" t="s">
        <v>13450</v>
      </c>
      <c r="C2897" s="2" t="s">
        <v>13451</v>
      </c>
      <c r="D2897" s="2" t="s">
        <v>13452</v>
      </c>
      <c r="E2897" s="2" t="s">
        <v>13453</v>
      </c>
      <c r="F2897" s="2" t="s">
        <v>13454</v>
      </c>
      <c r="G2897" s="2" t="s">
        <v>158</v>
      </c>
      <c r="H2897" s="17">
        <v>25</v>
      </c>
      <c r="I2897" s="31">
        <f t="shared" si="276"/>
        <v>25000</v>
      </c>
      <c r="J2897" s="31">
        <f t="shared" si="277"/>
        <v>1750.0000000000002</v>
      </c>
      <c r="K2897" s="44">
        <f t="shared" si="278"/>
        <v>4.794520547945206</v>
      </c>
      <c r="L2897" s="3">
        <f t="shared" si="279"/>
        <v>354.79452054794524</v>
      </c>
      <c r="M2897" s="3">
        <f t="shared" si="280"/>
        <v>21.287671232876715</v>
      </c>
      <c r="N2897" s="67">
        <f t="shared" si="281"/>
        <v>333.50684931506851</v>
      </c>
      <c r="O2897" s="3"/>
      <c r="P2897" s="70" t="s">
        <v>18641</v>
      </c>
      <c r="Q2897" s="2" t="s">
        <v>2150</v>
      </c>
      <c r="R2897" s="2" t="s">
        <v>13455</v>
      </c>
      <c r="T2897" t="s">
        <v>18666</v>
      </c>
      <c r="U2897" t="s">
        <v>18652</v>
      </c>
      <c r="V2897" s="104">
        <v>45857</v>
      </c>
      <c r="X2897" s="97"/>
      <c r="Y2897" s="75">
        <v>333.51</v>
      </c>
    </row>
    <row r="2898" spans="1:25" x14ac:dyDescent="0.25">
      <c r="A2898" s="76">
        <v>2930</v>
      </c>
      <c r="B2898" s="2" t="s">
        <v>18053</v>
      </c>
      <c r="C2898" s="2" t="s">
        <v>18054</v>
      </c>
      <c r="D2898" s="2" t="s">
        <v>18055</v>
      </c>
      <c r="E2898" s="2" t="s">
        <v>18056</v>
      </c>
      <c r="F2898" s="2" t="s">
        <v>18057</v>
      </c>
      <c r="G2898" s="2" t="s">
        <v>39</v>
      </c>
      <c r="H2898" s="17">
        <v>25</v>
      </c>
      <c r="I2898" s="31">
        <f t="shared" ref="I2898:I2961" si="282">H2898*1000</f>
        <v>25000</v>
      </c>
      <c r="J2898" s="31">
        <f t="shared" ref="J2898:J2961" si="283">I2898*7%</f>
        <v>1750.0000000000002</v>
      </c>
      <c r="K2898" s="44">
        <f t="shared" ref="K2898:K2961" si="284">J2898/365</f>
        <v>4.794520547945206</v>
      </c>
      <c r="L2898" s="3">
        <f t="shared" ref="L2898:L2961" si="285">K2898*74</f>
        <v>354.79452054794524</v>
      </c>
      <c r="M2898" s="3">
        <f t="shared" ref="M2898:M2961" si="286">L2898*6%</f>
        <v>21.287671232876715</v>
      </c>
      <c r="N2898" s="67">
        <f t="shared" ref="N2898:N2961" si="287">L2898-M2898</f>
        <v>333.50684931506851</v>
      </c>
      <c r="O2898" s="3"/>
      <c r="P2898" s="70" t="s">
        <v>18641</v>
      </c>
      <c r="Q2898" s="2" t="s">
        <v>2150</v>
      </c>
      <c r="R2898" s="2" t="s">
        <v>18058</v>
      </c>
      <c r="T2898" t="s">
        <v>18666</v>
      </c>
      <c r="U2898" t="s">
        <v>18652</v>
      </c>
      <c r="V2898" s="104">
        <v>45857</v>
      </c>
      <c r="X2898" s="97"/>
      <c r="Y2898" s="75">
        <v>333.51</v>
      </c>
    </row>
    <row r="2899" spans="1:25" x14ac:dyDescent="0.25">
      <c r="A2899" s="76">
        <v>2931</v>
      </c>
      <c r="B2899" s="2" t="s">
        <v>5469</v>
      </c>
      <c r="C2899" s="2" t="s">
        <v>5470</v>
      </c>
      <c r="D2899" s="2" t="s">
        <v>5471</v>
      </c>
      <c r="E2899" s="2" t="s">
        <v>5472</v>
      </c>
      <c r="F2899" s="2" t="s">
        <v>5473</v>
      </c>
      <c r="G2899" s="2" t="s">
        <v>268</v>
      </c>
      <c r="H2899" s="17">
        <v>100</v>
      </c>
      <c r="I2899" s="31">
        <f t="shared" si="282"/>
        <v>100000</v>
      </c>
      <c r="J2899" s="31">
        <f t="shared" si="283"/>
        <v>7000.0000000000009</v>
      </c>
      <c r="K2899" s="44">
        <f t="shared" si="284"/>
        <v>19.178082191780824</v>
      </c>
      <c r="L2899" s="3">
        <f t="shared" si="285"/>
        <v>1419.178082191781</v>
      </c>
      <c r="M2899" s="3">
        <f t="shared" si="286"/>
        <v>85.150684931506859</v>
      </c>
      <c r="N2899" s="67">
        <f t="shared" si="287"/>
        <v>1334.027397260274</v>
      </c>
      <c r="O2899" s="3"/>
      <c r="P2899" s="70" t="s">
        <v>18641</v>
      </c>
      <c r="Q2899" s="2" t="s">
        <v>2150</v>
      </c>
      <c r="R2899" s="2" t="s">
        <v>5474</v>
      </c>
      <c r="T2899" t="s">
        <v>18666</v>
      </c>
      <c r="U2899" t="s">
        <v>18652</v>
      </c>
      <c r="V2899" s="104">
        <v>45857</v>
      </c>
      <c r="X2899" s="97"/>
      <c r="Y2899" s="75">
        <v>1334.03</v>
      </c>
    </row>
    <row r="2900" spans="1:25" x14ac:dyDescent="0.25">
      <c r="A2900" s="76">
        <v>2932</v>
      </c>
      <c r="B2900" s="2" t="s">
        <v>2145</v>
      </c>
      <c r="C2900" s="2" t="s">
        <v>2146</v>
      </c>
      <c r="D2900" s="2" t="s">
        <v>2147</v>
      </c>
      <c r="E2900" s="2" t="s">
        <v>2148</v>
      </c>
      <c r="F2900" s="2" t="s">
        <v>2149</v>
      </c>
      <c r="G2900" s="2" t="s">
        <v>39</v>
      </c>
      <c r="H2900" s="17">
        <v>25</v>
      </c>
      <c r="I2900" s="31">
        <f t="shared" si="282"/>
        <v>25000</v>
      </c>
      <c r="J2900" s="31">
        <f t="shared" si="283"/>
        <v>1750.0000000000002</v>
      </c>
      <c r="K2900" s="44">
        <f t="shared" si="284"/>
        <v>4.794520547945206</v>
      </c>
      <c r="L2900" s="3">
        <f t="shared" si="285"/>
        <v>354.79452054794524</v>
      </c>
      <c r="M2900" s="3">
        <f t="shared" si="286"/>
        <v>21.287671232876715</v>
      </c>
      <c r="N2900" s="67">
        <f t="shared" si="287"/>
        <v>333.50684931506851</v>
      </c>
      <c r="O2900" s="3"/>
      <c r="P2900" s="70" t="s">
        <v>18641</v>
      </c>
      <c r="Q2900" s="2" t="s">
        <v>2150</v>
      </c>
      <c r="R2900" s="2" t="s">
        <v>2151</v>
      </c>
      <c r="T2900" t="s">
        <v>18666</v>
      </c>
      <c r="U2900" t="s">
        <v>18652</v>
      </c>
      <c r="V2900" s="104">
        <v>45857</v>
      </c>
      <c r="X2900" s="97"/>
      <c r="Y2900" s="75">
        <v>333.51</v>
      </c>
    </row>
    <row r="2901" spans="1:25" x14ac:dyDescent="0.25">
      <c r="A2901" s="76">
        <v>2933</v>
      </c>
      <c r="B2901" s="2" t="s">
        <v>3494</v>
      </c>
      <c r="C2901" s="2" t="s">
        <v>3495</v>
      </c>
      <c r="D2901" s="2" t="s">
        <v>3496</v>
      </c>
      <c r="E2901" s="2" t="s">
        <v>3497</v>
      </c>
      <c r="F2901" s="2" t="s">
        <v>3498</v>
      </c>
      <c r="G2901" s="2" t="s">
        <v>158</v>
      </c>
      <c r="H2901" s="17">
        <v>25</v>
      </c>
      <c r="I2901" s="31">
        <f t="shared" si="282"/>
        <v>25000</v>
      </c>
      <c r="J2901" s="31">
        <f t="shared" si="283"/>
        <v>1750.0000000000002</v>
      </c>
      <c r="K2901" s="44">
        <f t="shared" si="284"/>
        <v>4.794520547945206</v>
      </c>
      <c r="L2901" s="3">
        <f t="shared" si="285"/>
        <v>354.79452054794524</v>
      </c>
      <c r="M2901" s="3">
        <f t="shared" si="286"/>
        <v>21.287671232876715</v>
      </c>
      <c r="N2901" s="67">
        <f t="shared" si="287"/>
        <v>333.50684931506851</v>
      </c>
      <c r="O2901" s="3"/>
      <c r="P2901" s="70" t="s">
        <v>18641</v>
      </c>
      <c r="Q2901" s="2" t="s">
        <v>2150</v>
      </c>
      <c r="R2901" s="2" t="s">
        <v>3499</v>
      </c>
      <c r="T2901" t="s">
        <v>18666</v>
      </c>
      <c r="U2901" t="s">
        <v>18652</v>
      </c>
      <c r="V2901" s="104">
        <v>45857</v>
      </c>
      <c r="X2901" s="97"/>
      <c r="Y2901" s="75">
        <v>333.51</v>
      </c>
    </row>
    <row r="2902" spans="1:25" x14ac:dyDescent="0.25">
      <c r="A2902" s="76">
        <v>2934</v>
      </c>
      <c r="B2902" s="2" t="s">
        <v>2285</v>
      </c>
      <c r="C2902" s="2" t="s">
        <v>2286</v>
      </c>
      <c r="D2902" s="2" t="s">
        <v>2287</v>
      </c>
      <c r="E2902" s="2" t="s">
        <v>2288</v>
      </c>
      <c r="F2902" s="2" t="s">
        <v>2289</v>
      </c>
      <c r="G2902" s="2" t="s">
        <v>1545</v>
      </c>
      <c r="H2902" s="17">
        <v>25</v>
      </c>
      <c r="I2902" s="31">
        <f t="shared" si="282"/>
        <v>25000</v>
      </c>
      <c r="J2902" s="31">
        <f t="shared" si="283"/>
        <v>1750.0000000000002</v>
      </c>
      <c r="K2902" s="44">
        <f t="shared" si="284"/>
        <v>4.794520547945206</v>
      </c>
      <c r="L2902" s="3">
        <f t="shared" si="285"/>
        <v>354.79452054794524</v>
      </c>
      <c r="M2902" s="3">
        <f t="shared" si="286"/>
        <v>21.287671232876715</v>
      </c>
      <c r="N2902" s="67">
        <f t="shared" si="287"/>
        <v>333.50684931506851</v>
      </c>
      <c r="O2902" s="3"/>
      <c r="P2902" s="70" t="s">
        <v>18641</v>
      </c>
      <c r="Q2902" s="2" t="s">
        <v>2150</v>
      </c>
      <c r="R2902" s="2" t="s">
        <v>2290</v>
      </c>
      <c r="T2902" t="s">
        <v>18666</v>
      </c>
      <c r="U2902" t="s">
        <v>18652</v>
      </c>
      <c r="V2902" s="104">
        <v>45857</v>
      </c>
      <c r="X2902" s="97"/>
      <c r="Y2902" s="75">
        <v>333.51</v>
      </c>
    </row>
    <row r="2903" spans="1:25" x14ac:dyDescent="0.25">
      <c r="A2903" s="76">
        <v>2935</v>
      </c>
      <c r="B2903" s="2" t="s">
        <v>11270</v>
      </c>
      <c r="C2903" s="2" t="s">
        <v>11271</v>
      </c>
      <c r="D2903" s="2" t="s">
        <v>11272</v>
      </c>
      <c r="E2903" s="2" t="s">
        <v>11273</v>
      </c>
      <c r="F2903" s="2" t="s">
        <v>11274</v>
      </c>
      <c r="G2903" s="2" t="s">
        <v>144</v>
      </c>
      <c r="H2903" s="17">
        <v>25</v>
      </c>
      <c r="I2903" s="31">
        <f t="shared" si="282"/>
        <v>25000</v>
      </c>
      <c r="J2903" s="31">
        <f t="shared" si="283"/>
        <v>1750.0000000000002</v>
      </c>
      <c r="K2903" s="44">
        <f t="shared" si="284"/>
        <v>4.794520547945206</v>
      </c>
      <c r="L2903" s="3">
        <f t="shared" si="285"/>
        <v>354.79452054794524</v>
      </c>
      <c r="M2903" s="3">
        <f t="shared" si="286"/>
        <v>21.287671232876715</v>
      </c>
      <c r="N2903" s="67">
        <f t="shared" si="287"/>
        <v>333.50684931506851</v>
      </c>
      <c r="O2903" s="3"/>
      <c r="P2903" s="70" t="s">
        <v>18641</v>
      </c>
      <c r="Q2903" s="2" t="s">
        <v>2150</v>
      </c>
      <c r="R2903" s="2" t="s">
        <v>11275</v>
      </c>
      <c r="T2903" t="s">
        <v>18666</v>
      </c>
      <c r="U2903" t="s">
        <v>18652</v>
      </c>
      <c r="V2903" s="104">
        <v>45857</v>
      </c>
      <c r="X2903" s="97"/>
      <c r="Y2903" s="75">
        <v>333.51</v>
      </c>
    </row>
    <row r="2904" spans="1:25" x14ac:dyDescent="0.25">
      <c r="A2904" s="76">
        <v>2936</v>
      </c>
      <c r="B2904" s="2" t="s">
        <v>3650</v>
      </c>
      <c r="C2904" s="2" t="s">
        <v>3651</v>
      </c>
      <c r="D2904" s="2" t="s">
        <v>3652</v>
      </c>
      <c r="E2904" s="2" t="s">
        <v>3653</v>
      </c>
      <c r="F2904" s="2" t="s">
        <v>3654</v>
      </c>
      <c r="G2904" s="2" t="s">
        <v>144</v>
      </c>
      <c r="H2904" s="17">
        <v>25</v>
      </c>
      <c r="I2904" s="31">
        <f t="shared" si="282"/>
        <v>25000</v>
      </c>
      <c r="J2904" s="31">
        <f t="shared" si="283"/>
        <v>1750.0000000000002</v>
      </c>
      <c r="K2904" s="44">
        <f t="shared" si="284"/>
        <v>4.794520547945206</v>
      </c>
      <c r="L2904" s="3">
        <f t="shared" si="285"/>
        <v>354.79452054794524</v>
      </c>
      <c r="M2904" s="3">
        <f t="shared" si="286"/>
        <v>21.287671232876715</v>
      </c>
      <c r="N2904" s="67">
        <f t="shared" si="287"/>
        <v>333.50684931506851</v>
      </c>
      <c r="O2904" s="3"/>
      <c r="P2904" s="70" t="s">
        <v>18641</v>
      </c>
      <c r="Q2904" s="2" t="s">
        <v>2150</v>
      </c>
      <c r="R2904" s="2" t="s">
        <v>3655</v>
      </c>
      <c r="T2904" t="s">
        <v>18666</v>
      </c>
      <c r="U2904" t="s">
        <v>18652</v>
      </c>
      <c r="V2904" s="104">
        <v>45857</v>
      </c>
      <c r="X2904" s="97"/>
      <c r="Y2904" s="75">
        <v>333.51</v>
      </c>
    </row>
    <row r="2905" spans="1:25" x14ac:dyDescent="0.25">
      <c r="A2905" s="76">
        <v>2937</v>
      </c>
      <c r="B2905" s="2" t="s">
        <v>5238</v>
      </c>
      <c r="C2905" s="2" t="s">
        <v>5239</v>
      </c>
      <c r="D2905" s="2" t="s">
        <v>5240</v>
      </c>
      <c r="E2905" s="2" t="s">
        <v>5241</v>
      </c>
      <c r="F2905" s="2" t="s">
        <v>5242</v>
      </c>
      <c r="G2905" s="2" t="s">
        <v>268</v>
      </c>
      <c r="H2905" s="17">
        <v>25</v>
      </c>
      <c r="I2905" s="31">
        <f t="shared" si="282"/>
        <v>25000</v>
      </c>
      <c r="J2905" s="31">
        <f t="shared" si="283"/>
        <v>1750.0000000000002</v>
      </c>
      <c r="K2905" s="44">
        <f t="shared" si="284"/>
        <v>4.794520547945206</v>
      </c>
      <c r="L2905" s="3">
        <f t="shared" si="285"/>
        <v>354.79452054794524</v>
      </c>
      <c r="M2905" s="3">
        <f t="shared" si="286"/>
        <v>21.287671232876715</v>
      </c>
      <c r="N2905" s="67">
        <f t="shared" si="287"/>
        <v>333.50684931506851</v>
      </c>
      <c r="O2905" s="3"/>
      <c r="P2905" s="70" t="s">
        <v>18641</v>
      </c>
      <c r="Q2905" s="2" t="s">
        <v>2150</v>
      </c>
      <c r="R2905" s="2" t="s">
        <v>5243</v>
      </c>
      <c r="T2905" t="s">
        <v>18666</v>
      </c>
      <c r="U2905" t="s">
        <v>18652</v>
      </c>
      <c r="V2905" s="104">
        <v>45857</v>
      </c>
      <c r="X2905" s="97"/>
      <c r="Y2905" s="75">
        <v>333.51</v>
      </c>
    </row>
    <row r="2906" spans="1:25" x14ac:dyDescent="0.25">
      <c r="A2906" s="76">
        <v>2938</v>
      </c>
      <c r="B2906" s="2" t="s">
        <v>11563</v>
      </c>
      <c r="C2906" s="2" t="s">
        <v>11564</v>
      </c>
      <c r="D2906" s="2" t="s">
        <v>11565</v>
      </c>
      <c r="E2906" s="2" t="s">
        <v>11566</v>
      </c>
      <c r="F2906" s="2" t="s">
        <v>11567</v>
      </c>
      <c r="G2906" s="2" t="s">
        <v>268</v>
      </c>
      <c r="H2906" s="17">
        <v>25</v>
      </c>
      <c r="I2906" s="31">
        <f t="shared" si="282"/>
        <v>25000</v>
      </c>
      <c r="J2906" s="31">
        <f t="shared" si="283"/>
        <v>1750.0000000000002</v>
      </c>
      <c r="K2906" s="44">
        <f t="shared" si="284"/>
        <v>4.794520547945206</v>
      </c>
      <c r="L2906" s="3">
        <f t="shared" si="285"/>
        <v>354.79452054794524</v>
      </c>
      <c r="M2906" s="3">
        <f t="shared" si="286"/>
        <v>21.287671232876715</v>
      </c>
      <c r="N2906" s="67">
        <f t="shared" si="287"/>
        <v>333.50684931506851</v>
      </c>
      <c r="O2906" s="3"/>
      <c r="P2906" s="70" t="s">
        <v>18641</v>
      </c>
      <c r="Q2906" s="2" t="s">
        <v>2150</v>
      </c>
      <c r="R2906" s="2" t="s">
        <v>11568</v>
      </c>
      <c r="T2906" t="s">
        <v>18666</v>
      </c>
      <c r="U2906" t="s">
        <v>18652</v>
      </c>
      <c r="V2906" s="104">
        <v>45857</v>
      </c>
      <c r="X2906" s="97"/>
      <c r="Y2906" s="75">
        <v>333.51</v>
      </c>
    </row>
    <row r="2907" spans="1:25" x14ac:dyDescent="0.25">
      <c r="A2907" s="76">
        <v>2939</v>
      </c>
      <c r="B2907" s="2" t="s">
        <v>13989</v>
      </c>
      <c r="C2907" s="2" t="s">
        <v>13990</v>
      </c>
      <c r="D2907" s="2" t="s">
        <v>13991</v>
      </c>
      <c r="E2907" s="2" t="s">
        <v>13992</v>
      </c>
      <c r="F2907" s="2" t="s">
        <v>13993</v>
      </c>
      <c r="G2907" s="2" t="s">
        <v>1315</v>
      </c>
      <c r="H2907" s="17">
        <v>25</v>
      </c>
      <c r="I2907" s="31">
        <f t="shared" si="282"/>
        <v>25000</v>
      </c>
      <c r="J2907" s="31">
        <f t="shared" si="283"/>
        <v>1750.0000000000002</v>
      </c>
      <c r="K2907" s="44">
        <f t="shared" si="284"/>
        <v>4.794520547945206</v>
      </c>
      <c r="L2907" s="3">
        <f t="shared" si="285"/>
        <v>354.79452054794524</v>
      </c>
      <c r="M2907" s="3">
        <f t="shared" si="286"/>
        <v>21.287671232876715</v>
      </c>
      <c r="N2907" s="67">
        <f t="shared" si="287"/>
        <v>333.50684931506851</v>
      </c>
      <c r="O2907" s="3"/>
      <c r="P2907" s="70" t="s">
        <v>18641</v>
      </c>
      <c r="Q2907" s="2" t="s">
        <v>2150</v>
      </c>
      <c r="R2907" s="2" t="s">
        <v>13994</v>
      </c>
      <c r="T2907" t="s">
        <v>18666</v>
      </c>
      <c r="U2907" t="s">
        <v>18652</v>
      </c>
      <c r="V2907" s="104">
        <v>45857</v>
      </c>
      <c r="X2907" s="97"/>
      <c r="Y2907" s="75">
        <v>333.51</v>
      </c>
    </row>
    <row r="2908" spans="1:25" x14ac:dyDescent="0.25">
      <c r="A2908" s="76">
        <v>2940</v>
      </c>
      <c r="B2908" s="2" t="s">
        <v>16938</v>
      </c>
      <c r="C2908" s="2" t="s">
        <v>16939</v>
      </c>
      <c r="D2908" s="2" t="s">
        <v>16940</v>
      </c>
      <c r="E2908" s="2" t="s">
        <v>16941</v>
      </c>
      <c r="F2908" s="2" t="s">
        <v>16942</v>
      </c>
      <c r="G2908" s="2" t="s">
        <v>268</v>
      </c>
      <c r="H2908" s="17">
        <v>25</v>
      </c>
      <c r="I2908" s="31">
        <f t="shared" si="282"/>
        <v>25000</v>
      </c>
      <c r="J2908" s="31">
        <f t="shared" si="283"/>
        <v>1750.0000000000002</v>
      </c>
      <c r="K2908" s="44">
        <f t="shared" si="284"/>
        <v>4.794520547945206</v>
      </c>
      <c r="L2908" s="3">
        <f t="shared" si="285"/>
        <v>354.79452054794524</v>
      </c>
      <c r="M2908" s="3">
        <f t="shared" si="286"/>
        <v>21.287671232876715</v>
      </c>
      <c r="N2908" s="67">
        <f t="shared" si="287"/>
        <v>333.50684931506851</v>
      </c>
      <c r="O2908" s="3"/>
      <c r="P2908" s="70" t="s">
        <v>18641</v>
      </c>
      <c r="Q2908" s="2" t="s">
        <v>2150</v>
      </c>
      <c r="R2908" s="2" t="s">
        <v>16943</v>
      </c>
      <c r="T2908" t="s">
        <v>18666</v>
      </c>
      <c r="U2908" t="s">
        <v>18652</v>
      </c>
      <c r="V2908" s="104">
        <v>45857</v>
      </c>
      <c r="X2908" s="97"/>
      <c r="Y2908" s="75">
        <v>333.51</v>
      </c>
    </row>
    <row r="2909" spans="1:25" x14ac:dyDescent="0.25">
      <c r="A2909" s="76">
        <v>2941</v>
      </c>
      <c r="B2909" s="2" t="s">
        <v>15606</v>
      </c>
      <c r="C2909" s="2" t="s">
        <v>15607</v>
      </c>
      <c r="D2909" s="2" t="s">
        <v>15608</v>
      </c>
      <c r="E2909" s="2" t="s">
        <v>15609</v>
      </c>
      <c r="F2909" s="2" t="s">
        <v>15610</v>
      </c>
      <c r="G2909" s="2" t="s">
        <v>268</v>
      </c>
      <c r="H2909" s="17">
        <v>25</v>
      </c>
      <c r="I2909" s="31">
        <f t="shared" si="282"/>
        <v>25000</v>
      </c>
      <c r="J2909" s="31">
        <f t="shared" si="283"/>
        <v>1750.0000000000002</v>
      </c>
      <c r="K2909" s="44">
        <f t="shared" si="284"/>
        <v>4.794520547945206</v>
      </c>
      <c r="L2909" s="3">
        <f t="shared" si="285"/>
        <v>354.79452054794524</v>
      </c>
      <c r="M2909" s="3">
        <f t="shared" si="286"/>
        <v>21.287671232876715</v>
      </c>
      <c r="N2909" s="67">
        <f t="shared" si="287"/>
        <v>333.50684931506851</v>
      </c>
      <c r="O2909" s="3"/>
      <c r="P2909" s="70" t="s">
        <v>18641</v>
      </c>
      <c r="Q2909" s="2" t="s">
        <v>2150</v>
      </c>
      <c r="R2909" s="2" t="s">
        <v>15611</v>
      </c>
      <c r="T2909" t="s">
        <v>18666</v>
      </c>
      <c r="U2909" t="s">
        <v>18652</v>
      </c>
      <c r="V2909" s="104">
        <v>45857</v>
      </c>
      <c r="X2909" s="97"/>
      <c r="Y2909" s="75">
        <v>333.51</v>
      </c>
    </row>
    <row r="2910" spans="1:25" x14ac:dyDescent="0.25">
      <c r="A2910" s="76">
        <v>2942</v>
      </c>
      <c r="B2910" s="2" t="s">
        <v>3980</v>
      </c>
      <c r="C2910" s="2" t="s">
        <v>3981</v>
      </c>
      <c r="D2910" s="2" t="s">
        <v>3982</v>
      </c>
      <c r="E2910" s="2" t="s">
        <v>3983</v>
      </c>
      <c r="F2910" s="2" t="s">
        <v>3984</v>
      </c>
      <c r="G2910" s="2" t="s">
        <v>39</v>
      </c>
      <c r="H2910" s="17">
        <v>25</v>
      </c>
      <c r="I2910" s="31">
        <f t="shared" si="282"/>
        <v>25000</v>
      </c>
      <c r="J2910" s="31">
        <f t="shared" si="283"/>
        <v>1750.0000000000002</v>
      </c>
      <c r="K2910" s="44">
        <f t="shared" si="284"/>
        <v>4.794520547945206</v>
      </c>
      <c r="L2910" s="3">
        <f t="shared" si="285"/>
        <v>354.79452054794524</v>
      </c>
      <c r="M2910" s="3">
        <f t="shared" si="286"/>
        <v>21.287671232876715</v>
      </c>
      <c r="N2910" s="67">
        <f t="shared" si="287"/>
        <v>333.50684931506851</v>
      </c>
      <c r="O2910" s="3"/>
      <c r="P2910" s="70" t="s">
        <v>18641</v>
      </c>
      <c r="Q2910" s="2" t="s">
        <v>2150</v>
      </c>
      <c r="R2910" s="2" t="s">
        <v>3985</v>
      </c>
      <c r="T2910" t="s">
        <v>18666</v>
      </c>
      <c r="U2910" t="s">
        <v>18652</v>
      </c>
      <c r="V2910" s="104">
        <v>45857</v>
      </c>
      <c r="X2910" s="97"/>
      <c r="Y2910" s="75">
        <v>333.51</v>
      </c>
    </row>
    <row r="2911" spans="1:25" x14ac:dyDescent="0.25">
      <c r="A2911" s="76">
        <v>2943</v>
      </c>
      <c r="B2911" s="2" t="s">
        <v>3003</v>
      </c>
      <c r="C2911" s="2" t="s">
        <v>3004</v>
      </c>
      <c r="D2911" s="2" t="s">
        <v>3005</v>
      </c>
      <c r="E2911" s="2" t="s">
        <v>3006</v>
      </c>
      <c r="F2911" s="2" t="s">
        <v>3007</v>
      </c>
      <c r="G2911" s="2" t="s">
        <v>268</v>
      </c>
      <c r="H2911" s="17">
        <v>25</v>
      </c>
      <c r="I2911" s="31">
        <f t="shared" si="282"/>
        <v>25000</v>
      </c>
      <c r="J2911" s="31">
        <f t="shared" si="283"/>
        <v>1750.0000000000002</v>
      </c>
      <c r="K2911" s="44">
        <f t="shared" si="284"/>
        <v>4.794520547945206</v>
      </c>
      <c r="L2911" s="3">
        <f t="shared" si="285"/>
        <v>354.79452054794524</v>
      </c>
      <c r="M2911" s="3">
        <f t="shared" si="286"/>
        <v>21.287671232876715</v>
      </c>
      <c r="N2911" s="67">
        <f t="shared" si="287"/>
        <v>333.50684931506851</v>
      </c>
      <c r="O2911" s="3"/>
      <c r="P2911" s="70" t="s">
        <v>18641</v>
      </c>
      <c r="Q2911" s="2" t="s">
        <v>2150</v>
      </c>
      <c r="R2911" s="2" t="s">
        <v>3008</v>
      </c>
      <c r="T2911" t="s">
        <v>18666</v>
      </c>
      <c r="U2911" t="s">
        <v>18652</v>
      </c>
      <c r="V2911" s="104">
        <v>45857</v>
      </c>
      <c r="X2911" s="97"/>
      <c r="Y2911" s="75">
        <v>333.51</v>
      </c>
    </row>
    <row r="2912" spans="1:25" x14ac:dyDescent="0.25">
      <c r="A2912" s="76">
        <v>2944</v>
      </c>
      <c r="B2912" s="2" t="s">
        <v>8968</v>
      </c>
      <c r="C2912" s="2" t="s">
        <v>8969</v>
      </c>
      <c r="D2912" s="2" t="s">
        <v>8970</v>
      </c>
      <c r="E2912" s="2" t="s">
        <v>8971</v>
      </c>
      <c r="F2912" s="2" t="s">
        <v>8972</v>
      </c>
      <c r="G2912" s="2" t="s">
        <v>2380</v>
      </c>
      <c r="H2912" s="17">
        <v>25</v>
      </c>
      <c r="I2912" s="31">
        <f t="shared" si="282"/>
        <v>25000</v>
      </c>
      <c r="J2912" s="31">
        <f t="shared" si="283"/>
        <v>1750.0000000000002</v>
      </c>
      <c r="K2912" s="44">
        <f t="shared" si="284"/>
        <v>4.794520547945206</v>
      </c>
      <c r="L2912" s="3">
        <f t="shared" si="285"/>
        <v>354.79452054794524</v>
      </c>
      <c r="M2912" s="3">
        <f t="shared" si="286"/>
        <v>21.287671232876715</v>
      </c>
      <c r="N2912" s="67">
        <f t="shared" si="287"/>
        <v>333.50684931506851</v>
      </c>
      <c r="O2912" s="3"/>
      <c r="P2912" s="70" t="s">
        <v>18614</v>
      </c>
      <c r="Q2912" s="2" t="s">
        <v>137</v>
      </c>
      <c r="R2912" s="2" t="s">
        <v>8973</v>
      </c>
      <c r="T2912" t="s">
        <v>18666</v>
      </c>
      <c r="U2912" t="s">
        <v>18652</v>
      </c>
      <c r="V2912" s="104">
        <v>45857</v>
      </c>
      <c r="X2912" s="97"/>
      <c r="Y2912" s="75">
        <v>333.51</v>
      </c>
    </row>
    <row r="2913" spans="1:25" x14ac:dyDescent="0.25">
      <c r="A2913" s="76">
        <v>2945</v>
      </c>
      <c r="B2913" s="2" t="s">
        <v>10078</v>
      </c>
      <c r="C2913" s="2" t="s">
        <v>10079</v>
      </c>
      <c r="D2913" s="2" t="s">
        <v>10080</v>
      </c>
      <c r="E2913" s="2" t="s">
        <v>10081</v>
      </c>
      <c r="F2913" s="2" t="s">
        <v>10082</v>
      </c>
      <c r="G2913" s="2" t="s">
        <v>510</v>
      </c>
      <c r="H2913" s="17">
        <v>25</v>
      </c>
      <c r="I2913" s="31">
        <f t="shared" si="282"/>
        <v>25000</v>
      </c>
      <c r="J2913" s="31">
        <f t="shared" si="283"/>
        <v>1750.0000000000002</v>
      </c>
      <c r="K2913" s="44">
        <f t="shared" si="284"/>
        <v>4.794520547945206</v>
      </c>
      <c r="L2913" s="3">
        <f t="shared" si="285"/>
        <v>354.79452054794524</v>
      </c>
      <c r="M2913" s="3">
        <f t="shared" si="286"/>
        <v>21.287671232876715</v>
      </c>
      <c r="N2913" s="67">
        <f t="shared" si="287"/>
        <v>333.50684931506851</v>
      </c>
      <c r="O2913" s="3"/>
      <c r="P2913" s="70" t="s">
        <v>18614</v>
      </c>
      <c r="Q2913" s="2" t="s">
        <v>137</v>
      </c>
      <c r="R2913" s="2" t="s">
        <v>10083</v>
      </c>
      <c r="T2913" t="s">
        <v>18666</v>
      </c>
      <c r="U2913" t="s">
        <v>18652</v>
      </c>
      <c r="V2913" s="104">
        <v>45857</v>
      </c>
      <c r="X2913" s="97"/>
      <c r="Y2913" s="75">
        <v>333.51</v>
      </c>
    </row>
    <row r="2914" spans="1:25" x14ac:dyDescent="0.25">
      <c r="A2914" s="76">
        <v>2946</v>
      </c>
      <c r="B2914" s="2" t="s">
        <v>16389</v>
      </c>
      <c r="C2914" s="2" t="s">
        <v>16390</v>
      </c>
      <c r="D2914" s="2" t="s">
        <v>16391</v>
      </c>
      <c r="E2914" s="2" t="s">
        <v>16392</v>
      </c>
      <c r="F2914" s="2" t="s">
        <v>16393</v>
      </c>
      <c r="G2914" s="2" t="s">
        <v>328</v>
      </c>
      <c r="H2914" s="17">
        <v>27</v>
      </c>
      <c r="I2914" s="31">
        <f t="shared" si="282"/>
        <v>27000</v>
      </c>
      <c r="J2914" s="31">
        <f t="shared" si="283"/>
        <v>1890.0000000000002</v>
      </c>
      <c r="K2914" s="44">
        <f t="shared" si="284"/>
        <v>5.1780821917808222</v>
      </c>
      <c r="L2914" s="3">
        <f t="shared" si="285"/>
        <v>383.17808219178085</v>
      </c>
      <c r="M2914" s="3">
        <f t="shared" si="286"/>
        <v>22.990684931506848</v>
      </c>
      <c r="N2914" s="67">
        <f t="shared" si="287"/>
        <v>360.187397260274</v>
      </c>
      <c r="O2914" s="3"/>
      <c r="P2914" s="70" t="s">
        <v>18614</v>
      </c>
      <c r="Q2914" s="2" t="s">
        <v>137</v>
      </c>
      <c r="R2914" s="2" t="s">
        <v>16394</v>
      </c>
      <c r="T2914" t="s">
        <v>18666</v>
      </c>
      <c r="U2914" t="s">
        <v>18652</v>
      </c>
      <c r="V2914" s="104">
        <v>45857</v>
      </c>
      <c r="X2914" s="97"/>
      <c r="Y2914" s="75">
        <v>360.19</v>
      </c>
    </row>
    <row r="2915" spans="1:25" x14ac:dyDescent="0.25">
      <c r="A2915" s="76">
        <v>2947</v>
      </c>
      <c r="B2915" s="2" t="s">
        <v>10124</v>
      </c>
      <c r="C2915" s="2" t="s">
        <v>10125</v>
      </c>
      <c r="D2915" s="2" t="s">
        <v>10126</v>
      </c>
      <c r="E2915" s="2" t="s">
        <v>10127</v>
      </c>
      <c r="F2915" s="2" t="s">
        <v>10128</v>
      </c>
      <c r="G2915" s="2" t="s">
        <v>186</v>
      </c>
      <c r="H2915" s="17">
        <v>25</v>
      </c>
      <c r="I2915" s="31">
        <f t="shared" si="282"/>
        <v>25000</v>
      </c>
      <c r="J2915" s="31">
        <f t="shared" si="283"/>
        <v>1750.0000000000002</v>
      </c>
      <c r="K2915" s="44">
        <f t="shared" si="284"/>
        <v>4.794520547945206</v>
      </c>
      <c r="L2915" s="3">
        <f t="shared" si="285"/>
        <v>354.79452054794524</v>
      </c>
      <c r="M2915" s="3">
        <f t="shared" si="286"/>
        <v>21.287671232876715</v>
      </c>
      <c r="N2915" s="67">
        <f t="shared" si="287"/>
        <v>333.50684931506851</v>
      </c>
      <c r="O2915" s="3"/>
      <c r="P2915" s="70" t="s">
        <v>18614</v>
      </c>
      <c r="Q2915" s="2" t="s">
        <v>137</v>
      </c>
      <c r="R2915" s="2" t="s">
        <v>10129</v>
      </c>
      <c r="T2915" t="s">
        <v>18666</v>
      </c>
      <c r="U2915" t="s">
        <v>18652</v>
      </c>
      <c r="V2915" s="104">
        <v>45857</v>
      </c>
      <c r="X2915" s="97"/>
      <c r="Y2915" s="75">
        <v>333.51</v>
      </c>
    </row>
    <row r="2916" spans="1:25" x14ac:dyDescent="0.25">
      <c r="A2916" s="76">
        <v>2948</v>
      </c>
      <c r="B2916" s="2" t="s">
        <v>5539</v>
      </c>
      <c r="C2916" s="2" t="s">
        <v>5540</v>
      </c>
      <c r="D2916" s="2" t="s">
        <v>5541</v>
      </c>
      <c r="E2916" s="2" t="s">
        <v>5542</v>
      </c>
      <c r="F2916" s="2" t="s">
        <v>5543</v>
      </c>
      <c r="G2916" s="2" t="s">
        <v>186</v>
      </c>
      <c r="H2916" s="17">
        <v>25</v>
      </c>
      <c r="I2916" s="31">
        <f t="shared" si="282"/>
        <v>25000</v>
      </c>
      <c r="J2916" s="31">
        <f t="shared" si="283"/>
        <v>1750.0000000000002</v>
      </c>
      <c r="K2916" s="44">
        <f t="shared" si="284"/>
        <v>4.794520547945206</v>
      </c>
      <c r="L2916" s="3">
        <f t="shared" si="285"/>
        <v>354.79452054794524</v>
      </c>
      <c r="M2916" s="3">
        <f t="shared" si="286"/>
        <v>21.287671232876715</v>
      </c>
      <c r="N2916" s="67">
        <f t="shared" si="287"/>
        <v>333.50684931506851</v>
      </c>
      <c r="O2916" s="3"/>
      <c r="P2916" s="70" t="s">
        <v>18614</v>
      </c>
      <c r="Q2916" s="2" t="s">
        <v>137</v>
      </c>
      <c r="R2916" s="2" t="s">
        <v>5544</v>
      </c>
      <c r="T2916" t="s">
        <v>18666</v>
      </c>
      <c r="U2916" t="s">
        <v>18652</v>
      </c>
      <c r="V2916" s="104">
        <v>45857</v>
      </c>
      <c r="X2916" s="97"/>
      <c r="Y2916" s="75">
        <v>333.51</v>
      </c>
    </row>
    <row r="2917" spans="1:25" x14ac:dyDescent="0.25">
      <c r="A2917" s="76">
        <v>2949</v>
      </c>
      <c r="B2917" s="2" t="s">
        <v>3407</v>
      </c>
      <c r="C2917" s="2" t="s">
        <v>3408</v>
      </c>
      <c r="D2917" s="2" t="s">
        <v>3409</v>
      </c>
      <c r="E2917" s="2" t="s">
        <v>3410</v>
      </c>
      <c r="F2917" s="2" t="s">
        <v>3411</v>
      </c>
      <c r="G2917" s="2" t="s">
        <v>587</v>
      </c>
      <c r="H2917" s="17">
        <v>25</v>
      </c>
      <c r="I2917" s="31">
        <f t="shared" si="282"/>
        <v>25000</v>
      </c>
      <c r="J2917" s="31">
        <f t="shared" si="283"/>
        <v>1750.0000000000002</v>
      </c>
      <c r="K2917" s="44">
        <f t="shared" si="284"/>
        <v>4.794520547945206</v>
      </c>
      <c r="L2917" s="3">
        <f t="shared" si="285"/>
        <v>354.79452054794524</v>
      </c>
      <c r="M2917" s="3">
        <f t="shared" si="286"/>
        <v>21.287671232876715</v>
      </c>
      <c r="N2917" s="67">
        <f t="shared" si="287"/>
        <v>333.50684931506851</v>
      </c>
      <c r="O2917" s="3"/>
      <c r="P2917" s="70" t="s">
        <v>18614</v>
      </c>
      <c r="Q2917" s="2" t="s">
        <v>137</v>
      </c>
      <c r="R2917" s="2" t="s">
        <v>3412</v>
      </c>
      <c r="T2917" t="s">
        <v>18666</v>
      </c>
      <c r="U2917" t="s">
        <v>18652</v>
      </c>
      <c r="V2917" s="104">
        <v>45857</v>
      </c>
      <c r="X2917" s="97"/>
      <c r="Y2917" s="75">
        <v>333.51</v>
      </c>
    </row>
    <row r="2918" spans="1:25" x14ac:dyDescent="0.25">
      <c r="A2918" s="76">
        <v>2950</v>
      </c>
      <c r="B2918" s="2" t="s">
        <v>1144</v>
      </c>
      <c r="C2918" s="2" t="s">
        <v>1145</v>
      </c>
      <c r="D2918" s="2" t="s">
        <v>1146</v>
      </c>
      <c r="E2918" s="2" t="s">
        <v>1147</v>
      </c>
      <c r="F2918" s="2" t="s">
        <v>1148</v>
      </c>
      <c r="G2918" s="2" t="s">
        <v>328</v>
      </c>
      <c r="H2918" s="17">
        <v>25</v>
      </c>
      <c r="I2918" s="31">
        <f t="shared" si="282"/>
        <v>25000</v>
      </c>
      <c r="J2918" s="31">
        <f t="shared" si="283"/>
        <v>1750.0000000000002</v>
      </c>
      <c r="K2918" s="44">
        <f t="shared" si="284"/>
        <v>4.794520547945206</v>
      </c>
      <c r="L2918" s="3">
        <f t="shared" si="285"/>
        <v>354.79452054794524</v>
      </c>
      <c r="M2918" s="3">
        <f t="shared" si="286"/>
        <v>21.287671232876715</v>
      </c>
      <c r="N2918" s="67">
        <f t="shared" si="287"/>
        <v>333.50684931506851</v>
      </c>
      <c r="O2918" s="3"/>
      <c r="P2918" s="70" t="s">
        <v>18614</v>
      </c>
      <c r="Q2918" s="2" t="s">
        <v>137</v>
      </c>
      <c r="R2918" s="2" t="s">
        <v>1149</v>
      </c>
      <c r="T2918" t="s">
        <v>18666</v>
      </c>
      <c r="U2918" t="s">
        <v>18652</v>
      </c>
      <c r="V2918" s="104">
        <v>45857</v>
      </c>
      <c r="X2918" s="97"/>
      <c r="Y2918" s="75">
        <v>333.51</v>
      </c>
    </row>
    <row r="2919" spans="1:25" x14ac:dyDescent="0.25">
      <c r="A2919" s="76">
        <v>2951</v>
      </c>
      <c r="B2919" s="2" t="s">
        <v>7683</v>
      </c>
      <c r="C2919" s="2" t="s">
        <v>7684</v>
      </c>
      <c r="D2919" s="2" t="s">
        <v>7685</v>
      </c>
      <c r="E2919" s="2" t="s">
        <v>7686</v>
      </c>
      <c r="F2919" s="2" t="s">
        <v>7687</v>
      </c>
      <c r="G2919" s="2" t="s">
        <v>31</v>
      </c>
      <c r="H2919" s="17">
        <v>25</v>
      </c>
      <c r="I2919" s="31">
        <f t="shared" si="282"/>
        <v>25000</v>
      </c>
      <c r="J2919" s="31">
        <f t="shared" si="283"/>
        <v>1750.0000000000002</v>
      </c>
      <c r="K2919" s="44">
        <f t="shared" si="284"/>
        <v>4.794520547945206</v>
      </c>
      <c r="L2919" s="3">
        <f t="shared" si="285"/>
        <v>354.79452054794524</v>
      </c>
      <c r="M2919" s="3">
        <f t="shared" si="286"/>
        <v>21.287671232876715</v>
      </c>
      <c r="N2919" s="67">
        <f t="shared" si="287"/>
        <v>333.50684931506851</v>
      </c>
      <c r="O2919" s="3"/>
      <c r="P2919" s="70" t="s">
        <v>18614</v>
      </c>
      <c r="Q2919" s="2" t="s">
        <v>137</v>
      </c>
      <c r="R2919" s="2" t="s">
        <v>7688</v>
      </c>
      <c r="T2919" t="s">
        <v>18666</v>
      </c>
      <c r="U2919" t="s">
        <v>18652</v>
      </c>
      <c r="V2919" s="104">
        <v>45857</v>
      </c>
      <c r="X2919" s="97"/>
      <c r="Y2919" s="75">
        <v>333.51</v>
      </c>
    </row>
    <row r="2920" spans="1:25" x14ac:dyDescent="0.25">
      <c r="A2920" s="76">
        <v>2952</v>
      </c>
      <c r="B2920" s="2" t="s">
        <v>13065</v>
      </c>
      <c r="C2920" s="2" t="s">
        <v>13066</v>
      </c>
      <c r="D2920" s="2" t="s">
        <v>13067</v>
      </c>
      <c r="E2920" s="2" t="s">
        <v>13068</v>
      </c>
      <c r="F2920" s="2" t="s">
        <v>13069</v>
      </c>
      <c r="G2920" s="2" t="s">
        <v>31</v>
      </c>
      <c r="H2920" s="17">
        <v>25</v>
      </c>
      <c r="I2920" s="31">
        <f t="shared" si="282"/>
        <v>25000</v>
      </c>
      <c r="J2920" s="31">
        <f t="shared" si="283"/>
        <v>1750.0000000000002</v>
      </c>
      <c r="K2920" s="44">
        <f t="shared" si="284"/>
        <v>4.794520547945206</v>
      </c>
      <c r="L2920" s="3">
        <f t="shared" si="285"/>
        <v>354.79452054794524</v>
      </c>
      <c r="M2920" s="3">
        <f t="shared" si="286"/>
        <v>21.287671232876715</v>
      </c>
      <c r="N2920" s="67">
        <f t="shared" si="287"/>
        <v>333.50684931506851</v>
      </c>
      <c r="O2920" s="3"/>
      <c r="P2920" s="70" t="s">
        <v>18614</v>
      </c>
      <c r="Q2920" s="2" t="s">
        <v>137</v>
      </c>
      <c r="R2920" s="2" t="s">
        <v>13070</v>
      </c>
      <c r="T2920" t="s">
        <v>18666</v>
      </c>
      <c r="U2920" t="s">
        <v>18652</v>
      </c>
      <c r="V2920" s="104">
        <v>45857</v>
      </c>
      <c r="X2920" s="97"/>
      <c r="Y2920" s="75">
        <v>333.51</v>
      </c>
    </row>
    <row r="2921" spans="1:25" x14ac:dyDescent="0.25">
      <c r="A2921" s="76">
        <v>2953</v>
      </c>
      <c r="B2921" s="2" t="s">
        <v>15267</v>
      </c>
      <c r="C2921" s="2" t="s">
        <v>15268</v>
      </c>
      <c r="D2921" s="2" t="s">
        <v>15269</v>
      </c>
      <c r="E2921" s="2" t="s">
        <v>15270</v>
      </c>
      <c r="F2921" s="2" t="s">
        <v>15271</v>
      </c>
      <c r="G2921" s="2" t="s">
        <v>2673</v>
      </c>
      <c r="H2921" s="17">
        <v>25</v>
      </c>
      <c r="I2921" s="31">
        <f t="shared" si="282"/>
        <v>25000</v>
      </c>
      <c r="J2921" s="31">
        <f t="shared" si="283"/>
        <v>1750.0000000000002</v>
      </c>
      <c r="K2921" s="44">
        <f t="shared" si="284"/>
        <v>4.794520547945206</v>
      </c>
      <c r="L2921" s="3">
        <f t="shared" si="285"/>
        <v>354.79452054794524</v>
      </c>
      <c r="M2921" s="3">
        <f t="shared" si="286"/>
        <v>21.287671232876715</v>
      </c>
      <c r="N2921" s="67">
        <f t="shared" si="287"/>
        <v>333.50684931506851</v>
      </c>
      <c r="O2921" s="3"/>
      <c r="P2921" s="70" t="s">
        <v>18614</v>
      </c>
      <c r="Q2921" s="2" t="s">
        <v>137</v>
      </c>
      <c r="R2921" s="2" t="s">
        <v>15272</v>
      </c>
      <c r="T2921" t="s">
        <v>18666</v>
      </c>
      <c r="U2921" t="s">
        <v>18652</v>
      </c>
      <c r="V2921" s="104">
        <v>45857</v>
      </c>
      <c r="X2921" s="97"/>
      <c r="Y2921" s="75">
        <v>333.51</v>
      </c>
    </row>
    <row r="2922" spans="1:25" x14ac:dyDescent="0.25">
      <c r="A2922" s="76">
        <v>2954</v>
      </c>
      <c r="B2922" s="2" t="s">
        <v>6579</v>
      </c>
      <c r="C2922" s="2" t="s">
        <v>6580</v>
      </c>
      <c r="D2922" s="2" t="s">
        <v>6581</v>
      </c>
      <c r="E2922" s="2" t="s">
        <v>6582</v>
      </c>
      <c r="F2922" s="2" t="s">
        <v>6583</v>
      </c>
      <c r="G2922" s="2" t="s">
        <v>31</v>
      </c>
      <c r="H2922" s="17">
        <v>25</v>
      </c>
      <c r="I2922" s="31">
        <f t="shared" si="282"/>
        <v>25000</v>
      </c>
      <c r="J2922" s="31">
        <f t="shared" si="283"/>
        <v>1750.0000000000002</v>
      </c>
      <c r="K2922" s="44">
        <f t="shared" si="284"/>
        <v>4.794520547945206</v>
      </c>
      <c r="L2922" s="3">
        <f t="shared" si="285"/>
        <v>354.79452054794524</v>
      </c>
      <c r="M2922" s="3">
        <f t="shared" si="286"/>
        <v>21.287671232876715</v>
      </c>
      <c r="N2922" s="67">
        <f t="shared" si="287"/>
        <v>333.50684931506851</v>
      </c>
      <c r="O2922" s="3"/>
      <c r="P2922" s="70" t="s">
        <v>18614</v>
      </c>
      <c r="Q2922" s="2" t="s">
        <v>137</v>
      </c>
      <c r="R2922" s="2" t="s">
        <v>6584</v>
      </c>
      <c r="T2922" t="s">
        <v>18666</v>
      </c>
      <c r="U2922" t="s">
        <v>18652</v>
      </c>
      <c r="V2922" s="104">
        <v>45857</v>
      </c>
      <c r="X2922" s="97"/>
      <c r="Y2922" s="75">
        <v>333.51</v>
      </c>
    </row>
    <row r="2923" spans="1:25" x14ac:dyDescent="0.25">
      <c r="A2923" s="76">
        <v>2955</v>
      </c>
      <c r="B2923" s="2" t="s">
        <v>10102</v>
      </c>
      <c r="C2923" s="2" t="s">
        <v>10103</v>
      </c>
      <c r="D2923" s="2" t="s">
        <v>10104</v>
      </c>
      <c r="E2923" s="2" t="s">
        <v>9419</v>
      </c>
      <c r="F2923" s="2" t="s">
        <v>10105</v>
      </c>
      <c r="G2923" s="2" t="s">
        <v>240</v>
      </c>
      <c r="H2923" s="17">
        <v>25</v>
      </c>
      <c r="I2923" s="31">
        <f t="shared" si="282"/>
        <v>25000</v>
      </c>
      <c r="J2923" s="31">
        <f t="shared" si="283"/>
        <v>1750.0000000000002</v>
      </c>
      <c r="K2923" s="44">
        <f t="shared" si="284"/>
        <v>4.794520547945206</v>
      </c>
      <c r="L2923" s="3">
        <f t="shared" si="285"/>
        <v>354.79452054794524</v>
      </c>
      <c r="M2923" s="3">
        <f t="shared" si="286"/>
        <v>21.287671232876715</v>
      </c>
      <c r="N2923" s="67">
        <f t="shared" si="287"/>
        <v>333.50684931506851</v>
      </c>
      <c r="O2923" s="3"/>
      <c r="P2923" s="70" t="s">
        <v>18614</v>
      </c>
      <c r="Q2923" s="2" t="s">
        <v>137</v>
      </c>
      <c r="R2923" s="2" t="s">
        <v>10106</v>
      </c>
      <c r="T2923" t="s">
        <v>18666</v>
      </c>
      <c r="U2923" t="s">
        <v>18652</v>
      </c>
      <c r="V2923" s="104">
        <v>45857</v>
      </c>
      <c r="X2923" s="97"/>
      <c r="Y2923" s="75">
        <v>333.51</v>
      </c>
    </row>
    <row r="2924" spans="1:25" x14ac:dyDescent="0.25">
      <c r="A2924" s="76">
        <v>2956</v>
      </c>
      <c r="B2924" s="2" t="s">
        <v>7942</v>
      </c>
      <c r="C2924" s="2" t="s">
        <v>7943</v>
      </c>
      <c r="D2924" s="2" t="s">
        <v>7944</v>
      </c>
      <c r="E2924" s="2" t="s">
        <v>7945</v>
      </c>
      <c r="F2924" s="2" t="s">
        <v>7946</v>
      </c>
      <c r="G2924" s="2" t="s">
        <v>362</v>
      </c>
      <c r="H2924" s="17">
        <v>25</v>
      </c>
      <c r="I2924" s="31">
        <f t="shared" si="282"/>
        <v>25000</v>
      </c>
      <c r="J2924" s="31">
        <f t="shared" si="283"/>
        <v>1750.0000000000002</v>
      </c>
      <c r="K2924" s="44">
        <f t="shared" si="284"/>
        <v>4.794520547945206</v>
      </c>
      <c r="L2924" s="3">
        <f t="shared" si="285"/>
        <v>354.79452054794524</v>
      </c>
      <c r="M2924" s="3">
        <f t="shared" si="286"/>
        <v>21.287671232876715</v>
      </c>
      <c r="N2924" s="67">
        <f t="shared" si="287"/>
        <v>333.50684931506851</v>
      </c>
      <c r="O2924" s="3"/>
      <c r="P2924" s="70" t="s">
        <v>18614</v>
      </c>
      <c r="Q2924" s="2" t="s">
        <v>137</v>
      </c>
      <c r="R2924" s="2" t="s">
        <v>7947</v>
      </c>
      <c r="T2924" t="s">
        <v>18666</v>
      </c>
      <c r="U2924" t="s">
        <v>18652</v>
      </c>
      <c r="V2924" s="104">
        <v>45857</v>
      </c>
      <c r="X2924" s="97"/>
      <c r="Y2924" s="75">
        <v>333.51</v>
      </c>
    </row>
    <row r="2925" spans="1:25" x14ac:dyDescent="0.25">
      <c r="A2925" s="76">
        <v>2957</v>
      </c>
      <c r="B2925" s="2" t="s">
        <v>15473</v>
      </c>
      <c r="C2925" s="2" t="s">
        <v>15474</v>
      </c>
      <c r="D2925" s="2" t="s">
        <v>15475</v>
      </c>
      <c r="E2925" s="2" t="s">
        <v>15476</v>
      </c>
      <c r="F2925" s="2" t="s">
        <v>15477</v>
      </c>
      <c r="G2925" s="2" t="s">
        <v>328</v>
      </c>
      <c r="H2925" s="17">
        <v>25</v>
      </c>
      <c r="I2925" s="31">
        <f t="shared" si="282"/>
        <v>25000</v>
      </c>
      <c r="J2925" s="31">
        <f t="shared" si="283"/>
        <v>1750.0000000000002</v>
      </c>
      <c r="K2925" s="44">
        <f t="shared" si="284"/>
        <v>4.794520547945206</v>
      </c>
      <c r="L2925" s="3">
        <f t="shared" si="285"/>
        <v>354.79452054794524</v>
      </c>
      <c r="M2925" s="3">
        <f t="shared" si="286"/>
        <v>21.287671232876715</v>
      </c>
      <c r="N2925" s="67">
        <f t="shared" si="287"/>
        <v>333.50684931506851</v>
      </c>
      <c r="O2925" s="3"/>
      <c r="P2925" s="70" t="s">
        <v>18614</v>
      </c>
      <c r="Q2925" s="2" t="s">
        <v>137</v>
      </c>
      <c r="R2925" s="2" t="s">
        <v>15478</v>
      </c>
      <c r="T2925" t="s">
        <v>18666</v>
      </c>
      <c r="U2925" t="s">
        <v>18652</v>
      </c>
      <c r="V2925" s="104">
        <v>45857</v>
      </c>
      <c r="X2925" s="97"/>
      <c r="Y2925" s="75">
        <v>333.51</v>
      </c>
    </row>
    <row r="2926" spans="1:25" x14ac:dyDescent="0.25">
      <c r="A2926" s="76">
        <v>2958</v>
      </c>
      <c r="B2926" s="2" t="s">
        <v>1754</v>
      </c>
      <c r="C2926" s="2" t="s">
        <v>1755</v>
      </c>
      <c r="D2926" s="2" t="s">
        <v>1756</v>
      </c>
      <c r="E2926" s="2" t="s">
        <v>1757</v>
      </c>
      <c r="F2926" s="2" t="s">
        <v>1758</v>
      </c>
      <c r="G2926" s="2" t="s">
        <v>158</v>
      </c>
      <c r="H2926" s="17">
        <v>25</v>
      </c>
      <c r="I2926" s="31">
        <f t="shared" si="282"/>
        <v>25000</v>
      </c>
      <c r="J2926" s="31">
        <f t="shared" si="283"/>
        <v>1750.0000000000002</v>
      </c>
      <c r="K2926" s="44">
        <f t="shared" si="284"/>
        <v>4.794520547945206</v>
      </c>
      <c r="L2926" s="3">
        <f t="shared" si="285"/>
        <v>354.79452054794524</v>
      </c>
      <c r="M2926" s="3">
        <f t="shared" si="286"/>
        <v>21.287671232876715</v>
      </c>
      <c r="N2926" s="67">
        <f t="shared" si="287"/>
        <v>333.50684931506851</v>
      </c>
      <c r="O2926" s="3"/>
      <c r="P2926" s="70" t="s">
        <v>18614</v>
      </c>
      <c r="Q2926" s="2" t="s">
        <v>137</v>
      </c>
      <c r="R2926" s="2" t="s">
        <v>1759</v>
      </c>
      <c r="T2926" t="s">
        <v>18666</v>
      </c>
      <c r="U2926" t="s">
        <v>18652</v>
      </c>
      <c r="V2926" s="104">
        <v>45857</v>
      </c>
      <c r="X2926" s="97"/>
      <c r="Y2926" s="75">
        <v>333.51</v>
      </c>
    </row>
    <row r="2927" spans="1:25" x14ac:dyDescent="0.25">
      <c r="A2927" s="76">
        <v>2959</v>
      </c>
      <c r="B2927" s="2" t="s">
        <v>1999</v>
      </c>
      <c r="C2927" s="2" t="s">
        <v>2000</v>
      </c>
      <c r="D2927" s="2" t="s">
        <v>2001</v>
      </c>
      <c r="E2927" s="2" t="s">
        <v>2002</v>
      </c>
      <c r="F2927" s="2" t="s">
        <v>2003</v>
      </c>
      <c r="G2927" s="2" t="s">
        <v>1570</v>
      </c>
      <c r="H2927" s="17">
        <v>25</v>
      </c>
      <c r="I2927" s="31">
        <f t="shared" si="282"/>
        <v>25000</v>
      </c>
      <c r="J2927" s="31">
        <f t="shared" si="283"/>
        <v>1750.0000000000002</v>
      </c>
      <c r="K2927" s="44">
        <f t="shared" si="284"/>
        <v>4.794520547945206</v>
      </c>
      <c r="L2927" s="3">
        <f t="shared" si="285"/>
        <v>354.79452054794524</v>
      </c>
      <c r="M2927" s="3">
        <f t="shared" si="286"/>
        <v>21.287671232876715</v>
      </c>
      <c r="N2927" s="67">
        <f t="shared" si="287"/>
        <v>333.50684931506851</v>
      </c>
      <c r="O2927" s="3"/>
      <c r="P2927" s="70" t="s">
        <v>18614</v>
      </c>
      <c r="Q2927" s="2" t="s">
        <v>137</v>
      </c>
      <c r="R2927" s="2" t="s">
        <v>2004</v>
      </c>
      <c r="T2927" t="s">
        <v>18666</v>
      </c>
      <c r="U2927" t="s">
        <v>18652</v>
      </c>
      <c r="V2927" s="104">
        <v>45857</v>
      </c>
      <c r="X2927" s="97"/>
      <c r="Y2927" s="75">
        <v>333.51</v>
      </c>
    </row>
    <row r="2928" spans="1:25" x14ac:dyDescent="0.25">
      <c r="A2928" s="76">
        <v>2960</v>
      </c>
      <c r="B2928" s="2" t="s">
        <v>17768</v>
      </c>
      <c r="C2928" s="2" t="s">
        <v>17769</v>
      </c>
      <c r="D2928" s="2" t="s">
        <v>17770</v>
      </c>
      <c r="E2928" s="2" t="s">
        <v>17771</v>
      </c>
      <c r="F2928" s="2" t="s">
        <v>17772</v>
      </c>
      <c r="G2928" s="2" t="s">
        <v>31</v>
      </c>
      <c r="H2928" s="17">
        <v>50</v>
      </c>
      <c r="I2928" s="31">
        <f t="shared" si="282"/>
        <v>50000</v>
      </c>
      <c r="J2928" s="31">
        <f t="shared" si="283"/>
        <v>3500.0000000000005</v>
      </c>
      <c r="K2928" s="44">
        <f t="shared" si="284"/>
        <v>9.589041095890412</v>
      </c>
      <c r="L2928" s="3">
        <f t="shared" si="285"/>
        <v>709.58904109589048</v>
      </c>
      <c r="M2928" s="3">
        <f t="shared" si="286"/>
        <v>42.57534246575343</v>
      </c>
      <c r="N2928" s="67">
        <f t="shared" si="287"/>
        <v>667.01369863013701</v>
      </c>
      <c r="O2928" s="3"/>
      <c r="P2928" s="70" t="s">
        <v>18614</v>
      </c>
      <c r="Q2928" s="2" t="s">
        <v>137</v>
      </c>
      <c r="R2928" s="2" t="s">
        <v>17773</v>
      </c>
      <c r="T2928" t="s">
        <v>18666</v>
      </c>
      <c r="U2928" t="s">
        <v>18652</v>
      </c>
      <c r="V2928" s="104">
        <v>45857</v>
      </c>
      <c r="X2928" s="97"/>
      <c r="Y2928" s="75">
        <v>667.02</v>
      </c>
    </row>
    <row r="2929" spans="1:25" x14ac:dyDescent="0.25">
      <c r="A2929" s="76">
        <v>2961</v>
      </c>
      <c r="B2929" s="2" t="s">
        <v>9734</v>
      </c>
      <c r="C2929" s="2" t="s">
        <v>9735</v>
      </c>
      <c r="D2929" s="2" t="s">
        <v>9736</v>
      </c>
      <c r="E2929" s="2" t="s">
        <v>326</v>
      </c>
      <c r="F2929" s="2" t="s">
        <v>9737</v>
      </c>
      <c r="G2929" s="2" t="s">
        <v>261</v>
      </c>
      <c r="H2929" s="17">
        <v>25</v>
      </c>
      <c r="I2929" s="31">
        <f t="shared" si="282"/>
        <v>25000</v>
      </c>
      <c r="J2929" s="31">
        <f t="shared" si="283"/>
        <v>1750.0000000000002</v>
      </c>
      <c r="K2929" s="44">
        <f t="shared" si="284"/>
        <v>4.794520547945206</v>
      </c>
      <c r="L2929" s="3">
        <f t="shared" si="285"/>
        <v>354.79452054794524</v>
      </c>
      <c r="M2929" s="3">
        <f t="shared" si="286"/>
        <v>21.287671232876715</v>
      </c>
      <c r="N2929" s="67">
        <f t="shared" si="287"/>
        <v>333.50684931506851</v>
      </c>
      <c r="O2929" s="3"/>
      <c r="P2929" s="70" t="s">
        <v>18614</v>
      </c>
      <c r="Q2929" s="2" t="s">
        <v>137</v>
      </c>
      <c r="R2929" s="2" t="s">
        <v>9738</v>
      </c>
      <c r="T2929" t="s">
        <v>18666</v>
      </c>
      <c r="U2929" t="s">
        <v>18652</v>
      </c>
      <c r="V2929" s="104">
        <v>45857</v>
      </c>
      <c r="X2929" s="97"/>
      <c r="Y2929" s="75">
        <v>333.51</v>
      </c>
    </row>
    <row r="2930" spans="1:25" x14ac:dyDescent="0.25">
      <c r="A2930" s="76">
        <v>2962</v>
      </c>
      <c r="B2930" s="2" t="s">
        <v>4051</v>
      </c>
      <c r="C2930" s="2" t="s">
        <v>4052</v>
      </c>
      <c r="D2930" s="2" t="s">
        <v>4053</v>
      </c>
      <c r="E2930" s="2" t="s">
        <v>4054</v>
      </c>
      <c r="F2930" s="2" t="s">
        <v>4055</v>
      </c>
      <c r="G2930" s="2" t="s">
        <v>1315</v>
      </c>
      <c r="H2930" s="17">
        <v>25</v>
      </c>
      <c r="I2930" s="31">
        <f t="shared" si="282"/>
        <v>25000</v>
      </c>
      <c r="J2930" s="31">
        <f t="shared" si="283"/>
        <v>1750.0000000000002</v>
      </c>
      <c r="K2930" s="44">
        <f t="shared" si="284"/>
        <v>4.794520547945206</v>
      </c>
      <c r="L2930" s="3">
        <f t="shared" si="285"/>
        <v>354.79452054794524</v>
      </c>
      <c r="M2930" s="3">
        <f t="shared" si="286"/>
        <v>21.287671232876715</v>
      </c>
      <c r="N2930" s="67">
        <f t="shared" si="287"/>
        <v>333.50684931506851</v>
      </c>
      <c r="O2930" s="3"/>
      <c r="P2930" s="70" t="s">
        <v>18614</v>
      </c>
      <c r="Q2930" s="2" t="s">
        <v>137</v>
      </c>
      <c r="R2930" s="2" t="s">
        <v>4056</v>
      </c>
      <c r="T2930" t="s">
        <v>18666</v>
      </c>
      <c r="U2930" t="s">
        <v>18652</v>
      </c>
      <c r="V2930" s="104">
        <v>45857</v>
      </c>
      <c r="X2930" s="97"/>
      <c r="Y2930" s="75">
        <v>333.51</v>
      </c>
    </row>
    <row r="2931" spans="1:25" x14ac:dyDescent="0.25">
      <c r="A2931" s="76">
        <v>2963</v>
      </c>
      <c r="B2931" s="2" t="s">
        <v>11483</v>
      </c>
      <c r="C2931" s="2" t="s">
        <v>11484</v>
      </c>
      <c r="D2931" s="2" t="s">
        <v>11485</v>
      </c>
      <c r="E2931" s="2" t="s">
        <v>1688</v>
      </c>
      <c r="F2931" s="2" t="s">
        <v>11486</v>
      </c>
      <c r="G2931" s="2" t="s">
        <v>381</v>
      </c>
      <c r="H2931" s="17">
        <v>25</v>
      </c>
      <c r="I2931" s="31">
        <f t="shared" si="282"/>
        <v>25000</v>
      </c>
      <c r="J2931" s="31">
        <f t="shared" si="283"/>
        <v>1750.0000000000002</v>
      </c>
      <c r="K2931" s="44">
        <f t="shared" si="284"/>
        <v>4.794520547945206</v>
      </c>
      <c r="L2931" s="3">
        <f t="shared" si="285"/>
        <v>354.79452054794524</v>
      </c>
      <c r="M2931" s="3">
        <f t="shared" si="286"/>
        <v>21.287671232876715</v>
      </c>
      <c r="N2931" s="67">
        <f t="shared" si="287"/>
        <v>333.50684931506851</v>
      </c>
      <c r="O2931" s="3"/>
      <c r="P2931" s="70" t="s">
        <v>18614</v>
      </c>
      <c r="Q2931" s="2" t="s">
        <v>137</v>
      </c>
      <c r="R2931" s="2" t="s">
        <v>11487</v>
      </c>
      <c r="T2931" t="s">
        <v>18666</v>
      </c>
      <c r="U2931" t="s">
        <v>18652</v>
      </c>
      <c r="V2931" s="104">
        <v>45857</v>
      </c>
      <c r="X2931" s="97"/>
      <c r="Y2931" s="75">
        <v>333.51</v>
      </c>
    </row>
    <row r="2932" spans="1:25" x14ac:dyDescent="0.25">
      <c r="A2932" s="76">
        <v>2964</v>
      </c>
      <c r="B2932" s="2" t="s">
        <v>2682</v>
      </c>
      <c r="C2932" s="2" t="s">
        <v>2683</v>
      </c>
      <c r="D2932" s="2" t="s">
        <v>2684</v>
      </c>
      <c r="E2932" s="2" t="s">
        <v>2685</v>
      </c>
      <c r="F2932" s="2" t="s">
        <v>2686</v>
      </c>
      <c r="G2932" s="2" t="s">
        <v>218</v>
      </c>
      <c r="H2932" s="17">
        <v>25</v>
      </c>
      <c r="I2932" s="31">
        <f t="shared" si="282"/>
        <v>25000</v>
      </c>
      <c r="J2932" s="31">
        <f t="shared" si="283"/>
        <v>1750.0000000000002</v>
      </c>
      <c r="K2932" s="44">
        <f t="shared" si="284"/>
        <v>4.794520547945206</v>
      </c>
      <c r="L2932" s="3">
        <f t="shared" si="285"/>
        <v>354.79452054794524</v>
      </c>
      <c r="M2932" s="3">
        <f t="shared" si="286"/>
        <v>21.287671232876715</v>
      </c>
      <c r="N2932" s="67">
        <f t="shared" si="287"/>
        <v>333.50684931506851</v>
      </c>
      <c r="O2932" s="3"/>
      <c r="P2932" s="70" t="s">
        <v>18614</v>
      </c>
      <c r="Q2932" s="2" t="s">
        <v>137</v>
      </c>
      <c r="R2932" s="2" t="s">
        <v>2687</v>
      </c>
      <c r="T2932" t="s">
        <v>18666</v>
      </c>
      <c r="U2932" t="s">
        <v>18652</v>
      </c>
      <c r="V2932" s="104">
        <v>45857</v>
      </c>
      <c r="X2932" s="97"/>
      <c r="Y2932" s="75">
        <v>333.51</v>
      </c>
    </row>
    <row r="2933" spans="1:25" x14ac:dyDescent="0.25">
      <c r="A2933" s="76">
        <v>2965</v>
      </c>
      <c r="B2933" s="2" t="s">
        <v>6835</v>
      </c>
      <c r="C2933" s="2" t="s">
        <v>6836</v>
      </c>
      <c r="D2933" s="2" t="s">
        <v>6837</v>
      </c>
      <c r="E2933" s="2" t="s">
        <v>6838</v>
      </c>
      <c r="F2933" s="2" t="s">
        <v>6839</v>
      </c>
      <c r="G2933" s="2" t="s">
        <v>31</v>
      </c>
      <c r="H2933" s="17">
        <v>25</v>
      </c>
      <c r="I2933" s="31">
        <f t="shared" si="282"/>
        <v>25000</v>
      </c>
      <c r="J2933" s="31">
        <f t="shared" si="283"/>
        <v>1750.0000000000002</v>
      </c>
      <c r="K2933" s="44">
        <f t="shared" si="284"/>
        <v>4.794520547945206</v>
      </c>
      <c r="L2933" s="3">
        <f t="shared" si="285"/>
        <v>354.79452054794524</v>
      </c>
      <c r="M2933" s="3">
        <f t="shared" si="286"/>
        <v>21.287671232876715</v>
      </c>
      <c r="N2933" s="67">
        <f t="shared" si="287"/>
        <v>333.50684931506851</v>
      </c>
      <c r="O2933" s="3"/>
      <c r="P2933" s="70" t="s">
        <v>18614</v>
      </c>
      <c r="Q2933" s="2" t="s">
        <v>137</v>
      </c>
      <c r="R2933" s="2" t="s">
        <v>6840</v>
      </c>
      <c r="T2933" t="s">
        <v>18666</v>
      </c>
      <c r="U2933" t="s">
        <v>18652</v>
      </c>
      <c r="V2933" s="104">
        <v>45857</v>
      </c>
      <c r="X2933" s="97"/>
      <c r="Y2933" s="75">
        <v>333.51</v>
      </c>
    </row>
    <row r="2934" spans="1:25" x14ac:dyDescent="0.25">
      <c r="A2934" s="76">
        <v>2966</v>
      </c>
      <c r="B2934" s="2" t="s">
        <v>9977</v>
      </c>
      <c r="C2934" s="2" t="s">
        <v>9978</v>
      </c>
      <c r="D2934" s="2" t="s">
        <v>9979</v>
      </c>
      <c r="E2934" s="2" t="s">
        <v>9980</v>
      </c>
      <c r="F2934" s="2" t="s">
        <v>9981</v>
      </c>
      <c r="G2934" s="2" t="s">
        <v>517</v>
      </c>
      <c r="H2934" s="17">
        <v>25</v>
      </c>
      <c r="I2934" s="31">
        <f t="shared" si="282"/>
        <v>25000</v>
      </c>
      <c r="J2934" s="31">
        <f t="shared" si="283"/>
        <v>1750.0000000000002</v>
      </c>
      <c r="K2934" s="44">
        <f t="shared" si="284"/>
        <v>4.794520547945206</v>
      </c>
      <c r="L2934" s="3">
        <f t="shared" si="285"/>
        <v>354.79452054794524</v>
      </c>
      <c r="M2934" s="3">
        <f t="shared" si="286"/>
        <v>21.287671232876715</v>
      </c>
      <c r="N2934" s="67">
        <f t="shared" si="287"/>
        <v>333.50684931506851</v>
      </c>
      <c r="O2934" s="3"/>
      <c r="P2934" s="70" t="s">
        <v>18614</v>
      </c>
      <c r="Q2934" s="2" t="s">
        <v>137</v>
      </c>
      <c r="R2934" s="2" t="s">
        <v>9982</v>
      </c>
      <c r="T2934" t="s">
        <v>18666</v>
      </c>
      <c r="U2934" t="s">
        <v>18652</v>
      </c>
      <c r="V2934" s="104">
        <v>45857</v>
      </c>
      <c r="X2934" s="97"/>
      <c r="Y2934" s="75">
        <v>333.51</v>
      </c>
    </row>
    <row r="2935" spans="1:25" x14ac:dyDescent="0.25">
      <c r="A2935" s="76">
        <v>2967</v>
      </c>
      <c r="B2935" s="2" t="s">
        <v>2752</v>
      </c>
      <c r="C2935" s="2" t="s">
        <v>2753</v>
      </c>
      <c r="D2935" s="2" t="s">
        <v>2754</v>
      </c>
      <c r="E2935" s="2" t="s">
        <v>2755</v>
      </c>
      <c r="F2935" s="2" t="s">
        <v>2756</v>
      </c>
      <c r="G2935" s="2" t="s">
        <v>750</v>
      </c>
      <c r="H2935" s="17">
        <v>25</v>
      </c>
      <c r="I2935" s="31">
        <f t="shared" si="282"/>
        <v>25000</v>
      </c>
      <c r="J2935" s="31">
        <f t="shared" si="283"/>
        <v>1750.0000000000002</v>
      </c>
      <c r="K2935" s="44">
        <f t="shared" si="284"/>
        <v>4.794520547945206</v>
      </c>
      <c r="L2935" s="3">
        <f t="shared" si="285"/>
        <v>354.79452054794524</v>
      </c>
      <c r="M2935" s="3">
        <f t="shared" si="286"/>
        <v>21.287671232876715</v>
      </c>
      <c r="N2935" s="67">
        <f t="shared" si="287"/>
        <v>333.50684931506851</v>
      </c>
      <c r="O2935" s="3"/>
      <c r="P2935" s="70" t="s">
        <v>18614</v>
      </c>
      <c r="Q2935" s="2" t="s">
        <v>137</v>
      </c>
      <c r="R2935" s="2" t="s">
        <v>2757</v>
      </c>
      <c r="T2935" t="s">
        <v>18666</v>
      </c>
      <c r="U2935" t="s">
        <v>18652</v>
      </c>
      <c r="V2935" s="104">
        <v>45857</v>
      </c>
      <c r="X2935" s="97"/>
      <c r="Y2935" s="75">
        <v>333.51</v>
      </c>
    </row>
    <row r="2936" spans="1:25" x14ac:dyDescent="0.25">
      <c r="A2936" s="76">
        <v>2968</v>
      </c>
      <c r="B2936" s="2" t="s">
        <v>11418</v>
      </c>
      <c r="C2936" s="2" t="s">
        <v>11419</v>
      </c>
      <c r="D2936" s="2" t="s">
        <v>11420</v>
      </c>
      <c r="E2936" s="2" t="s">
        <v>11421</v>
      </c>
      <c r="F2936" s="2" t="s">
        <v>11422</v>
      </c>
      <c r="G2936" s="2" t="s">
        <v>750</v>
      </c>
      <c r="H2936" s="17">
        <v>25</v>
      </c>
      <c r="I2936" s="31">
        <f t="shared" si="282"/>
        <v>25000</v>
      </c>
      <c r="J2936" s="31">
        <f t="shared" si="283"/>
        <v>1750.0000000000002</v>
      </c>
      <c r="K2936" s="44">
        <f t="shared" si="284"/>
        <v>4.794520547945206</v>
      </c>
      <c r="L2936" s="3">
        <f t="shared" si="285"/>
        <v>354.79452054794524</v>
      </c>
      <c r="M2936" s="3">
        <f t="shared" si="286"/>
        <v>21.287671232876715</v>
      </c>
      <c r="N2936" s="67">
        <f t="shared" si="287"/>
        <v>333.50684931506851</v>
      </c>
      <c r="O2936" s="3"/>
      <c r="P2936" s="70" t="s">
        <v>18614</v>
      </c>
      <c r="Q2936" s="2" t="s">
        <v>137</v>
      </c>
      <c r="R2936" s="2" t="s">
        <v>11423</v>
      </c>
      <c r="T2936" t="s">
        <v>18666</v>
      </c>
      <c r="U2936" t="s">
        <v>18652</v>
      </c>
      <c r="V2936" s="104">
        <v>45857</v>
      </c>
      <c r="X2936" s="97"/>
      <c r="Y2936" s="75">
        <v>333.51</v>
      </c>
    </row>
    <row r="2937" spans="1:25" x14ac:dyDescent="0.25">
      <c r="A2937" s="76">
        <v>2969</v>
      </c>
      <c r="B2937" s="2" t="s">
        <v>1528</v>
      </c>
      <c r="C2937" s="2" t="s">
        <v>1529</v>
      </c>
      <c r="D2937" s="2" t="s">
        <v>1530</v>
      </c>
      <c r="E2937" s="2" t="s">
        <v>1531</v>
      </c>
      <c r="F2937" s="2" t="s">
        <v>1532</v>
      </c>
      <c r="G2937" s="2" t="s">
        <v>247</v>
      </c>
      <c r="H2937" s="17">
        <v>25</v>
      </c>
      <c r="I2937" s="31">
        <f t="shared" si="282"/>
        <v>25000</v>
      </c>
      <c r="J2937" s="31">
        <f t="shared" si="283"/>
        <v>1750.0000000000002</v>
      </c>
      <c r="K2937" s="44">
        <f t="shared" si="284"/>
        <v>4.794520547945206</v>
      </c>
      <c r="L2937" s="3">
        <f t="shared" si="285"/>
        <v>354.79452054794524</v>
      </c>
      <c r="M2937" s="3">
        <f t="shared" si="286"/>
        <v>21.287671232876715</v>
      </c>
      <c r="N2937" s="67">
        <f t="shared" si="287"/>
        <v>333.50684931506851</v>
      </c>
      <c r="O2937" s="3"/>
      <c r="P2937" s="70" t="s">
        <v>18614</v>
      </c>
      <c r="Q2937" s="2" t="s">
        <v>137</v>
      </c>
      <c r="R2937" s="2" t="s">
        <v>1533</v>
      </c>
      <c r="T2937" t="s">
        <v>18666</v>
      </c>
      <c r="U2937" t="s">
        <v>18652</v>
      </c>
      <c r="V2937" s="104">
        <v>45857</v>
      </c>
      <c r="X2937" s="97"/>
      <c r="Y2937" s="75">
        <v>333.51</v>
      </c>
    </row>
    <row r="2938" spans="1:25" x14ac:dyDescent="0.25">
      <c r="A2938" s="76">
        <v>2970</v>
      </c>
      <c r="B2938" s="2" t="s">
        <v>17878</v>
      </c>
      <c r="C2938" s="2" t="s">
        <v>17879</v>
      </c>
      <c r="D2938" s="2" t="s">
        <v>17880</v>
      </c>
      <c r="E2938" s="2" t="s">
        <v>17881</v>
      </c>
      <c r="F2938" s="2" t="s">
        <v>17882</v>
      </c>
      <c r="G2938" s="2" t="s">
        <v>876</v>
      </c>
      <c r="H2938" s="17">
        <v>25</v>
      </c>
      <c r="I2938" s="31">
        <f t="shared" si="282"/>
        <v>25000</v>
      </c>
      <c r="J2938" s="31">
        <f t="shared" si="283"/>
        <v>1750.0000000000002</v>
      </c>
      <c r="K2938" s="44">
        <f t="shared" si="284"/>
        <v>4.794520547945206</v>
      </c>
      <c r="L2938" s="3">
        <f t="shared" si="285"/>
        <v>354.79452054794524</v>
      </c>
      <c r="M2938" s="3">
        <f t="shared" si="286"/>
        <v>21.287671232876715</v>
      </c>
      <c r="N2938" s="67">
        <f t="shared" si="287"/>
        <v>333.50684931506851</v>
      </c>
      <c r="O2938" s="3"/>
      <c r="P2938" s="70" t="s">
        <v>18614</v>
      </c>
      <c r="Q2938" s="2" t="s">
        <v>137</v>
      </c>
      <c r="R2938" s="2" t="s">
        <v>17883</v>
      </c>
      <c r="T2938" t="s">
        <v>18666</v>
      </c>
      <c r="U2938" t="s">
        <v>18652</v>
      </c>
      <c r="V2938" s="104">
        <v>45857</v>
      </c>
      <c r="X2938" s="97"/>
      <c r="Y2938" s="75">
        <v>333.51</v>
      </c>
    </row>
    <row r="2939" spans="1:25" x14ac:dyDescent="0.25">
      <c r="A2939" s="76">
        <v>2971</v>
      </c>
      <c r="B2939" s="2" t="s">
        <v>14256</v>
      </c>
      <c r="C2939" s="2" t="s">
        <v>14257</v>
      </c>
      <c r="D2939" s="2" t="s">
        <v>14258</v>
      </c>
      <c r="E2939" s="2" t="s">
        <v>14259</v>
      </c>
      <c r="F2939" s="2" t="s">
        <v>14260</v>
      </c>
      <c r="G2939" s="2" t="s">
        <v>510</v>
      </c>
      <c r="H2939" s="17">
        <v>25</v>
      </c>
      <c r="I2939" s="31">
        <f t="shared" si="282"/>
        <v>25000</v>
      </c>
      <c r="J2939" s="31">
        <f t="shared" si="283"/>
        <v>1750.0000000000002</v>
      </c>
      <c r="K2939" s="44">
        <f t="shared" si="284"/>
        <v>4.794520547945206</v>
      </c>
      <c r="L2939" s="3">
        <f t="shared" si="285"/>
        <v>354.79452054794524</v>
      </c>
      <c r="M2939" s="3">
        <f t="shared" si="286"/>
        <v>21.287671232876715</v>
      </c>
      <c r="N2939" s="67">
        <f t="shared" si="287"/>
        <v>333.50684931506851</v>
      </c>
      <c r="O2939" s="3"/>
      <c r="P2939" s="70" t="s">
        <v>18614</v>
      </c>
      <c r="Q2939" s="2" t="s">
        <v>137</v>
      </c>
      <c r="R2939" s="2" t="s">
        <v>14261</v>
      </c>
      <c r="T2939" t="s">
        <v>18666</v>
      </c>
      <c r="U2939" t="s">
        <v>18652</v>
      </c>
      <c r="V2939" s="104">
        <v>45857</v>
      </c>
      <c r="X2939" s="97"/>
      <c r="Y2939" s="75">
        <v>333.51</v>
      </c>
    </row>
    <row r="2940" spans="1:25" x14ac:dyDescent="0.25">
      <c r="A2940" s="76">
        <v>2972</v>
      </c>
      <c r="B2940" s="2" t="s">
        <v>8095</v>
      </c>
      <c r="C2940" s="2" t="s">
        <v>8096</v>
      </c>
      <c r="D2940" s="2" t="s">
        <v>8097</v>
      </c>
      <c r="E2940" s="2" t="s">
        <v>8098</v>
      </c>
      <c r="F2940" s="2" t="s">
        <v>8099</v>
      </c>
      <c r="G2940" s="2" t="s">
        <v>247</v>
      </c>
      <c r="H2940" s="17">
        <v>50</v>
      </c>
      <c r="I2940" s="31">
        <f t="shared" si="282"/>
        <v>50000</v>
      </c>
      <c r="J2940" s="31">
        <f t="shared" si="283"/>
        <v>3500.0000000000005</v>
      </c>
      <c r="K2940" s="44">
        <f t="shared" si="284"/>
        <v>9.589041095890412</v>
      </c>
      <c r="L2940" s="3">
        <f t="shared" si="285"/>
        <v>709.58904109589048</v>
      </c>
      <c r="M2940" s="3">
        <f t="shared" si="286"/>
        <v>42.57534246575343</v>
      </c>
      <c r="N2940" s="67">
        <f t="shared" si="287"/>
        <v>667.01369863013701</v>
      </c>
      <c r="O2940" s="3"/>
      <c r="P2940" s="70" t="s">
        <v>18614</v>
      </c>
      <c r="Q2940" s="2" t="s">
        <v>137</v>
      </c>
      <c r="R2940" s="2" t="s">
        <v>8100</v>
      </c>
      <c r="T2940" t="s">
        <v>18666</v>
      </c>
      <c r="U2940" t="s">
        <v>18652</v>
      </c>
      <c r="V2940" s="104">
        <v>45857</v>
      </c>
      <c r="X2940" s="97"/>
      <c r="Y2940" s="75">
        <v>667.02</v>
      </c>
    </row>
    <row r="2941" spans="1:25" x14ac:dyDescent="0.25">
      <c r="A2941" s="76">
        <v>2973</v>
      </c>
      <c r="B2941" s="2" t="s">
        <v>12705</v>
      </c>
      <c r="C2941" s="2" t="s">
        <v>12706</v>
      </c>
      <c r="D2941" s="2" t="s">
        <v>12707</v>
      </c>
      <c r="E2941" s="2" t="s">
        <v>12708</v>
      </c>
      <c r="F2941" s="2" t="s">
        <v>12709</v>
      </c>
      <c r="G2941" s="2" t="s">
        <v>101</v>
      </c>
      <c r="H2941" s="17">
        <v>50</v>
      </c>
      <c r="I2941" s="31">
        <f t="shared" si="282"/>
        <v>50000</v>
      </c>
      <c r="J2941" s="31">
        <f t="shared" si="283"/>
        <v>3500.0000000000005</v>
      </c>
      <c r="K2941" s="44">
        <f t="shared" si="284"/>
        <v>9.589041095890412</v>
      </c>
      <c r="L2941" s="3">
        <f t="shared" si="285"/>
        <v>709.58904109589048</v>
      </c>
      <c r="M2941" s="3">
        <f t="shared" si="286"/>
        <v>42.57534246575343</v>
      </c>
      <c r="N2941" s="67">
        <f t="shared" si="287"/>
        <v>667.01369863013701</v>
      </c>
      <c r="O2941" s="3"/>
      <c r="P2941" s="70" t="s">
        <v>18614</v>
      </c>
      <c r="Q2941" s="2" t="s">
        <v>137</v>
      </c>
      <c r="R2941" s="2" t="s">
        <v>12710</v>
      </c>
      <c r="T2941" t="s">
        <v>18666</v>
      </c>
      <c r="U2941" t="s">
        <v>18652</v>
      </c>
      <c r="V2941" s="104">
        <v>45857</v>
      </c>
      <c r="X2941" s="97"/>
      <c r="Y2941" s="75">
        <v>667.02</v>
      </c>
    </row>
    <row r="2942" spans="1:25" x14ac:dyDescent="0.25">
      <c r="A2942" s="76">
        <v>2974</v>
      </c>
      <c r="B2942" s="2" t="s">
        <v>15285</v>
      </c>
      <c r="C2942" s="2" t="s">
        <v>15286</v>
      </c>
      <c r="D2942" s="2" t="s">
        <v>15287</v>
      </c>
      <c r="E2942" s="2" t="s">
        <v>15288</v>
      </c>
      <c r="F2942" s="2" t="s">
        <v>15289</v>
      </c>
      <c r="G2942" s="2" t="s">
        <v>1315</v>
      </c>
      <c r="H2942" s="17">
        <v>25</v>
      </c>
      <c r="I2942" s="31">
        <f t="shared" si="282"/>
        <v>25000</v>
      </c>
      <c r="J2942" s="31">
        <f t="shared" si="283"/>
        <v>1750.0000000000002</v>
      </c>
      <c r="K2942" s="44">
        <f t="shared" si="284"/>
        <v>4.794520547945206</v>
      </c>
      <c r="L2942" s="3">
        <f t="shared" si="285"/>
        <v>354.79452054794524</v>
      </c>
      <c r="M2942" s="3">
        <f t="shared" si="286"/>
        <v>21.287671232876715</v>
      </c>
      <c r="N2942" s="67">
        <f t="shared" si="287"/>
        <v>333.50684931506851</v>
      </c>
      <c r="O2942" s="3"/>
      <c r="P2942" s="70" t="s">
        <v>18614</v>
      </c>
      <c r="Q2942" s="2" t="s">
        <v>137</v>
      </c>
      <c r="R2942" s="2" t="s">
        <v>15290</v>
      </c>
      <c r="T2942" t="s">
        <v>18666</v>
      </c>
      <c r="U2942" t="s">
        <v>18652</v>
      </c>
      <c r="V2942" s="104">
        <v>45857</v>
      </c>
      <c r="X2942" s="97"/>
      <c r="Y2942" s="75">
        <v>333.51</v>
      </c>
    </row>
    <row r="2943" spans="1:25" x14ac:dyDescent="0.25">
      <c r="A2943" s="76">
        <v>2975</v>
      </c>
      <c r="B2943" s="2" t="s">
        <v>15186</v>
      </c>
      <c r="C2943" s="2" t="s">
        <v>15187</v>
      </c>
      <c r="D2943" s="2" t="s">
        <v>15188</v>
      </c>
      <c r="E2943" s="2" t="s">
        <v>15189</v>
      </c>
      <c r="F2943" s="2" t="s">
        <v>15190</v>
      </c>
      <c r="G2943" s="2" t="s">
        <v>381</v>
      </c>
      <c r="H2943" s="17">
        <v>25</v>
      </c>
      <c r="I2943" s="31">
        <f t="shared" si="282"/>
        <v>25000</v>
      </c>
      <c r="J2943" s="31">
        <f t="shared" si="283"/>
        <v>1750.0000000000002</v>
      </c>
      <c r="K2943" s="44">
        <f t="shared" si="284"/>
        <v>4.794520547945206</v>
      </c>
      <c r="L2943" s="3">
        <f t="shared" si="285"/>
        <v>354.79452054794524</v>
      </c>
      <c r="M2943" s="3">
        <f t="shared" si="286"/>
        <v>21.287671232876715</v>
      </c>
      <c r="N2943" s="67">
        <f t="shared" si="287"/>
        <v>333.50684931506851</v>
      </c>
      <c r="O2943" s="3"/>
      <c r="P2943" s="70" t="s">
        <v>18614</v>
      </c>
      <c r="Q2943" s="2" t="s">
        <v>137</v>
      </c>
      <c r="R2943" s="2" t="s">
        <v>15191</v>
      </c>
      <c r="T2943" t="s">
        <v>18666</v>
      </c>
      <c r="U2943" t="s">
        <v>18652</v>
      </c>
      <c r="V2943" s="104">
        <v>45857</v>
      </c>
      <c r="X2943" s="97"/>
      <c r="Y2943" s="75">
        <v>333.51</v>
      </c>
    </row>
    <row r="2944" spans="1:25" x14ac:dyDescent="0.25">
      <c r="A2944" s="76">
        <v>2976</v>
      </c>
      <c r="B2944" s="2" t="s">
        <v>17393</v>
      </c>
      <c r="C2944" s="2" t="s">
        <v>17394</v>
      </c>
      <c r="D2944" s="2" t="s">
        <v>17395</v>
      </c>
      <c r="E2944" s="2" t="s">
        <v>17396</v>
      </c>
      <c r="F2944" s="2" t="s">
        <v>17397</v>
      </c>
      <c r="G2944" s="2" t="s">
        <v>1315</v>
      </c>
      <c r="H2944" s="17">
        <v>25</v>
      </c>
      <c r="I2944" s="31">
        <f t="shared" si="282"/>
        <v>25000</v>
      </c>
      <c r="J2944" s="31">
        <f t="shared" si="283"/>
        <v>1750.0000000000002</v>
      </c>
      <c r="K2944" s="44">
        <f t="shared" si="284"/>
        <v>4.794520547945206</v>
      </c>
      <c r="L2944" s="3">
        <f t="shared" si="285"/>
        <v>354.79452054794524</v>
      </c>
      <c r="M2944" s="3">
        <f t="shared" si="286"/>
        <v>21.287671232876715</v>
      </c>
      <c r="N2944" s="67">
        <f t="shared" si="287"/>
        <v>333.50684931506851</v>
      </c>
      <c r="O2944" s="3"/>
      <c r="P2944" s="70" t="s">
        <v>18614</v>
      </c>
      <c r="Q2944" s="2" t="s">
        <v>137</v>
      </c>
      <c r="R2944" s="2" t="s">
        <v>17398</v>
      </c>
      <c r="T2944" t="s">
        <v>18666</v>
      </c>
      <c r="U2944" t="s">
        <v>18652</v>
      </c>
      <c r="V2944" s="104">
        <v>45857</v>
      </c>
      <c r="X2944" s="97"/>
      <c r="Y2944" s="75">
        <v>333.51</v>
      </c>
    </row>
    <row r="2945" spans="1:25" x14ac:dyDescent="0.25">
      <c r="A2945" s="76">
        <v>2977</v>
      </c>
      <c r="B2945" s="2" t="s">
        <v>18266</v>
      </c>
      <c r="C2945" s="2" t="s">
        <v>18267</v>
      </c>
      <c r="D2945" s="2" t="s">
        <v>18268</v>
      </c>
      <c r="E2945" s="2" t="s">
        <v>18269</v>
      </c>
      <c r="F2945" s="2" t="s">
        <v>18270</v>
      </c>
      <c r="G2945" s="2" t="s">
        <v>166</v>
      </c>
      <c r="H2945" s="17">
        <v>900</v>
      </c>
      <c r="I2945" s="31">
        <f t="shared" si="282"/>
        <v>900000</v>
      </c>
      <c r="J2945" s="31">
        <f t="shared" si="283"/>
        <v>63000.000000000007</v>
      </c>
      <c r="K2945" s="44">
        <f t="shared" si="284"/>
        <v>172.60273972602741</v>
      </c>
      <c r="L2945" s="3">
        <f t="shared" si="285"/>
        <v>12772.602739726028</v>
      </c>
      <c r="M2945" s="3">
        <f t="shared" si="286"/>
        <v>766.35616438356169</v>
      </c>
      <c r="N2945" s="67">
        <f t="shared" si="287"/>
        <v>12006.246575342466</v>
      </c>
      <c r="O2945" s="3"/>
      <c r="P2945" s="70" t="s">
        <v>18614</v>
      </c>
      <c r="Q2945" s="2" t="s">
        <v>137</v>
      </c>
      <c r="R2945" s="2" t="s">
        <v>18271</v>
      </c>
      <c r="T2945" t="s">
        <v>18666</v>
      </c>
      <c r="U2945" t="s">
        <v>18652</v>
      </c>
      <c r="V2945" s="104">
        <v>45857</v>
      </c>
      <c r="X2945" s="97"/>
      <c r="Y2945" s="75">
        <v>12006.25</v>
      </c>
    </row>
    <row r="2946" spans="1:25" x14ac:dyDescent="0.25">
      <c r="A2946" s="76">
        <v>2978</v>
      </c>
      <c r="B2946" s="2" t="s">
        <v>8130</v>
      </c>
      <c r="C2946" s="2" t="s">
        <v>8131</v>
      </c>
      <c r="D2946" s="2" t="s">
        <v>8132</v>
      </c>
      <c r="E2946" s="2" t="s">
        <v>8133</v>
      </c>
      <c r="F2946" s="2" t="s">
        <v>8134</v>
      </c>
      <c r="G2946" s="2" t="s">
        <v>517</v>
      </c>
      <c r="H2946" s="17">
        <v>25</v>
      </c>
      <c r="I2946" s="31">
        <f t="shared" si="282"/>
        <v>25000</v>
      </c>
      <c r="J2946" s="31">
        <f t="shared" si="283"/>
        <v>1750.0000000000002</v>
      </c>
      <c r="K2946" s="44">
        <f t="shared" si="284"/>
        <v>4.794520547945206</v>
      </c>
      <c r="L2946" s="3">
        <f t="shared" si="285"/>
        <v>354.79452054794524</v>
      </c>
      <c r="M2946" s="3">
        <f t="shared" si="286"/>
        <v>21.287671232876715</v>
      </c>
      <c r="N2946" s="67">
        <f t="shared" si="287"/>
        <v>333.50684931506851</v>
      </c>
      <c r="O2946" s="3"/>
      <c r="P2946" s="70" t="s">
        <v>18614</v>
      </c>
      <c r="Q2946" s="2" t="s">
        <v>137</v>
      </c>
      <c r="R2946" s="2" t="s">
        <v>8135</v>
      </c>
      <c r="T2946" t="s">
        <v>18666</v>
      </c>
      <c r="U2946" t="s">
        <v>18652</v>
      </c>
      <c r="V2946" s="104">
        <v>45857</v>
      </c>
      <c r="X2946" s="97"/>
      <c r="Y2946" s="75">
        <v>333.51</v>
      </c>
    </row>
    <row r="2947" spans="1:25" x14ac:dyDescent="0.25">
      <c r="A2947" s="76">
        <v>2979</v>
      </c>
      <c r="B2947" s="2" t="s">
        <v>376</v>
      </c>
      <c r="C2947" s="2" t="s">
        <v>377</v>
      </c>
      <c r="D2947" s="2" t="s">
        <v>378</v>
      </c>
      <c r="E2947" s="2" t="s">
        <v>379</v>
      </c>
      <c r="F2947" s="2" t="s">
        <v>380</v>
      </c>
      <c r="G2947" s="2" t="s">
        <v>381</v>
      </c>
      <c r="H2947" s="17">
        <v>50</v>
      </c>
      <c r="I2947" s="31">
        <f t="shared" si="282"/>
        <v>50000</v>
      </c>
      <c r="J2947" s="31">
        <f t="shared" si="283"/>
        <v>3500.0000000000005</v>
      </c>
      <c r="K2947" s="44">
        <f t="shared" si="284"/>
        <v>9.589041095890412</v>
      </c>
      <c r="L2947" s="3">
        <f t="shared" si="285"/>
        <v>709.58904109589048</v>
      </c>
      <c r="M2947" s="3">
        <f t="shared" si="286"/>
        <v>42.57534246575343</v>
      </c>
      <c r="N2947" s="67">
        <f t="shared" si="287"/>
        <v>667.01369863013701</v>
      </c>
      <c r="O2947" s="3"/>
      <c r="P2947" s="70" t="s">
        <v>18614</v>
      </c>
      <c r="Q2947" s="2" t="s">
        <v>137</v>
      </c>
      <c r="R2947" s="2" t="s">
        <v>382</v>
      </c>
      <c r="T2947" t="s">
        <v>18666</v>
      </c>
      <c r="U2947" t="s">
        <v>18652</v>
      </c>
      <c r="V2947" s="104">
        <v>45857</v>
      </c>
      <c r="X2947" s="97"/>
      <c r="Y2947" s="75">
        <v>667.02</v>
      </c>
    </row>
    <row r="2948" spans="1:25" x14ac:dyDescent="0.25">
      <c r="A2948" s="76">
        <v>2980</v>
      </c>
      <c r="B2948" s="2" t="s">
        <v>843</v>
      </c>
      <c r="C2948" s="2" t="s">
        <v>844</v>
      </c>
      <c r="D2948" s="2" t="s">
        <v>845</v>
      </c>
      <c r="E2948" s="2" t="s">
        <v>846</v>
      </c>
      <c r="F2948" s="2" t="s">
        <v>847</v>
      </c>
      <c r="G2948" s="2" t="s">
        <v>31</v>
      </c>
      <c r="H2948" s="17">
        <v>100</v>
      </c>
      <c r="I2948" s="31">
        <f t="shared" si="282"/>
        <v>100000</v>
      </c>
      <c r="J2948" s="31">
        <f t="shared" si="283"/>
        <v>7000.0000000000009</v>
      </c>
      <c r="K2948" s="44">
        <f t="shared" si="284"/>
        <v>19.178082191780824</v>
      </c>
      <c r="L2948" s="3">
        <f t="shared" si="285"/>
        <v>1419.178082191781</v>
      </c>
      <c r="M2948" s="3">
        <f t="shared" si="286"/>
        <v>85.150684931506859</v>
      </c>
      <c r="N2948" s="67">
        <f t="shared" si="287"/>
        <v>1334.027397260274</v>
      </c>
      <c r="O2948" s="3"/>
      <c r="P2948" s="70" t="s">
        <v>18614</v>
      </c>
      <c r="Q2948" s="2" t="s">
        <v>137</v>
      </c>
      <c r="R2948" s="2" t="s">
        <v>848</v>
      </c>
      <c r="T2948" t="s">
        <v>18666</v>
      </c>
      <c r="U2948" t="s">
        <v>18652</v>
      </c>
      <c r="V2948" s="104">
        <v>45857</v>
      </c>
      <c r="X2948" s="97"/>
      <c r="Y2948" s="75">
        <v>1334.03</v>
      </c>
    </row>
    <row r="2949" spans="1:25" x14ac:dyDescent="0.25">
      <c r="A2949" s="76">
        <v>2981</v>
      </c>
      <c r="B2949" s="2" t="s">
        <v>9629</v>
      </c>
      <c r="C2949" s="2" t="s">
        <v>9630</v>
      </c>
      <c r="D2949" s="2" t="s">
        <v>9631</v>
      </c>
      <c r="E2949" s="2" t="s">
        <v>9632</v>
      </c>
      <c r="F2949" s="2" t="s">
        <v>9633</v>
      </c>
      <c r="G2949" s="2" t="s">
        <v>282</v>
      </c>
      <c r="H2949" s="17">
        <v>30</v>
      </c>
      <c r="I2949" s="31">
        <f t="shared" si="282"/>
        <v>30000</v>
      </c>
      <c r="J2949" s="31">
        <f t="shared" si="283"/>
        <v>2100</v>
      </c>
      <c r="K2949" s="44">
        <f t="shared" si="284"/>
        <v>5.7534246575342465</v>
      </c>
      <c r="L2949" s="3">
        <f t="shared" si="285"/>
        <v>425.75342465753425</v>
      </c>
      <c r="M2949" s="3">
        <f t="shared" si="286"/>
        <v>25.545205479452054</v>
      </c>
      <c r="N2949" s="67">
        <f t="shared" si="287"/>
        <v>400.20821917808217</v>
      </c>
      <c r="O2949" s="3"/>
      <c r="P2949" s="70" t="s">
        <v>18614</v>
      </c>
      <c r="Q2949" s="2" t="s">
        <v>137</v>
      </c>
      <c r="R2949" s="2" t="s">
        <v>9634</v>
      </c>
      <c r="T2949" t="s">
        <v>18666</v>
      </c>
      <c r="U2949" t="s">
        <v>18652</v>
      </c>
      <c r="V2949" s="104">
        <v>45857</v>
      </c>
      <c r="X2949" s="97"/>
      <c r="Y2949" s="75">
        <v>400.21</v>
      </c>
    </row>
    <row r="2950" spans="1:25" x14ac:dyDescent="0.25">
      <c r="A2950" s="76">
        <v>2982</v>
      </c>
      <c r="B2950" s="2" t="s">
        <v>8771</v>
      </c>
      <c r="C2950" s="2" t="s">
        <v>8772</v>
      </c>
      <c r="D2950" s="2" t="s">
        <v>8773</v>
      </c>
      <c r="E2950" s="2" t="s">
        <v>8774</v>
      </c>
      <c r="F2950" s="2" t="s">
        <v>8775</v>
      </c>
      <c r="G2950" s="2" t="s">
        <v>1048</v>
      </c>
      <c r="H2950" s="17">
        <v>25</v>
      </c>
      <c r="I2950" s="31">
        <f t="shared" si="282"/>
        <v>25000</v>
      </c>
      <c r="J2950" s="31">
        <f t="shared" si="283"/>
        <v>1750.0000000000002</v>
      </c>
      <c r="K2950" s="44">
        <f t="shared" si="284"/>
        <v>4.794520547945206</v>
      </c>
      <c r="L2950" s="3">
        <f t="shared" si="285"/>
        <v>354.79452054794524</v>
      </c>
      <c r="M2950" s="3">
        <f t="shared" si="286"/>
        <v>21.287671232876715</v>
      </c>
      <c r="N2950" s="67">
        <f t="shared" si="287"/>
        <v>333.50684931506851</v>
      </c>
      <c r="O2950" s="3"/>
      <c r="P2950" s="70" t="s">
        <v>18614</v>
      </c>
      <c r="Q2950" s="2" t="s">
        <v>137</v>
      </c>
      <c r="R2950" s="2" t="s">
        <v>8776</v>
      </c>
      <c r="T2950" t="s">
        <v>18666</v>
      </c>
      <c r="U2950" t="s">
        <v>18652</v>
      </c>
      <c r="V2950" s="104">
        <v>45857</v>
      </c>
      <c r="X2950" s="97"/>
      <c r="Y2950" s="75">
        <v>333.51</v>
      </c>
    </row>
    <row r="2951" spans="1:25" x14ac:dyDescent="0.25">
      <c r="A2951" s="76">
        <v>2983</v>
      </c>
      <c r="B2951" s="2" t="s">
        <v>11613</v>
      </c>
      <c r="C2951" s="2" t="s">
        <v>11614</v>
      </c>
      <c r="D2951" s="2" t="s">
        <v>11615</v>
      </c>
      <c r="E2951" s="2" t="s">
        <v>11616</v>
      </c>
      <c r="F2951" s="2" t="s">
        <v>11617</v>
      </c>
      <c r="G2951" s="2" t="s">
        <v>101</v>
      </c>
      <c r="H2951" s="17">
        <v>25</v>
      </c>
      <c r="I2951" s="31">
        <f t="shared" si="282"/>
        <v>25000</v>
      </c>
      <c r="J2951" s="31">
        <f t="shared" si="283"/>
        <v>1750.0000000000002</v>
      </c>
      <c r="K2951" s="44">
        <f t="shared" si="284"/>
        <v>4.794520547945206</v>
      </c>
      <c r="L2951" s="3">
        <f t="shared" si="285"/>
        <v>354.79452054794524</v>
      </c>
      <c r="M2951" s="3">
        <f t="shared" si="286"/>
        <v>21.287671232876715</v>
      </c>
      <c r="N2951" s="67">
        <f t="shared" si="287"/>
        <v>333.50684931506851</v>
      </c>
      <c r="O2951" s="3"/>
      <c r="P2951" s="70" t="s">
        <v>18614</v>
      </c>
      <c r="Q2951" s="2" t="s">
        <v>137</v>
      </c>
      <c r="R2951" s="2" t="s">
        <v>11618</v>
      </c>
      <c r="T2951" t="s">
        <v>18666</v>
      </c>
      <c r="U2951" t="s">
        <v>18652</v>
      </c>
      <c r="V2951" s="104">
        <v>45857</v>
      </c>
      <c r="X2951" s="97"/>
      <c r="Y2951" s="75">
        <v>333.51</v>
      </c>
    </row>
    <row r="2952" spans="1:25" x14ac:dyDescent="0.25">
      <c r="A2952" s="76">
        <v>2984</v>
      </c>
      <c r="B2952" s="2" t="s">
        <v>407</v>
      </c>
      <c r="C2952" s="2" t="s">
        <v>408</v>
      </c>
      <c r="D2952" s="2" t="s">
        <v>409</v>
      </c>
      <c r="E2952" s="2" t="s">
        <v>410</v>
      </c>
      <c r="F2952" s="2" t="s">
        <v>411</v>
      </c>
      <c r="G2952" s="2" t="s">
        <v>412</v>
      </c>
      <c r="H2952" s="17">
        <v>25</v>
      </c>
      <c r="I2952" s="31">
        <f t="shared" si="282"/>
        <v>25000</v>
      </c>
      <c r="J2952" s="31">
        <f t="shared" si="283"/>
        <v>1750.0000000000002</v>
      </c>
      <c r="K2952" s="44">
        <f t="shared" si="284"/>
        <v>4.794520547945206</v>
      </c>
      <c r="L2952" s="3">
        <f t="shared" si="285"/>
        <v>354.79452054794524</v>
      </c>
      <c r="M2952" s="3">
        <f t="shared" si="286"/>
        <v>21.287671232876715</v>
      </c>
      <c r="N2952" s="67">
        <f t="shared" si="287"/>
        <v>333.50684931506851</v>
      </c>
      <c r="O2952" s="3"/>
      <c r="P2952" s="70" t="s">
        <v>18614</v>
      </c>
      <c r="Q2952" s="2" t="s">
        <v>137</v>
      </c>
      <c r="R2952" s="2" t="s">
        <v>413</v>
      </c>
      <c r="T2952" t="s">
        <v>18666</v>
      </c>
      <c r="U2952" t="s">
        <v>18652</v>
      </c>
      <c r="V2952" s="104">
        <v>45857</v>
      </c>
      <c r="X2952" s="97"/>
      <c r="Y2952" s="75">
        <v>333.51</v>
      </c>
    </row>
    <row r="2953" spans="1:25" x14ac:dyDescent="0.25">
      <c r="A2953" s="76">
        <v>2985</v>
      </c>
      <c r="B2953" s="2" t="s">
        <v>1468</v>
      </c>
      <c r="C2953" s="2" t="s">
        <v>1469</v>
      </c>
      <c r="D2953" s="2" t="s">
        <v>1470</v>
      </c>
      <c r="E2953" s="2" t="s">
        <v>1471</v>
      </c>
      <c r="F2953" s="2" t="s">
        <v>1472</v>
      </c>
      <c r="G2953" s="2" t="s">
        <v>381</v>
      </c>
      <c r="H2953" s="17">
        <v>25</v>
      </c>
      <c r="I2953" s="31">
        <f t="shared" si="282"/>
        <v>25000</v>
      </c>
      <c r="J2953" s="31">
        <f t="shared" si="283"/>
        <v>1750.0000000000002</v>
      </c>
      <c r="K2953" s="44">
        <f t="shared" si="284"/>
        <v>4.794520547945206</v>
      </c>
      <c r="L2953" s="3">
        <f t="shared" si="285"/>
        <v>354.79452054794524</v>
      </c>
      <c r="M2953" s="3">
        <f t="shared" si="286"/>
        <v>21.287671232876715</v>
      </c>
      <c r="N2953" s="67">
        <f t="shared" si="287"/>
        <v>333.50684931506851</v>
      </c>
      <c r="O2953" s="3"/>
      <c r="P2953" s="70" t="s">
        <v>18614</v>
      </c>
      <c r="Q2953" s="2" t="s">
        <v>137</v>
      </c>
      <c r="R2953" s="2" t="s">
        <v>1473</v>
      </c>
      <c r="T2953" t="s">
        <v>18666</v>
      </c>
      <c r="U2953" t="s">
        <v>18652</v>
      </c>
      <c r="V2953" s="104">
        <v>45857</v>
      </c>
      <c r="X2953" s="97"/>
      <c r="Y2953" s="75">
        <v>333.51</v>
      </c>
    </row>
    <row r="2954" spans="1:25" x14ac:dyDescent="0.25">
      <c r="A2954" s="76">
        <v>2986</v>
      </c>
      <c r="B2954" s="2" t="s">
        <v>7393</v>
      </c>
      <c r="C2954" s="2" t="s">
        <v>7394</v>
      </c>
      <c r="D2954" s="2" t="s">
        <v>7395</v>
      </c>
      <c r="E2954" s="2" t="s">
        <v>7396</v>
      </c>
      <c r="F2954" s="2" t="s">
        <v>7397</v>
      </c>
      <c r="G2954" s="2" t="s">
        <v>362</v>
      </c>
      <c r="H2954" s="17">
        <v>25</v>
      </c>
      <c r="I2954" s="31">
        <f t="shared" si="282"/>
        <v>25000</v>
      </c>
      <c r="J2954" s="31">
        <f t="shared" si="283"/>
        <v>1750.0000000000002</v>
      </c>
      <c r="K2954" s="44">
        <f t="shared" si="284"/>
        <v>4.794520547945206</v>
      </c>
      <c r="L2954" s="3">
        <f t="shared" si="285"/>
        <v>354.79452054794524</v>
      </c>
      <c r="M2954" s="3">
        <f t="shared" si="286"/>
        <v>21.287671232876715</v>
      </c>
      <c r="N2954" s="67">
        <f t="shared" si="287"/>
        <v>333.50684931506851</v>
      </c>
      <c r="O2954" s="3"/>
      <c r="P2954" s="70" t="s">
        <v>18614</v>
      </c>
      <c r="Q2954" s="2" t="s">
        <v>137</v>
      </c>
      <c r="R2954" s="2" t="s">
        <v>7398</v>
      </c>
      <c r="T2954" t="s">
        <v>18666</v>
      </c>
      <c r="U2954" t="s">
        <v>18652</v>
      </c>
      <c r="V2954" s="104">
        <v>45857</v>
      </c>
      <c r="X2954" s="97"/>
      <c r="Y2954" s="75">
        <v>333.51</v>
      </c>
    </row>
    <row r="2955" spans="1:25" x14ac:dyDescent="0.25">
      <c r="A2955" s="76">
        <v>2987</v>
      </c>
      <c r="B2955" s="2" t="s">
        <v>2222</v>
      </c>
      <c r="C2955" s="2" t="s">
        <v>2223</v>
      </c>
      <c r="D2955" s="2" t="s">
        <v>2224</v>
      </c>
      <c r="E2955" s="2" t="s">
        <v>2225</v>
      </c>
      <c r="F2955" s="2" t="s">
        <v>2226</v>
      </c>
      <c r="G2955" s="2" t="s">
        <v>1055</v>
      </c>
      <c r="H2955" s="17">
        <v>25</v>
      </c>
      <c r="I2955" s="31">
        <f t="shared" si="282"/>
        <v>25000</v>
      </c>
      <c r="J2955" s="31">
        <f t="shared" si="283"/>
        <v>1750.0000000000002</v>
      </c>
      <c r="K2955" s="44">
        <f t="shared" si="284"/>
        <v>4.794520547945206</v>
      </c>
      <c r="L2955" s="3">
        <f t="shared" si="285"/>
        <v>354.79452054794524</v>
      </c>
      <c r="M2955" s="3">
        <f t="shared" si="286"/>
        <v>21.287671232876715</v>
      </c>
      <c r="N2955" s="67">
        <f t="shared" si="287"/>
        <v>333.50684931506851</v>
      </c>
      <c r="O2955" s="3"/>
      <c r="P2955" s="70" t="s">
        <v>18614</v>
      </c>
      <c r="Q2955" s="2" t="s">
        <v>137</v>
      </c>
      <c r="R2955" s="2" t="s">
        <v>2227</v>
      </c>
      <c r="T2955" t="s">
        <v>18666</v>
      </c>
      <c r="U2955" t="s">
        <v>18652</v>
      </c>
      <c r="V2955" s="104">
        <v>45857</v>
      </c>
      <c r="X2955" s="97"/>
      <c r="Y2955" s="75">
        <v>333.51</v>
      </c>
    </row>
    <row r="2956" spans="1:25" x14ac:dyDescent="0.25">
      <c r="A2956" s="76">
        <v>2988</v>
      </c>
      <c r="B2956" s="2" t="s">
        <v>11719</v>
      </c>
      <c r="C2956" s="2" t="s">
        <v>11720</v>
      </c>
      <c r="D2956" s="2" t="s">
        <v>11721</v>
      </c>
      <c r="E2956" s="2" t="s">
        <v>11722</v>
      </c>
      <c r="F2956" s="2" t="s">
        <v>11723</v>
      </c>
      <c r="G2956" s="2" t="s">
        <v>268</v>
      </c>
      <c r="H2956" s="17">
        <v>25</v>
      </c>
      <c r="I2956" s="31">
        <f t="shared" si="282"/>
        <v>25000</v>
      </c>
      <c r="J2956" s="31">
        <f t="shared" si="283"/>
        <v>1750.0000000000002</v>
      </c>
      <c r="K2956" s="44">
        <f t="shared" si="284"/>
        <v>4.794520547945206</v>
      </c>
      <c r="L2956" s="3">
        <f t="shared" si="285"/>
        <v>354.79452054794524</v>
      </c>
      <c r="M2956" s="3">
        <f t="shared" si="286"/>
        <v>21.287671232876715</v>
      </c>
      <c r="N2956" s="67">
        <f t="shared" si="287"/>
        <v>333.50684931506851</v>
      </c>
      <c r="O2956" s="3"/>
      <c r="P2956" s="70" t="s">
        <v>18614</v>
      </c>
      <c r="Q2956" s="2" t="s">
        <v>137</v>
      </c>
      <c r="R2956" s="2" t="s">
        <v>11724</v>
      </c>
      <c r="T2956" t="s">
        <v>18666</v>
      </c>
      <c r="U2956" t="s">
        <v>18652</v>
      </c>
      <c r="V2956" s="104">
        <v>45857</v>
      </c>
      <c r="X2956" s="97"/>
      <c r="Y2956" s="75">
        <v>333.51</v>
      </c>
    </row>
    <row r="2957" spans="1:25" x14ac:dyDescent="0.25">
      <c r="A2957" s="76">
        <v>2989</v>
      </c>
      <c r="B2957" s="2" t="s">
        <v>14805</v>
      </c>
      <c r="C2957" s="2" t="s">
        <v>14806</v>
      </c>
      <c r="D2957" s="2" t="s">
        <v>14807</v>
      </c>
      <c r="E2957" s="2" t="s">
        <v>14808</v>
      </c>
      <c r="F2957" s="2" t="s">
        <v>14809</v>
      </c>
      <c r="G2957" s="2" t="s">
        <v>39</v>
      </c>
      <c r="H2957" s="17">
        <v>380</v>
      </c>
      <c r="I2957" s="31">
        <f t="shared" si="282"/>
        <v>380000</v>
      </c>
      <c r="J2957" s="31">
        <f t="shared" si="283"/>
        <v>26600.000000000004</v>
      </c>
      <c r="K2957" s="44">
        <f t="shared" si="284"/>
        <v>72.876712328767127</v>
      </c>
      <c r="L2957" s="3">
        <f t="shared" si="285"/>
        <v>5392.8767123287671</v>
      </c>
      <c r="M2957" s="3">
        <f t="shared" si="286"/>
        <v>323.57260273972599</v>
      </c>
      <c r="N2957" s="67">
        <f t="shared" si="287"/>
        <v>5069.3041095890412</v>
      </c>
      <c r="O2957" s="3"/>
      <c r="P2957" s="70" t="s">
        <v>18614</v>
      </c>
      <c r="Q2957" s="2" t="s">
        <v>137</v>
      </c>
      <c r="R2957" s="2" t="s">
        <v>14810</v>
      </c>
      <c r="T2957" t="s">
        <v>18666</v>
      </c>
      <c r="U2957" t="s">
        <v>18652</v>
      </c>
      <c r="V2957" s="104">
        <v>45857</v>
      </c>
      <c r="X2957" s="97"/>
      <c r="Y2957" s="75">
        <v>5069.3100000000004</v>
      </c>
    </row>
    <row r="2958" spans="1:25" x14ac:dyDescent="0.25">
      <c r="A2958" s="76">
        <v>2990</v>
      </c>
      <c r="B2958" s="2" t="s">
        <v>10389</v>
      </c>
      <c r="C2958" s="2" t="s">
        <v>10390</v>
      </c>
      <c r="D2958" s="2" t="s">
        <v>10391</v>
      </c>
      <c r="E2958" s="2" t="s">
        <v>10392</v>
      </c>
      <c r="F2958" s="2" t="s">
        <v>10393</v>
      </c>
      <c r="G2958" s="2" t="s">
        <v>309</v>
      </c>
      <c r="H2958" s="17">
        <v>25</v>
      </c>
      <c r="I2958" s="31">
        <f t="shared" si="282"/>
        <v>25000</v>
      </c>
      <c r="J2958" s="31">
        <f t="shared" si="283"/>
        <v>1750.0000000000002</v>
      </c>
      <c r="K2958" s="44">
        <f t="shared" si="284"/>
        <v>4.794520547945206</v>
      </c>
      <c r="L2958" s="3">
        <f t="shared" si="285"/>
        <v>354.79452054794524</v>
      </c>
      <c r="M2958" s="3">
        <f t="shared" si="286"/>
        <v>21.287671232876715</v>
      </c>
      <c r="N2958" s="67">
        <f t="shared" si="287"/>
        <v>333.50684931506851</v>
      </c>
      <c r="O2958" s="3"/>
      <c r="P2958" s="70" t="s">
        <v>18614</v>
      </c>
      <c r="Q2958" s="2" t="s">
        <v>137</v>
      </c>
      <c r="R2958" s="2" t="s">
        <v>10394</v>
      </c>
      <c r="T2958" t="s">
        <v>18666</v>
      </c>
      <c r="U2958" t="s">
        <v>18652</v>
      </c>
      <c r="V2958" s="104">
        <v>45857</v>
      </c>
      <c r="X2958" s="97"/>
      <c r="Y2958" s="75">
        <v>333.51</v>
      </c>
    </row>
    <row r="2959" spans="1:25" x14ac:dyDescent="0.25">
      <c r="A2959" s="76">
        <v>2991</v>
      </c>
      <c r="B2959" s="2" t="s">
        <v>6142</v>
      </c>
      <c r="C2959" s="2" t="s">
        <v>6143</v>
      </c>
      <c r="D2959" s="2" t="s">
        <v>6144</v>
      </c>
      <c r="E2959" s="2" t="s">
        <v>6145</v>
      </c>
      <c r="F2959" s="2" t="s">
        <v>6146</v>
      </c>
      <c r="G2959" s="2" t="s">
        <v>750</v>
      </c>
      <c r="H2959" s="17">
        <v>25</v>
      </c>
      <c r="I2959" s="31">
        <f t="shared" si="282"/>
        <v>25000</v>
      </c>
      <c r="J2959" s="31">
        <f t="shared" si="283"/>
        <v>1750.0000000000002</v>
      </c>
      <c r="K2959" s="44">
        <f t="shared" si="284"/>
        <v>4.794520547945206</v>
      </c>
      <c r="L2959" s="3">
        <f t="shared" si="285"/>
        <v>354.79452054794524</v>
      </c>
      <c r="M2959" s="3">
        <f t="shared" si="286"/>
        <v>21.287671232876715</v>
      </c>
      <c r="N2959" s="67">
        <f t="shared" si="287"/>
        <v>333.50684931506851</v>
      </c>
      <c r="O2959" s="3"/>
      <c r="P2959" s="70" t="s">
        <v>18614</v>
      </c>
      <c r="Q2959" s="2" t="s">
        <v>137</v>
      </c>
      <c r="R2959" s="2" t="s">
        <v>6147</v>
      </c>
      <c r="T2959" t="s">
        <v>18666</v>
      </c>
      <c r="U2959" t="s">
        <v>18652</v>
      </c>
      <c r="V2959" s="104">
        <v>45857</v>
      </c>
      <c r="X2959" s="97"/>
      <c r="Y2959" s="75">
        <v>333.51</v>
      </c>
    </row>
    <row r="2960" spans="1:25" x14ac:dyDescent="0.25">
      <c r="A2960" s="76">
        <v>2992</v>
      </c>
      <c r="B2960" s="2" t="s">
        <v>2422</v>
      </c>
      <c r="C2960" s="2" t="s">
        <v>2423</v>
      </c>
      <c r="D2960" s="2" t="s">
        <v>2424</v>
      </c>
      <c r="E2960" s="2" t="s">
        <v>2425</v>
      </c>
      <c r="F2960" s="2" t="s">
        <v>2426</v>
      </c>
      <c r="G2960" s="2" t="s">
        <v>643</v>
      </c>
      <c r="H2960" s="17">
        <v>25</v>
      </c>
      <c r="I2960" s="31">
        <f t="shared" si="282"/>
        <v>25000</v>
      </c>
      <c r="J2960" s="31">
        <f t="shared" si="283"/>
        <v>1750.0000000000002</v>
      </c>
      <c r="K2960" s="44">
        <f t="shared" si="284"/>
        <v>4.794520547945206</v>
      </c>
      <c r="L2960" s="3">
        <f t="shared" si="285"/>
        <v>354.79452054794524</v>
      </c>
      <c r="M2960" s="3">
        <f t="shared" si="286"/>
        <v>21.287671232876715</v>
      </c>
      <c r="N2960" s="67">
        <f t="shared" si="287"/>
        <v>333.50684931506851</v>
      </c>
      <c r="O2960" s="3"/>
      <c r="P2960" s="70" t="s">
        <v>18614</v>
      </c>
      <c r="Q2960" s="2" t="s">
        <v>137</v>
      </c>
      <c r="R2960" s="2" t="s">
        <v>2427</v>
      </c>
      <c r="T2960" t="s">
        <v>18666</v>
      </c>
      <c r="U2960" t="s">
        <v>18652</v>
      </c>
      <c r="V2960" s="104">
        <v>45857</v>
      </c>
      <c r="X2960" s="97"/>
      <c r="Y2960" s="75">
        <v>333.51</v>
      </c>
    </row>
    <row r="2961" spans="1:25" x14ac:dyDescent="0.25">
      <c r="A2961" s="76">
        <v>2993</v>
      </c>
      <c r="B2961" s="2" t="s">
        <v>8284</v>
      </c>
      <c r="C2961" s="2" t="s">
        <v>8285</v>
      </c>
      <c r="D2961" s="2" t="s">
        <v>8286</v>
      </c>
      <c r="E2961" s="2" t="s">
        <v>8287</v>
      </c>
      <c r="F2961" s="2" t="s">
        <v>8288</v>
      </c>
      <c r="G2961" s="2" t="s">
        <v>31</v>
      </c>
      <c r="H2961" s="17">
        <v>25</v>
      </c>
      <c r="I2961" s="31">
        <f t="shared" si="282"/>
        <v>25000</v>
      </c>
      <c r="J2961" s="31">
        <f t="shared" si="283"/>
        <v>1750.0000000000002</v>
      </c>
      <c r="K2961" s="44">
        <f t="shared" si="284"/>
        <v>4.794520547945206</v>
      </c>
      <c r="L2961" s="3">
        <f t="shared" si="285"/>
        <v>354.79452054794524</v>
      </c>
      <c r="M2961" s="3">
        <f t="shared" si="286"/>
        <v>21.287671232876715</v>
      </c>
      <c r="N2961" s="67">
        <f t="shared" si="287"/>
        <v>333.50684931506851</v>
      </c>
      <c r="O2961" s="3"/>
      <c r="P2961" s="70" t="s">
        <v>18614</v>
      </c>
      <c r="Q2961" s="2" t="s">
        <v>137</v>
      </c>
      <c r="R2961" s="2" t="s">
        <v>8289</v>
      </c>
      <c r="T2961" t="s">
        <v>18666</v>
      </c>
      <c r="U2961" t="s">
        <v>18652</v>
      </c>
      <c r="V2961" s="104">
        <v>45857</v>
      </c>
      <c r="X2961" s="97"/>
      <c r="Y2961" s="75">
        <v>333.51</v>
      </c>
    </row>
    <row r="2962" spans="1:25" x14ac:dyDescent="0.25">
      <c r="A2962" s="76">
        <v>2994</v>
      </c>
      <c r="B2962" s="2" t="s">
        <v>256</v>
      </c>
      <c r="C2962" s="2" t="s">
        <v>257</v>
      </c>
      <c r="D2962" s="2" t="s">
        <v>258</v>
      </c>
      <c r="E2962" s="2" t="s">
        <v>259</v>
      </c>
      <c r="F2962" s="2" t="s">
        <v>260</v>
      </c>
      <c r="G2962" s="2" t="s">
        <v>261</v>
      </c>
      <c r="H2962" s="17">
        <v>25</v>
      </c>
      <c r="I2962" s="31">
        <f t="shared" ref="I2962:I3025" si="288">H2962*1000</f>
        <v>25000</v>
      </c>
      <c r="J2962" s="31">
        <f t="shared" ref="J2962:J3025" si="289">I2962*7%</f>
        <v>1750.0000000000002</v>
      </c>
      <c r="K2962" s="44">
        <f t="shared" ref="K2962:K3025" si="290">J2962/365</f>
        <v>4.794520547945206</v>
      </c>
      <c r="L2962" s="3">
        <f t="shared" ref="L2962:L3025" si="291">K2962*74</f>
        <v>354.79452054794524</v>
      </c>
      <c r="M2962" s="3">
        <f t="shared" ref="M2962:M3025" si="292">L2962*6%</f>
        <v>21.287671232876715</v>
      </c>
      <c r="N2962" s="67">
        <f t="shared" ref="N2962:N3025" si="293">L2962-M2962</f>
        <v>333.50684931506851</v>
      </c>
      <c r="O2962" s="3"/>
      <c r="P2962" s="70" t="s">
        <v>18614</v>
      </c>
      <c r="Q2962" s="2" t="s">
        <v>137</v>
      </c>
      <c r="R2962" s="2" t="s">
        <v>262</v>
      </c>
      <c r="T2962" t="s">
        <v>18666</v>
      </c>
      <c r="U2962" t="s">
        <v>18652</v>
      </c>
      <c r="V2962" s="104">
        <v>45857</v>
      </c>
      <c r="X2962" s="97"/>
      <c r="Y2962" s="75">
        <v>333.51</v>
      </c>
    </row>
    <row r="2963" spans="1:25" x14ac:dyDescent="0.25">
      <c r="A2963" s="76">
        <v>2995</v>
      </c>
      <c r="B2963" s="2" t="s">
        <v>11179</v>
      </c>
      <c r="C2963" s="2" t="s">
        <v>11180</v>
      </c>
      <c r="D2963" s="2" t="s">
        <v>11181</v>
      </c>
      <c r="E2963" s="2" t="s">
        <v>11182</v>
      </c>
      <c r="F2963" s="2" t="s">
        <v>11183</v>
      </c>
      <c r="G2963" s="2" t="s">
        <v>61</v>
      </c>
      <c r="H2963" s="17">
        <v>25</v>
      </c>
      <c r="I2963" s="31">
        <f t="shared" si="288"/>
        <v>25000</v>
      </c>
      <c r="J2963" s="31">
        <f t="shared" si="289"/>
        <v>1750.0000000000002</v>
      </c>
      <c r="K2963" s="44">
        <f t="shared" si="290"/>
        <v>4.794520547945206</v>
      </c>
      <c r="L2963" s="3">
        <f t="shared" si="291"/>
        <v>354.79452054794524</v>
      </c>
      <c r="M2963" s="3">
        <f t="shared" si="292"/>
        <v>21.287671232876715</v>
      </c>
      <c r="N2963" s="67">
        <f t="shared" si="293"/>
        <v>333.50684931506851</v>
      </c>
      <c r="O2963" s="3"/>
      <c r="P2963" s="70" t="s">
        <v>18614</v>
      </c>
      <c r="Q2963" s="2" t="s">
        <v>137</v>
      </c>
      <c r="R2963" s="2" t="s">
        <v>11184</v>
      </c>
      <c r="T2963" t="s">
        <v>18666</v>
      </c>
      <c r="U2963" t="s">
        <v>18652</v>
      </c>
      <c r="V2963" s="104">
        <v>45857</v>
      </c>
      <c r="X2963" s="97"/>
      <c r="Y2963" s="75">
        <v>333.51</v>
      </c>
    </row>
    <row r="2964" spans="1:25" x14ac:dyDescent="0.25">
      <c r="A2964" s="76">
        <v>2996</v>
      </c>
      <c r="B2964" s="2" t="s">
        <v>5905</v>
      </c>
      <c r="C2964" s="2" t="s">
        <v>5906</v>
      </c>
      <c r="D2964" s="2" t="s">
        <v>5907</v>
      </c>
      <c r="E2964" s="2" t="s">
        <v>5908</v>
      </c>
      <c r="F2964" s="2" t="s">
        <v>5909</v>
      </c>
      <c r="G2964" s="2" t="s">
        <v>412</v>
      </c>
      <c r="H2964" s="17">
        <v>200</v>
      </c>
      <c r="I2964" s="31">
        <f t="shared" si="288"/>
        <v>200000</v>
      </c>
      <c r="J2964" s="31">
        <f t="shared" si="289"/>
        <v>14000.000000000002</v>
      </c>
      <c r="K2964" s="44">
        <f t="shared" si="290"/>
        <v>38.356164383561648</v>
      </c>
      <c r="L2964" s="3">
        <f t="shared" si="291"/>
        <v>2838.3561643835619</v>
      </c>
      <c r="M2964" s="3">
        <f t="shared" si="292"/>
        <v>170.30136986301372</v>
      </c>
      <c r="N2964" s="67">
        <f t="shared" si="293"/>
        <v>2668.0547945205481</v>
      </c>
      <c r="O2964" s="3"/>
      <c r="P2964" s="70" t="s">
        <v>18614</v>
      </c>
      <c r="Q2964" s="2" t="s">
        <v>137</v>
      </c>
      <c r="R2964" s="2" t="s">
        <v>5910</v>
      </c>
      <c r="T2964" t="s">
        <v>18666</v>
      </c>
      <c r="U2964" t="s">
        <v>18652</v>
      </c>
      <c r="V2964" s="104">
        <v>45857</v>
      </c>
      <c r="X2964" s="97"/>
      <c r="Y2964" s="75">
        <v>2668.0600000000004</v>
      </c>
    </row>
    <row r="2965" spans="1:25" x14ac:dyDescent="0.25">
      <c r="A2965" s="76">
        <v>2997</v>
      </c>
      <c r="B2965" s="2" t="s">
        <v>1347</v>
      </c>
      <c r="C2965" s="2" t="s">
        <v>1348</v>
      </c>
      <c r="D2965" s="2" t="s">
        <v>1349</v>
      </c>
      <c r="E2965" s="2" t="s">
        <v>1350</v>
      </c>
      <c r="F2965" s="2" t="s">
        <v>1351</v>
      </c>
      <c r="G2965" s="2" t="s">
        <v>151</v>
      </c>
      <c r="H2965" s="17">
        <v>25</v>
      </c>
      <c r="I2965" s="31">
        <f t="shared" si="288"/>
        <v>25000</v>
      </c>
      <c r="J2965" s="31">
        <f t="shared" si="289"/>
        <v>1750.0000000000002</v>
      </c>
      <c r="K2965" s="44">
        <f t="shared" si="290"/>
        <v>4.794520547945206</v>
      </c>
      <c r="L2965" s="3">
        <f t="shared" si="291"/>
        <v>354.79452054794524</v>
      </c>
      <c r="M2965" s="3">
        <f t="shared" si="292"/>
        <v>21.287671232876715</v>
      </c>
      <c r="N2965" s="67">
        <f t="shared" si="293"/>
        <v>333.50684931506851</v>
      </c>
      <c r="O2965" s="3"/>
      <c r="P2965" s="70" t="s">
        <v>18614</v>
      </c>
      <c r="Q2965" s="2" t="s">
        <v>137</v>
      </c>
      <c r="R2965" s="2" t="s">
        <v>1352</v>
      </c>
      <c r="T2965" t="s">
        <v>18666</v>
      </c>
      <c r="U2965" t="s">
        <v>18652</v>
      </c>
      <c r="V2965" s="104">
        <v>45857</v>
      </c>
      <c r="X2965" s="97"/>
      <c r="Y2965" s="75">
        <v>333.51</v>
      </c>
    </row>
    <row r="2966" spans="1:25" x14ac:dyDescent="0.25">
      <c r="A2966" s="76">
        <v>2998</v>
      </c>
      <c r="B2966" s="2" t="s">
        <v>9370</v>
      </c>
      <c r="C2966" s="2" t="s">
        <v>9371</v>
      </c>
      <c r="D2966" s="2" t="s">
        <v>9372</v>
      </c>
      <c r="E2966" s="2" t="s">
        <v>9373</v>
      </c>
      <c r="F2966" s="2" t="s">
        <v>9374</v>
      </c>
      <c r="G2966" s="2" t="s">
        <v>1048</v>
      </c>
      <c r="H2966" s="17">
        <v>50</v>
      </c>
      <c r="I2966" s="31">
        <f t="shared" si="288"/>
        <v>50000</v>
      </c>
      <c r="J2966" s="31">
        <f t="shared" si="289"/>
        <v>3500.0000000000005</v>
      </c>
      <c r="K2966" s="44">
        <f t="shared" si="290"/>
        <v>9.589041095890412</v>
      </c>
      <c r="L2966" s="3">
        <f t="shared" si="291"/>
        <v>709.58904109589048</v>
      </c>
      <c r="M2966" s="3">
        <f t="shared" si="292"/>
        <v>42.57534246575343</v>
      </c>
      <c r="N2966" s="67">
        <f t="shared" si="293"/>
        <v>667.01369863013701</v>
      </c>
      <c r="O2966" s="3"/>
      <c r="P2966" s="70" t="s">
        <v>18614</v>
      </c>
      <c r="Q2966" s="2" t="s">
        <v>137</v>
      </c>
      <c r="R2966" s="2" t="s">
        <v>9375</v>
      </c>
      <c r="T2966" t="s">
        <v>18666</v>
      </c>
      <c r="U2966" t="s">
        <v>18652</v>
      </c>
      <c r="V2966" s="104">
        <v>45857</v>
      </c>
      <c r="X2966" s="97"/>
      <c r="Y2966" s="75">
        <v>667.02</v>
      </c>
    </row>
    <row r="2967" spans="1:25" x14ac:dyDescent="0.25">
      <c r="A2967" s="76">
        <v>2999</v>
      </c>
      <c r="B2967" s="2" t="s">
        <v>1618</v>
      </c>
      <c r="C2967" s="2" t="s">
        <v>1619</v>
      </c>
      <c r="D2967" s="2" t="s">
        <v>1620</v>
      </c>
      <c r="E2967" s="2" t="s">
        <v>1139</v>
      </c>
      <c r="F2967" s="2" t="s">
        <v>1621</v>
      </c>
      <c r="G2967" s="2" t="s">
        <v>166</v>
      </c>
      <c r="H2967" s="17">
        <v>25</v>
      </c>
      <c r="I2967" s="31">
        <f t="shared" si="288"/>
        <v>25000</v>
      </c>
      <c r="J2967" s="31">
        <f t="shared" si="289"/>
        <v>1750.0000000000002</v>
      </c>
      <c r="K2967" s="44">
        <f t="shared" si="290"/>
        <v>4.794520547945206</v>
      </c>
      <c r="L2967" s="3">
        <f t="shared" si="291"/>
        <v>354.79452054794524</v>
      </c>
      <c r="M2967" s="3">
        <f t="shared" si="292"/>
        <v>21.287671232876715</v>
      </c>
      <c r="N2967" s="67">
        <f t="shared" si="293"/>
        <v>333.50684931506851</v>
      </c>
      <c r="O2967" s="3"/>
      <c r="P2967" s="70" t="s">
        <v>18614</v>
      </c>
      <c r="Q2967" s="2" t="s">
        <v>137</v>
      </c>
      <c r="R2967" s="2" t="s">
        <v>1622</v>
      </c>
      <c r="T2967" t="s">
        <v>18666</v>
      </c>
      <c r="U2967" t="s">
        <v>18652</v>
      </c>
      <c r="V2967" s="104">
        <v>45857</v>
      </c>
      <c r="X2967" s="97"/>
      <c r="Y2967" s="75">
        <v>333.51</v>
      </c>
    </row>
    <row r="2968" spans="1:25" x14ac:dyDescent="0.25">
      <c r="A2968" s="76">
        <v>3000</v>
      </c>
      <c r="B2968" s="2" t="s">
        <v>5503</v>
      </c>
      <c r="C2968" s="2" t="s">
        <v>5504</v>
      </c>
      <c r="D2968" s="2" t="s">
        <v>5505</v>
      </c>
      <c r="E2968" s="2" t="s">
        <v>5506</v>
      </c>
      <c r="F2968" s="2" t="s">
        <v>5507</v>
      </c>
      <c r="G2968" s="2" t="s">
        <v>517</v>
      </c>
      <c r="H2968" s="17">
        <v>25</v>
      </c>
      <c r="I2968" s="31">
        <f t="shared" si="288"/>
        <v>25000</v>
      </c>
      <c r="J2968" s="31">
        <f t="shared" si="289"/>
        <v>1750.0000000000002</v>
      </c>
      <c r="K2968" s="44">
        <f t="shared" si="290"/>
        <v>4.794520547945206</v>
      </c>
      <c r="L2968" s="3">
        <f t="shared" si="291"/>
        <v>354.79452054794524</v>
      </c>
      <c r="M2968" s="3">
        <f t="shared" si="292"/>
        <v>21.287671232876715</v>
      </c>
      <c r="N2968" s="67">
        <f t="shared" si="293"/>
        <v>333.50684931506851</v>
      </c>
      <c r="O2968" s="3"/>
      <c r="P2968" s="70" t="s">
        <v>18614</v>
      </c>
      <c r="Q2968" s="2" t="s">
        <v>137</v>
      </c>
      <c r="R2968" s="2" t="s">
        <v>5508</v>
      </c>
      <c r="T2968" t="s">
        <v>18666</v>
      </c>
      <c r="U2968" t="s">
        <v>18652</v>
      </c>
      <c r="V2968" s="104">
        <v>45857</v>
      </c>
      <c r="X2968" s="97"/>
      <c r="Y2968" s="75">
        <v>333.51</v>
      </c>
    </row>
    <row r="2969" spans="1:25" x14ac:dyDescent="0.25">
      <c r="A2969" s="76">
        <v>3001</v>
      </c>
      <c r="B2969" s="2" t="s">
        <v>12099</v>
      </c>
      <c r="C2969" s="2" t="s">
        <v>12100</v>
      </c>
      <c r="D2969" s="2" t="s">
        <v>12101</v>
      </c>
      <c r="E2969" s="2" t="s">
        <v>12102</v>
      </c>
      <c r="F2969" s="2" t="s">
        <v>12103</v>
      </c>
      <c r="G2969" s="2" t="s">
        <v>240</v>
      </c>
      <c r="H2969" s="17">
        <v>50</v>
      </c>
      <c r="I2969" s="31">
        <f t="shared" si="288"/>
        <v>50000</v>
      </c>
      <c r="J2969" s="31">
        <f t="shared" si="289"/>
        <v>3500.0000000000005</v>
      </c>
      <c r="K2969" s="44">
        <f t="shared" si="290"/>
        <v>9.589041095890412</v>
      </c>
      <c r="L2969" s="3">
        <f t="shared" si="291"/>
        <v>709.58904109589048</v>
      </c>
      <c r="M2969" s="3">
        <f t="shared" si="292"/>
        <v>42.57534246575343</v>
      </c>
      <c r="N2969" s="67">
        <f t="shared" si="293"/>
        <v>667.01369863013701</v>
      </c>
      <c r="O2969" s="3"/>
      <c r="P2969" s="70" t="s">
        <v>18614</v>
      </c>
      <c r="Q2969" s="2" t="s">
        <v>137</v>
      </c>
      <c r="R2969" s="2" t="s">
        <v>12104</v>
      </c>
      <c r="T2969" t="s">
        <v>18666</v>
      </c>
      <c r="U2969" t="s">
        <v>18652</v>
      </c>
      <c r="V2969" s="104">
        <v>45857</v>
      </c>
      <c r="X2969" s="97"/>
      <c r="Y2969" s="75">
        <v>667.02</v>
      </c>
    </row>
    <row r="2970" spans="1:25" x14ac:dyDescent="0.25">
      <c r="A2970" s="76">
        <v>3002</v>
      </c>
      <c r="B2970" s="2" t="s">
        <v>16300</v>
      </c>
      <c r="C2970" s="2" t="s">
        <v>16301</v>
      </c>
      <c r="D2970" s="2" t="s">
        <v>16302</v>
      </c>
      <c r="E2970" s="2" t="s">
        <v>16303</v>
      </c>
      <c r="F2970" s="2" t="s">
        <v>16304</v>
      </c>
      <c r="G2970" s="2" t="s">
        <v>31</v>
      </c>
      <c r="H2970" s="17">
        <v>300</v>
      </c>
      <c r="I2970" s="31">
        <f t="shared" si="288"/>
        <v>300000</v>
      </c>
      <c r="J2970" s="31">
        <f t="shared" si="289"/>
        <v>21000.000000000004</v>
      </c>
      <c r="K2970" s="44">
        <f t="shared" si="290"/>
        <v>57.534246575342479</v>
      </c>
      <c r="L2970" s="3">
        <f t="shared" si="291"/>
        <v>4257.5342465753438</v>
      </c>
      <c r="M2970" s="3">
        <f t="shared" si="292"/>
        <v>255.45205479452062</v>
      </c>
      <c r="N2970" s="67">
        <f t="shared" si="293"/>
        <v>4002.082191780823</v>
      </c>
      <c r="O2970" s="3"/>
      <c r="P2970" s="70" t="s">
        <v>18614</v>
      </c>
      <c r="Q2970" s="2" t="s">
        <v>137</v>
      </c>
      <c r="R2970" s="2" t="s">
        <v>16305</v>
      </c>
      <c r="T2970" t="s">
        <v>18666</v>
      </c>
      <c r="U2970" t="s">
        <v>18652</v>
      </c>
      <c r="V2970" s="104">
        <v>45857</v>
      </c>
      <c r="X2970" s="97"/>
      <c r="Y2970" s="75">
        <v>4002.09</v>
      </c>
    </row>
    <row r="2971" spans="1:25" x14ac:dyDescent="0.25">
      <c r="A2971" s="76">
        <v>3003</v>
      </c>
      <c r="B2971" s="2" t="s">
        <v>16317</v>
      </c>
      <c r="C2971" s="2" t="s">
        <v>16318</v>
      </c>
      <c r="D2971" s="2" t="s">
        <v>16302</v>
      </c>
      <c r="E2971" s="2" t="s">
        <v>16303</v>
      </c>
      <c r="F2971" s="2" t="s">
        <v>16319</v>
      </c>
      <c r="G2971" s="2" t="s">
        <v>31</v>
      </c>
      <c r="H2971" s="17">
        <v>100</v>
      </c>
      <c r="I2971" s="31">
        <f t="shared" si="288"/>
        <v>100000</v>
      </c>
      <c r="J2971" s="31">
        <f t="shared" si="289"/>
        <v>7000.0000000000009</v>
      </c>
      <c r="K2971" s="44">
        <f t="shared" si="290"/>
        <v>19.178082191780824</v>
      </c>
      <c r="L2971" s="3">
        <f t="shared" si="291"/>
        <v>1419.178082191781</v>
      </c>
      <c r="M2971" s="3">
        <f t="shared" si="292"/>
        <v>85.150684931506859</v>
      </c>
      <c r="N2971" s="67">
        <f t="shared" si="293"/>
        <v>1334.027397260274</v>
      </c>
      <c r="O2971" s="3"/>
      <c r="P2971" s="70" t="s">
        <v>18614</v>
      </c>
      <c r="Q2971" s="2" t="s">
        <v>137</v>
      </c>
      <c r="R2971" s="2" t="s">
        <v>16320</v>
      </c>
      <c r="T2971" t="s">
        <v>18666</v>
      </c>
      <c r="U2971" t="s">
        <v>18652</v>
      </c>
      <c r="V2971" s="104">
        <v>45857</v>
      </c>
      <c r="X2971" s="97"/>
      <c r="Y2971" s="75">
        <v>1334.03</v>
      </c>
    </row>
    <row r="2972" spans="1:25" x14ac:dyDescent="0.25">
      <c r="A2972" s="76">
        <v>3004</v>
      </c>
      <c r="B2972" s="2" t="s">
        <v>5893</v>
      </c>
      <c r="C2972" s="2" t="s">
        <v>5894</v>
      </c>
      <c r="D2972" s="2" t="s">
        <v>5895</v>
      </c>
      <c r="E2972" s="2" t="s">
        <v>5896</v>
      </c>
      <c r="F2972" s="2" t="s">
        <v>5897</v>
      </c>
      <c r="G2972" s="2" t="s">
        <v>31</v>
      </c>
      <c r="H2972" s="17">
        <v>25</v>
      </c>
      <c r="I2972" s="31">
        <f t="shared" si="288"/>
        <v>25000</v>
      </c>
      <c r="J2972" s="31">
        <f t="shared" si="289"/>
        <v>1750.0000000000002</v>
      </c>
      <c r="K2972" s="44">
        <f t="shared" si="290"/>
        <v>4.794520547945206</v>
      </c>
      <c r="L2972" s="3">
        <f t="shared" si="291"/>
        <v>354.79452054794524</v>
      </c>
      <c r="M2972" s="3">
        <f t="shared" si="292"/>
        <v>21.287671232876715</v>
      </c>
      <c r="N2972" s="67">
        <f t="shared" si="293"/>
        <v>333.50684931506851</v>
      </c>
      <c r="O2972" s="3"/>
      <c r="P2972" s="70" t="s">
        <v>18614</v>
      </c>
      <c r="Q2972" s="2" t="s">
        <v>137</v>
      </c>
      <c r="R2972" s="2" t="s">
        <v>5898</v>
      </c>
      <c r="T2972" t="s">
        <v>18666</v>
      </c>
      <c r="U2972" t="s">
        <v>18652</v>
      </c>
      <c r="V2972" s="104">
        <v>45857</v>
      </c>
      <c r="X2972" s="97"/>
      <c r="Y2972" s="75">
        <v>333.51</v>
      </c>
    </row>
    <row r="2973" spans="1:25" x14ac:dyDescent="0.25">
      <c r="A2973" s="76">
        <v>3005</v>
      </c>
      <c r="B2973" s="2" t="s">
        <v>14048</v>
      </c>
      <c r="C2973" s="2" t="s">
        <v>14049</v>
      </c>
      <c r="D2973" s="2" t="s">
        <v>14050</v>
      </c>
      <c r="E2973" s="2" t="s">
        <v>2848</v>
      </c>
      <c r="F2973" s="2" t="s">
        <v>14051</v>
      </c>
      <c r="G2973" s="2" t="s">
        <v>31</v>
      </c>
      <c r="H2973" s="17">
        <v>1000</v>
      </c>
      <c r="I2973" s="31">
        <f t="shared" si="288"/>
        <v>1000000</v>
      </c>
      <c r="J2973" s="31">
        <f t="shared" si="289"/>
        <v>70000</v>
      </c>
      <c r="K2973" s="44">
        <f t="shared" si="290"/>
        <v>191.78082191780823</v>
      </c>
      <c r="L2973" s="3">
        <f t="shared" si="291"/>
        <v>14191.780821917808</v>
      </c>
      <c r="M2973" s="3">
        <f t="shared" si="292"/>
        <v>851.50684931506839</v>
      </c>
      <c r="N2973" s="67">
        <f t="shared" si="293"/>
        <v>13340.273972602739</v>
      </c>
      <c r="O2973" s="3"/>
      <c r="P2973" s="70" t="s">
        <v>18614</v>
      </c>
      <c r="Q2973" s="2" t="s">
        <v>137</v>
      </c>
      <c r="R2973" s="2" t="s">
        <v>14052</v>
      </c>
      <c r="T2973" t="s">
        <v>18666</v>
      </c>
      <c r="U2973" t="s">
        <v>18652</v>
      </c>
      <c r="V2973" s="104">
        <v>45857</v>
      </c>
      <c r="X2973" s="97"/>
      <c r="Y2973" s="75">
        <v>13340.28</v>
      </c>
    </row>
    <row r="2974" spans="1:25" x14ac:dyDescent="0.25">
      <c r="A2974" s="76">
        <v>3006</v>
      </c>
      <c r="B2974" s="2" t="s">
        <v>9903</v>
      </c>
      <c r="C2974" s="2" t="s">
        <v>9904</v>
      </c>
      <c r="D2974" s="2" t="s">
        <v>9905</v>
      </c>
      <c r="E2974" s="2" t="s">
        <v>9906</v>
      </c>
      <c r="F2974" s="2" t="s">
        <v>9907</v>
      </c>
      <c r="G2974" s="2" t="s">
        <v>31</v>
      </c>
      <c r="H2974" s="17">
        <v>30</v>
      </c>
      <c r="I2974" s="31">
        <f t="shared" si="288"/>
        <v>30000</v>
      </c>
      <c r="J2974" s="31">
        <f t="shared" si="289"/>
        <v>2100</v>
      </c>
      <c r="K2974" s="44">
        <f t="shared" si="290"/>
        <v>5.7534246575342465</v>
      </c>
      <c r="L2974" s="3">
        <f t="shared" si="291"/>
        <v>425.75342465753425</v>
      </c>
      <c r="M2974" s="3">
        <f t="shared" si="292"/>
        <v>25.545205479452054</v>
      </c>
      <c r="N2974" s="67">
        <f t="shared" si="293"/>
        <v>400.20821917808217</v>
      </c>
      <c r="O2974" s="3"/>
      <c r="P2974" s="70" t="s">
        <v>18614</v>
      </c>
      <c r="Q2974" s="2" t="s">
        <v>137</v>
      </c>
      <c r="R2974" s="2" t="s">
        <v>9908</v>
      </c>
      <c r="T2974" t="s">
        <v>18666</v>
      </c>
      <c r="U2974" t="s">
        <v>18652</v>
      </c>
      <c r="V2974" s="104">
        <v>45857</v>
      </c>
      <c r="X2974" s="97"/>
      <c r="Y2974" s="75">
        <v>400.21</v>
      </c>
    </row>
    <row r="2975" spans="1:25" x14ac:dyDescent="0.25">
      <c r="A2975" s="76">
        <v>3007</v>
      </c>
      <c r="B2975" s="2" t="s">
        <v>7280</v>
      </c>
      <c r="C2975" s="2" t="s">
        <v>6803</v>
      </c>
      <c r="D2975" s="2" t="s">
        <v>7281</v>
      </c>
      <c r="E2975" s="2" t="s">
        <v>7282</v>
      </c>
      <c r="F2975" s="2" t="s">
        <v>7283</v>
      </c>
      <c r="G2975" s="2" t="s">
        <v>240</v>
      </c>
      <c r="H2975" s="17">
        <v>30</v>
      </c>
      <c r="I2975" s="31">
        <f t="shared" si="288"/>
        <v>30000</v>
      </c>
      <c r="J2975" s="31">
        <f t="shared" si="289"/>
        <v>2100</v>
      </c>
      <c r="K2975" s="44">
        <f t="shared" si="290"/>
        <v>5.7534246575342465</v>
      </c>
      <c r="L2975" s="3">
        <f t="shared" si="291"/>
        <v>425.75342465753425</v>
      </c>
      <c r="M2975" s="3">
        <f t="shared" si="292"/>
        <v>25.545205479452054</v>
      </c>
      <c r="N2975" s="67">
        <f t="shared" si="293"/>
        <v>400.20821917808217</v>
      </c>
      <c r="O2975" s="3"/>
      <c r="P2975" s="70" t="s">
        <v>18614</v>
      </c>
      <c r="Q2975" s="2" t="s">
        <v>137</v>
      </c>
      <c r="R2975" s="2" t="s">
        <v>7284</v>
      </c>
      <c r="T2975" t="s">
        <v>18666</v>
      </c>
      <c r="U2975" t="s">
        <v>18652</v>
      </c>
      <c r="V2975" s="104">
        <v>45857</v>
      </c>
      <c r="X2975" s="97"/>
      <c r="Y2975" s="75">
        <v>400.21</v>
      </c>
    </row>
    <row r="2976" spans="1:25" x14ac:dyDescent="0.25">
      <c r="A2976" s="76">
        <v>3008</v>
      </c>
      <c r="B2976" s="2" t="s">
        <v>263</v>
      </c>
      <c r="C2976" s="2" t="s">
        <v>264</v>
      </c>
      <c r="D2976" s="2" t="s">
        <v>265</v>
      </c>
      <c r="E2976" s="2" t="s">
        <v>266</v>
      </c>
      <c r="F2976" s="2" t="s">
        <v>267</v>
      </c>
      <c r="G2976" s="2" t="s">
        <v>268</v>
      </c>
      <c r="H2976" s="17">
        <v>25</v>
      </c>
      <c r="I2976" s="31">
        <f t="shared" si="288"/>
        <v>25000</v>
      </c>
      <c r="J2976" s="31">
        <f t="shared" si="289"/>
        <v>1750.0000000000002</v>
      </c>
      <c r="K2976" s="44">
        <f t="shared" si="290"/>
        <v>4.794520547945206</v>
      </c>
      <c r="L2976" s="3">
        <f t="shared" si="291"/>
        <v>354.79452054794524</v>
      </c>
      <c r="M2976" s="3">
        <f t="shared" si="292"/>
        <v>21.287671232876715</v>
      </c>
      <c r="N2976" s="67">
        <f t="shared" si="293"/>
        <v>333.50684931506851</v>
      </c>
      <c r="O2976" s="3"/>
      <c r="P2976" s="70" t="s">
        <v>18614</v>
      </c>
      <c r="Q2976" s="2" t="s">
        <v>137</v>
      </c>
      <c r="R2976" s="2" t="s">
        <v>269</v>
      </c>
      <c r="T2976" t="s">
        <v>18666</v>
      </c>
      <c r="U2976" t="s">
        <v>18652</v>
      </c>
      <c r="V2976" s="104">
        <v>45857</v>
      </c>
      <c r="X2976" s="97"/>
      <c r="Y2976" s="75">
        <v>333.51</v>
      </c>
    </row>
    <row r="2977" spans="1:25" x14ac:dyDescent="0.25">
      <c r="A2977" s="76">
        <v>3009</v>
      </c>
      <c r="B2977" s="2" t="s">
        <v>4103</v>
      </c>
      <c r="C2977" s="2" t="s">
        <v>4104</v>
      </c>
      <c r="D2977" s="2" t="s">
        <v>4105</v>
      </c>
      <c r="E2977" s="2" t="s">
        <v>4106</v>
      </c>
      <c r="F2977" s="2" t="s">
        <v>4107</v>
      </c>
      <c r="G2977" s="2" t="s">
        <v>218</v>
      </c>
      <c r="H2977" s="17">
        <v>25</v>
      </c>
      <c r="I2977" s="31">
        <f t="shared" si="288"/>
        <v>25000</v>
      </c>
      <c r="J2977" s="31">
        <f t="shared" si="289"/>
        <v>1750.0000000000002</v>
      </c>
      <c r="K2977" s="44">
        <f t="shared" si="290"/>
        <v>4.794520547945206</v>
      </c>
      <c r="L2977" s="3">
        <f t="shared" si="291"/>
        <v>354.79452054794524</v>
      </c>
      <c r="M2977" s="3">
        <f t="shared" si="292"/>
        <v>21.287671232876715</v>
      </c>
      <c r="N2977" s="67">
        <f t="shared" si="293"/>
        <v>333.50684931506851</v>
      </c>
      <c r="O2977" s="3"/>
      <c r="P2977" s="70" t="s">
        <v>18614</v>
      </c>
      <c r="Q2977" s="2" t="s">
        <v>137</v>
      </c>
      <c r="R2977" s="2" t="s">
        <v>4108</v>
      </c>
      <c r="T2977" t="s">
        <v>18666</v>
      </c>
      <c r="U2977" t="s">
        <v>18652</v>
      </c>
      <c r="V2977" s="104">
        <v>45857</v>
      </c>
      <c r="X2977" s="97"/>
      <c r="Y2977" s="75">
        <v>333.51</v>
      </c>
    </row>
    <row r="2978" spans="1:25" x14ac:dyDescent="0.25">
      <c r="A2978" s="76">
        <v>3010</v>
      </c>
      <c r="B2978" s="2" t="s">
        <v>10751</v>
      </c>
      <c r="C2978" s="2" t="s">
        <v>10752</v>
      </c>
      <c r="D2978" s="2" t="s">
        <v>10753</v>
      </c>
      <c r="E2978" s="2" t="s">
        <v>10754</v>
      </c>
      <c r="F2978" s="2" t="s">
        <v>10755</v>
      </c>
      <c r="G2978" s="2" t="s">
        <v>218</v>
      </c>
      <c r="H2978" s="17">
        <v>30</v>
      </c>
      <c r="I2978" s="31">
        <f t="shared" si="288"/>
        <v>30000</v>
      </c>
      <c r="J2978" s="31">
        <f t="shared" si="289"/>
        <v>2100</v>
      </c>
      <c r="K2978" s="44">
        <f t="shared" si="290"/>
        <v>5.7534246575342465</v>
      </c>
      <c r="L2978" s="3">
        <f t="shared" si="291"/>
        <v>425.75342465753425</v>
      </c>
      <c r="M2978" s="3">
        <f t="shared" si="292"/>
        <v>25.545205479452054</v>
      </c>
      <c r="N2978" s="67">
        <f t="shared" si="293"/>
        <v>400.20821917808217</v>
      </c>
      <c r="O2978" s="3"/>
      <c r="P2978" s="70" t="s">
        <v>18614</v>
      </c>
      <c r="Q2978" s="2" t="s">
        <v>137</v>
      </c>
      <c r="R2978" s="2" t="s">
        <v>10756</v>
      </c>
      <c r="T2978" t="s">
        <v>18666</v>
      </c>
      <c r="U2978" t="s">
        <v>18652</v>
      </c>
      <c r="V2978" s="104">
        <v>45857</v>
      </c>
      <c r="X2978" s="97"/>
      <c r="Y2978" s="75">
        <v>400.21</v>
      </c>
    </row>
    <row r="2979" spans="1:25" x14ac:dyDescent="0.25">
      <c r="A2979" s="76">
        <v>3011</v>
      </c>
      <c r="B2979" s="2" t="s">
        <v>13054</v>
      </c>
      <c r="C2979" s="2" t="s">
        <v>5741</v>
      </c>
      <c r="D2979" s="2" t="s">
        <v>13055</v>
      </c>
      <c r="E2979" s="2" t="s">
        <v>13056</v>
      </c>
      <c r="F2979" s="2" t="s">
        <v>13057</v>
      </c>
      <c r="G2979" s="2" t="s">
        <v>643</v>
      </c>
      <c r="H2979" s="17">
        <v>25</v>
      </c>
      <c r="I2979" s="31">
        <f t="shared" si="288"/>
        <v>25000</v>
      </c>
      <c r="J2979" s="31">
        <f t="shared" si="289"/>
        <v>1750.0000000000002</v>
      </c>
      <c r="K2979" s="44">
        <f t="shared" si="290"/>
        <v>4.794520547945206</v>
      </c>
      <c r="L2979" s="3">
        <f t="shared" si="291"/>
        <v>354.79452054794524</v>
      </c>
      <c r="M2979" s="3">
        <f t="shared" si="292"/>
        <v>21.287671232876715</v>
      </c>
      <c r="N2979" s="67">
        <f t="shared" si="293"/>
        <v>333.50684931506851</v>
      </c>
      <c r="O2979" s="3"/>
      <c r="P2979" s="70" t="s">
        <v>18614</v>
      </c>
      <c r="Q2979" s="2" t="s">
        <v>137</v>
      </c>
      <c r="R2979" s="2" t="s">
        <v>13058</v>
      </c>
      <c r="T2979" t="s">
        <v>18666</v>
      </c>
      <c r="U2979" t="s">
        <v>18652</v>
      </c>
      <c r="V2979" s="104">
        <v>45857</v>
      </c>
      <c r="X2979" s="97"/>
      <c r="Y2979" s="75">
        <v>333.51</v>
      </c>
    </row>
    <row r="2980" spans="1:25" x14ac:dyDescent="0.25">
      <c r="A2980" s="76">
        <v>3012</v>
      </c>
      <c r="B2980" s="2" t="s">
        <v>18256</v>
      </c>
      <c r="C2980" s="2" t="s">
        <v>18257</v>
      </c>
      <c r="D2980" s="2" t="s">
        <v>18258</v>
      </c>
      <c r="E2980" s="2" t="s">
        <v>18259</v>
      </c>
      <c r="F2980" s="2" t="s">
        <v>18260</v>
      </c>
      <c r="G2980" s="2" t="s">
        <v>643</v>
      </c>
      <c r="H2980" s="17">
        <v>25</v>
      </c>
      <c r="I2980" s="31">
        <f t="shared" si="288"/>
        <v>25000</v>
      </c>
      <c r="J2980" s="31">
        <f t="shared" si="289"/>
        <v>1750.0000000000002</v>
      </c>
      <c r="K2980" s="44">
        <f t="shared" si="290"/>
        <v>4.794520547945206</v>
      </c>
      <c r="L2980" s="3">
        <f t="shared" si="291"/>
        <v>354.79452054794524</v>
      </c>
      <c r="M2980" s="3">
        <f t="shared" si="292"/>
        <v>21.287671232876715</v>
      </c>
      <c r="N2980" s="67">
        <f t="shared" si="293"/>
        <v>333.50684931506851</v>
      </c>
      <c r="O2980" s="3"/>
      <c r="P2980" s="70" t="s">
        <v>18614</v>
      </c>
      <c r="Q2980" s="2" t="s">
        <v>137</v>
      </c>
      <c r="R2980" s="2" t="s">
        <v>18261</v>
      </c>
      <c r="T2980" t="s">
        <v>18666</v>
      </c>
      <c r="U2980" t="s">
        <v>18652</v>
      </c>
      <c r="V2980" s="104">
        <v>45857</v>
      </c>
      <c r="X2980" s="97"/>
      <c r="Y2980" s="75">
        <v>333.51</v>
      </c>
    </row>
    <row r="2981" spans="1:25" x14ac:dyDescent="0.25">
      <c r="A2981" s="76">
        <v>3013</v>
      </c>
      <c r="B2981" s="2" t="s">
        <v>3401</v>
      </c>
      <c r="C2981" s="2" t="s">
        <v>3402</v>
      </c>
      <c r="D2981" s="2" t="s">
        <v>3403</v>
      </c>
      <c r="E2981" s="2" t="s">
        <v>3404</v>
      </c>
      <c r="F2981" s="2" t="s">
        <v>3405</v>
      </c>
      <c r="G2981" s="2" t="s">
        <v>1570</v>
      </c>
      <c r="H2981" s="17">
        <v>25</v>
      </c>
      <c r="I2981" s="31">
        <f t="shared" si="288"/>
        <v>25000</v>
      </c>
      <c r="J2981" s="31">
        <f t="shared" si="289"/>
        <v>1750.0000000000002</v>
      </c>
      <c r="K2981" s="44">
        <f t="shared" si="290"/>
        <v>4.794520547945206</v>
      </c>
      <c r="L2981" s="3">
        <f t="shared" si="291"/>
        <v>354.79452054794524</v>
      </c>
      <c r="M2981" s="3">
        <f t="shared" si="292"/>
        <v>21.287671232876715</v>
      </c>
      <c r="N2981" s="67">
        <f t="shared" si="293"/>
        <v>333.50684931506851</v>
      </c>
      <c r="O2981" s="3"/>
      <c r="P2981" s="70" t="s">
        <v>18614</v>
      </c>
      <c r="Q2981" s="2" t="s">
        <v>137</v>
      </c>
      <c r="R2981" s="2" t="s">
        <v>3406</v>
      </c>
      <c r="T2981" t="s">
        <v>18666</v>
      </c>
      <c r="U2981" t="s">
        <v>18652</v>
      </c>
      <c r="V2981" s="104">
        <v>45857</v>
      </c>
      <c r="X2981" s="97"/>
      <c r="Y2981" s="75">
        <v>333.51</v>
      </c>
    </row>
    <row r="2982" spans="1:25" x14ac:dyDescent="0.25">
      <c r="A2982" s="76">
        <v>3014</v>
      </c>
      <c r="B2982" s="2" t="s">
        <v>6023</v>
      </c>
      <c r="C2982" s="2" t="s">
        <v>6024</v>
      </c>
      <c r="D2982" s="2" t="s">
        <v>6025</v>
      </c>
      <c r="E2982" s="2" t="s">
        <v>6026</v>
      </c>
      <c r="F2982" s="2" t="s">
        <v>6027</v>
      </c>
      <c r="G2982" s="2" t="s">
        <v>31</v>
      </c>
      <c r="H2982" s="17">
        <v>25</v>
      </c>
      <c r="I2982" s="31">
        <f t="shared" si="288"/>
        <v>25000</v>
      </c>
      <c r="J2982" s="31">
        <f t="shared" si="289"/>
        <v>1750.0000000000002</v>
      </c>
      <c r="K2982" s="44">
        <f t="shared" si="290"/>
        <v>4.794520547945206</v>
      </c>
      <c r="L2982" s="3">
        <f t="shared" si="291"/>
        <v>354.79452054794524</v>
      </c>
      <c r="M2982" s="3">
        <f t="shared" si="292"/>
        <v>21.287671232876715</v>
      </c>
      <c r="N2982" s="67">
        <f t="shared" si="293"/>
        <v>333.50684931506851</v>
      </c>
      <c r="O2982" s="3"/>
      <c r="P2982" s="70" t="s">
        <v>18614</v>
      </c>
      <c r="Q2982" s="2" t="s">
        <v>137</v>
      </c>
      <c r="R2982" s="2" t="s">
        <v>6028</v>
      </c>
      <c r="T2982" t="s">
        <v>18666</v>
      </c>
      <c r="U2982" t="s">
        <v>18652</v>
      </c>
      <c r="V2982" s="104">
        <v>45857</v>
      </c>
      <c r="X2982" s="97"/>
      <c r="Y2982" s="75">
        <v>333.51</v>
      </c>
    </row>
    <row r="2983" spans="1:25" x14ac:dyDescent="0.25">
      <c r="A2983" s="76">
        <v>3015</v>
      </c>
      <c r="B2983" s="2" t="s">
        <v>7085</v>
      </c>
      <c r="C2983" s="2" t="s">
        <v>7086</v>
      </c>
      <c r="D2983" s="2" t="s">
        <v>7087</v>
      </c>
      <c r="E2983" s="2" t="s">
        <v>7088</v>
      </c>
      <c r="F2983" s="2" t="s">
        <v>7089</v>
      </c>
      <c r="G2983" s="2" t="s">
        <v>31</v>
      </c>
      <c r="H2983" s="17">
        <v>25</v>
      </c>
      <c r="I2983" s="31">
        <f t="shared" si="288"/>
        <v>25000</v>
      </c>
      <c r="J2983" s="31">
        <f t="shared" si="289"/>
        <v>1750.0000000000002</v>
      </c>
      <c r="K2983" s="44">
        <f t="shared" si="290"/>
        <v>4.794520547945206</v>
      </c>
      <c r="L2983" s="3">
        <f t="shared" si="291"/>
        <v>354.79452054794524</v>
      </c>
      <c r="M2983" s="3">
        <f t="shared" si="292"/>
        <v>21.287671232876715</v>
      </c>
      <c r="N2983" s="67">
        <f t="shared" si="293"/>
        <v>333.50684931506851</v>
      </c>
      <c r="O2983" s="3"/>
      <c r="P2983" s="70" t="s">
        <v>18614</v>
      </c>
      <c r="Q2983" s="2" t="s">
        <v>137</v>
      </c>
      <c r="R2983" s="2" t="s">
        <v>7090</v>
      </c>
      <c r="T2983" t="s">
        <v>18666</v>
      </c>
      <c r="U2983" t="s">
        <v>18652</v>
      </c>
      <c r="V2983" s="104">
        <v>45857</v>
      </c>
      <c r="X2983" s="97"/>
      <c r="Y2983" s="75">
        <v>333.51</v>
      </c>
    </row>
    <row r="2984" spans="1:25" x14ac:dyDescent="0.25">
      <c r="A2984" s="76">
        <v>3016</v>
      </c>
      <c r="B2984" s="2" t="s">
        <v>7426</v>
      </c>
      <c r="C2984" s="2" t="s">
        <v>7427</v>
      </c>
      <c r="D2984" s="2" t="s">
        <v>7428</v>
      </c>
      <c r="E2984" s="2" t="s">
        <v>7429</v>
      </c>
      <c r="F2984" s="2" t="s">
        <v>7430</v>
      </c>
      <c r="G2984" s="2" t="s">
        <v>835</v>
      </c>
      <c r="H2984" s="17">
        <v>1000</v>
      </c>
      <c r="I2984" s="31">
        <f t="shared" si="288"/>
        <v>1000000</v>
      </c>
      <c r="J2984" s="31">
        <f t="shared" si="289"/>
        <v>70000</v>
      </c>
      <c r="K2984" s="44">
        <f t="shared" si="290"/>
        <v>191.78082191780823</v>
      </c>
      <c r="L2984" s="3">
        <f t="shared" si="291"/>
        <v>14191.780821917808</v>
      </c>
      <c r="M2984" s="3">
        <f t="shared" si="292"/>
        <v>851.50684931506839</v>
      </c>
      <c r="N2984" s="67">
        <f t="shared" si="293"/>
        <v>13340.273972602739</v>
      </c>
      <c r="O2984" s="3"/>
      <c r="P2984" s="70" t="s">
        <v>18614</v>
      </c>
      <c r="Q2984" s="2" t="s">
        <v>137</v>
      </c>
      <c r="R2984" s="2" t="s">
        <v>7431</v>
      </c>
      <c r="T2984" t="s">
        <v>18666</v>
      </c>
      <c r="U2984" t="s">
        <v>18652</v>
      </c>
      <c r="V2984" s="104">
        <v>45857</v>
      </c>
      <c r="X2984" s="97"/>
      <c r="Y2984" s="75">
        <v>13340.28</v>
      </c>
    </row>
    <row r="2985" spans="1:25" x14ac:dyDescent="0.25">
      <c r="A2985" s="76">
        <v>3017</v>
      </c>
      <c r="B2985" s="2" t="s">
        <v>9103</v>
      </c>
      <c r="C2985" s="2" t="s">
        <v>9104</v>
      </c>
      <c r="D2985" s="2" t="s">
        <v>9105</v>
      </c>
      <c r="E2985" s="2" t="s">
        <v>9106</v>
      </c>
      <c r="F2985" s="2" t="s">
        <v>9107</v>
      </c>
      <c r="G2985" s="2" t="s">
        <v>2571</v>
      </c>
      <c r="H2985" s="17">
        <v>25</v>
      </c>
      <c r="I2985" s="31">
        <f t="shared" si="288"/>
        <v>25000</v>
      </c>
      <c r="J2985" s="31">
        <f t="shared" si="289"/>
        <v>1750.0000000000002</v>
      </c>
      <c r="K2985" s="44">
        <f t="shared" si="290"/>
        <v>4.794520547945206</v>
      </c>
      <c r="L2985" s="3">
        <f t="shared" si="291"/>
        <v>354.79452054794524</v>
      </c>
      <c r="M2985" s="3">
        <f t="shared" si="292"/>
        <v>21.287671232876715</v>
      </c>
      <c r="N2985" s="67">
        <f t="shared" si="293"/>
        <v>333.50684931506851</v>
      </c>
      <c r="O2985" s="3"/>
      <c r="P2985" s="70" t="s">
        <v>18614</v>
      </c>
      <c r="Q2985" s="2" t="s">
        <v>137</v>
      </c>
      <c r="R2985" s="2" t="s">
        <v>9108</v>
      </c>
      <c r="T2985" t="s">
        <v>18666</v>
      </c>
      <c r="U2985" t="s">
        <v>18652</v>
      </c>
      <c r="V2985" s="104">
        <v>45857</v>
      </c>
      <c r="X2985" s="97"/>
      <c r="Y2985" s="75">
        <v>333.51</v>
      </c>
    </row>
    <row r="2986" spans="1:25" x14ac:dyDescent="0.25">
      <c r="A2986" s="76">
        <v>3018</v>
      </c>
      <c r="B2986" s="2" t="s">
        <v>16880</v>
      </c>
      <c r="C2986" s="2" t="s">
        <v>16881</v>
      </c>
      <c r="D2986" s="2" t="s">
        <v>16882</v>
      </c>
      <c r="E2986" s="2" t="s">
        <v>16883</v>
      </c>
      <c r="F2986" s="2" t="s">
        <v>16884</v>
      </c>
      <c r="G2986" s="2" t="s">
        <v>218</v>
      </c>
      <c r="H2986" s="17">
        <v>25</v>
      </c>
      <c r="I2986" s="31">
        <f t="shared" si="288"/>
        <v>25000</v>
      </c>
      <c r="J2986" s="31">
        <f t="shared" si="289"/>
        <v>1750.0000000000002</v>
      </c>
      <c r="K2986" s="44">
        <f t="shared" si="290"/>
        <v>4.794520547945206</v>
      </c>
      <c r="L2986" s="3">
        <f t="shared" si="291"/>
        <v>354.79452054794524</v>
      </c>
      <c r="M2986" s="3">
        <f t="shared" si="292"/>
        <v>21.287671232876715</v>
      </c>
      <c r="N2986" s="67">
        <f t="shared" si="293"/>
        <v>333.50684931506851</v>
      </c>
      <c r="O2986" s="3"/>
      <c r="P2986" s="70" t="s">
        <v>18614</v>
      </c>
      <c r="Q2986" s="2" t="s">
        <v>137</v>
      </c>
      <c r="R2986" s="2" t="s">
        <v>16885</v>
      </c>
      <c r="T2986" t="s">
        <v>18666</v>
      </c>
      <c r="U2986" t="s">
        <v>18652</v>
      </c>
      <c r="V2986" s="104">
        <v>45857</v>
      </c>
      <c r="X2986" s="97"/>
      <c r="Y2986" s="75">
        <v>333.51</v>
      </c>
    </row>
    <row r="2987" spans="1:25" x14ac:dyDescent="0.25">
      <c r="A2987" s="76">
        <v>3019</v>
      </c>
      <c r="B2987" s="2" t="s">
        <v>3394</v>
      </c>
      <c r="C2987" s="2" t="s">
        <v>3395</v>
      </c>
      <c r="D2987" s="2" t="s">
        <v>3396</v>
      </c>
      <c r="E2987" s="2" t="s">
        <v>3397</v>
      </c>
      <c r="F2987" s="2" t="s">
        <v>3398</v>
      </c>
      <c r="G2987" s="2" t="s">
        <v>3399</v>
      </c>
      <c r="H2987" s="17">
        <v>100</v>
      </c>
      <c r="I2987" s="31">
        <f t="shared" si="288"/>
        <v>100000</v>
      </c>
      <c r="J2987" s="31">
        <f t="shared" si="289"/>
        <v>7000.0000000000009</v>
      </c>
      <c r="K2987" s="44">
        <f t="shared" si="290"/>
        <v>19.178082191780824</v>
      </c>
      <c r="L2987" s="3">
        <f t="shared" si="291"/>
        <v>1419.178082191781</v>
      </c>
      <c r="M2987" s="3">
        <f t="shared" si="292"/>
        <v>85.150684931506859</v>
      </c>
      <c r="N2987" s="67">
        <f t="shared" si="293"/>
        <v>1334.027397260274</v>
      </c>
      <c r="O2987" s="3"/>
      <c r="P2987" s="70" t="s">
        <v>18614</v>
      </c>
      <c r="Q2987" s="2" t="s">
        <v>137</v>
      </c>
      <c r="R2987" s="2" t="s">
        <v>3400</v>
      </c>
      <c r="T2987" t="s">
        <v>18666</v>
      </c>
      <c r="U2987" t="s">
        <v>18652</v>
      </c>
      <c r="V2987" s="104">
        <v>45857</v>
      </c>
      <c r="X2987" s="97"/>
      <c r="Y2987" s="75">
        <v>1334.03</v>
      </c>
    </row>
    <row r="2988" spans="1:25" x14ac:dyDescent="0.25">
      <c r="A2988" s="76">
        <v>3020</v>
      </c>
      <c r="B2988" s="2" t="s">
        <v>8184</v>
      </c>
      <c r="C2988" s="2" t="s">
        <v>8185</v>
      </c>
      <c r="D2988" s="2" t="s">
        <v>8186</v>
      </c>
      <c r="E2988" s="2" t="s">
        <v>8187</v>
      </c>
      <c r="F2988" s="2" t="s">
        <v>8188</v>
      </c>
      <c r="G2988" s="2" t="s">
        <v>328</v>
      </c>
      <c r="H2988" s="17">
        <v>25</v>
      </c>
      <c r="I2988" s="31">
        <f t="shared" si="288"/>
        <v>25000</v>
      </c>
      <c r="J2988" s="31">
        <f t="shared" si="289"/>
        <v>1750.0000000000002</v>
      </c>
      <c r="K2988" s="44">
        <f t="shared" si="290"/>
        <v>4.794520547945206</v>
      </c>
      <c r="L2988" s="3">
        <f t="shared" si="291"/>
        <v>354.79452054794524</v>
      </c>
      <c r="M2988" s="3">
        <f t="shared" si="292"/>
        <v>21.287671232876715</v>
      </c>
      <c r="N2988" s="67">
        <f t="shared" si="293"/>
        <v>333.50684931506851</v>
      </c>
      <c r="O2988" s="3"/>
      <c r="P2988" s="70" t="s">
        <v>18614</v>
      </c>
      <c r="Q2988" s="2" t="s">
        <v>137</v>
      </c>
      <c r="R2988" s="2" t="s">
        <v>8189</v>
      </c>
      <c r="T2988" t="s">
        <v>18666</v>
      </c>
      <c r="U2988" t="s">
        <v>18652</v>
      </c>
      <c r="V2988" s="104">
        <v>45857</v>
      </c>
      <c r="X2988" s="97"/>
      <c r="Y2988" s="75">
        <v>333.51</v>
      </c>
    </row>
    <row r="2989" spans="1:25" x14ac:dyDescent="0.25">
      <c r="A2989" s="76">
        <v>3021</v>
      </c>
      <c r="B2989" s="2" t="s">
        <v>8124</v>
      </c>
      <c r="C2989" s="2" t="s">
        <v>8125</v>
      </c>
      <c r="D2989" s="2" t="s">
        <v>8126</v>
      </c>
      <c r="E2989" s="2" t="s">
        <v>8127</v>
      </c>
      <c r="F2989" s="2" t="s">
        <v>8128</v>
      </c>
      <c r="G2989" s="2" t="s">
        <v>166</v>
      </c>
      <c r="H2989" s="17">
        <v>25</v>
      </c>
      <c r="I2989" s="31">
        <f t="shared" si="288"/>
        <v>25000</v>
      </c>
      <c r="J2989" s="31">
        <f t="shared" si="289"/>
        <v>1750.0000000000002</v>
      </c>
      <c r="K2989" s="44">
        <f t="shared" si="290"/>
        <v>4.794520547945206</v>
      </c>
      <c r="L2989" s="3">
        <f t="shared" si="291"/>
        <v>354.79452054794524</v>
      </c>
      <c r="M2989" s="3">
        <f t="shared" si="292"/>
        <v>21.287671232876715</v>
      </c>
      <c r="N2989" s="67">
        <f t="shared" si="293"/>
        <v>333.50684931506851</v>
      </c>
      <c r="O2989" s="3"/>
      <c r="P2989" s="70" t="s">
        <v>18614</v>
      </c>
      <c r="Q2989" s="2" t="s">
        <v>137</v>
      </c>
      <c r="R2989" s="2" t="s">
        <v>8129</v>
      </c>
      <c r="T2989" t="s">
        <v>18666</v>
      </c>
      <c r="U2989" t="s">
        <v>18652</v>
      </c>
      <c r="V2989" s="104">
        <v>45857</v>
      </c>
      <c r="X2989" s="97"/>
      <c r="Y2989" s="75">
        <v>333.51</v>
      </c>
    </row>
    <row r="2990" spans="1:25" x14ac:dyDescent="0.25">
      <c r="A2990" s="76">
        <v>3022</v>
      </c>
      <c r="B2990" s="2" t="s">
        <v>1000</v>
      </c>
      <c r="C2990" s="2" t="s">
        <v>1001</v>
      </c>
      <c r="D2990" s="2" t="s">
        <v>1002</v>
      </c>
      <c r="E2990" s="2" t="s">
        <v>1003</v>
      </c>
      <c r="F2990" s="2" t="s">
        <v>1004</v>
      </c>
      <c r="G2990" s="2" t="s">
        <v>876</v>
      </c>
      <c r="H2990" s="17">
        <v>50</v>
      </c>
      <c r="I2990" s="31">
        <f t="shared" si="288"/>
        <v>50000</v>
      </c>
      <c r="J2990" s="31">
        <f t="shared" si="289"/>
        <v>3500.0000000000005</v>
      </c>
      <c r="K2990" s="44">
        <f t="shared" si="290"/>
        <v>9.589041095890412</v>
      </c>
      <c r="L2990" s="3">
        <f t="shared" si="291"/>
        <v>709.58904109589048</v>
      </c>
      <c r="M2990" s="3">
        <f t="shared" si="292"/>
        <v>42.57534246575343</v>
      </c>
      <c r="N2990" s="67">
        <f t="shared" si="293"/>
        <v>667.01369863013701</v>
      </c>
      <c r="O2990" s="3"/>
      <c r="P2990" s="70" t="s">
        <v>18614</v>
      </c>
      <c r="Q2990" s="2" t="s">
        <v>137</v>
      </c>
      <c r="R2990" s="2" t="s">
        <v>1005</v>
      </c>
      <c r="T2990" t="s">
        <v>18666</v>
      </c>
      <c r="U2990" t="s">
        <v>18652</v>
      </c>
      <c r="V2990" s="104">
        <v>45857</v>
      </c>
      <c r="X2990" s="97"/>
      <c r="Y2990" s="75">
        <v>667.02</v>
      </c>
    </row>
    <row r="2991" spans="1:25" x14ac:dyDescent="0.25">
      <c r="A2991" s="76">
        <v>3023</v>
      </c>
      <c r="B2991" s="2" t="s">
        <v>15646</v>
      </c>
      <c r="C2991" s="2" t="s">
        <v>15647</v>
      </c>
      <c r="D2991" s="2" t="s">
        <v>15648</v>
      </c>
      <c r="E2991" s="2" t="s">
        <v>15649</v>
      </c>
      <c r="F2991" s="2" t="s">
        <v>15650</v>
      </c>
      <c r="G2991" s="2" t="s">
        <v>158</v>
      </c>
      <c r="H2991" s="17">
        <v>25</v>
      </c>
      <c r="I2991" s="31">
        <f t="shared" si="288"/>
        <v>25000</v>
      </c>
      <c r="J2991" s="31">
        <f t="shared" si="289"/>
        <v>1750.0000000000002</v>
      </c>
      <c r="K2991" s="44">
        <f t="shared" si="290"/>
        <v>4.794520547945206</v>
      </c>
      <c r="L2991" s="3">
        <f t="shared" si="291"/>
        <v>354.79452054794524</v>
      </c>
      <c r="M2991" s="3">
        <f t="shared" si="292"/>
        <v>21.287671232876715</v>
      </c>
      <c r="N2991" s="67">
        <f t="shared" si="293"/>
        <v>333.50684931506851</v>
      </c>
      <c r="O2991" s="3"/>
      <c r="P2991" s="70" t="s">
        <v>18614</v>
      </c>
      <c r="Q2991" s="2" t="s">
        <v>137</v>
      </c>
      <c r="R2991" s="2" t="s">
        <v>15651</v>
      </c>
      <c r="T2991" t="s">
        <v>18666</v>
      </c>
      <c r="U2991" t="s">
        <v>18652</v>
      </c>
      <c r="V2991" s="104">
        <v>45857</v>
      </c>
      <c r="X2991" s="97"/>
      <c r="Y2991" s="75">
        <v>333.51</v>
      </c>
    </row>
    <row r="2992" spans="1:25" x14ac:dyDescent="0.25">
      <c r="A2992" s="76">
        <v>3024</v>
      </c>
      <c r="B2992" s="2" t="s">
        <v>132</v>
      </c>
      <c r="C2992" s="2" t="s">
        <v>133</v>
      </c>
      <c r="D2992" s="2" t="s">
        <v>134</v>
      </c>
      <c r="E2992" s="2" t="s">
        <v>135</v>
      </c>
      <c r="F2992" s="2" t="s">
        <v>136</v>
      </c>
      <c r="G2992" s="2" t="s">
        <v>31</v>
      </c>
      <c r="H2992" s="17">
        <v>1000</v>
      </c>
      <c r="I2992" s="31">
        <f t="shared" si="288"/>
        <v>1000000</v>
      </c>
      <c r="J2992" s="31">
        <f t="shared" si="289"/>
        <v>70000</v>
      </c>
      <c r="K2992" s="44">
        <f t="shared" si="290"/>
        <v>191.78082191780823</v>
      </c>
      <c r="L2992" s="3">
        <f t="shared" si="291"/>
        <v>14191.780821917808</v>
      </c>
      <c r="M2992" s="3">
        <f t="shared" si="292"/>
        <v>851.50684931506839</v>
      </c>
      <c r="N2992" s="67">
        <f t="shared" si="293"/>
        <v>13340.273972602739</v>
      </c>
      <c r="O2992" s="3"/>
      <c r="P2992" s="70" t="s">
        <v>18614</v>
      </c>
      <c r="Q2992" s="2" t="s">
        <v>137</v>
      </c>
      <c r="R2992" s="2" t="s">
        <v>138</v>
      </c>
      <c r="T2992" t="s">
        <v>18666</v>
      </c>
      <c r="U2992" t="s">
        <v>18652</v>
      </c>
      <c r="V2992" s="104">
        <v>45857</v>
      </c>
      <c r="X2992" s="97"/>
      <c r="Y2992" s="75">
        <v>13340.28</v>
      </c>
    </row>
    <row r="2993" spans="1:25" x14ac:dyDescent="0.25">
      <c r="A2993" s="76">
        <v>3025</v>
      </c>
      <c r="B2993" s="2" t="s">
        <v>4010</v>
      </c>
      <c r="C2993" s="2" t="s">
        <v>4011</v>
      </c>
      <c r="D2993" s="2" t="s">
        <v>4012</v>
      </c>
      <c r="E2993" s="2" t="s">
        <v>4013</v>
      </c>
      <c r="F2993" s="2" t="s">
        <v>4014</v>
      </c>
      <c r="G2993" s="2" t="s">
        <v>835</v>
      </c>
      <c r="H2993" s="17">
        <v>100</v>
      </c>
      <c r="I2993" s="31">
        <f t="shared" si="288"/>
        <v>100000</v>
      </c>
      <c r="J2993" s="31">
        <f t="shared" si="289"/>
        <v>7000.0000000000009</v>
      </c>
      <c r="K2993" s="44">
        <f t="shared" si="290"/>
        <v>19.178082191780824</v>
      </c>
      <c r="L2993" s="3">
        <f t="shared" si="291"/>
        <v>1419.178082191781</v>
      </c>
      <c r="M2993" s="3">
        <f t="shared" si="292"/>
        <v>85.150684931506859</v>
      </c>
      <c r="N2993" s="67">
        <f t="shared" si="293"/>
        <v>1334.027397260274</v>
      </c>
      <c r="O2993" s="3"/>
      <c r="P2993" s="70" t="s">
        <v>18614</v>
      </c>
      <c r="Q2993" s="2" t="s">
        <v>137</v>
      </c>
      <c r="R2993" s="2" t="s">
        <v>4015</v>
      </c>
      <c r="T2993" t="s">
        <v>18666</v>
      </c>
      <c r="U2993" t="s">
        <v>18652</v>
      </c>
      <c r="V2993" s="104">
        <v>45857</v>
      </c>
      <c r="X2993" s="97"/>
      <c r="Y2993" s="75">
        <v>1334.03</v>
      </c>
    </row>
    <row r="2994" spans="1:25" x14ac:dyDescent="0.25">
      <c r="A2994" s="76">
        <v>3026</v>
      </c>
      <c r="B2994" s="2" t="s">
        <v>2494</v>
      </c>
      <c r="C2994" s="2" t="s">
        <v>2495</v>
      </c>
      <c r="D2994" s="2" t="s">
        <v>2496</v>
      </c>
      <c r="E2994" s="2" t="s">
        <v>2497</v>
      </c>
      <c r="F2994" s="2" t="s">
        <v>2498</v>
      </c>
      <c r="G2994" s="2" t="s">
        <v>750</v>
      </c>
      <c r="H2994" s="17">
        <v>25</v>
      </c>
      <c r="I2994" s="31">
        <f t="shared" si="288"/>
        <v>25000</v>
      </c>
      <c r="J2994" s="31">
        <f t="shared" si="289"/>
        <v>1750.0000000000002</v>
      </c>
      <c r="K2994" s="44">
        <f t="shared" si="290"/>
        <v>4.794520547945206</v>
      </c>
      <c r="L2994" s="3">
        <f t="shared" si="291"/>
        <v>354.79452054794524</v>
      </c>
      <c r="M2994" s="3">
        <f t="shared" si="292"/>
        <v>21.287671232876715</v>
      </c>
      <c r="N2994" s="67">
        <f t="shared" si="293"/>
        <v>333.50684931506851</v>
      </c>
      <c r="O2994" s="3"/>
      <c r="P2994" s="70" t="s">
        <v>18614</v>
      </c>
      <c r="Q2994" s="2" t="s">
        <v>137</v>
      </c>
      <c r="R2994" s="2" t="s">
        <v>2499</v>
      </c>
      <c r="T2994" t="s">
        <v>18666</v>
      </c>
      <c r="U2994" t="s">
        <v>18652</v>
      </c>
      <c r="V2994" s="104">
        <v>45857</v>
      </c>
      <c r="X2994" s="97"/>
      <c r="Y2994" s="75">
        <v>333.51</v>
      </c>
    </row>
    <row r="2995" spans="1:25" x14ac:dyDescent="0.25">
      <c r="A2995" s="76">
        <v>3027</v>
      </c>
      <c r="B2995" s="2" t="s">
        <v>3992</v>
      </c>
      <c r="C2995" s="2" t="s">
        <v>3993</v>
      </c>
      <c r="D2995" s="2" t="s">
        <v>3994</v>
      </c>
      <c r="E2995" s="2" t="s">
        <v>3995</v>
      </c>
      <c r="F2995" s="2" t="s">
        <v>3996</v>
      </c>
      <c r="G2995" s="2" t="s">
        <v>328</v>
      </c>
      <c r="H2995" s="17">
        <v>25</v>
      </c>
      <c r="I2995" s="31">
        <f t="shared" si="288"/>
        <v>25000</v>
      </c>
      <c r="J2995" s="31">
        <f t="shared" si="289"/>
        <v>1750.0000000000002</v>
      </c>
      <c r="K2995" s="44">
        <f t="shared" si="290"/>
        <v>4.794520547945206</v>
      </c>
      <c r="L2995" s="3">
        <f t="shared" si="291"/>
        <v>354.79452054794524</v>
      </c>
      <c r="M2995" s="3">
        <f t="shared" si="292"/>
        <v>21.287671232876715</v>
      </c>
      <c r="N2995" s="67">
        <f t="shared" si="293"/>
        <v>333.50684931506851</v>
      </c>
      <c r="O2995" s="3"/>
      <c r="P2995" s="70" t="s">
        <v>18614</v>
      </c>
      <c r="Q2995" s="2" t="s">
        <v>137</v>
      </c>
      <c r="R2995" s="2" t="s">
        <v>3997</v>
      </c>
      <c r="T2995" t="s">
        <v>18666</v>
      </c>
      <c r="U2995" t="s">
        <v>18652</v>
      </c>
      <c r="V2995" s="104">
        <v>45857</v>
      </c>
      <c r="X2995" s="97"/>
      <c r="Y2995" s="75">
        <v>333.51</v>
      </c>
    </row>
    <row r="2996" spans="1:25" x14ac:dyDescent="0.25">
      <c r="A2996" s="76">
        <v>3028</v>
      </c>
      <c r="B2996" s="2" t="s">
        <v>4440</v>
      </c>
      <c r="C2996" s="2" t="s">
        <v>4441</v>
      </c>
      <c r="D2996" s="2" t="s">
        <v>4442</v>
      </c>
      <c r="E2996" s="2" t="s">
        <v>4443</v>
      </c>
      <c r="F2996" s="2" t="s">
        <v>4444</v>
      </c>
      <c r="G2996" s="2" t="s">
        <v>39</v>
      </c>
      <c r="H2996" s="17">
        <v>25</v>
      </c>
      <c r="I2996" s="31">
        <f t="shared" si="288"/>
        <v>25000</v>
      </c>
      <c r="J2996" s="31">
        <f t="shared" si="289"/>
        <v>1750.0000000000002</v>
      </c>
      <c r="K2996" s="44">
        <f t="shared" si="290"/>
        <v>4.794520547945206</v>
      </c>
      <c r="L2996" s="3">
        <f t="shared" si="291"/>
        <v>354.79452054794524</v>
      </c>
      <c r="M2996" s="3">
        <f t="shared" si="292"/>
        <v>21.287671232876715</v>
      </c>
      <c r="N2996" s="67">
        <f t="shared" si="293"/>
        <v>333.50684931506851</v>
      </c>
      <c r="O2996" s="3"/>
      <c r="P2996" s="70" t="s">
        <v>18614</v>
      </c>
      <c r="Q2996" s="2" t="s">
        <v>137</v>
      </c>
      <c r="R2996" s="2" t="s">
        <v>4445</v>
      </c>
      <c r="T2996" t="s">
        <v>18666</v>
      </c>
      <c r="U2996" t="s">
        <v>18652</v>
      </c>
      <c r="V2996" s="104">
        <v>45857</v>
      </c>
      <c r="X2996" s="97"/>
      <c r="Y2996" s="75">
        <v>333.51</v>
      </c>
    </row>
    <row r="2997" spans="1:25" x14ac:dyDescent="0.25">
      <c r="A2997" s="76">
        <v>3029</v>
      </c>
      <c r="B2997" s="2" t="s">
        <v>14322</v>
      </c>
      <c r="C2997" s="2" t="s">
        <v>14323</v>
      </c>
      <c r="D2997" s="2" t="s">
        <v>14324</v>
      </c>
      <c r="E2997" s="2" t="s">
        <v>14325</v>
      </c>
      <c r="F2997" s="2" t="s">
        <v>14326</v>
      </c>
      <c r="G2997" s="2" t="s">
        <v>876</v>
      </c>
      <c r="H2997" s="17">
        <v>50</v>
      </c>
      <c r="I2997" s="31">
        <f t="shared" si="288"/>
        <v>50000</v>
      </c>
      <c r="J2997" s="31">
        <f t="shared" si="289"/>
        <v>3500.0000000000005</v>
      </c>
      <c r="K2997" s="44">
        <f t="shared" si="290"/>
        <v>9.589041095890412</v>
      </c>
      <c r="L2997" s="3">
        <f t="shared" si="291"/>
        <v>709.58904109589048</v>
      </c>
      <c r="M2997" s="3">
        <f t="shared" si="292"/>
        <v>42.57534246575343</v>
      </c>
      <c r="N2997" s="67">
        <f t="shared" si="293"/>
        <v>667.01369863013701</v>
      </c>
      <c r="O2997" s="3"/>
      <c r="P2997" s="70" t="s">
        <v>18614</v>
      </c>
      <c r="Q2997" s="2" t="s">
        <v>137</v>
      </c>
      <c r="R2997" s="2" t="s">
        <v>14327</v>
      </c>
      <c r="T2997" t="s">
        <v>18666</v>
      </c>
      <c r="U2997" t="s">
        <v>18652</v>
      </c>
      <c r="V2997" s="104">
        <v>45857</v>
      </c>
      <c r="X2997" s="97"/>
      <c r="Y2997" s="75">
        <v>667.02</v>
      </c>
    </row>
    <row r="2998" spans="1:25" x14ac:dyDescent="0.25">
      <c r="A2998" s="76">
        <v>3030</v>
      </c>
      <c r="B2998" s="2" t="s">
        <v>9305</v>
      </c>
      <c r="C2998" s="2" t="s">
        <v>7497</v>
      </c>
      <c r="D2998" s="2" t="s">
        <v>9306</v>
      </c>
      <c r="E2998" s="2" t="s">
        <v>9307</v>
      </c>
      <c r="F2998" s="2" t="s">
        <v>9308</v>
      </c>
      <c r="G2998" s="2" t="s">
        <v>61</v>
      </c>
      <c r="H2998" s="17">
        <v>25</v>
      </c>
      <c r="I2998" s="31">
        <f t="shared" si="288"/>
        <v>25000</v>
      </c>
      <c r="J2998" s="31">
        <f t="shared" si="289"/>
        <v>1750.0000000000002</v>
      </c>
      <c r="K2998" s="44">
        <f t="shared" si="290"/>
        <v>4.794520547945206</v>
      </c>
      <c r="L2998" s="3">
        <f t="shared" si="291"/>
        <v>354.79452054794524</v>
      </c>
      <c r="M2998" s="3">
        <f t="shared" si="292"/>
        <v>21.287671232876715</v>
      </c>
      <c r="N2998" s="67">
        <f t="shared" si="293"/>
        <v>333.50684931506851</v>
      </c>
      <c r="O2998" s="3"/>
      <c r="P2998" s="70" t="s">
        <v>18614</v>
      </c>
      <c r="Q2998" s="2" t="s">
        <v>137</v>
      </c>
      <c r="R2998" s="2" t="s">
        <v>9309</v>
      </c>
      <c r="T2998" t="s">
        <v>18666</v>
      </c>
      <c r="U2998" t="s">
        <v>18652</v>
      </c>
      <c r="V2998" s="104">
        <v>45857</v>
      </c>
      <c r="X2998" s="97"/>
      <c r="Y2998" s="75">
        <v>333.51</v>
      </c>
    </row>
    <row r="2999" spans="1:25" x14ac:dyDescent="0.25">
      <c r="A2999" s="76">
        <v>3031</v>
      </c>
      <c r="B2999" s="2" t="s">
        <v>953</v>
      </c>
      <c r="C2999" s="2" t="s">
        <v>954</v>
      </c>
      <c r="D2999" s="2" t="s">
        <v>955</v>
      </c>
      <c r="E2999" s="2" t="s">
        <v>716</v>
      </c>
      <c r="F2999" s="2" t="s">
        <v>956</v>
      </c>
      <c r="G2999" s="2" t="s">
        <v>643</v>
      </c>
      <c r="H2999" s="17">
        <v>30</v>
      </c>
      <c r="I2999" s="31">
        <f t="shared" si="288"/>
        <v>30000</v>
      </c>
      <c r="J2999" s="31">
        <f t="shared" si="289"/>
        <v>2100</v>
      </c>
      <c r="K2999" s="44">
        <f t="shared" si="290"/>
        <v>5.7534246575342465</v>
      </c>
      <c r="L2999" s="3">
        <f t="shared" si="291"/>
        <v>425.75342465753425</v>
      </c>
      <c r="M2999" s="3">
        <f t="shared" si="292"/>
        <v>25.545205479452054</v>
      </c>
      <c r="N2999" s="67">
        <f t="shared" si="293"/>
        <v>400.20821917808217</v>
      </c>
      <c r="O2999" s="3"/>
      <c r="P2999" s="70" t="s">
        <v>18614</v>
      </c>
      <c r="Q2999" s="2" t="s">
        <v>137</v>
      </c>
      <c r="R2999" s="2" t="s">
        <v>957</v>
      </c>
      <c r="T2999" t="s">
        <v>18666</v>
      </c>
      <c r="U2999" t="s">
        <v>18652</v>
      </c>
      <c r="V2999" s="104">
        <v>45857</v>
      </c>
      <c r="X2999" s="97"/>
      <c r="Y2999" s="75">
        <v>400.21</v>
      </c>
    </row>
    <row r="3000" spans="1:25" x14ac:dyDescent="0.25">
      <c r="A3000" s="76">
        <v>3032</v>
      </c>
      <c r="B3000" s="2" t="s">
        <v>8783</v>
      </c>
      <c r="C3000" s="2" t="s">
        <v>8784</v>
      </c>
      <c r="D3000" s="2" t="s">
        <v>8785</v>
      </c>
      <c r="E3000" s="2" t="s">
        <v>3403</v>
      </c>
      <c r="F3000" s="2" t="s">
        <v>8786</v>
      </c>
      <c r="G3000" s="2" t="s">
        <v>1570</v>
      </c>
      <c r="H3000" s="17">
        <v>25</v>
      </c>
      <c r="I3000" s="31">
        <f t="shared" si="288"/>
        <v>25000</v>
      </c>
      <c r="J3000" s="31">
        <f t="shared" si="289"/>
        <v>1750.0000000000002</v>
      </c>
      <c r="K3000" s="44">
        <f t="shared" si="290"/>
        <v>4.794520547945206</v>
      </c>
      <c r="L3000" s="3">
        <f t="shared" si="291"/>
        <v>354.79452054794524</v>
      </c>
      <c r="M3000" s="3">
        <f t="shared" si="292"/>
        <v>21.287671232876715</v>
      </c>
      <c r="N3000" s="67">
        <f t="shared" si="293"/>
        <v>333.50684931506851</v>
      </c>
      <c r="O3000" s="3"/>
      <c r="P3000" s="70" t="s">
        <v>18614</v>
      </c>
      <c r="Q3000" s="2" t="s">
        <v>137</v>
      </c>
      <c r="R3000" s="2" t="s">
        <v>8787</v>
      </c>
      <c r="T3000" t="s">
        <v>18666</v>
      </c>
      <c r="U3000" t="s">
        <v>18652</v>
      </c>
      <c r="V3000" s="104">
        <v>45857</v>
      </c>
      <c r="X3000" s="97"/>
      <c r="Y3000" s="75">
        <v>333.51</v>
      </c>
    </row>
    <row r="3001" spans="1:25" x14ac:dyDescent="0.25">
      <c r="A3001" s="76">
        <v>3033</v>
      </c>
      <c r="B3001" s="2" t="s">
        <v>15427</v>
      </c>
      <c r="C3001" s="2" t="s">
        <v>15428</v>
      </c>
      <c r="D3001" s="2" t="s">
        <v>15429</v>
      </c>
      <c r="E3001" s="2" t="s">
        <v>15430</v>
      </c>
      <c r="F3001" s="2" t="s">
        <v>15431</v>
      </c>
      <c r="G3001" s="2" t="s">
        <v>412</v>
      </c>
      <c r="H3001" s="17">
        <v>25</v>
      </c>
      <c r="I3001" s="31">
        <f t="shared" si="288"/>
        <v>25000</v>
      </c>
      <c r="J3001" s="31">
        <f t="shared" si="289"/>
        <v>1750.0000000000002</v>
      </c>
      <c r="K3001" s="44">
        <f t="shared" si="290"/>
        <v>4.794520547945206</v>
      </c>
      <c r="L3001" s="3">
        <f t="shared" si="291"/>
        <v>354.79452054794524</v>
      </c>
      <c r="M3001" s="3">
        <f t="shared" si="292"/>
        <v>21.287671232876715</v>
      </c>
      <c r="N3001" s="67">
        <f t="shared" si="293"/>
        <v>333.50684931506851</v>
      </c>
      <c r="O3001" s="3"/>
      <c r="P3001" s="70" t="s">
        <v>18614</v>
      </c>
      <c r="Q3001" s="2" t="s">
        <v>137</v>
      </c>
      <c r="R3001" s="2" t="s">
        <v>15432</v>
      </c>
      <c r="T3001" t="s">
        <v>18666</v>
      </c>
      <c r="U3001" t="s">
        <v>18652</v>
      </c>
      <c r="V3001" s="104">
        <v>45857</v>
      </c>
      <c r="X3001" s="97"/>
      <c r="Y3001" s="75">
        <v>333.51</v>
      </c>
    </row>
    <row r="3002" spans="1:25" x14ac:dyDescent="0.25">
      <c r="A3002" s="76">
        <v>3034</v>
      </c>
      <c r="B3002" s="2" t="s">
        <v>17091</v>
      </c>
      <c r="C3002" s="2" t="s">
        <v>17092</v>
      </c>
      <c r="D3002" s="2" t="s">
        <v>17093</v>
      </c>
      <c r="E3002" s="2" t="s">
        <v>17094</v>
      </c>
      <c r="F3002" s="2" t="s">
        <v>17095</v>
      </c>
      <c r="G3002" s="2" t="s">
        <v>2571</v>
      </c>
      <c r="H3002" s="17">
        <v>25</v>
      </c>
      <c r="I3002" s="31">
        <f t="shared" si="288"/>
        <v>25000</v>
      </c>
      <c r="J3002" s="31">
        <f t="shared" si="289"/>
        <v>1750.0000000000002</v>
      </c>
      <c r="K3002" s="44">
        <f t="shared" si="290"/>
        <v>4.794520547945206</v>
      </c>
      <c r="L3002" s="3">
        <f t="shared" si="291"/>
        <v>354.79452054794524</v>
      </c>
      <c r="M3002" s="3">
        <f t="shared" si="292"/>
        <v>21.287671232876715</v>
      </c>
      <c r="N3002" s="67">
        <f t="shared" si="293"/>
        <v>333.50684931506851</v>
      </c>
      <c r="O3002" s="3"/>
      <c r="P3002" s="70" t="s">
        <v>18614</v>
      </c>
      <c r="Q3002" s="2" t="s">
        <v>137</v>
      </c>
      <c r="R3002" s="2" t="s">
        <v>17096</v>
      </c>
      <c r="T3002" t="s">
        <v>18666</v>
      </c>
      <c r="U3002" t="s">
        <v>18652</v>
      </c>
      <c r="V3002" s="104">
        <v>45857</v>
      </c>
      <c r="X3002" s="97"/>
      <c r="Y3002" s="75">
        <v>333.51</v>
      </c>
    </row>
    <row r="3003" spans="1:25" x14ac:dyDescent="0.25">
      <c r="A3003" s="76">
        <v>3035</v>
      </c>
      <c r="B3003" s="2" t="s">
        <v>9504</v>
      </c>
      <c r="C3003" s="2" t="s">
        <v>9505</v>
      </c>
      <c r="D3003" s="2" t="s">
        <v>9506</v>
      </c>
      <c r="E3003" s="2" t="s">
        <v>9507</v>
      </c>
      <c r="F3003" s="2" t="s">
        <v>9508</v>
      </c>
      <c r="G3003" s="2" t="s">
        <v>218</v>
      </c>
      <c r="H3003" s="17">
        <v>100</v>
      </c>
      <c r="I3003" s="31">
        <f t="shared" si="288"/>
        <v>100000</v>
      </c>
      <c r="J3003" s="31">
        <f t="shared" si="289"/>
        <v>7000.0000000000009</v>
      </c>
      <c r="K3003" s="44">
        <f t="shared" si="290"/>
        <v>19.178082191780824</v>
      </c>
      <c r="L3003" s="3">
        <f t="shared" si="291"/>
        <v>1419.178082191781</v>
      </c>
      <c r="M3003" s="3">
        <f t="shared" si="292"/>
        <v>85.150684931506859</v>
      </c>
      <c r="N3003" s="67">
        <f t="shared" si="293"/>
        <v>1334.027397260274</v>
      </c>
      <c r="O3003" s="3"/>
      <c r="P3003" s="70" t="s">
        <v>18614</v>
      </c>
      <c r="Q3003" s="2" t="s">
        <v>137</v>
      </c>
      <c r="R3003" s="2" t="s">
        <v>9509</v>
      </c>
      <c r="T3003" t="s">
        <v>18666</v>
      </c>
      <c r="U3003" t="s">
        <v>18652</v>
      </c>
      <c r="V3003" s="104">
        <v>45857</v>
      </c>
      <c r="X3003" s="97"/>
      <c r="Y3003" s="75">
        <v>1334.03</v>
      </c>
    </row>
    <row r="3004" spans="1:25" x14ac:dyDescent="0.25">
      <c r="A3004" s="76">
        <v>3036</v>
      </c>
      <c r="B3004" s="2" t="s">
        <v>2548</v>
      </c>
      <c r="C3004" s="2" t="s">
        <v>2549</v>
      </c>
      <c r="D3004" s="2" t="s">
        <v>2550</v>
      </c>
      <c r="E3004" s="2" t="s">
        <v>2551</v>
      </c>
      <c r="F3004" s="2" t="s">
        <v>2552</v>
      </c>
      <c r="G3004" s="2" t="s">
        <v>144</v>
      </c>
      <c r="H3004" s="17">
        <v>500</v>
      </c>
      <c r="I3004" s="31">
        <f t="shared" si="288"/>
        <v>500000</v>
      </c>
      <c r="J3004" s="31">
        <f t="shared" si="289"/>
        <v>35000</v>
      </c>
      <c r="K3004" s="44">
        <f t="shared" si="290"/>
        <v>95.890410958904113</v>
      </c>
      <c r="L3004" s="3">
        <f t="shared" si="291"/>
        <v>7095.8904109589039</v>
      </c>
      <c r="M3004" s="3">
        <f t="shared" si="292"/>
        <v>425.7534246575342</v>
      </c>
      <c r="N3004" s="67">
        <f t="shared" si="293"/>
        <v>6670.1369863013697</v>
      </c>
      <c r="O3004" s="3"/>
      <c r="P3004" s="70" t="s">
        <v>18614</v>
      </c>
      <c r="Q3004" s="2" t="s">
        <v>137</v>
      </c>
      <c r="R3004" s="2" t="s">
        <v>2553</v>
      </c>
      <c r="T3004" t="s">
        <v>18666</v>
      </c>
      <c r="U3004" t="s">
        <v>18652</v>
      </c>
      <c r="V3004" s="104">
        <v>45857</v>
      </c>
      <c r="X3004" s="97"/>
      <c r="Y3004" s="75">
        <v>6670.14</v>
      </c>
    </row>
    <row r="3005" spans="1:25" x14ac:dyDescent="0.25">
      <c r="A3005" s="76">
        <v>3037</v>
      </c>
      <c r="B3005" s="2" t="s">
        <v>7954</v>
      </c>
      <c r="C3005" s="2" t="s">
        <v>7955</v>
      </c>
      <c r="D3005" s="2" t="s">
        <v>7956</v>
      </c>
      <c r="E3005" s="2" t="s">
        <v>7957</v>
      </c>
      <c r="F3005" s="2" t="s">
        <v>7958</v>
      </c>
      <c r="G3005" s="2" t="s">
        <v>750</v>
      </c>
      <c r="H3005" s="17">
        <v>25</v>
      </c>
      <c r="I3005" s="31">
        <f t="shared" si="288"/>
        <v>25000</v>
      </c>
      <c r="J3005" s="31">
        <f t="shared" si="289"/>
        <v>1750.0000000000002</v>
      </c>
      <c r="K3005" s="44">
        <f t="shared" si="290"/>
        <v>4.794520547945206</v>
      </c>
      <c r="L3005" s="3">
        <f t="shared" si="291"/>
        <v>354.79452054794524</v>
      </c>
      <c r="M3005" s="3">
        <f t="shared" si="292"/>
        <v>21.287671232876715</v>
      </c>
      <c r="N3005" s="67">
        <f t="shared" si="293"/>
        <v>333.50684931506851</v>
      </c>
      <c r="O3005" s="3"/>
      <c r="P3005" s="70" t="s">
        <v>18614</v>
      </c>
      <c r="Q3005" s="2" t="s">
        <v>137</v>
      </c>
      <c r="R3005" s="2" t="s">
        <v>7959</v>
      </c>
      <c r="T3005" t="s">
        <v>18666</v>
      </c>
      <c r="U3005" t="s">
        <v>18652</v>
      </c>
      <c r="V3005" s="104">
        <v>45857</v>
      </c>
      <c r="X3005" s="97"/>
      <c r="Y3005" s="75">
        <v>333.51</v>
      </c>
    </row>
    <row r="3006" spans="1:25" x14ac:dyDescent="0.25">
      <c r="A3006" s="76">
        <v>3038</v>
      </c>
      <c r="B3006" s="2" t="s">
        <v>15520</v>
      </c>
      <c r="C3006" s="2" t="s">
        <v>15521</v>
      </c>
      <c r="D3006" s="2" t="s">
        <v>15522</v>
      </c>
      <c r="E3006" s="2" t="s">
        <v>15523</v>
      </c>
      <c r="F3006" s="2" t="s">
        <v>15524</v>
      </c>
      <c r="G3006" s="2" t="s">
        <v>381</v>
      </c>
      <c r="H3006" s="17">
        <v>25</v>
      </c>
      <c r="I3006" s="31">
        <f t="shared" si="288"/>
        <v>25000</v>
      </c>
      <c r="J3006" s="31">
        <f t="shared" si="289"/>
        <v>1750.0000000000002</v>
      </c>
      <c r="K3006" s="44">
        <f t="shared" si="290"/>
        <v>4.794520547945206</v>
      </c>
      <c r="L3006" s="3">
        <f t="shared" si="291"/>
        <v>354.79452054794524</v>
      </c>
      <c r="M3006" s="3">
        <f t="shared" si="292"/>
        <v>21.287671232876715</v>
      </c>
      <c r="N3006" s="67">
        <f t="shared" si="293"/>
        <v>333.50684931506851</v>
      </c>
      <c r="O3006" s="3"/>
      <c r="P3006" s="70" t="s">
        <v>18614</v>
      </c>
      <c r="Q3006" s="2" t="s">
        <v>137</v>
      </c>
      <c r="R3006" s="2" t="s">
        <v>15525</v>
      </c>
      <c r="T3006" t="s">
        <v>18666</v>
      </c>
      <c r="U3006" t="s">
        <v>18652</v>
      </c>
      <c r="V3006" s="104">
        <v>45857</v>
      </c>
      <c r="X3006" s="97"/>
      <c r="Y3006" s="75">
        <v>333.51</v>
      </c>
    </row>
    <row r="3007" spans="1:25" x14ac:dyDescent="0.25">
      <c r="A3007" s="76">
        <v>3039</v>
      </c>
      <c r="B3007" s="2" t="s">
        <v>16501</v>
      </c>
      <c r="C3007" s="2" t="s">
        <v>16502</v>
      </c>
      <c r="D3007" s="2" t="s">
        <v>16503</v>
      </c>
      <c r="E3007" s="2" t="s">
        <v>16504</v>
      </c>
      <c r="F3007" s="2" t="s">
        <v>16505</v>
      </c>
      <c r="G3007" s="2" t="s">
        <v>381</v>
      </c>
      <c r="H3007" s="17">
        <v>105</v>
      </c>
      <c r="I3007" s="31">
        <f t="shared" si="288"/>
        <v>105000</v>
      </c>
      <c r="J3007" s="31">
        <f t="shared" si="289"/>
        <v>7350.0000000000009</v>
      </c>
      <c r="K3007" s="44">
        <f t="shared" si="290"/>
        <v>20.136986301369866</v>
      </c>
      <c r="L3007" s="3">
        <f t="shared" si="291"/>
        <v>1490.1369863013701</v>
      </c>
      <c r="M3007" s="3">
        <f t="shared" si="292"/>
        <v>89.408219178082206</v>
      </c>
      <c r="N3007" s="67">
        <f t="shared" si="293"/>
        <v>1400.728767123288</v>
      </c>
      <c r="O3007" s="3"/>
      <c r="P3007" s="70" t="s">
        <v>18614</v>
      </c>
      <c r="Q3007" s="2" t="s">
        <v>137</v>
      </c>
      <c r="R3007" s="2" t="s">
        <v>16506</v>
      </c>
      <c r="T3007" t="s">
        <v>18666</v>
      </c>
      <c r="U3007" t="s">
        <v>18652</v>
      </c>
      <c r="V3007" s="104">
        <v>45857</v>
      </c>
      <c r="X3007" s="97"/>
      <c r="Y3007" s="75">
        <v>1400.73</v>
      </c>
    </row>
    <row r="3008" spans="1:25" x14ac:dyDescent="0.25">
      <c r="A3008" s="76">
        <v>3040</v>
      </c>
      <c r="B3008" s="2" t="s">
        <v>10296</v>
      </c>
      <c r="C3008" s="2" t="s">
        <v>10297</v>
      </c>
      <c r="D3008" s="2" t="s">
        <v>10298</v>
      </c>
      <c r="E3008" s="2" t="s">
        <v>10299</v>
      </c>
      <c r="F3008" s="2" t="s">
        <v>10300</v>
      </c>
      <c r="G3008" s="2" t="s">
        <v>643</v>
      </c>
      <c r="H3008" s="17">
        <v>100</v>
      </c>
      <c r="I3008" s="31">
        <f t="shared" si="288"/>
        <v>100000</v>
      </c>
      <c r="J3008" s="31">
        <f t="shared" si="289"/>
        <v>7000.0000000000009</v>
      </c>
      <c r="K3008" s="44">
        <f t="shared" si="290"/>
        <v>19.178082191780824</v>
      </c>
      <c r="L3008" s="3">
        <f t="shared" si="291"/>
        <v>1419.178082191781</v>
      </c>
      <c r="M3008" s="3">
        <f t="shared" si="292"/>
        <v>85.150684931506859</v>
      </c>
      <c r="N3008" s="67">
        <f t="shared" si="293"/>
        <v>1334.027397260274</v>
      </c>
      <c r="O3008" s="3"/>
      <c r="P3008" s="70" t="s">
        <v>18614</v>
      </c>
      <c r="Q3008" s="2" t="s">
        <v>137</v>
      </c>
      <c r="R3008" s="2" t="s">
        <v>10301</v>
      </c>
      <c r="T3008" t="s">
        <v>18666</v>
      </c>
      <c r="U3008" t="s">
        <v>18652</v>
      </c>
      <c r="V3008" s="104">
        <v>45857</v>
      </c>
      <c r="X3008" s="97"/>
      <c r="Y3008" s="75">
        <v>1334.03</v>
      </c>
    </row>
    <row r="3009" spans="1:25" x14ac:dyDescent="0.25">
      <c r="A3009" s="76">
        <v>3041</v>
      </c>
      <c r="B3009" s="2" t="s">
        <v>10335</v>
      </c>
      <c r="C3009" s="2" t="s">
        <v>10336</v>
      </c>
      <c r="D3009" s="2" t="s">
        <v>10337</v>
      </c>
      <c r="E3009" s="2" t="s">
        <v>10338</v>
      </c>
      <c r="F3009" s="2" t="s">
        <v>10339</v>
      </c>
      <c r="G3009" s="2" t="s">
        <v>31</v>
      </c>
      <c r="H3009" s="17">
        <v>100</v>
      </c>
      <c r="I3009" s="31">
        <f t="shared" si="288"/>
        <v>100000</v>
      </c>
      <c r="J3009" s="31">
        <f t="shared" si="289"/>
        <v>7000.0000000000009</v>
      </c>
      <c r="K3009" s="44">
        <f t="shared" si="290"/>
        <v>19.178082191780824</v>
      </c>
      <c r="L3009" s="3">
        <f t="shared" si="291"/>
        <v>1419.178082191781</v>
      </c>
      <c r="M3009" s="3">
        <f t="shared" si="292"/>
        <v>85.150684931506859</v>
      </c>
      <c r="N3009" s="67">
        <f t="shared" si="293"/>
        <v>1334.027397260274</v>
      </c>
      <c r="O3009" s="3"/>
      <c r="P3009" s="70" t="s">
        <v>18614</v>
      </c>
      <c r="Q3009" s="2" t="s">
        <v>137</v>
      </c>
      <c r="R3009" s="2" t="s">
        <v>10340</v>
      </c>
      <c r="T3009" t="s">
        <v>18666</v>
      </c>
      <c r="U3009" t="s">
        <v>18652</v>
      </c>
      <c r="V3009" s="104">
        <v>45857</v>
      </c>
      <c r="X3009" s="97"/>
      <c r="Y3009" s="75">
        <v>1334.03</v>
      </c>
    </row>
    <row r="3010" spans="1:25" x14ac:dyDescent="0.25">
      <c r="A3010" s="76">
        <v>3042</v>
      </c>
      <c r="B3010" s="2" t="s">
        <v>15022</v>
      </c>
      <c r="C3010" s="2" t="s">
        <v>15023</v>
      </c>
      <c r="D3010" s="2" t="s">
        <v>15024</v>
      </c>
      <c r="E3010" s="2" t="s">
        <v>2287</v>
      </c>
      <c r="F3010" s="2" t="s">
        <v>15025</v>
      </c>
      <c r="G3010" s="2" t="s">
        <v>2673</v>
      </c>
      <c r="H3010" s="17">
        <v>25</v>
      </c>
      <c r="I3010" s="31">
        <f t="shared" si="288"/>
        <v>25000</v>
      </c>
      <c r="J3010" s="31">
        <f t="shared" si="289"/>
        <v>1750.0000000000002</v>
      </c>
      <c r="K3010" s="44">
        <f t="shared" si="290"/>
        <v>4.794520547945206</v>
      </c>
      <c r="L3010" s="3">
        <f t="shared" si="291"/>
        <v>354.79452054794524</v>
      </c>
      <c r="M3010" s="3">
        <f t="shared" si="292"/>
        <v>21.287671232876715</v>
      </c>
      <c r="N3010" s="67">
        <f t="shared" si="293"/>
        <v>333.50684931506851</v>
      </c>
      <c r="O3010" s="3"/>
      <c r="P3010" s="70" t="s">
        <v>18614</v>
      </c>
      <c r="Q3010" s="2" t="s">
        <v>137</v>
      </c>
      <c r="R3010" s="2" t="s">
        <v>15026</v>
      </c>
      <c r="T3010" t="s">
        <v>18666</v>
      </c>
      <c r="U3010" t="s">
        <v>18652</v>
      </c>
      <c r="V3010" s="104">
        <v>45857</v>
      </c>
      <c r="X3010" s="97"/>
      <c r="Y3010" s="75">
        <v>333.51</v>
      </c>
    </row>
    <row r="3011" spans="1:25" x14ac:dyDescent="0.25">
      <c r="A3011" s="76">
        <v>3043</v>
      </c>
      <c r="B3011" s="2" t="s">
        <v>13286</v>
      </c>
      <c r="C3011" s="2" t="s">
        <v>66</v>
      </c>
      <c r="D3011" s="2" t="s">
        <v>13287</v>
      </c>
      <c r="E3011" s="2" t="s">
        <v>13288</v>
      </c>
      <c r="F3011" s="2" t="s">
        <v>13289</v>
      </c>
      <c r="G3011" s="2" t="s">
        <v>31</v>
      </c>
      <c r="H3011" s="17">
        <v>1000</v>
      </c>
      <c r="I3011" s="31">
        <f t="shared" si="288"/>
        <v>1000000</v>
      </c>
      <c r="J3011" s="31">
        <f t="shared" si="289"/>
        <v>70000</v>
      </c>
      <c r="K3011" s="44">
        <f t="shared" si="290"/>
        <v>191.78082191780823</v>
      </c>
      <c r="L3011" s="3">
        <f t="shared" si="291"/>
        <v>14191.780821917808</v>
      </c>
      <c r="M3011" s="3">
        <f t="shared" si="292"/>
        <v>851.50684931506839</v>
      </c>
      <c r="N3011" s="67">
        <f t="shared" si="293"/>
        <v>13340.273972602739</v>
      </c>
      <c r="O3011" s="3"/>
      <c r="P3011" s="70" t="s">
        <v>18614</v>
      </c>
      <c r="Q3011" s="2" t="s">
        <v>137</v>
      </c>
      <c r="R3011" s="2" t="s">
        <v>13290</v>
      </c>
      <c r="T3011" t="s">
        <v>18666</v>
      </c>
      <c r="U3011" t="s">
        <v>18652</v>
      </c>
      <c r="V3011" s="104">
        <v>45857</v>
      </c>
      <c r="X3011" s="97"/>
      <c r="Y3011" s="75">
        <v>13340.28</v>
      </c>
    </row>
    <row r="3012" spans="1:25" x14ac:dyDescent="0.25">
      <c r="A3012" s="76">
        <v>3044</v>
      </c>
      <c r="B3012" s="2" t="s">
        <v>4836</v>
      </c>
      <c r="C3012" s="2" t="s">
        <v>4837</v>
      </c>
      <c r="D3012" s="2" t="s">
        <v>4838</v>
      </c>
      <c r="E3012" s="2" t="s">
        <v>4839</v>
      </c>
      <c r="F3012" s="2" t="s">
        <v>4840</v>
      </c>
      <c r="G3012" s="2" t="s">
        <v>381</v>
      </c>
      <c r="H3012" s="17">
        <v>100</v>
      </c>
      <c r="I3012" s="31">
        <f t="shared" si="288"/>
        <v>100000</v>
      </c>
      <c r="J3012" s="31">
        <f t="shared" si="289"/>
        <v>7000.0000000000009</v>
      </c>
      <c r="K3012" s="44">
        <f t="shared" si="290"/>
        <v>19.178082191780824</v>
      </c>
      <c r="L3012" s="3">
        <f t="shared" si="291"/>
        <v>1419.178082191781</v>
      </c>
      <c r="M3012" s="3">
        <f t="shared" si="292"/>
        <v>85.150684931506859</v>
      </c>
      <c r="N3012" s="67">
        <f t="shared" si="293"/>
        <v>1334.027397260274</v>
      </c>
      <c r="O3012" s="3"/>
      <c r="P3012" s="70" t="s">
        <v>18614</v>
      </c>
      <c r="Q3012" s="2" t="s">
        <v>137</v>
      </c>
      <c r="R3012" s="2" t="s">
        <v>4841</v>
      </c>
      <c r="T3012" t="s">
        <v>18666</v>
      </c>
      <c r="U3012" t="s">
        <v>18652</v>
      </c>
      <c r="V3012" s="104">
        <v>45857</v>
      </c>
      <c r="X3012" s="97"/>
      <c r="Y3012" s="75">
        <v>1334.03</v>
      </c>
    </row>
    <row r="3013" spans="1:25" x14ac:dyDescent="0.25">
      <c r="A3013" s="76">
        <v>3045</v>
      </c>
      <c r="B3013" s="2" t="s">
        <v>14328</v>
      </c>
      <c r="C3013" s="2" t="s">
        <v>14329</v>
      </c>
      <c r="D3013" s="2" t="s">
        <v>14330</v>
      </c>
      <c r="E3013" s="2" t="s">
        <v>14331</v>
      </c>
      <c r="F3013" s="2" t="s">
        <v>14332</v>
      </c>
      <c r="G3013" s="2" t="s">
        <v>524</v>
      </c>
      <c r="H3013" s="17">
        <v>25</v>
      </c>
      <c r="I3013" s="31">
        <f t="shared" si="288"/>
        <v>25000</v>
      </c>
      <c r="J3013" s="31">
        <f t="shared" si="289"/>
        <v>1750.0000000000002</v>
      </c>
      <c r="K3013" s="44">
        <f t="shared" si="290"/>
        <v>4.794520547945206</v>
      </c>
      <c r="L3013" s="3">
        <f t="shared" si="291"/>
        <v>354.79452054794524</v>
      </c>
      <c r="M3013" s="3">
        <f t="shared" si="292"/>
        <v>21.287671232876715</v>
      </c>
      <c r="N3013" s="67">
        <f t="shared" si="293"/>
        <v>333.50684931506851</v>
      </c>
      <c r="O3013" s="3"/>
      <c r="P3013" s="70" t="s">
        <v>18614</v>
      </c>
      <c r="Q3013" s="2" t="s">
        <v>137</v>
      </c>
      <c r="R3013" s="2" t="s">
        <v>14333</v>
      </c>
      <c r="T3013" t="s">
        <v>18666</v>
      </c>
      <c r="U3013" t="s">
        <v>18652</v>
      </c>
      <c r="V3013" s="104">
        <v>45857</v>
      </c>
      <c r="X3013" s="97"/>
      <c r="Y3013" s="75">
        <v>333.51</v>
      </c>
    </row>
    <row r="3014" spans="1:25" x14ac:dyDescent="0.25">
      <c r="A3014" s="76">
        <v>3046</v>
      </c>
      <c r="B3014" s="2" t="s">
        <v>657</v>
      </c>
      <c r="C3014" s="2" t="s">
        <v>658</v>
      </c>
      <c r="D3014" s="2" t="s">
        <v>659</v>
      </c>
      <c r="E3014" s="2" t="s">
        <v>660</v>
      </c>
      <c r="F3014" s="2" t="s">
        <v>661</v>
      </c>
      <c r="G3014" s="2" t="s">
        <v>381</v>
      </c>
      <c r="H3014" s="17">
        <v>35</v>
      </c>
      <c r="I3014" s="31">
        <f t="shared" si="288"/>
        <v>35000</v>
      </c>
      <c r="J3014" s="31">
        <f t="shared" si="289"/>
        <v>2450.0000000000005</v>
      </c>
      <c r="K3014" s="44">
        <f t="shared" si="290"/>
        <v>6.7123287671232887</v>
      </c>
      <c r="L3014" s="3">
        <f t="shared" si="291"/>
        <v>496.71232876712338</v>
      </c>
      <c r="M3014" s="3">
        <f t="shared" si="292"/>
        <v>29.802739726027401</v>
      </c>
      <c r="N3014" s="67">
        <f t="shared" si="293"/>
        <v>466.90958904109596</v>
      </c>
      <c r="O3014" s="3"/>
      <c r="P3014" s="70" t="s">
        <v>18614</v>
      </c>
      <c r="Q3014" s="2" t="s">
        <v>137</v>
      </c>
      <c r="R3014" s="2" t="s">
        <v>662</v>
      </c>
      <c r="T3014" t="s">
        <v>18666</v>
      </c>
      <c r="U3014" t="s">
        <v>18652</v>
      </c>
      <c r="V3014" s="104">
        <v>45857</v>
      </c>
      <c r="X3014" s="97"/>
      <c r="Y3014" s="75">
        <v>466.90999999999997</v>
      </c>
    </row>
    <row r="3015" spans="1:25" x14ac:dyDescent="0.25">
      <c r="A3015" s="76">
        <v>3047</v>
      </c>
      <c r="B3015" s="2" t="s">
        <v>17569</v>
      </c>
      <c r="C3015" s="2" t="s">
        <v>17570</v>
      </c>
      <c r="D3015" s="2" t="s">
        <v>17571</v>
      </c>
      <c r="E3015" s="2" t="s">
        <v>17572</v>
      </c>
      <c r="F3015" s="2" t="s">
        <v>17573</v>
      </c>
      <c r="G3015" s="2" t="s">
        <v>835</v>
      </c>
      <c r="H3015" s="17">
        <v>25</v>
      </c>
      <c r="I3015" s="31">
        <f t="shared" si="288"/>
        <v>25000</v>
      </c>
      <c r="J3015" s="31">
        <f t="shared" si="289"/>
        <v>1750.0000000000002</v>
      </c>
      <c r="K3015" s="44">
        <f t="shared" si="290"/>
        <v>4.794520547945206</v>
      </c>
      <c r="L3015" s="3">
        <f t="shared" si="291"/>
        <v>354.79452054794524</v>
      </c>
      <c r="M3015" s="3">
        <f t="shared" si="292"/>
        <v>21.287671232876715</v>
      </c>
      <c r="N3015" s="67">
        <f t="shared" si="293"/>
        <v>333.50684931506851</v>
      </c>
      <c r="O3015" s="3"/>
      <c r="P3015" s="70" t="s">
        <v>18614</v>
      </c>
      <c r="Q3015" s="2" t="s">
        <v>137</v>
      </c>
      <c r="R3015" s="2" t="s">
        <v>17574</v>
      </c>
      <c r="T3015" t="s">
        <v>18666</v>
      </c>
      <c r="U3015" t="s">
        <v>18652</v>
      </c>
      <c r="V3015" s="104">
        <v>45857</v>
      </c>
      <c r="X3015" s="97"/>
      <c r="Y3015" s="75">
        <v>333.51</v>
      </c>
    </row>
    <row r="3016" spans="1:25" x14ac:dyDescent="0.25">
      <c r="A3016" s="76">
        <v>3048</v>
      </c>
      <c r="B3016" s="2" t="s">
        <v>7114</v>
      </c>
      <c r="C3016" s="2" t="s">
        <v>7115</v>
      </c>
      <c r="D3016" s="2" t="s">
        <v>5669</v>
      </c>
      <c r="E3016" s="2" t="s">
        <v>7116</v>
      </c>
      <c r="F3016" s="2" t="s">
        <v>7117</v>
      </c>
      <c r="G3016" s="2" t="s">
        <v>31</v>
      </c>
      <c r="H3016" s="17">
        <v>25</v>
      </c>
      <c r="I3016" s="31">
        <f t="shared" si="288"/>
        <v>25000</v>
      </c>
      <c r="J3016" s="31">
        <f t="shared" si="289"/>
        <v>1750.0000000000002</v>
      </c>
      <c r="K3016" s="44">
        <f t="shared" si="290"/>
        <v>4.794520547945206</v>
      </c>
      <c r="L3016" s="3">
        <f t="shared" si="291"/>
        <v>354.79452054794524</v>
      </c>
      <c r="M3016" s="3">
        <f t="shared" si="292"/>
        <v>21.287671232876715</v>
      </c>
      <c r="N3016" s="67">
        <f t="shared" si="293"/>
        <v>333.50684931506851</v>
      </c>
      <c r="O3016" s="3"/>
      <c r="P3016" s="70" t="s">
        <v>18614</v>
      </c>
      <c r="Q3016" s="2" t="s">
        <v>137</v>
      </c>
      <c r="R3016" s="2" t="s">
        <v>7118</v>
      </c>
      <c r="T3016" t="s">
        <v>18666</v>
      </c>
      <c r="U3016" t="s">
        <v>18652</v>
      </c>
      <c r="V3016" s="104">
        <v>45857</v>
      </c>
      <c r="X3016" s="97"/>
      <c r="Y3016" s="75">
        <v>333.51</v>
      </c>
    </row>
    <row r="3017" spans="1:25" x14ac:dyDescent="0.25">
      <c r="A3017" s="76">
        <v>3049</v>
      </c>
      <c r="B3017" s="2" t="s">
        <v>5214</v>
      </c>
      <c r="C3017" s="2" t="s">
        <v>5215</v>
      </c>
      <c r="D3017" s="2" t="s">
        <v>5216</v>
      </c>
      <c r="E3017" s="2" t="s">
        <v>5217</v>
      </c>
      <c r="F3017" s="2" t="s">
        <v>5218</v>
      </c>
      <c r="G3017" s="2" t="s">
        <v>599</v>
      </c>
      <c r="H3017" s="17">
        <v>25</v>
      </c>
      <c r="I3017" s="31">
        <f t="shared" si="288"/>
        <v>25000</v>
      </c>
      <c r="J3017" s="31">
        <f t="shared" si="289"/>
        <v>1750.0000000000002</v>
      </c>
      <c r="K3017" s="44">
        <f t="shared" si="290"/>
        <v>4.794520547945206</v>
      </c>
      <c r="L3017" s="3">
        <f t="shared" si="291"/>
        <v>354.79452054794524</v>
      </c>
      <c r="M3017" s="3">
        <f t="shared" si="292"/>
        <v>21.287671232876715</v>
      </c>
      <c r="N3017" s="67">
        <f t="shared" si="293"/>
        <v>333.50684931506851</v>
      </c>
      <c r="O3017" s="3"/>
      <c r="P3017" s="70" t="s">
        <v>18614</v>
      </c>
      <c r="Q3017" s="2" t="s">
        <v>137</v>
      </c>
      <c r="R3017" s="2" t="s">
        <v>5219</v>
      </c>
      <c r="T3017" t="s">
        <v>18666</v>
      </c>
      <c r="U3017" t="s">
        <v>18652</v>
      </c>
      <c r="V3017" s="104">
        <v>45857</v>
      </c>
      <c r="X3017" s="97"/>
      <c r="Y3017" s="75">
        <v>333.51</v>
      </c>
    </row>
    <row r="3018" spans="1:25" x14ac:dyDescent="0.25">
      <c r="A3018" s="76">
        <v>3050</v>
      </c>
      <c r="B3018" s="2" t="s">
        <v>15636</v>
      </c>
      <c r="C3018" s="2" t="s">
        <v>15637</v>
      </c>
      <c r="D3018" s="2" t="s">
        <v>15638</v>
      </c>
      <c r="E3018" s="2" t="s">
        <v>15639</v>
      </c>
      <c r="F3018" s="2" t="s">
        <v>15640</v>
      </c>
      <c r="G3018" s="2" t="s">
        <v>1017</v>
      </c>
      <c r="H3018" s="17">
        <v>25</v>
      </c>
      <c r="I3018" s="31">
        <f t="shared" si="288"/>
        <v>25000</v>
      </c>
      <c r="J3018" s="31">
        <f t="shared" si="289"/>
        <v>1750.0000000000002</v>
      </c>
      <c r="K3018" s="44">
        <f t="shared" si="290"/>
        <v>4.794520547945206</v>
      </c>
      <c r="L3018" s="3">
        <f t="shared" si="291"/>
        <v>354.79452054794524</v>
      </c>
      <c r="M3018" s="3">
        <f t="shared" si="292"/>
        <v>21.287671232876715</v>
      </c>
      <c r="N3018" s="67">
        <f t="shared" si="293"/>
        <v>333.50684931506851</v>
      </c>
      <c r="O3018" s="3"/>
      <c r="P3018" s="70" t="s">
        <v>18614</v>
      </c>
      <c r="Q3018" s="2" t="s">
        <v>137</v>
      </c>
      <c r="R3018" s="2" t="s">
        <v>15641</v>
      </c>
      <c r="T3018" t="s">
        <v>18666</v>
      </c>
      <c r="U3018" t="s">
        <v>18652</v>
      </c>
      <c r="V3018" s="104">
        <v>45857</v>
      </c>
      <c r="X3018" s="97"/>
      <c r="Y3018" s="75">
        <v>333.51</v>
      </c>
    </row>
    <row r="3019" spans="1:25" x14ac:dyDescent="0.25">
      <c r="A3019" s="76">
        <v>3051</v>
      </c>
      <c r="B3019" s="2" t="s">
        <v>12192</v>
      </c>
      <c r="C3019" s="2" t="s">
        <v>12193</v>
      </c>
      <c r="D3019" s="2" t="s">
        <v>1404</v>
      </c>
      <c r="E3019" s="2" t="s">
        <v>10831</v>
      </c>
      <c r="F3019" s="2" t="s">
        <v>12194</v>
      </c>
      <c r="G3019" s="2" t="s">
        <v>39</v>
      </c>
      <c r="H3019" s="17">
        <v>50</v>
      </c>
      <c r="I3019" s="31">
        <f t="shared" si="288"/>
        <v>50000</v>
      </c>
      <c r="J3019" s="31">
        <f t="shared" si="289"/>
        <v>3500.0000000000005</v>
      </c>
      <c r="K3019" s="44">
        <f t="shared" si="290"/>
        <v>9.589041095890412</v>
      </c>
      <c r="L3019" s="3">
        <f t="shared" si="291"/>
        <v>709.58904109589048</v>
      </c>
      <c r="M3019" s="3">
        <f t="shared" si="292"/>
        <v>42.57534246575343</v>
      </c>
      <c r="N3019" s="67">
        <f t="shared" si="293"/>
        <v>667.01369863013701</v>
      </c>
      <c r="O3019" s="3"/>
      <c r="P3019" s="70" t="s">
        <v>18614</v>
      </c>
      <c r="Q3019" s="2" t="s">
        <v>137</v>
      </c>
      <c r="R3019" s="2" t="s">
        <v>12195</v>
      </c>
      <c r="T3019" t="s">
        <v>18666</v>
      </c>
      <c r="U3019" t="s">
        <v>18652</v>
      </c>
      <c r="V3019" s="104">
        <v>45857</v>
      </c>
      <c r="X3019" s="97"/>
      <c r="Y3019" s="75">
        <v>667.02</v>
      </c>
    </row>
    <row r="3020" spans="1:25" x14ac:dyDescent="0.25">
      <c r="A3020" s="76">
        <v>3052</v>
      </c>
      <c r="B3020" s="2" t="s">
        <v>12484</v>
      </c>
      <c r="C3020" s="2" t="s">
        <v>12485</v>
      </c>
      <c r="D3020" s="2" t="s">
        <v>12486</v>
      </c>
      <c r="E3020" s="2" t="s">
        <v>12487</v>
      </c>
      <c r="F3020" s="2" t="s">
        <v>12488</v>
      </c>
      <c r="G3020" s="2" t="s">
        <v>31</v>
      </c>
      <c r="H3020" s="17">
        <v>25</v>
      </c>
      <c r="I3020" s="31">
        <f t="shared" si="288"/>
        <v>25000</v>
      </c>
      <c r="J3020" s="31">
        <f t="shared" si="289"/>
        <v>1750.0000000000002</v>
      </c>
      <c r="K3020" s="44">
        <f t="shared" si="290"/>
        <v>4.794520547945206</v>
      </c>
      <c r="L3020" s="3">
        <f t="shared" si="291"/>
        <v>354.79452054794524</v>
      </c>
      <c r="M3020" s="3">
        <f t="shared" si="292"/>
        <v>21.287671232876715</v>
      </c>
      <c r="N3020" s="67">
        <f t="shared" si="293"/>
        <v>333.50684931506851</v>
      </c>
      <c r="O3020" s="3"/>
      <c r="P3020" s="70" t="s">
        <v>18614</v>
      </c>
      <c r="Q3020" s="2" t="s">
        <v>137</v>
      </c>
      <c r="R3020" s="2" t="s">
        <v>12489</v>
      </c>
      <c r="T3020" t="s">
        <v>18666</v>
      </c>
      <c r="U3020" t="s">
        <v>18652</v>
      </c>
      <c r="V3020" s="104">
        <v>45857</v>
      </c>
      <c r="X3020" s="97"/>
      <c r="Y3020" s="75">
        <v>333.51</v>
      </c>
    </row>
    <row r="3021" spans="1:25" x14ac:dyDescent="0.25">
      <c r="A3021" s="76">
        <v>3053</v>
      </c>
      <c r="B3021" s="2" t="s">
        <v>12555</v>
      </c>
      <c r="C3021" s="2" t="s">
        <v>12556</v>
      </c>
      <c r="D3021" s="2" t="s">
        <v>12557</v>
      </c>
      <c r="E3021" s="2" t="s">
        <v>12558</v>
      </c>
      <c r="F3021" s="2" t="s">
        <v>12559</v>
      </c>
      <c r="G3021" s="2" t="s">
        <v>173</v>
      </c>
      <c r="H3021" s="17">
        <v>25</v>
      </c>
      <c r="I3021" s="31">
        <f t="shared" si="288"/>
        <v>25000</v>
      </c>
      <c r="J3021" s="31">
        <f t="shared" si="289"/>
        <v>1750.0000000000002</v>
      </c>
      <c r="K3021" s="44">
        <f t="shared" si="290"/>
        <v>4.794520547945206</v>
      </c>
      <c r="L3021" s="3">
        <f t="shared" si="291"/>
        <v>354.79452054794524</v>
      </c>
      <c r="M3021" s="3">
        <f t="shared" si="292"/>
        <v>21.287671232876715</v>
      </c>
      <c r="N3021" s="67">
        <f t="shared" si="293"/>
        <v>333.50684931506851</v>
      </c>
      <c r="O3021" s="3"/>
      <c r="P3021" s="70" t="s">
        <v>18614</v>
      </c>
      <c r="Q3021" s="2" t="s">
        <v>137</v>
      </c>
      <c r="R3021" s="2" t="s">
        <v>12560</v>
      </c>
      <c r="T3021" t="s">
        <v>18666</v>
      </c>
      <c r="U3021" t="s">
        <v>18652</v>
      </c>
      <c r="V3021" s="104">
        <v>45857</v>
      </c>
      <c r="X3021" s="97"/>
      <c r="Y3021" s="75">
        <v>333.51</v>
      </c>
    </row>
    <row r="3022" spans="1:25" x14ac:dyDescent="0.25">
      <c r="A3022" s="76">
        <v>3054</v>
      </c>
      <c r="B3022" s="2" t="s">
        <v>701</v>
      </c>
      <c r="C3022" s="2" t="s">
        <v>702</v>
      </c>
      <c r="D3022" s="2" t="s">
        <v>703</v>
      </c>
      <c r="E3022" s="2" t="s">
        <v>704</v>
      </c>
      <c r="F3022" s="2" t="s">
        <v>705</v>
      </c>
      <c r="G3022" s="2" t="s">
        <v>186</v>
      </c>
      <c r="H3022" s="17">
        <v>25</v>
      </c>
      <c r="I3022" s="31">
        <f t="shared" si="288"/>
        <v>25000</v>
      </c>
      <c r="J3022" s="31">
        <f t="shared" si="289"/>
        <v>1750.0000000000002</v>
      </c>
      <c r="K3022" s="44">
        <f t="shared" si="290"/>
        <v>4.794520547945206</v>
      </c>
      <c r="L3022" s="3">
        <f t="shared" si="291"/>
        <v>354.79452054794524</v>
      </c>
      <c r="M3022" s="3">
        <f t="shared" si="292"/>
        <v>21.287671232876715</v>
      </c>
      <c r="N3022" s="67">
        <f t="shared" si="293"/>
        <v>333.50684931506851</v>
      </c>
      <c r="O3022" s="3"/>
      <c r="P3022" s="70" t="s">
        <v>18614</v>
      </c>
      <c r="Q3022" s="2" t="s">
        <v>137</v>
      </c>
      <c r="R3022" s="2" t="s">
        <v>706</v>
      </c>
      <c r="T3022" t="s">
        <v>18666</v>
      </c>
      <c r="U3022" t="s">
        <v>18652</v>
      </c>
      <c r="V3022" s="104">
        <v>45857</v>
      </c>
      <c r="X3022" s="97"/>
      <c r="Y3022" s="75">
        <v>333.51</v>
      </c>
    </row>
    <row r="3023" spans="1:25" x14ac:dyDescent="0.25">
      <c r="A3023" s="76">
        <v>3055</v>
      </c>
      <c r="B3023" s="2" t="s">
        <v>10505</v>
      </c>
      <c r="C3023" s="2" t="s">
        <v>10506</v>
      </c>
      <c r="D3023" s="2" t="s">
        <v>10507</v>
      </c>
      <c r="E3023" s="2" t="s">
        <v>10508</v>
      </c>
      <c r="F3023" s="2" t="s">
        <v>10509</v>
      </c>
      <c r="G3023" s="2" t="s">
        <v>31</v>
      </c>
      <c r="H3023" s="17">
        <v>500</v>
      </c>
      <c r="I3023" s="31">
        <f t="shared" si="288"/>
        <v>500000</v>
      </c>
      <c r="J3023" s="31">
        <f t="shared" si="289"/>
        <v>35000</v>
      </c>
      <c r="K3023" s="44">
        <f t="shared" si="290"/>
        <v>95.890410958904113</v>
      </c>
      <c r="L3023" s="3">
        <f t="shared" si="291"/>
        <v>7095.8904109589039</v>
      </c>
      <c r="M3023" s="3">
        <f t="shared" si="292"/>
        <v>425.7534246575342</v>
      </c>
      <c r="N3023" s="67">
        <f t="shared" si="293"/>
        <v>6670.1369863013697</v>
      </c>
      <c r="O3023" s="3"/>
      <c r="P3023" s="70" t="s">
        <v>18614</v>
      </c>
      <c r="Q3023" s="2" t="s">
        <v>137</v>
      </c>
      <c r="R3023" s="2" t="s">
        <v>10510</v>
      </c>
      <c r="T3023" t="s">
        <v>18666</v>
      </c>
      <c r="U3023" t="s">
        <v>18652</v>
      </c>
      <c r="V3023" s="104">
        <v>45857</v>
      </c>
      <c r="X3023" s="97"/>
      <c r="Y3023" s="75">
        <v>6670.14</v>
      </c>
    </row>
    <row r="3024" spans="1:25" x14ac:dyDescent="0.25">
      <c r="A3024" s="76">
        <v>3056</v>
      </c>
      <c r="B3024" s="2" t="s">
        <v>9170</v>
      </c>
      <c r="C3024" s="2" t="s">
        <v>9171</v>
      </c>
      <c r="D3024" s="2" t="s">
        <v>9172</v>
      </c>
      <c r="E3024" s="2" t="s">
        <v>9173</v>
      </c>
      <c r="F3024" s="2" t="s">
        <v>9174</v>
      </c>
      <c r="G3024" s="2" t="s">
        <v>158</v>
      </c>
      <c r="H3024" s="17">
        <v>100</v>
      </c>
      <c r="I3024" s="31">
        <f t="shared" si="288"/>
        <v>100000</v>
      </c>
      <c r="J3024" s="31">
        <f t="shared" si="289"/>
        <v>7000.0000000000009</v>
      </c>
      <c r="K3024" s="44">
        <f t="shared" si="290"/>
        <v>19.178082191780824</v>
      </c>
      <c r="L3024" s="3">
        <f t="shared" si="291"/>
        <v>1419.178082191781</v>
      </c>
      <c r="M3024" s="3">
        <f t="shared" si="292"/>
        <v>85.150684931506859</v>
      </c>
      <c r="N3024" s="67">
        <f t="shared" si="293"/>
        <v>1334.027397260274</v>
      </c>
      <c r="O3024" s="3"/>
      <c r="P3024" s="70" t="s">
        <v>18614</v>
      </c>
      <c r="Q3024" s="2" t="s">
        <v>137</v>
      </c>
      <c r="R3024" s="2" t="s">
        <v>9175</v>
      </c>
      <c r="T3024" t="s">
        <v>18666</v>
      </c>
      <c r="U3024" t="s">
        <v>18652</v>
      </c>
      <c r="V3024" s="104">
        <v>45857</v>
      </c>
      <c r="X3024" s="97"/>
      <c r="Y3024" s="75">
        <v>1334.03</v>
      </c>
    </row>
    <row r="3025" spans="1:25" x14ac:dyDescent="0.25">
      <c r="A3025" s="76">
        <v>3057</v>
      </c>
      <c r="B3025" s="2" t="s">
        <v>9218</v>
      </c>
      <c r="C3025" s="2" t="s">
        <v>9219</v>
      </c>
      <c r="D3025" s="2" t="s">
        <v>9220</v>
      </c>
      <c r="E3025" s="2" t="s">
        <v>9221</v>
      </c>
      <c r="F3025" s="2" t="s">
        <v>9222</v>
      </c>
      <c r="G3025" s="2" t="s">
        <v>296</v>
      </c>
      <c r="H3025" s="17">
        <v>25</v>
      </c>
      <c r="I3025" s="31">
        <f t="shared" si="288"/>
        <v>25000</v>
      </c>
      <c r="J3025" s="31">
        <f t="shared" si="289"/>
        <v>1750.0000000000002</v>
      </c>
      <c r="K3025" s="44">
        <f t="shared" si="290"/>
        <v>4.794520547945206</v>
      </c>
      <c r="L3025" s="3">
        <f t="shared" si="291"/>
        <v>354.79452054794524</v>
      </c>
      <c r="M3025" s="3">
        <f t="shared" si="292"/>
        <v>21.287671232876715</v>
      </c>
      <c r="N3025" s="67">
        <f t="shared" si="293"/>
        <v>333.50684931506851</v>
      </c>
      <c r="O3025" s="3"/>
      <c r="P3025" s="70" t="s">
        <v>18614</v>
      </c>
      <c r="Q3025" s="2" t="s">
        <v>137</v>
      </c>
      <c r="R3025" s="2" t="s">
        <v>9223</v>
      </c>
      <c r="T3025" t="s">
        <v>18666</v>
      </c>
      <c r="U3025" t="s">
        <v>18652</v>
      </c>
      <c r="V3025" s="104">
        <v>45857</v>
      </c>
      <c r="X3025" s="97"/>
      <c r="Y3025" s="75">
        <v>333.51</v>
      </c>
    </row>
    <row r="3026" spans="1:25" x14ac:dyDescent="0.25">
      <c r="A3026" s="76">
        <v>3058</v>
      </c>
      <c r="B3026" s="2" t="s">
        <v>8408</v>
      </c>
      <c r="C3026" s="2" t="s">
        <v>8409</v>
      </c>
      <c r="D3026" s="2" t="s">
        <v>8410</v>
      </c>
      <c r="E3026" s="2" t="s">
        <v>8411</v>
      </c>
      <c r="F3026" s="2" t="s">
        <v>8412</v>
      </c>
      <c r="G3026" s="2" t="s">
        <v>144</v>
      </c>
      <c r="H3026" s="17">
        <v>25</v>
      </c>
      <c r="I3026" s="31">
        <f t="shared" ref="I3026:I3089" si="294">H3026*1000</f>
        <v>25000</v>
      </c>
      <c r="J3026" s="31">
        <f t="shared" ref="J3026:J3089" si="295">I3026*7%</f>
        <v>1750.0000000000002</v>
      </c>
      <c r="K3026" s="44">
        <f t="shared" ref="K3026:K3089" si="296">J3026/365</f>
        <v>4.794520547945206</v>
      </c>
      <c r="L3026" s="3">
        <f t="shared" ref="L3026:L3089" si="297">K3026*74</f>
        <v>354.79452054794524</v>
      </c>
      <c r="M3026" s="3">
        <f t="shared" ref="M3026:M3089" si="298">L3026*6%</f>
        <v>21.287671232876715</v>
      </c>
      <c r="N3026" s="67">
        <f t="shared" ref="N3026:N3089" si="299">L3026-M3026</f>
        <v>333.50684931506851</v>
      </c>
      <c r="O3026" s="3"/>
      <c r="P3026" s="70" t="s">
        <v>18614</v>
      </c>
      <c r="Q3026" s="2" t="s">
        <v>137</v>
      </c>
      <c r="R3026" s="2" t="s">
        <v>8413</v>
      </c>
      <c r="T3026" t="s">
        <v>18666</v>
      </c>
      <c r="U3026" t="s">
        <v>18652</v>
      </c>
      <c r="V3026" s="104">
        <v>45857</v>
      </c>
      <c r="X3026" s="97"/>
      <c r="Y3026" s="75">
        <v>333.51</v>
      </c>
    </row>
    <row r="3027" spans="1:25" x14ac:dyDescent="0.25">
      <c r="A3027" s="76">
        <v>3059</v>
      </c>
      <c r="B3027" s="2" t="s">
        <v>18328</v>
      </c>
      <c r="C3027" s="2" t="s">
        <v>18329</v>
      </c>
      <c r="D3027" s="2" t="s">
        <v>18330</v>
      </c>
      <c r="E3027" s="2" t="s">
        <v>18331</v>
      </c>
      <c r="F3027" s="2" t="s">
        <v>18332</v>
      </c>
      <c r="G3027" s="2" t="s">
        <v>1048</v>
      </c>
      <c r="H3027" s="17">
        <v>25</v>
      </c>
      <c r="I3027" s="31">
        <f t="shared" si="294"/>
        <v>25000</v>
      </c>
      <c r="J3027" s="31">
        <f t="shared" si="295"/>
        <v>1750.0000000000002</v>
      </c>
      <c r="K3027" s="44">
        <f t="shared" si="296"/>
        <v>4.794520547945206</v>
      </c>
      <c r="L3027" s="3">
        <f t="shared" si="297"/>
        <v>354.79452054794524</v>
      </c>
      <c r="M3027" s="3">
        <f t="shared" si="298"/>
        <v>21.287671232876715</v>
      </c>
      <c r="N3027" s="67">
        <f t="shared" si="299"/>
        <v>333.50684931506851</v>
      </c>
      <c r="O3027" s="3"/>
      <c r="P3027" s="70" t="s">
        <v>18614</v>
      </c>
      <c r="Q3027" s="2" t="s">
        <v>137</v>
      </c>
      <c r="R3027" s="2" t="s">
        <v>18333</v>
      </c>
      <c r="T3027" t="s">
        <v>18666</v>
      </c>
      <c r="U3027" t="s">
        <v>18652</v>
      </c>
      <c r="V3027" s="104">
        <v>45857</v>
      </c>
      <c r="X3027" s="97"/>
      <c r="Y3027" s="75">
        <v>333.51</v>
      </c>
    </row>
    <row r="3028" spans="1:25" x14ac:dyDescent="0.25">
      <c r="A3028" s="76">
        <v>3060</v>
      </c>
      <c r="B3028" s="2" t="s">
        <v>11825</v>
      </c>
      <c r="C3028" s="2" t="s">
        <v>11826</v>
      </c>
      <c r="D3028" s="2" t="s">
        <v>11827</v>
      </c>
      <c r="E3028" s="2" t="s">
        <v>11828</v>
      </c>
      <c r="F3028" s="2" t="s">
        <v>11829</v>
      </c>
      <c r="G3028" s="2" t="s">
        <v>268</v>
      </c>
      <c r="H3028" s="17">
        <v>100</v>
      </c>
      <c r="I3028" s="31">
        <f t="shared" si="294"/>
        <v>100000</v>
      </c>
      <c r="J3028" s="31">
        <f t="shared" si="295"/>
        <v>7000.0000000000009</v>
      </c>
      <c r="K3028" s="44">
        <f t="shared" si="296"/>
        <v>19.178082191780824</v>
      </c>
      <c r="L3028" s="3">
        <f t="shared" si="297"/>
        <v>1419.178082191781</v>
      </c>
      <c r="M3028" s="3">
        <f t="shared" si="298"/>
        <v>85.150684931506859</v>
      </c>
      <c r="N3028" s="67">
        <f t="shared" si="299"/>
        <v>1334.027397260274</v>
      </c>
      <c r="O3028" s="3"/>
      <c r="P3028" s="70" t="s">
        <v>18614</v>
      </c>
      <c r="Q3028" s="2" t="s">
        <v>137</v>
      </c>
      <c r="R3028" s="2" t="s">
        <v>11830</v>
      </c>
      <c r="T3028" t="s">
        <v>18666</v>
      </c>
      <c r="U3028" t="s">
        <v>18652</v>
      </c>
      <c r="V3028" s="104">
        <v>45857</v>
      </c>
      <c r="X3028" s="97"/>
      <c r="Y3028" s="75">
        <v>1334.03</v>
      </c>
    </row>
    <row r="3029" spans="1:25" x14ac:dyDescent="0.25">
      <c r="A3029" s="76">
        <v>3061</v>
      </c>
      <c r="B3029" s="2" t="s">
        <v>12140</v>
      </c>
      <c r="C3029" s="2" t="s">
        <v>12141</v>
      </c>
      <c r="D3029" s="2" t="s">
        <v>12142</v>
      </c>
      <c r="E3029" s="2" t="s">
        <v>12143</v>
      </c>
      <c r="F3029" s="2" t="s">
        <v>12144</v>
      </c>
      <c r="G3029" s="2" t="s">
        <v>39</v>
      </c>
      <c r="H3029" s="17">
        <v>50</v>
      </c>
      <c r="I3029" s="31">
        <f t="shared" si="294"/>
        <v>50000</v>
      </c>
      <c r="J3029" s="31">
        <f t="shared" si="295"/>
        <v>3500.0000000000005</v>
      </c>
      <c r="K3029" s="44">
        <f t="shared" si="296"/>
        <v>9.589041095890412</v>
      </c>
      <c r="L3029" s="3">
        <f t="shared" si="297"/>
        <v>709.58904109589048</v>
      </c>
      <c r="M3029" s="3">
        <f t="shared" si="298"/>
        <v>42.57534246575343</v>
      </c>
      <c r="N3029" s="67">
        <f t="shared" si="299"/>
        <v>667.01369863013701</v>
      </c>
      <c r="O3029" s="3"/>
      <c r="P3029" s="70" t="s">
        <v>18614</v>
      </c>
      <c r="Q3029" s="2" t="s">
        <v>137</v>
      </c>
      <c r="R3029" s="2" t="s">
        <v>12145</v>
      </c>
      <c r="T3029" t="s">
        <v>18666</v>
      </c>
      <c r="U3029" t="s">
        <v>18652</v>
      </c>
      <c r="V3029" s="104">
        <v>45857</v>
      </c>
      <c r="X3029" s="97"/>
      <c r="Y3029" s="75">
        <v>667.02</v>
      </c>
    </row>
    <row r="3030" spans="1:25" x14ac:dyDescent="0.25">
      <c r="A3030" s="76">
        <v>3062</v>
      </c>
      <c r="B3030" s="2" t="s">
        <v>7155</v>
      </c>
      <c r="C3030" s="2" t="s">
        <v>7156</v>
      </c>
      <c r="D3030" s="2" t="s">
        <v>7157</v>
      </c>
      <c r="E3030" s="2" t="s">
        <v>7158</v>
      </c>
      <c r="F3030" s="2" t="s">
        <v>7159</v>
      </c>
      <c r="G3030" s="2" t="s">
        <v>31</v>
      </c>
      <c r="H3030" s="17">
        <v>250</v>
      </c>
      <c r="I3030" s="31">
        <f t="shared" si="294"/>
        <v>250000</v>
      </c>
      <c r="J3030" s="31">
        <f t="shared" si="295"/>
        <v>17500</v>
      </c>
      <c r="K3030" s="44">
        <f t="shared" si="296"/>
        <v>47.945205479452056</v>
      </c>
      <c r="L3030" s="3">
        <f t="shared" si="297"/>
        <v>3547.9452054794519</v>
      </c>
      <c r="M3030" s="3">
        <f t="shared" si="298"/>
        <v>212.8767123287671</v>
      </c>
      <c r="N3030" s="67">
        <f t="shared" si="299"/>
        <v>3335.0684931506848</v>
      </c>
      <c r="O3030" s="3"/>
      <c r="P3030" s="70" t="s">
        <v>18614</v>
      </c>
      <c r="Q3030" s="2" t="s">
        <v>137</v>
      </c>
      <c r="R3030" s="2" t="s">
        <v>7160</v>
      </c>
      <c r="T3030" t="s">
        <v>18666</v>
      </c>
      <c r="U3030" t="s">
        <v>18652</v>
      </c>
      <c r="V3030" s="104">
        <v>45857</v>
      </c>
      <c r="X3030" s="97"/>
      <c r="Y3030" s="75">
        <v>3335.07</v>
      </c>
    </row>
    <row r="3031" spans="1:25" x14ac:dyDescent="0.25">
      <c r="A3031" s="76">
        <v>3063</v>
      </c>
      <c r="B3031" s="2" t="s">
        <v>5451</v>
      </c>
      <c r="C3031" s="2" t="s">
        <v>5452</v>
      </c>
      <c r="D3031" s="2" t="s">
        <v>5453</v>
      </c>
      <c r="E3031" s="2" t="s">
        <v>5454</v>
      </c>
      <c r="F3031" s="2" t="s">
        <v>5455</v>
      </c>
      <c r="G3031" s="2" t="s">
        <v>31</v>
      </c>
      <c r="H3031" s="17">
        <v>25</v>
      </c>
      <c r="I3031" s="31">
        <f t="shared" si="294"/>
        <v>25000</v>
      </c>
      <c r="J3031" s="31">
        <f t="shared" si="295"/>
        <v>1750.0000000000002</v>
      </c>
      <c r="K3031" s="44">
        <f t="shared" si="296"/>
        <v>4.794520547945206</v>
      </c>
      <c r="L3031" s="3">
        <f t="shared" si="297"/>
        <v>354.79452054794524</v>
      </c>
      <c r="M3031" s="3">
        <f t="shared" si="298"/>
        <v>21.287671232876715</v>
      </c>
      <c r="N3031" s="67">
        <f t="shared" si="299"/>
        <v>333.50684931506851</v>
      </c>
      <c r="O3031" s="3"/>
      <c r="P3031" s="70" t="s">
        <v>18614</v>
      </c>
      <c r="Q3031" s="2" t="s">
        <v>137</v>
      </c>
      <c r="R3031" s="2" t="s">
        <v>5456</v>
      </c>
      <c r="T3031" t="s">
        <v>18666</v>
      </c>
      <c r="U3031" t="s">
        <v>18652</v>
      </c>
      <c r="V3031" s="104">
        <v>45857</v>
      </c>
      <c r="X3031" s="97"/>
      <c r="Y3031" s="75">
        <v>333.51</v>
      </c>
    </row>
    <row r="3032" spans="1:25" x14ac:dyDescent="0.25">
      <c r="A3032" s="76">
        <v>3064</v>
      </c>
      <c r="B3032" s="2" t="s">
        <v>8886</v>
      </c>
      <c r="C3032" s="2" t="s">
        <v>5844</v>
      </c>
      <c r="D3032" s="2" t="s">
        <v>8887</v>
      </c>
      <c r="E3032" s="2" t="s">
        <v>8888</v>
      </c>
      <c r="F3032" s="2" t="s">
        <v>8889</v>
      </c>
      <c r="G3032" s="2" t="s">
        <v>31</v>
      </c>
      <c r="H3032" s="17">
        <v>25</v>
      </c>
      <c r="I3032" s="31">
        <f t="shared" si="294"/>
        <v>25000</v>
      </c>
      <c r="J3032" s="31">
        <f t="shared" si="295"/>
        <v>1750.0000000000002</v>
      </c>
      <c r="K3032" s="44">
        <f t="shared" si="296"/>
        <v>4.794520547945206</v>
      </c>
      <c r="L3032" s="3">
        <f t="shared" si="297"/>
        <v>354.79452054794524</v>
      </c>
      <c r="M3032" s="3">
        <f t="shared" si="298"/>
        <v>21.287671232876715</v>
      </c>
      <c r="N3032" s="67">
        <f t="shared" si="299"/>
        <v>333.50684931506851</v>
      </c>
      <c r="O3032" s="3"/>
      <c r="P3032" s="70" t="s">
        <v>18614</v>
      </c>
      <c r="Q3032" s="2" t="s">
        <v>137</v>
      </c>
      <c r="R3032" s="2" t="s">
        <v>8890</v>
      </c>
      <c r="T3032" t="s">
        <v>18666</v>
      </c>
      <c r="U3032" t="s">
        <v>18652</v>
      </c>
      <c r="V3032" s="104">
        <v>45857</v>
      </c>
      <c r="X3032" s="97"/>
      <c r="Y3032" s="75">
        <v>333.51</v>
      </c>
    </row>
    <row r="3033" spans="1:25" x14ac:dyDescent="0.25">
      <c r="A3033" s="76">
        <v>3065</v>
      </c>
      <c r="B3033" s="2" t="s">
        <v>17531</v>
      </c>
      <c r="C3033" s="2" t="s">
        <v>17532</v>
      </c>
      <c r="D3033" s="2" t="s">
        <v>17533</v>
      </c>
      <c r="E3033" s="2" t="s">
        <v>17534</v>
      </c>
      <c r="F3033" s="2" t="s">
        <v>17535</v>
      </c>
      <c r="G3033" s="2" t="s">
        <v>54</v>
      </c>
      <c r="H3033" s="17">
        <v>25</v>
      </c>
      <c r="I3033" s="31">
        <f t="shared" si="294"/>
        <v>25000</v>
      </c>
      <c r="J3033" s="31">
        <f t="shared" si="295"/>
        <v>1750.0000000000002</v>
      </c>
      <c r="K3033" s="44">
        <f t="shared" si="296"/>
        <v>4.794520547945206</v>
      </c>
      <c r="L3033" s="3">
        <f t="shared" si="297"/>
        <v>354.79452054794524</v>
      </c>
      <c r="M3033" s="3">
        <f t="shared" si="298"/>
        <v>21.287671232876715</v>
      </c>
      <c r="N3033" s="67">
        <f t="shared" si="299"/>
        <v>333.50684931506851</v>
      </c>
      <c r="O3033" s="3"/>
      <c r="P3033" s="70" t="s">
        <v>18614</v>
      </c>
      <c r="Q3033" s="2" t="s">
        <v>137</v>
      </c>
      <c r="R3033" s="2" t="s">
        <v>17536</v>
      </c>
      <c r="T3033" t="s">
        <v>18666</v>
      </c>
      <c r="U3033" t="s">
        <v>18652</v>
      </c>
      <c r="V3033" s="104">
        <v>45857</v>
      </c>
      <c r="X3033" s="97"/>
      <c r="Y3033" s="75">
        <v>333.51</v>
      </c>
    </row>
    <row r="3034" spans="1:25" x14ac:dyDescent="0.25">
      <c r="A3034" s="76">
        <v>3066</v>
      </c>
      <c r="B3034" s="2" t="s">
        <v>11288</v>
      </c>
      <c r="C3034" s="2" t="s">
        <v>11289</v>
      </c>
      <c r="D3034" s="2" t="s">
        <v>11290</v>
      </c>
      <c r="E3034" s="2" t="s">
        <v>11291</v>
      </c>
      <c r="F3034" s="2" t="s">
        <v>11292</v>
      </c>
      <c r="G3034" s="2" t="s">
        <v>23</v>
      </c>
      <c r="H3034" s="17">
        <v>50</v>
      </c>
      <c r="I3034" s="31">
        <f t="shared" si="294"/>
        <v>50000</v>
      </c>
      <c r="J3034" s="31">
        <f t="shared" si="295"/>
        <v>3500.0000000000005</v>
      </c>
      <c r="K3034" s="44">
        <f t="shared" si="296"/>
        <v>9.589041095890412</v>
      </c>
      <c r="L3034" s="3">
        <f t="shared" si="297"/>
        <v>709.58904109589048</v>
      </c>
      <c r="M3034" s="3">
        <f t="shared" si="298"/>
        <v>42.57534246575343</v>
      </c>
      <c r="N3034" s="67">
        <f t="shared" si="299"/>
        <v>667.01369863013701</v>
      </c>
      <c r="O3034" s="3"/>
      <c r="P3034" s="70" t="s">
        <v>18614</v>
      </c>
      <c r="Q3034" s="2" t="s">
        <v>137</v>
      </c>
      <c r="R3034" s="2" t="s">
        <v>11293</v>
      </c>
      <c r="T3034" t="s">
        <v>18666</v>
      </c>
      <c r="U3034" t="s">
        <v>18652</v>
      </c>
      <c r="V3034" s="104">
        <v>45857</v>
      </c>
      <c r="X3034" s="97"/>
      <c r="Y3034" s="75">
        <v>667.02</v>
      </c>
    </row>
    <row r="3035" spans="1:25" x14ac:dyDescent="0.25">
      <c r="A3035" s="76">
        <v>3067</v>
      </c>
      <c r="B3035" s="2" t="s">
        <v>3160</v>
      </c>
      <c r="C3035" s="2" t="s">
        <v>3161</v>
      </c>
      <c r="D3035" s="2" t="s">
        <v>3162</v>
      </c>
      <c r="E3035" s="2" t="s">
        <v>3163</v>
      </c>
      <c r="F3035" s="2" t="s">
        <v>3164</v>
      </c>
      <c r="G3035" s="2" t="s">
        <v>186</v>
      </c>
      <c r="H3035" s="17">
        <v>25</v>
      </c>
      <c r="I3035" s="31">
        <f t="shared" si="294"/>
        <v>25000</v>
      </c>
      <c r="J3035" s="31">
        <f t="shared" si="295"/>
        <v>1750.0000000000002</v>
      </c>
      <c r="K3035" s="44">
        <f t="shared" si="296"/>
        <v>4.794520547945206</v>
      </c>
      <c r="L3035" s="3">
        <f t="shared" si="297"/>
        <v>354.79452054794524</v>
      </c>
      <c r="M3035" s="3">
        <f t="shared" si="298"/>
        <v>21.287671232876715</v>
      </c>
      <c r="N3035" s="67">
        <f t="shared" si="299"/>
        <v>333.50684931506851</v>
      </c>
      <c r="O3035" s="3"/>
      <c r="P3035" s="70" t="s">
        <v>18614</v>
      </c>
      <c r="Q3035" s="2" t="s">
        <v>137</v>
      </c>
      <c r="R3035" s="2" t="s">
        <v>3165</v>
      </c>
      <c r="T3035" t="s">
        <v>18666</v>
      </c>
      <c r="U3035" t="s">
        <v>18652</v>
      </c>
      <c r="V3035" s="104">
        <v>45857</v>
      </c>
      <c r="X3035" s="97"/>
      <c r="Y3035" s="75">
        <v>333.51</v>
      </c>
    </row>
    <row r="3036" spans="1:25" x14ac:dyDescent="0.25">
      <c r="A3036" s="76">
        <v>3068</v>
      </c>
      <c r="B3036" s="2" t="s">
        <v>8230</v>
      </c>
      <c r="C3036" s="2" t="s">
        <v>8231</v>
      </c>
      <c r="D3036" s="2" t="s">
        <v>8232</v>
      </c>
      <c r="E3036" s="2" t="s">
        <v>8233</v>
      </c>
      <c r="F3036" s="2" t="s">
        <v>8234</v>
      </c>
      <c r="G3036" s="2" t="s">
        <v>218</v>
      </c>
      <c r="H3036" s="17">
        <v>25</v>
      </c>
      <c r="I3036" s="31">
        <f t="shared" si="294"/>
        <v>25000</v>
      </c>
      <c r="J3036" s="31">
        <f t="shared" si="295"/>
        <v>1750.0000000000002</v>
      </c>
      <c r="K3036" s="44">
        <f t="shared" si="296"/>
        <v>4.794520547945206</v>
      </c>
      <c r="L3036" s="3">
        <f t="shared" si="297"/>
        <v>354.79452054794524</v>
      </c>
      <c r="M3036" s="3">
        <f t="shared" si="298"/>
        <v>21.287671232876715</v>
      </c>
      <c r="N3036" s="67">
        <f t="shared" si="299"/>
        <v>333.50684931506851</v>
      </c>
      <c r="O3036" s="3"/>
      <c r="P3036" s="70" t="s">
        <v>18614</v>
      </c>
      <c r="Q3036" s="2" t="s">
        <v>137</v>
      </c>
      <c r="R3036" s="2" t="s">
        <v>8235</v>
      </c>
      <c r="T3036" t="s">
        <v>18666</v>
      </c>
      <c r="U3036" t="s">
        <v>18652</v>
      </c>
      <c r="V3036" s="104">
        <v>45857</v>
      </c>
      <c r="X3036" s="97"/>
      <c r="Y3036" s="75">
        <v>333.51</v>
      </c>
    </row>
    <row r="3037" spans="1:25" x14ac:dyDescent="0.25">
      <c r="A3037" s="76">
        <v>3069</v>
      </c>
      <c r="B3037" s="2" t="s">
        <v>9364</v>
      </c>
      <c r="C3037" s="2" t="s">
        <v>9365</v>
      </c>
      <c r="D3037" s="2" t="s">
        <v>9366</v>
      </c>
      <c r="E3037" s="2" t="s">
        <v>9367</v>
      </c>
      <c r="F3037" s="2" t="s">
        <v>9368</v>
      </c>
      <c r="G3037" s="2" t="s">
        <v>2571</v>
      </c>
      <c r="H3037" s="17">
        <v>25</v>
      </c>
      <c r="I3037" s="31">
        <f t="shared" si="294"/>
        <v>25000</v>
      </c>
      <c r="J3037" s="31">
        <f t="shared" si="295"/>
        <v>1750.0000000000002</v>
      </c>
      <c r="K3037" s="44">
        <f t="shared" si="296"/>
        <v>4.794520547945206</v>
      </c>
      <c r="L3037" s="3">
        <f t="shared" si="297"/>
        <v>354.79452054794524</v>
      </c>
      <c r="M3037" s="3">
        <f t="shared" si="298"/>
        <v>21.287671232876715</v>
      </c>
      <c r="N3037" s="67">
        <f t="shared" si="299"/>
        <v>333.50684931506851</v>
      </c>
      <c r="O3037" s="3"/>
      <c r="P3037" s="70" t="s">
        <v>18614</v>
      </c>
      <c r="Q3037" s="2" t="s">
        <v>137</v>
      </c>
      <c r="R3037" s="2" t="s">
        <v>9369</v>
      </c>
      <c r="T3037" t="s">
        <v>18666</v>
      </c>
      <c r="U3037" t="s">
        <v>18652</v>
      </c>
      <c r="V3037" s="104">
        <v>45857</v>
      </c>
      <c r="X3037" s="97"/>
      <c r="Y3037" s="75">
        <v>333.51</v>
      </c>
    </row>
    <row r="3038" spans="1:25" x14ac:dyDescent="0.25">
      <c r="A3038" s="76">
        <v>3070</v>
      </c>
      <c r="B3038" s="2" t="s">
        <v>4097</v>
      </c>
      <c r="C3038" s="2" t="s">
        <v>4098</v>
      </c>
      <c r="D3038" s="2" t="s">
        <v>4099</v>
      </c>
      <c r="E3038" s="2" t="s">
        <v>4100</v>
      </c>
      <c r="F3038" s="2" t="s">
        <v>4101</v>
      </c>
      <c r="G3038" s="2" t="s">
        <v>31</v>
      </c>
      <c r="H3038" s="17">
        <v>25</v>
      </c>
      <c r="I3038" s="31">
        <f t="shared" si="294"/>
        <v>25000</v>
      </c>
      <c r="J3038" s="31">
        <f t="shared" si="295"/>
        <v>1750.0000000000002</v>
      </c>
      <c r="K3038" s="44">
        <f t="shared" si="296"/>
        <v>4.794520547945206</v>
      </c>
      <c r="L3038" s="3">
        <f t="shared" si="297"/>
        <v>354.79452054794524</v>
      </c>
      <c r="M3038" s="3">
        <f t="shared" si="298"/>
        <v>21.287671232876715</v>
      </c>
      <c r="N3038" s="67">
        <f t="shared" si="299"/>
        <v>333.50684931506851</v>
      </c>
      <c r="O3038" s="3"/>
      <c r="P3038" s="70" t="s">
        <v>18614</v>
      </c>
      <c r="Q3038" s="2" t="s">
        <v>137</v>
      </c>
      <c r="R3038" s="2" t="s">
        <v>4102</v>
      </c>
      <c r="T3038" t="s">
        <v>18666</v>
      </c>
      <c r="U3038" t="s">
        <v>18652</v>
      </c>
      <c r="V3038" s="104">
        <v>45857</v>
      </c>
      <c r="X3038" s="97"/>
      <c r="Y3038" s="75">
        <v>333.51</v>
      </c>
    </row>
    <row r="3039" spans="1:25" x14ac:dyDescent="0.25">
      <c r="A3039" s="76">
        <v>3071</v>
      </c>
      <c r="B3039" s="2" t="s">
        <v>3383</v>
      </c>
      <c r="C3039" s="2" t="s">
        <v>3384</v>
      </c>
      <c r="D3039" s="2" t="s">
        <v>3385</v>
      </c>
      <c r="E3039" s="2" t="s">
        <v>3386</v>
      </c>
      <c r="F3039" s="2" t="s">
        <v>3387</v>
      </c>
      <c r="G3039" s="2" t="s">
        <v>31</v>
      </c>
      <c r="H3039" s="17">
        <v>25</v>
      </c>
      <c r="I3039" s="31">
        <f t="shared" si="294"/>
        <v>25000</v>
      </c>
      <c r="J3039" s="31">
        <f t="shared" si="295"/>
        <v>1750.0000000000002</v>
      </c>
      <c r="K3039" s="44">
        <f t="shared" si="296"/>
        <v>4.794520547945206</v>
      </c>
      <c r="L3039" s="3">
        <f t="shared" si="297"/>
        <v>354.79452054794524</v>
      </c>
      <c r="M3039" s="3">
        <f t="shared" si="298"/>
        <v>21.287671232876715</v>
      </c>
      <c r="N3039" s="67">
        <f t="shared" si="299"/>
        <v>333.50684931506851</v>
      </c>
      <c r="O3039" s="3"/>
      <c r="P3039" s="70" t="s">
        <v>18614</v>
      </c>
      <c r="Q3039" s="2" t="s">
        <v>137</v>
      </c>
      <c r="R3039" s="2" t="s">
        <v>3388</v>
      </c>
      <c r="T3039" t="s">
        <v>18666</v>
      </c>
      <c r="U3039" t="s">
        <v>18652</v>
      </c>
      <c r="V3039" s="104">
        <v>45857</v>
      </c>
      <c r="X3039" s="97"/>
      <c r="Y3039" s="75">
        <v>333.51</v>
      </c>
    </row>
    <row r="3040" spans="1:25" x14ac:dyDescent="0.25">
      <c r="A3040" s="76">
        <v>3072</v>
      </c>
      <c r="B3040" s="2" t="s">
        <v>5826</v>
      </c>
      <c r="C3040" s="2" t="s">
        <v>5827</v>
      </c>
      <c r="D3040" s="2" t="s">
        <v>5828</v>
      </c>
      <c r="E3040" s="2" t="s">
        <v>5829</v>
      </c>
      <c r="F3040" s="2" t="s">
        <v>5830</v>
      </c>
      <c r="G3040" s="2" t="s">
        <v>2624</v>
      </c>
      <c r="H3040" s="17">
        <v>50</v>
      </c>
      <c r="I3040" s="31">
        <f t="shared" si="294"/>
        <v>50000</v>
      </c>
      <c r="J3040" s="31">
        <f t="shared" si="295"/>
        <v>3500.0000000000005</v>
      </c>
      <c r="K3040" s="44">
        <f t="shared" si="296"/>
        <v>9.589041095890412</v>
      </c>
      <c r="L3040" s="3">
        <f t="shared" si="297"/>
        <v>709.58904109589048</v>
      </c>
      <c r="M3040" s="3">
        <f t="shared" si="298"/>
        <v>42.57534246575343</v>
      </c>
      <c r="N3040" s="67">
        <f t="shared" si="299"/>
        <v>667.01369863013701</v>
      </c>
      <c r="O3040" s="3"/>
      <c r="P3040" s="70" t="s">
        <v>18614</v>
      </c>
      <c r="Q3040" s="2" t="s">
        <v>137</v>
      </c>
      <c r="R3040" s="2" t="s">
        <v>5831</v>
      </c>
      <c r="T3040" t="s">
        <v>18666</v>
      </c>
      <c r="U3040" t="s">
        <v>18652</v>
      </c>
      <c r="V3040" s="104">
        <v>45857</v>
      </c>
      <c r="X3040" s="97"/>
      <c r="Y3040" s="75">
        <v>667.02</v>
      </c>
    </row>
    <row r="3041" spans="1:25" x14ac:dyDescent="0.25">
      <c r="A3041" s="76">
        <v>3073</v>
      </c>
      <c r="B3041" s="2" t="s">
        <v>14101</v>
      </c>
      <c r="C3041" s="2" t="s">
        <v>14102</v>
      </c>
      <c r="D3041" s="2" t="s">
        <v>14103</v>
      </c>
      <c r="E3041" s="2" t="s">
        <v>14104</v>
      </c>
      <c r="F3041" s="2" t="s">
        <v>14105</v>
      </c>
      <c r="G3041" s="2" t="s">
        <v>31</v>
      </c>
      <c r="H3041" s="17">
        <v>100</v>
      </c>
      <c r="I3041" s="31">
        <f t="shared" si="294"/>
        <v>100000</v>
      </c>
      <c r="J3041" s="31">
        <f t="shared" si="295"/>
        <v>7000.0000000000009</v>
      </c>
      <c r="K3041" s="44">
        <f t="shared" si="296"/>
        <v>19.178082191780824</v>
      </c>
      <c r="L3041" s="3">
        <f t="shared" si="297"/>
        <v>1419.178082191781</v>
      </c>
      <c r="M3041" s="3">
        <f t="shared" si="298"/>
        <v>85.150684931506859</v>
      </c>
      <c r="N3041" s="67">
        <f t="shared" si="299"/>
        <v>1334.027397260274</v>
      </c>
      <c r="O3041" s="3"/>
      <c r="P3041" s="70" t="s">
        <v>18614</v>
      </c>
      <c r="Q3041" s="2" t="s">
        <v>137</v>
      </c>
      <c r="R3041" s="2" t="s">
        <v>14106</v>
      </c>
      <c r="T3041" t="s">
        <v>18666</v>
      </c>
      <c r="U3041" t="s">
        <v>18652</v>
      </c>
      <c r="V3041" s="104">
        <v>45857</v>
      </c>
      <c r="X3041" s="97"/>
      <c r="Y3041" s="75">
        <v>1334.03</v>
      </c>
    </row>
    <row r="3042" spans="1:25" x14ac:dyDescent="0.25">
      <c r="A3042" s="76">
        <v>3074</v>
      </c>
      <c r="B3042" s="2" t="s">
        <v>11858</v>
      </c>
      <c r="C3042" s="2" t="s">
        <v>11859</v>
      </c>
      <c r="D3042" s="2" t="s">
        <v>11860</v>
      </c>
      <c r="E3042" s="2" t="s">
        <v>11861</v>
      </c>
      <c r="F3042" s="2" t="s">
        <v>11862</v>
      </c>
      <c r="G3042" s="2" t="s">
        <v>587</v>
      </c>
      <c r="H3042" s="17">
        <v>25</v>
      </c>
      <c r="I3042" s="31">
        <f t="shared" si="294"/>
        <v>25000</v>
      </c>
      <c r="J3042" s="31">
        <f t="shared" si="295"/>
        <v>1750.0000000000002</v>
      </c>
      <c r="K3042" s="44">
        <f t="shared" si="296"/>
        <v>4.794520547945206</v>
      </c>
      <c r="L3042" s="3">
        <f t="shared" si="297"/>
        <v>354.79452054794524</v>
      </c>
      <c r="M3042" s="3">
        <f t="shared" si="298"/>
        <v>21.287671232876715</v>
      </c>
      <c r="N3042" s="67">
        <f t="shared" si="299"/>
        <v>333.50684931506851</v>
      </c>
      <c r="O3042" s="3"/>
      <c r="P3042" s="70" t="s">
        <v>18614</v>
      </c>
      <c r="Q3042" s="2" t="s">
        <v>137</v>
      </c>
      <c r="R3042" s="2" t="s">
        <v>11863</v>
      </c>
      <c r="T3042" t="s">
        <v>18666</v>
      </c>
      <c r="U3042" t="s">
        <v>18652</v>
      </c>
      <c r="V3042" s="104">
        <v>45857</v>
      </c>
      <c r="X3042" s="97"/>
      <c r="Y3042" s="75">
        <v>333.51</v>
      </c>
    </row>
    <row r="3043" spans="1:25" x14ac:dyDescent="0.25">
      <c r="A3043" s="76">
        <v>3075</v>
      </c>
      <c r="B3043" s="2" t="s">
        <v>14370</v>
      </c>
      <c r="C3043" s="2" t="s">
        <v>14371</v>
      </c>
      <c r="D3043" s="2" t="s">
        <v>14372</v>
      </c>
      <c r="E3043" s="2" t="s">
        <v>14373</v>
      </c>
      <c r="F3043" s="2" t="s">
        <v>14374</v>
      </c>
      <c r="G3043" s="2" t="s">
        <v>268</v>
      </c>
      <c r="H3043" s="17">
        <v>50</v>
      </c>
      <c r="I3043" s="31">
        <f t="shared" si="294"/>
        <v>50000</v>
      </c>
      <c r="J3043" s="31">
        <f t="shared" si="295"/>
        <v>3500.0000000000005</v>
      </c>
      <c r="K3043" s="44">
        <f t="shared" si="296"/>
        <v>9.589041095890412</v>
      </c>
      <c r="L3043" s="3">
        <f t="shared" si="297"/>
        <v>709.58904109589048</v>
      </c>
      <c r="M3043" s="3">
        <f t="shared" si="298"/>
        <v>42.57534246575343</v>
      </c>
      <c r="N3043" s="67">
        <f t="shared" si="299"/>
        <v>667.01369863013701</v>
      </c>
      <c r="O3043" s="3"/>
      <c r="P3043" s="70" t="s">
        <v>18614</v>
      </c>
      <c r="Q3043" s="2" t="s">
        <v>137</v>
      </c>
      <c r="R3043" s="2" t="s">
        <v>14375</v>
      </c>
      <c r="T3043" t="s">
        <v>18666</v>
      </c>
      <c r="U3043" t="s">
        <v>18652</v>
      </c>
      <c r="V3043" s="104">
        <v>45857</v>
      </c>
      <c r="X3043" s="97"/>
      <c r="Y3043" s="75">
        <v>667.02</v>
      </c>
    </row>
    <row r="3044" spans="1:25" x14ac:dyDescent="0.25">
      <c r="A3044" s="76">
        <v>3076</v>
      </c>
      <c r="B3044" s="2" t="s">
        <v>6567</v>
      </c>
      <c r="C3044" s="2" t="s">
        <v>6568</v>
      </c>
      <c r="D3044" s="2" t="s">
        <v>6569</v>
      </c>
      <c r="E3044" s="2" t="s">
        <v>6570</v>
      </c>
      <c r="F3044" s="2" t="s">
        <v>6571</v>
      </c>
      <c r="G3044" s="2" t="s">
        <v>233</v>
      </c>
      <c r="H3044" s="17">
        <v>25</v>
      </c>
      <c r="I3044" s="31">
        <f t="shared" si="294"/>
        <v>25000</v>
      </c>
      <c r="J3044" s="31">
        <f t="shared" si="295"/>
        <v>1750.0000000000002</v>
      </c>
      <c r="K3044" s="44">
        <f t="shared" si="296"/>
        <v>4.794520547945206</v>
      </c>
      <c r="L3044" s="3">
        <f t="shared" si="297"/>
        <v>354.79452054794524</v>
      </c>
      <c r="M3044" s="3">
        <f t="shared" si="298"/>
        <v>21.287671232876715</v>
      </c>
      <c r="N3044" s="67">
        <f t="shared" si="299"/>
        <v>333.50684931506851</v>
      </c>
      <c r="O3044" s="3"/>
      <c r="P3044" s="70" t="s">
        <v>18614</v>
      </c>
      <c r="Q3044" s="2" t="s">
        <v>137</v>
      </c>
      <c r="R3044" s="2" t="s">
        <v>6572</v>
      </c>
      <c r="T3044" t="s">
        <v>18666</v>
      </c>
      <c r="U3044" t="s">
        <v>18652</v>
      </c>
      <c r="V3044" s="104">
        <v>45857</v>
      </c>
      <c r="X3044" s="97"/>
      <c r="Y3044" s="75">
        <v>333.51</v>
      </c>
    </row>
    <row r="3045" spans="1:25" x14ac:dyDescent="0.25">
      <c r="A3045" s="76">
        <v>3077</v>
      </c>
      <c r="B3045" s="2" t="s">
        <v>12954</v>
      </c>
      <c r="C3045" s="2" t="s">
        <v>12955</v>
      </c>
      <c r="D3045" s="2" t="s">
        <v>12956</v>
      </c>
      <c r="E3045" s="2" t="s">
        <v>3833</v>
      </c>
      <c r="F3045" s="2" t="s">
        <v>12957</v>
      </c>
      <c r="G3045" s="2" t="s">
        <v>643</v>
      </c>
      <c r="H3045" s="17">
        <v>25</v>
      </c>
      <c r="I3045" s="31">
        <f t="shared" si="294"/>
        <v>25000</v>
      </c>
      <c r="J3045" s="31">
        <f t="shared" si="295"/>
        <v>1750.0000000000002</v>
      </c>
      <c r="K3045" s="44">
        <f t="shared" si="296"/>
        <v>4.794520547945206</v>
      </c>
      <c r="L3045" s="3">
        <f t="shared" si="297"/>
        <v>354.79452054794524</v>
      </c>
      <c r="M3045" s="3">
        <f t="shared" si="298"/>
        <v>21.287671232876715</v>
      </c>
      <c r="N3045" s="67">
        <f t="shared" si="299"/>
        <v>333.50684931506851</v>
      </c>
      <c r="O3045" s="3"/>
      <c r="P3045" s="70" t="s">
        <v>18614</v>
      </c>
      <c r="Q3045" s="2" t="s">
        <v>137</v>
      </c>
      <c r="R3045" s="2" t="s">
        <v>12958</v>
      </c>
      <c r="T3045" t="s">
        <v>18666</v>
      </c>
      <c r="U3045" t="s">
        <v>18652</v>
      </c>
      <c r="V3045" s="104">
        <v>45857</v>
      </c>
      <c r="X3045" s="97"/>
      <c r="Y3045" s="75">
        <v>333.51</v>
      </c>
    </row>
    <row r="3046" spans="1:25" x14ac:dyDescent="0.25">
      <c r="A3046" s="76">
        <v>3078</v>
      </c>
      <c r="B3046" s="2" t="s">
        <v>4529</v>
      </c>
      <c r="C3046" s="2" t="s">
        <v>4530</v>
      </c>
      <c r="D3046" s="2" t="s">
        <v>4531</v>
      </c>
      <c r="E3046" s="2" t="s">
        <v>3403</v>
      </c>
      <c r="F3046" s="2" t="s">
        <v>4532</v>
      </c>
      <c r="G3046" s="2" t="s">
        <v>362</v>
      </c>
      <c r="H3046" s="17">
        <v>25</v>
      </c>
      <c r="I3046" s="31">
        <f t="shared" si="294"/>
        <v>25000</v>
      </c>
      <c r="J3046" s="31">
        <f t="shared" si="295"/>
        <v>1750.0000000000002</v>
      </c>
      <c r="K3046" s="44">
        <f t="shared" si="296"/>
        <v>4.794520547945206</v>
      </c>
      <c r="L3046" s="3">
        <f t="shared" si="297"/>
        <v>354.79452054794524</v>
      </c>
      <c r="M3046" s="3">
        <f t="shared" si="298"/>
        <v>21.287671232876715</v>
      </c>
      <c r="N3046" s="67">
        <f t="shared" si="299"/>
        <v>333.50684931506851</v>
      </c>
      <c r="O3046" s="3"/>
      <c r="P3046" s="70" t="s">
        <v>18614</v>
      </c>
      <c r="Q3046" s="2" t="s">
        <v>137</v>
      </c>
      <c r="R3046" s="2" t="s">
        <v>4533</v>
      </c>
      <c r="T3046" t="s">
        <v>18666</v>
      </c>
      <c r="U3046" t="s">
        <v>18652</v>
      </c>
      <c r="V3046" s="104">
        <v>45857</v>
      </c>
      <c r="X3046" s="97"/>
      <c r="Y3046" s="75">
        <v>333.51</v>
      </c>
    </row>
    <row r="3047" spans="1:25" x14ac:dyDescent="0.25">
      <c r="A3047" s="76">
        <v>3079</v>
      </c>
      <c r="B3047" s="2" t="s">
        <v>8350</v>
      </c>
      <c r="C3047" s="2" t="s">
        <v>8351</v>
      </c>
      <c r="D3047" s="2" t="s">
        <v>8352</v>
      </c>
      <c r="E3047" s="2" t="s">
        <v>8353</v>
      </c>
      <c r="F3047" s="2" t="s">
        <v>8354</v>
      </c>
      <c r="G3047" s="2" t="s">
        <v>618</v>
      </c>
      <c r="H3047" s="17">
        <v>100</v>
      </c>
      <c r="I3047" s="31">
        <f t="shared" si="294"/>
        <v>100000</v>
      </c>
      <c r="J3047" s="31">
        <f t="shared" si="295"/>
        <v>7000.0000000000009</v>
      </c>
      <c r="K3047" s="44">
        <f t="shared" si="296"/>
        <v>19.178082191780824</v>
      </c>
      <c r="L3047" s="3">
        <f t="shared" si="297"/>
        <v>1419.178082191781</v>
      </c>
      <c r="M3047" s="3">
        <f t="shared" si="298"/>
        <v>85.150684931506859</v>
      </c>
      <c r="N3047" s="67">
        <f t="shared" si="299"/>
        <v>1334.027397260274</v>
      </c>
      <c r="O3047" s="3"/>
      <c r="P3047" s="70" t="s">
        <v>18614</v>
      </c>
      <c r="Q3047" s="2" t="s">
        <v>137</v>
      </c>
      <c r="R3047" s="2" t="s">
        <v>8355</v>
      </c>
      <c r="T3047" t="s">
        <v>18666</v>
      </c>
      <c r="U3047" t="s">
        <v>18652</v>
      </c>
      <c r="V3047" s="104">
        <v>45857</v>
      </c>
      <c r="X3047" s="97"/>
      <c r="Y3047" s="75">
        <v>1334.03</v>
      </c>
    </row>
    <row r="3048" spans="1:25" x14ac:dyDescent="0.25">
      <c r="A3048" s="76">
        <v>3080</v>
      </c>
      <c r="B3048" s="2" t="s">
        <v>11870</v>
      </c>
      <c r="C3048" s="2" t="s">
        <v>11871</v>
      </c>
      <c r="D3048" s="2" t="s">
        <v>11872</v>
      </c>
      <c r="E3048" s="2" t="s">
        <v>2848</v>
      </c>
      <c r="F3048" s="2" t="s">
        <v>11873</v>
      </c>
      <c r="G3048" s="2" t="s">
        <v>186</v>
      </c>
      <c r="H3048" s="17">
        <v>25</v>
      </c>
      <c r="I3048" s="31">
        <f t="shared" si="294"/>
        <v>25000</v>
      </c>
      <c r="J3048" s="31">
        <f t="shared" si="295"/>
        <v>1750.0000000000002</v>
      </c>
      <c r="K3048" s="44">
        <f t="shared" si="296"/>
        <v>4.794520547945206</v>
      </c>
      <c r="L3048" s="3">
        <f t="shared" si="297"/>
        <v>354.79452054794524</v>
      </c>
      <c r="M3048" s="3">
        <f t="shared" si="298"/>
        <v>21.287671232876715</v>
      </c>
      <c r="N3048" s="67">
        <f t="shared" si="299"/>
        <v>333.50684931506851</v>
      </c>
      <c r="O3048" s="3"/>
      <c r="P3048" s="70" t="s">
        <v>18614</v>
      </c>
      <c r="Q3048" s="2" t="s">
        <v>137</v>
      </c>
      <c r="R3048" s="2" t="s">
        <v>11874</v>
      </c>
      <c r="T3048" t="s">
        <v>18666</v>
      </c>
      <c r="U3048" t="s">
        <v>18652</v>
      </c>
      <c r="V3048" s="104">
        <v>45857</v>
      </c>
      <c r="X3048" s="97"/>
      <c r="Y3048" s="75">
        <v>333.51</v>
      </c>
    </row>
    <row r="3049" spans="1:25" x14ac:dyDescent="0.25">
      <c r="A3049" s="76">
        <v>3081</v>
      </c>
      <c r="B3049" s="2" t="s">
        <v>14912</v>
      </c>
      <c r="C3049" s="2" t="s">
        <v>14913</v>
      </c>
      <c r="D3049" s="2" t="s">
        <v>14914</v>
      </c>
      <c r="E3049" s="2" t="s">
        <v>14915</v>
      </c>
      <c r="F3049" s="2" t="s">
        <v>14916</v>
      </c>
      <c r="G3049" s="2" t="s">
        <v>144</v>
      </c>
      <c r="H3049" s="17">
        <v>300</v>
      </c>
      <c r="I3049" s="31">
        <f t="shared" si="294"/>
        <v>300000</v>
      </c>
      <c r="J3049" s="31">
        <f t="shared" si="295"/>
        <v>21000.000000000004</v>
      </c>
      <c r="K3049" s="44">
        <f t="shared" si="296"/>
        <v>57.534246575342479</v>
      </c>
      <c r="L3049" s="3">
        <f t="shared" si="297"/>
        <v>4257.5342465753438</v>
      </c>
      <c r="M3049" s="3">
        <f t="shared" si="298"/>
        <v>255.45205479452062</v>
      </c>
      <c r="N3049" s="67">
        <f t="shared" si="299"/>
        <v>4002.082191780823</v>
      </c>
      <c r="O3049" s="3"/>
      <c r="P3049" s="70" t="s">
        <v>18614</v>
      </c>
      <c r="Q3049" s="2" t="s">
        <v>137</v>
      </c>
      <c r="R3049" s="2" t="s">
        <v>14917</v>
      </c>
      <c r="T3049" t="s">
        <v>18666</v>
      </c>
      <c r="U3049" t="s">
        <v>18652</v>
      </c>
      <c r="V3049" s="104">
        <v>45857</v>
      </c>
      <c r="X3049" s="97"/>
      <c r="Y3049" s="75">
        <v>4002.09</v>
      </c>
    </row>
    <row r="3050" spans="1:25" x14ac:dyDescent="0.25">
      <c r="A3050" s="76">
        <v>3082</v>
      </c>
      <c r="B3050" s="2" t="s">
        <v>6877</v>
      </c>
      <c r="C3050" s="2" t="s">
        <v>6878</v>
      </c>
      <c r="D3050" s="2" t="s">
        <v>6879</v>
      </c>
      <c r="E3050" s="2" t="s">
        <v>6880</v>
      </c>
      <c r="F3050" s="2" t="s">
        <v>6881</v>
      </c>
      <c r="G3050" s="2" t="s">
        <v>328</v>
      </c>
      <c r="H3050" s="17">
        <v>200</v>
      </c>
      <c r="I3050" s="31">
        <f t="shared" si="294"/>
        <v>200000</v>
      </c>
      <c r="J3050" s="31">
        <f t="shared" si="295"/>
        <v>14000.000000000002</v>
      </c>
      <c r="K3050" s="44">
        <f t="shared" si="296"/>
        <v>38.356164383561648</v>
      </c>
      <c r="L3050" s="3">
        <f t="shared" si="297"/>
        <v>2838.3561643835619</v>
      </c>
      <c r="M3050" s="3">
        <f t="shared" si="298"/>
        <v>170.30136986301372</v>
      </c>
      <c r="N3050" s="67">
        <f t="shared" si="299"/>
        <v>2668.0547945205481</v>
      </c>
      <c r="O3050" s="3"/>
      <c r="P3050" s="70" t="s">
        <v>18614</v>
      </c>
      <c r="Q3050" s="2" t="s">
        <v>137</v>
      </c>
      <c r="R3050" s="2" t="s">
        <v>6882</v>
      </c>
      <c r="T3050" t="s">
        <v>18666</v>
      </c>
      <c r="U3050" t="s">
        <v>18652</v>
      </c>
      <c r="V3050" s="104">
        <v>45857</v>
      </c>
      <c r="X3050" s="97"/>
      <c r="Y3050" s="75">
        <v>2668.0600000000004</v>
      </c>
    </row>
    <row r="3051" spans="1:25" x14ac:dyDescent="0.25">
      <c r="A3051" s="76">
        <v>3083</v>
      </c>
      <c r="B3051" s="2" t="s">
        <v>383</v>
      </c>
      <c r="C3051" s="2" t="s">
        <v>384</v>
      </c>
      <c r="D3051" s="2" t="s">
        <v>385</v>
      </c>
      <c r="E3051" s="2" t="s">
        <v>386</v>
      </c>
      <c r="F3051" s="2" t="s">
        <v>387</v>
      </c>
      <c r="G3051" s="2" t="s">
        <v>193</v>
      </c>
      <c r="H3051" s="17">
        <v>25</v>
      </c>
      <c r="I3051" s="31">
        <f t="shared" si="294"/>
        <v>25000</v>
      </c>
      <c r="J3051" s="31">
        <f t="shared" si="295"/>
        <v>1750.0000000000002</v>
      </c>
      <c r="K3051" s="44">
        <f t="shared" si="296"/>
        <v>4.794520547945206</v>
      </c>
      <c r="L3051" s="3">
        <f t="shared" si="297"/>
        <v>354.79452054794524</v>
      </c>
      <c r="M3051" s="3">
        <f t="shared" si="298"/>
        <v>21.287671232876715</v>
      </c>
      <c r="N3051" s="67">
        <f t="shared" si="299"/>
        <v>333.50684931506851</v>
      </c>
      <c r="O3051" s="3"/>
      <c r="P3051" s="70" t="s">
        <v>18614</v>
      </c>
      <c r="Q3051" s="2" t="s">
        <v>137</v>
      </c>
      <c r="R3051" s="2" t="s">
        <v>388</v>
      </c>
      <c r="T3051" t="s">
        <v>18666</v>
      </c>
      <c r="U3051" t="s">
        <v>18652</v>
      </c>
      <c r="V3051" s="104">
        <v>45857</v>
      </c>
      <c r="X3051" s="97"/>
      <c r="Y3051" s="75">
        <v>333.51</v>
      </c>
    </row>
    <row r="3052" spans="1:25" x14ac:dyDescent="0.25">
      <c r="A3052" s="76">
        <v>3084</v>
      </c>
      <c r="B3052" s="2" t="s">
        <v>6853</v>
      </c>
      <c r="C3052" s="2" t="s">
        <v>6854</v>
      </c>
      <c r="D3052" s="2" t="s">
        <v>6855</v>
      </c>
      <c r="E3052" s="2" t="s">
        <v>6856</v>
      </c>
      <c r="F3052" s="2" t="s">
        <v>6857</v>
      </c>
      <c r="G3052" s="2" t="s">
        <v>151</v>
      </c>
      <c r="H3052" s="17">
        <v>25</v>
      </c>
      <c r="I3052" s="31">
        <f t="shared" si="294"/>
        <v>25000</v>
      </c>
      <c r="J3052" s="31">
        <f t="shared" si="295"/>
        <v>1750.0000000000002</v>
      </c>
      <c r="K3052" s="44">
        <f t="shared" si="296"/>
        <v>4.794520547945206</v>
      </c>
      <c r="L3052" s="3">
        <f t="shared" si="297"/>
        <v>354.79452054794524</v>
      </c>
      <c r="M3052" s="3">
        <f t="shared" si="298"/>
        <v>21.287671232876715</v>
      </c>
      <c r="N3052" s="67">
        <f t="shared" si="299"/>
        <v>333.50684931506851</v>
      </c>
      <c r="O3052" s="3"/>
      <c r="P3052" s="70" t="s">
        <v>18614</v>
      </c>
      <c r="Q3052" s="2" t="s">
        <v>137</v>
      </c>
      <c r="R3052" s="2" t="s">
        <v>6858</v>
      </c>
      <c r="T3052" t="s">
        <v>18666</v>
      </c>
      <c r="U3052" t="s">
        <v>18652</v>
      </c>
      <c r="V3052" s="104">
        <v>45857</v>
      </c>
      <c r="X3052" s="97"/>
      <c r="Y3052" s="75">
        <v>333.51</v>
      </c>
    </row>
    <row r="3053" spans="1:25" x14ac:dyDescent="0.25">
      <c r="A3053" s="76">
        <v>3085</v>
      </c>
      <c r="B3053" s="2" t="s">
        <v>15033</v>
      </c>
      <c r="C3053" s="2" t="s">
        <v>15034</v>
      </c>
      <c r="D3053" s="2" t="s">
        <v>15035</v>
      </c>
      <c r="E3053" s="2" t="s">
        <v>15036</v>
      </c>
      <c r="F3053" s="2" t="s">
        <v>15037</v>
      </c>
      <c r="G3053" s="2" t="s">
        <v>268</v>
      </c>
      <c r="H3053" s="17">
        <v>55</v>
      </c>
      <c r="I3053" s="31">
        <f t="shared" si="294"/>
        <v>55000</v>
      </c>
      <c r="J3053" s="31">
        <f t="shared" si="295"/>
        <v>3850.0000000000005</v>
      </c>
      <c r="K3053" s="44">
        <f t="shared" si="296"/>
        <v>10.547945205479452</v>
      </c>
      <c r="L3053" s="3">
        <f t="shared" si="297"/>
        <v>780.54794520547944</v>
      </c>
      <c r="M3053" s="3">
        <f t="shared" si="298"/>
        <v>46.832876712328762</v>
      </c>
      <c r="N3053" s="67">
        <f t="shared" si="299"/>
        <v>733.71506849315062</v>
      </c>
      <c r="O3053" s="3"/>
      <c r="P3053" s="70" t="s">
        <v>18614</v>
      </c>
      <c r="Q3053" s="2" t="s">
        <v>137</v>
      </c>
      <c r="R3053" s="2" t="s">
        <v>15038</v>
      </c>
      <c r="T3053" t="s">
        <v>18666</v>
      </c>
      <c r="U3053" t="s">
        <v>18652</v>
      </c>
      <c r="V3053" s="104">
        <v>45857</v>
      </c>
      <c r="X3053" s="97"/>
      <c r="Y3053" s="75">
        <v>733.72</v>
      </c>
    </row>
    <row r="3054" spans="1:25" x14ac:dyDescent="0.25">
      <c r="A3054" s="76">
        <v>3086</v>
      </c>
      <c r="B3054" s="2" t="s">
        <v>7659</v>
      </c>
      <c r="C3054" s="2" t="s">
        <v>7660</v>
      </c>
      <c r="D3054" s="2" t="s">
        <v>7661</v>
      </c>
      <c r="E3054" s="2" t="s">
        <v>7662</v>
      </c>
      <c r="F3054" s="2" t="s">
        <v>7663</v>
      </c>
      <c r="G3054" s="2" t="s">
        <v>31</v>
      </c>
      <c r="H3054" s="17">
        <v>25</v>
      </c>
      <c r="I3054" s="31">
        <f t="shared" si="294"/>
        <v>25000</v>
      </c>
      <c r="J3054" s="31">
        <f t="shared" si="295"/>
        <v>1750.0000000000002</v>
      </c>
      <c r="K3054" s="44">
        <f t="shared" si="296"/>
        <v>4.794520547945206</v>
      </c>
      <c r="L3054" s="3">
        <f t="shared" si="297"/>
        <v>354.79452054794524</v>
      </c>
      <c r="M3054" s="3">
        <f t="shared" si="298"/>
        <v>21.287671232876715</v>
      </c>
      <c r="N3054" s="67">
        <f t="shared" si="299"/>
        <v>333.50684931506851</v>
      </c>
      <c r="O3054" s="3"/>
      <c r="P3054" s="70" t="s">
        <v>18614</v>
      </c>
      <c r="Q3054" s="2" t="s">
        <v>137</v>
      </c>
      <c r="R3054" s="2" t="s">
        <v>7664</v>
      </c>
      <c r="T3054" t="s">
        <v>18666</v>
      </c>
      <c r="U3054" t="s">
        <v>18652</v>
      </c>
      <c r="V3054" s="104">
        <v>45857</v>
      </c>
      <c r="X3054" s="97"/>
      <c r="Y3054" s="75">
        <v>333.51</v>
      </c>
    </row>
    <row r="3055" spans="1:25" x14ac:dyDescent="0.25">
      <c r="A3055" s="76">
        <v>3087</v>
      </c>
      <c r="B3055" s="2" t="s">
        <v>5631</v>
      </c>
      <c r="C3055" s="2" t="s">
        <v>5632</v>
      </c>
      <c r="D3055" s="2" t="s">
        <v>5633</v>
      </c>
      <c r="E3055" s="2" t="s">
        <v>5634</v>
      </c>
      <c r="F3055" s="2" t="s">
        <v>5635</v>
      </c>
      <c r="G3055" s="2" t="s">
        <v>2380</v>
      </c>
      <c r="H3055" s="17">
        <v>25</v>
      </c>
      <c r="I3055" s="31">
        <f t="shared" si="294"/>
        <v>25000</v>
      </c>
      <c r="J3055" s="31">
        <f t="shared" si="295"/>
        <v>1750.0000000000002</v>
      </c>
      <c r="K3055" s="44">
        <f t="shared" si="296"/>
        <v>4.794520547945206</v>
      </c>
      <c r="L3055" s="3">
        <f t="shared" si="297"/>
        <v>354.79452054794524</v>
      </c>
      <c r="M3055" s="3">
        <f t="shared" si="298"/>
        <v>21.287671232876715</v>
      </c>
      <c r="N3055" s="67">
        <f t="shared" si="299"/>
        <v>333.50684931506851</v>
      </c>
      <c r="O3055" s="3"/>
      <c r="P3055" s="70" t="s">
        <v>18614</v>
      </c>
      <c r="Q3055" s="2" t="s">
        <v>137</v>
      </c>
      <c r="R3055" s="2" t="s">
        <v>5636</v>
      </c>
      <c r="T3055" t="s">
        <v>18666</v>
      </c>
      <c r="U3055" t="s">
        <v>18652</v>
      </c>
      <c r="V3055" s="104">
        <v>45857</v>
      </c>
      <c r="X3055" s="97"/>
      <c r="Y3055" s="75">
        <v>333.51</v>
      </c>
    </row>
    <row r="3056" spans="1:25" x14ac:dyDescent="0.25">
      <c r="A3056" s="76">
        <v>3088</v>
      </c>
      <c r="B3056" s="2" t="s">
        <v>12885</v>
      </c>
      <c r="C3056" s="2" t="s">
        <v>12886</v>
      </c>
      <c r="D3056" s="2" t="s">
        <v>12887</v>
      </c>
      <c r="E3056" s="2" t="s">
        <v>2635</v>
      </c>
      <c r="F3056" s="2" t="s">
        <v>12888</v>
      </c>
      <c r="G3056" s="2" t="s">
        <v>876</v>
      </c>
      <c r="H3056" s="17">
        <v>25</v>
      </c>
      <c r="I3056" s="31">
        <f t="shared" si="294"/>
        <v>25000</v>
      </c>
      <c r="J3056" s="31">
        <f t="shared" si="295"/>
        <v>1750.0000000000002</v>
      </c>
      <c r="K3056" s="44">
        <f t="shared" si="296"/>
        <v>4.794520547945206</v>
      </c>
      <c r="L3056" s="3">
        <f t="shared" si="297"/>
        <v>354.79452054794524</v>
      </c>
      <c r="M3056" s="3">
        <f t="shared" si="298"/>
        <v>21.287671232876715</v>
      </c>
      <c r="N3056" s="67">
        <f t="shared" si="299"/>
        <v>333.50684931506851</v>
      </c>
      <c r="O3056" s="3"/>
      <c r="P3056" s="70" t="s">
        <v>18614</v>
      </c>
      <c r="Q3056" s="2" t="s">
        <v>137</v>
      </c>
      <c r="R3056" s="2" t="s">
        <v>12889</v>
      </c>
      <c r="T3056" t="s">
        <v>18666</v>
      </c>
      <c r="U3056" t="s">
        <v>18652</v>
      </c>
      <c r="V3056" s="104">
        <v>45857</v>
      </c>
      <c r="X3056" s="97"/>
      <c r="Y3056" s="75">
        <v>333.51</v>
      </c>
    </row>
    <row r="3057" spans="1:25" x14ac:dyDescent="0.25">
      <c r="A3057" s="76">
        <v>3089</v>
      </c>
      <c r="B3057" s="2" t="s">
        <v>7803</v>
      </c>
      <c r="C3057" s="2" t="s">
        <v>7804</v>
      </c>
      <c r="D3057" s="2" t="s">
        <v>7805</v>
      </c>
      <c r="E3057" s="2" t="s">
        <v>7806</v>
      </c>
      <c r="F3057" s="2" t="s">
        <v>7807</v>
      </c>
      <c r="G3057" s="2" t="s">
        <v>1048</v>
      </c>
      <c r="H3057" s="17">
        <v>25</v>
      </c>
      <c r="I3057" s="31">
        <f t="shared" si="294"/>
        <v>25000</v>
      </c>
      <c r="J3057" s="31">
        <f t="shared" si="295"/>
        <v>1750.0000000000002</v>
      </c>
      <c r="K3057" s="44">
        <f t="shared" si="296"/>
        <v>4.794520547945206</v>
      </c>
      <c r="L3057" s="3">
        <f t="shared" si="297"/>
        <v>354.79452054794524</v>
      </c>
      <c r="M3057" s="3">
        <f t="shared" si="298"/>
        <v>21.287671232876715</v>
      </c>
      <c r="N3057" s="67">
        <f t="shared" si="299"/>
        <v>333.50684931506851</v>
      </c>
      <c r="O3057" s="3"/>
      <c r="P3057" s="70" t="s">
        <v>18614</v>
      </c>
      <c r="Q3057" s="2" t="s">
        <v>137</v>
      </c>
      <c r="R3057" s="2" t="s">
        <v>7808</v>
      </c>
      <c r="T3057" t="s">
        <v>18666</v>
      </c>
      <c r="U3057" t="s">
        <v>18652</v>
      </c>
      <c r="V3057" s="104">
        <v>45857</v>
      </c>
      <c r="X3057" s="97"/>
      <c r="Y3057" s="75">
        <v>333.51</v>
      </c>
    </row>
    <row r="3058" spans="1:25" x14ac:dyDescent="0.25">
      <c r="A3058" s="76">
        <v>3090</v>
      </c>
      <c r="B3058" s="2" t="s">
        <v>13747</v>
      </c>
      <c r="C3058" s="2" t="s">
        <v>13748</v>
      </c>
      <c r="D3058" s="2" t="s">
        <v>2964</v>
      </c>
      <c r="E3058" s="2" t="s">
        <v>13749</v>
      </c>
      <c r="F3058" s="2" t="s">
        <v>13750</v>
      </c>
      <c r="G3058" s="2" t="s">
        <v>31</v>
      </c>
      <c r="H3058" s="17">
        <v>50</v>
      </c>
      <c r="I3058" s="31">
        <f t="shared" si="294"/>
        <v>50000</v>
      </c>
      <c r="J3058" s="31">
        <f t="shared" si="295"/>
        <v>3500.0000000000005</v>
      </c>
      <c r="K3058" s="44">
        <f t="shared" si="296"/>
        <v>9.589041095890412</v>
      </c>
      <c r="L3058" s="3">
        <f t="shared" si="297"/>
        <v>709.58904109589048</v>
      </c>
      <c r="M3058" s="3">
        <f t="shared" si="298"/>
        <v>42.57534246575343</v>
      </c>
      <c r="N3058" s="67">
        <f t="shared" si="299"/>
        <v>667.01369863013701</v>
      </c>
      <c r="O3058" s="3"/>
      <c r="P3058" s="70" t="s">
        <v>18614</v>
      </c>
      <c r="Q3058" s="2" t="s">
        <v>137</v>
      </c>
      <c r="R3058" s="2" t="s">
        <v>13751</v>
      </c>
      <c r="T3058" t="s">
        <v>18666</v>
      </c>
      <c r="U3058" t="s">
        <v>18652</v>
      </c>
      <c r="V3058" s="104">
        <v>45857</v>
      </c>
      <c r="X3058" s="97"/>
      <c r="Y3058" s="75">
        <v>667.02</v>
      </c>
    </row>
    <row r="3059" spans="1:25" x14ac:dyDescent="0.25">
      <c r="A3059" s="76">
        <v>3091</v>
      </c>
      <c r="B3059" s="2" t="s">
        <v>13497</v>
      </c>
      <c r="C3059" s="2" t="s">
        <v>13498</v>
      </c>
      <c r="D3059" s="2" t="s">
        <v>13499</v>
      </c>
      <c r="E3059" s="2" t="s">
        <v>13500</v>
      </c>
      <c r="F3059" s="2" t="s">
        <v>13501</v>
      </c>
      <c r="G3059" s="2" t="s">
        <v>328</v>
      </c>
      <c r="H3059" s="17">
        <v>50</v>
      </c>
      <c r="I3059" s="31">
        <f t="shared" si="294"/>
        <v>50000</v>
      </c>
      <c r="J3059" s="31">
        <f t="shared" si="295"/>
        <v>3500.0000000000005</v>
      </c>
      <c r="K3059" s="44">
        <f t="shared" si="296"/>
        <v>9.589041095890412</v>
      </c>
      <c r="L3059" s="3">
        <f t="shared" si="297"/>
        <v>709.58904109589048</v>
      </c>
      <c r="M3059" s="3">
        <f t="shared" si="298"/>
        <v>42.57534246575343</v>
      </c>
      <c r="N3059" s="67">
        <f t="shared" si="299"/>
        <v>667.01369863013701</v>
      </c>
      <c r="O3059" s="3"/>
      <c r="P3059" s="70" t="s">
        <v>18614</v>
      </c>
      <c r="Q3059" s="2" t="s">
        <v>137</v>
      </c>
      <c r="R3059" s="2" t="s">
        <v>13502</v>
      </c>
      <c r="T3059" t="s">
        <v>18666</v>
      </c>
      <c r="U3059" t="s">
        <v>18652</v>
      </c>
      <c r="V3059" s="104">
        <v>45857</v>
      </c>
      <c r="X3059" s="97"/>
      <c r="Y3059" s="75">
        <v>667.02</v>
      </c>
    </row>
    <row r="3060" spans="1:25" x14ac:dyDescent="0.25">
      <c r="A3060" s="76">
        <v>3092</v>
      </c>
      <c r="B3060" s="2" t="s">
        <v>6859</v>
      </c>
      <c r="C3060" s="2" t="s">
        <v>6860</v>
      </c>
      <c r="D3060" s="2" t="s">
        <v>6861</v>
      </c>
      <c r="E3060" s="2" t="s">
        <v>6862</v>
      </c>
      <c r="F3060" s="2" t="s">
        <v>6863</v>
      </c>
      <c r="G3060" s="2" t="s">
        <v>193</v>
      </c>
      <c r="H3060" s="17">
        <v>250</v>
      </c>
      <c r="I3060" s="31">
        <f t="shared" si="294"/>
        <v>250000</v>
      </c>
      <c r="J3060" s="31">
        <f t="shared" si="295"/>
        <v>17500</v>
      </c>
      <c r="K3060" s="44">
        <f t="shared" si="296"/>
        <v>47.945205479452056</v>
      </c>
      <c r="L3060" s="3">
        <f t="shared" si="297"/>
        <v>3547.9452054794519</v>
      </c>
      <c r="M3060" s="3">
        <f t="shared" si="298"/>
        <v>212.8767123287671</v>
      </c>
      <c r="N3060" s="67">
        <f t="shared" si="299"/>
        <v>3335.0684931506848</v>
      </c>
      <c r="O3060" s="3"/>
      <c r="P3060" s="70" t="s">
        <v>18614</v>
      </c>
      <c r="Q3060" s="2" t="s">
        <v>137</v>
      </c>
      <c r="R3060" s="2" t="s">
        <v>6864</v>
      </c>
      <c r="T3060" t="s">
        <v>18666</v>
      </c>
      <c r="U3060" t="s">
        <v>18652</v>
      </c>
      <c r="V3060" s="104">
        <v>45857</v>
      </c>
      <c r="X3060" s="97"/>
      <c r="Y3060" s="75">
        <v>3335.07</v>
      </c>
    </row>
    <row r="3061" spans="1:25" x14ac:dyDescent="0.25">
      <c r="A3061" s="76">
        <v>3093</v>
      </c>
      <c r="B3061" s="2" t="s">
        <v>15931</v>
      </c>
      <c r="C3061" s="2" t="s">
        <v>6326</v>
      </c>
      <c r="D3061" s="2" t="s">
        <v>15932</v>
      </c>
      <c r="E3061" s="2" t="s">
        <v>15933</v>
      </c>
      <c r="F3061" s="2" t="s">
        <v>15934</v>
      </c>
      <c r="G3061" s="2" t="s">
        <v>31</v>
      </c>
      <c r="H3061" s="17">
        <v>500</v>
      </c>
      <c r="I3061" s="31">
        <f t="shared" si="294"/>
        <v>500000</v>
      </c>
      <c r="J3061" s="31">
        <f t="shared" si="295"/>
        <v>35000</v>
      </c>
      <c r="K3061" s="44">
        <f t="shared" si="296"/>
        <v>95.890410958904113</v>
      </c>
      <c r="L3061" s="3">
        <f t="shared" si="297"/>
        <v>7095.8904109589039</v>
      </c>
      <c r="M3061" s="3">
        <f t="shared" si="298"/>
        <v>425.7534246575342</v>
      </c>
      <c r="N3061" s="67">
        <f t="shared" si="299"/>
        <v>6670.1369863013697</v>
      </c>
      <c r="O3061" s="3"/>
      <c r="P3061" s="70" t="s">
        <v>18614</v>
      </c>
      <c r="Q3061" s="2" t="s">
        <v>137</v>
      </c>
      <c r="R3061" s="2" t="s">
        <v>15935</v>
      </c>
      <c r="T3061" t="s">
        <v>18666</v>
      </c>
      <c r="U3061" t="s">
        <v>18652</v>
      </c>
      <c r="V3061" s="104">
        <v>45857</v>
      </c>
      <c r="X3061" s="97"/>
      <c r="Y3061" s="75">
        <v>6670.14</v>
      </c>
    </row>
    <row r="3062" spans="1:25" x14ac:dyDescent="0.25">
      <c r="A3062" s="76">
        <v>3094</v>
      </c>
      <c r="B3062" s="2" t="s">
        <v>16337</v>
      </c>
      <c r="C3062" s="2" t="s">
        <v>16338</v>
      </c>
      <c r="D3062" s="2" t="s">
        <v>16339</v>
      </c>
      <c r="E3062" s="2" t="s">
        <v>3149</v>
      </c>
      <c r="F3062" s="2" t="s">
        <v>16340</v>
      </c>
      <c r="G3062" s="2" t="s">
        <v>643</v>
      </c>
      <c r="H3062" s="17">
        <v>25</v>
      </c>
      <c r="I3062" s="31">
        <f t="shared" si="294"/>
        <v>25000</v>
      </c>
      <c r="J3062" s="31">
        <f t="shared" si="295"/>
        <v>1750.0000000000002</v>
      </c>
      <c r="K3062" s="44">
        <f t="shared" si="296"/>
        <v>4.794520547945206</v>
      </c>
      <c r="L3062" s="3">
        <f t="shared" si="297"/>
        <v>354.79452054794524</v>
      </c>
      <c r="M3062" s="3">
        <f t="shared" si="298"/>
        <v>21.287671232876715</v>
      </c>
      <c r="N3062" s="67">
        <f t="shared" si="299"/>
        <v>333.50684931506851</v>
      </c>
      <c r="O3062" s="3"/>
      <c r="P3062" s="70" t="s">
        <v>18614</v>
      </c>
      <c r="Q3062" s="2" t="s">
        <v>137</v>
      </c>
      <c r="R3062" s="2" t="s">
        <v>16341</v>
      </c>
      <c r="T3062" t="s">
        <v>18666</v>
      </c>
      <c r="U3062" t="s">
        <v>18652</v>
      </c>
      <c r="V3062" s="104">
        <v>45857</v>
      </c>
      <c r="X3062" s="97"/>
      <c r="Y3062" s="75">
        <v>333.51</v>
      </c>
    </row>
    <row r="3063" spans="1:25" x14ac:dyDescent="0.25">
      <c r="A3063" s="76">
        <v>3095</v>
      </c>
      <c r="B3063" s="2" t="s">
        <v>9822</v>
      </c>
      <c r="C3063" s="2" t="s">
        <v>9823</v>
      </c>
      <c r="D3063" s="2" t="s">
        <v>278</v>
      </c>
      <c r="E3063" s="2" t="s">
        <v>9824</v>
      </c>
      <c r="F3063" s="2" t="s">
        <v>9825</v>
      </c>
      <c r="G3063" s="2" t="s">
        <v>750</v>
      </c>
      <c r="H3063" s="17">
        <v>25</v>
      </c>
      <c r="I3063" s="31">
        <f t="shared" si="294"/>
        <v>25000</v>
      </c>
      <c r="J3063" s="31">
        <f t="shared" si="295"/>
        <v>1750.0000000000002</v>
      </c>
      <c r="K3063" s="44">
        <f t="shared" si="296"/>
        <v>4.794520547945206</v>
      </c>
      <c r="L3063" s="3">
        <f t="shared" si="297"/>
        <v>354.79452054794524</v>
      </c>
      <c r="M3063" s="3">
        <f t="shared" si="298"/>
        <v>21.287671232876715</v>
      </c>
      <c r="N3063" s="67">
        <f t="shared" si="299"/>
        <v>333.50684931506851</v>
      </c>
      <c r="O3063" s="3"/>
      <c r="P3063" s="70" t="s">
        <v>18614</v>
      </c>
      <c r="Q3063" s="2" t="s">
        <v>137</v>
      </c>
      <c r="R3063" s="2" t="s">
        <v>9826</v>
      </c>
      <c r="T3063" t="s">
        <v>18666</v>
      </c>
      <c r="U3063" t="s">
        <v>18652</v>
      </c>
      <c r="V3063" s="104">
        <v>45857</v>
      </c>
      <c r="X3063" s="97"/>
      <c r="Y3063" s="75">
        <v>333.51</v>
      </c>
    </row>
    <row r="3064" spans="1:25" x14ac:dyDescent="0.25">
      <c r="A3064" s="76">
        <v>3096</v>
      </c>
      <c r="B3064" s="2" t="s">
        <v>10481</v>
      </c>
      <c r="C3064" s="2" t="s">
        <v>10482</v>
      </c>
      <c r="D3064" s="2" t="s">
        <v>10483</v>
      </c>
      <c r="E3064" s="2" t="s">
        <v>10484</v>
      </c>
      <c r="F3064" s="2" t="s">
        <v>10485</v>
      </c>
      <c r="G3064" s="2" t="s">
        <v>31</v>
      </c>
      <c r="H3064" s="17">
        <v>25</v>
      </c>
      <c r="I3064" s="31">
        <f t="shared" si="294"/>
        <v>25000</v>
      </c>
      <c r="J3064" s="31">
        <f t="shared" si="295"/>
        <v>1750.0000000000002</v>
      </c>
      <c r="K3064" s="44">
        <f t="shared" si="296"/>
        <v>4.794520547945206</v>
      </c>
      <c r="L3064" s="3">
        <f t="shared" si="297"/>
        <v>354.79452054794524</v>
      </c>
      <c r="M3064" s="3">
        <f t="shared" si="298"/>
        <v>21.287671232876715</v>
      </c>
      <c r="N3064" s="67">
        <f t="shared" si="299"/>
        <v>333.50684931506851</v>
      </c>
      <c r="O3064" s="3"/>
      <c r="P3064" s="70" t="s">
        <v>18614</v>
      </c>
      <c r="Q3064" s="2" t="s">
        <v>137</v>
      </c>
      <c r="R3064" s="2" t="s">
        <v>10486</v>
      </c>
      <c r="T3064" t="s">
        <v>18666</v>
      </c>
      <c r="U3064" t="s">
        <v>18652</v>
      </c>
      <c r="V3064" s="104">
        <v>45857</v>
      </c>
      <c r="X3064" s="97"/>
      <c r="Y3064" s="75">
        <v>333.51</v>
      </c>
    </row>
    <row r="3065" spans="1:25" x14ac:dyDescent="0.25">
      <c r="A3065" s="76">
        <v>3097</v>
      </c>
      <c r="B3065" s="2" t="s">
        <v>16599</v>
      </c>
      <c r="C3065" s="2" t="s">
        <v>16600</v>
      </c>
      <c r="D3065" s="2" t="s">
        <v>16601</v>
      </c>
      <c r="E3065" s="2" t="s">
        <v>16602</v>
      </c>
      <c r="F3065" s="2" t="s">
        <v>16603</v>
      </c>
      <c r="G3065" s="2" t="s">
        <v>282</v>
      </c>
      <c r="H3065" s="17">
        <v>25</v>
      </c>
      <c r="I3065" s="31">
        <f t="shared" si="294"/>
        <v>25000</v>
      </c>
      <c r="J3065" s="31">
        <f t="shared" si="295"/>
        <v>1750.0000000000002</v>
      </c>
      <c r="K3065" s="44">
        <f t="shared" si="296"/>
        <v>4.794520547945206</v>
      </c>
      <c r="L3065" s="3">
        <f t="shared" si="297"/>
        <v>354.79452054794524</v>
      </c>
      <c r="M3065" s="3">
        <f t="shared" si="298"/>
        <v>21.287671232876715</v>
      </c>
      <c r="N3065" s="67">
        <f t="shared" si="299"/>
        <v>333.50684931506851</v>
      </c>
      <c r="O3065" s="3"/>
      <c r="P3065" s="70" t="s">
        <v>18614</v>
      </c>
      <c r="Q3065" s="2" t="s">
        <v>137</v>
      </c>
      <c r="R3065" s="2" t="s">
        <v>16604</v>
      </c>
      <c r="T3065" t="s">
        <v>18666</v>
      </c>
      <c r="U3065" t="s">
        <v>18652</v>
      </c>
      <c r="V3065" s="104">
        <v>45857</v>
      </c>
      <c r="X3065" s="97"/>
      <c r="Y3065" s="75">
        <v>333.51</v>
      </c>
    </row>
    <row r="3066" spans="1:25" x14ac:dyDescent="0.25">
      <c r="A3066" s="76">
        <v>3098</v>
      </c>
      <c r="B3066" s="2" t="s">
        <v>10201</v>
      </c>
      <c r="C3066" s="2" t="s">
        <v>10202</v>
      </c>
      <c r="D3066" s="2" t="s">
        <v>10203</v>
      </c>
      <c r="E3066" s="2" t="s">
        <v>10204</v>
      </c>
      <c r="F3066" s="2" t="s">
        <v>10205</v>
      </c>
      <c r="G3066" s="2" t="s">
        <v>247</v>
      </c>
      <c r="H3066" s="17">
        <v>25</v>
      </c>
      <c r="I3066" s="31">
        <f t="shared" si="294"/>
        <v>25000</v>
      </c>
      <c r="J3066" s="31">
        <f t="shared" si="295"/>
        <v>1750.0000000000002</v>
      </c>
      <c r="K3066" s="44">
        <f t="shared" si="296"/>
        <v>4.794520547945206</v>
      </c>
      <c r="L3066" s="3">
        <f t="shared" si="297"/>
        <v>354.79452054794524</v>
      </c>
      <c r="M3066" s="3">
        <f t="shared" si="298"/>
        <v>21.287671232876715</v>
      </c>
      <c r="N3066" s="67">
        <f t="shared" si="299"/>
        <v>333.50684931506851</v>
      </c>
      <c r="O3066" s="3"/>
      <c r="P3066" s="70" t="s">
        <v>18614</v>
      </c>
      <c r="Q3066" s="2" t="s">
        <v>137</v>
      </c>
      <c r="R3066" s="2" t="s">
        <v>10206</v>
      </c>
      <c r="T3066" t="s">
        <v>18666</v>
      </c>
      <c r="U3066" t="s">
        <v>18652</v>
      </c>
      <c r="V3066" s="104">
        <v>45857</v>
      </c>
      <c r="X3066" s="97"/>
      <c r="Y3066" s="75">
        <v>333.51</v>
      </c>
    </row>
    <row r="3067" spans="1:25" x14ac:dyDescent="0.25">
      <c r="A3067" s="76">
        <v>3099</v>
      </c>
      <c r="B3067" s="2" t="s">
        <v>6313</v>
      </c>
      <c r="C3067" s="2" t="s">
        <v>6314</v>
      </c>
      <c r="D3067" s="2" t="s">
        <v>6315</v>
      </c>
      <c r="E3067" s="2" t="s">
        <v>6316</v>
      </c>
      <c r="F3067" s="2" t="s">
        <v>6317</v>
      </c>
      <c r="G3067" s="2" t="s">
        <v>1048</v>
      </c>
      <c r="H3067" s="17">
        <v>25</v>
      </c>
      <c r="I3067" s="31">
        <f t="shared" si="294"/>
        <v>25000</v>
      </c>
      <c r="J3067" s="31">
        <f t="shared" si="295"/>
        <v>1750.0000000000002</v>
      </c>
      <c r="K3067" s="44">
        <f t="shared" si="296"/>
        <v>4.794520547945206</v>
      </c>
      <c r="L3067" s="3">
        <f t="shared" si="297"/>
        <v>354.79452054794524</v>
      </c>
      <c r="M3067" s="3">
        <f t="shared" si="298"/>
        <v>21.287671232876715</v>
      </c>
      <c r="N3067" s="67">
        <f t="shared" si="299"/>
        <v>333.50684931506851</v>
      </c>
      <c r="O3067" s="3"/>
      <c r="P3067" s="70" t="s">
        <v>18614</v>
      </c>
      <c r="Q3067" s="2" t="s">
        <v>137</v>
      </c>
      <c r="R3067" s="2" t="s">
        <v>6318</v>
      </c>
      <c r="T3067" t="s">
        <v>18666</v>
      </c>
      <c r="U3067" t="s">
        <v>18652</v>
      </c>
      <c r="V3067" s="104">
        <v>45857</v>
      </c>
      <c r="X3067" s="97"/>
      <c r="Y3067" s="75">
        <v>333.51</v>
      </c>
    </row>
    <row r="3068" spans="1:25" x14ac:dyDescent="0.25">
      <c r="A3068" s="76">
        <v>3100</v>
      </c>
      <c r="B3068" s="2" t="s">
        <v>6734</v>
      </c>
      <c r="C3068" s="2" t="s">
        <v>6735</v>
      </c>
      <c r="D3068" s="2" t="s">
        <v>6736</v>
      </c>
      <c r="E3068" s="2" t="s">
        <v>6737</v>
      </c>
      <c r="F3068" s="2" t="s">
        <v>6738</v>
      </c>
      <c r="G3068" s="2" t="s">
        <v>247</v>
      </c>
      <c r="H3068" s="17">
        <v>200</v>
      </c>
      <c r="I3068" s="31">
        <f t="shared" si="294"/>
        <v>200000</v>
      </c>
      <c r="J3068" s="31">
        <f t="shared" si="295"/>
        <v>14000.000000000002</v>
      </c>
      <c r="K3068" s="44">
        <f t="shared" si="296"/>
        <v>38.356164383561648</v>
      </c>
      <c r="L3068" s="3">
        <f t="shared" si="297"/>
        <v>2838.3561643835619</v>
      </c>
      <c r="M3068" s="3">
        <f t="shared" si="298"/>
        <v>170.30136986301372</v>
      </c>
      <c r="N3068" s="67">
        <f t="shared" si="299"/>
        <v>2668.0547945205481</v>
      </c>
      <c r="O3068" s="3"/>
      <c r="P3068" s="70" t="s">
        <v>18614</v>
      </c>
      <c r="Q3068" s="2" t="s">
        <v>137</v>
      </c>
      <c r="R3068" s="2" t="s">
        <v>6739</v>
      </c>
      <c r="T3068" t="s">
        <v>18666</v>
      </c>
      <c r="U3068" t="s">
        <v>18652</v>
      </c>
      <c r="V3068" s="104">
        <v>45857</v>
      </c>
      <c r="X3068" s="97"/>
      <c r="Y3068" s="75">
        <v>2668.0600000000004</v>
      </c>
    </row>
    <row r="3069" spans="1:25" x14ac:dyDescent="0.25">
      <c r="A3069" s="76">
        <v>3101</v>
      </c>
      <c r="B3069" s="2" t="s">
        <v>15790</v>
      </c>
      <c r="C3069" s="2" t="s">
        <v>15791</v>
      </c>
      <c r="D3069" s="2" t="s">
        <v>15792</v>
      </c>
      <c r="E3069" s="2" t="s">
        <v>15793</v>
      </c>
      <c r="F3069" s="2" t="s">
        <v>15794</v>
      </c>
      <c r="G3069" s="2" t="s">
        <v>31</v>
      </c>
      <c r="H3069" s="17">
        <v>25</v>
      </c>
      <c r="I3069" s="31">
        <f t="shared" si="294"/>
        <v>25000</v>
      </c>
      <c r="J3069" s="31">
        <f t="shared" si="295"/>
        <v>1750.0000000000002</v>
      </c>
      <c r="K3069" s="44">
        <f t="shared" si="296"/>
        <v>4.794520547945206</v>
      </c>
      <c r="L3069" s="3">
        <f t="shared" si="297"/>
        <v>354.79452054794524</v>
      </c>
      <c r="M3069" s="3">
        <f t="shared" si="298"/>
        <v>21.287671232876715</v>
      </c>
      <c r="N3069" s="67">
        <f t="shared" si="299"/>
        <v>333.50684931506851</v>
      </c>
      <c r="O3069" s="3"/>
      <c r="P3069" s="70" t="s">
        <v>18614</v>
      </c>
      <c r="Q3069" s="2" t="s">
        <v>137</v>
      </c>
      <c r="R3069" s="2" t="s">
        <v>15795</v>
      </c>
      <c r="T3069" t="s">
        <v>18666</v>
      </c>
      <c r="U3069" t="s">
        <v>18652</v>
      </c>
      <c r="V3069" s="104">
        <v>45857</v>
      </c>
      <c r="X3069" s="97"/>
      <c r="Y3069" s="75">
        <v>333.51</v>
      </c>
    </row>
    <row r="3070" spans="1:25" x14ac:dyDescent="0.25">
      <c r="A3070" s="76">
        <v>3102</v>
      </c>
      <c r="B3070" s="2" t="s">
        <v>11921</v>
      </c>
      <c r="C3070" s="2" t="s">
        <v>11922</v>
      </c>
      <c r="D3070" s="2" t="s">
        <v>11923</v>
      </c>
      <c r="E3070" s="2" t="s">
        <v>11924</v>
      </c>
      <c r="F3070" s="2" t="s">
        <v>11925</v>
      </c>
      <c r="G3070" s="2" t="s">
        <v>618</v>
      </c>
      <c r="H3070" s="17">
        <v>25</v>
      </c>
      <c r="I3070" s="31">
        <f t="shared" si="294"/>
        <v>25000</v>
      </c>
      <c r="J3070" s="31">
        <f t="shared" si="295"/>
        <v>1750.0000000000002</v>
      </c>
      <c r="K3070" s="44">
        <f t="shared" si="296"/>
        <v>4.794520547945206</v>
      </c>
      <c r="L3070" s="3">
        <f t="shared" si="297"/>
        <v>354.79452054794524</v>
      </c>
      <c r="M3070" s="3">
        <f t="shared" si="298"/>
        <v>21.287671232876715</v>
      </c>
      <c r="N3070" s="67">
        <f t="shared" si="299"/>
        <v>333.50684931506851</v>
      </c>
      <c r="O3070" s="3"/>
      <c r="P3070" s="70" t="s">
        <v>18614</v>
      </c>
      <c r="Q3070" s="2" t="s">
        <v>137</v>
      </c>
      <c r="R3070" s="2" t="s">
        <v>11926</v>
      </c>
      <c r="T3070" t="s">
        <v>18666</v>
      </c>
      <c r="U3070" t="s">
        <v>18652</v>
      </c>
      <c r="V3070" s="104">
        <v>45857</v>
      </c>
      <c r="X3070" s="97"/>
      <c r="Y3070" s="75">
        <v>333.51</v>
      </c>
    </row>
    <row r="3071" spans="1:25" x14ac:dyDescent="0.25">
      <c r="A3071" s="76">
        <v>3103</v>
      </c>
      <c r="B3071" s="2" t="s">
        <v>6632</v>
      </c>
      <c r="C3071" s="2" t="s">
        <v>6633</v>
      </c>
      <c r="D3071" s="2" t="s">
        <v>6634</v>
      </c>
      <c r="E3071" s="2" t="s">
        <v>6635</v>
      </c>
      <c r="F3071" s="2" t="s">
        <v>6636</v>
      </c>
      <c r="G3071" s="2" t="s">
        <v>750</v>
      </c>
      <c r="H3071" s="17">
        <v>25</v>
      </c>
      <c r="I3071" s="31">
        <f t="shared" si="294"/>
        <v>25000</v>
      </c>
      <c r="J3071" s="31">
        <f t="shared" si="295"/>
        <v>1750.0000000000002</v>
      </c>
      <c r="K3071" s="44">
        <f t="shared" si="296"/>
        <v>4.794520547945206</v>
      </c>
      <c r="L3071" s="3">
        <f t="shared" si="297"/>
        <v>354.79452054794524</v>
      </c>
      <c r="M3071" s="3">
        <f t="shared" si="298"/>
        <v>21.287671232876715</v>
      </c>
      <c r="N3071" s="67">
        <f t="shared" si="299"/>
        <v>333.50684931506851</v>
      </c>
      <c r="O3071" s="3"/>
      <c r="P3071" s="70" t="s">
        <v>18614</v>
      </c>
      <c r="Q3071" s="2" t="s">
        <v>137</v>
      </c>
      <c r="R3071" s="2" t="s">
        <v>6637</v>
      </c>
      <c r="T3071" t="s">
        <v>18666</v>
      </c>
      <c r="U3071" t="s">
        <v>18652</v>
      </c>
      <c r="V3071" s="104">
        <v>45857</v>
      </c>
      <c r="X3071" s="97"/>
      <c r="Y3071" s="75">
        <v>333.51</v>
      </c>
    </row>
    <row r="3072" spans="1:25" x14ac:dyDescent="0.25">
      <c r="A3072" s="76">
        <v>3104</v>
      </c>
      <c r="B3072" s="2" t="s">
        <v>1304</v>
      </c>
      <c r="C3072" s="2" t="s">
        <v>1305</v>
      </c>
      <c r="D3072" s="2" t="s">
        <v>1306</v>
      </c>
      <c r="E3072" s="2" t="s">
        <v>1307</v>
      </c>
      <c r="F3072" s="2" t="s">
        <v>1308</v>
      </c>
      <c r="G3072" s="2" t="s">
        <v>247</v>
      </c>
      <c r="H3072" s="17">
        <v>50</v>
      </c>
      <c r="I3072" s="31">
        <f t="shared" si="294"/>
        <v>50000</v>
      </c>
      <c r="J3072" s="31">
        <f t="shared" si="295"/>
        <v>3500.0000000000005</v>
      </c>
      <c r="K3072" s="44">
        <f t="shared" si="296"/>
        <v>9.589041095890412</v>
      </c>
      <c r="L3072" s="3">
        <f t="shared" si="297"/>
        <v>709.58904109589048</v>
      </c>
      <c r="M3072" s="3">
        <f t="shared" si="298"/>
        <v>42.57534246575343</v>
      </c>
      <c r="N3072" s="67">
        <f t="shared" si="299"/>
        <v>667.01369863013701</v>
      </c>
      <c r="O3072" s="3"/>
      <c r="P3072" s="70" t="s">
        <v>18614</v>
      </c>
      <c r="Q3072" s="2" t="s">
        <v>137</v>
      </c>
      <c r="R3072" s="2" t="s">
        <v>1309</v>
      </c>
      <c r="T3072" t="s">
        <v>18666</v>
      </c>
      <c r="U3072" t="s">
        <v>18652</v>
      </c>
      <c r="V3072" s="104">
        <v>45857</v>
      </c>
      <c r="X3072" s="97"/>
      <c r="Y3072" s="75">
        <v>667.02</v>
      </c>
    </row>
    <row r="3073" spans="1:25" x14ac:dyDescent="0.25">
      <c r="A3073" s="76">
        <v>3105</v>
      </c>
      <c r="B3073" s="2" t="s">
        <v>11545</v>
      </c>
      <c r="C3073" s="2" t="s">
        <v>11546</v>
      </c>
      <c r="D3073" s="2" t="s">
        <v>11547</v>
      </c>
      <c r="E3073" s="2" t="s">
        <v>11548</v>
      </c>
      <c r="F3073" s="2" t="s">
        <v>11549</v>
      </c>
      <c r="G3073" s="2" t="s">
        <v>151</v>
      </c>
      <c r="H3073" s="17">
        <v>50</v>
      </c>
      <c r="I3073" s="31">
        <f t="shared" si="294"/>
        <v>50000</v>
      </c>
      <c r="J3073" s="31">
        <f t="shared" si="295"/>
        <v>3500.0000000000005</v>
      </c>
      <c r="K3073" s="44">
        <f t="shared" si="296"/>
        <v>9.589041095890412</v>
      </c>
      <c r="L3073" s="3">
        <f t="shared" si="297"/>
        <v>709.58904109589048</v>
      </c>
      <c r="M3073" s="3">
        <f t="shared" si="298"/>
        <v>42.57534246575343</v>
      </c>
      <c r="N3073" s="67">
        <f t="shared" si="299"/>
        <v>667.01369863013701</v>
      </c>
      <c r="O3073" s="3"/>
      <c r="P3073" s="70" t="s">
        <v>18614</v>
      </c>
      <c r="Q3073" s="2" t="s">
        <v>137</v>
      </c>
      <c r="R3073" s="2" t="s">
        <v>11550</v>
      </c>
      <c r="T3073" t="s">
        <v>18666</v>
      </c>
      <c r="U3073" t="s">
        <v>18652</v>
      </c>
      <c r="V3073" s="104">
        <v>45857</v>
      </c>
      <c r="X3073" s="97"/>
      <c r="Y3073" s="75">
        <v>667.02</v>
      </c>
    </row>
    <row r="3074" spans="1:25" x14ac:dyDescent="0.25">
      <c r="A3074" s="76">
        <v>3106</v>
      </c>
      <c r="B3074" s="2" t="s">
        <v>8190</v>
      </c>
      <c r="C3074" s="2" t="s">
        <v>8191</v>
      </c>
      <c r="D3074" s="2" t="s">
        <v>8192</v>
      </c>
      <c r="E3074" s="2" t="s">
        <v>8193</v>
      </c>
      <c r="F3074" s="2" t="s">
        <v>8194</v>
      </c>
      <c r="G3074" s="2" t="s">
        <v>151</v>
      </c>
      <c r="H3074" s="17">
        <v>25</v>
      </c>
      <c r="I3074" s="31">
        <f t="shared" si="294"/>
        <v>25000</v>
      </c>
      <c r="J3074" s="31">
        <f t="shared" si="295"/>
        <v>1750.0000000000002</v>
      </c>
      <c r="K3074" s="44">
        <f t="shared" si="296"/>
        <v>4.794520547945206</v>
      </c>
      <c r="L3074" s="3">
        <f t="shared" si="297"/>
        <v>354.79452054794524</v>
      </c>
      <c r="M3074" s="3">
        <f t="shared" si="298"/>
        <v>21.287671232876715</v>
      </c>
      <c r="N3074" s="67">
        <f t="shared" si="299"/>
        <v>333.50684931506851</v>
      </c>
      <c r="O3074" s="3"/>
      <c r="P3074" s="70" t="s">
        <v>18614</v>
      </c>
      <c r="Q3074" s="2" t="s">
        <v>137</v>
      </c>
      <c r="R3074" s="2" t="s">
        <v>8195</v>
      </c>
      <c r="T3074" t="s">
        <v>18666</v>
      </c>
      <c r="U3074" t="s">
        <v>18652</v>
      </c>
      <c r="V3074" s="104">
        <v>45857</v>
      </c>
      <c r="X3074" s="97"/>
      <c r="Y3074" s="75">
        <v>333.51</v>
      </c>
    </row>
    <row r="3075" spans="1:25" x14ac:dyDescent="0.25">
      <c r="A3075" s="76">
        <v>3107</v>
      </c>
      <c r="B3075" s="2" t="s">
        <v>12687</v>
      </c>
      <c r="C3075" s="2" t="s">
        <v>12688</v>
      </c>
      <c r="D3075" s="2" t="s">
        <v>12689</v>
      </c>
      <c r="E3075" s="2" t="s">
        <v>12690</v>
      </c>
      <c r="F3075" s="2" t="s">
        <v>12691</v>
      </c>
      <c r="G3075" s="2" t="s">
        <v>61</v>
      </c>
      <c r="H3075" s="17">
        <v>25</v>
      </c>
      <c r="I3075" s="31">
        <f t="shared" si="294"/>
        <v>25000</v>
      </c>
      <c r="J3075" s="31">
        <f t="shared" si="295"/>
        <v>1750.0000000000002</v>
      </c>
      <c r="K3075" s="44">
        <f t="shared" si="296"/>
        <v>4.794520547945206</v>
      </c>
      <c r="L3075" s="3">
        <f t="shared" si="297"/>
        <v>354.79452054794524</v>
      </c>
      <c r="M3075" s="3">
        <f t="shared" si="298"/>
        <v>21.287671232876715</v>
      </c>
      <c r="N3075" s="67">
        <f t="shared" si="299"/>
        <v>333.50684931506851</v>
      </c>
      <c r="O3075" s="3"/>
      <c r="P3075" s="70" t="s">
        <v>18614</v>
      </c>
      <c r="Q3075" s="2" t="s">
        <v>137</v>
      </c>
      <c r="R3075" s="2" t="s">
        <v>12692</v>
      </c>
      <c r="T3075" t="s">
        <v>18666</v>
      </c>
      <c r="U3075" t="s">
        <v>18652</v>
      </c>
      <c r="V3075" s="104">
        <v>45857</v>
      </c>
      <c r="X3075" s="97"/>
      <c r="Y3075" s="75">
        <v>333.51</v>
      </c>
    </row>
    <row r="3076" spans="1:25" x14ac:dyDescent="0.25">
      <c r="A3076" s="76">
        <v>3108</v>
      </c>
      <c r="B3076" s="2" t="s">
        <v>5557</v>
      </c>
      <c r="C3076" s="2" t="s">
        <v>5558</v>
      </c>
      <c r="D3076" s="2" t="s">
        <v>5559</v>
      </c>
      <c r="E3076" s="2" t="s">
        <v>5560</v>
      </c>
      <c r="F3076" s="2" t="s">
        <v>5561</v>
      </c>
      <c r="G3076" s="2" t="s">
        <v>1048</v>
      </c>
      <c r="H3076" s="17">
        <v>25</v>
      </c>
      <c r="I3076" s="31">
        <f t="shared" si="294"/>
        <v>25000</v>
      </c>
      <c r="J3076" s="31">
        <f t="shared" si="295"/>
        <v>1750.0000000000002</v>
      </c>
      <c r="K3076" s="44">
        <f t="shared" si="296"/>
        <v>4.794520547945206</v>
      </c>
      <c r="L3076" s="3">
        <f t="shared" si="297"/>
        <v>354.79452054794524</v>
      </c>
      <c r="M3076" s="3">
        <f t="shared" si="298"/>
        <v>21.287671232876715</v>
      </c>
      <c r="N3076" s="67">
        <f t="shared" si="299"/>
        <v>333.50684931506851</v>
      </c>
      <c r="O3076" s="3"/>
      <c r="P3076" s="70" t="s">
        <v>18614</v>
      </c>
      <c r="Q3076" s="2" t="s">
        <v>137</v>
      </c>
      <c r="R3076" s="2" t="s">
        <v>5562</v>
      </c>
      <c r="T3076" t="s">
        <v>18666</v>
      </c>
      <c r="U3076" t="s">
        <v>18652</v>
      </c>
      <c r="V3076" s="104">
        <v>45857</v>
      </c>
      <c r="X3076" s="97"/>
      <c r="Y3076" s="75">
        <v>333.51</v>
      </c>
    </row>
    <row r="3077" spans="1:25" x14ac:dyDescent="0.25">
      <c r="A3077" s="76">
        <v>3109</v>
      </c>
      <c r="B3077" s="2" t="s">
        <v>6800</v>
      </c>
      <c r="C3077" s="2" t="s">
        <v>6801</v>
      </c>
      <c r="D3077" s="2" t="s">
        <v>6802</v>
      </c>
      <c r="E3077" s="2" t="s">
        <v>6803</v>
      </c>
      <c r="F3077" s="2" t="s">
        <v>6804</v>
      </c>
      <c r="G3077" s="2" t="s">
        <v>2571</v>
      </c>
      <c r="H3077" s="17">
        <v>50</v>
      </c>
      <c r="I3077" s="31">
        <f t="shared" si="294"/>
        <v>50000</v>
      </c>
      <c r="J3077" s="31">
        <f t="shared" si="295"/>
        <v>3500.0000000000005</v>
      </c>
      <c r="K3077" s="44">
        <f t="shared" si="296"/>
        <v>9.589041095890412</v>
      </c>
      <c r="L3077" s="3">
        <f t="shared" si="297"/>
        <v>709.58904109589048</v>
      </c>
      <c r="M3077" s="3">
        <f t="shared" si="298"/>
        <v>42.57534246575343</v>
      </c>
      <c r="N3077" s="67">
        <f t="shared" si="299"/>
        <v>667.01369863013701</v>
      </c>
      <c r="O3077" s="3"/>
      <c r="P3077" s="70" t="s">
        <v>18614</v>
      </c>
      <c r="Q3077" s="2" t="s">
        <v>137</v>
      </c>
      <c r="R3077" s="2" t="s">
        <v>6805</v>
      </c>
      <c r="T3077" t="s">
        <v>18666</v>
      </c>
      <c r="U3077" t="s">
        <v>18652</v>
      </c>
      <c r="V3077" s="104">
        <v>45857</v>
      </c>
      <c r="X3077" s="97"/>
      <c r="Y3077" s="75">
        <v>667.02</v>
      </c>
    </row>
    <row r="3078" spans="1:25" x14ac:dyDescent="0.25">
      <c r="A3078" s="76">
        <v>3110</v>
      </c>
      <c r="B3078" s="2" t="s">
        <v>15732</v>
      </c>
      <c r="C3078" s="2" t="s">
        <v>15733</v>
      </c>
      <c r="D3078" s="2" t="s">
        <v>15734</v>
      </c>
      <c r="E3078" s="2" t="s">
        <v>15735</v>
      </c>
      <c r="F3078" s="2" t="s">
        <v>15736</v>
      </c>
      <c r="G3078" s="2" t="s">
        <v>4575</v>
      </c>
      <c r="H3078" s="17">
        <v>25</v>
      </c>
      <c r="I3078" s="31">
        <f t="shared" si="294"/>
        <v>25000</v>
      </c>
      <c r="J3078" s="31">
        <f t="shared" si="295"/>
        <v>1750.0000000000002</v>
      </c>
      <c r="K3078" s="44">
        <f t="shared" si="296"/>
        <v>4.794520547945206</v>
      </c>
      <c r="L3078" s="3">
        <f t="shared" si="297"/>
        <v>354.79452054794524</v>
      </c>
      <c r="M3078" s="3">
        <f t="shared" si="298"/>
        <v>21.287671232876715</v>
      </c>
      <c r="N3078" s="67">
        <f t="shared" si="299"/>
        <v>333.50684931506851</v>
      </c>
      <c r="O3078" s="3"/>
      <c r="P3078" s="70" t="s">
        <v>18614</v>
      </c>
      <c r="Q3078" s="2" t="s">
        <v>137</v>
      </c>
      <c r="R3078" s="2" t="s">
        <v>15737</v>
      </c>
      <c r="T3078" t="s">
        <v>18666</v>
      </c>
      <c r="U3078" t="s">
        <v>18652</v>
      </c>
      <c r="V3078" s="104">
        <v>45857</v>
      </c>
      <c r="X3078" s="97"/>
      <c r="Y3078" s="75">
        <v>333.51</v>
      </c>
    </row>
    <row r="3079" spans="1:25" x14ac:dyDescent="0.25">
      <c r="A3079" s="76">
        <v>3111</v>
      </c>
      <c r="B3079" s="2" t="s">
        <v>6912</v>
      </c>
      <c r="C3079" s="2" t="s">
        <v>6913</v>
      </c>
      <c r="D3079" s="2" t="s">
        <v>6914</v>
      </c>
      <c r="E3079" s="2" t="s">
        <v>6915</v>
      </c>
      <c r="F3079" s="2" t="s">
        <v>6916</v>
      </c>
      <c r="G3079" s="2" t="s">
        <v>247</v>
      </c>
      <c r="H3079" s="17">
        <v>25</v>
      </c>
      <c r="I3079" s="31">
        <f t="shared" si="294"/>
        <v>25000</v>
      </c>
      <c r="J3079" s="31">
        <f t="shared" si="295"/>
        <v>1750.0000000000002</v>
      </c>
      <c r="K3079" s="44">
        <f t="shared" si="296"/>
        <v>4.794520547945206</v>
      </c>
      <c r="L3079" s="3">
        <f t="shared" si="297"/>
        <v>354.79452054794524</v>
      </c>
      <c r="M3079" s="3">
        <f t="shared" si="298"/>
        <v>21.287671232876715</v>
      </c>
      <c r="N3079" s="67">
        <f t="shared" si="299"/>
        <v>333.50684931506851</v>
      </c>
      <c r="O3079" s="3"/>
      <c r="P3079" s="70" t="s">
        <v>18614</v>
      </c>
      <c r="Q3079" s="2" t="s">
        <v>137</v>
      </c>
      <c r="R3079" s="2" t="s">
        <v>6917</v>
      </c>
      <c r="T3079" t="s">
        <v>18666</v>
      </c>
      <c r="U3079" t="s">
        <v>18652</v>
      </c>
      <c r="V3079" s="104">
        <v>45857</v>
      </c>
      <c r="X3079" s="97"/>
      <c r="Y3079" s="75">
        <v>333.51</v>
      </c>
    </row>
    <row r="3080" spans="1:25" x14ac:dyDescent="0.25">
      <c r="A3080" s="76">
        <v>3112</v>
      </c>
      <c r="B3080" s="2" t="s">
        <v>18317</v>
      </c>
      <c r="C3080" s="2" t="s">
        <v>18318</v>
      </c>
      <c r="D3080" s="2" t="s">
        <v>18319</v>
      </c>
      <c r="E3080" s="2" t="s">
        <v>18320</v>
      </c>
      <c r="F3080" s="2" t="s">
        <v>18321</v>
      </c>
      <c r="G3080" s="2" t="s">
        <v>233</v>
      </c>
      <c r="H3080" s="17">
        <v>25</v>
      </c>
      <c r="I3080" s="31">
        <f t="shared" si="294"/>
        <v>25000</v>
      </c>
      <c r="J3080" s="31">
        <f t="shared" si="295"/>
        <v>1750.0000000000002</v>
      </c>
      <c r="K3080" s="44">
        <f t="shared" si="296"/>
        <v>4.794520547945206</v>
      </c>
      <c r="L3080" s="3">
        <f t="shared" si="297"/>
        <v>354.79452054794524</v>
      </c>
      <c r="M3080" s="3">
        <f t="shared" si="298"/>
        <v>21.287671232876715</v>
      </c>
      <c r="N3080" s="67">
        <f t="shared" si="299"/>
        <v>333.50684931506851</v>
      </c>
      <c r="O3080" s="3"/>
      <c r="P3080" s="70" t="s">
        <v>18614</v>
      </c>
      <c r="Q3080" s="2" t="s">
        <v>137</v>
      </c>
      <c r="R3080" s="2" t="s">
        <v>18322</v>
      </c>
      <c r="T3080" t="s">
        <v>18666</v>
      </c>
      <c r="U3080" t="s">
        <v>18652</v>
      </c>
      <c r="V3080" s="104">
        <v>45857</v>
      </c>
      <c r="X3080" s="97"/>
      <c r="Y3080" s="75">
        <v>333.51</v>
      </c>
    </row>
    <row r="3081" spans="1:25" x14ac:dyDescent="0.25">
      <c r="A3081" s="76">
        <v>3113</v>
      </c>
      <c r="B3081" s="2" t="s">
        <v>16258</v>
      </c>
      <c r="C3081" s="2" t="s">
        <v>16259</v>
      </c>
      <c r="D3081" s="2" t="s">
        <v>16260</v>
      </c>
      <c r="E3081" s="2" t="s">
        <v>16261</v>
      </c>
      <c r="F3081" s="2" t="s">
        <v>16262</v>
      </c>
      <c r="G3081" s="2" t="s">
        <v>31</v>
      </c>
      <c r="H3081" s="17">
        <v>25</v>
      </c>
      <c r="I3081" s="31">
        <f t="shared" si="294"/>
        <v>25000</v>
      </c>
      <c r="J3081" s="31">
        <f t="shared" si="295"/>
        <v>1750.0000000000002</v>
      </c>
      <c r="K3081" s="44">
        <f t="shared" si="296"/>
        <v>4.794520547945206</v>
      </c>
      <c r="L3081" s="3">
        <f t="shared" si="297"/>
        <v>354.79452054794524</v>
      </c>
      <c r="M3081" s="3">
        <f t="shared" si="298"/>
        <v>21.287671232876715</v>
      </c>
      <c r="N3081" s="67">
        <f t="shared" si="299"/>
        <v>333.50684931506851</v>
      </c>
      <c r="O3081" s="3"/>
      <c r="P3081" s="70" t="s">
        <v>18614</v>
      </c>
      <c r="Q3081" s="2" t="s">
        <v>137</v>
      </c>
      <c r="R3081" s="2" t="s">
        <v>16263</v>
      </c>
      <c r="T3081" t="s">
        <v>18666</v>
      </c>
      <c r="U3081" t="s">
        <v>18652</v>
      </c>
      <c r="V3081" s="104">
        <v>45857</v>
      </c>
      <c r="X3081" s="97"/>
      <c r="Y3081" s="75">
        <v>333.51</v>
      </c>
    </row>
    <row r="3082" spans="1:25" x14ac:dyDescent="0.25">
      <c r="A3082" s="76">
        <v>3114</v>
      </c>
      <c r="B3082" s="2" t="s">
        <v>7365</v>
      </c>
      <c r="C3082" s="2" t="s">
        <v>7366</v>
      </c>
      <c r="D3082" s="2" t="s">
        <v>7367</v>
      </c>
      <c r="E3082" s="2" t="s">
        <v>7368</v>
      </c>
      <c r="F3082" s="2" t="s">
        <v>7369</v>
      </c>
      <c r="G3082" s="2" t="s">
        <v>362</v>
      </c>
      <c r="H3082" s="17">
        <v>25</v>
      </c>
      <c r="I3082" s="31">
        <f t="shared" si="294"/>
        <v>25000</v>
      </c>
      <c r="J3082" s="31">
        <f t="shared" si="295"/>
        <v>1750.0000000000002</v>
      </c>
      <c r="K3082" s="44">
        <f t="shared" si="296"/>
        <v>4.794520547945206</v>
      </c>
      <c r="L3082" s="3">
        <f t="shared" si="297"/>
        <v>354.79452054794524</v>
      </c>
      <c r="M3082" s="3">
        <f t="shared" si="298"/>
        <v>21.287671232876715</v>
      </c>
      <c r="N3082" s="67">
        <f t="shared" si="299"/>
        <v>333.50684931506851</v>
      </c>
      <c r="O3082" s="3"/>
      <c r="P3082" s="70" t="s">
        <v>18614</v>
      </c>
      <c r="Q3082" s="2" t="s">
        <v>137</v>
      </c>
      <c r="R3082" s="2" t="s">
        <v>7370</v>
      </c>
      <c r="T3082" t="s">
        <v>18666</v>
      </c>
      <c r="U3082" t="s">
        <v>18652</v>
      </c>
      <c r="V3082" s="104">
        <v>45857</v>
      </c>
      <c r="X3082" s="97"/>
      <c r="Y3082" s="75">
        <v>333.51</v>
      </c>
    </row>
    <row r="3083" spans="1:25" x14ac:dyDescent="0.25">
      <c r="A3083" s="76">
        <v>3115</v>
      </c>
      <c r="B3083" s="2" t="s">
        <v>7383</v>
      </c>
      <c r="C3083" s="2" t="s">
        <v>7384</v>
      </c>
      <c r="D3083" s="2" t="s">
        <v>7385</v>
      </c>
      <c r="E3083" s="2" t="s">
        <v>7368</v>
      </c>
      <c r="F3083" s="2" t="s">
        <v>7386</v>
      </c>
      <c r="G3083" s="2" t="s">
        <v>362</v>
      </c>
      <c r="H3083" s="17">
        <v>25</v>
      </c>
      <c r="I3083" s="31">
        <f t="shared" si="294"/>
        <v>25000</v>
      </c>
      <c r="J3083" s="31">
        <f t="shared" si="295"/>
        <v>1750.0000000000002</v>
      </c>
      <c r="K3083" s="44">
        <f t="shared" si="296"/>
        <v>4.794520547945206</v>
      </c>
      <c r="L3083" s="3">
        <f t="shared" si="297"/>
        <v>354.79452054794524</v>
      </c>
      <c r="M3083" s="3">
        <f t="shared" si="298"/>
        <v>21.287671232876715</v>
      </c>
      <c r="N3083" s="67">
        <f t="shared" si="299"/>
        <v>333.50684931506851</v>
      </c>
      <c r="O3083" s="3"/>
      <c r="P3083" s="70" t="s">
        <v>18614</v>
      </c>
      <c r="Q3083" s="2" t="s">
        <v>137</v>
      </c>
      <c r="R3083" s="2" t="s">
        <v>7387</v>
      </c>
      <c r="T3083" t="s">
        <v>18666</v>
      </c>
      <c r="U3083" t="s">
        <v>18652</v>
      </c>
      <c r="V3083" s="104">
        <v>45857</v>
      </c>
      <c r="X3083" s="97"/>
      <c r="Y3083" s="75">
        <v>333.51</v>
      </c>
    </row>
    <row r="3084" spans="1:25" x14ac:dyDescent="0.25">
      <c r="A3084" s="76">
        <v>3116</v>
      </c>
      <c r="B3084" s="2" t="s">
        <v>9147</v>
      </c>
      <c r="C3084" s="2" t="s">
        <v>9148</v>
      </c>
      <c r="D3084" s="2" t="s">
        <v>9149</v>
      </c>
      <c r="E3084" s="2" t="s">
        <v>9150</v>
      </c>
      <c r="F3084" s="2" t="s">
        <v>9151</v>
      </c>
      <c r="G3084" s="2" t="s">
        <v>282</v>
      </c>
      <c r="H3084" s="17">
        <v>25</v>
      </c>
      <c r="I3084" s="31">
        <f t="shared" si="294"/>
        <v>25000</v>
      </c>
      <c r="J3084" s="31">
        <f t="shared" si="295"/>
        <v>1750.0000000000002</v>
      </c>
      <c r="K3084" s="44">
        <f t="shared" si="296"/>
        <v>4.794520547945206</v>
      </c>
      <c r="L3084" s="3">
        <f t="shared" si="297"/>
        <v>354.79452054794524</v>
      </c>
      <c r="M3084" s="3">
        <f t="shared" si="298"/>
        <v>21.287671232876715</v>
      </c>
      <c r="N3084" s="67">
        <f t="shared" si="299"/>
        <v>333.50684931506851</v>
      </c>
      <c r="O3084" s="3"/>
      <c r="P3084" s="70" t="s">
        <v>18614</v>
      </c>
      <c r="Q3084" s="2" t="s">
        <v>137</v>
      </c>
      <c r="R3084" s="2" t="s">
        <v>9152</v>
      </c>
      <c r="T3084" t="s">
        <v>18666</v>
      </c>
      <c r="U3084" t="s">
        <v>18652</v>
      </c>
      <c r="V3084" s="104">
        <v>45857</v>
      </c>
      <c r="X3084" s="97"/>
      <c r="Y3084" s="75">
        <v>333.51</v>
      </c>
    </row>
    <row r="3085" spans="1:25" x14ac:dyDescent="0.25">
      <c r="A3085" s="76">
        <v>3117</v>
      </c>
      <c r="B3085" s="2" t="s">
        <v>4618</v>
      </c>
      <c r="C3085" s="2" t="s">
        <v>4619</v>
      </c>
      <c r="D3085" s="2" t="s">
        <v>4620</v>
      </c>
      <c r="E3085" s="2" t="s">
        <v>4621</v>
      </c>
      <c r="F3085" s="2" t="s">
        <v>4622</v>
      </c>
      <c r="G3085" s="2" t="s">
        <v>23</v>
      </c>
      <c r="H3085" s="17">
        <v>100</v>
      </c>
      <c r="I3085" s="31">
        <f t="shared" si="294"/>
        <v>100000</v>
      </c>
      <c r="J3085" s="31">
        <f t="shared" si="295"/>
        <v>7000.0000000000009</v>
      </c>
      <c r="K3085" s="44">
        <f t="shared" si="296"/>
        <v>19.178082191780824</v>
      </c>
      <c r="L3085" s="3">
        <f t="shared" si="297"/>
        <v>1419.178082191781</v>
      </c>
      <c r="M3085" s="3">
        <f t="shared" si="298"/>
        <v>85.150684931506859</v>
      </c>
      <c r="N3085" s="67">
        <f t="shared" si="299"/>
        <v>1334.027397260274</v>
      </c>
      <c r="O3085" s="3"/>
      <c r="P3085" s="70" t="s">
        <v>18614</v>
      </c>
      <c r="Q3085" s="2" t="s">
        <v>137</v>
      </c>
      <c r="R3085" s="2" t="s">
        <v>4623</v>
      </c>
      <c r="T3085" t="s">
        <v>18666</v>
      </c>
      <c r="U3085" t="s">
        <v>18652</v>
      </c>
      <c r="V3085" s="104">
        <v>45857</v>
      </c>
      <c r="X3085" s="97"/>
      <c r="Y3085" s="75">
        <v>1334.03</v>
      </c>
    </row>
    <row r="3086" spans="1:25" x14ac:dyDescent="0.25">
      <c r="A3086" s="76">
        <v>3118</v>
      </c>
      <c r="B3086" s="2" t="s">
        <v>8142</v>
      </c>
      <c r="C3086" s="2" t="s">
        <v>8143</v>
      </c>
      <c r="D3086" s="2" t="s">
        <v>8144</v>
      </c>
      <c r="E3086" s="2" t="s">
        <v>8145</v>
      </c>
      <c r="F3086" s="2" t="s">
        <v>8146</v>
      </c>
      <c r="G3086" s="2" t="s">
        <v>233</v>
      </c>
      <c r="H3086" s="17">
        <v>25</v>
      </c>
      <c r="I3086" s="31">
        <f t="shared" si="294"/>
        <v>25000</v>
      </c>
      <c r="J3086" s="31">
        <f t="shared" si="295"/>
        <v>1750.0000000000002</v>
      </c>
      <c r="K3086" s="44">
        <f t="shared" si="296"/>
        <v>4.794520547945206</v>
      </c>
      <c r="L3086" s="3">
        <f t="shared" si="297"/>
        <v>354.79452054794524</v>
      </c>
      <c r="M3086" s="3">
        <f t="shared" si="298"/>
        <v>21.287671232876715</v>
      </c>
      <c r="N3086" s="67">
        <f t="shared" si="299"/>
        <v>333.50684931506851</v>
      </c>
      <c r="O3086" s="3"/>
      <c r="P3086" s="70" t="s">
        <v>18614</v>
      </c>
      <c r="Q3086" s="2" t="s">
        <v>137</v>
      </c>
      <c r="R3086" s="2" t="s">
        <v>8147</v>
      </c>
      <c r="T3086" t="s">
        <v>18666</v>
      </c>
      <c r="U3086" t="s">
        <v>18652</v>
      </c>
      <c r="V3086" s="104">
        <v>45857</v>
      </c>
      <c r="X3086" s="97"/>
      <c r="Y3086" s="75">
        <v>333.51</v>
      </c>
    </row>
    <row r="3087" spans="1:25" x14ac:dyDescent="0.25">
      <c r="A3087" s="76">
        <v>3119</v>
      </c>
      <c r="B3087" s="2" t="s">
        <v>3760</v>
      </c>
      <c r="C3087" s="2" t="s">
        <v>3761</v>
      </c>
      <c r="D3087" s="2" t="s">
        <v>3762</v>
      </c>
      <c r="E3087" s="2" t="s">
        <v>3763</v>
      </c>
      <c r="F3087" s="2" t="s">
        <v>3764</v>
      </c>
      <c r="G3087" s="2" t="s">
        <v>74</v>
      </c>
      <c r="H3087" s="17">
        <v>25</v>
      </c>
      <c r="I3087" s="31">
        <f t="shared" si="294"/>
        <v>25000</v>
      </c>
      <c r="J3087" s="31">
        <f t="shared" si="295"/>
        <v>1750.0000000000002</v>
      </c>
      <c r="K3087" s="44">
        <f t="shared" si="296"/>
        <v>4.794520547945206</v>
      </c>
      <c r="L3087" s="3">
        <f t="shared" si="297"/>
        <v>354.79452054794524</v>
      </c>
      <c r="M3087" s="3">
        <f t="shared" si="298"/>
        <v>21.287671232876715</v>
      </c>
      <c r="N3087" s="67">
        <f t="shared" si="299"/>
        <v>333.50684931506851</v>
      </c>
      <c r="O3087" s="3"/>
      <c r="P3087" s="70" t="s">
        <v>18614</v>
      </c>
      <c r="Q3087" s="2" t="s">
        <v>137</v>
      </c>
      <c r="R3087" s="2" t="s">
        <v>3765</v>
      </c>
      <c r="T3087" t="s">
        <v>18666</v>
      </c>
      <c r="U3087" t="s">
        <v>18652</v>
      </c>
      <c r="V3087" s="104">
        <v>45857</v>
      </c>
      <c r="X3087" s="97"/>
      <c r="Y3087" s="75">
        <v>333.51</v>
      </c>
    </row>
    <row r="3088" spans="1:25" x14ac:dyDescent="0.25">
      <c r="A3088" s="76">
        <v>3120</v>
      </c>
      <c r="B3088" s="2" t="s">
        <v>6183</v>
      </c>
      <c r="C3088" s="2" t="s">
        <v>6184</v>
      </c>
      <c r="D3088" s="2" t="s">
        <v>6185</v>
      </c>
      <c r="E3088" s="2" t="s">
        <v>6186</v>
      </c>
      <c r="F3088" s="2" t="s">
        <v>6187</v>
      </c>
      <c r="G3088" s="2" t="s">
        <v>31</v>
      </c>
      <c r="H3088" s="17">
        <v>25</v>
      </c>
      <c r="I3088" s="31">
        <f t="shared" si="294"/>
        <v>25000</v>
      </c>
      <c r="J3088" s="31">
        <f t="shared" si="295"/>
        <v>1750.0000000000002</v>
      </c>
      <c r="K3088" s="44">
        <f t="shared" si="296"/>
        <v>4.794520547945206</v>
      </c>
      <c r="L3088" s="3">
        <f t="shared" si="297"/>
        <v>354.79452054794524</v>
      </c>
      <c r="M3088" s="3">
        <f t="shared" si="298"/>
        <v>21.287671232876715</v>
      </c>
      <c r="N3088" s="67">
        <f t="shared" si="299"/>
        <v>333.50684931506851</v>
      </c>
      <c r="O3088" s="3"/>
      <c r="P3088" s="70" t="s">
        <v>18614</v>
      </c>
      <c r="Q3088" s="2" t="s">
        <v>137</v>
      </c>
      <c r="R3088" s="2" t="s">
        <v>6188</v>
      </c>
      <c r="T3088" t="s">
        <v>18666</v>
      </c>
      <c r="U3088" t="s">
        <v>18652</v>
      </c>
      <c r="V3088" s="104">
        <v>45857</v>
      </c>
      <c r="X3088" s="97"/>
      <c r="Y3088" s="75">
        <v>333.51</v>
      </c>
    </row>
    <row r="3089" spans="1:25" x14ac:dyDescent="0.25">
      <c r="A3089" s="76">
        <v>3121</v>
      </c>
      <c r="B3089" s="2" t="s">
        <v>15861</v>
      </c>
      <c r="C3089" s="2" t="s">
        <v>15862</v>
      </c>
      <c r="D3089" s="2" t="s">
        <v>15863</v>
      </c>
      <c r="E3089" s="2" t="s">
        <v>15864</v>
      </c>
      <c r="F3089" s="2" t="s">
        <v>15865</v>
      </c>
      <c r="G3089" s="2" t="s">
        <v>166</v>
      </c>
      <c r="H3089" s="17">
        <v>25</v>
      </c>
      <c r="I3089" s="31">
        <f t="shared" si="294"/>
        <v>25000</v>
      </c>
      <c r="J3089" s="31">
        <f t="shared" si="295"/>
        <v>1750.0000000000002</v>
      </c>
      <c r="K3089" s="44">
        <f t="shared" si="296"/>
        <v>4.794520547945206</v>
      </c>
      <c r="L3089" s="3">
        <f t="shared" si="297"/>
        <v>354.79452054794524</v>
      </c>
      <c r="M3089" s="3">
        <f t="shared" si="298"/>
        <v>21.287671232876715</v>
      </c>
      <c r="N3089" s="67">
        <f t="shared" si="299"/>
        <v>333.50684931506851</v>
      </c>
      <c r="O3089" s="3"/>
      <c r="P3089" s="70" t="s">
        <v>18614</v>
      </c>
      <c r="Q3089" s="2" t="s">
        <v>137</v>
      </c>
      <c r="R3089" s="2" t="s">
        <v>15866</v>
      </c>
      <c r="T3089" t="s">
        <v>18666</v>
      </c>
      <c r="U3089" t="s">
        <v>18652</v>
      </c>
      <c r="V3089" s="104">
        <v>45857</v>
      </c>
      <c r="X3089" s="97"/>
      <c r="Y3089" s="75">
        <v>333.51</v>
      </c>
    </row>
    <row r="3090" spans="1:25" x14ac:dyDescent="0.25">
      <c r="A3090" s="76">
        <v>3122</v>
      </c>
      <c r="B3090" s="2" t="s">
        <v>13984</v>
      </c>
      <c r="C3090" s="2" t="s">
        <v>13985</v>
      </c>
      <c r="D3090" s="2" t="s">
        <v>10490</v>
      </c>
      <c r="E3090" s="2" t="s">
        <v>13986</v>
      </c>
      <c r="F3090" s="2" t="s">
        <v>13987</v>
      </c>
      <c r="G3090" s="2" t="s">
        <v>186</v>
      </c>
      <c r="H3090" s="17">
        <v>25</v>
      </c>
      <c r="I3090" s="31">
        <f t="shared" ref="I3090:I3119" si="300">H3090*1000</f>
        <v>25000</v>
      </c>
      <c r="J3090" s="31">
        <f t="shared" ref="J3090:J3119" si="301">I3090*7%</f>
        <v>1750.0000000000002</v>
      </c>
      <c r="K3090" s="44">
        <f t="shared" ref="K3090:K3119" si="302">J3090/365</f>
        <v>4.794520547945206</v>
      </c>
      <c r="L3090" s="3">
        <f t="shared" ref="L3090:L3119" si="303">K3090*74</f>
        <v>354.79452054794524</v>
      </c>
      <c r="M3090" s="3">
        <f t="shared" ref="M3090:M3119" si="304">L3090*6%</f>
        <v>21.287671232876715</v>
      </c>
      <c r="N3090" s="67">
        <f t="shared" ref="N3090:N3119" si="305">L3090-M3090</f>
        <v>333.50684931506851</v>
      </c>
      <c r="O3090" s="3"/>
      <c r="P3090" s="70" t="s">
        <v>18614</v>
      </c>
      <c r="Q3090" s="2" t="s">
        <v>137</v>
      </c>
      <c r="R3090" s="2" t="s">
        <v>13988</v>
      </c>
      <c r="T3090" t="s">
        <v>18666</v>
      </c>
      <c r="U3090" t="s">
        <v>18652</v>
      </c>
      <c r="V3090" s="104">
        <v>45857</v>
      </c>
      <c r="X3090" s="97"/>
      <c r="Y3090" s="75">
        <v>333.51</v>
      </c>
    </row>
    <row r="3091" spans="1:25" x14ac:dyDescent="0.25">
      <c r="A3091" s="76">
        <v>3123</v>
      </c>
      <c r="B3091" s="2" t="s">
        <v>8777</v>
      </c>
      <c r="C3091" s="2" t="s">
        <v>8778</v>
      </c>
      <c r="D3091" s="2" t="s">
        <v>8779</v>
      </c>
      <c r="E3091" s="2" t="s">
        <v>8780</v>
      </c>
      <c r="F3091" s="2" t="s">
        <v>8781</v>
      </c>
      <c r="G3091" s="2" t="s">
        <v>618</v>
      </c>
      <c r="H3091" s="17">
        <v>25</v>
      </c>
      <c r="I3091" s="31">
        <f t="shared" si="300"/>
        <v>25000</v>
      </c>
      <c r="J3091" s="31">
        <f t="shared" si="301"/>
        <v>1750.0000000000002</v>
      </c>
      <c r="K3091" s="44">
        <f t="shared" si="302"/>
        <v>4.794520547945206</v>
      </c>
      <c r="L3091" s="3">
        <f t="shared" si="303"/>
        <v>354.79452054794524</v>
      </c>
      <c r="M3091" s="3">
        <f t="shared" si="304"/>
        <v>21.287671232876715</v>
      </c>
      <c r="N3091" s="67">
        <f t="shared" si="305"/>
        <v>333.50684931506851</v>
      </c>
      <c r="O3091" s="3"/>
      <c r="P3091" s="70" t="s">
        <v>18614</v>
      </c>
      <c r="Q3091" s="2" t="s">
        <v>137</v>
      </c>
      <c r="R3091" s="2" t="s">
        <v>8782</v>
      </c>
      <c r="T3091" t="s">
        <v>18666</v>
      </c>
      <c r="U3091" t="s">
        <v>18652</v>
      </c>
      <c r="V3091" s="104">
        <v>45857</v>
      </c>
      <c r="X3091" s="97"/>
      <c r="Y3091" s="75">
        <v>333.51</v>
      </c>
    </row>
    <row r="3092" spans="1:25" x14ac:dyDescent="0.25">
      <c r="A3092" s="76">
        <v>3124</v>
      </c>
      <c r="B3092" s="2" t="s">
        <v>9933</v>
      </c>
      <c r="C3092" s="2" t="s">
        <v>9934</v>
      </c>
      <c r="D3092" s="2" t="s">
        <v>9935</v>
      </c>
      <c r="E3092" s="2" t="s">
        <v>9936</v>
      </c>
      <c r="F3092" s="2" t="s">
        <v>9937</v>
      </c>
      <c r="G3092" s="2" t="s">
        <v>309</v>
      </c>
      <c r="H3092" s="17">
        <v>25</v>
      </c>
      <c r="I3092" s="31">
        <f t="shared" si="300"/>
        <v>25000</v>
      </c>
      <c r="J3092" s="31">
        <f t="shared" si="301"/>
        <v>1750.0000000000002</v>
      </c>
      <c r="K3092" s="44">
        <f t="shared" si="302"/>
        <v>4.794520547945206</v>
      </c>
      <c r="L3092" s="3">
        <f t="shared" si="303"/>
        <v>354.79452054794524</v>
      </c>
      <c r="M3092" s="3">
        <f t="shared" si="304"/>
        <v>21.287671232876715</v>
      </c>
      <c r="N3092" s="67">
        <f t="shared" si="305"/>
        <v>333.50684931506851</v>
      </c>
      <c r="O3092" s="3"/>
      <c r="P3092" s="70" t="s">
        <v>18614</v>
      </c>
      <c r="Q3092" s="2" t="s">
        <v>137</v>
      </c>
      <c r="R3092" s="2" t="s">
        <v>9938</v>
      </c>
      <c r="T3092" t="s">
        <v>18666</v>
      </c>
      <c r="U3092" t="s">
        <v>18652</v>
      </c>
      <c r="V3092" s="104">
        <v>45857</v>
      </c>
      <c r="X3092" s="97"/>
      <c r="Y3092" s="75">
        <v>333.51</v>
      </c>
    </row>
    <row r="3093" spans="1:25" x14ac:dyDescent="0.25">
      <c r="A3093" s="76">
        <v>3125</v>
      </c>
      <c r="B3093" s="2" t="s">
        <v>12693</v>
      </c>
      <c r="C3093" s="2" t="s">
        <v>12694</v>
      </c>
      <c r="D3093" s="2" t="s">
        <v>12695</v>
      </c>
      <c r="E3093" s="2" t="s">
        <v>12696</v>
      </c>
      <c r="F3093" s="2" t="s">
        <v>12697</v>
      </c>
      <c r="G3093" s="2" t="s">
        <v>328</v>
      </c>
      <c r="H3093" s="17">
        <v>100</v>
      </c>
      <c r="I3093" s="31">
        <f t="shared" si="300"/>
        <v>100000</v>
      </c>
      <c r="J3093" s="31">
        <f t="shared" si="301"/>
        <v>7000.0000000000009</v>
      </c>
      <c r="K3093" s="44">
        <f t="shared" si="302"/>
        <v>19.178082191780824</v>
      </c>
      <c r="L3093" s="3">
        <f t="shared" si="303"/>
        <v>1419.178082191781</v>
      </c>
      <c r="M3093" s="3">
        <f t="shared" si="304"/>
        <v>85.150684931506859</v>
      </c>
      <c r="N3093" s="67">
        <f t="shared" si="305"/>
        <v>1334.027397260274</v>
      </c>
      <c r="O3093" s="3"/>
      <c r="P3093" s="70" t="s">
        <v>18614</v>
      </c>
      <c r="Q3093" s="2" t="s">
        <v>137</v>
      </c>
      <c r="R3093" s="2" t="s">
        <v>12698</v>
      </c>
      <c r="T3093" t="s">
        <v>18666</v>
      </c>
      <c r="U3093" t="s">
        <v>18652</v>
      </c>
      <c r="V3093" s="104">
        <v>45857</v>
      </c>
      <c r="X3093" s="97"/>
      <c r="Y3093" s="75">
        <v>1334.03</v>
      </c>
    </row>
    <row r="3094" spans="1:25" x14ac:dyDescent="0.25">
      <c r="A3094" s="76">
        <v>3126</v>
      </c>
      <c r="B3094" s="2" t="s">
        <v>2597</v>
      </c>
      <c r="C3094" s="2" t="s">
        <v>2598</v>
      </c>
      <c r="D3094" s="2" t="s">
        <v>2599</v>
      </c>
      <c r="E3094" s="2" t="s">
        <v>2600</v>
      </c>
      <c r="F3094" s="2" t="s">
        <v>2601</v>
      </c>
      <c r="G3094" s="2" t="s">
        <v>2571</v>
      </c>
      <c r="H3094" s="17">
        <v>100</v>
      </c>
      <c r="I3094" s="31">
        <f t="shared" si="300"/>
        <v>100000</v>
      </c>
      <c r="J3094" s="31">
        <f t="shared" si="301"/>
        <v>7000.0000000000009</v>
      </c>
      <c r="K3094" s="44">
        <f t="shared" si="302"/>
        <v>19.178082191780824</v>
      </c>
      <c r="L3094" s="3">
        <f t="shared" si="303"/>
        <v>1419.178082191781</v>
      </c>
      <c r="M3094" s="3">
        <f t="shared" si="304"/>
        <v>85.150684931506859</v>
      </c>
      <c r="N3094" s="67">
        <f t="shared" si="305"/>
        <v>1334.027397260274</v>
      </c>
      <c r="O3094" s="3"/>
      <c r="P3094" s="70" t="s">
        <v>18614</v>
      </c>
      <c r="Q3094" s="2" t="s">
        <v>137</v>
      </c>
      <c r="R3094" s="2" t="s">
        <v>2602</v>
      </c>
      <c r="T3094" t="s">
        <v>18666</v>
      </c>
      <c r="U3094" t="s">
        <v>18652</v>
      </c>
      <c r="V3094" s="104">
        <v>45857</v>
      </c>
      <c r="X3094" s="97"/>
      <c r="Y3094" s="75">
        <v>1334.03</v>
      </c>
    </row>
    <row r="3095" spans="1:25" x14ac:dyDescent="0.25">
      <c r="A3095" s="76">
        <v>3127</v>
      </c>
      <c r="B3095" s="2" t="s">
        <v>11551</v>
      </c>
      <c r="C3095" s="2" t="s">
        <v>11552</v>
      </c>
      <c r="D3095" s="2" t="s">
        <v>11553</v>
      </c>
      <c r="E3095" s="2" t="s">
        <v>11554</v>
      </c>
      <c r="F3095" s="2" t="s">
        <v>11555</v>
      </c>
      <c r="G3095" s="2" t="s">
        <v>328</v>
      </c>
      <c r="H3095" s="17">
        <v>25</v>
      </c>
      <c r="I3095" s="31">
        <f t="shared" si="300"/>
        <v>25000</v>
      </c>
      <c r="J3095" s="31">
        <f t="shared" si="301"/>
        <v>1750.0000000000002</v>
      </c>
      <c r="K3095" s="44">
        <f t="shared" si="302"/>
        <v>4.794520547945206</v>
      </c>
      <c r="L3095" s="3">
        <f t="shared" si="303"/>
        <v>354.79452054794524</v>
      </c>
      <c r="M3095" s="3">
        <f t="shared" si="304"/>
        <v>21.287671232876715</v>
      </c>
      <c r="N3095" s="67">
        <f t="shared" si="305"/>
        <v>333.50684931506851</v>
      </c>
      <c r="O3095" s="3"/>
      <c r="P3095" s="70" t="s">
        <v>18614</v>
      </c>
      <c r="Q3095" s="2" t="s">
        <v>137</v>
      </c>
      <c r="R3095" s="2" t="s">
        <v>11556</v>
      </c>
      <c r="T3095" t="s">
        <v>18666</v>
      </c>
      <c r="U3095" t="s">
        <v>18652</v>
      </c>
      <c r="V3095" s="104">
        <v>45857</v>
      </c>
      <c r="X3095" s="97"/>
      <c r="Y3095" s="75">
        <v>333.51</v>
      </c>
    </row>
    <row r="3096" spans="1:25" x14ac:dyDescent="0.25">
      <c r="A3096" s="76">
        <v>3128</v>
      </c>
      <c r="B3096" s="2" t="s">
        <v>10727</v>
      </c>
      <c r="C3096" s="2" t="s">
        <v>10728</v>
      </c>
      <c r="D3096" s="2" t="s">
        <v>10729</v>
      </c>
      <c r="E3096" s="2" t="s">
        <v>10730</v>
      </c>
      <c r="F3096" s="2" t="s">
        <v>10731</v>
      </c>
      <c r="G3096" s="2" t="s">
        <v>261</v>
      </c>
      <c r="H3096" s="17">
        <v>50</v>
      </c>
      <c r="I3096" s="31">
        <f t="shared" si="300"/>
        <v>50000</v>
      </c>
      <c r="J3096" s="31">
        <f t="shared" si="301"/>
        <v>3500.0000000000005</v>
      </c>
      <c r="K3096" s="44">
        <f t="shared" si="302"/>
        <v>9.589041095890412</v>
      </c>
      <c r="L3096" s="3">
        <f t="shared" si="303"/>
        <v>709.58904109589048</v>
      </c>
      <c r="M3096" s="3">
        <f t="shared" si="304"/>
        <v>42.57534246575343</v>
      </c>
      <c r="N3096" s="67">
        <f t="shared" si="305"/>
        <v>667.01369863013701</v>
      </c>
      <c r="O3096" s="3"/>
      <c r="P3096" s="70" t="s">
        <v>18614</v>
      </c>
      <c r="Q3096" s="2" t="s">
        <v>137</v>
      </c>
      <c r="R3096" s="2" t="s">
        <v>10732</v>
      </c>
      <c r="T3096" t="s">
        <v>18666</v>
      </c>
      <c r="U3096" t="s">
        <v>18652</v>
      </c>
      <c r="V3096" s="104">
        <v>45857</v>
      </c>
      <c r="X3096" s="97"/>
      <c r="Y3096" s="75">
        <v>667.02</v>
      </c>
    </row>
    <row r="3097" spans="1:25" x14ac:dyDescent="0.25">
      <c r="A3097" s="76">
        <v>3129</v>
      </c>
      <c r="B3097" s="2" t="s">
        <v>3039</v>
      </c>
      <c r="C3097" s="2" t="s">
        <v>3040</v>
      </c>
      <c r="D3097" s="2" t="s">
        <v>3041</v>
      </c>
      <c r="E3097" s="2" t="s">
        <v>3042</v>
      </c>
      <c r="F3097" s="2" t="s">
        <v>3043</v>
      </c>
      <c r="G3097" s="2" t="s">
        <v>1055</v>
      </c>
      <c r="H3097" s="17">
        <v>100</v>
      </c>
      <c r="I3097" s="31">
        <f t="shared" si="300"/>
        <v>100000</v>
      </c>
      <c r="J3097" s="31">
        <f t="shared" si="301"/>
        <v>7000.0000000000009</v>
      </c>
      <c r="K3097" s="44">
        <f t="shared" si="302"/>
        <v>19.178082191780824</v>
      </c>
      <c r="L3097" s="3">
        <f t="shared" si="303"/>
        <v>1419.178082191781</v>
      </c>
      <c r="M3097" s="3">
        <f t="shared" si="304"/>
        <v>85.150684931506859</v>
      </c>
      <c r="N3097" s="67">
        <f t="shared" si="305"/>
        <v>1334.027397260274</v>
      </c>
      <c r="O3097" s="3"/>
      <c r="P3097" s="70" t="s">
        <v>18614</v>
      </c>
      <c r="Q3097" s="2" t="s">
        <v>137</v>
      </c>
      <c r="R3097" s="2" t="s">
        <v>3044</v>
      </c>
      <c r="T3097" t="s">
        <v>18666</v>
      </c>
      <c r="U3097" t="s">
        <v>18652</v>
      </c>
      <c r="V3097" s="104">
        <v>45857</v>
      </c>
      <c r="X3097" s="97"/>
      <c r="Y3097" s="75">
        <v>1334.03</v>
      </c>
    </row>
    <row r="3098" spans="1:25" x14ac:dyDescent="0.25">
      <c r="A3098" s="76">
        <v>3130</v>
      </c>
      <c r="B3098" s="2" t="s">
        <v>447</v>
      </c>
      <c r="C3098" s="2" t="s">
        <v>429</v>
      </c>
      <c r="D3098" s="2" t="s">
        <v>448</v>
      </c>
      <c r="E3098" s="2" t="s">
        <v>449</v>
      </c>
      <c r="F3098" s="2" t="s">
        <v>450</v>
      </c>
      <c r="G3098" s="2" t="s">
        <v>296</v>
      </c>
      <c r="H3098" s="17">
        <v>30</v>
      </c>
      <c r="I3098" s="31">
        <f t="shared" si="300"/>
        <v>30000</v>
      </c>
      <c r="J3098" s="31">
        <f t="shared" si="301"/>
        <v>2100</v>
      </c>
      <c r="K3098" s="44">
        <f t="shared" si="302"/>
        <v>5.7534246575342465</v>
      </c>
      <c r="L3098" s="3">
        <f t="shared" si="303"/>
        <v>425.75342465753425</v>
      </c>
      <c r="M3098" s="3">
        <f t="shared" si="304"/>
        <v>25.545205479452054</v>
      </c>
      <c r="N3098" s="67">
        <f t="shared" si="305"/>
        <v>400.20821917808217</v>
      </c>
      <c r="O3098" s="3"/>
      <c r="P3098" s="70" t="s">
        <v>18614</v>
      </c>
      <c r="Q3098" s="2" t="s">
        <v>137</v>
      </c>
      <c r="R3098" s="2" t="s">
        <v>451</v>
      </c>
      <c r="T3098" t="s">
        <v>18666</v>
      </c>
      <c r="U3098" t="s">
        <v>18652</v>
      </c>
      <c r="V3098" s="104">
        <v>45857</v>
      </c>
      <c r="X3098" s="97"/>
      <c r="Y3098" s="75">
        <v>400.21</v>
      </c>
    </row>
    <row r="3099" spans="1:25" x14ac:dyDescent="0.25">
      <c r="A3099" s="76">
        <v>3131</v>
      </c>
      <c r="B3099" s="2" t="s">
        <v>317</v>
      </c>
      <c r="C3099" s="2" t="s">
        <v>318</v>
      </c>
      <c r="D3099" s="2" t="s">
        <v>319</v>
      </c>
      <c r="E3099" s="2" t="s">
        <v>320</v>
      </c>
      <c r="F3099" s="2" t="s">
        <v>321</v>
      </c>
      <c r="G3099" s="2" t="s">
        <v>193</v>
      </c>
      <c r="H3099" s="17">
        <v>25</v>
      </c>
      <c r="I3099" s="31">
        <f t="shared" si="300"/>
        <v>25000</v>
      </c>
      <c r="J3099" s="31">
        <f t="shared" si="301"/>
        <v>1750.0000000000002</v>
      </c>
      <c r="K3099" s="44">
        <f t="shared" si="302"/>
        <v>4.794520547945206</v>
      </c>
      <c r="L3099" s="3">
        <f t="shared" si="303"/>
        <v>354.79452054794524</v>
      </c>
      <c r="M3099" s="3">
        <f t="shared" si="304"/>
        <v>21.287671232876715</v>
      </c>
      <c r="N3099" s="67">
        <f t="shared" si="305"/>
        <v>333.50684931506851</v>
      </c>
      <c r="O3099" s="3"/>
      <c r="P3099" s="70" t="s">
        <v>18614</v>
      </c>
      <c r="Q3099" s="2" t="s">
        <v>137</v>
      </c>
      <c r="R3099" s="2" t="s">
        <v>322</v>
      </c>
      <c r="T3099" t="s">
        <v>18666</v>
      </c>
      <c r="U3099" t="s">
        <v>18652</v>
      </c>
      <c r="V3099" s="104">
        <v>45857</v>
      </c>
      <c r="X3099" s="97"/>
      <c r="Y3099" s="75">
        <v>333.51</v>
      </c>
    </row>
    <row r="3100" spans="1:25" x14ac:dyDescent="0.25">
      <c r="A3100" s="76">
        <v>3132</v>
      </c>
      <c r="B3100" s="2" t="s">
        <v>582</v>
      </c>
      <c r="C3100" s="2" t="s">
        <v>583</v>
      </c>
      <c r="D3100" s="2" t="s">
        <v>584</v>
      </c>
      <c r="E3100" s="2" t="s">
        <v>585</v>
      </c>
      <c r="F3100" s="2" t="s">
        <v>586</v>
      </c>
      <c r="G3100" s="2" t="s">
        <v>587</v>
      </c>
      <c r="H3100" s="17">
        <v>25</v>
      </c>
      <c r="I3100" s="31">
        <f t="shared" si="300"/>
        <v>25000</v>
      </c>
      <c r="J3100" s="31">
        <f t="shared" si="301"/>
        <v>1750.0000000000002</v>
      </c>
      <c r="K3100" s="44">
        <f t="shared" si="302"/>
        <v>4.794520547945206</v>
      </c>
      <c r="L3100" s="3">
        <f t="shared" si="303"/>
        <v>354.79452054794524</v>
      </c>
      <c r="M3100" s="3">
        <f t="shared" si="304"/>
        <v>21.287671232876715</v>
      </c>
      <c r="N3100" s="67">
        <f t="shared" si="305"/>
        <v>333.50684931506851</v>
      </c>
      <c r="O3100" s="3"/>
      <c r="P3100" s="70" t="s">
        <v>18614</v>
      </c>
      <c r="Q3100" s="2" t="s">
        <v>137</v>
      </c>
      <c r="R3100" s="2" t="s">
        <v>588</v>
      </c>
      <c r="T3100" t="s">
        <v>18666</v>
      </c>
      <c r="U3100" t="s">
        <v>18652</v>
      </c>
      <c r="V3100" s="104">
        <v>45857</v>
      </c>
      <c r="X3100" s="97"/>
      <c r="Y3100" s="75">
        <v>333.51</v>
      </c>
    </row>
    <row r="3101" spans="1:25" x14ac:dyDescent="0.25">
      <c r="A3101" s="76">
        <v>3133</v>
      </c>
      <c r="B3101" s="2" t="s">
        <v>9176</v>
      </c>
      <c r="C3101" s="2" t="s">
        <v>9177</v>
      </c>
      <c r="D3101" s="2" t="s">
        <v>9178</v>
      </c>
      <c r="E3101" s="2" t="s">
        <v>9179</v>
      </c>
      <c r="F3101" s="2" t="s">
        <v>9180</v>
      </c>
      <c r="G3101" s="2" t="s">
        <v>39</v>
      </c>
      <c r="H3101" s="17">
        <v>50</v>
      </c>
      <c r="I3101" s="31">
        <f t="shared" si="300"/>
        <v>50000</v>
      </c>
      <c r="J3101" s="31">
        <f t="shared" si="301"/>
        <v>3500.0000000000005</v>
      </c>
      <c r="K3101" s="44">
        <f t="shared" si="302"/>
        <v>9.589041095890412</v>
      </c>
      <c r="L3101" s="3">
        <f t="shared" si="303"/>
        <v>709.58904109589048</v>
      </c>
      <c r="M3101" s="3">
        <f t="shared" si="304"/>
        <v>42.57534246575343</v>
      </c>
      <c r="N3101" s="67">
        <f t="shared" si="305"/>
        <v>667.01369863013701</v>
      </c>
      <c r="O3101" s="3"/>
      <c r="P3101" s="70" t="s">
        <v>18614</v>
      </c>
      <c r="Q3101" s="2" t="s">
        <v>137</v>
      </c>
      <c r="R3101" s="2" t="s">
        <v>9181</v>
      </c>
      <c r="T3101" t="s">
        <v>18666</v>
      </c>
      <c r="U3101" t="s">
        <v>18652</v>
      </c>
      <c r="V3101" s="104">
        <v>45857</v>
      </c>
      <c r="X3101" s="97"/>
      <c r="Y3101" s="75">
        <v>667.02</v>
      </c>
    </row>
    <row r="3102" spans="1:25" x14ac:dyDescent="0.25">
      <c r="A3102" s="76">
        <v>3134</v>
      </c>
      <c r="B3102" s="2" t="s">
        <v>9316</v>
      </c>
      <c r="C3102" s="2" t="s">
        <v>9317</v>
      </c>
      <c r="D3102" s="2" t="s">
        <v>9318</v>
      </c>
      <c r="E3102" s="2" t="s">
        <v>9319</v>
      </c>
      <c r="F3102" s="2" t="s">
        <v>9320</v>
      </c>
      <c r="G3102" s="2" t="s">
        <v>282</v>
      </c>
      <c r="H3102" s="17">
        <v>50</v>
      </c>
      <c r="I3102" s="31">
        <f t="shared" si="300"/>
        <v>50000</v>
      </c>
      <c r="J3102" s="31">
        <f t="shared" si="301"/>
        <v>3500.0000000000005</v>
      </c>
      <c r="K3102" s="44">
        <f t="shared" si="302"/>
        <v>9.589041095890412</v>
      </c>
      <c r="L3102" s="3">
        <f t="shared" si="303"/>
        <v>709.58904109589048</v>
      </c>
      <c r="M3102" s="3">
        <f t="shared" si="304"/>
        <v>42.57534246575343</v>
      </c>
      <c r="N3102" s="67">
        <f t="shared" si="305"/>
        <v>667.01369863013701</v>
      </c>
      <c r="O3102" s="3"/>
      <c r="P3102" s="70" t="s">
        <v>18614</v>
      </c>
      <c r="Q3102" s="2" t="s">
        <v>137</v>
      </c>
      <c r="R3102" s="2" t="s">
        <v>9321</v>
      </c>
      <c r="T3102" t="s">
        <v>18666</v>
      </c>
      <c r="U3102" t="s">
        <v>18652</v>
      </c>
      <c r="V3102" s="104">
        <v>45857</v>
      </c>
      <c r="X3102" s="97"/>
      <c r="Y3102" s="75">
        <v>667.02</v>
      </c>
    </row>
    <row r="3103" spans="1:25" x14ac:dyDescent="0.25">
      <c r="A3103" s="76">
        <v>3135</v>
      </c>
      <c r="B3103" s="2" t="s">
        <v>8891</v>
      </c>
      <c r="C3103" s="2" t="s">
        <v>8892</v>
      </c>
      <c r="D3103" s="2" t="s">
        <v>8893</v>
      </c>
      <c r="E3103" s="2" t="s">
        <v>7979</v>
      </c>
      <c r="F3103" s="2" t="s">
        <v>8894</v>
      </c>
      <c r="G3103" s="2" t="s">
        <v>5013</v>
      </c>
      <c r="H3103" s="17">
        <v>25</v>
      </c>
      <c r="I3103" s="31">
        <f t="shared" si="300"/>
        <v>25000</v>
      </c>
      <c r="J3103" s="31">
        <f t="shared" si="301"/>
        <v>1750.0000000000002</v>
      </c>
      <c r="K3103" s="44">
        <f t="shared" si="302"/>
        <v>4.794520547945206</v>
      </c>
      <c r="L3103" s="3">
        <f t="shared" si="303"/>
        <v>354.79452054794524</v>
      </c>
      <c r="M3103" s="3">
        <f t="shared" si="304"/>
        <v>21.287671232876715</v>
      </c>
      <c r="N3103" s="67">
        <f t="shared" si="305"/>
        <v>333.50684931506851</v>
      </c>
      <c r="O3103" s="3"/>
      <c r="P3103" s="70" t="s">
        <v>18614</v>
      </c>
      <c r="Q3103" s="2" t="s">
        <v>137</v>
      </c>
      <c r="R3103" s="2" t="s">
        <v>8895</v>
      </c>
      <c r="T3103" t="s">
        <v>18666</v>
      </c>
      <c r="U3103" t="s">
        <v>18652</v>
      </c>
      <c r="V3103" s="104">
        <v>45857</v>
      </c>
      <c r="X3103" s="97"/>
      <c r="Y3103" s="75">
        <v>333.51</v>
      </c>
    </row>
    <row r="3104" spans="1:25" x14ac:dyDescent="0.25">
      <c r="A3104" s="76">
        <v>3136</v>
      </c>
      <c r="B3104" s="2" t="s">
        <v>1401</v>
      </c>
      <c r="C3104" s="2" t="s">
        <v>1402</v>
      </c>
      <c r="D3104" s="2" t="s">
        <v>1403</v>
      </c>
      <c r="E3104" s="2" t="s">
        <v>1404</v>
      </c>
      <c r="F3104" s="2" t="s">
        <v>1405</v>
      </c>
      <c r="G3104" s="2" t="s">
        <v>799</v>
      </c>
      <c r="H3104" s="17">
        <v>25</v>
      </c>
      <c r="I3104" s="31">
        <f t="shared" si="300"/>
        <v>25000</v>
      </c>
      <c r="J3104" s="31">
        <f t="shared" si="301"/>
        <v>1750.0000000000002</v>
      </c>
      <c r="K3104" s="44">
        <f t="shared" si="302"/>
        <v>4.794520547945206</v>
      </c>
      <c r="L3104" s="3">
        <f t="shared" si="303"/>
        <v>354.79452054794524</v>
      </c>
      <c r="M3104" s="3">
        <f t="shared" si="304"/>
        <v>21.287671232876715</v>
      </c>
      <c r="N3104" s="67">
        <f t="shared" si="305"/>
        <v>333.50684931506851</v>
      </c>
      <c r="O3104" s="3"/>
      <c r="P3104" s="70" t="s">
        <v>18614</v>
      </c>
      <c r="Q3104" s="2" t="s">
        <v>137</v>
      </c>
      <c r="R3104" s="2" t="s">
        <v>1406</v>
      </c>
      <c r="T3104" t="s">
        <v>18666</v>
      </c>
      <c r="U3104" t="s">
        <v>18652</v>
      </c>
      <c r="V3104" s="104">
        <v>45857</v>
      </c>
      <c r="X3104" s="97"/>
      <c r="Y3104" s="75">
        <v>333.51</v>
      </c>
    </row>
    <row r="3105" spans="1:25" x14ac:dyDescent="0.25">
      <c r="A3105" s="76">
        <v>3137</v>
      </c>
      <c r="B3105" s="2" t="s">
        <v>5268</v>
      </c>
      <c r="C3105" s="2" t="s">
        <v>5269</v>
      </c>
      <c r="D3105" s="2" t="s">
        <v>5270</v>
      </c>
      <c r="E3105" s="2" t="s">
        <v>5271</v>
      </c>
      <c r="F3105" s="2" t="s">
        <v>5272</v>
      </c>
      <c r="G3105" s="2" t="s">
        <v>381</v>
      </c>
      <c r="H3105" s="17">
        <v>50</v>
      </c>
      <c r="I3105" s="31">
        <f t="shared" si="300"/>
        <v>50000</v>
      </c>
      <c r="J3105" s="31">
        <f t="shared" si="301"/>
        <v>3500.0000000000005</v>
      </c>
      <c r="K3105" s="44">
        <f t="shared" si="302"/>
        <v>9.589041095890412</v>
      </c>
      <c r="L3105" s="3">
        <f t="shared" si="303"/>
        <v>709.58904109589048</v>
      </c>
      <c r="M3105" s="3">
        <f t="shared" si="304"/>
        <v>42.57534246575343</v>
      </c>
      <c r="N3105" s="67">
        <f t="shared" si="305"/>
        <v>667.01369863013701</v>
      </c>
      <c r="O3105" s="3"/>
      <c r="P3105" s="70" t="s">
        <v>18614</v>
      </c>
      <c r="Q3105" s="2" t="s">
        <v>137</v>
      </c>
      <c r="R3105" s="2" t="s">
        <v>5273</v>
      </c>
      <c r="T3105" t="s">
        <v>18666</v>
      </c>
      <c r="U3105" t="s">
        <v>18652</v>
      </c>
      <c r="V3105" s="104">
        <v>45857</v>
      </c>
      <c r="X3105" s="97"/>
      <c r="Y3105" s="75">
        <v>667.02</v>
      </c>
    </row>
    <row r="3106" spans="1:25" x14ac:dyDescent="0.25">
      <c r="A3106" s="76">
        <v>3138</v>
      </c>
      <c r="B3106" s="2" t="s">
        <v>15356</v>
      </c>
      <c r="C3106" s="2" t="s">
        <v>15357</v>
      </c>
      <c r="D3106" s="2" t="s">
        <v>15358</v>
      </c>
      <c r="E3106" s="2" t="s">
        <v>15359</v>
      </c>
      <c r="F3106" s="2" t="s">
        <v>15360</v>
      </c>
      <c r="G3106" s="2" t="s">
        <v>328</v>
      </c>
      <c r="H3106" s="17">
        <v>25</v>
      </c>
      <c r="I3106" s="31">
        <f t="shared" si="300"/>
        <v>25000</v>
      </c>
      <c r="J3106" s="31">
        <f t="shared" si="301"/>
        <v>1750.0000000000002</v>
      </c>
      <c r="K3106" s="44">
        <f t="shared" si="302"/>
        <v>4.794520547945206</v>
      </c>
      <c r="L3106" s="3">
        <f t="shared" si="303"/>
        <v>354.79452054794524</v>
      </c>
      <c r="M3106" s="3">
        <f t="shared" si="304"/>
        <v>21.287671232876715</v>
      </c>
      <c r="N3106" s="67">
        <f t="shared" si="305"/>
        <v>333.50684931506851</v>
      </c>
      <c r="O3106" s="3"/>
      <c r="P3106" s="70" t="s">
        <v>18614</v>
      </c>
      <c r="Q3106" s="2" t="s">
        <v>137</v>
      </c>
      <c r="R3106" s="2" t="s">
        <v>15361</v>
      </c>
      <c r="T3106" t="s">
        <v>18666</v>
      </c>
      <c r="U3106" t="s">
        <v>18652</v>
      </c>
      <c r="V3106" s="104">
        <v>45857</v>
      </c>
      <c r="X3106" s="97"/>
      <c r="Y3106" s="75">
        <v>333.51</v>
      </c>
    </row>
    <row r="3107" spans="1:25" x14ac:dyDescent="0.25">
      <c r="A3107" s="76">
        <v>3139</v>
      </c>
      <c r="B3107" s="2" t="s">
        <v>6484</v>
      </c>
      <c r="C3107" s="2" t="s">
        <v>6485</v>
      </c>
      <c r="D3107" s="2" t="s">
        <v>6486</v>
      </c>
      <c r="E3107" s="2" t="s">
        <v>6487</v>
      </c>
      <c r="F3107" s="2" t="s">
        <v>6488</v>
      </c>
      <c r="G3107" s="2" t="s">
        <v>247</v>
      </c>
      <c r="H3107" s="17">
        <v>25</v>
      </c>
      <c r="I3107" s="31">
        <f t="shared" si="300"/>
        <v>25000</v>
      </c>
      <c r="J3107" s="31">
        <f t="shared" si="301"/>
        <v>1750.0000000000002</v>
      </c>
      <c r="K3107" s="44">
        <f t="shared" si="302"/>
        <v>4.794520547945206</v>
      </c>
      <c r="L3107" s="3">
        <f t="shared" si="303"/>
        <v>354.79452054794524</v>
      </c>
      <c r="M3107" s="3">
        <f t="shared" si="304"/>
        <v>21.287671232876715</v>
      </c>
      <c r="N3107" s="67">
        <f t="shared" si="305"/>
        <v>333.50684931506851</v>
      </c>
      <c r="O3107" s="3"/>
      <c r="P3107" s="70" t="s">
        <v>18614</v>
      </c>
      <c r="Q3107" s="2" t="s">
        <v>137</v>
      </c>
      <c r="R3107" s="2" t="s">
        <v>6489</v>
      </c>
      <c r="T3107" t="s">
        <v>18666</v>
      </c>
      <c r="U3107" t="s">
        <v>18652</v>
      </c>
      <c r="V3107" s="104">
        <v>45857</v>
      </c>
      <c r="X3107" s="97"/>
      <c r="Y3107" s="75">
        <v>333.51</v>
      </c>
    </row>
    <row r="3108" spans="1:25" x14ac:dyDescent="0.25">
      <c r="A3108" s="76">
        <v>3140</v>
      </c>
      <c r="B3108" s="2" t="s">
        <v>7371</v>
      </c>
      <c r="C3108" s="2" t="s">
        <v>7372</v>
      </c>
      <c r="D3108" s="2" t="s">
        <v>7373</v>
      </c>
      <c r="E3108" s="2" t="s">
        <v>7374</v>
      </c>
      <c r="F3108" s="2" t="s">
        <v>7375</v>
      </c>
      <c r="G3108" s="2" t="s">
        <v>381</v>
      </c>
      <c r="H3108" s="17">
        <v>25</v>
      </c>
      <c r="I3108" s="31">
        <f t="shared" si="300"/>
        <v>25000</v>
      </c>
      <c r="J3108" s="31">
        <f t="shared" si="301"/>
        <v>1750.0000000000002</v>
      </c>
      <c r="K3108" s="44">
        <f t="shared" si="302"/>
        <v>4.794520547945206</v>
      </c>
      <c r="L3108" s="3">
        <f t="shared" si="303"/>
        <v>354.79452054794524</v>
      </c>
      <c r="M3108" s="3">
        <f t="shared" si="304"/>
        <v>21.287671232876715</v>
      </c>
      <c r="N3108" s="67">
        <f t="shared" si="305"/>
        <v>333.50684931506851</v>
      </c>
      <c r="O3108" s="3"/>
      <c r="P3108" s="70" t="s">
        <v>18614</v>
      </c>
      <c r="Q3108" s="2" t="s">
        <v>137</v>
      </c>
      <c r="R3108" s="2" t="s">
        <v>7376</v>
      </c>
      <c r="T3108" t="s">
        <v>18666</v>
      </c>
      <c r="U3108" t="s">
        <v>18652</v>
      </c>
      <c r="V3108" s="104">
        <v>45857</v>
      </c>
      <c r="X3108" s="97"/>
      <c r="Y3108" s="75">
        <v>333.51</v>
      </c>
    </row>
    <row r="3109" spans="1:25" x14ac:dyDescent="0.25">
      <c r="A3109" s="76">
        <v>3141</v>
      </c>
      <c r="B3109" s="2" t="s">
        <v>13408</v>
      </c>
      <c r="C3109" s="2" t="s">
        <v>13409</v>
      </c>
      <c r="D3109" s="2" t="s">
        <v>13410</v>
      </c>
      <c r="E3109" s="2" t="s">
        <v>13411</v>
      </c>
      <c r="F3109" s="2" t="s">
        <v>13412</v>
      </c>
      <c r="G3109" s="2" t="s">
        <v>31</v>
      </c>
      <c r="H3109" s="17">
        <v>25</v>
      </c>
      <c r="I3109" s="31">
        <f t="shared" si="300"/>
        <v>25000</v>
      </c>
      <c r="J3109" s="31">
        <f t="shared" si="301"/>
        <v>1750.0000000000002</v>
      </c>
      <c r="K3109" s="44">
        <f t="shared" si="302"/>
        <v>4.794520547945206</v>
      </c>
      <c r="L3109" s="3">
        <f t="shared" si="303"/>
        <v>354.79452054794524</v>
      </c>
      <c r="M3109" s="3">
        <f t="shared" si="304"/>
        <v>21.287671232876715</v>
      </c>
      <c r="N3109" s="67">
        <f t="shared" si="305"/>
        <v>333.50684931506851</v>
      </c>
      <c r="O3109" s="3"/>
      <c r="P3109" s="70" t="s">
        <v>18614</v>
      </c>
      <c r="Q3109" s="2" t="s">
        <v>137</v>
      </c>
      <c r="R3109" s="2" t="s">
        <v>13413</v>
      </c>
      <c r="T3109" t="s">
        <v>18666</v>
      </c>
      <c r="U3109" t="s">
        <v>18652</v>
      </c>
      <c r="V3109" s="104">
        <v>45857</v>
      </c>
      <c r="X3109" s="97"/>
      <c r="Y3109" s="75">
        <v>333.51</v>
      </c>
    </row>
    <row r="3110" spans="1:25" x14ac:dyDescent="0.25">
      <c r="A3110" s="76">
        <v>3142</v>
      </c>
      <c r="B3110" s="2" t="s">
        <v>12328</v>
      </c>
      <c r="C3110" s="2" t="s">
        <v>12329</v>
      </c>
      <c r="D3110" s="2" t="s">
        <v>12330</v>
      </c>
      <c r="E3110" s="2" t="s">
        <v>12331</v>
      </c>
      <c r="F3110" s="2" t="s">
        <v>12332</v>
      </c>
      <c r="G3110" s="2" t="s">
        <v>296</v>
      </c>
      <c r="H3110" s="17">
        <v>25</v>
      </c>
      <c r="I3110" s="31">
        <f t="shared" si="300"/>
        <v>25000</v>
      </c>
      <c r="J3110" s="31">
        <f t="shared" si="301"/>
        <v>1750.0000000000002</v>
      </c>
      <c r="K3110" s="44">
        <f t="shared" si="302"/>
        <v>4.794520547945206</v>
      </c>
      <c r="L3110" s="3">
        <f t="shared" si="303"/>
        <v>354.79452054794524</v>
      </c>
      <c r="M3110" s="3">
        <f t="shared" si="304"/>
        <v>21.287671232876715</v>
      </c>
      <c r="N3110" s="67">
        <f t="shared" si="305"/>
        <v>333.50684931506851</v>
      </c>
      <c r="O3110" s="3"/>
      <c r="P3110" s="70" t="s">
        <v>18614</v>
      </c>
      <c r="Q3110" s="2" t="s">
        <v>137</v>
      </c>
      <c r="R3110" s="2" t="s">
        <v>12333</v>
      </c>
      <c r="T3110" t="s">
        <v>18666</v>
      </c>
      <c r="U3110" t="s">
        <v>18652</v>
      </c>
      <c r="V3110" s="104">
        <v>45857</v>
      </c>
      <c r="X3110" s="97"/>
      <c r="Y3110" s="75">
        <v>333.51</v>
      </c>
    </row>
    <row r="3111" spans="1:25" x14ac:dyDescent="0.25">
      <c r="A3111" s="76">
        <v>3143</v>
      </c>
      <c r="B3111" s="2" t="s">
        <v>3099</v>
      </c>
      <c r="C3111" s="2" t="s">
        <v>3100</v>
      </c>
      <c r="D3111" s="2" t="s">
        <v>3101</v>
      </c>
      <c r="E3111" s="2" t="s">
        <v>3102</v>
      </c>
      <c r="F3111" s="2" t="s">
        <v>3103</v>
      </c>
      <c r="G3111" s="2" t="s">
        <v>2571</v>
      </c>
      <c r="H3111" s="17">
        <v>25</v>
      </c>
      <c r="I3111" s="31">
        <f t="shared" si="300"/>
        <v>25000</v>
      </c>
      <c r="J3111" s="31">
        <f t="shared" si="301"/>
        <v>1750.0000000000002</v>
      </c>
      <c r="K3111" s="44">
        <f t="shared" si="302"/>
        <v>4.794520547945206</v>
      </c>
      <c r="L3111" s="3">
        <f t="shared" si="303"/>
        <v>354.79452054794524</v>
      </c>
      <c r="M3111" s="3">
        <f t="shared" si="304"/>
        <v>21.287671232876715</v>
      </c>
      <c r="N3111" s="67">
        <f t="shared" si="305"/>
        <v>333.50684931506851</v>
      </c>
      <c r="O3111" s="3"/>
      <c r="P3111" s="70" t="s">
        <v>18614</v>
      </c>
      <c r="Q3111" s="2" t="s">
        <v>137</v>
      </c>
      <c r="R3111" s="2" t="s">
        <v>3104</v>
      </c>
      <c r="T3111" t="s">
        <v>18666</v>
      </c>
      <c r="U3111" t="s">
        <v>18652</v>
      </c>
      <c r="V3111" s="104">
        <v>45857</v>
      </c>
      <c r="X3111" s="97"/>
      <c r="Y3111" s="75">
        <v>333.51</v>
      </c>
    </row>
    <row r="3112" spans="1:25" x14ac:dyDescent="0.25">
      <c r="A3112" s="76">
        <v>3144</v>
      </c>
      <c r="B3112" s="2" t="s">
        <v>8178</v>
      </c>
      <c r="C3112" s="2" t="s">
        <v>8179</v>
      </c>
      <c r="D3112" s="2" t="s">
        <v>8180</v>
      </c>
      <c r="E3112" s="2" t="s">
        <v>8181</v>
      </c>
      <c r="F3112" s="2" t="s">
        <v>8182</v>
      </c>
      <c r="G3112" s="2" t="s">
        <v>1017</v>
      </c>
      <c r="H3112" s="17">
        <v>50</v>
      </c>
      <c r="I3112" s="31">
        <f t="shared" si="300"/>
        <v>50000</v>
      </c>
      <c r="J3112" s="31">
        <f t="shared" si="301"/>
        <v>3500.0000000000005</v>
      </c>
      <c r="K3112" s="44">
        <f t="shared" si="302"/>
        <v>9.589041095890412</v>
      </c>
      <c r="L3112" s="3">
        <f t="shared" si="303"/>
        <v>709.58904109589048</v>
      </c>
      <c r="M3112" s="3">
        <f t="shared" si="304"/>
        <v>42.57534246575343</v>
      </c>
      <c r="N3112" s="67">
        <f t="shared" si="305"/>
        <v>667.01369863013701</v>
      </c>
      <c r="O3112" s="3"/>
      <c r="P3112" s="70" t="s">
        <v>18614</v>
      </c>
      <c r="Q3112" s="2" t="s">
        <v>137</v>
      </c>
      <c r="R3112" s="2" t="s">
        <v>8183</v>
      </c>
      <c r="T3112" t="s">
        <v>18666</v>
      </c>
      <c r="U3112" t="s">
        <v>18652</v>
      </c>
      <c r="V3112" s="104">
        <v>45857</v>
      </c>
      <c r="X3112" s="97"/>
      <c r="Y3112" s="75">
        <v>667.02</v>
      </c>
    </row>
    <row r="3113" spans="1:25" x14ac:dyDescent="0.25">
      <c r="A3113" s="76">
        <v>3145</v>
      </c>
      <c r="B3113" s="2" t="s">
        <v>168</v>
      </c>
      <c r="C3113" s="2" t="s">
        <v>169</v>
      </c>
      <c r="D3113" s="2" t="s">
        <v>170</v>
      </c>
      <c r="E3113" s="2" t="s">
        <v>171</v>
      </c>
      <c r="F3113" s="2" t="s">
        <v>172</v>
      </c>
      <c r="G3113" s="2" t="s">
        <v>173</v>
      </c>
      <c r="H3113" s="17">
        <v>25</v>
      </c>
      <c r="I3113" s="31">
        <f t="shared" si="300"/>
        <v>25000</v>
      </c>
      <c r="J3113" s="31">
        <f t="shared" si="301"/>
        <v>1750.0000000000002</v>
      </c>
      <c r="K3113" s="44">
        <f t="shared" si="302"/>
        <v>4.794520547945206</v>
      </c>
      <c r="L3113" s="3">
        <f t="shared" si="303"/>
        <v>354.79452054794524</v>
      </c>
      <c r="M3113" s="3">
        <f t="shared" si="304"/>
        <v>21.287671232876715</v>
      </c>
      <c r="N3113" s="67">
        <f t="shared" si="305"/>
        <v>333.50684931506851</v>
      </c>
      <c r="O3113" s="3"/>
      <c r="P3113" s="70" t="s">
        <v>18614</v>
      </c>
      <c r="Q3113" s="2" t="s">
        <v>137</v>
      </c>
      <c r="R3113" s="2" t="s">
        <v>174</v>
      </c>
      <c r="T3113" t="s">
        <v>18666</v>
      </c>
      <c r="U3113" t="s">
        <v>18652</v>
      </c>
      <c r="V3113" s="104">
        <v>45857</v>
      </c>
      <c r="X3113" s="97"/>
      <c r="Y3113" s="75">
        <v>333.51</v>
      </c>
    </row>
    <row r="3114" spans="1:25" x14ac:dyDescent="0.25">
      <c r="A3114" s="76">
        <v>3146</v>
      </c>
      <c r="B3114" s="2" t="s">
        <v>3737</v>
      </c>
      <c r="C3114" s="2" t="s">
        <v>3738</v>
      </c>
      <c r="D3114" s="2" t="s">
        <v>733</v>
      </c>
      <c r="E3114" s="2" t="s">
        <v>3739</v>
      </c>
      <c r="F3114" s="2" t="s">
        <v>3740</v>
      </c>
      <c r="G3114" s="2" t="s">
        <v>2571</v>
      </c>
      <c r="H3114" s="17">
        <v>25</v>
      </c>
      <c r="I3114" s="31">
        <f t="shared" si="300"/>
        <v>25000</v>
      </c>
      <c r="J3114" s="31">
        <f t="shared" si="301"/>
        <v>1750.0000000000002</v>
      </c>
      <c r="K3114" s="44">
        <f t="shared" si="302"/>
        <v>4.794520547945206</v>
      </c>
      <c r="L3114" s="3">
        <f t="shared" si="303"/>
        <v>354.79452054794524</v>
      </c>
      <c r="M3114" s="3">
        <f t="shared" si="304"/>
        <v>21.287671232876715</v>
      </c>
      <c r="N3114" s="67">
        <f t="shared" si="305"/>
        <v>333.50684931506851</v>
      </c>
      <c r="O3114" s="3"/>
      <c r="P3114" s="70" t="s">
        <v>18614</v>
      </c>
      <c r="Q3114" s="2" t="s">
        <v>137</v>
      </c>
      <c r="R3114" s="2" t="s">
        <v>3741</v>
      </c>
      <c r="T3114" t="s">
        <v>18666</v>
      </c>
      <c r="U3114" t="s">
        <v>18652</v>
      </c>
      <c r="V3114" s="104">
        <v>45857</v>
      </c>
      <c r="X3114" s="97"/>
      <c r="Y3114" s="75">
        <v>333.51</v>
      </c>
    </row>
    <row r="3115" spans="1:25" x14ac:dyDescent="0.25">
      <c r="A3115" s="76">
        <v>3147</v>
      </c>
      <c r="B3115" s="2" t="s">
        <v>13839</v>
      </c>
      <c r="C3115" s="2" t="s">
        <v>13840</v>
      </c>
      <c r="D3115" s="2" t="s">
        <v>13841</v>
      </c>
      <c r="E3115" s="2" t="s">
        <v>13842</v>
      </c>
      <c r="F3115" s="2" t="s">
        <v>13843</v>
      </c>
      <c r="G3115" s="2" t="s">
        <v>543</v>
      </c>
      <c r="H3115" s="17">
        <v>500</v>
      </c>
      <c r="I3115" s="31">
        <f t="shared" si="300"/>
        <v>500000</v>
      </c>
      <c r="J3115" s="31">
        <f t="shared" si="301"/>
        <v>35000</v>
      </c>
      <c r="K3115" s="44">
        <f t="shared" si="302"/>
        <v>95.890410958904113</v>
      </c>
      <c r="L3115" s="3">
        <f t="shared" si="303"/>
        <v>7095.8904109589039</v>
      </c>
      <c r="M3115" s="3">
        <f t="shared" si="304"/>
        <v>425.7534246575342</v>
      </c>
      <c r="N3115" s="67">
        <f t="shared" si="305"/>
        <v>6670.1369863013697</v>
      </c>
      <c r="O3115" s="3"/>
      <c r="P3115" s="70" t="s">
        <v>18614</v>
      </c>
      <c r="Q3115" s="2" t="s">
        <v>137</v>
      </c>
      <c r="R3115" s="2" t="s">
        <v>13844</v>
      </c>
      <c r="T3115" t="s">
        <v>18666</v>
      </c>
      <c r="U3115" t="s">
        <v>18652</v>
      </c>
      <c r="V3115" s="104">
        <v>45857</v>
      </c>
      <c r="X3115" s="97"/>
      <c r="Y3115" s="75">
        <v>6670.14</v>
      </c>
    </row>
    <row r="3116" spans="1:25" x14ac:dyDescent="0.25">
      <c r="A3116" s="76">
        <v>3148</v>
      </c>
      <c r="B3116" s="2" t="s">
        <v>4577</v>
      </c>
      <c r="C3116" s="2" t="s">
        <v>4578</v>
      </c>
      <c r="D3116" s="2" t="s">
        <v>4579</v>
      </c>
      <c r="E3116" s="2" t="s">
        <v>4580</v>
      </c>
      <c r="F3116" s="2" t="s">
        <v>4581</v>
      </c>
      <c r="G3116" s="2" t="s">
        <v>31</v>
      </c>
      <c r="H3116" s="17">
        <v>25</v>
      </c>
      <c r="I3116" s="31">
        <f t="shared" si="300"/>
        <v>25000</v>
      </c>
      <c r="J3116" s="31">
        <f t="shared" si="301"/>
        <v>1750.0000000000002</v>
      </c>
      <c r="K3116" s="44">
        <f t="shared" si="302"/>
        <v>4.794520547945206</v>
      </c>
      <c r="L3116" s="3">
        <f t="shared" si="303"/>
        <v>354.79452054794524</v>
      </c>
      <c r="M3116" s="3">
        <f t="shared" si="304"/>
        <v>21.287671232876715</v>
      </c>
      <c r="N3116" s="67">
        <f t="shared" si="305"/>
        <v>333.50684931506851</v>
      </c>
      <c r="O3116" s="3"/>
      <c r="P3116" s="70" t="s">
        <v>18642</v>
      </c>
      <c r="Q3116" s="2" t="s">
        <v>4582</v>
      </c>
      <c r="R3116" s="98" t="s">
        <v>18650</v>
      </c>
      <c r="S3116" s="106"/>
      <c r="T3116" t="s">
        <v>18666</v>
      </c>
      <c r="U3116" t="s">
        <v>18652</v>
      </c>
      <c r="V3116" s="104">
        <v>45857</v>
      </c>
      <c r="X3116" s="97"/>
      <c r="Y3116" s="75">
        <v>333.51</v>
      </c>
    </row>
    <row r="3117" spans="1:25" x14ac:dyDescent="0.25">
      <c r="A3117" s="76">
        <v>3149</v>
      </c>
      <c r="B3117" s="2" t="s">
        <v>6035</v>
      </c>
      <c r="C3117" s="2" t="s">
        <v>6036</v>
      </c>
      <c r="D3117" s="2" t="s">
        <v>6037</v>
      </c>
      <c r="E3117" s="2" t="s">
        <v>6038</v>
      </c>
      <c r="F3117" s="2" t="s">
        <v>6039</v>
      </c>
      <c r="G3117" s="2" t="s">
        <v>1017</v>
      </c>
      <c r="H3117" s="17">
        <v>25</v>
      </c>
      <c r="I3117" s="31">
        <f t="shared" si="300"/>
        <v>25000</v>
      </c>
      <c r="J3117" s="31">
        <f t="shared" si="301"/>
        <v>1750.0000000000002</v>
      </c>
      <c r="K3117" s="44">
        <f t="shared" si="302"/>
        <v>4.794520547945206</v>
      </c>
      <c r="L3117" s="3">
        <f t="shared" si="303"/>
        <v>354.79452054794524</v>
      </c>
      <c r="M3117" s="3">
        <f t="shared" si="304"/>
        <v>21.287671232876715</v>
      </c>
      <c r="N3117" s="67">
        <f t="shared" si="305"/>
        <v>333.50684931506851</v>
      </c>
      <c r="O3117" s="3"/>
      <c r="P3117" s="70" t="s">
        <v>18642</v>
      </c>
      <c r="Q3117" s="2" t="s">
        <v>4582</v>
      </c>
      <c r="R3117" s="2" t="s">
        <v>6040</v>
      </c>
      <c r="T3117" t="s">
        <v>18666</v>
      </c>
      <c r="U3117" t="s">
        <v>18652</v>
      </c>
      <c r="V3117" s="104">
        <v>45857</v>
      </c>
      <c r="X3117" s="97"/>
      <c r="Y3117" s="75">
        <v>333.51</v>
      </c>
    </row>
    <row r="3118" spans="1:25" x14ac:dyDescent="0.25">
      <c r="A3118" s="76">
        <v>3150</v>
      </c>
      <c r="B3118" s="2" t="s">
        <v>6507</v>
      </c>
      <c r="C3118" s="2" t="s">
        <v>6508</v>
      </c>
      <c r="D3118" s="2" t="s">
        <v>6509</v>
      </c>
      <c r="E3118" s="2" t="s">
        <v>6510</v>
      </c>
      <c r="F3118" s="2" t="s">
        <v>6511</v>
      </c>
      <c r="G3118" s="2" t="s">
        <v>543</v>
      </c>
      <c r="H3118" s="17">
        <v>25</v>
      </c>
      <c r="I3118" s="31">
        <f t="shared" si="300"/>
        <v>25000</v>
      </c>
      <c r="J3118" s="31">
        <f t="shared" si="301"/>
        <v>1750.0000000000002</v>
      </c>
      <c r="K3118" s="44">
        <f t="shared" si="302"/>
        <v>4.794520547945206</v>
      </c>
      <c r="L3118" s="3">
        <f t="shared" si="303"/>
        <v>354.79452054794524</v>
      </c>
      <c r="M3118" s="3">
        <f t="shared" si="304"/>
        <v>21.287671232876715</v>
      </c>
      <c r="N3118" s="67">
        <f t="shared" si="305"/>
        <v>333.50684931506851</v>
      </c>
      <c r="O3118" s="3"/>
      <c r="P3118" s="70" t="s">
        <v>18642</v>
      </c>
      <c r="Q3118" s="2" t="s">
        <v>4582</v>
      </c>
      <c r="R3118" s="2" t="s">
        <v>6512</v>
      </c>
      <c r="T3118" t="s">
        <v>18666</v>
      </c>
      <c r="U3118" t="s">
        <v>18652</v>
      </c>
      <c r="V3118" s="104">
        <v>45857</v>
      </c>
      <c r="X3118" s="97"/>
      <c r="Y3118" s="75">
        <v>333.51</v>
      </c>
    </row>
    <row r="3119" spans="1:25" x14ac:dyDescent="0.25">
      <c r="A3119" s="76">
        <v>3151</v>
      </c>
      <c r="B3119" s="2" t="s">
        <v>15786</v>
      </c>
      <c r="C3119" s="2" t="s">
        <v>15787</v>
      </c>
      <c r="D3119" s="2" t="s">
        <v>15788</v>
      </c>
      <c r="E3119" s="2" t="s">
        <v>265</v>
      </c>
      <c r="F3119" s="2" t="s">
        <v>15789</v>
      </c>
      <c r="G3119" s="2" t="s">
        <v>1315</v>
      </c>
      <c r="H3119" s="17">
        <v>25</v>
      </c>
      <c r="I3119" s="31">
        <f t="shared" si="300"/>
        <v>25000</v>
      </c>
      <c r="J3119" s="31">
        <f t="shared" si="301"/>
        <v>1750.0000000000002</v>
      </c>
      <c r="K3119" s="44">
        <f t="shared" si="302"/>
        <v>4.794520547945206</v>
      </c>
      <c r="L3119" s="3">
        <f t="shared" si="303"/>
        <v>354.79452054794524</v>
      </c>
      <c r="M3119" s="3">
        <f t="shared" si="304"/>
        <v>21.287671232876715</v>
      </c>
      <c r="N3119" s="67">
        <f t="shared" si="305"/>
        <v>333.50684931506851</v>
      </c>
      <c r="O3119" s="3"/>
      <c r="P3119" s="70" t="s">
        <v>18642</v>
      </c>
      <c r="Q3119" s="2" t="s">
        <v>4582</v>
      </c>
      <c r="R3119" s="98" t="s">
        <v>18651</v>
      </c>
      <c r="S3119" s="106"/>
      <c r="T3119" t="s">
        <v>18666</v>
      </c>
      <c r="U3119" t="s">
        <v>18652</v>
      </c>
      <c r="V3119" s="104">
        <v>45857</v>
      </c>
      <c r="X3119" s="97"/>
      <c r="Y3119" s="75">
        <v>333.51</v>
      </c>
    </row>
    <row r="3120" spans="1:25" x14ac:dyDescent="0.25">
      <c r="A3120" s="108"/>
      <c r="H3120" s="109"/>
      <c r="I3120" s="110"/>
      <c r="J3120" s="110"/>
      <c r="K3120" s="75"/>
      <c r="L3120" s="111"/>
      <c r="M3120" s="111"/>
      <c r="N3120" s="112"/>
      <c r="O3120" s="111"/>
      <c r="P3120" s="106"/>
      <c r="V3120" s="104"/>
      <c r="X3120" s="111"/>
      <c r="Y3120" s="75"/>
    </row>
    <row r="3121" spans="1:32" x14ac:dyDescent="0.25">
      <c r="A3121" s="108"/>
      <c r="H3121" s="109"/>
      <c r="I3121" s="110"/>
      <c r="J3121" s="110"/>
      <c r="K3121" s="75"/>
      <c r="L3121" s="111"/>
      <c r="M3121" s="111"/>
      <c r="N3121" s="112"/>
      <c r="O3121" s="111"/>
      <c r="P3121" s="106"/>
      <c r="V3121" s="104"/>
      <c r="X3121" s="111"/>
      <c r="Y3121" s="75"/>
    </row>
    <row r="3122" spans="1:32" x14ac:dyDescent="0.25">
      <c r="A3122" s="76">
        <v>261</v>
      </c>
      <c r="B3122" s="2" t="s">
        <v>14495</v>
      </c>
      <c r="C3122" s="2" t="s">
        <v>14496</v>
      </c>
      <c r="D3122" s="2" t="s">
        <v>14497</v>
      </c>
      <c r="E3122" s="2" t="s">
        <v>14498</v>
      </c>
      <c r="F3122" s="2" t="s">
        <v>14499</v>
      </c>
      <c r="G3122" s="2" t="s">
        <v>218</v>
      </c>
      <c r="H3122" s="17">
        <v>25</v>
      </c>
      <c r="I3122" s="31">
        <f>H3122*1000</f>
        <v>25000</v>
      </c>
      <c r="J3122" s="31">
        <f>I3122*7%</f>
        <v>1750.0000000000002</v>
      </c>
      <c r="K3122" s="44">
        <f>J3122/365</f>
        <v>4.794520547945206</v>
      </c>
      <c r="L3122" s="3">
        <f>K3122*74</f>
        <v>354.79452054794524</v>
      </c>
      <c r="M3122" s="3">
        <f>L3122*6%</f>
        <v>21.287671232876715</v>
      </c>
      <c r="N3122" s="67">
        <f>L3122-M3122</f>
        <v>333.50684931506851</v>
      </c>
      <c r="O3122" s="3"/>
      <c r="P3122" s="2" t="s">
        <v>18628</v>
      </c>
      <c r="Q3122" s="2" t="s">
        <v>18691</v>
      </c>
      <c r="R3122" s="2" t="s">
        <v>18692</v>
      </c>
      <c r="S3122" s="2"/>
      <c r="T3122" s="2"/>
      <c r="U3122" s="2" t="s">
        <v>18653</v>
      </c>
      <c r="V3122" s="107">
        <v>45944</v>
      </c>
      <c r="W3122" s="2"/>
      <c r="X3122" s="3"/>
      <c r="Y3122" s="44">
        <v>333.51</v>
      </c>
    </row>
    <row r="3123" spans="1:32" x14ac:dyDescent="0.25">
      <c r="A3123" s="76">
        <v>259</v>
      </c>
      <c r="B3123" s="2" t="s">
        <v>1849</v>
      </c>
      <c r="C3123" s="2" t="s">
        <v>1850</v>
      </c>
      <c r="D3123" s="2" t="s">
        <v>1851</v>
      </c>
      <c r="E3123" s="2" t="s">
        <v>1852</v>
      </c>
      <c r="F3123" s="2" t="s">
        <v>1853</v>
      </c>
      <c r="G3123" s="2" t="s">
        <v>31</v>
      </c>
      <c r="H3123" s="17">
        <v>50</v>
      </c>
      <c r="I3123" s="31">
        <f>H3123*1000</f>
        <v>50000</v>
      </c>
      <c r="J3123" s="31">
        <f>I3123*7%</f>
        <v>3500.0000000000005</v>
      </c>
      <c r="K3123" s="44">
        <f>J3123/365</f>
        <v>9.589041095890412</v>
      </c>
      <c r="L3123" s="3">
        <f>K3123*74</f>
        <v>709.58904109589048</v>
      </c>
      <c r="M3123" s="3">
        <f>L3123*6%</f>
        <v>42.57534246575343</v>
      </c>
      <c r="N3123" s="67">
        <f>L3123-M3123</f>
        <v>667.01369863013701</v>
      </c>
      <c r="O3123" s="3"/>
      <c r="P3123" s="98" t="s">
        <v>18605</v>
      </c>
      <c r="Q3123" s="2" t="s">
        <v>18673</v>
      </c>
      <c r="R3123" s="2" t="s">
        <v>18689</v>
      </c>
      <c r="S3123" s="2"/>
      <c r="T3123" s="2"/>
      <c r="U3123" s="2" t="s">
        <v>18653</v>
      </c>
      <c r="V3123" s="107">
        <v>45944</v>
      </c>
      <c r="W3123" s="2"/>
      <c r="X3123" s="3"/>
      <c r="Y3123" s="44">
        <v>667.02</v>
      </c>
    </row>
    <row r="3124" spans="1:32" x14ac:dyDescent="0.25">
      <c r="A3124" s="76">
        <v>256</v>
      </c>
      <c r="B3124" s="2" t="s">
        <v>8876</v>
      </c>
      <c r="C3124" s="2" t="s">
        <v>8877</v>
      </c>
      <c r="D3124" s="2" t="s">
        <v>8878</v>
      </c>
      <c r="E3124" s="2" t="s">
        <v>8879</v>
      </c>
      <c r="F3124" s="2" t="s">
        <v>8880</v>
      </c>
      <c r="G3124" s="2" t="s">
        <v>1136</v>
      </c>
      <c r="H3124" s="17">
        <v>25</v>
      </c>
      <c r="I3124" s="31">
        <f>H3124*1000</f>
        <v>25000</v>
      </c>
      <c r="J3124" s="31">
        <f>I3124*7%</f>
        <v>1750.0000000000002</v>
      </c>
      <c r="K3124" s="44">
        <f>J3124/365</f>
        <v>4.794520547945206</v>
      </c>
      <c r="L3124" s="3">
        <f>K3124*74</f>
        <v>354.79452054794524</v>
      </c>
      <c r="M3124" s="3">
        <f>L3124*6%</f>
        <v>21.287671232876715</v>
      </c>
      <c r="N3124" s="67">
        <f>L3124-M3124</f>
        <v>333.50684931506851</v>
      </c>
      <c r="O3124" s="3"/>
      <c r="P3124" s="2" t="s">
        <v>18612</v>
      </c>
      <c r="Q3124" s="2" t="s">
        <v>18669</v>
      </c>
      <c r="R3124" s="2" t="s">
        <v>18685</v>
      </c>
      <c r="S3124" s="2"/>
      <c r="T3124" s="2"/>
      <c r="U3124" s="2" t="s">
        <v>18653</v>
      </c>
      <c r="V3124" s="107">
        <v>45944</v>
      </c>
      <c r="W3124" s="2"/>
      <c r="X3124" s="3"/>
      <c r="Y3124" s="44">
        <v>333.51</v>
      </c>
    </row>
    <row r="3125" spans="1:32" x14ac:dyDescent="0.25">
      <c r="A3125" s="76">
        <v>253</v>
      </c>
      <c r="B3125" s="2" t="s">
        <v>3166</v>
      </c>
      <c r="C3125" s="2" t="s">
        <v>3167</v>
      </c>
      <c r="D3125" s="2" t="s">
        <v>3168</v>
      </c>
      <c r="E3125" s="2" t="s">
        <v>3169</v>
      </c>
      <c r="F3125" s="2" t="s">
        <v>3170</v>
      </c>
      <c r="G3125" s="2" t="s">
        <v>643</v>
      </c>
      <c r="H3125" s="17">
        <v>25</v>
      </c>
      <c r="I3125" s="31">
        <f>H3125*1000</f>
        <v>25000</v>
      </c>
      <c r="J3125" s="31">
        <f>I3125*7%</f>
        <v>1750.0000000000002</v>
      </c>
      <c r="K3125" s="44">
        <f>J3125/365</f>
        <v>4.794520547945206</v>
      </c>
      <c r="L3125" s="3">
        <f>K3125*74</f>
        <v>354.79452054794524</v>
      </c>
      <c r="M3125" s="3">
        <f>L3125*6%</f>
        <v>21.287671232876715</v>
      </c>
      <c r="N3125" s="67">
        <f>L3125-M3125</f>
        <v>333.50684931506851</v>
      </c>
      <c r="O3125" s="3"/>
      <c r="P3125" s="2" t="s">
        <v>18608</v>
      </c>
      <c r="Q3125" s="2" t="s">
        <v>18679</v>
      </c>
      <c r="R3125" s="2" t="s">
        <v>18680</v>
      </c>
      <c r="S3125" s="2"/>
      <c r="T3125" s="2"/>
      <c r="U3125" s="2" t="s">
        <v>18653</v>
      </c>
      <c r="V3125" s="107">
        <v>45944</v>
      </c>
      <c r="W3125" s="2"/>
      <c r="X3125" s="3"/>
      <c r="Y3125" s="44">
        <v>333.51</v>
      </c>
    </row>
    <row r="3126" spans="1:32" x14ac:dyDescent="0.25">
      <c r="A3126" s="76">
        <v>254</v>
      </c>
      <c r="B3126" s="2" t="s">
        <v>17713</v>
      </c>
      <c r="C3126" s="2" t="s">
        <v>17714</v>
      </c>
      <c r="D3126" s="2" t="s">
        <v>17715</v>
      </c>
      <c r="E3126" s="2" t="s">
        <v>17716</v>
      </c>
      <c r="F3126" s="2" t="s">
        <v>17717</v>
      </c>
      <c r="G3126" s="2" t="s">
        <v>23</v>
      </c>
      <c r="H3126" s="17">
        <v>25</v>
      </c>
      <c r="I3126" s="31">
        <f>H3126*1000</f>
        <v>25000</v>
      </c>
      <c r="J3126" s="31">
        <f>I3126*7%</f>
        <v>1750.0000000000002</v>
      </c>
      <c r="K3126" s="44">
        <f>J3126/365</f>
        <v>4.794520547945206</v>
      </c>
      <c r="L3126" s="3">
        <f>K3126*74</f>
        <v>354.79452054794524</v>
      </c>
      <c r="M3126" s="3">
        <f>L3126*6%</f>
        <v>21.287671232876715</v>
      </c>
      <c r="N3126" s="67">
        <f>L3126-M3126</f>
        <v>333.50684931506851</v>
      </c>
      <c r="O3126" s="3"/>
      <c r="P3126" s="98" t="s">
        <v>18597</v>
      </c>
      <c r="Q3126" s="2" t="s">
        <v>18681</v>
      </c>
      <c r="R3126" s="2" t="s">
        <v>18682</v>
      </c>
      <c r="S3126" s="2"/>
      <c r="T3126" s="2"/>
      <c r="U3126" s="2" t="s">
        <v>18653</v>
      </c>
      <c r="V3126" s="107">
        <v>45944</v>
      </c>
      <c r="W3126" s="2"/>
      <c r="X3126" s="3"/>
      <c r="Y3126" s="44">
        <v>333.51</v>
      </c>
    </row>
    <row r="3127" spans="1:32" x14ac:dyDescent="0.25">
      <c r="A3127" s="108"/>
      <c r="H3127" s="109"/>
      <c r="I3127" s="110"/>
      <c r="J3127" s="110"/>
      <c r="K3127" s="75"/>
      <c r="L3127" s="111"/>
      <c r="M3127" s="111"/>
      <c r="N3127" s="112"/>
      <c r="O3127" s="111"/>
      <c r="P3127" s="106"/>
      <c r="V3127" s="104"/>
      <c r="X3127" s="111"/>
      <c r="Y3127" s="75"/>
    </row>
    <row r="3128" spans="1:32" x14ac:dyDescent="0.25">
      <c r="P3128"/>
    </row>
    <row r="3129" spans="1:32" x14ac:dyDescent="0.25">
      <c r="A3129" s="76">
        <v>269</v>
      </c>
      <c r="B3129" s="2" t="s">
        <v>2915</v>
      </c>
      <c r="C3129" s="2" t="s">
        <v>2916</v>
      </c>
      <c r="D3129" s="2" t="s">
        <v>2917</v>
      </c>
      <c r="E3129" s="2" t="s">
        <v>2918</v>
      </c>
      <c r="F3129" s="2" t="s">
        <v>2919</v>
      </c>
      <c r="G3129" s="2" t="s">
        <v>31</v>
      </c>
      <c r="H3129" s="17">
        <v>75</v>
      </c>
      <c r="I3129" s="31">
        <f t="shared" si="24"/>
        <v>75000</v>
      </c>
      <c r="J3129" s="31">
        <f t="shared" si="25"/>
        <v>5250.0000000000009</v>
      </c>
      <c r="K3129" s="44">
        <f t="shared" si="26"/>
        <v>14.38356164383562</v>
      </c>
      <c r="L3129" s="3">
        <f t="shared" si="27"/>
        <v>1064.3835616438359</v>
      </c>
      <c r="M3129" s="3">
        <f t="shared" si="28"/>
        <v>63.863013698630155</v>
      </c>
      <c r="N3129" s="67">
        <f t="shared" si="29"/>
        <v>1000.5205479452057</v>
      </c>
      <c r="O3129" s="3"/>
      <c r="P3129" s="2" t="s">
        <v>18704</v>
      </c>
      <c r="Q3129" s="2" t="s">
        <v>18705</v>
      </c>
      <c r="R3129" s="2" t="s">
        <v>18706</v>
      </c>
      <c r="S3129" s="2"/>
      <c r="T3129" s="2"/>
      <c r="U3129" s="2" t="s">
        <v>18708</v>
      </c>
      <c r="V3129" s="107"/>
      <c r="W3129" s="2"/>
      <c r="X3129" s="3"/>
      <c r="Y3129" s="44">
        <v>1000.53</v>
      </c>
    </row>
    <row r="3130" spans="1:32" x14ac:dyDescent="0.25">
      <c r="A3130" s="76">
        <v>268</v>
      </c>
      <c r="B3130" s="2" t="s">
        <v>7036</v>
      </c>
      <c r="C3130" s="2" t="s">
        <v>7037</v>
      </c>
      <c r="D3130" s="2" t="s">
        <v>7038</v>
      </c>
      <c r="E3130" s="2" t="s">
        <v>7039</v>
      </c>
      <c r="F3130" s="2" t="s">
        <v>7040</v>
      </c>
      <c r="G3130" s="2" t="s">
        <v>31</v>
      </c>
      <c r="H3130" s="17">
        <v>25</v>
      </c>
      <c r="I3130" s="31">
        <f>H3130*1000</f>
        <v>25000</v>
      </c>
      <c r="J3130" s="31">
        <f>I3130*7%</f>
        <v>1750.0000000000002</v>
      </c>
      <c r="K3130" s="44">
        <f>J3130/365</f>
        <v>4.794520547945206</v>
      </c>
      <c r="L3130" s="3">
        <f>K3130*74</f>
        <v>354.79452054794524</v>
      </c>
      <c r="M3130" s="3">
        <f>L3130*6%</f>
        <v>21.287671232876715</v>
      </c>
      <c r="N3130" s="67">
        <f>L3130-M3130</f>
        <v>333.50684931506851</v>
      </c>
      <c r="O3130" s="3"/>
      <c r="P3130" s="2" t="s">
        <v>18701</v>
      </c>
      <c r="Q3130" s="2" t="s">
        <v>18702</v>
      </c>
      <c r="R3130" s="2" t="s">
        <v>18703</v>
      </c>
      <c r="S3130" s="2"/>
      <c r="T3130" s="2"/>
      <c r="U3130" s="2" t="s">
        <v>18708</v>
      </c>
      <c r="V3130" s="107"/>
      <c r="W3130" s="2"/>
      <c r="X3130" s="3"/>
      <c r="Y3130" s="44">
        <v>333.51</v>
      </c>
    </row>
    <row r="3131" spans="1:32" x14ac:dyDescent="0.25">
      <c r="P3131"/>
    </row>
    <row r="3132" spans="1:32" x14ac:dyDescent="0.25">
      <c r="P3132"/>
    </row>
    <row r="3133" spans="1:32" x14ac:dyDescent="0.25">
      <c r="P3133"/>
    </row>
    <row r="3134" spans="1:32" x14ac:dyDescent="0.25">
      <c r="A3134" s="76">
        <v>250</v>
      </c>
      <c r="B3134" s="2" t="s">
        <v>5328</v>
      </c>
      <c r="C3134" s="2" t="s">
        <v>5329</v>
      </c>
      <c r="D3134" s="2" t="s">
        <v>5330</v>
      </c>
      <c r="E3134" s="2" t="s">
        <v>5331</v>
      </c>
      <c r="F3134" s="2" t="s">
        <v>5332</v>
      </c>
      <c r="G3134" s="2" t="s">
        <v>587</v>
      </c>
      <c r="H3134" s="17">
        <v>25</v>
      </c>
      <c r="I3134" s="31">
        <f>H3134*1000</f>
        <v>25000</v>
      </c>
      <c r="J3134" s="31">
        <f>I3134*7%</f>
        <v>1750.0000000000002</v>
      </c>
      <c r="K3134" s="44">
        <f>J3134/365</f>
        <v>4.794520547945206</v>
      </c>
      <c r="L3134" s="3">
        <f>K3134*74</f>
        <v>354.79452054794524</v>
      </c>
      <c r="M3134" s="3">
        <f>L3134*6%</f>
        <v>21.287671232876715</v>
      </c>
      <c r="N3134" s="67">
        <f>L3134-M3134</f>
        <v>333.50684931506851</v>
      </c>
      <c r="O3134" s="3"/>
      <c r="P3134" s="2" t="s">
        <v>18670</v>
      </c>
      <c r="Q3134" s="2" t="s">
        <v>18671</v>
      </c>
      <c r="R3134" s="2" t="s">
        <v>18672</v>
      </c>
      <c r="S3134" s="2"/>
      <c r="T3134" s="2"/>
      <c r="U3134" s="2" t="s">
        <v>18707</v>
      </c>
      <c r="V3134" s="107"/>
      <c r="W3134" s="2"/>
      <c r="X3134" s="3"/>
      <c r="Y3134" s="44">
        <v>333.51</v>
      </c>
      <c r="AB3134" t="s">
        <v>18670</v>
      </c>
      <c r="AC3134" t="s">
        <v>18671</v>
      </c>
      <c r="AD3134" t="s">
        <v>18672</v>
      </c>
      <c r="AF3134" t="b">
        <f>R3134=AD3134</f>
        <v>1</v>
      </c>
    </row>
    <row r="3135" spans="1:32" x14ac:dyDescent="0.25">
      <c r="A3135" s="76">
        <v>262</v>
      </c>
      <c r="B3135" s="2" t="s">
        <v>589</v>
      </c>
      <c r="C3135" s="2" t="s">
        <v>590</v>
      </c>
      <c r="D3135" s="2" t="s">
        <v>591</v>
      </c>
      <c r="E3135" s="2" t="s">
        <v>592</v>
      </c>
      <c r="F3135" s="2" t="s">
        <v>593</v>
      </c>
      <c r="G3135" s="2" t="s">
        <v>74</v>
      </c>
      <c r="H3135" s="17">
        <v>50</v>
      </c>
      <c r="I3135" s="31">
        <f>H3135*1000</f>
        <v>50000</v>
      </c>
      <c r="J3135" s="31">
        <f>I3135*7%</f>
        <v>3500.0000000000005</v>
      </c>
      <c r="K3135" s="44">
        <f>J3135/365</f>
        <v>9.589041095890412</v>
      </c>
      <c r="L3135" s="3">
        <f>K3135*74</f>
        <v>709.58904109589048</v>
      </c>
      <c r="M3135" s="3">
        <f>L3135*6%</f>
        <v>42.57534246575343</v>
      </c>
      <c r="N3135" s="67">
        <f>L3135-M3135</f>
        <v>667.01369863013701</v>
      </c>
      <c r="O3135" s="3"/>
      <c r="P3135" s="2" t="s">
        <v>18670</v>
      </c>
      <c r="Q3135" s="2" t="s">
        <v>18693</v>
      </c>
      <c r="R3135" s="2" t="s">
        <v>18694</v>
      </c>
      <c r="S3135" s="2"/>
      <c r="T3135" s="2"/>
      <c r="U3135" s="2" t="s">
        <v>18707</v>
      </c>
      <c r="V3135" s="107"/>
      <c r="W3135" s="2"/>
      <c r="X3135" s="3"/>
      <c r="Y3135" s="44">
        <v>667.02</v>
      </c>
      <c r="AB3135" t="s">
        <v>18670</v>
      </c>
      <c r="AC3135" t="s">
        <v>18693</v>
      </c>
      <c r="AD3135" t="s">
        <v>18694</v>
      </c>
      <c r="AF3135" t="b">
        <f>R3135=AD3135</f>
        <v>1</v>
      </c>
    </row>
    <row r="3136" spans="1:32" x14ac:dyDescent="0.25">
      <c r="P3136"/>
    </row>
    <row r="3137" spans="1:25" x14ac:dyDescent="0.25">
      <c r="P3137"/>
    </row>
    <row r="3138" spans="1:25" x14ac:dyDescent="0.25">
      <c r="P3138"/>
    </row>
    <row r="3139" spans="1:25" x14ac:dyDescent="0.25">
      <c r="A3139" s="76">
        <v>270</v>
      </c>
      <c r="B3139" s="2" t="s">
        <v>4755</v>
      </c>
      <c r="C3139" s="2" t="s">
        <v>4756</v>
      </c>
      <c r="D3139" s="2" t="s">
        <v>4757</v>
      </c>
      <c r="E3139" s="2" t="s">
        <v>4758</v>
      </c>
      <c r="F3139" s="2" t="s">
        <v>4759</v>
      </c>
      <c r="G3139" s="2" t="s">
        <v>1424</v>
      </c>
      <c r="H3139" s="17">
        <v>25</v>
      </c>
      <c r="I3139" s="31">
        <f t="shared" ref="I3139:I3173" si="306">H3139*1000</f>
        <v>25000</v>
      </c>
      <c r="J3139" s="31">
        <f t="shared" ref="J3139:J3173" si="307">I3139*7%</f>
        <v>1750.0000000000002</v>
      </c>
      <c r="K3139" s="44">
        <f t="shared" ref="K3139:K3173" si="308">J3139/365</f>
        <v>4.794520547945206</v>
      </c>
      <c r="L3139" s="3">
        <f t="shared" ref="L3139:L3173" si="309">K3139*74</f>
        <v>354.79452054794524</v>
      </c>
      <c r="M3139" s="3">
        <f t="shared" ref="M3139:M3173" si="310">L3139*6%</f>
        <v>21.287671232876715</v>
      </c>
      <c r="N3139" s="67">
        <f t="shared" ref="N3139:N3173" si="311">L3139-M3139</f>
        <v>333.50684931506851</v>
      </c>
      <c r="O3139" s="3"/>
      <c r="P3139" s="70" t="s">
        <v>18612</v>
      </c>
      <c r="Q3139" s="2" t="s">
        <v>103</v>
      </c>
      <c r="R3139" s="2" t="s">
        <v>4760</v>
      </c>
      <c r="U3139" t="s">
        <v>18653</v>
      </c>
      <c r="V3139" s="104">
        <v>45857</v>
      </c>
      <c r="W3139" t="s">
        <v>18656</v>
      </c>
      <c r="X3139" s="97"/>
      <c r="Y3139" s="75">
        <v>333.51</v>
      </c>
    </row>
    <row r="3140" spans="1:25" x14ac:dyDescent="0.25">
      <c r="A3140" s="76">
        <v>271</v>
      </c>
      <c r="B3140" s="2" t="s">
        <v>15509</v>
      </c>
      <c r="C3140" s="2" t="s">
        <v>15510</v>
      </c>
      <c r="D3140" s="2" t="s">
        <v>15511</v>
      </c>
      <c r="E3140" s="2" t="s">
        <v>15512</v>
      </c>
      <c r="F3140" s="2" t="s">
        <v>15513</v>
      </c>
      <c r="G3140" s="2" t="s">
        <v>31</v>
      </c>
      <c r="H3140" s="17">
        <v>100</v>
      </c>
      <c r="I3140" s="31">
        <f t="shared" si="306"/>
        <v>100000</v>
      </c>
      <c r="J3140" s="31">
        <f t="shared" si="307"/>
        <v>7000.0000000000009</v>
      </c>
      <c r="K3140" s="44">
        <f t="shared" si="308"/>
        <v>19.178082191780824</v>
      </c>
      <c r="L3140" s="3">
        <f t="shared" si="309"/>
        <v>1419.178082191781</v>
      </c>
      <c r="M3140" s="3">
        <f t="shared" si="310"/>
        <v>85.150684931506859</v>
      </c>
      <c r="N3140" s="67">
        <f t="shared" si="311"/>
        <v>1334.027397260274</v>
      </c>
      <c r="O3140" s="3"/>
      <c r="P3140" s="70" t="s">
        <v>18629</v>
      </c>
      <c r="Q3140" s="2" t="s">
        <v>283</v>
      </c>
      <c r="R3140" s="2" t="s">
        <v>15514</v>
      </c>
      <c r="U3140" t="s">
        <v>18653</v>
      </c>
      <c r="V3140" s="104">
        <v>45857</v>
      </c>
      <c r="W3140" t="s">
        <v>18658</v>
      </c>
      <c r="X3140" s="97"/>
      <c r="Y3140" s="75">
        <v>1334.03</v>
      </c>
    </row>
    <row r="3141" spans="1:25" x14ac:dyDescent="0.25">
      <c r="A3141" s="76">
        <v>272</v>
      </c>
      <c r="B3141" s="2" t="s">
        <v>15692</v>
      </c>
      <c r="C3141" s="2" t="s">
        <v>15693</v>
      </c>
      <c r="D3141" s="2" t="s">
        <v>15694</v>
      </c>
      <c r="E3141" s="2" t="s">
        <v>15695</v>
      </c>
      <c r="F3141" s="2" t="s">
        <v>15696</v>
      </c>
      <c r="G3141" s="2" t="s">
        <v>151</v>
      </c>
      <c r="H3141" s="17">
        <v>35</v>
      </c>
      <c r="I3141" s="31">
        <f t="shared" si="306"/>
        <v>35000</v>
      </c>
      <c r="J3141" s="31">
        <f t="shared" si="307"/>
        <v>2450.0000000000005</v>
      </c>
      <c r="K3141" s="44">
        <f t="shared" si="308"/>
        <v>6.7123287671232887</v>
      </c>
      <c r="L3141" s="3">
        <f t="shared" si="309"/>
        <v>496.71232876712338</v>
      </c>
      <c r="M3141" s="3">
        <f t="shared" si="310"/>
        <v>29.802739726027401</v>
      </c>
      <c r="N3141" s="67">
        <f t="shared" si="311"/>
        <v>466.90958904109596</v>
      </c>
      <c r="O3141" s="3"/>
      <c r="P3141" s="70" t="s">
        <v>18605</v>
      </c>
      <c r="Q3141" s="2" t="s">
        <v>47</v>
      </c>
      <c r="R3141" s="2" t="s">
        <v>15697</v>
      </c>
      <c r="U3141" t="s">
        <v>18653</v>
      </c>
      <c r="V3141" s="104">
        <v>45857</v>
      </c>
      <c r="W3141" t="s">
        <v>18656</v>
      </c>
      <c r="X3141" s="97"/>
      <c r="Y3141" s="75">
        <v>466.90999999999997</v>
      </c>
    </row>
    <row r="3142" spans="1:25" x14ac:dyDescent="0.25">
      <c r="A3142" s="76">
        <v>273</v>
      </c>
      <c r="B3142" s="2" t="s">
        <v>4801</v>
      </c>
      <c r="C3142" s="2" t="s">
        <v>4802</v>
      </c>
      <c r="D3142" s="2" t="s">
        <v>4803</v>
      </c>
      <c r="E3142" s="2" t="s">
        <v>4804</v>
      </c>
      <c r="F3142" s="2" t="s">
        <v>4805</v>
      </c>
      <c r="G3142" s="2" t="s">
        <v>876</v>
      </c>
      <c r="H3142" s="17">
        <v>25</v>
      </c>
      <c r="I3142" s="31">
        <f t="shared" si="306"/>
        <v>25000</v>
      </c>
      <c r="J3142" s="31">
        <f t="shared" si="307"/>
        <v>1750.0000000000002</v>
      </c>
      <c r="K3142" s="44">
        <f t="shared" si="308"/>
        <v>4.794520547945206</v>
      </c>
      <c r="L3142" s="3">
        <f t="shared" si="309"/>
        <v>354.79452054794524</v>
      </c>
      <c r="M3142" s="3">
        <f t="shared" si="310"/>
        <v>21.287671232876715</v>
      </c>
      <c r="N3142" s="67">
        <f t="shared" si="311"/>
        <v>333.50684931506851</v>
      </c>
      <c r="O3142" s="3"/>
      <c r="P3142" s="70" t="s">
        <v>18628</v>
      </c>
      <c r="Q3142" s="2" t="s">
        <v>1117</v>
      </c>
      <c r="R3142" s="2" t="s">
        <v>4806</v>
      </c>
      <c r="U3142" t="s">
        <v>18653</v>
      </c>
      <c r="V3142" s="104">
        <v>45857</v>
      </c>
      <c r="W3142" t="s">
        <v>18656</v>
      </c>
      <c r="X3142" s="97"/>
      <c r="Y3142" s="75">
        <v>333.51</v>
      </c>
    </row>
    <row r="3143" spans="1:25" x14ac:dyDescent="0.25">
      <c r="A3143" s="76">
        <v>274</v>
      </c>
      <c r="B3143" s="2" t="s">
        <v>5832</v>
      </c>
      <c r="C3143" s="2" t="s">
        <v>5833</v>
      </c>
      <c r="D3143" s="2" t="s">
        <v>5834</v>
      </c>
      <c r="E3143" s="2" t="s">
        <v>5835</v>
      </c>
      <c r="F3143" s="2" t="s">
        <v>5836</v>
      </c>
      <c r="G3143" s="2" t="s">
        <v>275</v>
      </c>
      <c r="H3143" s="17">
        <v>200</v>
      </c>
      <c r="I3143" s="31">
        <f t="shared" si="306"/>
        <v>200000</v>
      </c>
      <c r="J3143" s="31">
        <f t="shared" si="307"/>
        <v>14000.000000000002</v>
      </c>
      <c r="K3143" s="44">
        <f t="shared" si="308"/>
        <v>38.356164383561648</v>
      </c>
      <c r="L3143" s="3">
        <f t="shared" si="309"/>
        <v>2838.3561643835619</v>
      </c>
      <c r="M3143" s="3">
        <f t="shared" si="310"/>
        <v>170.30136986301372</v>
      </c>
      <c r="N3143" s="67">
        <f t="shared" si="311"/>
        <v>2668.0547945205481</v>
      </c>
      <c r="O3143" s="3"/>
      <c r="P3143" s="70" t="s">
        <v>18634</v>
      </c>
      <c r="Q3143" s="2" t="s">
        <v>895</v>
      </c>
      <c r="R3143" s="2" t="s">
        <v>5837</v>
      </c>
      <c r="U3143" t="s">
        <v>18653</v>
      </c>
      <c r="V3143" s="104">
        <v>45857</v>
      </c>
      <c r="W3143" t="s">
        <v>18656</v>
      </c>
      <c r="X3143" s="97"/>
      <c r="Y3143" s="75">
        <v>2668.0600000000004</v>
      </c>
    </row>
    <row r="3144" spans="1:25" x14ac:dyDescent="0.25">
      <c r="A3144" s="76">
        <v>275</v>
      </c>
      <c r="B3144" s="2" t="s">
        <v>13611</v>
      </c>
      <c r="C3144" s="2" t="s">
        <v>13612</v>
      </c>
      <c r="D3144" s="2" t="s">
        <v>13613</v>
      </c>
      <c r="E3144" s="2" t="s">
        <v>13614</v>
      </c>
      <c r="F3144" s="2" t="s">
        <v>13615</v>
      </c>
      <c r="G3144" s="2" t="s">
        <v>2380</v>
      </c>
      <c r="H3144" s="17">
        <v>30</v>
      </c>
      <c r="I3144" s="31">
        <f t="shared" si="306"/>
        <v>30000</v>
      </c>
      <c r="J3144" s="31">
        <f t="shared" si="307"/>
        <v>2100</v>
      </c>
      <c r="K3144" s="44">
        <f t="shared" si="308"/>
        <v>5.7534246575342465</v>
      </c>
      <c r="L3144" s="3">
        <f t="shared" si="309"/>
        <v>425.75342465753425</v>
      </c>
      <c r="M3144" s="3">
        <f t="shared" si="310"/>
        <v>25.545205479452054</v>
      </c>
      <c r="N3144" s="67">
        <f t="shared" si="311"/>
        <v>400.20821917808217</v>
      </c>
      <c r="O3144" s="3"/>
      <c r="P3144" s="70" t="s">
        <v>18597</v>
      </c>
      <c r="Q3144" s="2" t="s">
        <v>349</v>
      </c>
      <c r="R3144" s="2" t="s">
        <v>13616</v>
      </c>
      <c r="U3144" t="s">
        <v>18653</v>
      </c>
      <c r="V3144" s="104">
        <v>45857</v>
      </c>
      <c r="W3144" t="s">
        <v>18657</v>
      </c>
      <c r="X3144" s="97"/>
      <c r="Y3144" s="75">
        <v>400.21</v>
      </c>
    </row>
    <row r="3145" spans="1:25" x14ac:dyDescent="0.25">
      <c r="A3145" s="76">
        <v>276</v>
      </c>
      <c r="B3145" s="2" t="s">
        <v>5392</v>
      </c>
      <c r="C3145" s="2" t="s">
        <v>5393</v>
      </c>
      <c r="D3145" s="2" t="s">
        <v>5394</v>
      </c>
      <c r="E3145" s="2" t="s">
        <v>5395</v>
      </c>
      <c r="F3145" s="2" t="s">
        <v>5396</v>
      </c>
      <c r="G3145" s="2" t="s">
        <v>39</v>
      </c>
      <c r="H3145" s="17">
        <v>25</v>
      </c>
      <c r="I3145" s="31">
        <f t="shared" si="306"/>
        <v>25000</v>
      </c>
      <c r="J3145" s="31">
        <f t="shared" si="307"/>
        <v>1750.0000000000002</v>
      </c>
      <c r="K3145" s="44">
        <f t="shared" si="308"/>
        <v>4.794520547945206</v>
      </c>
      <c r="L3145" s="3">
        <f t="shared" si="309"/>
        <v>354.79452054794524</v>
      </c>
      <c r="M3145" s="3">
        <f t="shared" si="310"/>
        <v>21.287671232876715</v>
      </c>
      <c r="N3145" s="67">
        <f t="shared" si="311"/>
        <v>333.50684931506851</v>
      </c>
      <c r="O3145" s="3"/>
      <c r="P3145" s="70" t="s">
        <v>18597</v>
      </c>
      <c r="Q3145" s="2" t="s">
        <v>349</v>
      </c>
      <c r="R3145" s="2" t="s">
        <v>5397</v>
      </c>
      <c r="U3145" t="s">
        <v>18653</v>
      </c>
      <c r="V3145" s="104">
        <v>45857</v>
      </c>
      <c r="W3145" t="s">
        <v>18657</v>
      </c>
      <c r="X3145" s="97"/>
      <c r="Y3145" s="75">
        <v>333.51</v>
      </c>
    </row>
    <row r="3146" spans="1:25" x14ac:dyDescent="0.25">
      <c r="A3146" s="76">
        <v>277</v>
      </c>
      <c r="B3146" s="2" t="s">
        <v>2688</v>
      </c>
      <c r="C3146" s="2" t="s">
        <v>2689</v>
      </c>
      <c r="D3146" s="2" t="s">
        <v>2690</v>
      </c>
      <c r="E3146" s="2" t="s">
        <v>2691</v>
      </c>
      <c r="F3146" s="2" t="s">
        <v>2692</v>
      </c>
      <c r="G3146" s="2" t="s">
        <v>247</v>
      </c>
      <c r="H3146" s="17">
        <v>25</v>
      </c>
      <c r="I3146" s="31">
        <f t="shared" si="306"/>
        <v>25000</v>
      </c>
      <c r="J3146" s="31">
        <f t="shared" si="307"/>
        <v>1750.0000000000002</v>
      </c>
      <c r="K3146" s="44">
        <f t="shared" si="308"/>
        <v>4.794520547945206</v>
      </c>
      <c r="L3146" s="3">
        <f t="shared" si="309"/>
        <v>354.79452054794524</v>
      </c>
      <c r="M3146" s="3">
        <f t="shared" si="310"/>
        <v>21.287671232876715</v>
      </c>
      <c r="N3146" s="67">
        <f t="shared" si="311"/>
        <v>333.50684931506851</v>
      </c>
      <c r="O3146" s="3"/>
      <c r="P3146" s="70" t="s">
        <v>18597</v>
      </c>
      <c r="Q3146" s="2" t="s">
        <v>349</v>
      </c>
      <c r="R3146" s="2" t="s">
        <v>2693</v>
      </c>
      <c r="U3146" t="s">
        <v>18653</v>
      </c>
      <c r="V3146" s="104">
        <v>45857</v>
      </c>
      <c r="W3146" t="s">
        <v>18657</v>
      </c>
      <c r="X3146" s="97"/>
      <c r="Y3146" s="75">
        <v>333.51</v>
      </c>
    </row>
    <row r="3147" spans="1:25" x14ac:dyDescent="0.25">
      <c r="A3147" s="76">
        <v>278</v>
      </c>
      <c r="B3147" s="2" t="s">
        <v>16886</v>
      </c>
      <c r="C3147" s="2" t="s">
        <v>16887</v>
      </c>
      <c r="D3147" s="2" t="s">
        <v>16888</v>
      </c>
      <c r="E3147" s="2" t="s">
        <v>16889</v>
      </c>
      <c r="F3147" s="2" t="s">
        <v>16890</v>
      </c>
      <c r="G3147" s="2" t="s">
        <v>158</v>
      </c>
      <c r="H3147" s="17">
        <v>25</v>
      </c>
      <c r="I3147" s="31">
        <f t="shared" si="306"/>
        <v>25000</v>
      </c>
      <c r="J3147" s="31">
        <f t="shared" si="307"/>
        <v>1750.0000000000002</v>
      </c>
      <c r="K3147" s="44">
        <f t="shared" si="308"/>
        <v>4.794520547945206</v>
      </c>
      <c r="L3147" s="3">
        <f t="shared" si="309"/>
        <v>354.79452054794524</v>
      </c>
      <c r="M3147" s="3">
        <f t="shared" si="310"/>
        <v>21.287671232876715</v>
      </c>
      <c r="N3147" s="67">
        <f t="shared" si="311"/>
        <v>333.50684931506851</v>
      </c>
      <c r="O3147" s="3"/>
      <c r="P3147" s="70" t="s">
        <v>18597</v>
      </c>
      <c r="Q3147" s="2" t="s">
        <v>349</v>
      </c>
      <c r="R3147" s="2" t="s">
        <v>16891</v>
      </c>
      <c r="U3147" t="s">
        <v>18653</v>
      </c>
      <c r="V3147" s="104">
        <v>45857</v>
      </c>
      <c r="W3147" t="s">
        <v>18657</v>
      </c>
      <c r="X3147" s="97"/>
      <c r="Y3147" s="75">
        <v>333.51</v>
      </c>
    </row>
    <row r="3148" spans="1:25" x14ac:dyDescent="0.25">
      <c r="A3148" s="76">
        <v>279</v>
      </c>
      <c r="B3148" s="2" t="s">
        <v>2382</v>
      </c>
      <c r="C3148" s="2" t="s">
        <v>2383</v>
      </c>
      <c r="D3148" s="2" t="s">
        <v>2384</v>
      </c>
      <c r="E3148" s="2" t="s">
        <v>2385</v>
      </c>
      <c r="F3148" s="2" t="s">
        <v>2386</v>
      </c>
      <c r="G3148" s="2" t="s">
        <v>158</v>
      </c>
      <c r="H3148" s="17">
        <v>25</v>
      </c>
      <c r="I3148" s="31">
        <f t="shared" si="306"/>
        <v>25000</v>
      </c>
      <c r="J3148" s="31">
        <f t="shared" si="307"/>
        <v>1750.0000000000002</v>
      </c>
      <c r="K3148" s="44">
        <f t="shared" si="308"/>
        <v>4.794520547945206</v>
      </c>
      <c r="L3148" s="3">
        <f t="shared" si="309"/>
        <v>354.79452054794524</v>
      </c>
      <c r="M3148" s="3">
        <f t="shared" si="310"/>
        <v>21.287671232876715</v>
      </c>
      <c r="N3148" s="67">
        <f t="shared" si="311"/>
        <v>333.50684931506851</v>
      </c>
      <c r="O3148" s="3"/>
      <c r="P3148" s="70" t="s">
        <v>18597</v>
      </c>
      <c r="Q3148" s="2" t="s">
        <v>349</v>
      </c>
      <c r="R3148" s="2" t="s">
        <v>2387</v>
      </c>
      <c r="U3148" t="s">
        <v>18653</v>
      </c>
      <c r="V3148" s="104">
        <v>45857</v>
      </c>
      <c r="W3148" t="s">
        <v>18657</v>
      </c>
      <c r="X3148" s="97"/>
      <c r="Y3148" s="75">
        <v>333.51</v>
      </c>
    </row>
    <row r="3149" spans="1:25" x14ac:dyDescent="0.25">
      <c r="A3149" s="76">
        <v>280</v>
      </c>
      <c r="B3149" s="2" t="s">
        <v>8501</v>
      </c>
      <c r="C3149" s="2" t="s">
        <v>8502</v>
      </c>
      <c r="D3149" s="2" t="s">
        <v>8503</v>
      </c>
      <c r="E3149" s="2" t="s">
        <v>8504</v>
      </c>
      <c r="F3149" s="2" t="s">
        <v>8505</v>
      </c>
      <c r="G3149" s="2" t="s">
        <v>39</v>
      </c>
      <c r="H3149" s="17">
        <v>25</v>
      </c>
      <c r="I3149" s="31">
        <f t="shared" si="306"/>
        <v>25000</v>
      </c>
      <c r="J3149" s="31">
        <f t="shared" si="307"/>
        <v>1750.0000000000002</v>
      </c>
      <c r="K3149" s="44">
        <f t="shared" si="308"/>
        <v>4.794520547945206</v>
      </c>
      <c r="L3149" s="3">
        <f t="shared" si="309"/>
        <v>354.79452054794524</v>
      </c>
      <c r="M3149" s="3">
        <f t="shared" si="310"/>
        <v>21.287671232876715</v>
      </c>
      <c r="N3149" s="67">
        <f t="shared" si="311"/>
        <v>333.50684931506851</v>
      </c>
      <c r="O3149" s="3"/>
      <c r="P3149" s="70" t="s">
        <v>18597</v>
      </c>
      <c r="Q3149" s="2" t="s">
        <v>349</v>
      </c>
      <c r="R3149" s="2" t="s">
        <v>8506</v>
      </c>
      <c r="U3149" t="s">
        <v>18653</v>
      </c>
      <c r="V3149" s="104">
        <v>45857</v>
      </c>
      <c r="W3149" t="s">
        <v>18657</v>
      </c>
      <c r="X3149" s="97"/>
      <c r="Y3149" s="75">
        <v>333.51</v>
      </c>
    </row>
    <row r="3150" spans="1:25" x14ac:dyDescent="0.25">
      <c r="A3150" s="76">
        <v>281</v>
      </c>
      <c r="B3150" s="2" t="s">
        <v>9739</v>
      </c>
      <c r="C3150" s="2" t="s">
        <v>9740</v>
      </c>
      <c r="D3150" s="2" t="s">
        <v>9741</v>
      </c>
      <c r="E3150" s="2" t="s">
        <v>9742</v>
      </c>
      <c r="F3150" s="2" t="s">
        <v>9743</v>
      </c>
      <c r="G3150" s="2" t="s">
        <v>2571</v>
      </c>
      <c r="H3150" s="17">
        <v>25</v>
      </c>
      <c r="I3150" s="31">
        <f t="shared" si="306"/>
        <v>25000</v>
      </c>
      <c r="J3150" s="31">
        <f t="shared" si="307"/>
        <v>1750.0000000000002</v>
      </c>
      <c r="K3150" s="44">
        <f t="shared" si="308"/>
        <v>4.794520547945206</v>
      </c>
      <c r="L3150" s="3">
        <f t="shared" si="309"/>
        <v>354.79452054794524</v>
      </c>
      <c r="M3150" s="3">
        <f t="shared" si="310"/>
        <v>21.287671232876715</v>
      </c>
      <c r="N3150" s="67">
        <f t="shared" si="311"/>
        <v>333.50684931506851</v>
      </c>
      <c r="O3150" s="3"/>
      <c r="P3150" s="70" t="s">
        <v>18597</v>
      </c>
      <c r="Q3150" s="2" t="s">
        <v>349</v>
      </c>
      <c r="R3150" s="2" t="s">
        <v>9744</v>
      </c>
      <c r="U3150" t="s">
        <v>18653</v>
      </c>
      <c r="V3150" s="104">
        <v>45857</v>
      </c>
      <c r="W3150" t="s">
        <v>18657</v>
      </c>
      <c r="X3150" s="97"/>
      <c r="Y3150" s="75">
        <v>333.51</v>
      </c>
    </row>
    <row r="3151" spans="1:25" x14ac:dyDescent="0.25">
      <c r="A3151" s="76">
        <v>282</v>
      </c>
      <c r="B3151" s="2" t="s">
        <v>14957</v>
      </c>
      <c r="C3151" s="2" t="s">
        <v>14958</v>
      </c>
      <c r="D3151" s="2" t="s">
        <v>14959</v>
      </c>
      <c r="E3151" s="2" t="s">
        <v>14960</v>
      </c>
      <c r="F3151" s="2" t="s">
        <v>14961</v>
      </c>
      <c r="G3151" s="2" t="s">
        <v>193</v>
      </c>
      <c r="H3151" s="17">
        <v>25</v>
      </c>
      <c r="I3151" s="31">
        <f t="shared" si="306"/>
        <v>25000</v>
      </c>
      <c r="J3151" s="31">
        <f t="shared" si="307"/>
        <v>1750.0000000000002</v>
      </c>
      <c r="K3151" s="44">
        <f t="shared" si="308"/>
        <v>4.794520547945206</v>
      </c>
      <c r="L3151" s="3">
        <f t="shared" si="309"/>
        <v>354.79452054794524</v>
      </c>
      <c r="M3151" s="3">
        <f t="shared" si="310"/>
        <v>21.287671232876715</v>
      </c>
      <c r="N3151" s="67">
        <f t="shared" si="311"/>
        <v>333.50684931506851</v>
      </c>
      <c r="O3151" s="3"/>
      <c r="P3151" s="70" t="s">
        <v>18597</v>
      </c>
      <c r="Q3151" s="2" t="s">
        <v>349</v>
      </c>
      <c r="R3151" s="2" t="s">
        <v>14962</v>
      </c>
      <c r="U3151" t="s">
        <v>18653</v>
      </c>
      <c r="V3151" s="104">
        <v>45857</v>
      </c>
      <c r="W3151" t="s">
        <v>18657</v>
      </c>
      <c r="X3151" s="97"/>
      <c r="Y3151" s="75">
        <v>333.51</v>
      </c>
    </row>
    <row r="3152" spans="1:25" x14ac:dyDescent="0.25">
      <c r="A3152" s="76">
        <v>283</v>
      </c>
      <c r="B3152" s="2" t="s">
        <v>8583</v>
      </c>
      <c r="C3152" s="2" t="s">
        <v>8584</v>
      </c>
      <c r="D3152" s="2" t="s">
        <v>8585</v>
      </c>
      <c r="E3152" s="2" t="s">
        <v>8586</v>
      </c>
      <c r="F3152" s="2" t="s">
        <v>8587</v>
      </c>
      <c r="G3152" s="2" t="s">
        <v>328</v>
      </c>
      <c r="H3152" s="17">
        <v>25</v>
      </c>
      <c r="I3152" s="31">
        <f t="shared" si="306"/>
        <v>25000</v>
      </c>
      <c r="J3152" s="31">
        <f t="shared" si="307"/>
        <v>1750.0000000000002</v>
      </c>
      <c r="K3152" s="44">
        <f t="shared" si="308"/>
        <v>4.794520547945206</v>
      </c>
      <c r="L3152" s="3">
        <f t="shared" si="309"/>
        <v>354.79452054794524</v>
      </c>
      <c r="M3152" s="3">
        <f t="shared" si="310"/>
        <v>21.287671232876715</v>
      </c>
      <c r="N3152" s="67">
        <f t="shared" si="311"/>
        <v>333.50684931506851</v>
      </c>
      <c r="O3152" s="3"/>
      <c r="P3152" s="70" t="s">
        <v>18597</v>
      </c>
      <c r="Q3152" s="2" t="s">
        <v>349</v>
      </c>
      <c r="R3152" s="2" t="s">
        <v>8588</v>
      </c>
      <c r="U3152" t="s">
        <v>18653</v>
      </c>
      <c r="V3152" s="104">
        <v>45857</v>
      </c>
      <c r="W3152" t="s">
        <v>18657</v>
      </c>
      <c r="X3152" s="97"/>
      <c r="Y3152" s="75">
        <v>333.51</v>
      </c>
    </row>
    <row r="3153" spans="1:25" x14ac:dyDescent="0.25">
      <c r="A3153" s="76">
        <v>284</v>
      </c>
      <c r="B3153" s="2" t="s">
        <v>6355</v>
      </c>
      <c r="C3153" s="2" t="s">
        <v>6356</v>
      </c>
      <c r="D3153" s="2" t="s">
        <v>578</v>
      </c>
      <c r="E3153" s="2" t="s">
        <v>6357</v>
      </c>
      <c r="F3153" s="2" t="s">
        <v>6358</v>
      </c>
      <c r="G3153" s="2" t="s">
        <v>643</v>
      </c>
      <c r="H3153" s="17">
        <v>30</v>
      </c>
      <c r="I3153" s="31">
        <f t="shared" si="306"/>
        <v>30000</v>
      </c>
      <c r="J3153" s="31">
        <f t="shared" si="307"/>
        <v>2100</v>
      </c>
      <c r="K3153" s="44">
        <f t="shared" si="308"/>
        <v>5.7534246575342465</v>
      </c>
      <c r="L3153" s="3">
        <f t="shared" si="309"/>
        <v>425.75342465753425</v>
      </c>
      <c r="M3153" s="3">
        <f t="shared" si="310"/>
        <v>25.545205479452054</v>
      </c>
      <c r="N3153" s="67">
        <f t="shared" si="311"/>
        <v>400.20821917808217</v>
      </c>
      <c r="O3153" s="3"/>
      <c r="P3153" s="70" t="s">
        <v>18597</v>
      </c>
      <c r="Q3153" s="2" t="s">
        <v>349</v>
      </c>
      <c r="R3153" s="2" t="s">
        <v>6359</v>
      </c>
      <c r="U3153" t="s">
        <v>18653</v>
      </c>
      <c r="V3153" s="104">
        <v>45857</v>
      </c>
      <c r="W3153" t="s">
        <v>18657</v>
      </c>
      <c r="X3153" s="97"/>
      <c r="Y3153" s="75">
        <v>400.21</v>
      </c>
    </row>
    <row r="3154" spans="1:25" x14ac:dyDescent="0.25">
      <c r="A3154" s="76">
        <v>286</v>
      </c>
      <c r="B3154" s="2" t="s">
        <v>1262</v>
      </c>
      <c r="C3154" s="2" t="s">
        <v>1263</v>
      </c>
      <c r="D3154" s="2" t="s">
        <v>1264</v>
      </c>
      <c r="E3154" s="2" t="s">
        <v>1265</v>
      </c>
      <c r="F3154" s="2" t="s">
        <v>1266</v>
      </c>
      <c r="G3154" s="2" t="s">
        <v>580</v>
      </c>
      <c r="H3154" s="17">
        <v>25</v>
      </c>
      <c r="I3154" s="31">
        <f t="shared" si="306"/>
        <v>25000</v>
      </c>
      <c r="J3154" s="31">
        <f t="shared" si="307"/>
        <v>1750.0000000000002</v>
      </c>
      <c r="K3154" s="44">
        <f t="shared" si="308"/>
        <v>4.794520547945206</v>
      </c>
      <c r="L3154" s="3">
        <f t="shared" si="309"/>
        <v>354.79452054794524</v>
      </c>
      <c r="M3154" s="3">
        <f t="shared" si="310"/>
        <v>21.287671232876715</v>
      </c>
      <c r="N3154" s="67">
        <f t="shared" si="311"/>
        <v>333.50684931506851</v>
      </c>
      <c r="O3154" s="3"/>
      <c r="P3154" s="70" t="s">
        <v>18597</v>
      </c>
      <c r="Q3154" s="2" t="s">
        <v>349</v>
      </c>
      <c r="R3154" s="2" t="s">
        <v>1267</v>
      </c>
      <c r="U3154" t="s">
        <v>18653</v>
      </c>
      <c r="V3154" s="104">
        <v>45857</v>
      </c>
      <c r="W3154" t="s">
        <v>18657</v>
      </c>
      <c r="X3154" s="97"/>
      <c r="Y3154" s="75">
        <v>333.51</v>
      </c>
    </row>
    <row r="3155" spans="1:25" x14ac:dyDescent="0.25">
      <c r="A3155" s="76">
        <v>287</v>
      </c>
      <c r="B3155" s="2" t="s">
        <v>4464</v>
      </c>
      <c r="C3155" s="2" t="s">
        <v>4465</v>
      </c>
      <c r="D3155" s="2" t="s">
        <v>4466</v>
      </c>
      <c r="E3155" s="2" t="s">
        <v>4467</v>
      </c>
      <c r="F3155" s="2" t="s">
        <v>4468</v>
      </c>
      <c r="G3155" s="2" t="s">
        <v>151</v>
      </c>
      <c r="H3155" s="17">
        <v>25</v>
      </c>
      <c r="I3155" s="31">
        <f t="shared" si="306"/>
        <v>25000</v>
      </c>
      <c r="J3155" s="31">
        <f t="shared" si="307"/>
        <v>1750.0000000000002</v>
      </c>
      <c r="K3155" s="44">
        <f t="shared" si="308"/>
        <v>4.794520547945206</v>
      </c>
      <c r="L3155" s="3">
        <f t="shared" si="309"/>
        <v>354.79452054794524</v>
      </c>
      <c r="M3155" s="3">
        <f t="shared" si="310"/>
        <v>21.287671232876715</v>
      </c>
      <c r="N3155" s="67">
        <f t="shared" si="311"/>
        <v>333.50684931506851</v>
      </c>
      <c r="O3155" s="3"/>
      <c r="P3155" s="70" t="s">
        <v>18597</v>
      </c>
      <c r="Q3155" s="2" t="s">
        <v>349</v>
      </c>
      <c r="R3155" s="2" t="s">
        <v>4469</v>
      </c>
      <c r="U3155" t="s">
        <v>18653</v>
      </c>
      <c r="V3155" s="104">
        <v>45857</v>
      </c>
      <c r="W3155" t="s">
        <v>18657</v>
      </c>
      <c r="X3155" s="97"/>
      <c r="Y3155" s="75">
        <v>333.51</v>
      </c>
    </row>
    <row r="3156" spans="1:25" x14ac:dyDescent="0.25">
      <c r="A3156" s="76">
        <v>288</v>
      </c>
      <c r="B3156" s="2" t="s">
        <v>7996</v>
      </c>
      <c r="C3156" s="2" t="s">
        <v>7997</v>
      </c>
      <c r="D3156" s="2" t="s">
        <v>7998</v>
      </c>
      <c r="E3156" s="2" t="s">
        <v>7999</v>
      </c>
      <c r="F3156" s="2" t="s">
        <v>8000</v>
      </c>
      <c r="G3156" s="2" t="s">
        <v>247</v>
      </c>
      <c r="H3156" s="17">
        <v>200</v>
      </c>
      <c r="I3156" s="31">
        <f t="shared" si="306"/>
        <v>200000</v>
      </c>
      <c r="J3156" s="31">
        <f t="shared" si="307"/>
        <v>14000.000000000002</v>
      </c>
      <c r="K3156" s="44">
        <f t="shared" si="308"/>
        <v>38.356164383561648</v>
      </c>
      <c r="L3156" s="3">
        <f t="shared" si="309"/>
        <v>2838.3561643835619</v>
      </c>
      <c r="M3156" s="3">
        <f t="shared" si="310"/>
        <v>170.30136986301372</v>
      </c>
      <c r="N3156" s="67">
        <f t="shared" si="311"/>
        <v>2668.0547945205481</v>
      </c>
      <c r="O3156" s="3"/>
      <c r="P3156" s="70" t="s">
        <v>18597</v>
      </c>
      <c r="Q3156" s="2" t="s">
        <v>349</v>
      </c>
      <c r="R3156" s="2" t="s">
        <v>8001</v>
      </c>
      <c r="U3156" t="s">
        <v>18653</v>
      </c>
      <c r="V3156" s="104">
        <v>45857</v>
      </c>
      <c r="W3156" t="s">
        <v>18657</v>
      </c>
      <c r="X3156" s="97"/>
      <c r="Y3156" s="75">
        <v>2668.0600000000004</v>
      </c>
    </row>
    <row r="3157" spans="1:25" x14ac:dyDescent="0.25">
      <c r="A3157" s="76">
        <v>289</v>
      </c>
      <c r="B3157" s="2" t="s">
        <v>16856</v>
      </c>
      <c r="C3157" s="2" t="s">
        <v>16857</v>
      </c>
      <c r="D3157" s="2" t="s">
        <v>16858</v>
      </c>
      <c r="E3157" s="2" t="s">
        <v>16859</v>
      </c>
      <c r="F3157" s="2" t="s">
        <v>16860</v>
      </c>
      <c r="G3157" s="2" t="s">
        <v>151</v>
      </c>
      <c r="H3157" s="17">
        <v>25</v>
      </c>
      <c r="I3157" s="31">
        <f t="shared" si="306"/>
        <v>25000</v>
      </c>
      <c r="J3157" s="31">
        <f t="shared" si="307"/>
        <v>1750.0000000000002</v>
      </c>
      <c r="K3157" s="44">
        <f t="shared" si="308"/>
        <v>4.794520547945206</v>
      </c>
      <c r="L3157" s="3">
        <f t="shared" si="309"/>
        <v>354.79452054794524</v>
      </c>
      <c r="M3157" s="3">
        <f t="shared" si="310"/>
        <v>21.287671232876715</v>
      </c>
      <c r="N3157" s="67">
        <f t="shared" si="311"/>
        <v>333.50684931506851</v>
      </c>
      <c r="O3157" s="3"/>
      <c r="P3157" s="70" t="s">
        <v>18597</v>
      </c>
      <c r="Q3157" s="2" t="s">
        <v>349</v>
      </c>
      <c r="R3157" s="2" t="s">
        <v>16861</v>
      </c>
      <c r="U3157" t="s">
        <v>18653</v>
      </c>
      <c r="V3157" s="104">
        <v>45857</v>
      </c>
      <c r="W3157" t="s">
        <v>18657</v>
      </c>
      <c r="X3157" s="97"/>
      <c r="Y3157" s="75">
        <v>333.51</v>
      </c>
    </row>
    <row r="3158" spans="1:25" x14ac:dyDescent="0.25">
      <c r="A3158" s="76">
        <v>290</v>
      </c>
      <c r="B3158" s="2" t="s">
        <v>228</v>
      </c>
      <c r="C3158" s="2" t="s">
        <v>229</v>
      </c>
      <c r="D3158" s="2" t="s">
        <v>230</v>
      </c>
      <c r="E3158" s="2" t="s">
        <v>231</v>
      </c>
      <c r="F3158" s="2" t="s">
        <v>232</v>
      </c>
      <c r="G3158" s="2" t="s">
        <v>233</v>
      </c>
      <c r="H3158" s="17">
        <v>25</v>
      </c>
      <c r="I3158" s="31">
        <f t="shared" si="306"/>
        <v>25000</v>
      </c>
      <c r="J3158" s="31">
        <f t="shared" si="307"/>
        <v>1750.0000000000002</v>
      </c>
      <c r="K3158" s="44">
        <f t="shared" si="308"/>
        <v>4.794520547945206</v>
      </c>
      <c r="L3158" s="3">
        <f t="shared" si="309"/>
        <v>354.79452054794524</v>
      </c>
      <c r="M3158" s="3">
        <f t="shared" si="310"/>
        <v>21.287671232876715</v>
      </c>
      <c r="N3158" s="67">
        <f t="shared" si="311"/>
        <v>333.50684931506851</v>
      </c>
      <c r="O3158" s="3"/>
      <c r="P3158" s="70" t="s">
        <v>18608</v>
      </c>
      <c r="Q3158" s="2" t="s">
        <v>24</v>
      </c>
      <c r="R3158" s="2" t="s">
        <v>234</v>
      </c>
      <c r="U3158" t="s">
        <v>18653</v>
      </c>
      <c r="V3158" s="104">
        <v>45857</v>
      </c>
      <c r="W3158" t="s">
        <v>18656</v>
      </c>
      <c r="X3158" s="97"/>
      <c r="Y3158" s="75">
        <v>333.51</v>
      </c>
    </row>
    <row r="3159" spans="1:25" x14ac:dyDescent="0.25">
      <c r="A3159" s="76">
        <v>291</v>
      </c>
      <c r="B3159" s="2" t="s">
        <v>13169</v>
      </c>
      <c r="C3159" s="2" t="s">
        <v>13170</v>
      </c>
      <c r="D3159" s="2" t="s">
        <v>13171</v>
      </c>
      <c r="E3159" s="2" t="s">
        <v>13172</v>
      </c>
      <c r="F3159" s="2" t="s">
        <v>13173</v>
      </c>
      <c r="G3159" s="2" t="s">
        <v>1424</v>
      </c>
      <c r="H3159" s="17">
        <v>25</v>
      </c>
      <c r="I3159" s="31">
        <f t="shared" si="306"/>
        <v>25000</v>
      </c>
      <c r="J3159" s="31">
        <f t="shared" si="307"/>
        <v>1750.0000000000002</v>
      </c>
      <c r="K3159" s="44">
        <f t="shared" si="308"/>
        <v>4.794520547945206</v>
      </c>
      <c r="L3159" s="3">
        <f t="shared" si="309"/>
        <v>354.79452054794524</v>
      </c>
      <c r="M3159" s="3">
        <f t="shared" si="310"/>
        <v>21.287671232876715</v>
      </c>
      <c r="N3159" s="67">
        <f t="shared" si="311"/>
        <v>333.50684931506851</v>
      </c>
      <c r="O3159" s="3"/>
      <c r="P3159" s="70" t="s">
        <v>18605</v>
      </c>
      <c r="Q3159" s="2" t="s">
        <v>47</v>
      </c>
      <c r="R3159" s="2" t="s">
        <v>13174</v>
      </c>
      <c r="U3159" t="s">
        <v>18653</v>
      </c>
      <c r="V3159" s="104">
        <v>45857</v>
      </c>
      <c r="W3159" t="s">
        <v>18656</v>
      </c>
      <c r="X3159" s="97"/>
      <c r="Y3159" s="75">
        <v>333.51</v>
      </c>
    </row>
    <row r="3160" spans="1:25" x14ac:dyDescent="0.25">
      <c r="A3160" s="76">
        <v>292</v>
      </c>
      <c r="B3160" s="2" t="s">
        <v>11951</v>
      </c>
      <c r="C3160" s="2" t="s">
        <v>11952</v>
      </c>
      <c r="D3160" s="2" t="s">
        <v>11953</v>
      </c>
      <c r="E3160" s="2" t="s">
        <v>11954</v>
      </c>
      <c r="F3160" s="2" t="s">
        <v>11955</v>
      </c>
      <c r="G3160" s="2" t="s">
        <v>1017</v>
      </c>
      <c r="H3160" s="17">
        <v>100</v>
      </c>
      <c r="I3160" s="31">
        <f t="shared" si="306"/>
        <v>100000</v>
      </c>
      <c r="J3160" s="31">
        <f t="shared" si="307"/>
        <v>7000.0000000000009</v>
      </c>
      <c r="K3160" s="44">
        <f t="shared" si="308"/>
        <v>19.178082191780824</v>
      </c>
      <c r="L3160" s="3">
        <f t="shared" si="309"/>
        <v>1419.178082191781</v>
      </c>
      <c r="M3160" s="3">
        <f t="shared" si="310"/>
        <v>85.150684931506859</v>
      </c>
      <c r="N3160" s="67">
        <f t="shared" si="311"/>
        <v>1334.027397260274</v>
      </c>
      <c r="O3160" s="3"/>
      <c r="P3160" s="70" t="s">
        <v>18597</v>
      </c>
      <c r="Q3160" s="2" t="s">
        <v>349</v>
      </c>
      <c r="R3160" s="2" t="s">
        <v>11956</v>
      </c>
      <c r="U3160" t="s">
        <v>18653</v>
      </c>
      <c r="V3160" s="104">
        <v>45857</v>
      </c>
      <c r="W3160" t="s">
        <v>18657</v>
      </c>
      <c r="X3160" s="97"/>
      <c r="Y3160" s="75">
        <v>1334.03</v>
      </c>
    </row>
    <row r="3161" spans="1:25" x14ac:dyDescent="0.25">
      <c r="A3161" s="76">
        <v>293</v>
      </c>
      <c r="B3161" s="2" t="s">
        <v>16833</v>
      </c>
      <c r="C3161" s="2" t="s">
        <v>16834</v>
      </c>
      <c r="D3161" s="2" t="s">
        <v>16835</v>
      </c>
      <c r="E3161" s="2" t="s">
        <v>16836</v>
      </c>
      <c r="F3161" s="2" t="s">
        <v>16837</v>
      </c>
      <c r="G3161" s="2" t="s">
        <v>412</v>
      </c>
      <c r="H3161" s="17">
        <v>40</v>
      </c>
      <c r="I3161" s="31">
        <f t="shared" si="306"/>
        <v>40000</v>
      </c>
      <c r="J3161" s="31">
        <f t="shared" si="307"/>
        <v>2800.0000000000005</v>
      </c>
      <c r="K3161" s="44">
        <f t="shared" si="308"/>
        <v>7.6712328767123301</v>
      </c>
      <c r="L3161" s="3">
        <f t="shared" si="309"/>
        <v>567.67123287671245</v>
      </c>
      <c r="M3161" s="3">
        <f t="shared" si="310"/>
        <v>34.060273972602744</v>
      </c>
      <c r="N3161" s="67">
        <f t="shared" si="311"/>
        <v>533.61095890410968</v>
      </c>
      <c r="O3161" s="3"/>
      <c r="P3161" s="70" t="s">
        <v>18597</v>
      </c>
      <c r="Q3161" s="2" t="s">
        <v>349</v>
      </c>
      <c r="R3161" s="2" t="s">
        <v>16838</v>
      </c>
      <c r="U3161" t="s">
        <v>18653</v>
      </c>
      <c r="V3161" s="104">
        <v>45857</v>
      </c>
      <c r="W3161" t="s">
        <v>18657</v>
      </c>
      <c r="X3161" s="97"/>
      <c r="Y3161" s="75">
        <v>533.62</v>
      </c>
    </row>
    <row r="3162" spans="1:25" x14ac:dyDescent="0.25">
      <c r="A3162" s="76">
        <v>294</v>
      </c>
      <c r="B3162" s="2" t="s">
        <v>14999</v>
      </c>
      <c r="C3162" s="2" t="s">
        <v>325</v>
      </c>
      <c r="D3162" s="2" t="s">
        <v>15000</v>
      </c>
      <c r="E3162" s="2" t="s">
        <v>15001</v>
      </c>
      <c r="F3162" s="2" t="s">
        <v>15002</v>
      </c>
      <c r="G3162" s="2" t="s">
        <v>524</v>
      </c>
      <c r="H3162" s="17">
        <v>25</v>
      </c>
      <c r="I3162" s="31">
        <f t="shared" si="306"/>
        <v>25000</v>
      </c>
      <c r="J3162" s="31">
        <f t="shared" si="307"/>
        <v>1750.0000000000002</v>
      </c>
      <c r="K3162" s="44">
        <f t="shared" si="308"/>
        <v>4.794520547945206</v>
      </c>
      <c r="L3162" s="3">
        <f t="shared" si="309"/>
        <v>354.79452054794524</v>
      </c>
      <c r="M3162" s="3">
        <f t="shared" si="310"/>
        <v>21.287671232876715</v>
      </c>
      <c r="N3162" s="67">
        <f t="shared" si="311"/>
        <v>333.50684931506851</v>
      </c>
      <c r="O3162" s="3"/>
      <c r="P3162" s="70" t="s">
        <v>18597</v>
      </c>
      <c r="Q3162" s="2" t="s">
        <v>349</v>
      </c>
      <c r="R3162" s="2" t="s">
        <v>15003</v>
      </c>
      <c r="U3162" t="s">
        <v>18653</v>
      </c>
      <c r="V3162" s="104">
        <v>45857</v>
      </c>
      <c r="W3162" t="s">
        <v>18657</v>
      </c>
      <c r="X3162" s="97"/>
      <c r="Y3162" s="75">
        <v>333.51</v>
      </c>
    </row>
    <row r="3163" spans="1:25" x14ac:dyDescent="0.25">
      <c r="A3163" s="76">
        <v>295</v>
      </c>
      <c r="B3163" s="2" t="s">
        <v>11808</v>
      </c>
      <c r="C3163" s="2" t="s">
        <v>11809</v>
      </c>
      <c r="D3163" s="2" t="s">
        <v>11810</v>
      </c>
      <c r="E3163" s="2" t="s">
        <v>11811</v>
      </c>
      <c r="F3163" s="2" t="s">
        <v>11812</v>
      </c>
      <c r="G3163" s="2" t="s">
        <v>23</v>
      </c>
      <c r="H3163" s="17">
        <v>100</v>
      </c>
      <c r="I3163" s="31">
        <f t="shared" si="306"/>
        <v>100000</v>
      </c>
      <c r="J3163" s="31">
        <f t="shared" si="307"/>
        <v>7000.0000000000009</v>
      </c>
      <c r="K3163" s="44">
        <f t="shared" si="308"/>
        <v>19.178082191780824</v>
      </c>
      <c r="L3163" s="3">
        <f t="shared" si="309"/>
        <v>1419.178082191781</v>
      </c>
      <c r="M3163" s="3">
        <f t="shared" si="310"/>
        <v>85.150684931506859</v>
      </c>
      <c r="N3163" s="67">
        <f t="shared" si="311"/>
        <v>1334.027397260274</v>
      </c>
      <c r="O3163" s="3"/>
      <c r="P3163" s="70" t="s">
        <v>18597</v>
      </c>
      <c r="Q3163" s="2" t="s">
        <v>349</v>
      </c>
      <c r="R3163" s="2" t="s">
        <v>11813</v>
      </c>
      <c r="U3163" t="s">
        <v>18653</v>
      </c>
      <c r="V3163" s="104">
        <v>45857</v>
      </c>
      <c r="W3163" t="s">
        <v>18657</v>
      </c>
      <c r="X3163" s="97"/>
      <c r="Y3163" s="75">
        <v>1334.03</v>
      </c>
    </row>
    <row r="3164" spans="1:25" x14ac:dyDescent="0.25">
      <c r="A3164" s="76">
        <v>296</v>
      </c>
      <c r="B3164" s="2" t="s">
        <v>6372</v>
      </c>
      <c r="C3164" s="2" t="s">
        <v>6373</v>
      </c>
      <c r="D3164" s="2" t="s">
        <v>6374</v>
      </c>
      <c r="E3164" s="2" t="s">
        <v>6375</v>
      </c>
      <c r="F3164" s="2" t="s">
        <v>6376</v>
      </c>
      <c r="G3164" s="2" t="s">
        <v>2022</v>
      </c>
      <c r="H3164" s="17">
        <v>100</v>
      </c>
      <c r="I3164" s="31">
        <f t="shared" si="306"/>
        <v>100000</v>
      </c>
      <c r="J3164" s="31">
        <f t="shared" si="307"/>
        <v>7000.0000000000009</v>
      </c>
      <c r="K3164" s="44">
        <f t="shared" si="308"/>
        <v>19.178082191780824</v>
      </c>
      <c r="L3164" s="3">
        <f t="shared" si="309"/>
        <v>1419.178082191781</v>
      </c>
      <c r="M3164" s="3">
        <f t="shared" si="310"/>
        <v>85.150684931506859</v>
      </c>
      <c r="N3164" s="67">
        <f t="shared" si="311"/>
        <v>1334.027397260274</v>
      </c>
      <c r="O3164" s="3"/>
      <c r="P3164" s="70" t="s">
        <v>18605</v>
      </c>
      <c r="Q3164" s="2" t="s">
        <v>47</v>
      </c>
      <c r="R3164" s="2" t="s">
        <v>6377</v>
      </c>
      <c r="U3164" t="s">
        <v>18653</v>
      </c>
      <c r="V3164" s="104">
        <v>45857</v>
      </c>
      <c r="W3164" t="s">
        <v>18656</v>
      </c>
      <c r="X3164" s="97"/>
      <c r="Y3164" s="75">
        <v>1334.03</v>
      </c>
    </row>
    <row r="3165" spans="1:25" x14ac:dyDescent="0.25">
      <c r="A3165" s="76">
        <v>297</v>
      </c>
      <c r="B3165" s="2" t="s">
        <v>13823</v>
      </c>
      <c r="C3165" s="2" t="s">
        <v>13824</v>
      </c>
      <c r="D3165" s="2" t="s">
        <v>13825</v>
      </c>
      <c r="E3165" s="2" t="s">
        <v>13826</v>
      </c>
      <c r="F3165" s="2" t="s">
        <v>13827</v>
      </c>
      <c r="G3165" s="2" t="s">
        <v>31</v>
      </c>
      <c r="H3165" s="17">
        <v>100</v>
      </c>
      <c r="I3165" s="31">
        <f t="shared" si="306"/>
        <v>100000</v>
      </c>
      <c r="J3165" s="31">
        <f t="shared" si="307"/>
        <v>7000.0000000000009</v>
      </c>
      <c r="K3165" s="44">
        <f t="shared" si="308"/>
        <v>19.178082191780824</v>
      </c>
      <c r="L3165" s="3">
        <f t="shared" si="309"/>
        <v>1419.178082191781</v>
      </c>
      <c r="M3165" s="3">
        <f t="shared" si="310"/>
        <v>85.150684931506859</v>
      </c>
      <c r="N3165" s="67">
        <f t="shared" si="311"/>
        <v>1334.027397260274</v>
      </c>
      <c r="O3165" s="3"/>
      <c r="P3165" s="70" t="s">
        <v>18608</v>
      </c>
      <c r="Q3165" s="2" t="s">
        <v>24</v>
      </c>
      <c r="R3165" s="2" t="s">
        <v>13828</v>
      </c>
      <c r="U3165" t="s">
        <v>18653</v>
      </c>
      <c r="V3165" s="104">
        <v>45857</v>
      </c>
      <c r="W3165" t="s">
        <v>18656</v>
      </c>
      <c r="X3165" s="97"/>
      <c r="Y3165" s="75">
        <v>1334.03</v>
      </c>
    </row>
    <row r="3166" spans="1:25" x14ac:dyDescent="0.25">
      <c r="A3166" s="76">
        <v>298</v>
      </c>
      <c r="B3166" s="2" t="s">
        <v>9475</v>
      </c>
      <c r="C3166" s="2" t="s">
        <v>9476</v>
      </c>
      <c r="D3166" s="2" t="s">
        <v>9477</v>
      </c>
      <c r="E3166" s="2" t="s">
        <v>9478</v>
      </c>
      <c r="F3166" s="2" t="s">
        <v>9479</v>
      </c>
      <c r="G3166" s="2" t="s">
        <v>233</v>
      </c>
      <c r="H3166" s="17">
        <v>25</v>
      </c>
      <c r="I3166" s="31">
        <f t="shared" si="306"/>
        <v>25000</v>
      </c>
      <c r="J3166" s="31">
        <f t="shared" si="307"/>
        <v>1750.0000000000002</v>
      </c>
      <c r="K3166" s="44">
        <f t="shared" si="308"/>
        <v>4.794520547945206</v>
      </c>
      <c r="L3166" s="3">
        <f t="shared" si="309"/>
        <v>354.79452054794524</v>
      </c>
      <c r="M3166" s="3">
        <f t="shared" si="310"/>
        <v>21.287671232876715</v>
      </c>
      <c r="N3166" s="67">
        <f t="shared" si="311"/>
        <v>333.50684931506851</v>
      </c>
      <c r="O3166" s="3"/>
      <c r="P3166" s="70" t="s">
        <v>18605</v>
      </c>
      <c r="Q3166" s="2" t="s">
        <v>47</v>
      </c>
      <c r="R3166" s="2" t="s">
        <v>9480</v>
      </c>
      <c r="U3166" t="s">
        <v>18653</v>
      </c>
      <c r="V3166" s="104">
        <v>45857</v>
      </c>
      <c r="W3166" t="s">
        <v>18656</v>
      </c>
      <c r="X3166" s="97"/>
      <c r="Y3166" s="75">
        <v>333.51</v>
      </c>
    </row>
    <row r="3167" spans="1:25" x14ac:dyDescent="0.25">
      <c r="A3167" s="76">
        <v>299</v>
      </c>
      <c r="B3167" s="2" t="s">
        <v>9394</v>
      </c>
      <c r="C3167" s="2" t="s">
        <v>9395</v>
      </c>
      <c r="D3167" s="2" t="s">
        <v>9396</v>
      </c>
      <c r="E3167" s="2" t="s">
        <v>9397</v>
      </c>
      <c r="F3167" s="2" t="s">
        <v>9398</v>
      </c>
      <c r="G3167" s="2" t="s">
        <v>412</v>
      </c>
      <c r="H3167" s="17">
        <v>25</v>
      </c>
      <c r="I3167" s="31">
        <f t="shared" si="306"/>
        <v>25000</v>
      </c>
      <c r="J3167" s="31">
        <f t="shared" si="307"/>
        <v>1750.0000000000002</v>
      </c>
      <c r="K3167" s="44">
        <f t="shared" si="308"/>
        <v>4.794520547945206</v>
      </c>
      <c r="L3167" s="3">
        <f t="shared" si="309"/>
        <v>354.79452054794524</v>
      </c>
      <c r="M3167" s="3">
        <f t="shared" si="310"/>
        <v>21.287671232876715</v>
      </c>
      <c r="N3167" s="67">
        <f t="shared" si="311"/>
        <v>333.50684931506851</v>
      </c>
      <c r="O3167" s="3"/>
      <c r="P3167" s="70" t="s">
        <v>18629</v>
      </c>
      <c r="Q3167" s="2" t="s">
        <v>283</v>
      </c>
      <c r="R3167" s="2" t="s">
        <v>9399</v>
      </c>
      <c r="U3167" t="s">
        <v>18653</v>
      </c>
      <c r="V3167" s="104">
        <v>45857</v>
      </c>
      <c r="W3167" t="s">
        <v>18658</v>
      </c>
      <c r="X3167" s="97"/>
      <c r="Y3167" s="75">
        <v>333.51</v>
      </c>
    </row>
    <row r="3168" spans="1:25" x14ac:dyDescent="0.25">
      <c r="A3168" s="76">
        <v>300</v>
      </c>
      <c r="B3168" s="2" t="s">
        <v>11969</v>
      </c>
      <c r="C3168" s="2" t="s">
        <v>11970</v>
      </c>
      <c r="D3168" s="2" t="s">
        <v>11960</v>
      </c>
      <c r="E3168" s="2" t="s">
        <v>11971</v>
      </c>
      <c r="F3168" s="2" t="s">
        <v>11972</v>
      </c>
      <c r="G3168" s="2" t="s">
        <v>1315</v>
      </c>
      <c r="H3168" s="17">
        <v>50</v>
      </c>
      <c r="I3168" s="31">
        <f t="shared" si="306"/>
        <v>50000</v>
      </c>
      <c r="J3168" s="31">
        <f t="shared" si="307"/>
        <v>3500.0000000000005</v>
      </c>
      <c r="K3168" s="44">
        <f t="shared" si="308"/>
        <v>9.589041095890412</v>
      </c>
      <c r="L3168" s="3">
        <f t="shared" si="309"/>
        <v>709.58904109589048</v>
      </c>
      <c r="M3168" s="3">
        <f t="shared" si="310"/>
        <v>42.57534246575343</v>
      </c>
      <c r="N3168" s="67">
        <f t="shared" si="311"/>
        <v>667.01369863013701</v>
      </c>
      <c r="O3168" s="3"/>
      <c r="P3168" s="70" t="s">
        <v>18608</v>
      </c>
      <c r="Q3168" s="2" t="s">
        <v>24</v>
      </c>
      <c r="R3168" s="2" t="s">
        <v>11973</v>
      </c>
      <c r="U3168" t="s">
        <v>18653</v>
      </c>
      <c r="V3168" s="104">
        <v>45857</v>
      </c>
      <c r="W3168" t="s">
        <v>18656</v>
      </c>
      <c r="X3168" s="97"/>
      <c r="Y3168" s="75">
        <v>667.02</v>
      </c>
    </row>
    <row r="3169" spans="1:25" x14ac:dyDescent="0.25">
      <c r="A3169" s="76">
        <v>301</v>
      </c>
      <c r="B3169" s="2" t="s">
        <v>13113</v>
      </c>
      <c r="C3169" s="2" t="s">
        <v>13114</v>
      </c>
      <c r="D3169" s="2" t="s">
        <v>13115</v>
      </c>
      <c r="E3169" s="2" t="s">
        <v>13116</v>
      </c>
      <c r="F3169" s="2" t="s">
        <v>13117</v>
      </c>
      <c r="G3169" s="2" t="s">
        <v>31</v>
      </c>
      <c r="H3169" s="17">
        <v>50</v>
      </c>
      <c r="I3169" s="31">
        <f t="shared" si="306"/>
        <v>50000</v>
      </c>
      <c r="J3169" s="31">
        <f t="shared" si="307"/>
        <v>3500.0000000000005</v>
      </c>
      <c r="K3169" s="44">
        <f t="shared" si="308"/>
        <v>9.589041095890412</v>
      </c>
      <c r="L3169" s="3">
        <f t="shared" si="309"/>
        <v>709.58904109589048</v>
      </c>
      <c r="M3169" s="3">
        <f t="shared" si="310"/>
        <v>42.57534246575343</v>
      </c>
      <c r="N3169" s="67">
        <f t="shared" si="311"/>
        <v>667.01369863013701</v>
      </c>
      <c r="O3169" s="3"/>
      <c r="P3169" s="70" t="s">
        <v>18612</v>
      </c>
      <c r="Q3169" s="2" t="s">
        <v>103</v>
      </c>
      <c r="R3169" s="2" t="s">
        <v>13118</v>
      </c>
      <c r="U3169" t="s">
        <v>18653</v>
      </c>
      <c r="V3169" s="104">
        <v>45857</v>
      </c>
      <c r="W3169" t="s">
        <v>18656</v>
      </c>
      <c r="X3169" s="97"/>
      <c r="Y3169" s="75">
        <v>667.02</v>
      </c>
    </row>
    <row r="3170" spans="1:25" x14ac:dyDescent="0.25">
      <c r="A3170" s="76">
        <v>263</v>
      </c>
      <c r="B3170" s="2" t="s">
        <v>8308</v>
      </c>
      <c r="C3170" s="2" t="s">
        <v>8309</v>
      </c>
      <c r="D3170" s="2" t="s">
        <v>8310</v>
      </c>
      <c r="E3170" s="2" t="s">
        <v>8311</v>
      </c>
      <c r="F3170" s="2" t="s">
        <v>8312</v>
      </c>
      <c r="G3170" s="2" t="s">
        <v>151</v>
      </c>
      <c r="H3170" s="17">
        <v>25</v>
      </c>
      <c r="I3170" s="31">
        <f t="shared" si="306"/>
        <v>25000</v>
      </c>
      <c r="J3170" s="31">
        <f t="shared" si="307"/>
        <v>1750.0000000000002</v>
      </c>
      <c r="K3170" s="44">
        <f t="shared" si="308"/>
        <v>4.794520547945206</v>
      </c>
      <c r="L3170" s="3">
        <f t="shared" si="309"/>
        <v>354.79452054794524</v>
      </c>
      <c r="M3170" s="3">
        <f t="shared" si="310"/>
        <v>21.287671232876715</v>
      </c>
      <c r="N3170" s="67">
        <f t="shared" si="311"/>
        <v>333.50684931506851</v>
      </c>
      <c r="O3170" s="3"/>
      <c r="P3170" s="70" t="s">
        <v>18628</v>
      </c>
      <c r="Q3170" s="2" t="s">
        <v>1117</v>
      </c>
      <c r="R3170" s="2" t="s">
        <v>8313</v>
      </c>
      <c r="U3170" t="s">
        <v>18653</v>
      </c>
      <c r="V3170" s="104">
        <v>45857</v>
      </c>
      <c r="W3170" t="s">
        <v>18656</v>
      </c>
      <c r="X3170" s="97"/>
      <c r="Y3170" s="75">
        <v>333.51</v>
      </c>
    </row>
    <row r="3171" spans="1:25" x14ac:dyDescent="0.25">
      <c r="A3171" s="76">
        <v>264</v>
      </c>
      <c r="B3171" s="2" t="s">
        <v>14412</v>
      </c>
      <c r="C3171" s="2" t="s">
        <v>14413</v>
      </c>
      <c r="D3171" s="2" t="s">
        <v>14414</v>
      </c>
      <c r="E3171" s="2" t="s">
        <v>14415</v>
      </c>
      <c r="F3171" s="2" t="s">
        <v>14416</v>
      </c>
      <c r="G3171" s="2" t="s">
        <v>799</v>
      </c>
      <c r="H3171" s="17">
        <v>200</v>
      </c>
      <c r="I3171" s="31">
        <f t="shared" si="306"/>
        <v>200000</v>
      </c>
      <c r="J3171" s="31">
        <f t="shared" si="307"/>
        <v>14000.000000000002</v>
      </c>
      <c r="K3171" s="44">
        <f t="shared" si="308"/>
        <v>38.356164383561648</v>
      </c>
      <c r="L3171" s="3">
        <f t="shared" si="309"/>
        <v>2838.3561643835619</v>
      </c>
      <c r="M3171" s="3">
        <f t="shared" si="310"/>
        <v>170.30136986301372</v>
      </c>
      <c r="N3171" s="67">
        <f t="shared" si="311"/>
        <v>2668.0547945205481</v>
      </c>
      <c r="O3171" s="3"/>
      <c r="P3171" s="70" t="s">
        <v>18605</v>
      </c>
      <c r="Q3171" s="2" t="s">
        <v>47</v>
      </c>
      <c r="R3171" s="2" t="s">
        <v>14417</v>
      </c>
      <c r="U3171" t="s">
        <v>18653</v>
      </c>
      <c r="V3171" s="104">
        <v>45857</v>
      </c>
      <c r="W3171" t="s">
        <v>18656</v>
      </c>
      <c r="X3171" s="97"/>
      <c r="Y3171" s="75">
        <v>2668.0600000000004</v>
      </c>
    </row>
    <row r="3172" spans="1:25" x14ac:dyDescent="0.25">
      <c r="A3172" s="76">
        <v>302</v>
      </c>
      <c r="B3172" s="2" t="s">
        <v>16739</v>
      </c>
      <c r="C3172" s="2" t="s">
        <v>16740</v>
      </c>
      <c r="D3172" s="2" t="s">
        <v>16741</v>
      </c>
      <c r="E3172" s="2" t="s">
        <v>16742</v>
      </c>
      <c r="F3172" s="2" t="s">
        <v>16743</v>
      </c>
      <c r="G3172" s="2" t="s">
        <v>524</v>
      </c>
      <c r="H3172" s="17">
        <v>25</v>
      </c>
      <c r="I3172" s="31">
        <f t="shared" si="306"/>
        <v>25000</v>
      </c>
      <c r="J3172" s="31">
        <f t="shared" si="307"/>
        <v>1750.0000000000002</v>
      </c>
      <c r="K3172" s="44">
        <f t="shared" si="308"/>
        <v>4.794520547945206</v>
      </c>
      <c r="L3172" s="3">
        <f t="shared" si="309"/>
        <v>354.79452054794524</v>
      </c>
      <c r="M3172" s="3">
        <f t="shared" si="310"/>
        <v>21.287671232876715</v>
      </c>
      <c r="N3172" s="67">
        <f t="shared" si="311"/>
        <v>333.50684931506851</v>
      </c>
      <c r="O3172" s="3"/>
      <c r="P3172" s="70" t="s">
        <v>18597</v>
      </c>
      <c r="Q3172" s="2" t="s">
        <v>349</v>
      </c>
      <c r="R3172" s="2" t="s">
        <v>16744</v>
      </c>
      <c r="U3172" t="s">
        <v>18653</v>
      </c>
      <c r="V3172" s="104">
        <v>45857</v>
      </c>
      <c r="W3172" t="s">
        <v>18657</v>
      </c>
      <c r="X3172" s="97"/>
      <c r="Y3172" s="75">
        <v>333.51</v>
      </c>
    </row>
    <row r="3173" spans="1:25" x14ac:dyDescent="0.25">
      <c r="A3173" s="76">
        <v>303</v>
      </c>
      <c r="B3173" s="2" t="s">
        <v>4517</v>
      </c>
      <c r="C3173" s="2" t="s">
        <v>4518</v>
      </c>
      <c r="D3173" s="2" t="s">
        <v>4519</v>
      </c>
      <c r="E3173" s="2" t="s">
        <v>4520</v>
      </c>
      <c r="F3173" s="2" t="s">
        <v>4521</v>
      </c>
      <c r="G3173" s="2" t="s">
        <v>412</v>
      </c>
      <c r="H3173" s="17">
        <v>25</v>
      </c>
      <c r="I3173" s="31">
        <f t="shared" si="306"/>
        <v>25000</v>
      </c>
      <c r="J3173" s="31">
        <f t="shared" si="307"/>
        <v>1750.0000000000002</v>
      </c>
      <c r="K3173" s="44">
        <f t="shared" si="308"/>
        <v>4.794520547945206</v>
      </c>
      <c r="L3173" s="3">
        <f t="shared" si="309"/>
        <v>354.79452054794524</v>
      </c>
      <c r="M3173" s="3">
        <f t="shared" si="310"/>
        <v>21.287671232876715</v>
      </c>
      <c r="N3173" s="67">
        <f t="shared" si="311"/>
        <v>333.50684931506851</v>
      </c>
      <c r="O3173" s="3"/>
      <c r="P3173" s="70" t="s">
        <v>18597</v>
      </c>
      <c r="Q3173" s="2" t="s">
        <v>349</v>
      </c>
      <c r="R3173" s="2" t="s">
        <v>4522</v>
      </c>
      <c r="U3173" t="s">
        <v>18653</v>
      </c>
      <c r="V3173" s="104">
        <v>45857</v>
      </c>
      <c r="W3173" t="s">
        <v>18657</v>
      </c>
      <c r="X3173" s="97"/>
      <c r="Y3173" s="75">
        <v>333.51</v>
      </c>
    </row>
    <row r="3174" spans="1:25" x14ac:dyDescent="0.25">
      <c r="P3174"/>
    </row>
    <row r="3175" spans="1:25" s="97" customFormat="1" x14ac:dyDescent="0.25"/>
    <row r="3176" spans="1:25" x14ac:dyDescent="0.25">
      <c r="P3176"/>
    </row>
    <row r="3177" spans="1:25" x14ac:dyDescent="0.25">
      <c r="P3177"/>
    </row>
    <row r="3178" spans="1:25" x14ac:dyDescent="0.25">
      <c r="A3178" s="76">
        <v>1166</v>
      </c>
      <c r="B3178" s="2" t="s">
        <v>4069</v>
      </c>
      <c r="C3178" s="2" t="s">
        <v>4070</v>
      </c>
      <c r="D3178" s="2" t="s">
        <v>4071</v>
      </c>
      <c r="E3178" s="2" t="s">
        <v>4072</v>
      </c>
      <c r="F3178" s="2" t="s">
        <v>4073</v>
      </c>
      <c r="G3178" s="2" t="s">
        <v>2137</v>
      </c>
      <c r="H3178" s="17">
        <v>25</v>
      </c>
      <c r="I3178" s="31">
        <f>H3178*1000</f>
        <v>25000</v>
      </c>
      <c r="J3178" s="31">
        <f>I3178*7%</f>
        <v>1750.0000000000002</v>
      </c>
      <c r="K3178" s="44">
        <f>J3178/365</f>
        <v>4.794520547945206</v>
      </c>
      <c r="L3178" s="3">
        <f>K3178*74</f>
        <v>354.79452054794524</v>
      </c>
      <c r="M3178" s="3">
        <f>L3178*6%</f>
        <v>21.287671232876715</v>
      </c>
      <c r="N3178" s="67">
        <f>L3178-M3178</f>
        <v>333.50684931506851</v>
      </c>
      <c r="O3178" s="3"/>
      <c r="P3178" s="70" t="s">
        <v>18628</v>
      </c>
      <c r="Q3178" s="2" t="s">
        <v>1117</v>
      </c>
      <c r="R3178" s="2" t="s">
        <v>4074</v>
      </c>
      <c r="U3178" t="s">
        <v>18659</v>
      </c>
      <c r="V3178" s="104">
        <v>45857</v>
      </c>
      <c r="W3178" t="s">
        <v>18660</v>
      </c>
      <c r="X3178" s="97"/>
      <c r="Y3178" s="75">
        <v>333.51</v>
      </c>
    </row>
    <row r="3179" spans="1:25" s="97" customFormat="1" x14ac:dyDescent="0.25"/>
    <row r="3180" spans="1:25" x14ac:dyDescent="0.25">
      <c r="P3180"/>
    </row>
    <row r="3181" spans="1:25" x14ac:dyDescent="0.25">
      <c r="A3181" s="69"/>
      <c r="B3181" s="18" t="s">
        <v>18481</v>
      </c>
      <c r="C3181" s="18"/>
      <c r="D3181" s="18"/>
      <c r="E3181" s="18"/>
      <c r="F3181" s="18"/>
      <c r="G3181" s="18"/>
      <c r="H3181" s="4">
        <v>273145</v>
      </c>
      <c r="I3181" s="4">
        <f>SUM(I258:I3180)</f>
        <v>249209000</v>
      </c>
      <c r="J3181" s="4">
        <f>SUM(J258:J3180)</f>
        <v>17444630</v>
      </c>
      <c r="K3181" s="45">
        <f>SUM(K258:K3180)</f>
        <v>47793.506849315781</v>
      </c>
      <c r="L3181" s="45">
        <f>SUM(L258:L3180)</f>
        <v>3536719.5068493462</v>
      </c>
      <c r="M3181" s="45">
        <f>SUM(M258:M3180)</f>
        <v>212203.17041096577</v>
      </c>
      <c r="N3181" s="68">
        <f>SUM(N6:N3180)</f>
        <v>3643829.1342464294</v>
      </c>
      <c r="O3181" s="45"/>
      <c r="P3181" s="70"/>
      <c r="Q3181" s="18"/>
      <c r="R3181" s="18"/>
      <c r="S3181" s="105"/>
      <c r="T3181" s="105"/>
      <c r="Y3181" s="99">
        <f>SUM(Y258:Y3180)</f>
        <v>3324526.6599998386</v>
      </c>
    </row>
  </sheetData>
  <sortState xmlns:xlrd2="http://schemas.microsoft.com/office/spreadsheetml/2017/richdata2" ref="B257:AF3173">
    <sortCondition ref="AF257:AF3173"/>
  </sortState>
  <phoneticPr fontId="8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31"/>
  <sheetViews>
    <sheetView topLeftCell="A7" zoomScaleNormal="100" workbookViewId="0">
      <pane ySplit="1" topLeftCell="A8" activePane="bottomLeft" state="frozen"/>
      <selection activeCell="A7" sqref="A7"/>
      <selection pane="bottomLeft" activeCell="J8" sqref="J8:J9"/>
    </sheetView>
  </sheetViews>
  <sheetFormatPr defaultRowHeight="15" x14ac:dyDescent="0.25"/>
  <cols>
    <col min="1" max="1" width="5.42578125" bestFit="1" customWidth="1"/>
    <col min="2" max="2" width="17.28515625" bestFit="1" customWidth="1"/>
    <col min="3" max="3" width="44.5703125" bestFit="1" customWidth="1"/>
    <col min="4" max="4" width="13.28515625" hidden="1" customWidth="1"/>
    <col min="5" max="5" width="16.85546875" bestFit="1" customWidth="1"/>
    <col min="6" max="11" width="16.85546875" customWidth="1"/>
    <col min="12" max="12" width="10.28515625" style="66" bestFit="1" customWidth="1"/>
    <col min="13" max="13" width="30.85546875" customWidth="1"/>
    <col min="14" max="14" width="22.85546875" bestFit="1" customWidth="1"/>
    <col min="15" max="15" width="11.140625" customWidth="1"/>
    <col min="16" max="16" width="14" bestFit="1" customWidth="1"/>
    <col min="17" max="17" width="12.42578125" customWidth="1"/>
    <col min="18" max="18" width="17.140625" customWidth="1"/>
    <col min="19" max="19" width="18.42578125" customWidth="1"/>
  </cols>
  <sheetData>
    <row r="1" spans="1:19" ht="21" customHeight="1" x14ac:dyDescent="0.35">
      <c r="A1" s="114" t="s">
        <v>18482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6"/>
      <c r="O1" s="94"/>
    </row>
    <row r="2" spans="1:19" ht="15" customHeight="1" x14ac:dyDescent="0.25">
      <c r="A2" s="117" t="s">
        <v>18483</v>
      </c>
      <c r="B2" s="118"/>
      <c r="C2" s="118"/>
      <c r="D2" s="118"/>
      <c r="E2" s="118"/>
      <c r="F2" s="118"/>
      <c r="G2" s="118"/>
      <c r="H2" s="118"/>
      <c r="I2" s="118"/>
      <c r="J2" s="118"/>
      <c r="K2" s="118"/>
      <c r="L2" s="118"/>
      <c r="M2" s="118"/>
      <c r="N2" s="119"/>
      <c r="O2" s="95"/>
    </row>
    <row r="3" spans="1:19" ht="15" customHeight="1" x14ac:dyDescent="0.25">
      <c r="A3" s="23"/>
      <c r="B3" s="24"/>
      <c r="C3" s="24"/>
      <c r="D3" s="24"/>
      <c r="E3" s="24"/>
      <c r="F3" s="24"/>
      <c r="G3" s="24"/>
      <c r="H3" s="24"/>
      <c r="I3" s="24"/>
      <c r="J3" s="34" t="s">
        <v>18578</v>
      </c>
      <c r="K3" s="34"/>
      <c r="L3" s="62"/>
      <c r="M3" s="46">
        <v>45781</v>
      </c>
      <c r="N3" s="25"/>
      <c r="O3" s="95"/>
    </row>
    <row r="4" spans="1:19" ht="15" customHeight="1" x14ac:dyDescent="0.25">
      <c r="A4" s="23"/>
      <c r="B4" s="24"/>
      <c r="C4" s="24"/>
      <c r="D4" s="24"/>
      <c r="E4" s="24"/>
      <c r="F4" s="24"/>
      <c r="G4" s="24"/>
      <c r="H4" s="24"/>
      <c r="I4" s="24"/>
      <c r="J4" s="34" t="s">
        <v>18579</v>
      </c>
      <c r="K4" s="34"/>
      <c r="L4" s="62"/>
      <c r="M4" s="46">
        <v>45854</v>
      </c>
      <c r="N4" s="25"/>
      <c r="O4" s="95"/>
    </row>
    <row r="5" spans="1:19" ht="15" customHeight="1" x14ac:dyDescent="0.25">
      <c r="A5" s="23"/>
      <c r="B5" s="24"/>
      <c r="C5" s="24"/>
      <c r="D5" s="24"/>
      <c r="E5" s="24"/>
      <c r="F5" s="24"/>
      <c r="G5" s="24"/>
      <c r="H5" s="24"/>
      <c r="I5" s="24"/>
      <c r="J5" s="34" t="s">
        <v>18580</v>
      </c>
      <c r="K5" s="34"/>
      <c r="L5" s="62"/>
      <c r="M5" s="47">
        <f>M4-M3+1</f>
        <v>74</v>
      </c>
      <c r="N5" s="25"/>
      <c r="O5" s="95"/>
    </row>
    <row r="6" spans="1:19" ht="15" customHeight="1" x14ac:dyDescent="0.25">
      <c r="A6" s="23"/>
      <c r="B6" s="24"/>
      <c r="C6" s="24"/>
      <c r="D6" s="24"/>
      <c r="E6" s="24"/>
      <c r="F6" s="24"/>
      <c r="G6" s="24"/>
      <c r="H6" s="24"/>
      <c r="I6" s="24"/>
      <c r="J6" s="24"/>
      <c r="K6" s="24"/>
      <c r="L6" s="63"/>
      <c r="M6" s="24"/>
      <c r="N6" s="25"/>
      <c r="O6" s="95"/>
    </row>
    <row r="7" spans="1:19" ht="30" x14ac:dyDescent="0.25">
      <c r="A7" s="35" t="s">
        <v>7</v>
      </c>
      <c r="B7" s="36" t="s">
        <v>8</v>
      </c>
      <c r="C7" s="35" t="s">
        <v>18484</v>
      </c>
      <c r="D7" s="35" t="s">
        <v>18486</v>
      </c>
      <c r="E7" s="35" t="s">
        <v>18487</v>
      </c>
      <c r="F7" s="35" t="s">
        <v>18581</v>
      </c>
      <c r="G7" s="35" t="s">
        <v>18582</v>
      </c>
      <c r="H7" s="35" t="s">
        <v>18583</v>
      </c>
      <c r="I7" s="35" t="s">
        <v>18588</v>
      </c>
      <c r="J7" s="35" t="s">
        <v>18584</v>
      </c>
      <c r="K7" s="35"/>
      <c r="L7" s="36" t="s">
        <v>18611</v>
      </c>
      <c r="M7" s="37" t="s">
        <v>18488</v>
      </c>
      <c r="N7" s="37" t="s">
        <v>18489</v>
      </c>
      <c r="O7" s="96"/>
      <c r="P7" s="41" t="s">
        <v>18644</v>
      </c>
      <c r="Q7" s="35" t="s">
        <v>18645</v>
      </c>
      <c r="R7" s="35"/>
      <c r="S7" s="41" t="s">
        <v>18643</v>
      </c>
    </row>
    <row r="8" spans="1:19" ht="15.75" customHeight="1" x14ac:dyDescent="0.25">
      <c r="A8" s="5">
        <v>1</v>
      </c>
      <c r="B8" s="78" t="s">
        <v>18549</v>
      </c>
      <c r="C8" s="79" t="s">
        <v>18550</v>
      </c>
      <c r="D8" s="80">
        <v>4835</v>
      </c>
      <c r="E8" s="80">
        <f>D8*1000</f>
        <v>4835000</v>
      </c>
      <c r="F8" s="81">
        <f>E8*7%</f>
        <v>338450.00000000006</v>
      </c>
      <c r="G8" s="81">
        <f>F8/365</f>
        <v>927.26027397260293</v>
      </c>
      <c r="H8" s="81">
        <f>G8*74</f>
        <v>68617.260273972614</v>
      </c>
      <c r="I8" s="81">
        <f>H8*15%</f>
        <v>10292.589041095891</v>
      </c>
      <c r="J8" s="81">
        <f>H8-I8</f>
        <v>58324.671232876724</v>
      </c>
      <c r="K8" s="81"/>
      <c r="L8" s="82" t="s">
        <v>18609</v>
      </c>
      <c r="M8" s="81" t="s">
        <v>18496</v>
      </c>
      <c r="N8" s="83" t="s">
        <v>18551</v>
      </c>
      <c r="O8" s="92"/>
      <c r="P8" s="84" t="s">
        <v>18652</v>
      </c>
      <c r="Q8" s="104">
        <v>45856</v>
      </c>
      <c r="R8" s="75">
        <f>ROUNDUP(J8,2)</f>
        <v>58324.68</v>
      </c>
    </row>
    <row r="9" spans="1:19" ht="14.25" customHeight="1" x14ac:dyDescent="0.25">
      <c r="A9" s="5">
        <v>2</v>
      </c>
      <c r="B9" s="78" t="s">
        <v>18552</v>
      </c>
      <c r="C9" s="79" t="s">
        <v>18553</v>
      </c>
      <c r="D9" s="80">
        <v>24176</v>
      </c>
      <c r="E9" s="80">
        <f>D9*1000</f>
        <v>24176000</v>
      </c>
      <c r="F9" s="81">
        <f>E9*7%</f>
        <v>1692320.0000000002</v>
      </c>
      <c r="G9" s="81">
        <f>F9/365</f>
        <v>4636.4931506849325</v>
      </c>
      <c r="H9" s="81">
        <f>G9*74</f>
        <v>343100.49315068498</v>
      </c>
      <c r="I9" s="81">
        <f>H9*15%</f>
        <v>51465.073972602746</v>
      </c>
      <c r="J9" s="81">
        <f>H9-I9</f>
        <v>291635.41917808226</v>
      </c>
      <c r="K9" s="81"/>
      <c r="L9" s="82" t="s">
        <v>18609</v>
      </c>
      <c r="M9" s="81" t="s">
        <v>18496</v>
      </c>
      <c r="N9" s="83" t="s">
        <v>18554</v>
      </c>
      <c r="O9" s="92"/>
      <c r="P9" s="84" t="s">
        <v>18652</v>
      </c>
      <c r="Q9" s="104">
        <v>45856</v>
      </c>
      <c r="R9" s="75">
        <f t="shared" ref="R9:R30" si="0">ROUNDUP(J9,2)</f>
        <v>291635.42</v>
      </c>
    </row>
    <row r="10" spans="1:19" ht="14.25" customHeight="1" x14ac:dyDescent="0.25">
      <c r="A10" s="5"/>
      <c r="B10" s="6"/>
      <c r="C10" s="7"/>
      <c r="D10" s="8"/>
      <c r="E10" s="8"/>
      <c r="F10" s="48"/>
      <c r="G10" s="48"/>
      <c r="H10" s="48"/>
      <c r="I10" s="48"/>
      <c r="J10" s="48"/>
      <c r="K10" s="48"/>
      <c r="L10" s="64"/>
      <c r="M10" s="9"/>
      <c r="N10" s="10"/>
      <c r="O10" s="92"/>
      <c r="R10" s="75"/>
    </row>
    <row r="11" spans="1:19" ht="14.25" customHeight="1" x14ac:dyDescent="0.25">
      <c r="A11" s="5"/>
      <c r="B11" s="6"/>
      <c r="C11" s="7"/>
      <c r="D11" s="8"/>
      <c r="E11" s="8"/>
      <c r="F11" s="48"/>
      <c r="G11" s="48"/>
      <c r="H11" s="48"/>
      <c r="I11" s="48"/>
      <c r="J11" s="48"/>
      <c r="K11" s="48"/>
      <c r="L11" s="64"/>
      <c r="M11" s="9"/>
      <c r="N11" s="10"/>
      <c r="O11" s="92"/>
      <c r="R11" s="75"/>
    </row>
    <row r="12" spans="1:19" ht="15" customHeight="1" x14ac:dyDescent="0.25">
      <c r="A12" s="5">
        <v>3</v>
      </c>
      <c r="B12" s="78" t="s">
        <v>18490</v>
      </c>
      <c r="C12" s="79" t="s">
        <v>18491</v>
      </c>
      <c r="D12" s="80">
        <v>12088</v>
      </c>
      <c r="E12" s="80">
        <f t="shared" ref="E12:E30" si="1">D12*1000</f>
        <v>12088000</v>
      </c>
      <c r="F12" s="81">
        <f t="shared" ref="F12:F30" si="2">E12*7%</f>
        <v>846160.00000000012</v>
      </c>
      <c r="G12" s="81">
        <f t="shared" ref="G12:G30" si="3">F12/365</f>
        <v>2318.2465753424663</v>
      </c>
      <c r="H12" s="81">
        <f t="shared" ref="H12:H30" si="4">G12*74</f>
        <v>171550.24657534249</v>
      </c>
      <c r="I12" s="81">
        <f t="shared" ref="I12:I30" si="5">H12*15%</f>
        <v>25732.536986301373</v>
      </c>
      <c r="J12" s="81">
        <f t="shared" ref="J12:J30" si="6">H12-I12</f>
        <v>145817.70958904113</v>
      </c>
      <c r="K12" s="81"/>
      <c r="L12" s="85" t="s">
        <v>18615</v>
      </c>
      <c r="M12" s="86" t="s">
        <v>18492</v>
      </c>
      <c r="N12" s="83" t="s">
        <v>18493</v>
      </c>
      <c r="O12" s="92"/>
      <c r="P12" t="s">
        <v>18652</v>
      </c>
      <c r="Q12" s="104">
        <v>45856</v>
      </c>
      <c r="R12" s="75">
        <f t="shared" si="0"/>
        <v>145817.71000000002</v>
      </c>
    </row>
    <row r="13" spans="1:19" ht="15.75" customHeight="1" x14ac:dyDescent="0.25">
      <c r="A13" s="5">
        <v>4</v>
      </c>
      <c r="B13" s="78" t="s">
        <v>18502</v>
      </c>
      <c r="C13" s="79" t="s">
        <v>18503</v>
      </c>
      <c r="D13" s="80">
        <v>84616</v>
      </c>
      <c r="E13" s="80">
        <f t="shared" si="1"/>
        <v>84616000</v>
      </c>
      <c r="F13" s="81">
        <f t="shared" si="2"/>
        <v>5923120.0000000009</v>
      </c>
      <c r="G13" s="81">
        <f t="shared" si="3"/>
        <v>16227.726027397262</v>
      </c>
      <c r="H13" s="81">
        <f t="shared" si="4"/>
        <v>1200851.7260273974</v>
      </c>
      <c r="I13" s="81">
        <f t="shared" si="5"/>
        <v>180127.75890410962</v>
      </c>
      <c r="J13" s="81">
        <f t="shared" si="6"/>
        <v>1020723.9671232878</v>
      </c>
      <c r="K13" s="81"/>
      <c r="L13" s="85" t="s">
        <v>18615</v>
      </c>
      <c r="M13" s="87" t="s">
        <v>18492</v>
      </c>
      <c r="N13" s="83" t="s">
        <v>18504</v>
      </c>
      <c r="O13" s="92"/>
      <c r="P13" t="s">
        <v>18652</v>
      </c>
      <c r="Q13" s="104">
        <v>45856</v>
      </c>
      <c r="R13" s="75">
        <f t="shared" si="0"/>
        <v>1020723.97</v>
      </c>
    </row>
    <row r="14" spans="1:19" ht="14.25" customHeight="1" x14ac:dyDescent="0.25">
      <c r="A14" s="5">
        <v>5</v>
      </c>
      <c r="B14" s="78" t="s">
        <v>18509</v>
      </c>
      <c r="C14" s="79" t="s">
        <v>18510</v>
      </c>
      <c r="D14" s="80">
        <v>1451</v>
      </c>
      <c r="E14" s="80">
        <f t="shared" si="1"/>
        <v>1451000</v>
      </c>
      <c r="F14" s="81">
        <f t="shared" si="2"/>
        <v>101570.00000000001</v>
      </c>
      <c r="G14" s="81">
        <f t="shared" si="3"/>
        <v>278.27397260273978</v>
      </c>
      <c r="H14" s="81">
        <f t="shared" si="4"/>
        <v>20592.273972602743</v>
      </c>
      <c r="I14" s="81">
        <f t="shared" si="5"/>
        <v>3088.8410958904115</v>
      </c>
      <c r="J14" s="81">
        <f t="shared" si="6"/>
        <v>17503.43287671233</v>
      </c>
      <c r="K14" s="81"/>
      <c r="L14" s="85" t="s">
        <v>18615</v>
      </c>
      <c r="M14" s="87" t="s">
        <v>18492</v>
      </c>
      <c r="N14" s="83" t="s">
        <v>18511</v>
      </c>
      <c r="O14" s="92"/>
      <c r="P14" t="s">
        <v>18652</v>
      </c>
      <c r="Q14" s="104">
        <v>45856</v>
      </c>
      <c r="R14" s="75">
        <f t="shared" si="0"/>
        <v>17503.439999999999</v>
      </c>
    </row>
    <row r="15" spans="1:19" ht="13.5" customHeight="1" x14ac:dyDescent="0.25">
      <c r="A15" s="5">
        <v>6</v>
      </c>
      <c r="B15" s="78" t="s">
        <v>18531</v>
      </c>
      <c r="C15" s="79" t="s">
        <v>18532</v>
      </c>
      <c r="D15" s="80">
        <v>16923</v>
      </c>
      <c r="E15" s="80">
        <f t="shared" si="1"/>
        <v>16923000</v>
      </c>
      <c r="F15" s="81">
        <f t="shared" si="2"/>
        <v>1184610</v>
      </c>
      <c r="G15" s="81">
        <f t="shared" si="3"/>
        <v>3245.5068493150684</v>
      </c>
      <c r="H15" s="81">
        <f t="shared" si="4"/>
        <v>240167.50684931508</v>
      </c>
      <c r="I15" s="81">
        <f t="shared" si="5"/>
        <v>36025.126027397258</v>
      </c>
      <c r="J15" s="81">
        <f t="shared" si="6"/>
        <v>204142.38082191782</v>
      </c>
      <c r="K15" s="81"/>
      <c r="L15" s="85" t="s">
        <v>18615</v>
      </c>
      <c r="M15" s="81" t="s">
        <v>18492</v>
      </c>
      <c r="N15" s="83" t="s">
        <v>18533</v>
      </c>
      <c r="O15" s="92"/>
      <c r="P15" t="s">
        <v>18652</v>
      </c>
      <c r="Q15" s="104">
        <v>45856</v>
      </c>
      <c r="R15" s="75">
        <f t="shared" si="0"/>
        <v>204142.39</v>
      </c>
    </row>
    <row r="16" spans="1:19" ht="14.25" customHeight="1" x14ac:dyDescent="0.25">
      <c r="A16" s="5">
        <v>7</v>
      </c>
      <c r="B16" s="88" t="s">
        <v>16342</v>
      </c>
      <c r="C16" s="88" t="s">
        <v>16343</v>
      </c>
      <c r="D16" s="89">
        <v>50000</v>
      </c>
      <c r="E16" s="80">
        <f t="shared" si="1"/>
        <v>50000000</v>
      </c>
      <c r="F16" s="81">
        <f t="shared" si="2"/>
        <v>3500000.0000000005</v>
      </c>
      <c r="G16" s="81">
        <f t="shared" si="3"/>
        <v>9589.0410958904122</v>
      </c>
      <c r="H16" s="81">
        <f t="shared" si="4"/>
        <v>709589.04109589045</v>
      </c>
      <c r="I16" s="81">
        <f t="shared" si="5"/>
        <v>106438.35616438357</v>
      </c>
      <c r="J16" s="81">
        <f t="shared" si="6"/>
        <v>603150.68493150687</v>
      </c>
      <c r="K16" s="81"/>
      <c r="L16" s="85" t="s">
        <v>18615</v>
      </c>
      <c r="M16" s="88" t="s">
        <v>40</v>
      </c>
      <c r="N16" s="88" t="s">
        <v>16344</v>
      </c>
      <c r="P16" t="s">
        <v>18652</v>
      </c>
      <c r="Q16" s="104">
        <v>45856</v>
      </c>
      <c r="R16" s="75">
        <f t="shared" si="0"/>
        <v>603150.69000000006</v>
      </c>
    </row>
    <row r="17" spans="1:19" ht="13.5" customHeight="1" x14ac:dyDescent="0.25">
      <c r="A17" s="5">
        <v>8</v>
      </c>
      <c r="B17" s="88" t="s">
        <v>17780</v>
      </c>
      <c r="C17" s="88" t="s">
        <v>17781</v>
      </c>
      <c r="D17" s="89">
        <v>192118</v>
      </c>
      <c r="E17" s="80">
        <f t="shared" si="1"/>
        <v>192118000</v>
      </c>
      <c r="F17" s="81">
        <f t="shared" si="2"/>
        <v>13448260.000000002</v>
      </c>
      <c r="G17" s="81">
        <f t="shared" si="3"/>
        <v>36844.547945205486</v>
      </c>
      <c r="H17" s="81">
        <f t="shared" si="4"/>
        <v>2726496.5479452061</v>
      </c>
      <c r="I17" s="81">
        <f t="shared" si="5"/>
        <v>408974.48219178087</v>
      </c>
      <c r="J17" s="81">
        <f t="shared" si="6"/>
        <v>2317522.065753425</v>
      </c>
      <c r="K17" s="81"/>
      <c r="L17" s="82" t="s">
        <v>18597</v>
      </c>
      <c r="M17" s="88" t="s">
        <v>349</v>
      </c>
      <c r="N17" s="88" t="s">
        <v>17782</v>
      </c>
      <c r="P17" t="s">
        <v>18652</v>
      </c>
      <c r="Q17" s="104">
        <v>45856</v>
      </c>
      <c r="R17" s="75">
        <f t="shared" si="0"/>
        <v>2317522.0699999998</v>
      </c>
    </row>
    <row r="18" spans="1:19" ht="15.75" customHeight="1" x14ac:dyDescent="0.25">
      <c r="A18" s="5">
        <v>9</v>
      </c>
      <c r="B18" s="78" t="s">
        <v>18546</v>
      </c>
      <c r="C18" s="79" t="s">
        <v>18547</v>
      </c>
      <c r="D18" s="80">
        <v>29011</v>
      </c>
      <c r="E18" s="80">
        <f t="shared" si="1"/>
        <v>29011000</v>
      </c>
      <c r="F18" s="81">
        <f t="shared" si="2"/>
        <v>2030770.0000000002</v>
      </c>
      <c r="G18" s="81">
        <f t="shared" si="3"/>
        <v>5563.7534246575351</v>
      </c>
      <c r="H18" s="81">
        <f t="shared" si="4"/>
        <v>411717.75342465763</v>
      </c>
      <c r="I18" s="81">
        <f t="shared" si="5"/>
        <v>61757.663013698642</v>
      </c>
      <c r="J18" s="81">
        <f t="shared" si="6"/>
        <v>349960.09041095898</v>
      </c>
      <c r="K18" s="81"/>
      <c r="L18" s="82">
        <v>1601</v>
      </c>
      <c r="M18" s="81" t="s">
        <v>18500</v>
      </c>
      <c r="N18" s="83" t="s">
        <v>18548</v>
      </c>
      <c r="O18" s="92"/>
      <c r="P18" t="s">
        <v>18652</v>
      </c>
      <c r="Q18" s="104">
        <v>45856</v>
      </c>
      <c r="R18" s="75">
        <f t="shared" si="0"/>
        <v>349960.10000000003</v>
      </c>
    </row>
    <row r="19" spans="1:19" ht="15.75" customHeight="1" x14ac:dyDescent="0.25">
      <c r="A19" s="5">
        <v>10</v>
      </c>
      <c r="B19" s="78" t="s">
        <v>18555</v>
      </c>
      <c r="C19" s="79" t="s">
        <v>18556</v>
      </c>
      <c r="D19" s="80">
        <v>362641</v>
      </c>
      <c r="E19" s="80">
        <f t="shared" si="1"/>
        <v>362641000</v>
      </c>
      <c r="F19" s="81">
        <f t="shared" si="2"/>
        <v>25384870.000000004</v>
      </c>
      <c r="G19" s="81">
        <f t="shared" si="3"/>
        <v>69547.589041095896</v>
      </c>
      <c r="H19" s="81">
        <f t="shared" si="4"/>
        <v>5146521.5890410962</v>
      </c>
      <c r="I19" s="81">
        <f t="shared" si="5"/>
        <v>771978.23835616442</v>
      </c>
      <c r="J19" s="81">
        <f t="shared" si="6"/>
        <v>4374543.3506849315</v>
      </c>
      <c r="K19" s="81"/>
      <c r="L19" s="82" t="s">
        <v>18614</v>
      </c>
      <c r="M19" s="81" t="s">
        <v>18557</v>
      </c>
      <c r="N19" s="83" t="s">
        <v>18558</v>
      </c>
      <c r="O19" s="92"/>
      <c r="P19" t="s">
        <v>18652</v>
      </c>
      <c r="Q19" s="104">
        <v>45856</v>
      </c>
      <c r="R19" s="75">
        <f t="shared" si="0"/>
        <v>4374543.3599999994</v>
      </c>
    </row>
    <row r="20" spans="1:19" ht="14.25" customHeight="1" x14ac:dyDescent="0.25">
      <c r="A20" s="5">
        <v>11</v>
      </c>
      <c r="B20" s="88" t="s">
        <v>17753</v>
      </c>
      <c r="C20" s="88" t="s">
        <v>17754</v>
      </c>
      <c r="D20" s="89">
        <v>50000</v>
      </c>
      <c r="E20" s="80">
        <f t="shared" si="1"/>
        <v>50000000</v>
      </c>
      <c r="F20" s="81">
        <f t="shared" si="2"/>
        <v>3500000.0000000005</v>
      </c>
      <c r="G20" s="81">
        <f t="shared" si="3"/>
        <v>9589.0410958904122</v>
      </c>
      <c r="H20" s="81">
        <f t="shared" si="4"/>
        <v>709589.04109589045</v>
      </c>
      <c r="I20" s="81">
        <f t="shared" si="5"/>
        <v>106438.35616438357</v>
      </c>
      <c r="J20" s="81">
        <f t="shared" si="6"/>
        <v>603150.68493150687</v>
      </c>
      <c r="K20" s="81"/>
      <c r="L20" s="82" t="s">
        <v>18614</v>
      </c>
      <c r="M20" s="81" t="s">
        <v>137</v>
      </c>
      <c r="N20" s="88" t="s">
        <v>17755</v>
      </c>
      <c r="P20" t="s">
        <v>18652</v>
      </c>
      <c r="Q20" s="104">
        <v>45856</v>
      </c>
      <c r="R20" s="75">
        <f t="shared" si="0"/>
        <v>603150.69000000006</v>
      </c>
    </row>
    <row r="21" spans="1:19" ht="15" customHeight="1" x14ac:dyDescent="0.25">
      <c r="A21" s="5">
        <v>12</v>
      </c>
      <c r="B21" s="78" t="s">
        <v>18505</v>
      </c>
      <c r="C21" s="79" t="s">
        <v>18506</v>
      </c>
      <c r="D21" s="80">
        <v>4835</v>
      </c>
      <c r="E21" s="80">
        <f t="shared" si="1"/>
        <v>4835000</v>
      </c>
      <c r="F21" s="81">
        <f t="shared" si="2"/>
        <v>338450.00000000006</v>
      </c>
      <c r="G21" s="81">
        <f t="shared" si="3"/>
        <v>927.26027397260293</v>
      </c>
      <c r="H21" s="81">
        <f t="shared" si="4"/>
        <v>68617.260273972614</v>
      </c>
      <c r="I21" s="81">
        <f t="shared" si="5"/>
        <v>10292.589041095891</v>
      </c>
      <c r="J21" s="81">
        <f t="shared" si="6"/>
        <v>58324.671232876724</v>
      </c>
      <c r="K21" s="81"/>
      <c r="L21" s="82" t="s">
        <v>18612</v>
      </c>
      <c r="M21" s="87" t="s">
        <v>18507</v>
      </c>
      <c r="N21" s="83" t="s">
        <v>18508</v>
      </c>
      <c r="O21" s="92"/>
      <c r="P21" t="s">
        <v>18652</v>
      </c>
      <c r="Q21" s="104">
        <v>45856</v>
      </c>
      <c r="R21" s="75">
        <f t="shared" si="0"/>
        <v>58324.68</v>
      </c>
    </row>
    <row r="22" spans="1:19" x14ac:dyDescent="0.25">
      <c r="A22" s="5">
        <v>13</v>
      </c>
      <c r="B22" s="78" t="s">
        <v>18519</v>
      </c>
      <c r="C22" s="79" t="s">
        <v>18520</v>
      </c>
      <c r="D22" s="80">
        <v>2418</v>
      </c>
      <c r="E22" s="80">
        <f t="shared" si="1"/>
        <v>2418000</v>
      </c>
      <c r="F22" s="81">
        <f t="shared" si="2"/>
        <v>169260.00000000003</v>
      </c>
      <c r="G22" s="81">
        <f t="shared" si="3"/>
        <v>463.72602739726034</v>
      </c>
      <c r="H22" s="81">
        <f t="shared" si="4"/>
        <v>34315.726027397264</v>
      </c>
      <c r="I22" s="81">
        <f t="shared" si="5"/>
        <v>5147.3589041095893</v>
      </c>
      <c r="J22" s="81">
        <f t="shared" si="6"/>
        <v>29168.367123287673</v>
      </c>
      <c r="K22" s="81"/>
      <c r="L22" s="82" t="s">
        <v>18612</v>
      </c>
      <c r="M22" s="81" t="s">
        <v>18507</v>
      </c>
      <c r="N22" s="83" t="s">
        <v>18521</v>
      </c>
      <c r="O22" s="92"/>
      <c r="P22" t="s">
        <v>18652</v>
      </c>
      <c r="Q22" s="104">
        <v>45856</v>
      </c>
      <c r="R22" s="75">
        <f t="shared" si="0"/>
        <v>29168.37</v>
      </c>
    </row>
    <row r="23" spans="1:19" ht="14.25" customHeight="1" x14ac:dyDescent="0.25">
      <c r="A23" s="5">
        <v>14</v>
      </c>
      <c r="B23" s="88" t="s">
        <v>16367</v>
      </c>
      <c r="C23" s="88" t="s">
        <v>16368</v>
      </c>
      <c r="D23" s="89">
        <v>500</v>
      </c>
      <c r="E23" s="80">
        <f t="shared" si="1"/>
        <v>500000</v>
      </c>
      <c r="F23" s="81">
        <f t="shared" si="2"/>
        <v>35000</v>
      </c>
      <c r="G23" s="81">
        <f t="shared" si="3"/>
        <v>95.890410958904113</v>
      </c>
      <c r="H23" s="81">
        <f t="shared" si="4"/>
        <v>7095.8904109589039</v>
      </c>
      <c r="I23" s="81">
        <f t="shared" si="5"/>
        <v>1064.3835616438355</v>
      </c>
      <c r="J23" s="81">
        <f t="shared" si="6"/>
        <v>6031.5068493150684</v>
      </c>
      <c r="K23" s="81"/>
      <c r="L23" s="82" t="s">
        <v>18612</v>
      </c>
      <c r="M23" s="88" t="s">
        <v>103</v>
      </c>
      <c r="N23" s="88" t="s">
        <v>16369</v>
      </c>
      <c r="P23" t="s">
        <v>18652</v>
      </c>
      <c r="Q23" s="104">
        <v>45856</v>
      </c>
      <c r="R23" s="75">
        <f t="shared" si="0"/>
        <v>6031.51</v>
      </c>
    </row>
    <row r="24" spans="1:19" x14ac:dyDescent="0.25">
      <c r="A24" s="5">
        <v>15</v>
      </c>
      <c r="B24" s="78" t="s">
        <v>18559</v>
      </c>
      <c r="C24" s="79" t="s">
        <v>18560</v>
      </c>
      <c r="D24" s="80">
        <v>48352</v>
      </c>
      <c r="E24" s="80">
        <f t="shared" si="1"/>
        <v>48352000</v>
      </c>
      <c r="F24" s="81">
        <f t="shared" si="2"/>
        <v>3384640.0000000005</v>
      </c>
      <c r="G24" s="81">
        <f t="shared" si="3"/>
        <v>9272.986301369865</v>
      </c>
      <c r="H24" s="81">
        <f t="shared" si="4"/>
        <v>686200.98630136997</v>
      </c>
      <c r="I24" s="81">
        <f t="shared" si="5"/>
        <v>102930.14794520549</v>
      </c>
      <c r="J24" s="81">
        <f t="shared" si="6"/>
        <v>583270.83835616452</v>
      </c>
      <c r="K24" s="81"/>
      <c r="L24" s="90" t="s">
        <v>18617</v>
      </c>
      <c r="M24" s="81" t="s">
        <v>18561</v>
      </c>
      <c r="N24" s="83" t="s">
        <v>18562</v>
      </c>
      <c r="O24" s="92"/>
      <c r="P24" t="s">
        <v>18652</v>
      </c>
      <c r="Q24" s="104">
        <v>45856</v>
      </c>
      <c r="R24" s="75">
        <f t="shared" si="0"/>
        <v>583270.84</v>
      </c>
    </row>
    <row r="25" spans="1:19" x14ac:dyDescent="0.25">
      <c r="A25" s="5">
        <v>16</v>
      </c>
      <c r="B25" s="88" t="s">
        <v>16197</v>
      </c>
      <c r="C25" s="88" t="s">
        <v>16198</v>
      </c>
      <c r="D25" s="89">
        <v>192118</v>
      </c>
      <c r="E25" s="80">
        <f t="shared" si="1"/>
        <v>192118000</v>
      </c>
      <c r="F25" s="81">
        <f t="shared" si="2"/>
        <v>13448260.000000002</v>
      </c>
      <c r="G25" s="81">
        <f t="shared" si="3"/>
        <v>36844.547945205486</v>
      </c>
      <c r="H25" s="81">
        <f t="shared" si="4"/>
        <v>2726496.5479452061</v>
      </c>
      <c r="I25" s="81">
        <f t="shared" si="5"/>
        <v>408974.48219178087</v>
      </c>
      <c r="J25" s="81">
        <f t="shared" si="6"/>
        <v>2317522.065753425</v>
      </c>
      <c r="K25" s="81"/>
      <c r="L25" s="82">
        <v>2201</v>
      </c>
      <c r="M25" s="88" t="s">
        <v>283</v>
      </c>
      <c r="N25" s="88" t="s">
        <v>16199</v>
      </c>
      <c r="P25" t="s">
        <v>18652</v>
      </c>
      <c r="Q25" s="104">
        <v>45856</v>
      </c>
      <c r="R25" s="75">
        <f t="shared" si="0"/>
        <v>2317522.0699999998</v>
      </c>
    </row>
    <row r="26" spans="1:19" x14ac:dyDescent="0.25">
      <c r="A26" s="5">
        <v>17</v>
      </c>
      <c r="B26" s="78" t="s">
        <v>18522</v>
      </c>
      <c r="C26" s="79" t="s">
        <v>18523</v>
      </c>
      <c r="D26" s="80">
        <v>2358</v>
      </c>
      <c r="E26" s="80">
        <f t="shared" si="1"/>
        <v>2358000</v>
      </c>
      <c r="F26" s="81">
        <f t="shared" si="2"/>
        <v>165060.00000000003</v>
      </c>
      <c r="G26" s="81">
        <f t="shared" si="3"/>
        <v>452.21917808219189</v>
      </c>
      <c r="H26" s="81">
        <f t="shared" si="4"/>
        <v>33464.219178082203</v>
      </c>
      <c r="I26" s="81">
        <f t="shared" si="5"/>
        <v>5019.6328767123305</v>
      </c>
      <c r="J26" s="81">
        <f t="shared" si="6"/>
        <v>28444.586301369873</v>
      </c>
      <c r="K26" s="81"/>
      <c r="L26" s="82">
        <v>2201</v>
      </c>
      <c r="M26" s="81" t="s">
        <v>18524</v>
      </c>
      <c r="N26" s="83" t="s">
        <v>18525</v>
      </c>
      <c r="O26" s="92"/>
      <c r="P26" t="s">
        <v>18652</v>
      </c>
      <c r="Q26" s="104">
        <v>45856</v>
      </c>
      <c r="R26" s="75">
        <f t="shared" si="0"/>
        <v>28444.59</v>
      </c>
    </row>
    <row r="27" spans="1:19" x14ac:dyDescent="0.25">
      <c r="A27" s="5">
        <v>18</v>
      </c>
      <c r="B27" s="78" t="s">
        <v>18515</v>
      </c>
      <c r="C27" s="79" t="s">
        <v>18516</v>
      </c>
      <c r="D27" s="80">
        <v>21758</v>
      </c>
      <c r="E27" s="80">
        <f t="shared" si="1"/>
        <v>21758000</v>
      </c>
      <c r="F27" s="81">
        <f t="shared" si="2"/>
        <v>1523060.0000000002</v>
      </c>
      <c r="G27" s="81">
        <f t="shared" si="3"/>
        <v>4172.7671232876719</v>
      </c>
      <c r="H27" s="81">
        <f t="shared" si="4"/>
        <v>308784.76712328772</v>
      </c>
      <c r="I27" s="81">
        <f t="shared" si="5"/>
        <v>46317.715068493155</v>
      </c>
      <c r="J27" s="81">
        <f t="shared" si="6"/>
        <v>262467.05205479456</v>
      </c>
      <c r="K27" s="81"/>
      <c r="L27" s="85" t="s">
        <v>18608</v>
      </c>
      <c r="M27" s="81" t="s">
        <v>18517</v>
      </c>
      <c r="N27" s="83" t="s">
        <v>18518</v>
      </c>
      <c r="O27" s="92"/>
      <c r="P27" t="s">
        <v>18652</v>
      </c>
      <c r="Q27" s="104">
        <v>45856</v>
      </c>
      <c r="R27" s="75">
        <f t="shared" si="0"/>
        <v>262467.06</v>
      </c>
    </row>
    <row r="28" spans="1:19" x14ac:dyDescent="0.25">
      <c r="A28" s="5">
        <v>19</v>
      </c>
      <c r="B28" s="88" t="s">
        <v>16125</v>
      </c>
      <c r="C28" s="88" t="s">
        <v>16126</v>
      </c>
      <c r="D28" s="89">
        <v>192119</v>
      </c>
      <c r="E28" s="80">
        <f t="shared" si="1"/>
        <v>192119000</v>
      </c>
      <c r="F28" s="81">
        <f t="shared" si="2"/>
        <v>13448330.000000002</v>
      </c>
      <c r="G28" s="81">
        <f t="shared" si="3"/>
        <v>36844.739726027401</v>
      </c>
      <c r="H28" s="81">
        <f t="shared" si="4"/>
        <v>2726510.7397260275</v>
      </c>
      <c r="I28" s="81">
        <f t="shared" si="5"/>
        <v>408976.61095890409</v>
      </c>
      <c r="J28" s="81">
        <f t="shared" si="6"/>
        <v>2317534.1287671234</v>
      </c>
      <c r="K28" s="81"/>
      <c r="L28" s="82" t="s">
        <v>18613</v>
      </c>
      <c r="M28" s="88" t="s">
        <v>336</v>
      </c>
      <c r="N28" s="88" t="s">
        <v>16127</v>
      </c>
      <c r="P28" t="s">
        <v>18652</v>
      </c>
      <c r="Q28" s="104">
        <v>45856</v>
      </c>
      <c r="R28" s="75">
        <f t="shared" si="0"/>
        <v>2317534.13</v>
      </c>
    </row>
    <row r="29" spans="1:19" x14ac:dyDescent="0.25">
      <c r="L29"/>
      <c r="R29" s="75"/>
    </row>
    <row r="30" spans="1:19" x14ac:dyDescent="0.25">
      <c r="A30" s="5">
        <v>20</v>
      </c>
      <c r="B30" s="78" t="s">
        <v>18536</v>
      </c>
      <c r="C30" s="79" t="s">
        <v>18537</v>
      </c>
      <c r="D30" s="80">
        <v>84616</v>
      </c>
      <c r="E30" s="80">
        <f t="shared" si="1"/>
        <v>84616000</v>
      </c>
      <c r="F30" s="81">
        <f t="shared" si="2"/>
        <v>5923120.0000000009</v>
      </c>
      <c r="G30" s="81">
        <f t="shared" si="3"/>
        <v>16227.726027397262</v>
      </c>
      <c r="H30" s="81">
        <f t="shared" si="4"/>
        <v>1200851.7260273974</v>
      </c>
      <c r="I30" s="81">
        <f t="shared" si="5"/>
        <v>180127.75890410962</v>
      </c>
      <c r="J30" s="81">
        <f t="shared" si="6"/>
        <v>1020723.9671232878</v>
      </c>
      <c r="K30" s="81"/>
      <c r="L30" s="82" t="s">
        <v>18637</v>
      </c>
      <c r="M30" s="81" t="s">
        <v>18538</v>
      </c>
      <c r="N30" s="83" t="s">
        <v>18661</v>
      </c>
      <c r="O30" s="92"/>
      <c r="P30" t="s">
        <v>18652</v>
      </c>
      <c r="Q30" s="104">
        <v>45860</v>
      </c>
      <c r="R30" s="75">
        <f t="shared" si="0"/>
        <v>1020723.97</v>
      </c>
      <c r="S30" s="66"/>
    </row>
    <row r="31" spans="1:19" ht="15" customHeight="1" x14ac:dyDescent="0.25">
      <c r="A31" s="11" t="s">
        <v>18566</v>
      </c>
      <c r="B31" s="12"/>
      <c r="C31" s="13"/>
      <c r="D31" s="14">
        <f t="shared" ref="D31:I31" si="7">SUM(D8:D30)</f>
        <v>1376933</v>
      </c>
      <c r="E31" s="14">
        <f t="shared" si="7"/>
        <v>1376933000</v>
      </c>
      <c r="F31" s="14">
        <f t="shared" si="7"/>
        <v>96385310.000000015</v>
      </c>
      <c r="G31" s="14">
        <f t="shared" si="7"/>
        <v>264069.34246575349</v>
      </c>
      <c r="H31" s="14">
        <f t="shared" si="7"/>
        <v>19541131.342465758</v>
      </c>
      <c r="I31" s="14">
        <f t="shared" si="7"/>
        <v>2931169.701369863</v>
      </c>
      <c r="J31" s="14">
        <f>SUM(J8:J30)</f>
        <v>16609961.641095893</v>
      </c>
      <c r="K31" s="14"/>
      <c r="L31" s="65"/>
      <c r="M31" s="15"/>
      <c r="N31" s="15"/>
      <c r="O31" s="93"/>
      <c r="R31" s="14">
        <f>SUM(R8:R30)</f>
        <v>16609961.739999996</v>
      </c>
    </row>
  </sheetData>
  <sortState xmlns:xlrd2="http://schemas.microsoft.com/office/spreadsheetml/2017/richdata2" ref="B8:N30">
    <sortCondition ref="L8:L30"/>
  </sortState>
  <mergeCells count="2">
    <mergeCell ref="A1:N1"/>
    <mergeCell ref="A2:N2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5"/>
  <sheetViews>
    <sheetView topLeftCell="A4" zoomScale="145" zoomScaleNormal="145" workbookViewId="0">
      <pane ySplit="1" topLeftCell="A5" activePane="bottomLeft" state="frozen"/>
      <selection activeCell="A4" sqref="A4"/>
      <selection pane="bottomLeft" activeCell="J16" sqref="J16:J17"/>
    </sheetView>
  </sheetViews>
  <sheetFormatPr defaultRowHeight="15" x14ac:dyDescent="0.25"/>
  <cols>
    <col min="1" max="1" width="4.28515625" style="1" bestFit="1" customWidth="1"/>
    <col min="2" max="2" width="13.28515625" style="1" customWidth="1"/>
    <col min="3" max="3" width="36.7109375" style="1" customWidth="1"/>
    <col min="4" max="4" width="12.5703125" style="1" customWidth="1"/>
    <col min="5" max="5" width="10.85546875" style="1" customWidth="1"/>
    <col min="6" max="6" width="11.7109375" style="1" customWidth="1"/>
    <col min="7" max="7" width="10.140625" style="1" customWidth="1"/>
    <col min="8" max="8" width="11.7109375" style="1" customWidth="1"/>
    <col min="9" max="9" width="7.5703125" style="1" customWidth="1"/>
    <col min="10" max="10" width="10.140625" style="1" customWidth="1"/>
    <col min="11" max="11" width="11.42578125" style="1" customWidth="1"/>
    <col min="12" max="12" width="13.140625" style="1" bestFit="1" customWidth="1"/>
    <col min="13" max="13" width="8.5703125" style="1" bestFit="1" customWidth="1"/>
    <col min="14" max="14" width="28.5703125" style="1" customWidth="1"/>
    <col min="15" max="15" width="14.85546875" style="56" bestFit="1" customWidth="1"/>
    <col min="16" max="16" width="9.140625" style="1"/>
    <col min="17" max="17" width="11.42578125" style="1" customWidth="1"/>
    <col min="18" max="18" width="14.140625" style="1" customWidth="1"/>
    <col min="19" max="19" width="13.140625" style="1" bestFit="1" customWidth="1"/>
    <col min="20" max="16384" width="9.140625" style="1"/>
  </cols>
  <sheetData>
    <row r="1" spans="1:25" x14ac:dyDescent="0.25">
      <c r="A1" s="26"/>
      <c r="B1" s="26"/>
      <c r="C1" s="26"/>
      <c r="D1" s="26"/>
      <c r="E1" s="26"/>
      <c r="F1" s="39" t="s">
        <v>18578</v>
      </c>
      <c r="G1" s="40">
        <v>45781</v>
      </c>
      <c r="H1" s="26"/>
      <c r="I1" s="26"/>
      <c r="J1" s="26"/>
      <c r="K1" s="26"/>
      <c r="L1" s="26"/>
      <c r="M1" s="26"/>
      <c r="N1" s="26"/>
      <c r="O1" s="52"/>
    </row>
    <row r="2" spans="1:25" x14ac:dyDescent="0.25">
      <c r="A2" s="26"/>
      <c r="B2" s="26"/>
      <c r="C2" s="26"/>
      <c r="D2" s="26"/>
      <c r="E2" s="26"/>
      <c r="F2" s="39" t="s">
        <v>18579</v>
      </c>
      <c r="G2" s="40">
        <v>45854</v>
      </c>
      <c r="H2" s="26"/>
      <c r="I2" s="26"/>
      <c r="J2" s="26"/>
      <c r="K2" s="26"/>
      <c r="L2" s="26"/>
      <c r="M2" s="26"/>
      <c r="N2" s="26"/>
      <c r="O2" s="52"/>
    </row>
    <row r="3" spans="1:25" x14ac:dyDescent="0.25">
      <c r="A3" s="26"/>
      <c r="B3" s="26"/>
      <c r="C3" s="26"/>
      <c r="D3" s="26"/>
      <c r="E3" s="26"/>
      <c r="F3" s="39" t="s">
        <v>18580</v>
      </c>
      <c r="G3" s="39">
        <f>G2-G1+1</f>
        <v>74</v>
      </c>
      <c r="H3" s="26"/>
      <c r="I3" s="26"/>
      <c r="J3" s="26"/>
      <c r="K3" s="26"/>
      <c r="L3" s="26"/>
      <c r="M3" s="26"/>
      <c r="N3" s="26"/>
      <c r="O3" s="52"/>
    </row>
    <row r="4" spans="1:25" ht="23.25" x14ac:dyDescent="0.25">
      <c r="A4" s="43" t="s">
        <v>18567</v>
      </c>
      <c r="B4" s="43" t="s">
        <v>8</v>
      </c>
      <c r="C4" s="43" t="s">
        <v>18568</v>
      </c>
      <c r="D4" s="43" t="s">
        <v>18569</v>
      </c>
      <c r="E4" s="43" t="s">
        <v>16</v>
      </c>
      <c r="F4" s="43" t="s">
        <v>18581</v>
      </c>
      <c r="G4" s="43" t="s">
        <v>18582</v>
      </c>
      <c r="H4" s="43" t="s">
        <v>18583</v>
      </c>
      <c r="I4" s="43" t="s">
        <v>18585</v>
      </c>
      <c r="J4" s="43" t="s">
        <v>18584</v>
      </c>
      <c r="K4" s="43"/>
      <c r="L4" s="43"/>
      <c r="M4" s="43" t="s">
        <v>18586</v>
      </c>
      <c r="N4" s="43" t="s">
        <v>18576</v>
      </c>
      <c r="O4" s="53" t="s">
        <v>18577</v>
      </c>
      <c r="Q4" s="101" t="s">
        <v>18647</v>
      </c>
      <c r="R4" s="101" t="s">
        <v>18648</v>
      </c>
    </row>
    <row r="5" spans="1:25" x14ac:dyDescent="0.25">
      <c r="A5" s="27">
        <v>1</v>
      </c>
      <c r="B5" s="28" t="s">
        <v>1</v>
      </c>
      <c r="C5" s="28" t="s">
        <v>18571</v>
      </c>
      <c r="D5" s="29">
        <v>976</v>
      </c>
      <c r="E5" s="29">
        <f>D5*1000</f>
        <v>976000</v>
      </c>
      <c r="F5" s="38">
        <f t="shared" ref="F5:F14" si="0">E5*7%</f>
        <v>68320</v>
      </c>
      <c r="G5" s="29">
        <f t="shared" ref="G5:G14" si="1">F5/365</f>
        <v>187.17808219178082</v>
      </c>
      <c r="H5" s="29">
        <f t="shared" ref="H5:H14" si="2">G5*74</f>
        <v>13851.17808219178</v>
      </c>
      <c r="I5" s="29">
        <v>0</v>
      </c>
      <c r="J5" s="29">
        <f t="shared" ref="J5:J14" si="3">H5-I5</f>
        <v>13851.17808219178</v>
      </c>
      <c r="K5" s="29" t="s">
        <v>18589</v>
      </c>
      <c r="L5" s="29"/>
      <c r="M5" s="54">
        <v>1601</v>
      </c>
      <c r="N5" s="29" t="s">
        <v>18600</v>
      </c>
      <c r="O5" s="54" t="s">
        <v>18599</v>
      </c>
      <c r="Q5" s="101" t="s">
        <v>18652</v>
      </c>
      <c r="R5" s="102">
        <v>45856</v>
      </c>
      <c r="S5" s="113">
        <f>ROUNDUP(J5,2)</f>
        <v>13851.18</v>
      </c>
    </row>
    <row r="6" spans="1:25" x14ac:dyDescent="0.25">
      <c r="A6" s="27">
        <v>2</v>
      </c>
      <c r="B6" s="28" t="s">
        <v>18512</v>
      </c>
      <c r="C6" s="28" t="s">
        <v>18513</v>
      </c>
      <c r="D6" s="29">
        <v>93982</v>
      </c>
      <c r="E6" s="29">
        <v>93982000</v>
      </c>
      <c r="F6" s="38">
        <f t="shared" si="0"/>
        <v>6578740.0000000009</v>
      </c>
      <c r="G6" s="29">
        <f t="shared" si="1"/>
        <v>18023.945205479453</v>
      </c>
      <c r="H6" s="29">
        <f t="shared" si="2"/>
        <v>1333771.9452054794</v>
      </c>
      <c r="I6" s="29">
        <v>0</v>
      </c>
      <c r="J6" s="29">
        <f t="shared" si="3"/>
        <v>1333771.9452054794</v>
      </c>
      <c r="K6" s="29" t="s">
        <v>18589</v>
      </c>
      <c r="L6" s="29"/>
      <c r="M6" s="54">
        <v>1601</v>
      </c>
      <c r="N6" s="29" t="s">
        <v>18500</v>
      </c>
      <c r="O6" s="54" t="s">
        <v>18514</v>
      </c>
      <c r="Q6" s="101" t="s">
        <v>18652</v>
      </c>
      <c r="R6" s="102">
        <v>45856</v>
      </c>
      <c r="S6" s="113">
        <f t="shared" ref="S6:S20" si="4">ROUNDUP(J6,2)</f>
        <v>1333771.95</v>
      </c>
    </row>
    <row r="7" spans="1:25" x14ac:dyDescent="0.25">
      <c r="A7" s="27">
        <v>3</v>
      </c>
      <c r="B7" s="28" t="s">
        <v>18498</v>
      </c>
      <c r="C7" s="28" t="s">
        <v>18499</v>
      </c>
      <c r="D7" s="29">
        <v>96704</v>
      </c>
      <c r="E7" s="29">
        <f t="shared" ref="E7:E14" si="5">D7*1000</f>
        <v>96704000</v>
      </c>
      <c r="F7" s="38">
        <f t="shared" si="0"/>
        <v>6769280.0000000009</v>
      </c>
      <c r="G7" s="29">
        <f t="shared" si="1"/>
        <v>18545.97260273973</v>
      </c>
      <c r="H7" s="29">
        <f t="shared" si="2"/>
        <v>1372401.9726027399</v>
      </c>
      <c r="I7" s="29">
        <v>0</v>
      </c>
      <c r="J7" s="29">
        <f t="shared" si="3"/>
        <v>1372401.9726027399</v>
      </c>
      <c r="K7" s="29" t="s">
        <v>18589</v>
      </c>
      <c r="L7" s="29"/>
      <c r="M7" s="54">
        <v>1601</v>
      </c>
      <c r="N7" s="29" t="s">
        <v>18500</v>
      </c>
      <c r="O7" s="55" t="s">
        <v>18501</v>
      </c>
      <c r="Q7" s="101" t="s">
        <v>18652</v>
      </c>
      <c r="R7" s="102">
        <v>45856</v>
      </c>
      <c r="S7" s="113">
        <f t="shared" si="4"/>
        <v>1372401.98</v>
      </c>
    </row>
    <row r="8" spans="1:25" x14ac:dyDescent="0.25">
      <c r="A8" s="27">
        <v>4</v>
      </c>
      <c r="B8" s="28" t="s">
        <v>18526</v>
      </c>
      <c r="C8" s="28" t="s">
        <v>18527</v>
      </c>
      <c r="D8" s="91">
        <v>29011</v>
      </c>
      <c r="E8" s="91">
        <f t="shared" si="5"/>
        <v>29011000</v>
      </c>
      <c r="F8" s="38">
        <f t="shared" si="0"/>
        <v>2030770.0000000002</v>
      </c>
      <c r="G8" s="91">
        <f t="shared" si="1"/>
        <v>5563.7534246575351</v>
      </c>
      <c r="H8" s="91">
        <f t="shared" si="2"/>
        <v>411717.75342465763</v>
      </c>
      <c r="I8" s="91">
        <v>0</v>
      </c>
      <c r="J8" s="91">
        <f t="shared" si="3"/>
        <v>411717.75342465763</v>
      </c>
      <c r="K8" s="91" t="s">
        <v>18589</v>
      </c>
      <c r="L8" s="91"/>
      <c r="M8" s="54">
        <v>1901</v>
      </c>
      <c r="N8" s="91" t="s">
        <v>18507</v>
      </c>
      <c r="O8" s="54" t="s">
        <v>18528</v>
      </c>
      <c r="Q8" s="101" t="s">
        <v>18652</v>
      </c>
      <c r="R8" s="102">
        <v>45856</v>
      </c>
      <c r="S8" s="113">
        <f t="shared" si="4"/>
        <v>411717.76</v>
      </c>
    </row>
    <row r="9" spans="1:25" x14ac:dyDescent="0.25">
      <c r="A9" s="27">
        <v>5</v>
      </c>
      <c r="B9" s="28" t="s">
        <v>2</v>
      </c>
      <c r="C9" s="28" t="s">
        <v>18572</v>
      </c>
      <c r="D9" s="29">
        <v>6504</v>
      </c>
      <c r="E9" s="29">
        <f t="shared" si="5"/>
        <v>6504000</v>
      </c>
      <c r="F9" s="38">
        <f t="shared" si="0"/>
        <v>455280.00000000006</v>
      </c>
      <c r="G9" s="29">
        <f t="shared" si="1"/>
        <v>1247.3424657534249</v>
      </c>
      <c r="H9" s="29">
        <f t="shared" si="2"/>
        <v>92303.342465753449</v>
      </c>
      <c r="I9" s="29">
        <v>0</v>
      </c>
      <c r="J9" s="29">
        <f t="shared" si="3"/>
        <v>92303.342465753449</v>
      </c>
      <c r="K9" s="29" t="s">
        <v>18589</v>
      </c>
      <c r="L9" s="29"/>
      <c r="M9" s="54">
        <v>7201</v>
      </c>
      <c r="N9" s="29" t="s">
        <v>18602</v>
      </c>
      <c r="O9" s="54" t="s">
        <v>18601</v>
      </c>
      <c r="Q9" s="101" t="s">
        <v>18652</v>
      </c>
      <c r="R9" s="102">
        <v>45856</v>
      </c>
      <c r="S9" s="113">
        <f t="shared" si="4"/>
        <v>92303.349999999991</v>
      </c>
    </row>
    <row r="10" spans="1:25" x14ac:dyDescent="0.25">
      <c r="A10" s="27">
        <v>8</v>
      </c>
      <c r="B10" s="28" t="s">
        <v>18539</v>
      </c>
      <c r="C10" s="28" t="s">
        <v>18540</v>
      </c>
      <c r="D10" s="29">
        <v>24176</v>
      </c>
      <c r="E10" s="29">
        <f t="shared" si="5"/>
        <v>24176000</v>
      </c>
      <c r="F10" s="38">
        <f t="shared" si="0"/>
        <v>1692320.0000000002</v>
      </c>
      <c r="G10" s="29">
        <f t="shared" si="1"/>
        <v>4636.4931506849325</v>
      </c>
      <c r="H10" s="29">
        <f t="shared" si="2"/>
        <v>343100.49315068498</v>
      </c>
      <c r="I10" s="29">
        <v>0</v>
      </c>
      <c r="J10" s="29">
        <f t="shared" si="3"/>
        <v>343100.49315068498</v>
      </c>
      <c r="K10" s="29" t="s">
        <v>18589</v>
      </c>
      <c r="L10" s="29"/>
      <c r="M10" s="54" t="s">
        <v>18610</v>
      </c>
      <c r="N10" s="29" t="s">
        <v>18541</v>
      </c>
      <c r="O10" s="55" t="s">
        <v>18542</v>
      </c>
      <c r="P10" s="32"/>
      <c r="Q10" s="101" t="s">
        <v>18652</v>
      </c>
      <c r="R10" s="102">
        <v>45856</v>
      </c>
      <c r="S10" s="113">
        <f t="shared" si="4"/>
        <v>343100.5</v>
      </c>
      <c r="T10" s="33"/>
      <c r="U10" s="33"/>
      <c r="V10" s="32"/>
      <c r="W10" s="33"/>
      <c r="X10" s="33"/>
      <c r="Y10" s="32"/>
    </row>
    <row r="11" spans="1:25" x14ac:dyDescent="0.25">
      <c r="A11" s="27">
        <v>9</v>
      </c>
      <c r="B11" s="28" t="s">
        <v>3</v>
      </c>
      <c r="C11" s="28" t="s">
        <v>18573</v>
      </c>
      <c r="D11" s="29">
        <v>10000</v>
      </c>
      <c r="E11" s="29">
        <f t="shared" si="5"/>
        <v>10000000</v>
      </c>
      <c r="F11" s="38">
        <f t="shared" si="0"/>
        <v>700000.00000000012</v>
      </c>
      <c r="G11" s="29">
        <f t="shared" si="1"/>
        <v>1917.8082191780825</v>
      </c>
      <c r="H11" s="29">
        <f t="shared" si="2"/>
        <v>141917.80821917811</v>
      </c>
      <c r="I11" s="29">
        <v>0</v>
      </c>
      <c r="J11" s="29">
        <f t="shared" si="3"/>
        <v>141917.80821917811</v>
      </c>
      <c r="K11" s="29" t="s">
        <v>18589</v>
      </c>
      <c r="L11" s="29"/>
      <c r="M11" s="57" t="s">
        <v>18605</v>
      </c>
      <c r="N11" s="29" t="s">
        <v>18604</v>
      </c>
      <c r="O11" s="54" t="s">
        <v>18603</v>
      </c>
      <c r="P11" s="32"/>
      <c r="Q11" s="101" t="s">
        <v>18652</v>
      </c>
      <c r="R11" s="102">
        <v>45856</v>
      </c>
      <c r="S11" s="113">
        <f t="shared" si="4"/>
        <v>141917.81</v>
      </c>
      <c r="T11" s="33"/>
      <c r="U11" s="33"/>
      <c r="V11" s="32"/>
      <c r="W11" s="33"/>
      <c r="X11" s="33"/>
      <c r="Y11" s="32"/>
    </row>
    <row r="12" spans="1:25" x14ac:dyDescent="0.25">
      <c r="A12" s="27">
        <v>11</v>
      </c>
      <c r="B12" s="28" t="s">
        <v>0</v>
      </c>
      <c r="C12" s="28" t="s">
        <v>18570</v>
      </c>
      <c r="D12" s="29">
        <v>16260</v>
      </c>
      <c r="E12" s="29">
        <f t="shared" si="5"/>
        <v>16260000</v>
      </c>
      <c r="F12" s="38">
        <f t="shared" si="0"/>
        <v>1138200</v>
      </c>
      <c r="G12" s="29">
        <f t="shared" si="1"/>
        <v>3118.3561643835615</v>
      </c>
      <c r="H12" s="29">
        <f t="shared" si="2"/>
        <v>230758.35616438356</v>
      </c>
      <c r="I12" s="29">
        <v>0</v>
      </c>
      <c r="J12" s="29">
        <f t="shared" si="3"/>
        <v>230758.35616438356</v>
      </c>
      <c r="K12" s="29" t="s">
        <v>18589</v>
      </c>
      <c r="L12" s="29"/>
      <c r="M12" s="54" t="s">
        <v>18597</v>
      </c>
      <c r="N12" s="29" t="s">
        <v>18598</v>
      </c>
      <c r="O12" s="54" t="s">
        <v>18596</v>
      </c>
      <c r="P12" s="32"/>
      <c r="Q12" s="101" t="s">
        <v>18652</v>
      </c>
      <c r="R12" s="102">
        <v>45856</v>
      </c>
      <c r="S12" s="113">
        <f t="shared" si="4"/>
        <v>230758.36000000002</v>
      </c>
      <c r="T12" s="33"/>
      <c r="U12" s="33"/>
      <c r="V12" s="32"/>
      <c r="W12" s="33"/>
      <c r="X12" s="33"/>
      <c r="Y12" s="32"/>
    </row>
    <row r="13" spans="1:25" x14ac:dyDescent="0.25">
      <c r="A13" s="27">
        <v>12</v>
      </c>
      <c r="B13" s="28" t="s">
        <v>18563</v>
      </c>
      <c r="C13" s="28" t="s">
        <v>18646</v>
      </c>
      <c r="D13" s="29">
        <v>48352</v>
      </c>
      <c r="E13" s="29">
        <f t="shared" si="5"/>
        <v>48352000</v>
      </c>
      <c r="F13" s="38">
        <f t="shared" si="0"/>
        <v>3384640.0000000005</v>
      </c>
      <c r="G13" s="29">
        <f t="shared" si="1"/>
        <v>9272.986301369865</v>
      </c>
      <c r="H13" s="29">
        <f t="shared" si="2"/>
        <v>686200.98630136997</v>
      </c>
      <c r="I13" s="29">
        <v>0</v>
      </c>
      <c r="J13" s="29">
        <f t="shared" si="3"/>
        <v>686200.98630136997</v>
      </c>
      <c r="K13" s="29" t="s">
        <v>18589</v>
      </c>
      <c r="L13" s="29"/>
      <c r="M13" s="57" t="s">
        <v>9702</v>
      </c>
      <c r="N13" s="29" t="s">
        <v>18564</v>
      </c>
      <c r="O13" s="54" t="s">
        <v>18565</v>
      </c>
      <c r="P13" s="32"/>
      <c r="Q13" s="101" t="s">
        <v>18652</v>
      </c>
      <c r="R13" s="102">
        <v>45856</v>
      </c>
      <c r="S13" s="113">
        <f t="shared" si="4"/>
        <v>686200.99</v>
      </c>
      <c r="T13" s="33"/>
      <c r="U13" s="33"/>
      <c r="V13" s="32"/>
      <c r="W13" s="33"/>
      <c r="X13" s="33"/>
      <c r="Y13" s="32"/>
    </row>
    <row r="14" spans="1:25" x14ac:dyDescent="0.25">
      <c r="A14" s="27">
        <v>14</v>
      </c>
      <c r="B14" s="28" t="s">
        <v>4</v>
      </c>
      <c r="C14" s="28" t="s">
        <v>18574</v>
      </c>
      <c r="D14" s="29">
        <v>16260</v>
      </c>
      <c r="E14" s="29">
        <f t="shared" si="5"/>
        <v>16260000</v>
      </c>
      <c r="F14" s="38">
        <f t="shared" si="0"/>
        <v>1138200</v>
      </c>
      <c r="G14" s="29">
        <f t="shared" si="1"/>
        <v>3118.3561643835615</v>
      </c>
      <c r="H14" s="29">
        <f t="shared" si="2"/>
        <v>230758.35616438356</v>
      </c>
      <c r="I14" s="29">
        <v>0</v>
      </c>
      <c r="J14" s="29">
        <f t="shared" si="3"/>
        <v>230758.35616438356</v>
      </c>
      <c r="K14" s="29" t="s">
        <v>18589</v>
      </c>
      <c r="L14" s="29"/>
      <c r="M14" s="54" t="s">
        <v>18608</v>
      </c>
      <c r="N14" s="29" t="s">
        <v>18607</v>
      </c>
      <c r="O14" s="54" t="s">
        <v>18606</v>
      </c>
      <c r="P14" s="32"/>
      <c r="Q14" s="101" t="s">
        <v>18652</v>
      </c>
      <c r="R14" s="102">
        <v>45856</v>
      </c>
      <c r="S14" s="113">
        <f t="shared" si="4"/>
        <v>230758.36000000002</v>
      </c>
      <c r="T14" s="33"/>
      <c r="U14" s="33"/>
      <c r="V14" s="32"/>
      <c r="W14" s="33"/>
      <c r="X14" s="33"/>
      <c r="Y14" s="32"/>
    </row>
    <row r="15" spans="1:25" x14ac:dyDescent="0.25">
      <c r="O15" s="1"/>
      <c r="S15" s="113">
        <f t="shared" si="4"/>
        <v>0</v>
      </c>
    </row>
    <row r="16" spans="1:25" x14ac:dyDescent="0.25">
      <c r="A16" s="27">
        <v>6</v>
      </c>
      <c r="B16" s="58" t="s">
        <v>18543</v>
      </c>
      <c r="C16" s="58" t="s">
        <v>18544</v>
      </c>
      <c r="D16" s="59">
        <v>60440</v>
      </c>
      <c r="E16" s="59">
        <f>D16*1000</f>
        <v>60440000</v>
      </c>
      <c r="F16" s="60">
        <f>E16*7%</f>
        <v>4230800</v>
      </c>
      <c r="G16" s="59">
        <f>F16/365</f>
        <v>11591.232876712329</v>
      </c>
      <c r="H16" s="59">
        <f>G16*74</f>
        <v>857751.23287671234</v>
      </c>
      <c r="I16" s="59">
        <v>0</v>
      </c>
      <c r="J16" s="59">
        <f>H16-I16</f>
        <v>857751.23287671234</v>
      </c>
      <c r="K16" s="59" t="s">
        <v>18589</v>
      </c>
      <c r="L16" s="59"/>
      <c r="M16" s="61" t="s">
        <v>18609</v>
      </c>
      <c r="N16" s="59" t="s">
        <v>18496</v>
      </c>
      <c r="O16" s="61" t="s">
        <v>18545</v>
      </c>
      <c r="P16" s="32"/>
      <c r="Q16" s="33" t="s">
        <v>18652</v>
      </c>
      <c r="R16" s="102">
        <v>45856</v>
      </c>
      <c r="S16" s="113">
        <f t="shared" si="4"/>
        <v>857751.24</v>
      </c>
      <c r="T16" s="33"/>
      <c r="U16" s="33"/>
      <c r="V16" s="32"/>
      <c r="W16" s="33"/>
      <c r="X16" s="33"/>
      <c r="Y16" s="32"/>
    </row>
    <row r="17" spans="1:25" x14ac:dyDescent="0.25">
      <c r="A17" s="27">
        <v>7</v>
      </c>
      <c r="B17" s="58" t="s">
        <v>18494</v>
      </c>
      <c r="C17" s="58" t="s">
        <v>18495</v>
      </c>
      <c r="D17" s="59">
        <v>362641</v>
      </c>
      <c r="E17" s="59">
        <f>D17*1000</f>
        <v>362641000</v>
      </c>
      <c r="F17" s="60">
        <f>E17*7%</f>
        <v>25384870.000000004</v>
      </c>
      <c r="G17" s="59">
        <f>F17/365</f>
        <v>69547.589041095896</v>
      </c>
      <c r="H17" s="59">
        <f>G17*74</f>
        <v>5146521.5890410962</v>
      </c>
      <c r="I17" s="59">
        <v>0</v>
      </c>
      <c r="J17" s="59">
        <f>H17-I17</f>
        <v>5146521.5890410962</v>
      </c>
      <c r="K17" s="59" t="s">
        <v>18589</v>
      </c>
      <c r="L17" s="59"/>
      <c r="M17" s="61" t="s">
        <v>18609</v>
      </c>
      <c r="N17" s="59" t="s">
        <v>18496</v>
      </c>
      <c r="O17" s="61" t="s">
        <v>18497</v>
      </c>
      <c r="P17" s="32"/>
      <c r="Q17" s="33" t="s">
        <v>18652</v>
      </c>
      <c r="R17" s="102">
        <v>45856</v>
      </c>
      <c r="S17" s="113">
        <f t="shared" si="4"/>
        <v>5146521.59</v>
      </c>
      <c r="T17" s="33"/>
      <c r="U17" s="33"/>
      <c r="V17" s="32"/>
      <c r="W17" s="33"/>
      <c r="X17" s="33"/>
      <c r="Y17" s="32"/>
    </row>
    <row r="18" spans="1:25" x14ac:dyDescent="0.25">
      <c r="O18" s="1"/>
      <c r="S18" s="113"/>
    </row>
    <row r="19" spans="1:25" x14ac:dyDescent="0.25">
      <c r="A19" s="27">
        <v>10</v>
      </c>
      <c r="B19" s="28" t="s">
        <v>18534</v>
      </c>
      <c r="C19" s="28" t="s">
        <v>18655</v>
      </c>
      <c r="D19" s="29">
        <v>60440</v>
      </c>
      <c r="E19" s="29">
        <f>D19*1000</f>
        <v>60440000</v>
      </c>
      <c r="F19" s="38">
        <f>E19*7%</f>
        <v>4230800</v>
      </c>
      <c r="G19" s="29">
        <f>F19/365</f>
        <v>11591.232876712329</v>
      </c>
      <c r="H19" s="29">
        <f>G19*74</f>
        <v>857751.23287671234</v>
      </c>
      <c r="I19" s="29">
        <v>0</v>
      </c>
      <c r="J19" s="29">
        <f>H19-I19</f>
        <v>857751.23287671234</v>
      </c>
      <c r="K19" s="29" t="s">
        <v>18589</v>
      </c>
      <c r="L19" s="29"/>
      <c r="M19" s="57" t="s">
        <v>18605</v>
      </c>
      <c r="N19" s="29" t="s">
        <v>18535</v>
      </c>
      <c r="O19" s="103" t="s">
        <v>18654</v>
      </c>
      <c r="P19" s="32"/>
      <c r="Q19" s="33" t="s">
        <v>18652</v>
      </c>
      <c r="R19" s="102">
        <v>45850</v>
      </c>
      <c r="S19" s="113">
        <f t="shared" si="4"/>
        <v>857751.24</v>
      </c>
      <c r="T19" s="33"/>
      <c r="U19" s="33"/>
      <c r="V19" s="32"/>
      <c r="W19" s="33"/>
      <c r="X19" s="33"/>
      <c r="Y19" s="32"/>
    </row>
    <row r="20" spans="1:25" x14ac:dyDescent="0.25">
      <c r="A20" s="27">
        <v>13</v>
      </c>
      <c r="B20" s="28" t="s">
        <v>18529</v>
      </c>
      <c r="C20" s="28" t="s">
        <v>18662</v>
      </c>
      <c r="D20" s="29">
        <v>24176</v>
      </c>
      <c r="E20" s="29">
        <f>D20*1000</f>
        <v>24176000</v>
      </c>
      <c r="F20" s="38">
        <f>E20*7%</f>
        <v>1692320.0000000002</v>
      </c>
      <c r="G20" s="29">
        <f>F20/365</f>
        <v>4636.4931506849325</v>
      </c>
      <c r="H20" s="29">
        <f>G20*74</f>
        <v>343100.49315068498</v>
      </c>
      <c r="I20" s="29">
        <v>0</v>
      </c>
      <c r="J20" s="29">
        <f>H20-I20</f>
        <v>343100.49315068498</v>
      </c>
      <c r="K20" s="29" t="s">
        <v>18589</v>
      </c>
      <c r="L20" s="29"/>
      <c r="M20" s="57" t="s">
        <v>18629</v>
      </c>
      <c r="N20" s="29" t="s">
        <v>18524</v>
      </c>
      <c r="O20" s="54" t="s">
        <v>18530</v>
      </c>
      <c r="P20" s="32"/>
      <c r="Q20" s="33" t="s">
        <v>18652</v>
      </c>
      <c r="R20" s="102">
        <v>45850</v>
      </c>
      <c r="S20" s="113">
        <f t="shared" si="4"/>
        <v>343100.5</v>
      </c>
      <c r="T20" s="33"/>
      <c r="U20" s="33"/>
      <c r="V20" s="32"/>
      <c r="W20" s="33"/>
      <c r="X20" s="33"/>
      <c r="Y20" s="32"/>
    </row>
    <row r="21" spans="1:25" x14ac:dyDescent="0.25">
      <c r="O21" s="1"/>
    </row>
    <row r="22" spans="1:25" ht="15.75" customHeight="1" x14ac:dyDescent="0.25">
      <c r="A22" s="28"/>
      <c r="B22" s="28"/>
      <c r="C22" s="26" t="s">
        <v>18575</v>
      </c>
      <c r="D22" s="30">
        <f t="shared" ref="D22:J22" si="6">SUM(D5:D21)</f>
        <v>849922</v>
      </c>
      <c r="E22" s="30">
        <f t="shared" si="6"/>
        <v>849922000</v>
      </c>
      <c r="F22" s="30">
        <f t="shared" si="6"/>
        <v>59494540.000000007</v>
      </c>
      <c r="G22" s="30">
        <f t="shared" si="6"/>
        <v>162998.73972602742</v>
      </c>
      <c r="H22" s="30">
        <f t="shared" si="6"/>
        <v>12061906.739726029</v>
      </c>
      <c r="I22" s="30">
        <f t="shared" si="6"/>
        <v>0</v>
      </c>
      <c r="J22" s="30">
        <f t="shared" si="6"/>
        <v>12061906.739726029</v>
      </c>
      <c r="K22" s="7"/>
      <c r="L22" s="7"/>
      <c r="M22" s="7"/>
      <c r="N22" s="7"/>
      <c r="O22" s="6"/>
      <c r="S22" s="30">
        <f t="shared" ref="S22" si="7">SUM(S5:S21)</f>
        <v>12061906.810000001</v>
      </c>
    </row>
    <row r="25" spans="1:25" x14ac:dyDescent="0.25">
      <c r="L25" s="77"/>
    </row>
  </sheetData>
  <sortState xmlns:xlrd2="http://schemas.microsoft.com/office/spreadsheetml/2017/richdata2" ref="B5:O14">
    <sortCondition ref="M5:M14"/>
  </sortState>
  <pageMargins left="0.7" right="0.7" top="0.75" bottom="0.75" header="0.3" footer="0.3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8"/>
  <sheetViews>
    <sheetView workbookViewId="0">
      <selection activeCell="F26" sqref="F26"/>
    </sheetView>
  </sheetViews>
  <sheetFormatPr defaultRowHeight="15" x14ac:dyDescent="0.25"/>
  <cols>
    <col min="1" max="1" width="29.42578125" bestFit="1" customWidth="1"/>
    <col min="2" max="2" width="18.28515625" bestFit="1" customWidth="1"/>
    <col min="3" max="3" width="23.42578125" bestFit="1" customWidth="1"/>
    <col min="4" max="4" width="21.140625" bestFit="1" customWidth="1"/>
    <col min="5" max="5" width="16" bestFit="1" customWidth="1"/>
    <col min="6" max="6" width="21.140625" bestFit="1" customWidth="1"/>
    <col min="7" max="8" width="19.7109375" bestFit="1" customWidth="1"/>
  </cols>
  <sheetData>
    <row r="1" spans="1:8" ht="30" x14ac:dyDescent="0.25">
      <c r="A1" s="51" t="s">
        <v>18590</v>
      </c>
      <c r="B1" s="51" t="s">
        <v>18591</v>
      </c>
      <c r="C1" s="51" t="s">
        <v>16</v>
      </c>
      <c r="D1" s="51" t="s">
        <v>18581</v>
      </c>
      <c r="E1" s="51" t="s">
        <v>18582</v>
      </c>
      <c r="F1" s="51" t="s">
        <v>18595</v>
      </c>
      <c r="G1" s="51" t="s">
        <v>18585</v>
      </c>
      <c r="H1" s="51" t="s">
        <v>18584</v>
      </c>
    </row>
    <row r="2" spans="1:8" x14ac:dyDescent="0.25">
      <c r="A2" s="18" t="s">
        <v>18592</v>
      </c>
      <c r="B2" s="4">
        <v>273145</v>
      </c>
      <c r="C2" s="4">
        <v>273145000</v>
      </c>
      <c r="D2" s="4">
        <v>19120150</v>
      </c>
      <c r="E2" s="16">
        <v>52383.972602740883</v>
      </c>
      <c r="F2" s="45">
        <v>3876413.9726027874</v>
      </c>
      <c r="G2" s="45">
        <v>232584.8383561729</v>
      </c>
      <c r="H2" s="45">
        <v>3643829.1342464276</v>
      </c>
    </row>
    <row r="3" spans="1:8" x14ac:dyDescent="0.25">
      <c r="A3" s="18" t="s">
        <v>18593</v>
      </c>
      <c r="B3" s="14">
        <v>1376933</v>
      </c>
      <c r="C3" s="14">
        <v>1376933000</v>
      </c>
      <c r="D3" s="14">
        <v>96385310.000000015</v>
      </c>
      <c r="E3" s="14">
        <v>264069.34246575343</v>
      </c>
      <c r="F3" s="14">
        <v>19541131.342465755</v>
      </c>
      <c r="G3" s="14">
        <v>2931169.7013698635</v>
      </c>
      <c r="H3" s="14">
        <v>16609961.641095893</v>
      </c>
    </row>
    <row r="4" spans="1:8" x14ac:dyDescent="0.25">
      <c r="A4" s="18" t="s">
        <v>18594</v>
      </c>
      <c r="B4" s="14">
        <v>849922</v>
      </c>
      <c r="C4" s="14">
        <v>849922000</v>
      </c>
      <c r="D4" s="14">
        <v>59494540</v>
      </c>
      <c r="E4" s="14">
        <v>162998.73972602742</v>
      </c>
      <c r="F4" s="14">
        <v>12061906.739726027</v>
      </c>
      <c r="G4" s="14">
        <v>0</v>
      </c>
      <c r="H4" s="14">
        <v>12061906.739726027</v>
      </c>
    </row>
    <row r="5" spans="1:8" ht="18.75" x14ac:dyDescent="0.3">
      <c r="A5" s="49" t="s">
        <v>18575</v>
      </c>
      <c r="B5" s="50">
        <f>SUM(B2:B4)</f>
        <v>2500000</v>
      </c>
      <c r="C5" s="50">
        <f t="shared" ref="C5:G5" si="0">SUM(C2:C4)</f>
        <v>2500000000</v>
      </c>
      <c r="D5" s="50">
        <f t="shared" si="0"/>
        <v>175000000</v>
      </c>
      <c r="E5" s="50">
        <f t="shared" si="0"/>
        <v>479452.05479452171</v>
      </c>
      <c r="F5" s="50">
        <f t="shared" si="0"/>
        <v>35479452.054794572</v>
      </c>
      <c r="G5" s="50">
        <f t="shared" si="0"/>
        <v>3163754.5397260366</v>
      </c>
      <c r="H5" s="50">
        <f>SUM(H2:H4)</f>
        <v>32315697.515068352</v>
      </c>
    </row>
    <row r="7" spans="1:8" x14ac:dyDescent="0.25">
      <c r="C7" s="75"/>
    </row>
    <row r="9" spans="1:8" x14ac:dyDescent="0.25">
      <c r="B9" t="s">
        <v>18709</v>
      </c>
    </row>
    <row r="11" spans="1:8" x14ac:dyDescent="0.25">
      <c r="A11" t="s">
        <v>18710</v>
      </c>
      <c r="B11" s="97">
        <v>3614358.15</v>
      </c>
    </row>
    <row r="12" spans="1:8" x14ac:dyDescent="0.25">
      <c r="A12" t="s">
        <v>18711</v>
      </c>
      <c r="B12" s="97">
        <v>29482.17</v>
      </c>
      <c r="C12" s="75"/>
    </row>
    <row r="13" spans="1:8" x14ac:dyDescent="0.25">
      <c r="A13" t="s">
        <v>18713</v>
      </c>
      <c r="B13" s="97">
        <v>16609961.739999996</v>
      </c>
    </row>
    <row r="14" spans="1:8" x14ac:dyDescent="0.25">
      <c r="A14" t="s">
        <v>18714</v>
      </c>
      <c r="B14" s="97">
        <v>12061906.810000001</v>
      </c>
    </row>
    <row r="15" spans="1:8" x14ac:dyDescent="0.25">
      <c r="A15" t="s">
        <v>18712</v>
      </c>
      <c r="B15" s="75">
        <f>SUM(B11:B14)</f>
        <v>32315708.869999997</v>
      </c>
    </row>
    <row r="17" spans="2:2" x14ac:dyDescent="0.25">
      <c r="B17" s="75"/>
    </row>
    <row r="18" spans="2:2" x14ac:dyDescent="0.25">
      <c r="B18" s="75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PUBLIC</vt:lpstr>
      <vt:lpstr>Private Company</vt:lpstr>
      <vt:lpstr>Tax Exempted Fund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2026-08-14T06:29:24Z</dcterms:modified>
</cp:coreProperties>
</file>