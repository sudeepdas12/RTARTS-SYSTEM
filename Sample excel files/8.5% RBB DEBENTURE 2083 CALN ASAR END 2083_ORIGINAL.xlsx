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6C2B159-9792-452E-80E8-AB475F0D13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BB DEB ORIGINAL" sheetId="1" r:id="rId1"/>
    <sheet name="PUBLIC CALCULATION" sheetId="2" r:id="rId2"/>
    <sheet name="PRIVATE CALCULATION" sheetId="3" r:id="rId3"/>
    <sheet name="MUTUAL FUND CALCULATION" sheetId="4" r:id="rId4"/>
    <sheet name="SUMMARY" sheetId="5" r:id="rId5"/>
  </sheets>
  <definedNames>
    <definedName name="_08RT02UX.13012025.12" localSheetId="2">'PRIVATE CALCULATION'!$A$7:$N$29</definedName>
    <definedName name="_08RT02UX.13012025.12" localSheetId="1">'PUBLIC CALCULATION'!$A$7:$N$838</definedName>
    <definedName name="_08RT02UX.13012025.12" localSheetId="0">'RBB DEB ORIGINAL'!#REF!</definedName>
    <definedName name="_xlnm._FilterDatabase" localSheetId="1" hidden="1">'PUBLIC CALCULATION'!$A$6:$D$6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F9" i="3" s="1"/>
  <c r="G9" i="3" s="1"/>
  <c r="H9" i="3" s="1"/>
  <c r="I9" i="3" s="1"/>
  <c r="E10" i="3"/>
  <c r="F10" i="3"/>
  <c r="G10" i="3" s="1"/>
  <c r="H10" i="3" s="1"/>
  <c r="I10" i="3" s="1"/>
  <c r="E11" i="3"/>
  <c r="F11" i="3" s="1"/>
  <c r="G11" i="3" s="1"/>
  <c r="H11" i="3" s="1"/>
  <c r="I11" i="3" s="1"/>
  <c r="E12" i="3"/>
  <c r="F12" i="3" s="1"/>
  <c r="G12" i="3" s="1"/>
  <c r="H12" i="3" s="1"/>
  <c r="I12" i="3" s="1"/>
  <c r="E13" i="3"/>
  <c r="F13" i="3"/>
  <c r="G13" i="3" s="1"/>
  <c r="H13" i="3" s="1"/>
  <c r="I13" i="3" s="1"/>
  <c r="E14" i="3"/>
  <c r="F14" i="3" s="1"/>
  <c r="G14" i="3" s="1"/>
  <c r="H14" i="3" s="1"/>
  <c r="I14" i="3" s="1"/>
  <c r="E15" i="3"/>
  <c r="F15" i="3" s="1"/>
  <c r="G15" i="3" s="1"/>
  <c r="H15" i="3" s="1"/>
  <c r="I15" i="3" s="1"/>
  <c r="E16" i="3"/>
  <c r="F16" i="3"/>
  <c r="G16" i="3" s="1"/>
  <c r="H16" i="3" s="1"/>
  <c r="I16" i="3" s="1"/>
  <c r="E17" i="3"/>
  <c r="F17" i="3" s="1"/>
  <c r="G17" i="3" s="1"/>
  <c r="H17" i="3" s="1"/>
  <c r="I17" i="3" s="1"/>
  <c r="E18" i="3"/>
  <c r="F18" i="3" s="1"/>
  <c r="G18" i="3" s="1"/>
  <c r="H18" i="3" s="1"/>
  <c r="I18" i="3" s="1"/>
  <c r="E19" i="3"/>
  <c r="F19" i="3"/>
  <c r="G19" i="3" s="1"/>
  <c r="H19" i="3" s="1"/>
  <c r="I19" i="3" s="1"/>
  <c r="E20" i="3"/>
  <c r="F20" i="3" s="1"/>
  <c r="G20" i="3" s="1"/>
  <c r="H20" i="3" s="1"/>
  <c r="I20" i="3" s="1"/>
  <c r="E21" i="3"/>
  <c r="F21" i="3" s="1"/>
  <c r="G21" i="3" s="1"/>
  <c r="H21" i="3" s="1"/>
  <c r="I21" i="3" s="1"/>
  <c r="E22" i="3"/>
  <c r="F22" i="3"/>
  <c r="G22" i="3" s="1"/>
  <c r="H22" i="3" s="1"/>
  <c r="I22" i="3" s="1"/>
  <c r="E23" i="3"/>
  <c r="F23" i="3" s="1"/>
  <c r="G23" i="3" s="1"/>
  <c r="H23" i="3" s="1"/>
  <c r="I23" i="3" s="1"/>
  <c r="E24" i="3"/>
  <c r="F24" i="3" s="1"/>
  <c r="G24" i="3" s="1"/>
  <c r="H24" i="3" s="1"/>
  <c r="I24" i="3" s="1"/>
  <c r="E25" i="3"/>
  <c r="F25" i="3"/>
  <c r="G25" i="3" s="1"/>
  <c r="H25" i="3" s="1"/>
  <c r="I25" i="3" s="1"/>
  <c r="E26" i="3"/>
  <c r="F26" i="3" s="1"/>
  <c r="G26" i="3" s="1"/>
  <c r="H26" i="3" s="1"/>
  <c r="E27" i="3"/>
  <c r="F27" i="3" s="1"/>
  <c r="G27" i="3" s="1"/>
  <c r="H27" i="3" s="1"/>
  <c r="I27" i="3" s="1"/>
  <c r="E28" i="3"/>
  <c r="F28" i="3"/>
  <c r="G28" i="3" s="1"/>
  <c r="H28" i="3" s="1"/>
  <c r="I28" i="3" s="1"/>
  <c r="E29" i="3"/>
  <c r="F29" i="3" s="1"/>
  <c r="G29" i="3" s="1"/>
  <c r="H29" i="3" s="1"/>
  <c r="I29" i="3" s="1"/>
  <c r="D30" i="3"/>
  <c r="I26" i="3" l="1"/>
  <c r="J26" i="3"/>
  <c r="J29" i="3"/>
  <c r="J28" i="3"/>
  <c r="J27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E8" i="3" l="1"/>
  <c r="F8" i="3" s="1"/>
  <c r="G8" i="3" s="1"/>
  <c r="H8" i="3" s="1"/>
  <c r="I19" i="4"/>
  <c r="D19" i="4"/>
  <c r="E17" i="4"/>
  <c r="F17" i="4" s="1"/>
  <c r="G17" i="4" s="1"/>
  <c r="H17" i="4" s="1"/>
  <c r="E18" i="4"/>
  <c r="F18" i="4" s="1"/>
  <c r="G18" i="4" s="1"/>
  <c r="H18" i="4" s="1"/>
  <c r="J18" i="4" l="1"/>
  <c r="J17" i="4"/>
  <c r="I8" i="3"/>
  <c r="E7" i="2"/>
  <c r="F7" i="2" s="1"/>
  <c r="E8" i="2"/>
  <c r="F8" i="2" s="1"/>
  <c r="G8" i="2" s="1"/>
  <c r="H8" i="2" s="1"/>
  <c r="E9" i="2"/>
  <c r="F9" i="2" s="1"/>
  <c r="G9" i="2" s="1"/>
  <c r="H9" i="2" s="1"/>
  <c r="E10" i="2"/>
  <c r="F10" i="2" s="1"/>
  <c r="G10" i="2" s="1"/>
  <c r="H10" i="2" s="1"/>
  <c r="E11" i="2"/>
  <c r="F11" i="2" s="1"/>
  <c r="G11" i="2" s="1"/>
  <c r="H11" i="2" s="1"/>
  <c r="E12" i="2"/>
  <c r="F12" i="2" s="1"/>
  <c r="G12" i="2" s="1"/>
  <c r="H12" i="2" s="1"/>
  <c r="E13" i="2"/>
  <c r="F13" i="2" s="1"/>
  <c r="G13" i="2" s="1"/>
  <c r="H13" i="2" s="1"/>
  <c r="E14" i="2"/>
  <c r="F14" i="2" s="1"/>
  <c r="G14" i="2" s="1"/>
  <c r="H14" i="2" s="1"/>
  <c r="E15" i="2"/>
  <c r="F15" i="2" s="1"/>
  <c r="G15" i="2" s="1"/>
  <c r="H15" i="2" s="1"/>
  <c r="E16" i="2"/>
  <c r="F16" i="2" s="1"/>
  <c r="G16" i="2" s="1"/>
  <c r="H16" i="2" s="1"/>
  <c r="E17" i="2"/>
  <c r="F17" i="2" s="1"/>
  <c r="G17" i="2" s="1"/>
  <c r="E18" i="2"/>
  <c r="F18" i="2" s="1"/>
  <c r="G18" i="2" s="1"/>
  <c r="H18" i="2" s="1"/>
  <c r="E19" i="2"/>
  <c r="F19" i="2" s="1"/>
  <c r="G19" i="2" s="1"/>
  <c r="H19" i="2" s="1"/>
  <c r="E20" i="2"/>
  <c r="F20" i="2" s="1"/>
  <c r="G20" i="2" s="1"/>
  <c r="H20" i="2" s="1"/>
  <c r="E21" i="2"/>
  <c r="F21" i="2" s="1"/>
  <c r="G21" i="2" s="1"/>
  <c r="H21" i="2" s="1"/>
  <c r="E22" i="2"/>
  <c r="F22" i="2" s="1"/>
  <c r="G22" i="2" s="1"/>
  <c r="E23" i="2"/>
  <c r="F23" i="2" s="1"/>
  <c r="G23" i="2" s="1"/>
  <c r="H23" i="2" s="1"/>
  <c r="E24" i="2"/>
  <c r="F24" i="2" s="1"/>
  <c r="G24" i="2" s="1"/>
  <c r="H24" i="2" s="1"/>
  <c r="E25" i="2"/>
  <c r="F25" i="2" s="1"/>
  <c r="G25" i="2" s="1"/>
  <c r="H25" i="2" s="1"/>
  <c r="E26" i="2"/>
  <c r="F26" i="2" s="1"/>
  <c r="G26" i="2" s="1"/>
  <c r="H26" i="2" s="1"/>
  <c r="E27" i="2"/>
  <c r="F27" i="2" s="1"/>
  <c r="G27" i="2" s="1"/>
  <c r="H27" i="2" s="1"/>
  <c r="E28" i="2"/>
  <c r="F28" i="2" s="1"/>
  <c r="G28" i="2" s="1"/>
  <c r="H28" i="2" s="1"/>
  <c r="E29" i="2"/>
  <c r="F29" i="2" s="1"/>
  <c r="G29" i="2" s="1"/>
  <c r="H29" i="2" s="1"/>
  <c r="E30" i="2"/>
  <c r="F30" i="2" s="1"/>
  <c r="G30" i="2" s="1"/>
  <c r="H30" i="2" s="1"/>
  <c r="E31" i="2"/>
  <c r="F31" i="2" s="1"/>
  <c r="G31" i="2" s="1"/>
  <c r="H31" i="2" s="1"/>
  <c r="E32" i="2"/>
  <c r="F32" i="2" s="1"/>
  <c r="G32" i="2" s="1"/>
  <c r="H32" i="2" s="1"/>
  <c r="E33" i="2"/>
  <c r="F33" i="2" s="1"/>
  <c r="G33" i="2" s="1"/>
  <c r="H33" i="2" s="1"/>
  <c r="E34" i="2"/>
  <c r="F34" i="2" s="1"/>
  <c r="G34" i="2" s="1"/>
  <c r="H34" i="2" s="1"/>
  <c r="E35" i="2"/>
  <c r="F35" i="2" s="1"/>
  <c r="G35" i="2" s="1"/>
  <c r="H35" i="2" s="1"/>
  <c r="E36" i="2"/>
  <c r="F36" i="2" s="1"/>
  <c r="G36" i="2" s="1"/>
  <c r="H36" i="2" s="1"/>
  <c r="E37" i="2"/>
  <c r="F37" i="2" s="1"/>
  <c r="G37" i="2" s="1"/>
  <c r="H37" i="2" s="1"/>
  <c r="E38" i="2"/>
  <c r="F38" i="2" s="1"/>
  <c r="G38" i="2" s="1"/>
  <c r="H38" i="2" s="1"/>
  <c r="E39" i="2"/>
  <c r="F39" i="2" s="1"/>
  <c r="G39" i="2" s="1"/>
  <c r="H39" i="2" s="1"/>
  <c r="E40" i="2"/>
  <c r="F40" i="2" s="1"/>
  <c r="G40" i="2" s="1"/>
  <c r="H40" i="2" s="1"/>
  <c r="E41" i="2"/>
  <c r="F41" i="2" s="1"/>
  <c r="G41" i="2" s="1"/>
  <c r="H41" i="2" s="1"/>
  <c r="E42" i="2"/>
  <c r="F42" i="2" s="1"/>
  <c r="G42" i="2" s="1"/>
  <c r="H42" i="2" s="1"/>
  <c r="E43" i="2"/>
  <c r="F43" i="2" s="1"/>
  <c r="G43" i="2" s="1"/>
  <c r="H43" i="2" s="1"/>
  <c r="E44" i="2"/>
  <c r="F44" i="2" s="1"/>
  <c r="G44" i="2" s="1"/>
  <c r="H44" i="2" s="1"/>
  <c r="E45" i="2"/>
  <c r="F45" i="2" s="1"/>
  <c r="G45" i="2" s="1"/>
  <c r="H45" i="2" s="1"/>
  <c r="E46" i="2"/>
  <c r="F46" i="2" s="1"/>
  <c r="G46" i="2" s="1"/>
  <c r="H46" i="2" s="1"/>
  <c r="E47" i="2"/>
  <c r="F47" i="2" s="1"/>
  <c r="G47" i="2" s="1"/>
  <c r="H47" i="2" s="1"/>
  <c r="E48" i="2"/>
  <c r="F48" i="2" s="1"/>
  <c r="G48" i="2" s="1"/>
  <c r="H48" i="2" s="1"/>
  <c r="E49" i="2"/>
  <c r="F49" i="2" s="1"/>
  <c r="G49" i="2" s="1"/>
  <c r="H49" i="2" s="1"/>
  <c r="E50" i="2"/>
  <c r="F50" i="2" s="1"/>
  <c r="G50" i="2" s="1"/>
  <c r="H50" i="2" s="1"/>
  <c r="E51" i="2"/>
  <c r="F51" i="2" s="1"/>
  <c r="G51" i="2" s="1"/>
  <c r="H51" i="2" s="1"/>
  <c r="E52" i="2"/>
  <c r="F52" i="2" s="1"/>
  <c r="G52" i="2" s="1"/>
  <c r="H52" i="2" s="1"/>
  <c r="E53" i="2"/>
  <c r="F53" i="2" s="1"/>
  <c r="G53" i="2" s="1"/>
  <c r="H53" i="2" s="1"/>
  <c r="E54" i="2"/>
  <c r="F54" i="2" s="1"/>
  <c r="G54" i="2" s="1"/>
  <c r="H54" i="2" s="1"/>
  <c r="E55" i="2"/>
  <c r="F55" i="2" s="1"/>
  <c r="G55" i="2" s="1"/>
  <c r="H55" i="2" s="1"/>
  <c r="E56" i="2"/>
  <c r="F56" i="2" s="1"/>
  <c r="G56" i="2" s="1"/>
  <c r="H56" i="2" s="1"/>
  <c r="E57" i="2"/>
  <c r="F57" i="2" s="1"/>
  <c r="G57" i="2" s="1"/>
  <c r="H57" i="2" s="1"/>
  <c r="E58" i="2"/>
  <c r="F58" i="2" s="1"/>
  <c r="G58" i="2" s="1"/>
  <c r="H58" i="2" s="1"/>
  <c r="E59" i="2"/>
  <c r="F59" i="2" s="1"/>
  <c r="G59" i="2" s="1"/>
  <c r="H59" i="2" s="1"/>
  <c r="E60" i="2"/>
  <c r="F60" i="2" s="1"/>
  <c r="G60" i="2" s="1"/>
  <c r="H60" i="2" s="1"/>
  <c r="E61" i="2"/>
  <c r="F61" i="2" s="1"/>
  <c r="G61" i="2" s="1"/>
  <c r="H61" i="2" s="1"/>
  <c r="E62" i="2"/>
  <c r="F62" i="2" s="1"/>
  <c r="G62" i="2" s="1"/>
  <c r="H62" i="2" s="1"/>
  <c r="E63" i="2"/>
  <c r="F63" i="2" s="1"/>
  <c r="G63" i="2" s="1"/>
  <c r="H63" i="2" s="1"/>
  <c r="E64" i="2"/>
  <c r="F64" i="2" s="1"/>
  <c r="G64" i="2" s="1"/>
  <c r="H64" i="2" s="1"/>
  <c r="E65" i="2"/>
  <c r="F65" i="2" s="1"/>
  <c r="G65" i="2" s="1"/>
  <c r="H65" i="2" s="1"/>
  <c r="E66" i="2"/>
  <c r="F66" i="2" s="1"/>
  <c r="G66" i="2" s="1"/>
  <c r="H66" i="2" s="1"/>
  <c r="E67" i="2"/>
  <c r="F67" i="2" s="1"/>
  <c r="G67" i="2" s="1"/>
  <c r="H67" i="2" s="1"/>
  <c r="E68" i="2"/>
  <c r="F68" i="2" s="1"/>
  <c r="G68" i="2" s="1"/>
  <c r="H68" i="2" s="1"/>
  <c r="E69" i="2"/>
  <c r="F69" i="2" s="1"/>
  <c r="G69" i="2" s="1"/>
  <c r="H69" i="2" s="1"/>
  <c r="E70" i="2"/>
  <c r="F70" i="2" s="1"/>
  <c r="G70" i="2" s="1"/>
  <c r="H70" i="2" s="1"/>
  <c r="E71" i="2"/>
  <c r="F71" i="2" s="1"/>
  <c r="G71" i="2" s="1"/>
  <c r="H71" i="2" s="1"/>
  <c r="E72" i="2"/>
  <c r="F72" i="2" s="1"/>
  <c r="G72" i="2" s="1"/>
  <c r="H72" i="2" s="1"/>
  <c r="E73" i="2"/>
  <c r="F73" i="2" s="1"/>
  <c r="G73" i="2" s="1"/>
  <c r="H73" i="2" s="1"/>
  <c r="E74" i="2"/>
  <c r="F74" i="2" s="1"/>
  <c r="G74" i="2" s="1"/>
  <c r="H74" i="2" s="1"/>
  <c r="E75" i="2"/>
  <c r="F75" i="2" s="1"/>
  <c r="G75" i="2" s="1"/>
  <c r="H75" i="2" s="1"/>
  <c r="E76" i="2"/>
  <c r="F76" i="2" s="1"/>
  <c r="G76" i="2" s="1"/>
  <c r="H76" i="2" s="1"/>
  <c r="E77" i="2"/>
  <c r="F77" i="2" s="1"/>
  <c r="G77" i="2" s="1"/>
  <c r="H77" i="2" s="1"/>
  <c r="E78" i="2"/>
  <c r="F78" i="2" s="1"/>
  <c r="G78" i="2" s="1"/>
  <c r="H78" i="2" s="1"/>
  <c r="E79" i="2"/>
  <c r="F79" i="2" s="1"/>
  <c r="G79" i="2" s="1"/>
  <c r="H79" i="2" s="1"/>
  <c r="E80" i="2"/>
  <c r="F80" i="2" s="1"/>
  <c r="G80" i="2" s="1"/>
  <c r="H80" i="2" s="1"/>
  <c r="E81" i="2"/>
  <c r="F81" i="2" s="1"/>
  <c r="G81" i="2" s="1"/>
  <c r="H81" i="2" s="1"/>
  <c r="E82" i="2"/>
  <c r="F82" i="2" s="1"/>
  <c r="G82" i="2" s="1"/>
  <c r="H82" i="2" s="1"/>
  <c r="E83" i="2"/>
  <c r="F83" i="2" s="1"/>
  <c r="G83" i="2" s="1"/>
  <c r="H83" i="2" s="1"/>
  <c r="E84" i="2"/>
  <c r="F84" i="2" s="1"/>
  <c r="G84" i="2" s="1"/>
  <c r="H84" i="2" s="1"/>
  <c r="E85" i="2"/>
  <c r="F85" i="2" s="1"/>
  <c r="G85" i="2" s="1"/>
  <c r="H85" i="2" s="1"/>
  <c r="E86" i="2"/>
  <c r="F86" i="2" s="1"/>
  <c r="G86" i="2" s="1"/>
  <c r="H86" i="2" s="1"/>
  <c r="E87" i="2"/>
  <c r="F87" i="2" s="1"/>
  <c r="G87" i="2" s="1"/>
  <c r="H87" i="2" s="1"/>
  <c r="E88" i="2"/>
  <c r="F88" i="2" s="1"/>
  <c r="G88" i="2" s="1"/>
  <c r="H88" i="2" s="1"/>
  <c r="E89" i="2"/>
  <c r="F89" i="2" s="1"/>
  <c r="G89" i="2" s="1"/>
  <c r="H89" i="2" s="1"/>
  <c r="E90" i="2"/>
  <c r="F90" i="2" s="1"/>
  <c r="G90" i="2" s="1"/>
  <c r="H90" i="2" s="1"/>
  <c r="E91" i="2"/>
  <c r="F91" i="2" s="1"/>
  <c r="G91" i="2" s="1"/>
  <c r="H91" i="2" s="1"/>
  <c r="E92" i="2"/>
  <c r="F92" i="2" s="1"/>
  <c r="G92" i="2" s="1"/>
  <c r="H92" i="2" s="1"/>
  <c r="E93" i="2"/>
  <c r="F93" i="2" s="1"/>
  <c r="G93" i="2" s="1"/>
  <c r="H93" i="2" s="1"/>
  <c r="E94" i="2"/>
  <c r="F94" i="2" s="1"/>
  <c r="G94" i="2" s="1"/>
  <c r="H94" i="2" s="1"/>
  <c r="E95" i="2"/>
  <c r="F95" i="2" s="1"/>
  <c r="G95" i="2" s="1"/>
  <c r="H95" i="2" s="1"/>
  <c r="E96" i="2"/>
  <c r="F96" i="2" s="1"/>
  <c r="G96" i="2" s="1"/>
  <c r="H96" i="2" s="1"/>
  <c r="E97" i="2"/>
  <c r="F97" i="2" s="1"/>
  <c r="G97" i="2" s="1"/>
  <c r="H97" i="2" s="1"/>
  <c r="E98" i="2"/>
  <c r="F98" i="2" s="1"/>
  <c r="G98" i="2" s="1"/>
  <c r="H98" i="2" s="1"/>
  <c r="E99" i="2"/>
  <c r="F99" i="2" s="1"/>
  <c r="G99" i="2" s="1"/>
  <c r="H99" i="2" s="1"/>
  <c r="E100" i="2"/>
  <c r="F100" i="2" s="1"/>
  <c r="G100" i="2" s="1"/>
  <c r="H100" i="2" s="1"/>
  <c r="E101" i="2"/>
  <c r="F101" i="2" s="1"/>
  <c r="G101" i="2" s="1"/>
  <c r="H101" i="2" s="1"/>
  <c r="E102" i="2"/>
  <c r="F102" i="2" s="1"/>
  <c r="G102" i="2" s="1"/>
  <c r="H102" i="2" s="1"/>
  <c r="E103" i="2"/>
  <c r="F103" i="2" s="1"/>
  <c r="G103" i="2" s="1"/>
  <c r="H103" i="2" s="1"/>
  <c r="E104" i="2"/>
  <c r="F104" i="2" s="1"/>
  <c r="G104" i="2" s="1"/>
  <c r="H104" i="2" s="1"/>
  <c r="E105" i="2"/>
  <c r="F105" i="2" s="1"/>
  <c r="G105" i="2" s="1"/>
  <c r="H105" i="2" s="1"/>
  <c r="E106" i="2"/>
  <c r="F106" i="2" s="1"/>
  <c r="G106" i="2" s="1"/>
  <c r="H106" i="2" s="1"/>
  <c r="E107" i="2"/>
  <c r="F107" i="2" s="1"/>
  <c r="G107" i="2" s="1"/>
  <c r="H107" i="2" s="1"/>
  <c r="E108" i="2"/>
  <c r="F108" i="2" s="1"/>
  <c r="G108" i="2" s="1"/>
  <c r="H108" i="2" s="1"/>
  <c r="E109" i="2"/>
  <c r="F109" i="2" s="1"/>
  <c r="G109" i="2" s="1"/>
  <c r="H109" i="2" s="1"/>
  <c r="E110" i="2"/>
  <c r="F110" i="2" s="1"/>
  <c r="G110" i="2" s="1"/>
  <c r="H110" i="2" s="1"/>
  <c r="E111" i="2"/>
  <c r="F111" i="2" s="1"/>
  <c r="G111" i="2" s="1"/>
  <c r="H111" i="2" s="1"/>
  <c r="E112" i="2"/>
  <c r="F112" i="2" s="1"/>
  <c r="G112" i="2" s="1"/>
  <c r="H112" i="2" s="1"/>
  <c r="E113" i="2"/>
  <c r="F113" i="2" s="1"/>
  <c r="G113" i="2" s="1"/>
  <c r="H113" i="2" s="1"/>
  <c r="E114" i="2"/>
  <c r="F114" i="2" s="1"/>
  <c r="G114" i="2" s="1"/>
  <c r="H114" i="2" s="1"/>
  <c r="E115" i="2"/>
  <c r="F115" i="2" s="1"/>
  <c r="G115" i="2" s="1"/>
  <c r="H115" i="2" s="1"/>
  <c r="E116" i="2"/>
  <c r="F116" i="2" s="1"/>
  <c r="G116" i="2" s="1"/>
  <c r="H116" i="2" s="1"/>
  <c r="E117" i="2"/>
  <c r="F117" i="2" s="1"/>
  <c r="G117" i="2" s="1"/>
  <c r="H117" i="2" s="1"/>
  <c r="E118" i="2"/>
  <c r="F118" i="2" s="1"/>
  <c r="G118" i="2" s="1"/>
  <c r="H118" i="2" s="1"/>
  <c r="E119" i="2"/>
  <c r="F119" i="2" s="1"/>
  <c r="G119" i="2" s="1"/>
  <c r="H119" i="2" s="1"/>
  <c r="E120" i="2"/>
  <c r="F120" i="2" s="1"/>
  <c r="G120" i="2" s="1"/>
  <c r="H120" i="2" s="1"/>
  <c r="E121" i="2"/>
  <c r="F121" i="2" s="1"/>
  <c r="G121" i="2" s="1"/>
  <c r="H121" i="2" s="1"/>
  <c r="E122" i="2"/>
  <c r="F122" i="2" s="1"/>
  <c r="G122" i="2" s="1"/>
  <c r="H122" i="2" s="1"/>
  <c r="E123" i="2"/>
  <c r="F123" i="2" s="1"/>
  <c r="G123" i="2" s="1"/>
  <c r="H123" i="2" s="1"/>
  <c r="E124" i="2"/>
  <c r="F124" i="2" s="1"/>
  <c r="G124" i="2" s="1"/>
  <c r="H124" i="2" s="1"/>
  <c r="E125" i="2"/>
  <c r="F125" i="2" s="1"/>
  <c r="G125" i="2" s="1"/>
  <c r="H125" i="2" s="1"/>
  <c r="E126" i="2"/>
  <c r="F126" i="2" s="1"/>
  <c r="G126" i="2" s="1"/>
  <c r="H126" i="2" s="1"/>
  <c r="E127" i="2"/>
  <c r="F127" i="2" s="1"/>
  <c r="G127" i="2" s="1"/>
  <c r="H127" i="2" s="1"/>
  <c r="E128" i="2"/>
  <c r="F128" i="2" s="1"/>
  <c r="G128" i="2" s="1"/>
  <c r="H128" i="2" s="1"/>
  <c r="E129" i="2"/>
  <c r="F129" i="2" s="1"/>
  <c r="G129" i="2" s="1"/>
  <c r="H129" i="2" s="1"/>
  <c r="E130" i="2"/>
  <c r="F130" i="2" s="1"/>
  <c r="G130" i="2" s="1"/>
  <c r="H130" i="2" s="1"/>
  <c r="E131" i="2"/>
  <c r="F131" i="2" s="1"/>
  <c r="G131" i="2" s="1"/>
  <c r="H131" i="2" s="1"/>
  <c r="E132" i="2"/>
  <c r="F132" i="2" s="1"/>
  <c r="G132" i="2" s="1"/>
  <c r="H132" i="2" s="1"/>
  <c r="E133" i="2"/>
  <c r="F133" i="2" s="1"/>
  <c r="G133" i="2" s="1"/>
  <c r="H133" i="2" s="1"/>
  <c r="E134" i="2"/>
  <c r="F134" i="2" s="1"/>
  <c r="G134" i="2" s="1"/>
  <c r="H134" i="2" s="1"/>
  <c r="E135" i="2"/>
  <c r="F135" i="2" s="1"/>
  <c r="G135" i="2" s="1"/>
  <c r="H135" i="2" s="1"/>
  <c r="E136" i="2"/>
  <c r="F136" i="2" s="1"/>
  <c r="G136" i="2" s="1"/>
  <c r="H136" i="2" s="1"/>
  <c r="E137" i="2"/>
  <c r="F137" i="2" s="1"/>
  <c r="G137" i="2" s="1"/>
  <c r="H137" i="2" s="1"/>
  <c r="E138" i="2"/>
  <c r="F138" i="2" s="1"/>
  <c r="G138" i="2" s="1"/>
  <c r="H138" i="2" s="1"/>
  <c r="E139" i="2"/>
  <c r="F139" i="2" s="1"/>
  <c r="G139" i="2" s="1"/>
  <c r="H139" i="2" s="1"/>
  <c r="E140" i="2"/>
  <c r="F140" i="2" s="1"/>
  <c r="G140" i="2" s="1"/>
  <c r="H140" i="2" s="1"/>
  <c r="E141" i="2"/>
  <c r="F141" i="2" s="1"/>
  <c r="G141" i="2" s="1"/>
  <c r="H141" i="2" s="1"/>
  <c r="E142" i="2"/>
  <c r="F142" i="2" s="1"/>
  <c r="G142" i="2" s="1"/>
  <c r="E143" i="2"/>
  <c r="F143" i="2" s="1"/>
  <c r="G143" i="2" s="1"/>
  <c r="H143" i="2" s="1"/>
  <c r="E144" i="2"/>
  <c r="F144" i="2" s="1"/>
  <c r="G144" i="2" s="1"/>
  <c r="H144" i="2" s="1"/>
  <c r="E145" i="2"/>
  <c r="F145" i="2" s="1"/>
  <c r="G145" i="2" s="1"/>
  <c r="H145" i="2" s="1"/>
  <c r="E146" i="2"/>
  <c r="F146" i="2" s="1"/>
  <c r="G146" i="2" s="1"/>
  <c r="H146" i="2" s="1"/>
  <c r="E147" i="2"/>
  <c r="F147" i="2" s="1"/>
  <c r="G147" i="2" s="1"/>
  <c r="H147" i="2" s="1"/>
  <c r="E148" i="2"/>
  <c r="F148" i="2" s="1"/>
  <c r="G148" i="2" s="1"/>
  <c r="H148" i="2" s="1"/>
  <c r="E149" i="2"/>
  <c r="F149" i="2" s="1"/>
  <c r="G149" i="2" s="1"/>
  <c r="H149" i="2" s="1"/>
  <c r="E150" i="2"/>
  <c r="F150" i="2" s="1"/>
  <c r="G150" i="2" s="1"/>
  <c r="H150" i="2" s="1"/>
  <c r="E151" i="2"/>
  <c r="F151" i="2" s="1"/>
  <c r="G151" i="2" s="1"/>
  <c r="H151" i="2" s="1"/>
  <c r="E152" i="2"/>
  <c r="F152" i="2" s="1"/>
  <c r="G152" i="2" s="1"/>
  <c r="H152" i="2" s="1"/>
  <c r="E153" i="2"/>
  <c r="F153" i="2" s="1"/>
  <c r="G153" i="2" s="1"/>
  <c r="H153" i="2" s="1"/>
  <c r="E154" i="2"/>
  <c r="F154" i="2" s="1"/>
  <c r="G154" i="2" s="1"/>
  <c r="H154" i="2" s="1"/>
  <c r="E155" i="2"/>
  <c r="F155" i="2" s="1"/>
  <c r="G155" i="2" s="1"/>
  <c r="H155" i="2" s="1"/>
  <c r="E156" i="2"/>
  <c r="F156" i="2" s="1"/>
  <c r="G156" i="2" s="1"/>
  <c r="H156" i="2" s="1"/>
  <c r="E157" i="2"/>
  <c r="F157" i="2" s="1"/>
  <c r="G157" i="2" s="1"/>
  <c r="H157" i="2" s="1"/>
  <c r="E158" i="2"/>
  <c r="F158" i="2" s="1"/>
  <c r="G158" i="2" s="1"/>
  <c r="H158" i="2" s="1"/>
  <c r="E159" i="2"/>
  <c r="F159" i="2" s="1"/>
  <c r="G159" i="2" s="1"/>
  <c r="H159" i="2" s="1"/>
  <c r="E160" i="2"/>
  <c r="F160" i="2" s="1"/>
  <c r="G160" i="2" s="1"/>
  <c r="H160" i="2" s="1"/>
  <c r="E161" i="2"/>
  <c r="F161" i="2" s="1"/>
  <c r="G161" i="2" s="1"/>
  <c r="E162" i="2"/>
  <c r="F162" i="2" s="1"/>
  <c r="G162" i="2" s="1"/>
  <c r="H162" i="2" s="1"/>
  <c r="E163" i="2"/>
  <c r="F163" i="2" s="1"/>
  <c r="G163" i="2" s="1"/>
  <c r="H163" i="2" s="1"/>
  <c r="E164" i="2"/>
  <c r="F164" i="2" s="1"/>
  <c r="G164" i="2" s="1"/>
  <c r="H164" i="2" s="1"/>
  <c r="E165" i="2"/>
  <c r="F165" i="2" s="1"/>
  <c r="G165" i="2" s="1"/>
  <c r="H165" i="2" s="1"/>
  <c r="E166" i="2"/>
  <c r="F166" i="2" s="1"/>
  <c r="G166" i="2" s="1"/>
  <c r="H166" i="2" s="1"/>
  <c r="E167" i="2"/>
  <c r="F167" i="2" s="1"/>
  <c r="G167" i="2" s="1"/>
  <c r="H167" i="2" s="1"/>
  <c r="E168" i="2"/>
  <c r="F168" i="2" s="1"/>
  <c r="G168" i="2" s="1"/>
  <c r="H168" i="2" s="1"/>
  <c r="E169" i="2"/>
  <c r="F169" i="2" s="1"/>
  <c r="G169" i="2" s="1"/>
  <c r="H169" i="2" s="1"/>
  <c r="E170" i="2"/>
  <c r="F170" i="2" s="1"/>
  <c r="G170" i="2" s="1"/>
  <c r="H170" i="2" s="1"/>
  <c r="E171" i="2"/>
  <c r="F171" i="2" s="1"/>
  <c r="G171" i="2" s="1"/>
  <c r="H171" i="2" s="1"/>
  <c r="E172" i="2"/>
  <c r="F172" i="2" s="1"/>
  <c r="G172" i="2" s="1"/>
  <c r="H172" i="2" s="1"/>
  <c r="E173" i="2"/>
  <c r="F173" i="2" s="1"/>
  <c r="G173" i="2" s="1"/>
  <c r="H173" i="2" s="1"/>
  <c r="E174" i="2"/>
  <c r="F174" i="2" s="1"/>
  <c r="G174" i="2" s="1"/>
  <c r="H174" i="2" s="1"/>
  <c r="E175" i="2"/>
  <c r="F175" i="2" s="1"/>
  <c r="G175" i="2" s="1"/>
  <c r="H175" i="2" s="1"/>
  <c r="E176" i="2"/>
  <c r="F176" i="2" s="1"/>
  <c r="G176" i="2" s="1"/>
  <c r="H176" i="2" s="1"/>
  <c r="E177" i="2"/>
  <c r="F177" i="2" s="1"/>
  <c r="G177" i="2" s="1"/>
  <c r="H177" i="2" s="1"/>
  <c r="E178" i="2"/>
  <c r="F178" i="2" s="1"/>
  <c r="G178" i="2" s="1"/>
  <c r="H178" i="2" s="1"/>
  <c r="E179" i="2"/>
  <c r="F179" i="2" s="1"/>
  <c r="G179" i="2" s="1"/>
  <c r="H179" i="2" s="1"/>
  <c r="E180" i="2"/>
  <c r="F180" i="2" s="1"/>
  <c r="G180" i="2" s="1"/>
  <c r="H180" i="2" s="1"/>
  <c r="E181" i="2"/>
  <c r="F181" i="2" s="1"/>
  <c r="G181" i="2" s="1"/>
  <c r="H181" i="2" s="1"/>
  <c r="E182" i="2"/>
  <c r="F182" i="2" s="1"/>
  <c r="G182" i="2" s="1"/>
  <c r="H182" i="2" s="1"/>
  <c r="E183" i="2"/>
  <c r="F183" i="2" s="1"/>
  <c r="G183" i="2" s="1"/>
  <c r="H183" i="2" s="1"/>
  <c r="E184" i="2"/>
  <c r="F184" i="2" s="1"/>
  <c r="G184" i="2" s="1"/>
  <c r="H184" i="2" s="1"/>
  <c r="E185" i="2"/>
  <c r="F185" i="2" s="1"/>
  <c r="G185" i="2" s="1"/>
  <c r="H185" i="2" s="1"/>
  <c r="E186" i="2"/>
  <c r="F186" i="2" s="1"/>
  <c r="G186" i="2" s="1"/>
  <c r="H186" i="2" s="1"/>
  <c r="E187" i="2"/>
  <c r="F187" i="2" s="1"/>
  <c r="G187" i="2" s="1"/>
  <c r="H187" i="2" s="1"/>
  <c r="E188" i="2"/>
  <c r="F188" i="2" s="1"/>
  <c r="G188" i="2" s="1"/>
  <c r="H188" i="2" s="1"/>
  <c r="E189" i="2"/>
  <c r="F189" i="2" s="1"/>
  <c r="G189" i="2" s="1"/>
  <c r="H189" i="2" s="1"/>
  <c r="E190" i="2"/>
  <c r="F190" i="2" s="1"/>
  <c r="G190" i="2" s="1"/>
  <c r="H190" i="2" s="1"/>
  <c r="E191" i="2"/>
  <c r="F191" i="2" s="1"/>
  <c r="G191" i="2" s="1"/>
  <c r="H191" i="2" s="1"/>
  <c r="E192" i="2"/>
  <c r="F192" i="2" s="1"/>
  <c r="G192" i="2" s="1"/>
  <c r="H192" i="2" s="1"/>
  <c r="E193" i="2"/>
  <c r="F193" i="2" s="1"/>
  <c r="G193" i="2" s="1"/>
  <c r="H193" i="2" s="1"/>
  <c r="E194" i="2"/>
  <c r="F194" i="2" s="1"/>
  <c r="G194" i="2" s="1"/>
  <c r="H194" i="2" s="1"/>
  <c r="E195" i="2"/>
  <c r="F195" i="2" s="1"/>
  <c r="G195" i="2" s="1"/>
  <c r="H195" i="2" s="1"/>
  <c r="E196" i="2"/>
  <c r="F196" i="2" s="1"/>
  <c r="G196" i="2" s="1"/>
  <c r="H196" i="2" s="1"/>
  <c r="E197" i="2"/>
  <c r="F197" i="2" s="1"/>
  <c r="G197" i="2" s="1"/>
  <c r="H197" i="2" s="1"/>
  <c r="E198" i="2"/>
  <c r="F198" i="2" s="1"/>
  <c r="G198" i="2" s="1"/>
  <c r="H198" i="2" s="1"/>
  <c r="E199" i="2"/>
  <c r="F199" i="2" s="1"/>
  <c r="G199" i="2" s="1"/>
  <c r="E200" i="2"/>
  <c r="F200" i="2" s="1"/>
  <c r="G200" i="2" s="1"/>
  <c r="H200" i="2" s="1"/>
  <c r="E201" i="2"/>
  <c r="F201" i="2" s="1"/>
  <c r="G201" i="2" s="1"/>
  <c r="H201" i="2" s="1"/>
  <c r="E202" i="2"/>
  <c r="F202" i="2" s="1"/>
  <c r="G202" i="2" s="1"/>
  <c r="H202" i="2" s="1"/>
  <c r="E203" i="2"/>
  <c r="F203" i="2" s="1"/>
  <c r="G203" i="2" s="1"/>
  <c r="H203" i="2" s="1"/>
  <c r="E204" i="2"/>
  <c r="F204" i="2" s="1"/>
  <c r="G204" i="2" s="1"/>
  <c r="H204" i="2" s="1"/>
  <c r="E205" i="2"/>
  <c r="F205" i="2" s="1"/>
  <c r="G205" i="2" s="1"/>
  <c r="H205" i="2" s="1"/>
  <c r="E206" i="2"/>
  <c r="F206" i="2" s="1"/>
  <c r="G206" i="2" s="1"/>
  <c r="H206" i="2" s="1"/>
  <c r="E207" i="2"/>
  <c r="F207" i="2" s="1"/>
  <c r="G207" i="2" s="1"/>
  <c r="H207" i="2" s="1"/>
  <c r="E208" i="2"/>
  <c r="F208" i="2" s="1"/>
  <c r="G208" i="2" s="1"/>
  <c r="H208" i="2" s="1"/>
  <c r="E209" i="2"/>
  <c r="F209" i="2" s="1"/>
  <c r="G209" i="2" s="1"/>
  <c r="H209" i="2" s="1"/>
  <c r="E210" i="2"/>
  <c r="F210" i="2" s="1"/>
  <c r="G210" i="2" s="1"/>
  <c r="H210" i="2" s="1"/>
  <c r="E211" i="2"/>
  <c r="F211" i="2" s="1"/>
  <c r="G211" i="2" s="1"/>
  <c r="H211" i="2" s="1"/>
  <c r="E212" i="2"/>
  <c r="F212" i="2" s="1"/>
  <c r="G212" i="2" s="1"/>
  <c r="H212" i="2" s="1"/>
  <c r="E213" i="2"/>
  <c r="F213" i="2" s="1"/>
  <c r="G213" i="2" s="1"/>
  <c r="H213" i="2" s="1"/>
  <c r="E214" i="2"/>
  <c r="F214" i="2" s="1"/>
  <c r="G214" i="2" s="1"/>
  <c r="H214" i="2" s="1"/>
  <c r="E215" i="2"/>
  <c r="F215" i="2" s="1"/>
  <c r="G215" i="2" s="1"/>
  <c r="H215" i="2" s="1"/>
  <c r="E216" i="2"/>
  <c r="F216" i="2" s="1"/>
  <c r="G216" i="2" s="1"/>
  <c r="H216" i="2" s="1"/>
  <c r="E217" i="2"/>
  <c r="F217" i="2" s="1"/>
  <c r="G217" i="2" s="1"/>
  <c r="H217" i="2" s="1"/>
  <c r="E218" i="2"/>
  <c r="F218" i="2" s="1"/>
  <c r="G218" i="2" s="1"/>
  <c r="H218" i="2" s="1"/>
  <c r="E219" i="2"/>
  <c r="F219" i="2" s="1"/>
  <c r="G219" i="2" s="1"/>
  <c r="H219" i="2" s="1"/>
  <c r="E220" i="2"/>
  <c r="F220" i="2" s="1"/>
  <c r="G220" i="2" s="1"/>
  <c r="H220" i="2" s="1"/>
  <c r="E221" i="2"/>
  <c r="F221" i="2" s="1"/>
  <c r="G221" i="2" s="1"/>
  <c r="H221" i="2" s="1"/>
  <c r="E222" i="2"/>
  <c r="F222" i="2" s="1"/>
  <c r="G222" i="2" s="1"/>
  <c r="H222" i="2" s="1"/>
  <c r="E223" i="2"/>
  <c r="F223" i="2" s="1"/>
  <c r="G223" i="2" s="1"/>
  <c r="H223" i="2" s="1"/>
  <c r="E224" i="2"/>
  <c r="F224" i="2" s="1"/>
  <c r="G224" i="2" s="1"/>
  <c r="H224" i="2" s="1"/>
  <c r="E225" i="2"/>
  <c r="F225" i="2" s="1"/>
  <c r="G225" i="2" s="1"/>
  <c r="H225" i="2" s="1"/>
  <c r="E226" i="2"/>
  <c r="F226" i="2" s="1"/>
  <c r="G226" i="2" s="1"/>
  <c r="H226" i="2" s="1"/>
  <c r="E227" i="2"/>
  <c r="F227" i="2" s="1"/>
  <c r="G227" i="2" s="1"/>
  <c r="H227" i="2" s="1"/>
  <c r="E228" i="2"/>
  <c r="F228" i="2" s="1"/>
  <c r="G228" i="2" s="1"/>
  <c r="H228" i="2" s="1"/>
  <c r="E229" i="2"/>
  <c r="F229" i="2" s="1"/>
  <c r="G229" i="2" s="1"/>
  <c r="H229" i="2" s="1"/>
  <c r="E230" i="2"/>
  <c r="F230" i="2" s="1"/>
  <c r="G230" i="2" s="1"/>
  <c r="H230" i="2" s="1"/>
  <c r="E231" i="2"/>
  <c r="F231" i="2" s="1"/>
  <c r="G231" i="2" s="1"/>
  <c r="H231" i="2" s="1"/>
  <c r="E232" i="2"/>
  <c r="F232" i="2" s="1"/>
  <c r="G232" i="2" s="1"/>
  <c r="H232" i="2" s="1"/>
  <c r="E233" i="2"/>
  <c r="F233" i="2" s="1"/>
  <c r="G233" i="2" s="1"/>
  <c r="H233" i="2" s="1"/>
  <c r="E234" i="2"/>
  <c r="F234" i="2" s="1"/>
  <c r="G234" i="2" s="1"/>
  <c r="H234" i="2" s="1"/>
  <c r="E235" i="2"/>
  <c r="F235" i="2" s="1"/>
  <c r="G235" i="2" s="1"/>
  <c r="H235" i="2" s="1"/>
  <c r="E236" i="2"/>
  <c r="F236" i="2" s="1"/>
  <c r="G236" i="2" s="1"/>
  <c r="H236" i="2" s="1"/>
  <c r="E237" i="2"/>
  <c r="F237" i="2" s="1"/>
  <c r="G237" i="2" s="1"/>
  <c r="H237" i="2" s="1"/>
  <c r="E238" i="2"/>
  <c r="F238" i="2" s="1"/>
  <c r="G238" i="2" s="1"/>
  <c r="H238" i="2" s="1"/>
  <c r="E239" i="2"/>
  <c r="F239" i="2" s="1"/>
  <c r="G239" i="2" s="1"/>
  <c r="H239" i="2" s="1"/>
  <c r="E240" i="2"/>
  <c r="F240" i="2" s="1"/>
  <c r="G240" i="2" s="1"/>
  <c r="H240" i="2" s="1"/>
  <c r="E241" i="2"/>
  <c r="F241" i="2" s="1"/>
  <c r="G241" i="2" s="1"/>
  <c r="H241" i="2" s="1"/>
  <c r="E242" i="2"/>
  <c r="F242" i="2" s="1"/>
  <c r="G242" i="2" s="1"/>
  <c r="H242" i="2" s="1"/>
  <c r="E243" i="2"/>
  <c r="F243" i="2" s="1"/>
  <c r="G243" i="2" s="1"/>
  <c r="H243" i="2" s="1"/>
  <c r="E244" i="2"/>
  <c r="F244" i="2" s="1"/>
  <c r="G244" i="2" s="1"/>
  <c r="H244" i="2" s="1"/>
  <c r="E245" i="2"/>
  <c r="F245" i="2" s="1"/>
  <c r="G245" i="2" s="1"/>
  <c r="H245" i="2" s="1"/>
  <c r="E246" i="2"/>
  <c r="F246" i="2" s="1"/>
  <c r="G246" i="2" s="1"/>
  <c r="H246" i="2" s="1"/>
  <c r="E247" i="2"/>
  <c r="F247" i="2" s="1"/>
  <c r="G247" i="2" s="1"/>
  <c r="H247" i="2" s="1"/>
  <c r="E248" i="2"/>
  <c r="F248" i="2" s="1"/>
  <c r="G248" i="2" s="1"/>
  <c r="H248" i="2" s="1"/>
  <c r="E249" i="2"/>
  <c r="F249" i="2" s="1"/>
  <c r="G249" i="2" s="1"/>
  <c r="H249" i="2" s="1"/>
  <c r="E250" i="2"/>
  <c r="F250" i="2" s="1"/>
  <c r="G250" i="2" s="1"/>
  <c r="H250" i="2" s="1"/>
  <c r="E251" i="2"/>
  <c r="F251" i="2" s="1"/>
  <c r="G251" i="2" s="1"/>
  <c r="H251" i="2" s="1"/>
  <c r="E252" i="2"/>
  <c r="F252" i="2" s="1"/>
  <c r="G252" i="2" s="1"/>
  <c r="H252" i="2" s="1"/>
  <c r="E253" i="2"/>
  <c r="F253" i="2" s="1"/>
  <c r="G253" i="2" s="1"/>
  <c r="H253" i="2" s="1"/>
  <c r="E254" i="2"/>
  <c r="F254" i="2" s="1"/>
  <c r="G254" i="2" s="1"/>
  <c r="H254" i="2" s="1"/>
  <c r="E255" i="2"/>
  <c r="F255" i="2" s="1"/>
  <c r="G255" i="2" s="1"/>
  <c r="H255" i="2" s="1"/>
  <c r="E256" i="2"/>
  <c r="F256" i="2" s="1"/>
  <c r="G256" i="2" s="1"/>
  <c r="H256" i="2" s="1"/>
  <c r="E257" i="2"/>
  <c r="F257" i="2" s="1"/>
  <c r="G257" i="2" s="1"/>
  <c r="H257" i="2" s="1"/>
  <c r="E258" i="2"/>
  <c r="F258" i="2" s="1"/>
  <c r="G258" i="2" s="1"/>
  <c r="H258" i="2" s="1"/>
  <c r="E259" i="2"/>
  <c r="F259" i="2" s="1"/>
  <c r="G259" i="2" s="1"/>
  <c r="H259" i="2" s="1"/>
  <c r="E260" i="2"/>
  <c r="F260" i="2" s="1"/>
  <c r="G260" i="2" s="1"/>
  <c r="H260" i="2" s="1"/>
  <c r="E261" i="2"/>
  <c r="F261" i="2" s="1"/>
  <c r="G261" i="2" s="1"/>
  <c r="H261" i="2" s="1"/>
  <c r="E262" i="2"/>
  <c r="F262" i="2" s="1"/>
  <c r="G262" i="2" s="1"/>
  <c r="H262" i="2" s="1"/>
  <c r="E263" i="2"/>
  <c r="F263" i="2" s="1"/>
  <c r="G263" i="2" s="1"/>
  <c r="H263" i="2" s="1"/>
  <c r="E264" i="2"/>
  <c r="F264" i="2" s="1"/>
  <c r="G264" i="2" s="1"/>
  <c r="H264" i="2" s="1"/>
  <c r="E265" i="2"/>
  <c r="F265" i="2" s="1"/>
  <c r="G265" i="2" s="1"/>
  <c r="E266" i="2"/>
  <c r="F266" i="2" s="1"/>
  <c r="G266" i="2" s="1"/>
  <c r="H266" i="2" s="1"/>
  <c r="E267" i="2"/>
  <c r="F267" i="2" s="1"/>
  <c r="G267" i="2" s="1"/>
  <c r="H267" i="2" s="1"/>
  <c r="E268" i="2"/>
  <c r="F268" i="2" s="1"/>
  <c r="G268" i="2" s="1"/>
  <c r="H268" i="2" s="1"/>
  <c r="E269" i="2"/>
  <c r="F269" i="2" s="1"/>
  <c r="G269" i="2" s="1"/>
  <c r="H269" i="2" s="1"/>
  <c r="E270" i="2"/>
  <c r="F270" i="2" s="1"/>
  <c r="G270" i="2" s="1"/>
  <c r="H270" i="2" s="1"/>
  <c r="E271" i="2"/>
  <c r="F271" i="2" s="1"/>
  <c r="G271" i="2" s="1"/>
  <c r="H271" i="2" s="1"/>
  <c r="E272" i="2"/>
  <c r="F272" i="2" s="1"/>
  <c r="G272" i="2" s="1"/>
  <c r="H272" i="2" s="1"/>
  <c r="E273" i="2"/>
  <c r="F273" i="2" s="1"/>
  <c r="G273" i="2" s="1"/>
  <c r="H273" i="2" s="1"/>
  <c r="E274" i="2"/>
  <c r="F274" i="2" s="1"/>
  <c r="G274" i="2" s="1"/>
  <c r="H274" i="2" s="1"/>
  <c r="E275" i="2"/>
  <c r="F275" i="2" s="1"/>
  <c r="G275" i="2" s="1"/>
  <c r="H275" i="2" s="1"/>
  <c r="E276" i="2"/>
  <c r="F276" i="2" s="1"/>
  <c r="G276" i="2" s="1"/>
  <c r="H276" i="2" s="1"/>
  <c r="E277" i="2"/>
  <c r="F277" i="2" s="1"/>
  <c r="G277" i="2" s="1"/>
  <c r="H277" i="2" s="1"/>
  <c r="E278" i="2"/>
  <c r="F278" i="2" s="1"/>
  <c r="G278" i="2" s="1"/>
  <c r="H278" i="2" s="1"/>
  <c r="E279" i="2"/>
  <c r="F279" i="2" s="1"/>
  <c r="G279" i="2" s="1"/>
  <c r="H279" i="2" s="1"/>
  <c r="E280" i="2"/>
  <c r="F280" i="2" s="1"/>
  <c r="G280" i="2" s="1"/>
  <c r="E281" i="2"/>
  <c r="F281" i="2" s="1"/>
  <c r="G281" i="2" s="1"/>
  <c r="H281" i="2" s="1"/>
  <c r="E282" i="2"/>
  <c r="F282" i="2" s="1"/>
  <c r="G282" i="2" s="1"/>
  <c r="H282" i="2" s="1"/>
  <c r="E283" i="2"/>
  <c r="F283" i="2" s="1"/>
  <c r="G283" i="2" s="1"/>
  <c r="H283" i="2" s="1"/>
  <c r="E284" i="2"/>
  <c r="F284" i="2" s="1"/>
  <c r="G284" i="2" s="1"/>
  <c r="H284" i="2" s="1"/>
  <c r="E285" i="2"/>
  <c r="F285" i="2" s="1"/>
  <c r="G285" i="2" s="1"/>
  <c r="H285" i="2" s="1"/>
  <c r="E286" i="2"/>
  <c r="F286" i="2" s="1"/>
  <c r="G286" i="2" s="1"/>
  <c r="H286" i="2" s="1"/>
  <c r="E287" i="2"/>
  <c r="F287" i="2" s="1"/>
  <c r="G287" i="2" s="1"/>
  <c r="H287" i="2" s="1"/>
  <c r="E288" i="2"/>
  <c r="F288" i="2" s="1"/>
  <c r="G288" i="2" s="1"/>
  <c r="H288" i="2" s="1"/>
  <c r="E289" i="2"/>
  <c r="F289" i="2" s="1"/>
  <c r="G289" i="2" s="1"/>
  <c r="H289" i="2" s="1"/>
  <c r="E290" i="2"/>
  <c r="F290" i="2" s="1"/>
  <c r="G290" i="2" s="1"/>
  <c r="H290" i="2" s="1"/>
  <c r="E291" i="2"/>
  <c r="F291" i="2" s="1"/>
  <c r="G291" i="2" s="1"/>
  <c r="H291" i="2" s="1"/>
  <c r="E292" i="2"/>
  <c r="F292" i="2" s="1"/>
  <c r="G292" i="2" s="1"/>
  <c r="H292" i="2" s="1"/>
  <c r="E293" i="2"/>
  <c r="F293" i="2" s="1"/>
  <c r="G293" i="2" s="1"/>
  <c r="H293" i="2" s="1"/>
  <c r="E294" i="2"/>
  <c r="F294" i="2" s="1"/>
  <c r="G294" i="2" s="1"/>
  <c r="H294" i="2" s="1"/>
  <c r="E295" i="2"/>
  <c r="F295" i="2" s="1"/>
  <c r="G295" i="2" s="1"/>
  <c r="H295" i="2" s="1"/>
  <c r="E296" i="2"/>
  <c r="F296" i="2" s="1"/>
  <c r="G296" i="2" s="1"/>
  <c r="H296" i="2" s="1"/>
  <c r="E297" i="2"/>
  <c r="F297" i="2" s="1"/>
  <c r="G297" i="2" s="1"/>
  <c r="H297" i="2" s="1"/>
  <c r="E298" i="2"/>
  <c r="F298" i="2" s="1"/>
  <c r="G298" i="2" s="1"/>
  <c r="H298" i="2" s="1"/>
  <c r="E299" i="2"/>
  <c r="F299" i="2" s="1"/>
  <c r="G299" i="2" s="1"/>
  <c r="H299" i="2" s="1"/>
  <c r="E300" i="2"/>
  <c r="F300" i="2" s="1"/>
  <c r="G300" i="2" s="1"/>
  <c r="H300" i="2" s="1"/>
  <c r="E301" i="2"/>
  <c r="F301" i="2" s="1"/>
  <c r="G301" i="2" s="1"/>
  <c r="H301" i="2" s="1"/>
  <c r="E302" i="2"/>
  <c r="F302" i="2" s="1"/>
  <c r="G302" i="2" s="1"/>
  <c r="H302" i="2" s="1"/>
  <c r="E303" i="2"/>
  <c r="F303" i="2" s="1"/>
  <c r="G303" i="2" s="1"/>
  <c r="H303" i="2" s="1"/>
  <c r="E304" i="2"/>
  <c r="F304" i="2" s="1"/>
  <c r="G304" i="2" s="1"/>
  <c r="H304" i="2" s="1"/>
  <c r="E305" i="2"/>
  <c r="F305" i="2" s="1"/>
  <c r="G305" i="2" s="1"/>
  <c r="H305" i="2" s="1"/>
  <c r="E306" i="2"/>
  <c r="F306" i="2" s="1"/>
  <c r="G306" i="2" s="1"/>
  <c r="H306" i="2" s="1"/>
  <c r="E307" i="2"/>
  <c r="F307" i="2" s="1"/>
  <c r="G307" i="2" s="1"/>
  <c r="H307" i="2" s="1"/>
  <c r="E308" i="2"/>
  <c r="F308" i="2" s="1"/>
  <c r="G308" i="2" s="1"/>
  <c r="H308" i="2" s="1"/>
  <c r="E309" i="2"/>
  <c r="F309" i="2" s="1"/>
  <c r="G309" i="2" s="1"/>
  <c r="H309" i="2" s="1"/>
  <c r="E310" i="2"/>
  <c r="F310" i="2" s="1"/>
  <c r="G310" i="2" s="1"/>
  <c r="H310" i="2" s="1"/>
  <c r="E311" i="2"/>
  <c r="F311" i="2" s="1"/>
  <c r="G311" i="2" s="1"/>
  <c r="H311" i="2" s="1"/>
  <c r="E312" i="2"/>
  <c r="F312" i="2" s="1"/>
  <c r="G312" i="2" s="1"/>
  <c r="H312" i="2" s="1"/>
  <c r="E313" i="2"/>
  <c r="F313" i="2" s="1"/>
  <c r="G313" i="2" s="1"/>
  <c r="H313" i="2" s="1"/>
  <c r="E314" i="2"/>
  <c r="F314" i="2" s="1"/>
  <c r="G314" i="2" s="1"/>
  <c r="H314" i="2" s="1"/>
  <c r="E315" i="2"/>
  <c r="F315" i="2" s="1"/>
  <c r="G315" i="2" s="1"/>
  <c r="H315" i="2" s="1"/>
  <c r="E316" i="2"/>
  <c r="F316" i="2" s="1"/>
  <c r="G316" i="2" s="1"/>
  <c r="H316" i="2" s="1"/>
  <c r="E317" i="2"/>
  <c r="F317" i="2" s="1"/>
  <c r="G317" i="2" s="1"/>
  <c r="H317" i="2" s="1"/>
  <c r="E318" i="2"/>
  <c r="F318" i="2" s="1"/>
  <c r="G318" i="2" s="1"/>
  <c r="H318" i="2" s="1"/>
  <c r="E319" i="2"/>
  <c r="F319" i="2" s="1"/>
  <c r="G319" i="2" s="1"/>
  <c r="H319" i="2" s="1"/>
  <c r="E320" i="2"/>
  <c r="F320" i="2" s="1"/>
  <c r="G320" i="2" s="1"/>
  <c r="H320" i="2" s="1"/>
  <c r="E321" i="2"/>
  <c r="F321" i="2" s="1"/>
  <c r="G321" i="2" s="1"/>
  <c r="H321" i="2" s="1"/>
  <c r="E322" i="2"/>
  <c r="F322" i="2" s="1"/>
  <c r="G322" i="2" s="1"/>
  <c r="H322" i="2" s="1"/>
  <c r="E323" i="2"/>
  <c r="F323" i="2" s="1"/>
  <c r="G323" i="2" s="1"/>
  <c r="H323" i="2" s="1"/>
  <c r="E324" i="2"/>
  <c r="F324" i="2" s="1"/>
  <c r="G324" i="2" s="1"/>
  <c r="H324" i="2" s="1"/>
  <c r="E325" i="2"/>
  <c r="F325" i="2" s="1"/>
  <c r="G325" i="2" s="1"/>
  <c r="H325" i="2" s="1"/>
  <c r="E326" i="2"/>
  <c r="F326" i="2" s="1"/>
  <c r="G326" i="2" s="1"/>
  <c r="H326" i="2" s="1"/>
  <c r="E327" i="2"/>
  <c r="F327" i="2" s="1"/>
  <c r="G327" i="2" s="1"/>
  <c r="H327" i="2" s="1"/>
  <c r="E328" i="2"/>
  <c r="F328" i="2" s="1"/>
  <c r="G328" i="2" s="1"/>
  <c r="H328" i="2" s="1"/>
  <c r="E329" i="2"/>
  <c r="F329" i="2" s="1"/>
  <c r="G329" i="2" s="1"/>
  <c r="H329" i="2" s="1"/>
  <c r="E330" i="2"/>
  <c r="F330" i="2" s="1"/>
  <c r="G330" i="2" s="1"/>
  <c r="H330" i="2" s="1"/>
  <c r="E331" i="2"/>
  <c r="F331" i="2" s="1"/>
  <c r="G331" i="2" s="1"/>
  <c r="H331" i="2" s="1"/>
  <c r="E332" i="2"/>
  <c r="F332" i="2" s="1"/>
  <c r="G332" i="2" s="1"/>
  <c r="H332" i="2" s="1"/>
  <c r="E333" i="2"/>
  <c r="F333" i="2" s="1"/>
  <c r="G333" i="2" s="1"/>
  <c r="H333" i="2" s="1"/>
  <c r="E334" i="2"/>
  <c r="F334" i="2" s="1"/>
  <c r="G334" i="2" s="1"/>
  <c r="H334" i="2" s="1"/>
  <c r="E335" i="2"/>
  <c r="F335" i="2" s="1"/>
  <c r="G335" i="2" s="1"/>
  <c r="H335" i="2" s="1"/>
  <c r="E336" i="2"/>
  <c r="F336" i="2" s="1"/>
  <c r="G336" i="2" s="1"/>
  <c r="H336" i="2" s="1"/>
  <c r="E337" i="2"/>
  <c r="F337" i="2" s="1"/>
  <c r="G337" i="2" s="1"/>
  <c r="H337" i="2" s="1"/>
  <c r="E338" i="2"/>
  <c r="F338" i="2" s="1"/>
  <c r="G338" i="2" s="1"/>
  <c r="H338" i="2" s="1"/>
  <c r="E339" i="2"/>
  <c r="F339" i="2" s="1"/>
  <c r="G339" i="2" s="1"/>
  <c r="H339" i="2" s="1"/>
  <c r="E340" i="2"/>
  <c r="F340" i="2" s="1"/>
  <c r="G340" i="2" s="1"/>
  <c r="H340" i="2" s="1"/>
  <c r="E341" i="2"/>
  <c r="F341" i="2" s="1"/>
  <c r="G341" i="2" s="1"/>
  <c r="H341" i="2" s="1"/>
  <c r="E342" i="2"/>
  <c r="F342" i="2" s="1"/>
  <c r="G342" i="2" s="1"/>
  <c r="H342" i="2" s="1"/>
  <c r="E343" i="2"/>
  <c r="F343" i="2" s="1"/>
  <c r="G343" i="2" s="1"/>
  <c r="H343" i="2" s="1"/>
  <c r="E344" i="2"/>
  <c r="F344" i="2" s="1"/>
  <c r="G344" i="2" s="1"/>
  <c r="H344" i="2" s="1"/>
  <c r="E345" i="2"/>
  <c r="F345" i="2" s="1"/>
  <c r="G345" i="2" s="1"/>
  <c r="H345" i="2" s="1"/>
  <c r="E346" i="2"/>
  <c r="F346" i="2" s="1"/>
  <c r="G346" i="2" s="1"/>
  <c r="H346" i="2" s="1"/>
  <c r="E347" i="2"/>
  <c r="F347" i="2" s="1"/>
  <c r="G347" i="2" s="1"/>
  <c r="H347" i="2" s="1"/>
  <c r="E348" i="2"/>
  <c r="F348" i="2" s="1"/>
  <c r="G348" i="2" s="1"/>
  <c r="H348" i="2" s="1"/>
  <c r="E349" i="2"/>
  <c r="F349" i="2" s="1"/>
  <c r="G349" i="2" s="1"/>
  <c r="H349" i="2" s="1"/>
  <c r="E350" i="2"/>
  <c r="F350" i="2" s="1"/>
  <c r="G350" i="2" s="1"/>
  <c r="H350" i="2" s="1"/>
  <c r="E351" i="2"/>
  <c r="F351" i="2" s="1"/>
  <c r="G351" i="2" s="1"/>
  <c r="H351" i="2" s="1"/>
  <c r="E352" i="2"/>
  <c r="F352" i="2" s="1"/>
  <c r="G352" i="2" s="1"/>
  <c r="H352" i="2" s="1"/>
  <c r="E353" i="2"/>
  <c r="F353" i="2" s="1"/>
  <c r="G353" i="2" s="1"/>
  <c r="H353" i="2" s="1"/>
  <c r="E354" i="2"/>
  <c r="F354" i="2" s="1"/>
  <c r="G354" i="2" s="1"/>
  <c r="H354" i="2" s="1"/>
  <c r="E355" i="2"/>
  <c r="F355" i="2" s="1"/>
  <c r="G355" i="2" s="1"/>
  <c r="H355" i="2" s="1"/>
  <c r="E356" i="2"/>
  <c r="F356" i="2" s="1"/>
  <c r="G356" i="2" s="1"/>
  <c r="H356" i="2" s="1"/>
  <c r="E357" i="2"/>
  <c r="F357" i="2" s="1"/>
  <c r="G357" i="2" s="1"/>
  <c r="H357" i="2" s="1"/>
  <c r="E358" i="2"/>
  <c r="F358" i="2" s="1"/>
  <c r="G358" i="2" s="1"/>
  <c r="H358" i="2" s="1"/>
  <c r="E359" i="2"/>
  <c r="F359" i="2" s="1"/>
  <c r="G359" i="2" s="1"/>
  <c r="H359" i="2" s="1"/>
  <c r="E360" i="2"/>
  <c r="F360" i="2" s="1"/>
  <c r="G360" i="2" s="1"/>
  <c r="H360" i="2" s="1"/>
  <c r="E361" i="2"/>
  <c r="F361" i="2" s="1"/>
  <c r="G361" i="2" s="1"/>
  <c r="H361" i="2" s="1"/>
  <c r="E362" i="2"/>
  <c r="F362" i="2" s="1"/>
  <c r="G362" i="2" s="1"/>
  <c r="H362" i="2" s="1"/>
  <c r="E363" i="2"/>
  <c r="F363" i="2" s="1"/>
  <c r="G363" i="2" s="1"/>
  <c r="H363" i="2" s="1"/>
  <c r="E364" i="2"/>
  <c r="F364" i="2" s="1"/>
  <c r="G364" i="2" s="1"/>
  <c r="H364" i="2" s="1"/>
  <c r="E365" i="2"/>
  <c r="F365" i="2" s="1"/>
  <c r="G365" i="2" s="1"/>
  <c r="H365" i="2" s="1"/>
  <c r="E366" i="2"/>
  <c r="F366" i="2" s="1"/>
  <c r="G366" i="2" s="1"/>
  <c r="H366" i="2" s="1"/>
  <c r="E367" i="2"/>
  <c r="F367" i="2" s="1"/>
  <c r="G367" i="2" s="1"/>
  <c r="H367" i="2" s="1"/>
  <c r="E368" i="2"/>
  <c r="F368" i="2" s="1"/>
  <c r="G368" i="2" s="1"/>
  <c r="H368" i="2" s="1"/>
  <c r="E369" i="2"/>
  <c r="F369" i="2" s="1"/>
  <c r="G369" i="2" s="1"/>
  <c r="H369" i="2" s="1"/>
  <c r="E370" i="2"/>
  <c r="F370" i="2" s="1"/>
  <c r="G370" i="2" s="1"/>
  <c r="H370" i="2" s="1"/>
  <c r="E371" i="2"/>
  <c r="F371" i="2" s="1"/>
  <c r="G371" i="2" s="1"/>
  <c r="H371" i="2" s="1"/>
  <c r="E372" i="2"/>
  <c r="F372" i="2" s="1"/>
  <c r="G372" i="2" s="1"/>
  <c r="H372" i="2" s="1"/>
  <c r="E373" i="2"/>
  <c r="F373" i="2" s="1"/>
  <c r="G373" i="2" s="1"/>
  <c r="H373" i="2" s="1"/>
  <c r="E374" i="2"/>
  <c r="F374" i="2" s="1"/>
  <c r="G374" i="2" s="1"/>
  <c r="H374" i="2" s="1"/>
  <c r="E375" i="2"/>
  <c r="F375" i="2" s="1"/>
  <c r="G375" i="2" s="1"/>
  <c r="H375" i="2" s="1"/>
  <c r="E376" i="2"/>
  <c r="F376" i="2" s="1"/>
  <c r="G376" i="2" s="1"/>
  <c r="H376" i="2" s="1"/>
  <c r="E377" i="2"/>
  <c r="F377" i="2" s="1"/>
  <c r="G377" i="2" s="1"/>
  <c r="H377" i="2" s="1"/>
  <c r="E378" i="2"/>
  <c r="F378" i="2" s="1"/>
  <c r="G378" i="2" s="1"/>
  <c r="H378" i="2" s="1"/>
  <c r="E379" i="2"/>
  <c r="F379" i="2" s="1"/>
  <c r="G379" i="2" s="1"/>
  <c r="H379" i="2" s="1"/>
  <c r="E380" i="2"/>
  <c r="F380" i="2" s="1"/>
  <c r="G380" i="2" s="1"/>
  <c r="H380" i="2" s="1"/>
  <c r="E381" i="2"/>
  <c r="F381" i="2" s="1"/>
  <c r="G381" i="2" s="1"/>
  <c r="H381" i="2" s="1"/>
  <c r="E382" i="2"/>
  <c r="F382" i="2" s="1"/>
  <c r="G382" i="2" s="1"/>
  <c r="H382" i="2" s="1"/>
  <c r="E383" i="2"/>
  <c r="F383" i="2" s="1"/>
  <c r="G383" i="2" s="1"/>
  <c r="H383" i="2" s="1"/>
  <c r="E384" i="2"/>
  <c r="F384" i="2" s="1"/>
  <c r="G384" i="2" s="1"/>
  <c r="H384" i="2" s="1"/>
  <c r="E385" i="2"/>
  <c r="F385" i="2" s="1"/>
  <c r="G385" i="2" s="1"/>
  <c r="H385" i="2" s="1"/>
  <c r="E386" i="2"/>
  <c r="F386" i="2" s="1"/>
  <c r="G386" i="2" s="1"/>
  <c r="H386" i="2" s="1"/>
  <c r="E387" i="2"/>
  <c r="F387" i="2" s="1"/>
  <c r="G387" i="2" s="1"/>
  <c r="H387" i="2" s="1"/>
  <c r="E388" i="2"/>
  <c r="F388" i="2" s="1"/>
  <c r="G388" i="2" s="1"/>
  <c r="H388" i="2" s="1"/>
  <c r="E389" i="2"/>
  <c r="F389" i="2" s="1"/>
  <c r="G389" i="2" s="1"/>
  <c r="H389" i="2" s="1"/>
  <c r="E390" i="2"/>
  <c r="F390" i="2" s="1"/>
  <c r="G390" i="2" s="1"/>
  <c r="H390" i="2" s="1"/>
  <c r="E391" i="2"/>
  <c r="F391" i="2" s="1"/>
  <c r="G391" i="2" s="1"/>
  <c r="H391" i="2" s="1"/>
  <c r="E392" i="2"/>
  <c r="F392" i="2" s="1"/>
  <c r="G392" i="2" s="1"/>
  <c r="H392" i="2" s="1"/>
  <c r="E393" i="2"/>
  <c r="F393" i="2" s="1"/>
  <c r="G393" i="2" s="1"/>
  <c r="H393" i="2" s="1"/>
  <c r="E394" i="2"/>
  <c r="F394" i="2" s="1"/>
  <c r="G394" i="2" s="1"/>
  <c r="H394" i="2" s="1"/>
  <c r="E395" i="2"/>
  <c r="F395" i="2" s="1"/>
  <c r="G395" i="2" s="1"/>
  <c r="H395" i="2" s="1"/>
  <c r="E396" i="2"/>
  <c r="F396" i="2" s="1"/>
  <c r="G396" i="2" s="1"/>
  <c r="H396" i="2" s="1"/>
  <c r="E397" i="2"/>
  <c r="F397" i="2" s="1"/>
  <c r="G397" i="2" s="1"/>
  <c r="H397" i="2" s="1"/>
  <c r="E398" i="2"/>
  <c r="F398" i="2" s="1"/>
  <c r="G398" i="2" s="1"/>
  <c r="H398" i="2" s="1"/>
  <c r="E399" i="2"/>
  <c r="F399" i="2" s="1"/>
  <c r="G399" i="2" s="1"/>
  <c r="H399" i="2" s="1"/>
  <c r="E400" i="2"/>
  <c r="F400" i="2" s="1"/>
  <c r="G400" i="2" s="1"/>
  <c r="H400" i="2" s="1"/>
  <c r="E401" i="2"/>
  <c r="F401" i="2" s="1"/>
  <c r="G401" i="2" s="1"/>
  <c r="H401" i="2" s="1"/>
  <c r="E402" i="2"/>
  <c r="F402" i="2" s="1"/>
  <c r="G402" i="2" s="1"/>
  <c r="H402" i="2" s="1"/>
  <c r="E403" i="2"/>
  <c r="F403" i="2" s="1"/>
  <c r="G403" i="2" s="1"/>
  <c r="H403" i="2" s="1"/>
  <c r="E404" i="2"/>
  <c r="F404" i="2" s="1"/>
  <c r="G404" i="2" s="1"/>
  <c r="H404" i="2" s="1"/>
  <c r="E405" i="2"/>
  <c r="F405" i="2" s="1"/>
  <c r="G405" i="2" s="1"/>
  <c r="H405" i="2" s="1"/>
  <c r="E406" i="2"/>
  <c r="F406" i="2" s="1"/>
  <c r="G406" i="2" s="1"/>
  <c r="H406" i="2" s="1"/>
  <c r="E407" i="2"/>
  <c r="F407" i="2" s="1"/>
  <c r="G407" i="2" s="1"/>
  <c r="H407" i="2" s="1"/>
  <c r="E408" i="2"/>
  <c r="F408" i="2" s="1"/>
  <c r="G408" i="2" s="1"/>
  <c r="H408" i="2" s="1"/>
  <c r="E409" i="2"/>
  <c r="F409" i="2" s="1"/>
  <c r="G409" i="2" s="1"/>
  <c r="H409" i="2" s="1"/>
  <c r="E410" i="2"/>
  <c r="F410" i="2" s="1"/>
  <c r="G410" i="2" s="1"/>
  <c r="H410" i="2" s="1"/>
  <c r="E411" i="2"/>
  <c r="F411" i="2" s="1"/>
  <c r="G411" i="2" s="1"/>
  <c r="H411" i="2" s="1"/>
  <c r="E412" i="2"/>
  <c r="F412" i="2" s="1"/>
  <c r="G412" i="2" s="1"/>
  <c r="H412" i="2" s="1"/>
  <c r="E413" i="2"/>
  <c r="F413" i="2" s="1"/>
  <c r="G413" i="2" s="1"/>
  <c r="H413" i="2" s="1"/>
  <c r="E414" i="2"/>
  <c r="F414" i="2" s="1"/>
  <c r="G414" i="2" s="1"/>
  <c r="H414" i="2" s="1"/>
  <c r="E415" i="2"/>
  <c r="F415" i="2" s="1"/>
  <c r="G415" i="2" s="1"/>
  <c r="H415" i="2" s="1"/>
  <c r="E416" i="2"/>
  <c r="F416" i="2" s="1"/>
  <c r="G416" i="2" s="1"/>
  <c r="H416" i="2" s="1"/>
  <c r="E417" i="2"/>
  <c r="F417" i="2" s="1"/>
  <c r="G417" i="2" s="1"/>
  <c r="H417" i="2" s="1"/>
  <c r="E418" i="2"/>
  <c r="F418" i="2" s="1"/>
  <c r="G418" i="2" s="1"/>
  <c r="H418" i="2" s="1"/>
  <c r="E419" i="2"/>
  <c r="F419" i="2" s="1"/>
  <c r="G419" i="2" s="1"/>
  <c r="H419" i="2" s="1"/>
  <c r="E420" i="2"/>
  <c r="F420" i="2" s="1"/>
  <c r="G420" i="2" s="1"/>
  <c r="H420" i="2" s="1"/>
  <c r="E421" i="2"/>
  <c r="F421" i="2" s="1"/>
  <c r="G421" i="2" s="1"/>
  <c r="H421" i="2" s="1"/>
  <c r="E422" i="2"/>
  <c r="F422" i="2" s="1"/>
  <c r="G422" i="2" s="1"/>
  <c r="H422" i="2" s="1"/>
  <c r="E423" i="2"/>
  <c r="F423" i="2" s="1"/>
  <c r="G423" i="2" s="1"/>
  <c r="H423" i="2" s="1"/>
  <c r="E424" i="2"/>
  <c r="F424" i="2" s="1"/>
  <c r="G424" i="2" s="1"/>
  <c r="H424" i="2" s="1"/>
  <c r="E425" i="2"/>
  <c r="F425" i="2" s="1"/>
  <c r="G425" i="2" s="1"/>
  <c r="H425" i="2" s="1"/>
  <c r="E426" i="2"/>
  <c r="F426" i="2" s="1"/>
  <c r="G426" i="2" s="1"/>
  <c r="H426" i="2" s="1"/>
  <c r="E427" i="2"/>
  <c r="F427" i="2" s="1"/>
  <c r="G427" i="2" s="1"/>
  <c r="H427" i="2" s="1"/>
  <c r="E428" i="2"/>
  <c r="F428" i="2" s="1"/>
  <c r="G428" i="2" s="1"/>
  <c r="H428" i="2" s="1"/>
  <c r="E429" i="2"/>
  <c r="F429" i="2" s="1"/>
  <c r="G429" i="2" s="1"/>
  <c r="H429" i="2" s="1"/>
  <c r="E430" i="2"/>
  <c r="F430" i="2" s="1"/>
  <c r="G430" i="2" s="1"/>
  <c r="H430" i="2" s="1"/>
  <c r="E431" i="2"/>
  <c r="F431" i="2" s="1"/>
  <c r="G431" i="2" s="1"/>
  <c r="H431" i="2" s="1"/>
  <c r="E432" i="2"/>
  <c r="F432" i="2" s="1"/>
  <c r="G432" i="2" s="1"/>
  <c r="H432" i="2" s="1"/>
  <c r="E433" i="2"/>
  <c r="F433" i="2" s="1"/>
  <c r="G433" i="2" s="1"/>
  <c r="H433" i="2" s="1"/>
  <c r="E434" i="2"/>
  <c r="F434" i="2" s="1"/>
  <c r="G434" i="2" s="1"/>
  <c r="H434" i="2" s="1"/>
  <c r="E435" i="2"/>
  <c r="F435" i="2" s="1"/>
  <c r="G435" i="2" s="1"/>
  <c r="H435" i="2" s="1"/>
  <c r="E436" i="2"/>
  <c r="F436" i="2" s="1"/>
  <c r="G436" i="2" s="1"/>
  <c r="H436" i="2" s="1"/>
  <c r="E437" i="2"/>
  <c r="F437" i="2" s="1"/>
  <c r="G437" i="2" s="1"/>
  <c r="H437" i="2" s="1"/>
  <c r="E438" i="2"/>
  <c r="F438" i="2" s="1"/>
  <c r="G438" i="2" s="1"/>
  <c r="H438" i="2" s="1"/>
  <c r="E439" i="2"/>
  <c r="F439" i="2" s="1"/>
  <c r="G439" i="2" s="1"/>
  <c r="H439" i="2" s="1"/>
  <c r="E440" i="2"/>
  <c r="F440" i="2" s="1"/>
  <c r="G440" i="2" s="1"/>
  <c r="H440" i="2" s="1"/>
  <c r="E441" i="2"/>
  <c r="F441" i="2" s="1"/>
  <c r="G441" i="2" s="1"/>
  <c r="H441" i="2" s="1"/>
  <c r="E442" i="2"/>
  <c r="F442" i="2" s="1"/>
  <c r="G442" i="2" s="1"/>
  <c r="H442" i="2" s="1"/>
  <c r="E443" i="2"/>
  <c r="F443" i="2" s="1"/>
  <c r="G443" i="2" s="1"/>
  <c r="H443" i="2" s="1"/>
  <c r="E444" i="2"/>
  <c r="F444" i="2" s="1"/>
  <c r="G444" i="2" s="1"/>
  <c r="H444" i="2" s="1"/>
  <c r="E445" i="2"/>
  <c r="F445" i="2" s="1"/>
  <c r="G445" i="2" s="1"/>
  <c r="H445" i="2" s="1"/>
  <c r="E446" i="2"/>
  <c r="F446" i="2" s="1"/>
  <c r="G446" i="2" s="1"/>
  <c r="H446" i="2" s="1"/>
  <c r="E447" i="2"/>
  <c r="F447" i="2" s="1"/>
  <c r="G447" i="2" s="1"/>
  <c r="H447" i="2" s="1"/>
  <c r="E448" i="2"/>
  <c r="F448" i="2" s="1"/>
  <c r="G448" i="2" s="1"/>
  <c r="H448" i="2" s="1"/>
  <c r="E449" i="2"/>
  <c r="F449" i="2" s="1"/>
  <c r="G449" i="2" s="1"/>
  <c r="H449" i="2" s="1"/>
  <c r="E450" i="2"/>
  <c r="F450" i="2" s="1"/>
  <c r="G450" i="2" s="1"/>
  <c r="H450" i="2" s="1"/>
  <c r="E451" i="2"/>
  <c r="F451" i="2" s="1"/>
  <c r="G451" i="2" s="1"/>
  <c r="H451" i="2" s="1"/>
  <c r="E452" i="2"/>
  <c r="F452" i="2" s="1"/>
  <c r="G452" i="2" s="1"/>
  <c r="H452" i="2" s="1"/>
  <c r="E453" i="2"/>
  <c r="F453" i="2" s="1"/>
  <c r="G453" i="2" s="1"/>
  <c r="H453" i="2" s="1"/>
  <c r="E454" i="2"/>
  <c r="F454" i="2" s="1"/>
  <c r="G454" i="2" s="1"/>
  <c r="H454" i="2" s="1"/>
  <c r="E455" i="2"/>
  <c r="F455" i="2" s="1"/>
  <c r="G455" i="2" s="1"/>
  <c r="H455" i="2" s="1"/>
  <c r="E456" i="2"/>
  <c r="F456" i="2" s="1"/>
  <c r="G456" i="2" s="1"/>
  <c r="H456" i="2" s="1"/>
  <c r="E457" i="2"/>
  <c r="F457" i="2" s="1"/>
  <c r="G457" i="2" s="1"/>
  <c r="H457" i="2" s="1"/>
  <c r="E458" i="2"/>
  <c r="F458" i="2" s="1"/>
  <c r="G458" i="2" s="1"/>
  <c r="H458" i="2" s="1"/>
  <c r="E459" i="2"/>
  <c r="F459" i="2" s="1"/>
  <c r="G459" i="2" s="1"/>
  <c r="H459" i="2" s="1"/>
  <c r="E460" i="2"/>
  <c r="F460" i="2" s="1"/>
  <c r="G460" i="2" s="1"/>
  <c r="H460" i="2" s="1"/>
  <c r="E461" i="2"/>
  <c r="F461" i="2" s="1"/>
  <c r="G461" i="2" s="1"/>
  <c r="H461" i="2" s="1"/>
  <c r="E462" i="2"/>
  <c r="F462" i="2" s="1"/>
  <c r="G462" i="2" s="1"/>
  <c r="H462" i="2" s="1"/>
  <c r="E463" i="2"/>
  <c r="F463" i="2" s="1"/>
  <c r="G463" i="2" s="1"/>
  <c r="H463" i="2" s="1"/>
  <c r="E464" i="2"/>
  <c r="F464" i="2" s="1"/>
  <c r="G464" i="2" s="1"/>
  <c r="H464" i="2" s="1"/>
  <c r="E465" i="2"/>
  <c r="F465" i="2" s="1"/>
  <c r="G465" i="2" s="1"/>
  <c r="H465" i="2" s="1"/>
  <c r="E466" i="2"/>
  <c r="F466" i="2" s="1"/>
  <c r="G466" i="2" s="1"/>
  <c r="H466" i="2" s="1"/>
  <c r="E467" i="2"/>
  <c r="F467" i="2" s="1"/>
  <c r="G467" i="2" s="1"/>
  <c r="H467" i="2" s="1"/>
  <c r="E468" i="2"/>
  <c r="F468" i="2" s="1"/>
  <c r="G468" i="2" s="1"/>
  <c r="H468" i="2" s="1"/>
  <c r="E469" i="2"/>
  <c r="F469" i="2" s="1"/>
  <c r="G469" i="2" s="1"/>
  <c r="H469" i="2" s="1"/>
  <c r="E470" i="2"/>
  <c r="F470" i="2" s="1"/>
  <c r="G470" i="2" s="1"/>
  <c r="H470" i="2" s="1"/>
  <c r="E471" i="2"/>
  <c r="F471" i="2" s="1"/>
  <c r="G471" i="2" s="1"/>
  <c r="H471" i="2" s="1"/>
  <c r="E472" i="2"/>
  <c r="F472" i="2" s="1"/>
  <c r="G472" i="2" s="1"/>
  <c r="H472" i="2" s="1"/>
  <c r="E473" i="2"/>
  <c r="F473" i="2" s="1"/>
  <c r="G473" i="2" s="1"/>
  <c r="H473" i="2" s="1"/>
  <c r="E474" i="2"/>
  <c r="F474" i="2" s="1"/>
  <c r="G474" i="2" s="1"/>
  <c r="H474" i="2" s="1"/>
  <c r="E475" i="2"/>
  <c r="F475" i="2" s="1"/>
  <c r="G475" i="2" s="1"/>
  <c r="H475" i="2" s="1"/>
  <c r="E476" i="2"/>
  <c r="F476" i="2" s="1"/>
  <c r="G476" i="2" s="1"/>
  <c r="H476" i="2" s="1"/>
  <c r="E477" i="2"/>
  <c r="F477" i="2" s="1"/>
  <c r="G477" i="2" s="1"/>
  <c r="H477" i="2" s="1"/>
  <c r="E478" i="2"/>
  <c r="F478" i="2" s="1"/>
  <c r="G478" i="2" s="1"/>
  <c r="H478" i="2" s="1"/>
  <c r="E479" i="2"/>
  <c r="F479" i="2" s="1"/>
  <c r="G479" i="2" s="1"/>
  <c r="H479" i="2" s="1"/>
  <c r="E480" i="2"/>
  <c r="F480" i="2" s="1"/>
  <c r="G480" i="2" s="1"/>
  <c r="H480" i="2" s="1"/>
  <c r="E481" i="2"/>
  <c r="F481" i="2" s="1"/>
  <c r="G481" i="2" s="1"/>
  <c r="H481" i="2" s="1"/>
  <c r="E482" i="2"/>
  <c r="F482" i="2" s="1"/>
  <c r="G482" i="2" s="1"/>
  <c r="H482" i="2" s="1"/>
  <c r="E483" i="2"/>
  <c r="F483" i="2" s="1"/>
  <c r="G483" i="2" s="1"/>
  <c r="H483" i="2" s="1"/>
  <c r="E484" i="2"/>
  <c r="F484" i="2" s="1"/>
  <c r="G484" i="2" s="1"/>
  <c r="H484" i="2" s="1"/>
  <c r="E485" i="2"/>
  <c r="F485" i="2" s="1"/>
  <c r="G485" i="2" s="1"/>
  <c r="H485" i="2" s="1"/>
  <c r="E486" i="2"/>
  <c r="F486" i="2" s="1"/>
  <c r="G486" i="2" s="1"/>
  <c r="H486" i="2" s="1"/>
  <c r="E487" i="2"/>
  <c r="F487" i="2" s="1"/>
  <c r="G487" i="2" s="1"/>
  <c r="H487" i="2" s="1"/>
  <c r="E488" i="2"/>
  <c r="F488" i="2" s="1"/>
  <c r="G488" i="2" s="1"/>
  <c r="H488" i="2" s="1"/>
  <c r="E489" i="2"/>
  <c r="F489" i="2" s="1"/>
  <c r="G489" i="2" s="1"/>
  <c r="H489" i="2" s="1"/>
  <c r="E490" i="2"/>
  <c r="F490" i="2" s="1"/>
  <c r="G490" i="2" s="1"/>
  <c r="H490" i="2" s="1"/>
  <c r="E491" i="2"/>
  <c r="F491" i="2" s="1"/>
  <c r="G491" i="2" s="1"/>
  <c r="H491" i="2" s="1"/>
  <c r="E492" i="2"/>
  <c r="F492" i="2" s="1"/>
  <c r="G492" i="2" s="1"/>
  <c r="H492" i="2" s="1"/>
  <c r="E493" i="2"/>
  <c r="F493" i="2" s="1"/>
  <c r="G493" i="2" s="1"/>
  <c r="H493" i="2" s="1"/>
  <c r="E494" i="2"/>
  <c r="F494" i="2" s="1"/>
  <c r="G494" i="2" s="1"/>
  <c r="H494" i="2" s="1"/>
  <c r="E495" i="2"/>
  <c r="F495" i="2" s="1"/>
  <c r="G495" i="2" s="1"/>
  <c r="H495" i="2" s="1"/>
  <c r="E496" i="2"/>
  <c r="F496" i="2" s="1"/>
  <c r="G496" i="2" s="1"/>
  <c r="H496" i="2" s="1"/>
  <c r="E497" i="2"/>
  <c r="F497" i="2" s="1"/>
  <c r="G497" i="2" s="1"/>
  <c r="H497" i="2" s="1"/>
  <c r="E498" i="2"/>
  <c r="F498" i="2" s="1"/>
  <c r="G498" i="2" s="1"/>
  <c r="H498" i="2" s="1"/>
  <c r="E499" i="2"/>
  <c r="F499" i="2" s="1"/>
  <c r="G499" i="2" s="1"/>
  <c r="H499" i="2" s="1"/>
  <c r="E500" i="2"/>
  <c r="F500" i="2" s="1"/>
  <c r="G500" i="2" s="1"/>
  <c r="H500" i="2" s="1"/>
  <c r="E501" i="2"/>
  <c r="F501" i="2" s="1"/>
  <c r="G501" i="2" s="1"/>
  <c r="H501" i="2" s="1"/>
  <c r="E502" i="2"/>
  <c r="F502" i="2" s="1"/>
  <c r="G502" i="2" s="1"/>
  <c r="H502" i="2" s="1"/>
  <c r="E503" i="2"/>
  <c r="F503" i="2" s="1"/>
  <c r="G503" i="2" s="1"/>
  <c r="H503" i="2" s="1"/>
  <c r="E504" i="2"/>
  <c r="F504" i="2" s="1"/>
  <c r="G504" i="2" s="1"/>
  <c r="H504" i="2" s="1"/>
  <c r="E505" i="2"/>
  <c r="F505" i="2" s="1"/>
  <c r="G505" i="2" s="1"/>
  <c r="H505" i="2" s="1"/>
  <c r="E506" i="2"/>
  <c r="F506" i="2" s="1"/>
  <c r="G506" i="2" s="1"/>
  <c r="H506" i="2" s="1"/>
  <c r="E507" i="2"/>
  <c r="F507" i="2" s="1"/>
  <c r="G507" i="2" s="1"/>
  <c r="H507" i="2" s="1"/>
  <c r="E508" i="2"/>
  <c r="F508" i="2" s="1"/>
  <c r="G508" i="2" s="1"/>
  <c r="H508" i="2" s="1"/>
  <c r="E509" i="2"/>
  <c r="F509" i="2" s="1"/>
  <c r="G509" i="2" s="1"/>
  <c r="H509" i="2" s="1"/>
  <c r="E510" i="2"/>
  <c r="F510" i="2" s="1"/>
  <c r="G510" i="2" s="1"/>
  <c r="H510" i="2" s="1"/>
  <c r="E511" i="2"/>
  <c r="F511" i="2" s="1"/>
  <c r="G511" i="2" s="1"/>
  <c r="H511" i="2" s="1"/>
  <c r="E512" i="2"/>
  <c r="F512" i="2" s="1"/>
  <c r="G512" i="2" s="1"/>
  <c r="H512" i="2" s="1"/>
  <c r="E513" i="2"/>
  <c r="F513" i="2" s="1"/>
  <c r="G513" i="2" s="1"/>
  <c r="H513" i="2" s="1"/>
  <c r="E514" i="2"/>
  <c r="F514" i="2" s="1"/>
  <c r="G514" i="2" s="1"/>
  <c r="H514" i="2" s="1"/>
  <c r="E515" i="2"/>
  <c r="F515" i="2" s="1"/>
  <c r="G515" i="2" s="1"/>
  <c r="H515" i="2" s="1"/>
  <c r="E516" i="2"/>
  <c r="F516" i="2" s="1"/>
  <c r="G516" i="2" s="1"/>
  <c r="H516" i="2" s="1"/>
  <c r="E517" i="2"/>
  <c r="F517" i="2" s="1"/>
  <c r="G517" i="2" s="1"/>
  <c r="H517" i="2" s="1"/>
  <c r="E518" i="2"/>
  <c r="F518" i="2" s="1"/>
  <c r="G518" i="2" s="1"/>
  <c r="H518" i="2" s="1"/>
  <c r="E519" i="2"/>
  <c r="F519" i="2" s="1"/>
  <c r="G519" i="2" s="1"/>
  <c r="H519" i="2" s="1"/>
  <c r="E520" i="2"/>
  <c r="F520" i="2" s="1"/>
  <c r="G520" i="2" s="1"/>
  <c r="H520" i="2" s="1"/>
  <c r="E521" i="2"/>
  <c r="F521" i="2" s="1"/>
  <c r="G521" i="2" s="1"/>
  <c r="H521" i="2" s="1"/>
  <c r="E522" i="2"/>
  <c r="F522" i="2" s="1"/>
  <c r="G522" i="2" s="1"/>
  <c r="H522" i="2" s="1"/>
  <c r="E523" i="2"/>
  <c r="F523" i="2" s="1"/>
  <c r="G523" i="2" s="1"/>
  <c r="H523" i="2" s="1"/>
  <c r="E524" i="2"/>
  <c r="F524" i="2" s="1"/>
  <c r="G524" i="2" s="1"/>
  <c r="H524" i="2" s="1"/>
  <c r="E525" i="2"/>
  <c r="F525" i="2" s="1"/>
  <c r="G525" i="2" s="1"/>
  <c r="H525" i="2" s="1"/>
  <c r="E526" i="2"/>
  <c r="F526" i="2" s="1"/>
  <c r="G526" i="2" s="1"/>
  <c r="H526" i="2" s="1"/>
  <c r="E527" i="2"/>
  <c r="F527" i="2" s="1"/>
  <c r="G527" i="2" s="1"/>
  <c r="H527" i="2" s="1"/>
  <c r="E528" i="2"/>
  <c r="F528" i="2" s="1"/>
  <c r="G528" i="2" s="1"/>
  <c r="H528" i="2" s="1"/>
  <c r="E529" i="2"/>
  <c r="F529" i="2" s="1"/>
  <c r="G529" i="2" s="1"/>
  <c r="H529" i="2" s="1"/>
  <c r="E530" i="2"/>
  <c r="F530" i="2" s="1"/>
  <c r="G530" i="2" s="1"/>
  <c r="H530" i="2" s="1"/>
  <c r="E531" i="2"/>
  <c r="F531" i="2" s="1"/>
  <c r="G531" i="2" s="1"/>
  <c r="H531" i="2" s="1"/>
  <c r="E532" i="2"/>
  <c r="F532" i="2" s="1"/>
  <c r="G532" i="2" s="1"/>
  <c r="H532" i="2" s="1"/>
  <c r="E533" i="2"/>
  <c r="F533" i="2" s="1"/>
  <c r="G533" i="2" s="1"/>
  <c r="H533" i="2" s="1"/>
  <c r="E534" i="2"/>
  <c r="F534" i="2" s="1"/>
  <c r="G534" i="2" s="1"/>
  <c r="H534" i="2" s="1"/>
  <c r="E535" i="2"/>
  <c r="F535" i="2" s="1"/>
  <c r="G535" i="2" s="1"/>
  <c r="H535" i="2" s="1"/>
  <c r="E536" i="2"/>
  <c r="F536" i="2" s="1"/>
  <c r="G536" i="2" s="1"/>
  <c r="H536" i="2" s="1"/>
  <c r="E537" i="2"/>
  <c r="F537" i="2" s="1"/>
  <c r="G537" i="2" s="1"/>
  <c r="H537" i="2" s="1"/>
  <c r="E538" i="2"/>
  <c r="F538" i="2" s="1"/>
  <c r="G538" i="2" s="1"/>
  <c r="H538" i="2" s="1"/>
  <c r="E539" i="2"/>
  <c r="F539" i="2" s="1"/>
  <c r="G539" i="2" s="1"/>
  <c r="H539" i="2" s="1"/>
  <c r="E540" i="2"/>
  <c r="F540" i="2" s="1"/>
  <c r="G540" i="2" s="1"/>
  <c r="H540" i="2" s="1"/>
  <c r="E541" i="2"/>
  <c r="F541" i="2" s="1"/>
  <c r="G541" i="2" s="1"/>
  <c r="H541" i="2" s="1"/>
  <c r="E542" i="2"/>
  <c r="F542" i="2" s="1"/>
  <c r="G542" i="2" s="1"/>
  <c r="H542" i="2" s="1"/>
  <c r="E543" i="2"/>
  <c r="F543" i="2" s="1"/>
  <c r="G543" i="2" s="1"/>
  <c r="H543" i="2" s="1"/>
  <c r="E544" i="2"/>
  <c r="F544" i="2" s="1"/>
  <c r="G544" i="2" s="1"/>
  <c r="H544" i="2" s="1"/>
  <c r="E545" i="2"/>
  <c r="F545" i="2" s="1"/>
  <c r="G545" i="2" s="1"/>
  <c r="H545" i="2" s="1"/>
  <c r="E546" i="2"/>
  <c r="F546" i="2" s="1"/>
  <c r="G546" i="2" s="1"/>
  <c r="H546" i="2" s="1"/>
  <c r="E547" i="2"/>
  <c r="F547" i="2" s="1"/>
  <c r="G547" i="2" s="1"/>
  <c r="H547" i="2" s="1"/>
  <c r="E548" i="2"/>
  <c r="F548" i="2" s="1"/>
  <c r="G548" i="2" s="1"/>
  <c r="H548" i="2" s="1"/>
  <c r="E549" i="2"/>
  <c r="F549" i="2" s="1"/>
  <c r="G549" i="2" s="1"/>
  <c r="H549" i="2" s="1"/>
  <c r="E550" i="2"/>
  <c r="F550" i="2" s="1"/>
  <c r="G550" i="2" s="1"/>
  <c r="H550" i="2" s="1"/>
  <c r="E551" i="2"/>
  <c r="F551" i="2" s="1"/>
  <c r="G551" i="2" s="1"/>
  <c r="H551" i="2" s="1"/>
  <c r="E552" i="2"/>
  <c r="F552" i="2" s="1"/>
  <c r="G552" i="2" s="1"/>
  <c r="H552" i="2" s="1"/>
  <c r="E553" i="2"/>
  <c r="F553" i="2" s="1"/>
  <c r="G553" i="2" s="1"/>
  <c r="H553" i="2" s="1"/>
  <c r="E554" i="2"/>
  <c r="F554" i="2" s="1"/>
  <c r="G554" i="2" s="1"/>
  <c r="H554" i="2" s="1"/>
  <c r="E555" i="2"/>
  <c r="F555" i="2" s="1"/>
  <c r="G555" i="2" s="1"/>
  <c r="H555" i="2" s="1"/>
  <c r="E556" i="2"/>
  <c r="F556" i="2" s="1"/>
  <c r="G556" i="2" s="1"/>
  <c r="H556" i="2" s="1"/>
  <c r="E557" i="2"/>
  <c r="F557" i="2" s="1"/>
  <c r="G557" i="2" s="1"/>
  <c r="H557" i="2" s="1"/>
  <c r="E558" i="2"/>
  <c r="F558" i="2" s="1"/>
  <c r="G558" i="2" s="1"/>
  <c r="H558" i="2" s="1"/>
  <c r="E559" i="2"/>
  <c r="F559" i="2" s="1"/>
  <c r="G559" i="2" s="1"/>
  <c r="H559" i="2" s="1"/>
  <c r="E560" i="2"/>
  <c r="F560" i="2" s="1"/>
  <c r="G560" i="2" s="1"/>
  <c r="H560" i="2" s="1"/>
  <c r="E561" i="2"/>
  <c r="F561" i="2" s="1"/>
  <c r="G561" i="2" s="1"/>
  <c r="H561" i="2" s="1"/>
  <c r="E562" i="2"/>
  <c r="F562" i="2" s="1"/>
  <c r="G562" i="2" s="1"/>
  <c r="H562" i="2" s="1"/>
  <c r="E563" i="2"/>
  <c r="F563" i="2" s="1"/>
  <c r="G563" i="2" s="1"/>
  <c r="H563" i="2" s="1"/>
  <c r="E564" i="2"/>
  <c r="F564" i="2" s="1"/>
  <c r="G564" i="2" s="1"/>
  <c r="H564" i="2" s="1"/>
  <c r="E565" i="2"/>
  <c r="F565" i="2" s="1"/>
  <c r="G565" i="2" s="1"/>
  <c r="H565" i="2" s="1"/>
  <c r="E566" i="2"/>
  <c r="F566" i="2" s="1"/>
  <c r="G566" i="2" s="1"/>
  <c r="H566" i="2" s="1"/>
  <c r="E567" i="2"/>
  <c r="F567" i="2" s="1"/>
  <c r="G567" i="2" s="1"/>
  <c r="H567" i="2" s="1"/>
  <c r="E568" i="2"/>
  <c r="F568" i="2" s="1"/>
  <c r="G568" i="2" s="1"/>
  <c r="H568" i="2" s="1"/>
  <c r="E569" i="2"/>
  <c r="F569" i="2" s="1"/>
  <c r="G569" i="2" s="1"/>
  <c r="H569" i="2" s="1"/>
  <c r="E570" i="2"/>
  <c r="F570" i="2" s="1"/>
  <c r="G570" i="2" s="1"/>
  <c r="H570" i="2" s="1"/>
  <c r="E571" i="2"/>
  <c r="F571" i="2" s="1"/>
  <c r="G571" i="2" s="1"/>
  <c r="H571" i="2" s="1"/>
  <c r="E572" i="2"/>
  <c r="F572" i="2" s="1"/>
  <c r="G572" i="2" s="1"/>
  <c r="H572" i="2" s="1"/>
  <c r="E573" i="2"/>
  <c r="F573" i="2" s="1"/>
  <c r="G573" i="2" s="1"/>
  <c r="H573" i="2" s="1"/>
  <c r="E574" i="2"/>
  <c r="F574" i="2" s="1"/>
  <c r="G574" i="2" s="1"/>
  <c r="H574" i="2" s="1"/>
  <c r="E575" i="2"/>
  <c r="F575" i="2" s="1"/>
  <c r="G575" i="2" s="1"/>
  <c r="H575" i="2" s="1"/>
  <c r="E576" i="2"/>
  <c r="F576" i="2" s="1"/>
  <c r="G576" i="2" s="1"/>
  <c r="H576" i="2" s="1"/>
  <c r="E577" i="2"/>
  <c r="F577" i="2" s="1"/>
  <c r="G577" i="2" s="1"/>
  <c r="H577" i="2" s="1"/>
  <c r="E578" i="2"/>
  <c r="F578" i="2" s="1"/>
  <c r="G578" i="2" s="1"/>
  <c r="H578" i="2" s="1"/>
  <c r="E579" i="2"/>
  <c r="F579" i="2" s="1"/>
  <c r="G579" i="2" s="1"/>
  <c r="H579" i="2" s="1"/>
  <c r="E580" i="2"/>
  <c r="F580" i="2" s="1"/>
  <c r="G580" i="2" s="1"/>
  <c r="H580" i="2" s="1"/>
  <c r="E581" i="2"/>
  <c r="F581" i="2" s="1"/>
  <c r="G581" i="2" s="1"/>
  <c r="H581" i="2" s="1"/>
  <c r="E582" i="2"/>
  <c r="F582" i="2" s="1"/>
  <c r="G582" i="2" s="1"/>
  <c r="H582" i="2" s="1"/>
  <c r="E583" i="2"/>
  <c r="F583" i="2" s="1"/>
  <c r="G583" i="2" s="1"/>
  <c r="H583" i="2" s="1"/>
  <c r="E584" i="2"/>
  <c r="F584" i="2" s="1"/>
  <c r="G584" i="2" s="1"/>
  <c r="H584" i="2" s="1"/>
  <c r="E585" i="2"/>
  <c r="F585" i="2" s="1"/>
  <c r="G585" i="2" s="1"/>
  <c r="H585" i="2" s="1"/>
  <c r="E586" i="2"/>
  <c r="F586" i="2" s="1"/>
  <c r="G586" i="2" s="1"/>
  <c r="H586" i="2" s="1"/>
  <c r="E587" i="2"/>
  <c r="F587" i="2" s="1"/>
  <c r="G587" i="2" s="1"/>
  <c r="H587" i="2" s="1"/>
  <c r="E588" i="2"/>
  <c r="F588" i="2" s="1"/>
  <c r="G588" i="2" s="1"/>
  <c r="H588" i="2" s="1"/>
  <c r="E589" i="2"/>
  <c r="F589" i="2" s="1"/>
  <c r="G589" i="2" s="1"/>
  <c r="H589" i="2" s="1"/>
  <c r="E590" i="2"/>
  <c r="F590" i="2" s="1"/>
  <c r="G590" i="2" s="1"/>
  <c r="H590" i="2" s="1"/>
  <c r="E591" i="2"/>
  <c r="F591" i="2" s="1"/>
  <c r="G591" i="2" s="1"/>
  <c r="H591" i="2" s="1"/>
  <c r="E592" i="2"/>
  <c r="F592" i="2" s="1"/>
  <c r="G592" i="2" s="1"/>
  <c r="H592" i="2" s="1"/>
  <c r="E593" i="2"/>
  <c r="F593" i="2" s="1"/>
  <c r="G593" i="2" s="1"/>
  <c r="H593" i="2" s="1"/>
  <c r="E594" i="2"/>
  <c r="F594" i="2" s="1"/>
  <c r="G594" i="2" s="1"/>
  <c r="H594" i="2" s="1"/>
  <c r="E595" i="2"/>
  <c r="F595" i="2" s="1"/>
  <c r="G595" i="2" s="1"/>
  <c r="H595" i="2" s="1"/>
  <c r="E596" i="2"/>
  <c r="F596" i="2" s="1"/>
  <c r="G596" i="2" s="1"/>
  <c r="H596" i="2" s="1"/>
  <c r="E597" i="2"/>
  <c r="F597" i="2" s="1"/>
  <c r="G597" i="2" s="1"/>
  <c r="H597" i="2" s="1"/>
  <c r="E598" i="2"/>
  <c r="F598" i="2" s="1"/>
  <c r="G598" i="2" s="1"/>
  <c r="H598" i="2" s="1"/>
  <c r="E599" i="2"/>
  <c r="F599" i="2" s="1"/>
  <c r="G599" i="2" s="1"/>
  <c r="H599" i="2" s="1"/>
  <c r="E600" i="2"/>
  <c r="F600" i="2" s="1"/>
  <c r="G600" i="2" s="1"/>
  <c r="H600" i="2" s="1"/>
  <c r="E601" i="2"/>
  <c r="F601" i="2" s="1"/>
  <c r="G601" i="2" s="1"/>
  <c r="H601" i="2" s="1"/>
  <c r="E602" i="2"/>
  <c r="F602" i="2" s="1"/>
  <c r="G602" i="2" s="1"/>
  <c r="H602" i="2" s="1"/>
  <c r="E603" i="2"/>
  <c r="F603" i="2" s="1"/>
  <c r="G603" i="2" s="1"/>
  <c r="H603" i="2" s="1"/>
  <c r="E604" i="2"/>
  <c r="F604" i="2" s="1"/>
  <c r="G604" i="2" s="1"/>
  <c r="H604" i="2" s="1"/>
  <c r="E605" i="2"/>
  <c r="F605" i="2" s="1"/>
  <c r="G605" i="2" s="1"/>
  <c r="H605" i="2" s="1"/>
  <c r="E606" i="2"/>
  <c r="F606" i="2" s="1"/>
  <c r="G606" i="2" s="1"/>
  <c r="H606" i="2" s="1"/>
  <c r="E607" i="2"/>
  <c r="F607" i="2" s="1"/>
  <c r="G607" i="2" s="1"/>
  <c r="H607" i="2" s="1"/>
  <c r="E608" i="2"/>
  <c r="F608" i="2" s="1"/>
  <c r="G608" i="2" s="1"/>
  <c r="H608" i="2" s="1"/>
  <c r="E609" i="2"/>
  <c r="F609" i="2" s="1"/>
  <c r="G609" i="2" s="1"/>
  <c r="H609" i="2" s="1"/>
  <c r="E610" i="2"/>
  <c r="F610" i="2" s="1"/>
  <c r="G610" i="2" s="1"/>
  <c r="H610" i="2" s="1"/>
  <c r="E611" i="2"/>
  <c r="F611" i="2" s="1"/>
  <c r="G611" i="2" s="1"/>
  <c r="H611" i="2" s="1"/>
  <c r="E612" i="2"/>
  <c r="F612" i="2" s="1"/>
  <c r="G612" i="2" s="1"/>
  <c r="H612" i="2" s="1"/>
  <c r="E613" i="2"/>
  <c r="F613" i="2" s="1"/>
  <c r="G613" i="2" s="1"/>
  <c r="H613" i="2" s="1"/>
  <c r="E614" i="2"/>
  <c r="F614" i="2" s="1"/>
  <c r="G614" i="2" s="1"/>
  <c r="H614" i="2" s="1"/>
  <c r="E615" i="2"/>
  <c r="F615" i="2" s="1"/>
  <c r="G615" i="2" s="1"/>
  <c r="H615" i="2" s="1"/>
  <c r="E616" i="2"/>
  <c r="F616" i="2" s="1"/>
  <c r="G616" i="2" s="1"/>
  <c r="H616" i="2" s="1"/>
  <c r="E617" i="2"/>
  <c r="F617" i="2" s="1"/>
  <c r="G617" i="2" s="1"/>
  <c r="H617" i="2" s="1"/>
  <c r="E618" i="2"/>
  <c r="F618" i="2" s="1"/>
  <c r="G618" i="2" s="1"/>
  <c r="H618" i="2" s="1"/>
  <c r="E619" i="2"/>
  <c r="F619" i="2" s="1"/>
  <c r="G619" i="2" s="1"/>
  <c r="H619" i="2" s="1"/>
  <c r="E620" i="2"/>
  <c r="F620" i="2" s="1"/>
  <c r="G620" i="2" s="1"/>
  <c r="H620" i="2" s="1"/>
  <c r="E621" i="2"/>
  <c r="F621" i="2" s="1"/>
  <c r="G621" i="2" s="1"/>
  <c r="H621" i="2" s="1"/>
  <c r="E622" i="2"/>
  <c r="F622" i="2" s="1"/>
  <c r="G622" i="2" s="1"/>
  <c r="H622" i="2" s="1"/>
  <c r="E623" i="2"/>
  <c r="F623" i="2" s="1"/>
  <c r="G623" i="2" s="1"/>
  <c r="H623" i="2" s="1"/>
  <c r="E624" i="2"/>
  <c r="F624" i="2" s="1"/>
  <c r="G624" i="2" s="1"/>
  <c r="H624" i="2" s="1"/>
  <c r="E625" i="2"/>
  <c r="F625" i="2" s="1"/>
  <c r="G625" i="2" s="1"/>
  <c r="H625" i="2" s="1"/>
  <c r="E626" i="2"/>
  <c r="F626" i="2" s="1"/>
  <c r="G626" i="2" s="1"/>
  <c r="H626" i="2" s="1"/>
  <c r="E627" i="2"/>
  <c r="F627" i="2" s="1"/>
  <c r="G627" i="2" s="1"/>
  <c r="H627" i="2" s="1"/>
  <c r="E628" i="2"/>
  <c r="F628" i="2" s="1"/>
  <c r="G628" i="2" s="1"/>
  <c r="H628" i="2" s="1"/>
  <c r="E629" i="2"/>
  <c r="F629" i="2" s="1"/>
  <c r="G629" i="2" s="1"/>
  <c r="H629" i="2" s="1"/>
  <c r="E630" i="2"/>
  <c r="F630" i="2" s="1"/>
  <c r="G630" i="2" s="1"/>
  <c r="H630" i="2" s="1"/>
  <c r="E631" i="2"/>
  <c r="F631" i="2" s="1"/>
  <c r="G631" i="2" s="1"/>
  <c r="H631" i="2" s="1"/>
  <c r="E632" i="2"/>
  <c r="F632" i="2" s="1"/>
  <c r="G632" i="2" s="1"/>
  <c r="H632" i="2" s="1"/>
  <c r="E633" i="2"/>
  <c r="F633" i="2" s="1"/>
  <c r="G633" i="2" s="1"/>
  <c r="H633" i="2" s="1"/>
  <c r="E634" i="2"/>
  <c r="F634" i="2" s="1"/>
  <c r="G634" i="2" s="1"/>
  <c r="H634" i="2" s="1"/>
  <c r="E635" i="2"/>
  <c r="F635" i="2" s="1"/>
  <c r="G635" i="2" s="1"/>
  <c r="H635" i="2" s="1"/>
  <c r="E636" i="2"/>
  <c r="F636" i="2" s="1"/>
  <c r="G636" i="2" s="1"/>
  <c r="H636" i="2" s="1"/>
  <c r="E637" i="2"/>
  <c r="F637" i="2" s="1"/>
  <c r="G637" i="2" s="1"/>
  <c r="H637" i="2" s="1"/>
  <c r="E638" i="2"/>
  <c r="F638" i="2" s="1"/>
  <c r="G638" i="2" s="1"/>
  <c r="H638" i="2" s="1"/>
  <c r="E639" i="2"/>
  <c r="F639" i="2" s="1"/>
  <c r="G639" i="2" s="1"/>
  <c r="H639" i="2" s="1"/>
  <c r="E640" i="2"/>
  <c r="F640" i="2" s="1"/>
  <c r="G640" i="2" s="1"/>
  <c r="H640" i="2" s="1"/>
  <c r="E641" i="2"/>
  <c r="F641" i="2" s="1"/>
  <c r="G641" i="2" s="1"/>
  <c r="H641" i="2" s="1"/>
  <c r="E642" i="2"/>
  <c r="F642" i="2" s="1"/>
  <c r="G642" i="2" s="1"/>
  <c r="H642" i="2" s="1"/>
  <c r="E643" i="2"/>
  <c r="F643" i="2" s="1"/>
  <c r="G643" i="2" s="1"/>
  <c r="H643" i="2" s="1"/>
  <c r="E644" i="2"/>
  <c r="F644" i="2" s="1"/>
  <c r="G644" i="2" s="1"/>
  <c r="H644" i="2" s="1"/>
  <c r="E645" i="2"/>
  <c r="F645" i="2" s="1"/>
  <c r="G645" i="2" s="1"/>
  <c r="H645" i="2" s="1"/>
  <c r="E646" i="2"/>
  <c r="F646" i="2" s="1"/>
  <c r="G646" i="2" s="1"/>
  <c r="H646" i="2" s="1"/>
  <c r="E647" i="2"/>
  <c r="F647" i="2" s="1"/>
  <c r="G647" i="2" s="1"/>
  <c r="H647" i="2" s="1"/>
  <c r="E648" i="2"/>
  <c r="F648" i="2" s="1"/>
  <c r="G648" i="2" s="1"/>
  <c r="H648" i="2" s="1"/>
  <c r="E649" i="2"/>
  <c r="F649" i="2" s="1"/>
  <c r="G649" i="2" s="1"/>
  <c r="H649" i="2" s="1"/>
  <c r="E650" i="2"/>
  <c r="F650" i="2" s="1"/>
  <c r="G650" i="2" s="1"/>
  <c r="H650" i="2" s="1"/>
  <c r="E651" i="2"/>
  <c r="F651" i="2" s="1"/>
  <c r="G651" i="2" s="1"/>
  <c r="H651" i="2" s="1"/>
  <c r="E652" i="2"/>
  <c r="F652" i="2" s="1"/>
  <c r="G652" i="2" s="1"/>
  <c r="H652" i="2" s="1"/>
  <c r="E653" i="2"/>
  <c r="F653" i="2" s="1"/>
  <c r="G653" i="2" s="1"/>
  <c r="H653" i="2" s="1"/>
  <c r="E654" i="2"/>
  <c r="F654" i="2" s="1"/>
  <c r="G654" i="2" s="1"/>
  <c r="H654" i="2" s="1"/>
  <c r="E655" i="2"/>
  <c r="F655" i="2" s="1"/>
  <c r="G655" i="2" s="1"/>
  <c r="H655" i="2" s="1"/>
  <c r="E656" i="2"/>
  <c r="F656" i="2" s="1"/>
  <c r="G656" i="2" s="1"/>
  <c r="H656" i="2" s="1"/>
  <c r="E657" i="2"/>
  <c r="F657" i="2" s="1"/>
  <c r="G657" i="2" s="1"/>
  <c r="H657" i="2" s="1"/>
  <c r="E658" i="2"/>
  <c r="F658" i="2" s="1"/>
  <c r="G658" i="2" s="1"/>
  <c r="H658" i="2" s="1"/>
  <c r="E659" i="2"/>
  <c r="F659" i="2" s="1"/>
  <c r="G659" i="2" s="1"/>
  <c r="H659" i="2" s="1"/>
  <c r="E660" i="2"/>
  <c r="F660" i="2" s="1"/>
  <c r="G660" i="2" s="1"/>
  <c r="H660" i="2" s="1"/>
  <c r="E661" i="2"/>
  <c r="F661" i="2" s="1"/>
  <c r="G661" i="2" s="1"/>
  <c r="H661" i="2" s="1"/>
  <c r="E662" i="2"/>
  <c r="F662" i="2" s="1"/>
  <c r="G662" i="2" s="1"/>
  <c r="H662" i="2" s="1"/>
  <c r="E663" i="2"/>
  <c r="F663" i="2" s="1"/>
  <c r="G663" i="2" s="1"/>
  <c r="H663" i="2" s="1"/>
  <c r="E664" i="2"/>
  <c r="F664" i="2" s="1"/>
  <c r="G664" i="2" s="1"/>
  <c r="H664" i="2" s="1"/>
  <c r="E665" i="2"/>
  <c r="F665" i="2" s="1"/>
  <c r="G665" i="2" s="1"/>
  <c r="H665" i="2" s="1"/>
  <c r="E666" i="2"/>
  <c r="F666" i="2" s="1"/>
  <c r="G666" i="2" s="1"/>
  <c r="H666" i="2" s="1"/>
  <c r="E667" i="2"/>
  <c r="F667" i="2" s="1"/>
  <c r="G667" i="2" s="1"/>
  <c r="H667" i="2" s="1"/>
  <c r="E668" i="2"/>
  <c r="F668" i="2" s="1"/>
  <c r="G668" i="2" s="1"/>
  <c r="H668" i="2" s="1"/>
  <c r="E669" i="2"/>
  <c r="F669" i="2" s="1"/>
  <c r="G669" i="2" s="1"/>
  <c r="H669" i="2" s="1"/>
  <c r="E670" i="2"/>
  <c r="F670" i="2" s="1"/>
  <c r="G670" i="2" s="1"/>
  <c r="H670" i="2" s="1"/>
  <c r="E671" i="2"/>
  <c r="F671" i="2" s="1"/>
  <c r="G671" i="2" s="1"/>
  <c r="H671" i="2" s="1"/>
  <c r="E672" i="2"/>
  <c r="F672" i="2" s="1"/>
  <c r="G672" i="2" s="1"/>
  <c r="H672" i="2" s="1"/>
  <c r="E673" i="2"/>
  <c r="F673" i="2" s="1"/>
  <c r="G673" i="2" s="1"/>
  <c r="H673" i="2" s="1"/>
  <c r="E674" i="2"/>
  <c r="F674" i="2" s="1"/>
  <c r="G674" i="2" s="1"/>
  <c r="H674" i="2" s="1"/>
  <c r="E675" i="2"/>
  <c r="F675" i="2" s="1"/>
  <c r="G675" i="2" s="1"/>
  <c r="H675" i="2" s="1"/>
  <c r="E676" i="2"/>
  <c r="F676" i="2" s="1"/>
  <c r="G676" i="2" s="1"/>
  <c r="H676" i="2" s="1"/>
  <c r="E677" i="2"/>
  <c r="F677" i="2" s="1"/>
  <c r="G677" i="2" s="1"/>
  <c r="H677" i="2" s="1"/>
  <c r="E678" i="2"/>
  <c r="F678" i="2" s="1"/>
  <c r="G678" i="2" s="1"/>
  <c r="H678" i="2" s="1"/>
  <c r="E679" i="2"/>
  <c r="F679" i="2" s="1"/>
  <c r="G679" i="2" s="1"/>
  <c r="H679" i="2" s="1"/>
  <c r="E680" i="2"/>
  <c r="F680" i="2" s="1"/>
  <c r="G680" i="2" s="1"/>
  <c r="H680" i="2" s="1"/>
  <c r="E681" i="2"/>
  <c r="F681" i="2" s="1"/>
  <c r="G681" i="2" s="1"/>
  <c r="H681" i="2" s="1"/>
  <c r="E682" i="2"/>
  <c r="F682" i="2" s="1"/>
  <c r="G682" i="2" s="1"/>
  <c r="H682" i="2" s="1"/>
  <c r="E683" i="2"/>
  <c r="F683" i="2" s="1"/>
  <c r="G683" i="2" s="1"/>
  <c r="H683" i="2" s="1"/>
  <c r="E684" i="2"/>
  <c r="F684" i="2" s="1"/>
  <c r="G684" i="2" s="1"/>
  <c r="H684" i="2" s="1"/>
  <c r="E685" i="2"/>
  <c r="F685" i="2" s="1"/>
  <c r="G685" i="2" s="1"/>
  <c r="H685" i="2" s="1"/>
  <c r="E686" i="2"/>
  <c r="F686" i="2" s="1"/>
  <c r="G686" i="2" s="1"/>
  <c r="H686" i="2" s="1"/>
  <c r="E687" i="2"/>
  <c r="F687" i="2" s="1"/>
  <c r="G687" i="2" s="1"/>
  <c r="H687" i="2" s="1"/>
  <c r="E688" i="2"/>
  <c r="F688" i="2" s="1"/>
  <c r="G688" i="2" s="1"/>
  <c r="H688" i="2" s="1"/>
  <c r="E689" i="2"/>
  <c r="F689" i="2" s="1"/>
  <c r="G689" i="2" s="1"/>
  <c r="H689" i="2" s="1"/>
  <c r="E690" i="2"/>
  <c r="F690" i="2" s="1"/>
  <c r="G690" i="2" s="1"/>
  <c r="H690" i="2" s="1"/>
  <c r="E691" i="2"/>
  <c r="F691" i="2" s="1"/>
  <c r="G691" i="2" s="1"/>
  <c r="H691" i="2" s="1"/>
  <c r="E692" i="2"/>
  <c r="F692" i="2" s="1"/>
  <c r="G692" i="2" s="1"/>
  <c r="H692" i="2" s="1"/>
  <c r="E693" i="2"/>
  <c r="F693" i="2" s="1"/>
  <c r="G693" i="2" s="1"/>
  <c r="H693" i="2" s="1"/>
  <c r="E694" i="2"/>
  <c r="F694" i="2" s="1"/>
  <c r="G694" i="2" s="1"/>
  <c r="H694" i="2" s="1"/>
  <c r="E695" i="2"/>
  <c r="F695" i="2" s="1"/>
  <c r="G695" i="2" s="1"/>
  <c r="H695" i="2" s="1"/>
  <c r="E696" i="2"/>
  <c r="F696" i="2" s="1"/>
  <c r="G696" i="2" s="1"/>
  <c r="H696" i="2" s="1"/>
  <c r="E697" i="2"/>
  <c r="F697" i="2" s="1"/>
  <c r="G697" i="2" s="1"/>
  <c r="H697" i="2" s="1"/>
  <c r="E698" i="2"/>
  <c r="F698" i="2" s="1"/>
  <c r="G698" i="2" s="1"/>
  <c r="H698" i="2" s="1"/>
  <c r="E699" i="2"/>
  <c r="F699" i="2" s="1"/>
  <c r="G699" i="2" s="1"/>
  <c r="H699" i="2" s="1"/>
  <c r="E700" i="2"/>
  <c r="F700" i="2" s="1"/>
  <c r="G700" i="2" s="1"/>
  <c r="H700" i="2" s="1"/>
  <c r="E701" i="2"/>
  <c r="F701" i="2" s="1"/>
  <c r="G701" i="2" s="1"/>
  <c r="H701" i="2" s="1"/>
  <c r="E702" i="2"/>
  <c r="F702" i="2" s="1"/>
  <c r="G702" i="2" s="1"/>
  <c r="H702" i="2" s="1"/>
  <c r="E703" i="2"/>
  <c r="F703" i="2" s="1"/>
  <c r="G703" i="2" s="1"/>
  <c r="H703" i="2" s="1"/>
  <c r="E704" i="2"/>
  <c r="F704" i="2" s="1"/>
  <c r="G704" i="2" s="1"/>
  <c r="H704" i="2" s="1"/>
  <c r="E705" i="2"/>
  <c r="F705" i="2" s="1"/>
  <c r="G705" i="2" s="1"/>
  <c r="H705" i="2" s="1"/>
  <c r="E706" i="2"/>
  <c r="F706" i="2" s="1"/>
  <c r="G706" i="2" s="1"/>
  <c r="H706" i="2" s="1"/>
  <c r="E707" i="2"/>
  <c r="F707" i="2" s="1"/>
  <c r="G707" i="2" s="1"/>
  <c r="H707" i="2" s="1"/>
  <c r="E708" i="2"/>
  <c r="F708" i="2" s="1"/>
  <c r="G708" i="2" s="1"/>
  <c r="H708" i="2" s="1"/>
  <c r="E709" i="2"/>
  <c r="F709" i="2" s="1"/>
  <c r="G709" i="2" s="1"/>
  <c r="H709" i="2" s="1"/>
  <c r="E710" i="2"/>
  <c r="F710" i="2" s="1"/>
  <c r="G710" i="2" s="1"/>
  <c r="H710" i="2" s="1"/>
  <c r="E711" i="2"/>
  <c r="F711" i="2" s="1"/>
  <c r="G711" i="2" s="1"/>
  <c r="H711" i="2" s="1"/>
  <c r="E712" i="2"/>
  <c r="F712" i="2" s="1"/>
  <c r="G712" i="2" s="1"/>
  <c r="H712" i="2" s="1"/>
  <c r="E713" i="2"/>
  <c r="F713" i="2" s="1"/>
  <c r="G713" i="2" s="1"/>
  <c r="H713" i="2" s="1"/>
  <c r="E714" i="2"/>
  <c r="F714" i="2" s="1"/>
  <c r="G714" i="2" s="1"/>
  <c r="H714" i="2" s="1"/>
  <c r="E715" i="2"/>
  <c r="F715" i="2" s="1"/>
  <c r="G715" i="2" s="1"/>
  <c r="H715" i="2" s="1"/>
  <c r="E716" i="2"/>
  <c r="F716" i="2" s="1"/>
  <c r="G716" i="2" s="1"/>
  <c r="H716" i="2" s="1"/>
  <c r="E717" i="2"/>
  <c r="F717" i="2" s="1"/>
  <c r="G717" i="2" s="1"/>
  <c r="H717" i="2" s="1"/>
  <c r="E718" i="2"/>
  <c r="F718" i="2" s="1"/>
  <c r="G718" i="2" s="1"/>
  <c r="H718" i="2" s="1"/>
  <c r="E719" i="2"/>
  <c r="F719" i="2" s="1"/>
  <c r="G719" i="2" s="1"/>
  <c r="H719" i="2" s="1"/>
  <c r="E720" i="2"/>
  <c r="F720" i="2" s="1"/>
  <c r="G720" i="2" s="1"/>
  <c r="H720" i="2" s="1"/>
  <c r="E721" i="2"/>
  <c r="F721" i="2" s="1"/>
  <c r="G721" i="2" s="1"/>
  <c r="H721" i="2" s="1"/>
  <c r="E722" i="2"/>
  <c r="F722" i="2" s="1"/>
  <c r="G722" i="2" s="1"/>
  <c r="H722" i="2" s="1"/>
  <c r="E723" i="2"/>
  <c r="F723" i="2" s="1"/>
  <c r="G723" i="2" s="1"/>
  <c r="H723" i="2" s="1"/>
  <c r="E724" i="2"/>
  <c r="F724" i="2" s="1"/>
  <c r="G724" i="2" s="1"/>
  <c r="H724" i="2" s="1"/>
  <c r="E725" i="2"/>
  <c r="F725" i="2" s="1"/>
  <c r="G725" i="2" s="1"/>
  <c r="H725" i="2" s="1"/>
  <c r="E726" i="2"/>
  <c r="F726" i="2" s="1"/>
  <c r="G726" i="2" s="1"/>
  <c r="H726" i="2" s="1"/>
  <c r="E727" i="2"/>
  <c r="F727" i="2" s="1"/>
  <c r="G727" i="2" s="1"/>
  <c r="H727" i="2" s="1"/>
  <c r="E728" i="2"/>
  <c r="F728" i="2" s="1"/>
  <c r="G728" i="2" s="1"/>
  <c r="H728" i="2" s="1"/>
  <c r="E729" i="2"/>
  <c r="F729" i="2" s="1"/>
  <c r="G729" i="2" s="1"/>
  <c r="H729" i="2" s="1"/>
  <c r="E730" i="2"/>
  <c r="F730" i="2" s="1"/>
  <c r="G730" i="2" s="1"/>
  <c r="H730" i="2" s="1"/>
  <c r="E731" i="2"/>
  <c r="F731" i="2" s="1"/>
  <c r="G731" i="2" s="1"/>
  <c r="H731" i="2" s="1"/>
  <c r="E732" i="2"/>
  <c r="F732" i="2" s="1"/>
  <c r="G732" i="2" s="1"/>
  <c r="H732" i="2" s="1"/>
  <c r="E733" i="2"/>
  <c r="F733" i="2" s="1"/>
  <c r="G733" i="2" s="1"/>
  <c r="H733" i="2" s="1"/>
  <c r="E734" i="2"/>
  <c r="F734" i="2" s="1"/>
  <c r="G734" i="2" s="1"/>
  <c r="H734" i="2" s="1"/>
  <c r="E735" i="2"/>
  <c r="F735" i="2" s="1"/>
  <c r="G735" i="2" s="1"/>
  <c r="H735" i="2" s="1"/>
  <c r="E736" i="2"/>
  <c r="F736" i="2" s="1"/>
  <c r="G736" i="2" s="1"/>
  <c r="H736" i="2" s="1"/>
  <c r="E737" i="2"/>
  <c r="F737" i="2" s="1"/>
  <c r="G737" i="2" s="1"/>
  <c r="H737" i="2" s="1"/>
  <c r="E738" i="2"/>
  <c r="F738" i="2" s="1"/>
  <c r="G738" i="2" s="1"/>
  <c r="H738" i="2" s="1"/>
  <c r="E739" i="2"/>
  <c r="F739" i="2" s="1"/>
  <c r="G739" i="2" s="1"/>
  <c r="H739" i="2" s="1"/>
  <c r="E740" i="2"/>
  <c r="F740" i="2" s="1"/>
  <c r="G740" i="2" s="1"/>
  <c r="H740" i="2" s="1"/>
  <c r="E741" i="2"/>
  <c r="F741" i="2" s="1"/>
  <c r="G741" i="2" s="1"/>
  <c r="H741" i="2" s="1"/>
  <c r="E742" i="2"/>
  <c r="F742" i="2" s="1"/>
  <c r="G742" i="2" s="1"/>
  <c r="H742" i="2" s="1"/>
  <c r="E743" i="2"/>
  <c r="F743" i="2" s="1"/>
  <c r="G743" i="2" s="1"/>
  <c r="H743" i="2" s="1"/>
  <c r="E744" i="2"/>
  <c r="F744" i="2" s="1"/>
  <c r="G744" i="2" s="1"/>
  <c r="H744" i="2" s="1"/>
  <c r="E745" i="2"/>
  <c r="F745" i="2" s="1"/>
  <c r="G745" i="2" s="1"/>
  <c r="H745" i="2" s="1"/>
  <c r="E746" i="2"/>
  <c r="F746" i="2" s="1"/>
  <c r="G746" i="2" s="1"/>
  <c r="H746" i="2" s="1"/>
  <c r="E747" i="2"/>
  <c r="F747" i="2" s="1"/>
  <c r="G747" i="2" s="1"/>
  <c r="H747" i="2" s="1"/>
  <c r="E748" i="2"/>
  <c r="F748" i="2" s="1"/>
  <c r="G748" i="2" s="1"/>
  <c r="H748" i="2" s="1"/>
  <c r="E749" i="2"/>
  <c r="F749" i="2" s="1"/>
  <c r="G749" i="2" s="1"/>
  <c r="H749" i="2" s="1"/>
  <c r="E750" i="2"/>
  <c r="F750" i="2" s="1"/>
  <c r="G750" i="2" s="1"/>
  <c r="H750" i="2" s="1"/>
  <c r="E751" i="2"/>
  <c r="F751" i="2" s="1"/>
  <c r="G751" i="2" s="1"/>
  <c r="H751" i="2" s="1"/>
  <c r="E752" i="2"/>
  <c r="F752" i="2" s="1"/>
  <c r="G752" i="2" s="1"/>
  <c r="H752" i="2" s="1"/>
  <c r="E753" i="2"/>
  <c r="F753" i="2" s="1"/>
  <c r="G753" i="2" s="1"/>
  <c r="H753" i="2" s="1"/>
  <c r="E754" i="2"/>
  <c r="F754" i="2" s="1"/>
  <c r="G754" i="2" s="1"/>
  <c r="H754" i="2" s="1"/>
  <c r="E755" i="2"/>
  <c r="F755" i="2" s="1"/>
  <c r="G755" i="2" s="1"/>
  <c r="H755" i="2" s="1"/>
  <c r="E756" i="2"/>
  <c r="F756" i="2" s="1"/>
  <c r="G756" i="2" s="1"/>
  <c r="H756" i="2" s="1"/>
  <c r="E757" i="2"/>
  <c r="F757" i="2" s="1"/>
  <c r="G757" i="2" s="1"/>
  <c r="H757" i="2" s="1"/>
  <c r="E758" i="2"/>
  <c r="F758" i="2" s="1"/>
  <c r="G758" i="2" s="1"/>
  <c r="H758" i="2" s="1"/>
  <c r="E759" i="2"/>
  <c r="F759" i="2" s="1"/>
  <c r="G759" i="2" s="1"/>
  <c r="H759" i="2" s="1"/>
  <c r="E760" i="2"/>
  <c r="F760" i="2" s="1"/>
  <c r="G760" i="2" s="1"/>
  <c r="H760" i="2" s="1"/>
  <c r="E761" i="2"/>
  <c r="F761" i="2" s="1"/>
  <c r="G761" i="2" s="1"/>
  <c r="H761" i="2" s="1"/>
  <c r="E762" i="2"/>
  <c r="F762" i="2" s="1"/>
  <c r="G762" i="2" s="1"/>
  <c r="H762" i="2" s="1"/>
  <c r="E763" i="2"/>
  <c r="F763" i="2" s="1"/>
  <c r="G763" i="2" s="1"/>
  <c r="H763" i="2" s="1"/>
  <c r="E764" i="2"/>
  <c r="F764" i="2" s="1"/>
  <c r="G764" i="2" s="1"/>
  <c r="H764" i="2" s="1"/>
  <c r="E765" i="2"/>
  <c r="F765" i="2" s="1"/>
  <c r="G765" i="2" s="1"/>
  <c r="H765" i="2" s="1"/>
  <c r="E766" i="2"/>
  <c r="F766" i="2" s="1"/>
  <c r="G766" i="2" s="1"/>
  <c r="H766" i="2" s="1"/>
  <c r="E767" i="2"/>
  <c r="F767" i="2" s="1"/>
  <c r="G767" i="2" s="1"/>
  <c r="H767" i="2" s="1"/>
  <c r="E768" i="2"/>
  <c r="F768" i="2" s="1"/>
  <c r="G768" i="2" s="1"/>
  <c r="H768" i="2" s="1"/>
  <c r="E769" i="2"/>
  <c r="F769" i="2" s="1"/>
  <c r="G769" i="2" s="1"/>
  <c r="H769" i="2" s="1"/>
  <c r="E770" i="2"/>
  <c r="F770" i="2" s="1"/>
  <c r="G770" i="2" s="1"/>
  <c r="H770" i="2" s="1"/>
  <c r="E771" i="2"/>
  <c r="F771" i="2" s="1"/>
  <c r="G771" i="2" s="1"/>
  <c r="H771" i="2" s="1"/>
  <c r="E772" i="2"/>
  <c r="F772" i="2" s="1"/>
  <c r="G772" i="2" s="1"/>
  <c r="H772" i="2" s="1"/>
  <c r="E773" i="2"/>
  <c r="F773" i="2" s="1"/>
  <c r="G773" i="2" s="1"/>
  <c r="H773" i="2" s="1"/>
  <c r="E774" i="2"/>
  <c r="F774" i="2" s="1"/>
  <c r="G774" i="2" s="1"/>
  <c r="H774" i="2" s="1"/>
  <c r="E775" i="2"/>
  <c r="F775" i="2" s="1"/>
  <c r="G775" i="2" s="1"/>
  <c r="H775" i="2" s="1"/>
  <c r="E776" i="2"/>
  <c r="F776" i="2" s="1"/>
  <c r="G776" i="2" s="1"/>
  <c r="H776" i="2" s="1"/>
  <c r="E777" i="2"/>
  <c r="F777" i="2" s="1"/>
  <c r="G777" i="2" s="1"/>
  <c r="H777" i="2" s="1"/>
  <c r="E778" i="2"/>
  <c r="F778" i="2" s="1"/>
  <c r="G778" i="2" s="1"/>
  <c r="H778" i="2" s="1"/>
  <c r="E779" i="2"/>
  <c r="F779" i="2" s="1"/>
  <c r="G779" i="2" s="1"/>
  <c r="H779" i="2" s="1"/>
  <c r="E780" i="2"/>
  <c r="F780" i="2" s="1"/>
  <c r="G780" i="2" s="1"/>
  <c r="H780" i="2" s="1"/>
  <c r="E781" i="2"/>
  <c r="F781" i="2" s="1"/>
  <c r="G781" i="2" s="1"/>
  <c r="H781" i="2" s="1"/>
  <c r="E782" i="2"/>
  <c r="F782" i="2" s="1"/>
  <c r="G782" i="2" s="1"/>
  <c r="H782" i="2" s="1"/>
  <c r="E783" i="2"/>
  <c r="F783" i="2" s="1"/>
  <c r="G783" i="2" s="1"/>
  <c r="H783" i="2" s="1"/>
  <c r="E784" i="2"/>
  <c r="F784" i="2" s="1"/>
  <c r="G784" i="2" s="1"/>
  <c r="H784" i="2" s="1"/>
  <c r="E785" i="2"/>
  <c r="F785" i="2" s="1"/>
  <c r="G785" i="2" s="1"/>
  <c r="H785" i="2" s="1"/>
  <c r="E786" i="2"/>
  <c r="F786" i="2" s="1"/>
  <c r="G786" i="2" s="1"/>
  <c r="H786" i="2" s="1"/>
  <c r="E787" i="2"/>
  <c r="F787" i="2" s="1"/>
  <c r="G787" i="2" s="1"/>
  <c r="H787" i="2" s="1"/>
  <c r="E788" i="2"/>
  <c r="F788" i="2" s="1"/>
  <c r="G788" i="2" s="1"/>
  <c r="H788" i="2" s="1"/>
  <c r="E789" i="2"/>
  <c r="F789" i="2" s="1"/>
  <c r="G789" i="2" s="1"/>
  <c r="H789" i="2" s="1"/>
  <c r="E790" i="2"/>
  <c r="F790" i="2" s="1"/>
  <c r="G790" i="2" s="1"/>
  <c r="H790" i="2" s="1"/>
  <c r="E791" i="2"/>
  <c r="F791" i="2" s="1"/>
  <c r="G791" i="2" s="1"/>
  <c r="H791" i="2" s="1"/>
  <c r="E792" i="2"/>
  <c r="F792" i="2" s="1"/>
  <c r="G792" i="2" s="1"/>
  <c r="H792" i="2" s="1"/>
  <c r="E793" i="2"/>
  <c r="F793" i="2" s="1"/>
  <c r="G793" i="2" s="1"/>
  <c r="H793" i="2" s="1"/>
  <c r="E794" i="2"/>
  <c r="F794" i="2" s="1"/>
  <c r="G794" i="2" s="1"/>
  <c r="H794" i="2" s="1"/>
  <c r="E795" i="2"/>
  <c r="F795" i="2" s="1"/>
  <c r="G795" i="2" s="1"/>
  <c r="H795" i="2" s="1"/>
  <c r="E796" i="2"/>
  <c r="F796" i="2" s="1"/>
  <c r="G796" i="2" s="1"/>
  <c r="H796" i="2" s="1"/>
  <c r="E797" i="2"/>
  <c r="F797" i="2" s="1"/>
  <c r="G797" i="2" s="1"/>
  <c r="H797" i="2" s="1"/>
  <c r="E798" i="2"/>
  <c r="F798" i="2" s="1"/>
  <c r="G798" i="2" s="1"/>
  <c r="H798" i="2" s="1"/>
  <c r="E799" i="2"/>
  <c r="F799" i="2" s="1"/>
  <c r="G799" i="2" s="1"/>
  <c r="H799" i="2" s="1"/>
  <c r="E800" i="2"/>
  <c r="F800" i="2" s="1"/>
  <c r="G800" i="2" s="1"/>
  <c r="H800" i="2" s="1"/>
  <c r="E801" i="2"/>
  <c r="F801" i="2" s="1"/>
  <c r="G801" i="2" s="1"/>
  <c r="H801" i="2" s="1"/>
  <c r="E802" i="2"/>
  <c r="F802" i="2" s="1"/>
  <c r="G802" i="2" s="1"/>
  <c r="H802" i="2" s="1"/>
  <c r="E803" i="2"/>
  <c r="F803" i="2" s="1"/>
  <c r="G803" i="2" s="1"/>
  <c r="H803" i="2" s="1"/>
  <c r="E804" i="2"/>
  <c r="F804" i="2" s="1"/>
  <c r="G804" i="2" s="1"/>
  <c r="H804" i="2" s="1"/>
  <c r="E805" i="2"/>
  <c r="F805" i="2" s="1"/>
  <c r="G805" i="2" s="1"/>
  <c r="H805" i="2" s="1"/>
  <c r="E806" i="2"/>
  <c r="F806" i="2" s="1"/>
  <c r="G806" i="2" s="1"/>
  <c r="H806" i="2" s="1"/>
  <c r="E807" i="2"/>
  <c r="F807" i="2" s="1"/>
  <c r="G807" i="2" s="1"/>
  <c r="H807" i="2" s="1"/>
  <c r="E808" i="2"/>
  <c r="F808" i="2" s="1"/>
  <c r="G808" i="2" s="1"/>
  <c r="H808" i="2" s="1"/>
  <c r="E809" i="2"/>
  <c r="F809" i="2" s="1"/>
  <c r="G809" i="2" s="1"/>
  <c r="H809" i="2" s="1"/>
  <c r="E810" i="2"/>
  <c r="F810" i="2" s="1"/>
  <c r="G810" i="2" s="1"/>
  <c r="H810" i="2" s="1"/>
  <c r="E811" i="2"/>
  <c r="F811" i="2" s="1"/>
  <c r="G811" i="2" s="1"/>
  <c r="H811" i="2" s="1"/>
  <c r="E812" i="2"/>
  <c r="F812" i="2" s="1"/>
  <c r="G812" i="2" s="1"/>
  <c r="H812" i="2" s="1"/>
  <c r="E813" i="2"/>
  <c r="F813" i="2" s="1"/>
  <c r="G813" i="2" s="1"/>
  <c r="H813" i="2" s="1"/>
  <c r="E814" i="2"/>
  <c r="F814" i="2" s="1"/>
  <c r="G814" i="2" s="1"/>
  <c r="H814" i="2" s="1"/>
  <c r="E815" i="2"/>
  <c r="F815" i="2" s="1"/>
  <c r="G815" i="2" s="1"/>
  <c r="H815" i="2" s="1"/>
  <c r="E816" i="2"/>
  <c r="F816" i="2" s="1"/>
  <c r="G816" i="2" s="1"/>
  <c r="H816" i="2" s="1"/>
  <c r="E817" i="2"/>
  <c r="F817" i="2" s="1"/>
  <c r="G817" i="2" s="1"/>
  <c r="H817" i="2" s="1"/>
  <c r="E818" i="2"/>
  <c r="F818" i="2" s="1"/>
  <c r="G818" i="2" s="1"/>
  <c r="H818" i="2" s="1"/>
  <c r="E819" i="2"/>
  <c r="F819" i="2" s="1"/>
  <c r="G819" i="2" s="1"/>
  <c r="H819" i="2" s="1"/>
  <c r="E820" i="2"/>
  <c r="F820" i="2" s="1"/>
  <c r="G820" i="2" s="1"/>
  <c r="H820" i="2" s="1"/>
  <c r="E821" i="2"/>
  <c r="F821" i="2" s="1"/>
  <c r="G821" i="2" s="1"/>
  <c r="H821" i="2" s="1"/>
  <c r="E822" i="2"/>
  <c r="F822" i="2" s="1"/>
  <c r="G822" i="2" s="1"/>
  <c r="H822" i="2" s="1"/>
  <c r="E823" i="2"/>
  <c r="F823" i="2" s="1"/>
  <c r="G823" i="2" s="1"/>
  <c r="H823" i="2" s="1"/>
  <c r="E824" i="2"/>
  <c r="F824" i="2" s="1"/>
  <c r="G824" i="2" s="1"/>
  <c r="H824" i="2" s="1"/>
  <c r="E825" i="2"/>
  <c r="F825" i="2" s="1"/>
  <c r="G825" i="2" s="1"/>
  <c r="H825" i="2" s="1"/>
  <c r="E826" i="2"/>
  <c r="F826" i="2" s="1"/>
  <c r="G826" i="2" s="1"/>
  <c r="H826" i="2" s="1"/>
  <c r="E827" i="2"/>
  <c r="F827" i="2" s="1"/>
  <c r="G827" i="2" s="1"/>
  <c r="H827" i="2" s="1"/>
  <c r="E828" i="2"/>
  <c r="F828" i="2" s="1"/>
  <c r="G828" i="2" s="1"/>
  <c r="H828" i="2" s="1"/>
  <c r="E829" i="2"/>
  <c r="F829" i="2" s="1"/>
  <c r="G829" i="2" s="1"/>
  <c r="H829" i="2" s="1"/>
  <c r="E830" i="2"/>
  <c r="F830" i="2" s="1"/>
  <c r="G830" i="2" s="1"/>
  <c r="H830" i="2" s="1"/>
  <c r="E831" i="2"/>
  <c r="F831" i="2" s="1"/>
  <c r="G831" i="2" s="1"/>
  <c r="H831" i="2" s="1"/>
  <c r="E832" i="2"/>
  <c r="F832" i="2" s="1"/>
  <c r="G832" i="2" s="1"/>
  <c r="H832" i="2" s="1"/>
  <c r="E833" i="2"/>
  <c r="F833" i="2" s="1"/>
  <c r="G833" i="2" s="1"/>
  <c r="H833" i="2" s="1"/>
  <c r="E834" i="2"/>
  <c r="F834" i="2" s="1"/>
  <c r="G834" i="2" s="1"/>
  <c r="H834" i="2" s="1"/>
  <c r="E835" i="2"/>
  <c r="F835" i="2" s="1"/>
  <c r="G835" i="2" s="1"/>
  <c r="H835" i="2" s="1"/>
  <c r="E836" i="2"/>
  <c r="F836" i="2" s="1"/>
  <c r="G836" i="2" s="1"/>
  <c r="H836" i="2" s="1"/>
  <c r="E837" i="2"/>
  <c r="F837" i="2" s="1"/>
  <c r="G837" i="2" s="1"/>
  <c r="H837" i="2" s="1"/>
  <c r="E838" i="2"/>
  <c r="F838" i="2" s="1"/>
  <c r="G838" i="2" s="1"/>
  <c r="H838" i="2" s="1"/>
  <c r="E7" i="3"/>
  <c r="E30" i="3" s="1"/>
  <c r="H5" i="5"/>
  <c r="G5" i="5"/>
  <c r="F5" i="5"/>
  <c r="E5" i="5"/>
  <c r="D5" i="5"/>
  <c r="C5" i="5"/>
  <c r="B5" i="5"/>
  <c r="E8" i="4"/>
  <c r="F8" i="4" s="1"/>
  <c r="G8" i="4" s="1"/>
  <c r="H8" i="4" s="1"/>
  <c r="E9" i="4"/>
  <c r="F9" i="4" s="1"/>
  <c r="G9" i="4" s="1"/>
  <c r="H9" i="4" s="1"/>
  <c r="E10" i="4"/>
  <c r="F10" i="4" s="1"/>
  <c r="G10" i="4" s="1"/>
  <c r="H10" i="4" s="1"/>
  <c r="E11" i="4"/>
  <c r="F11" i="4" s="1"/>
  <c r="G11" i="4" s="1"/>
  <c r="H11" i="4" s="1"/>
  <c r="E12" i="4"/>
  <c r="F12" i="4" s="1"/>
  <c r="G12" i="4" s="1"/>
  <c r="H12" i="4" s="1"/>
  <c r="E13" i="4"/>
  <c r="F13" i="4" s="1"/>
  <c r="G13" i="4" s="1"/>
  <c r="H13" i="4" s="1"/>
  <c r="E14" i="4"/>
  <c r="F14" i="4" s="1"/>
  <c r="G14" i="4" s="1"/>
  <c r="H14" i="4" s="1"/>
  <c r="E15" i="4"/>
  <c r="F15" i="4" s="1"/>
  <c r="G15" i="4" s="1"/>
  <c r="H15" i="4" s="1"/>
  <c r="E16" i="4"/>
  <c r="F16" i="4" s="1"/>
  <c r="G16" i="4" s="1"/>
  <c r="H16" i="4" s="1"/>
  <c r="E7" i="4"/>
  <c r="D839" i="2"/>
  <c r="H265" i="2" l="1"/>
  <c r="I265" i="2" s="1"/>
  <c r="J265" i="2" s="1"/>
  <c r="H199" i="2"/>
  <c r="I199" i="2" s="1"/>
  <c r="J199" i="2" s="1"/>
  <c r="H161" i="2"/>
  <c r="I161" i="2" s="1"/>
  <c r="J161" i="2" s="1"/>
  <c r="H17" i="2"/>
  <c r="I17" i="2" s="1"/>
  <c r="J17" i="2" s="1"/>
  <c r="H280" i="2"/>
  <c r="I280" i="2" s="1"/>
  <c r="J280" i="2" s="1"/>
  <c r="H142" i="2"/>
  <c r="I142" i="2" s="1"/>
  <c r="J142" i="2" s="1"/>
  <c r="I22" i="2"/>
  <c r="J22" i="2" s="1"/>
  <c r="H22" i="2"/>
  <c r="J10" i="4"/>
  <c r="J16" i="4"/>
  <c r="J15" i="4"/>
  <c r="J9" i="4"/>
  <c r="J12" i="4"/>
  <c r="J11" i="4"/>
  <c r="J14" i="4"/>
  <c r="J8" i="4"/>
  <c r="J13" i="4"/>
  <c r="I782" i="2"/>
  <c r="I746" i="2"/>
  <c r="J746" i="2" s="1"/>
  <c r="I734" i="2"/>
  <c r="J734" i="2" s="1"/>
  <c r="I722" i="2"/>
  <c r="J722" i="2" s="1"/>
  <c r="I704" i="2"/>
  <c r="J704" i="2" s="1"/>
  <c r="I692" i="2"/>
  <c r="J692" i="2" s="1"/>
  <c r="I674" i="2"/>
  <c r="J674" i="2" s="1"/>
  <c r="I656" i="2"/>
  <c r="J656" i="2" s="1"/>
  <c r="I644" i="2"/>
  <c r="J644" i="2" s="1"/>
  <c r="I632" i="2"/>
  <c r="J632" i="2" s="1"/>
  <c r="I614" i="2"/>
  <c r="J614" i="2" s="1"/>
  <c r="I596" i="2"/>
  <c r="J596" i="2" s="1"/>
  <c r="I512" i="2"/>
  <c r="I506" i="2"/>
  <c r="J506" i="2" s="1"/>
  <c r="I488" i="2"/>
  <c r="J488" i="2" s="1"/>
  <c r="I470" i="2"/>
  <c r="J470" i="2" s="1"/>
  <c r="I452" i="2"/>
  <c r="J452" i="2" s="1"/>
  <c r="I434" i="2"/>
  <c r="J434" i="2" s="1"/>
  <c r="I416" i="2"/>
  <c r="I398" i="2"/>
  <c r="J398" i="2" s="1"/>
  <c r="I380" i="2"/>
  <c r="J380" i="2" s="1"/>
  <c r="I362" i="2"/>
  <c r="I350" i="2"/>
  <c r="I332" i="2"/>
  <c r="J332" i="2" s="1"/>
  <c r="I314" i="2"/>
  <c r="J314" i="2" s="1"/>
  <c r="I290" i="2"/>
  <c r="J290" i="2" s="1"/>
  <c r="I266" i="2"/>
  <c r="J266" i="2" s="1"/>
  <c r="I242" i="2"/>
  <c r="J242" i="2" s="1"/>
  <c r="I218" i="2"/>
  <c r="J218" i="2" s="1"/>
  <c r="I194" i="2"/>
  <c r="J194" i="2" s="1"/>
  <c r="I176" i="2"/>
  <c r="J176" i="2" s="1"/>
  <c r="I152" i="2"/>
  <c r="I104" i="2"/>
  <c r="J104" i="2" s="1"/>
  <c r="I92" i="2"/>
  <c r="J92" i="2" s="1"/>
  <c r="I86" i="2"/>
  <c r="J86" i="2" s="1"/>
  <c r="I80" i="2"/>
  <c r="I74" i="2"/>
  <c r="J74" i="2" s="1"/>
  <c r="I68" i="2"/>
  <c r="J68" i="2" s="1"/>
  <c r="I62" i="2"/>
  <c r="J62" i="2" s="1"/>
  <c r="I56" i="2"/>
  <c r="I50" i="2"/>
  <c r="J50" i="2" s="1"/>
  <c r="I44" i="2"/>
  <c r="J44" i="2" s="1"/>
  <c r="I38" i="2"/>
  <c r="J38" i="2" s="1"/>
  <c r="I32" i="2"/>
  <c r="J32" i="2" s="1"/>
  <c r="I26" i="2"/>
  <c r="J26" i="2" s="1"/>
  <c r="I799" i="2"/>
  <c r="J799" i="2" s="1"/>
  <c r="I769" i="2"/>
  <c r="I745" i="2"/>
  <c r="J745" i="2" s="1"/>
  <c r="I715" i="2"/>
  <c r="I685" i="2"/>
  <c r="I655" i="2"/>
  <c r="J655" i="2" s="1"/>
  <c r="I631" i="2"/>
  <c r="J631" i="2" s="1"/>
  <c r="I613" i="2"/>
  <c r="J613" i="2" s="1"/>
  <c r="I595" i="2"/>
  <c r="J595" i="2" s="1"/>
  <c r="I571" i="2"/>
  <c r="I553" i="2"/>
  <c r="J553" i="2" s="1"/>
  <c r="I541" i="2"/>
  <c r="J541" i="2" s="1"/>
  <c r="I535" i="2"/>
  <c r="J535" i="2" s="1"/>
  <c r="I517" i="2"/>
  <c r="J517" i="2" s="1"/>
  <c r="I511" i="2"/>
  <c r="J511" i="2" s="1"/>
  <c r="I499" i="2"/>
  <c r="J499" i="2" s="1"/>
  <c r="I481" i="2"/>
  <c r="J481" i="2" s="1"/>
  <c r="I475" i="2"/>
  <c r="J475" i="2" s="1"/>
  <c r="I469" i="2"/>
  <c r="I457" i="2"/>
  <c r="J457" i="2" s="1"/>
  <c r="I451" i="2"/>
  <c r="J451" i="2" s="1"/>
  <c r="I433" i="2"/>
  <c r="J433" i="2" s="1"/>
  <c r="I427" i="2"/>
  <c r="J427" i="2" s="1"/>
  <c r="I421" i="2"/>
  <c r="J421" i="2" s="1"/>
  <c r="I415" i="2"/>
  <c r="J415" i="2" s="1"/>
  <c r="I409" i="2"/>
  <c r="I403" i="2"/>
  <c r="I397" i="2"/>
  <c r="J397" i="2" s="1"/>
  <c r="I391" i="2"/>
  <c r="J391" i="2" s="1"/>
  <c r="I385" i="2"/>
  <c r="J385" i="2" s="1"/>
  <c r="I379" i="2"/>
  <c r="I373" i="2"/>
  <c r="J373" i="2" s="1"/>
  <c r="I367" i="2"/>
  <c r="J367" i="2" s="1"/>
  <c r="I361" i="2"/>
  <c r="J361" i="2" s="1"/>
  <c r="I355" i="2"/>
  <c r="I349" i="2"/>
  <c r="J349" i="2" s="1"/>
  <c r="I343" i="2"/>
  <c r="J343" i="2" s="1"/>
  <c r="I337" i="2"/>
  <c r="J337" i="2" s="1"/>
  <c r="I325" i="2"/>
  <c r="J325" i="2" s="1"/>
  <c r="I319" i="2"/>
  <c r="I307" i="2"/>
  <c r="J307" i="2" s="1"/>
  <c r="I289" i="2"/>
  <c r="J289" i="2" s="1"/>
  <c r="I283" i="2"/>
  <c r="J283" i="2" s="1"/>
  <c r="I271" i="2"/>
  <c r="J271" i="2" s="1"/>
  <c r="I253" i="2"/>
  <c r="J253" i="2" s="1"/>
  <c r="I247" i="2"/>
  <c r="J247" i="2" s="1"/>
  <c r="I241" i="2"/>
  <c r="I235" i="2"/>
  <c r="J235" i="2" s="1"/>
  <c r="I229" i="2"/>
  <c r="J229" i="2" s="1"/>
  <c r="I223" i="2"/>
  <c r="J223" i="2" s="1"/>
  <c r="I217" i="2"/>
  <c r="J217" i="2" s="1"/>
  <c r="I211" i="2"/>
  <c r="J211" i="2" s="1"/>
  <c r="I205" i="2"/>
  <c r="J205" i="2" s="1"/>
  <c r="I193" i="2"/>
  <c r="I181" i="2"/>
  <c r="J181" i="2" s="1"/>
  <c r="I175" i="2"/>
  <c r="J175" i="2" s="1"/>
  <c r="I169" i="2"/>
  <c r="I163" i="2"/>
  <c r="J163" i="2" s="1"/>
  <c r="I157" i="2"/>
  <c r="J157" i="2" s="1"/>
  <c r="I145" i="2"/>
  <c r="J145" i="2" s="1"/>
  <c r="I139" i="2"/>
  <c r="J139" i="2" s="1"/>
  <c r="I133" i="2"/>
  <c r="J133" i="2" s="1"/>
  <c r="I127" i="2"/>
  <c r="J127" i="2" s="1"/>
  <c r="I121" i="2"/>
  <c r="J121" i="2" s="1"/>
  <c r="I115" i="2"/>
  <c r="J115" i="2" s="1"/>
  <c r="I109" i="2"/>
  <c r="J109" i="2" s="1"/>
  <c r="I103" i="2"/>
  <c r="J103" i="2" s="1"/>
  <c r="I97" i="2"/>
  <c r="I85" i="2"/>
  <c r="J85" i="2" s="1"/>
  <c r="I79" i="2"/>
  <c r="J79" i="2" s="1"/>
  <c r="I67" i="2"/>
  <c r="J67" i="2" s="1"/>
  <c r="I61" i="2"/>
  <c r="J61" i="2" s="1"/>
  <c r="I55" i="2"/>
  <c r="J55" i="2" s="1"/>
  <c r="I49" i="2"/>
  <c r="J49" i="2" s="1"/>
  <c r="I37" i="2"/>
  <c r="J37" i="2" s="1"/>
  <c r="I25" i="2"/>
  <c r="J25" i="2" s="1"/>
  <c r="I13" i="2"/>
  <c r="I834" i="2"/>
  <c r="I828" i="2"/>
  <c r="J828" i="2" s="1"/>
  <c r="I822" i="2"/>
  <c r="J822" i="2" s="1"/>
  <c r="I816" i="2"/>
  <c r="I810" i="2"/>
  <c r="J810" i="2" s="1"/>
  <c r="I804" i="2"/>
  <c r="J804" i="2" s="1"/>
  <c r="I798" i="2"/>
  <c r="J798" i="2" s="1"/>
  <c r="I792" i="2"/>
  <c r="J792" i="2" s="1"/>
  <c r="I786" i="2"/>
  <c r="J786" i="2" s="1"/>
  <c r="I774" i="2"/>
  <c r="J774" i="2" s="1"/>
  <c r="I768" i="2"/>
  <c r="J768" i="2" s="1"/>
  <c r="I756" i="2"/>
  <c r="J756" i="2" s="1"/>
  <c r="I750" i="2"/>
  <c r="J750" i="2" s="1"/>
  <c r="I744" i="2"/>
  <c r="J744" i="2" s="1"/>
  <c r="I738" i="2"/>
  <c r="J738" i="2" s="1"/>
  <c r="I726" i="2"/>
  <c r="J726" i="2" s="1"/>
  <c r="I720" i="2"/>
  <c r="J720" i="2" s="1"/>
  <c r="I708" i="2"/>
  <c r="J708" i="2" s="1"/>
  <c r="I702" i="2"/>
  <c r="J702" i="2" s="1"/>
  <c r="I696" i="2"/>
  <c r="J696" i="2" s="1"/>
  <c r="I690" i="2"/>
  <c r="J690" i="2" s="1"/>
  <c r="I678" i="2"/>
  <c r="J678" i="2" s="1"/>
  <c r="I672" i="2"/>
  <c r="J672" i="2" s="1"/>
  <c r="I666" i="2"/>
  <c r="J666" i="2" s="1"/>
  <c r="I654" i="2"/>
  <c r="J654" i="2" s="1"/>
  <c r="I648" i="2"/>
  <c r="J648" i="2" s="1"/>
  <c r="I630" i="2"/>
  <c r="J630" i="2" s="1"/>
  <c r="I624" i="2"/>
  <c r="I618" i="2"/>
  <c r="J618" i="2" s="1"/>
  <c r="I612" i="2"/>
  <c r="J612" i="2" s="1"/>
  <c r="I600" i="2"/>
  <c r="J600" i="2" s="1"/>
  <c r="I594" i="2"/>
  <c r="J594" i="2" s="1"/>
  <c r="I582" i="2"/>
  <c r="J582" i="2" s="1"/>
  <c r="I576" i="2"/>
  <c r="J576" i="2" s="1"/>
  <c r="I558" i="2"/>
  <c r="I552" i="2"/>
  <c r="I546" i="2"/>
  <c r="J546" i="2" s="1"/>
  <c r="I540" i="2"/>
  <c r="J540" i="2" s="1"/>
  <c r="I528" i="2"/>
  <c r="J528" i="2" s="1"/>
  <c r="I522" i="2"/>
  <c r="J522" i="2" s="1"/>
  <c r="I516" i="2"/>
  <c r="I510" i="2"/>
  <c r="J510" i="2" s="1"/>
  <c r="I504" i="2"/>
  <c r="I498" i="2"/>
  <c r="I492" i="2"/>
  <c r="J492" i="2" s="1"/>
  <c r="I486" i="2"/>
  <c r="J486" i="2" s="1"/>
  <c r="I474" i="2"/>
  <c r="J474" i="2" s="1"/>
  <c r="I468" i="2"/>
  <c r="J468" i="2" s="1"/>
  <c r="I456" i="2"/>
  <c r="J456" i="2" s="1"/>
  <c r="I444" i="2"/>
  <c r="J444" i="2" s="1"/>
  <c r="I438" i="2"/>
  <c r="I432" i="2"/>
  <c r="J432" i="2" s="1"/>
  <c r="I426" i="2"/>
  <c r="J426" i="2" s="1"/>
  <c r="I420" i="2"/>
  <c r="J420" i="2" s="1"/>
  <c r="I414" i="2"/>
  <c r="J414" i="2" s="1"/>
  <c r="I408" i="2"/>
  <c r="J408" i="2" s="1"/>
  <c r="I402" i="2"/>
  <c r="J402" i="2" s="1"/>
  <c r="I390" i="2"/>
  <c r="J390" i="2" s="1"/>
  <c r="I372" i="2"/>
  <c r="I360" i="2"/>
  <c r="J360" i="2" s="1"/>
  <c r="I342" i="2"/>
  <c r="J342" i="2" s="1"/>
  <c r="I336" i="2"/>
  <c r="J336" i="2" s="1"/>
  <c r="I324" i="2"/>
  <c r="I318" i="2"/>
  <c r="I312" i="2"/>
  <c r="J312" i="2" s="1"/>
  <c r="I294" i="2"/>
  <c r="J294" i="2" s="1"/>
  <c r="I282" i="2"/>
  <c r="J282" i="2" s="1"/>
  <c r="I276" i="2"/>
  <c r="J276" i="2" s="1"/>
  <c r="I264" i="2"/>
  <c r="J264" i="2" s="1"/>
  <c r="I258" i="2"/>
  <c r="J258" i="2" s="1"/>
  <c r="I252" i="2"/>
  <c r="J252" i="2" s="1"/>
  <c r="I240" i="2"/>
  <c r="J240" i="2" s="1"/>
  <c r="I234" i="2"/>
  <c r="J234" i="2" s="1"/>
  <c r="I228" i="2"/>
  <c r="I222" i="2"/>
  <c r="I216" i="2"/>
  <c r="I210" i="2"/>
  <c r="I204" i="2"/>
  <c r="J204" i="2" s="1"/>
  <c r="I198" i="2"/>
  <c r="J198" i="2" s="1"/>
  <c r="I192" i="2"/>
  <c r="J192" i="2" s="1"/>
  <c r="I186" i="2"/>
  <c r="J186" i="2" s="1"/>
  <c r="I180" i="2"/>
  <c r="I174" i="2"/>
  <c r="J174" i="2" s="1"/>
  <c r="I168" i="2"/>
  <c r="J168" i="2" s="1"/>
  <c r="I162" i="2"/>
  <c r="I156" i="2"/>
  <c r="J156" i="2" s="1"/>
  <c r="I150" i="2"/>
  <c r="J150" i="2" s="1"/>
  <c r="I144" i="2"/>
  <c r="J144" i="2" s="1"/>
  <c r="I138" i="2"/>
  <c r="J138" i="2" s="1"/>
  <c r="I126" i="2"/>
  <c r="J126" i="2" s="1"/>
  <c r="I114" i="2"/>
  <c r="I108" i="2"/>
  <c r="I102" i="2"/>
  <c r="J102" i="2" s="1"/>
  <c r="I90" i="2"/>
  <c r="J90" i="2" s="1"/>
  <c r="I84" i="2"/>
  <c r="J84" i="2" s="1"/>
  <c r="I72" i="2"/>
  <c r="J72" i="2" s="1"/>
  <c r="I66" i="2"/>
  <c r="J66" i="2" s="1"/>
  <c r="I60" i="2"/>
  <c r="J60" i="2" s="1"/>
  <c r="I54" i="2"/>
  <c r="J54" i="2" s="1"/>
  <c r="I48" i="2"/>
  <c r="J48" i="2" s="1"/>
  <c r="I42" i="2"/>
  <c r="J42" i="2" s="1"/>
  <c r="I30" i="2"/>
  <c r="J30" i="2" s="1"/>
  <c r="I24" i="2"/>
  <c r="J24" i="2" s="1"/>
  <c r="I18" i="2"/>
  <c r="J18" i="2" s="1"/>
  <c r="I12" i="2"/>
  <c r="J12" i="2" s="1"/>
  <c r="I830" i="2"/>
  <c r="J830" i="2" s="1"/>
  <c r="I812" i="2"/>
  <c r="J812" i="2" s="1"/>
  <c r="I794" i="2"/>
  <c r="J794" i="2" s="1"/>
  <c r="I770" i="2"/>
  <c r="J770" i="2" s="1"/>
  <c r="I752" i="2"/>
  <c r="J752" i="2" s="1"/>
  <c r="I728" i="2"/>
  <c r="J728" i="2" s="1"/>
  <c r="I710" i="2"/>
  <c r="J710" i="2" s="1"/>
  <c r="I668" i="2"/>
  <c r="J668" i="2" s="1"/>
  <c r="I650" i="2"/>
  <c r="J650" i="2" s="1"/>
  <c r="I626" i="2"/>
  <c r="J626" i="2" s="1"/>
  <c r="I608" i="2"/>
  <c r="J608" i="2" s="1"/>
  <c r="I590" i="2"/>
  <c r="J590" i="2" s="1"/>
  <c r="I572" i="2"/>
  <c r="J572" i="2" s="1"/>
  <c r="I554" i="2"/>
  <c r="J554" i="2" s="1"/>
  <c r="I536" i="2"/>
  <c r="J536" i="2" s="1"/>
  <c r="I518" i="2"/>
  <c r="J518" i="2" s="1"/>
  <c r="I482" i="2"/>
  <c r="J482" i="2" s="1"/>
  <c r="I458" i="2"/>
  <c r="J458" i="2" s="1"/>
  <c r="I440" i="2"/>
  <c r="J440" i="2" s="1"/>
  <c r="I428" i="2"/>
  <c r="J428" i="2" s="1"/>
  <c r="I410" i="2"/>
  <c r="J410" i="2" s="1"/>
  <c r="I392" i="2"/>
  <c r="J392" i="2" s="1"/>
  <c r="I374" i="2"/>
  <c r="I356" i="2"/>
  <c r="J356" i="2" s="1"/>
  <c r="I296" i="2"/>
  <c r="J296" i="2" s="1"/>
  <c r="I278" i="2"/>
  <c r="J278" i="2" s="1"/>
  <c r="I254" i="2"/>
  <c r="J254" i="2" s="1"/>
  <c r="I230" i="2"/>
  <c r="I200" i="2"/>
  <c r="J200" i="2" s="1"/>
  <c r="I170" i="2"/>
  <c r="J170" i="2" s="1"/>
  <c r="I134" i="2"/>
  <c r="J134" i="2" s="1"/>
  <c r="I98" i="2"/>
  <c r="J98" i="2" s="1"/>
  <c r="I20" i="2"/>
  <c r="J20" i="2" s="1"/>
  <c r="I829" i="2"/>
  <c r="J829" i="2" s="1"/>
  <c r="I781" i="2"/>
  <c r="J781" i="2" s="1"/>
  <c r="I751" i="2"/>
  <c r="J751" i="2" s="1"/>
  <c r="I673" i="2"/>
  <c r="J673" i="2" s="1"/>
  <c r="I649" i="2"/>
  <c r="J649" i="2" s="1"/>
  <c r="I625" i="2"/>
  <c r="J625" i="2" s="1"/>
  <c r="I601" i="2"/>
  <c r="J601" i="2" s="1"/>
  <c r="I583" i="2"/>
  <c r="J583" i="2" s="1"/>
  <c r="I559" i="2"/>
  <c r="J559" i="2" s="1"/>
  <c r="I505" i="2"/>
  <c r="J505" i="2" s="1"/>
  <c r="I833" i="2"/>
  <c r="J833" i="2" s="1"/>
  <c r="I821" i="2"/>
  <c r="J821" i="2" s="1"/>
  <c r="I803" i="2"/>
  <c r="J803" i="2" s="1"/>
  <c r="I785" i="2"/>
  <c r="J785" i="2" s="1"/>
  <c r="I773" i="2"/>
  <c r="I761" i="2"/>
  <c r="J761" i="2" s="1"/>
  <c r="I701" i="2"/>
  <c r="J701" i="2" s="1"/>
  <c r="I677" i="2"/>
  <c r="J677" i="2" s="1"/>
  <c r="I659" i="2"/>
  <c r="J659" i="2" s="1"/>
  <c r="I641" i="2"/>
  <c r="J641" i="2" s="1"/>
  <c r="I623" i="2"/>
  <c r="J623" i="2" s="1"/>
  <c r="I611" i="2"/>
  <c r="J611" i="2" s="1"/>
  <c r="I599" i="2"/>
  <c r="J599" i="2" s="1"/>
  <c r="I545" i="2"/>
  <c r="I533" i="2"/>
  <c r="J533" i="2" s="1"/>
  <c r="I521" i="2"/>
  <c r="J521" i="2" s="1"/>
  <c r="I509" i="2"/>
  <c r="J509" i="2" s="1"/>
  <c r="I485" i="2"/>
  <c r="J485" i="2" s="1"/>
  <c r="I473" i="2"/>
  <c r="J473" i="2" s="1"/>
  <c r="I467" i="2"/>
  <c r="J467" i="2" s="1"/>
  <c r="I455" i="2"/>
  <c r="J455" i="2" s="1"/>
  <c r="I449" i="2"/>
  <c r="J449" i="2" s="1"/>
  <c r="I443" i="2"/>
  <c r="J443" i="2" s="1"/>
  <c r="I431" i="2"/>
  <c r="J431" i="2" s="1"/>
  <c r="I425" i="2"/>
  <c r="J425" i="2" s="1"/>
  <c r="I413" i="2"/>
  <c r="I407" i="2"/>
  <c r="I401" i="2"/>
  <c r="J401" i="2" s="1"/>
  <c r="I395" i="2"/>
  <c r="J395" i="2" s="1"/>
  <c r="I383" i="2"/>
  <c r="J383" i="2" s="1"/>
  <c r="I371" i="2"/>
  <c r="J371" i="2" s="1"/>
  <c r="I365" i="2"/>
  <c r="J365" i="2" s="1"/>
  <c r="I359" i="2"/>
  <c r="I353" i="2"/>
  <c r="J353" i="2" s="1"/>
  <c r="I347" i="2"/>
  <c r="J347" i="2" s="1"/>
  <c r="I335" i="2"/>
  <c r="I323" i="2"/>
  <c r="J323" i="2" s="1"/>
  <c r="I317" i="2"/>
  <c r="J317" i="2" s="1"/>
  <c r="I311" i="2"/>
  <c r="J311" i="2" s="1"/>
  <c r="I305" i="2"/>
  <c r="J305" i="2" s="1"/>
  <c r="I299" i="2"/>
  <c r="J299" i="2" s="1"/>
  <c r="I293" i="2"/>
  <c r="J293" i="2" s="1"/>
  <c r="I287" i="2"/>
  <c r="J287" i="2" s="1"/>
  <c r="I281" i="2"/>
  <c r="J281" i="2" s="1"/>
  <c r="I275" i="2"/>
  <c r="I269" i="2"/>
  <c r="J269" i="2" s="1"/>
  <c r="I263" i="2"/>
  <c r="J263" i="2" s="1"/>
  <c r="I245" i="2"/>
  <c r="J245" i="2" s="1"/>
  <c r="I239" i="2"/>
  <c r="J239" i="2" s="1"/>
  <c r="I233" i="2"/>
  <c r="J233" i="2" s="1"/>
  <c r="I227" i="2"/>
  <c r="J227" i="2" s="1"/>
  <c r="I215" i="2"/>
  <c r="I209" i="2"/>
  <c r="J209" i="2" s="1"/>
  <c r="I203" i="2"/>
  <c r="J203" i="2" s="1"/>
  <c r="I197" i="2"/>
  <c r="J197" i="2" s="1"/>
  <c r="I185" i="2"/>
  <c r="J185" i="2" s="1"/>
  <c r="I179" i="2"/>
  <c r="J179" i="2" s="1"/>
  <c r="I173" i="2"/>
  <c r="I167" i="2"/>
  <c r="J167" i="2" s="1"/>
  <c r="I155" i="2"/>
  <c r="J155" i="2" s="1"/>
  <c r="I149" i="2"/>
  <c r="J149" i="2" s="1"/>
  <c r="I143" i="2"/>
  <c r="J143" i="2" s="1"/>
  <c r="I137" i="2"/>
  <c r="I131" i="2"/>
  <c r="I125" i="2"/>
  <c r="I119" i="2"/>
  <c r="J119" i="2" s="1"/>
  <c r="I113" i="2"/>
  <c r="J113" i="2" s="1"/>
  <c r="I107" i="2"/>
  <c r="J107" i="2" s="1"/>
  <c r="I101" i="2"/>
  <c r="J101" i="2" s="1"/>
  <c r="I95" i="2"/>
  <c r="J95" i="2" s="1"/>
  <c r="I89" i="2"/>
  <c r="J89" i="2" s="1"/>
  <c r="I83" i="2"/>
  <c r="I77" i="2"/>
  <c r="J77" i="2" s="1"/>
  <c r="I71" i="2"/>
  <c r="I65" i="2"/>
  <c r="J65" i="2" s="1"/>
  <c r="I59" i="2"/>
  <c r="I53" i="2"/>
  <c r="J53" i="2" s="1"/>
  <c r="I47" i="2"/>
  <c r="J47" i="2" s="1"/>
  <c r="I41" i="2"/>
  <c r="J41" i="2" s="1"/>
  <c r="I35" i="2"/>
  <c r="J35" i="2" s="1"/>
  <c r="I29" i="2"/>
  <c r="J29" i="2" s="1"/>
  <c r="I23" i="2"/>
  <c r="J23" i="2" s="1"/>
  <c r="I11" i="2"/>
  <c r="J11" i="2" s="1"/>
  <c r="I836" i="2"/>
  <c r="J836" i="2" s="1"/>
  <c r="I824" i="2"/>
  <c r="J824" i="2" s="1"/>
  <c r="I806" i="2"/>
  <c r="J806" i="2" s="1"/>
  <c r="I788" i="2"/>
  <c r="J788" i="2" s="1"/>
  <c r="I776" i="2"/>
  <c r="J776" i="2" s="1"/>
  <c r="I758" i="2"/>
  <c r="J758" i="2" s="1"/>
  <c r="I740" i="2"/>
  <c r="J740" i="2" s="1"/>
  <c r="I716" i="2"/>
  <c r="J716" i="2" s="1"/>
  <c r="I680" i="2"/>
  <c r="J680" i="2" s="1"/>
  <c r="I662" i="2"/>
  <c r="J662" i="2" s="1"/>
  <c r="I638" i="2"/>
  <c r="J638" i="2" s="1"/>
  <c r="I620" i="2"/>
  <c r="J620" i="2" s="1"/>
  <c r="I602" i="2"/>
  <c r="J602" i="2" s="1"/>
  <c r="I584" i="2"/>
  <c r="J584" i="2" s="1"/>
  <c r="I566" i="2"/>
  <c r="J566" i="2" s="1"/>
  <c r="I530" i="2"/>
  <c r="I476" i="2"/>
  <c r="I464" i="2"/>
  <c r="J464" i="2" s="1"/>
  <c r="I446" i="2"/>
  <c r="J446" i="2" s="1"/>
  <c r="I422" i="2"/>
  <c r="J422" i="2" s="1"/>
  <c r="I386" i="2"/>
  <c r="J386" i="2" s="1"/>
  <c r="I368" i="2"/>
  <c r="J368" i="2" s="1"/>
  <c r="I344" i="2"/>
  <c r="J344" i="2" s="1"/>
  <c r="I326" i="2"/>
  <c r="J326" i="2" s="1"/>
  <c r="I308" i="2"/>
  <c r="J308" i="2" s="1"/>
  <c r="I284" i="2"/>
  <c r="J284" i="2" s="1"/>
  <c r="I260" i="2"/>
  <c r="J260" i="2" s="1"/>
  <c r="I236" i="2"/>
  <c r="J236" i="2" s="1"/>
  <c r="I212" i="2"/>
  <c r="J212" i="2" s="1"/>
  <c r="I188" i="2"/>
  <c r="J188" i="2" s="1"/>
  <c r="I158" i="2"/>
  <c r="J158" i="2" s="1"/>
  <c r="I140" i="2"/>
  <c r="J140" i="2" s="1"/>
  <c r="I110" i="2"/>
  <c r="J110" i="2" s="1"/>
  <c r="I14" i="2"/>
  <c r="J14" i="2" s="1"/>
  <c r="I835" i="2"/>
  <c r="J835" i="2" s="1"/>
  <c r="I811" i="2"/>
  <c r="J811" i="2" s="1"/>
  <c r="I787" i="2"/>
  <c r="I757" i="2"/>
  <c r="J757" i="2" s="1"/>
  <c r="I733" i="2"/>
  <c r="J733" i="2" s="1"/>
  <c r="I709" i="2"/>
  <c r="I691" i="2"/>
  <c r="J691" i="2" s="1"/>
  <c r="I667" i="2"/>
  <c r="J667" i="2" s="1"/>
  <c r="I637" i="2"/>
  <c r="J637" i="2" s="1"/>
  <c r="I577" i="2"/>
  <c r="J577" i="2" s="1"/>
  <c r="I547" i="2"/>
  <c r="J547" i="2" s="1"/>
  <c r="I487" i="2"/>
  <c r="I815" i="2"/>
  <c r="J815" i="2" s="1"/>
  <c r="I791" i="2"/>
  <c r="I737" i="2"/>
  <c r="J737" i="2" s="1"/>
  <c r="I689" i="2"/>
  <c r="J689" i="2" s="1"/>
  <c r="I653" i="2"/>
  <c r="J653" i="2" s="1"/>
  <c r="I647" i="2"/>
  <c r="J647" i="2" s="1"/>
  <c r="I629" i="2"/>
  <c r="J629" i="2" s="1"/>
  <c r="I617" i="2"/>
  <c r="I605" i="2"/>
  <c r="J605" i="2" s="1"/>
  <c r="I587" i="2"/>
  <c r="J587" i="2" s="1"/>
  <c r="I563" i="2"/>
  <c r="J563" i="2" s="1"/>
  <c r="I551" i="2"/>
  <c r="J551" i="2" s="1"/>
  <c r="I539" i="2"/>
  <c r="I503" i="2"/>
  <c r="J503" i="2" s="1"/>
  <c r="I491" i="2"/>
  <c r="J491" i="2" s="1"/>
  <c r="I479" i="2"/>
  <c r="J479" i="2" s="1"/>
  <c r="I461" i="2"/>
  <c r="J461" i="2" s="1"/>
  <c r="I389" i="2"/>
  <c r="J389" i="2" s="1"/>
  <c r="I838" i="2"/>
  <c r="J838" i="2" s="1"/>
  <c r="I826" i="2"/>
  <c r="J826" i="2" s="1"/>
  <c r="I784" i="2"/>
  <c r="J784" i="2" s="1"/>
  <c r="I778" i="2"/>
  <c r="I772" i="2"/>
  <c r="J772" i="2" s="1"/>
  <c r="I766" i="2"/>
  <c r="J766" i="2" s="1"/>
  <c r="I748" i="2"/>
  <c r="J748" i="2" s="1"/>
  <c r="I742" i="2"/>
  <c r="J742" i="2" s="1"/>
  <c r="I730" i="2"/>
  <c r="J730" i="2" s="1"/>
  <c r="I724" i="2"/>
  <c r="J724" i="2" s="1"/>
  <c r="I712" i="2"/>
  <c r="J712" i="2" s="1"/>
  <c r="I706" i="2"/>
  <c r="J706" i="2" s="1"/>
  <c r="I694" i="2"/>
  <c r="J694" i="2" s="1"/>
  <c r="I676" i="2"/>
  <c r="J676" i="2" s="1"/>
  <c r="I670" i="2"/>
  <c r="J670" i="2" s="1"/>
  <c r="I664" i="2"/>
  <c r="J664" i="2" s="1"/>
  <c r="I658" i="2"/>
  <c r="J658" i="2" s="1"/>
  <c r="I652" i="2"/>
  <c r="J652" i="2" s="1"/>
  <c r="I646" i="2"/>
  <c r="I640" i="2"/>
  <c r="J640" i="2" s="1"/>
  <c r="I634" i="2"/>
  <c r="J634" i="2" s="1"/>
  <c r="I622" i="2"/>
  <c r="J622" i="2" s="1"/>
  <c r="I616" i="2"/>
  <c r="J616" i="2" s="1"/>
  <c r="I610" i="2"/>
  <c r="J610" i="2" s="1"/>
  <c r="I604" i="2"/>
  <c r="J604" i="2" s="1"/>
  <c r="I598" i="2"/>
  <c r="J598" i="2" s="1"/>
  <c r="I592" i="2"/>
  <c r="J592" i="2" s="1"/>
  <c r="I580" i="2"/>
  <c r="J580" i="2" s="1"/>
  <c r="I544" i="2"/>
  <c r="J544" i="2" s="1"/>
  <c r="I538" i="2"/>
  <c r="J538" i="2" s="1"/>
  <c r="I526" i="2"/>
  <c r="J526" i="2" s="1"/>
  <c r="I520" i="2"/>
  <c r="J520" i="2" s="1"/>
  <c r="I502" i="2"/>
  <c r="I484" i="2"/>
  <c r="J484" i="2" s="1"/>
  <c r="I478" i="2"/>
  <c r="I466" i="2"/>
  <c r="I442" i="2"/>
  <c r="J442" i="2" s="1"/>
  <c r="I436" i="2"/>
  <c r="J436" i="2" s="1"/>
  <c r="I418" i="2"/>
  <c r="J418" i="2" s="1"/>
  <c r="I412" i="2"/>
  <c r="J412" i="2" s="1"/>
  <c r="I406" i="2"/>
  <c r="J406" i="2" s="1"/>
  <c r="I400" i="2"/>
  <c r="J400" i="2" s="1"/>
  <c r="I388" i="2"/>
  <c r="J388" i="2" s="1"/>
  <c r="I376" i="2"/>
  <c r="J376" i="2" s="1"/>
  <c r="I364" i="2"/>
  <c r="J364" i="2" s="1"/>
  <c r="I358" i="2"/>
  <c r="J358" i="2" s="1"/>
  <c r="I346" i="2"/>
  <c r="J346" i="2" s="1"/>
  <c r="I340" i="2"/>
  <c r="J340" i="2" s="1"/>
  <c r="I322" i="2"/>
  <c r="J322" i="2" s="1"/>
  <c r="I310" i="2"/>
  <c r="J310" i="2" s="1"/>
  <c r="I304" i="2"/>
  <c r="J304" i="2" s="1"/>
  <c r="I298" i="2"/>
  <c r="I292" i="2"/>
  <c r="I286" i="2"/>
  <c r="J286" i="2" s="1"/>
  <c r="I274" i="2"/>
  <c r="J274" i="2" s="1"/>
  <c r="I268" i="2"/>
  <c r="J268" i="2" s="1"/>
  <c r="I262" i="2"/>
  <c r="J262" i="2" s="1"/>
  <c r="I250" i="2"/>
  <c r="J250" i="2" s="1"/>
  <c r="I244" i="2"/>
  <c r="J244" i="2" s="1"/>
  <c r="I238" i="2"/>
  <c r="J238" i="2" s="1"/>
  <c r="I232" i="2"/>
  <c r="J232" i="2" s="1"/>
  <c r="I226" i="2"/>
  <c r="J226" i="2" s="1"/>
  <c r="I214" i="2"/>
  <c r="J214" i="2" s="1"/>
  <c r="I208" i="2"/>
  <c r="J208" i="2" s="1"/>
  <c r="I202" i="2"/>
  <c r="J202" i="2" s="1"/>
  <c r="I196" i="2"/>
  <c r="J196" i="2" s="1"/>
  <c r="I190" i="2"/>
  <c r="J190" i="2" s="1"/>
  <c r="I178" i="2"/>
  <c r="J178" i="2" s="1"/>
  <c r="I172" i="2"/>
  <c r="J172" i="2" s="1"/>
  <c r="I166" i="2"/>
  <c r="I160" i="2"/>
  <c r="J160" i="2" s="1"/>
  <c r="I154" i="2"/>
  <c r="J154" i="2" s="1"/>
  <c r="I148" i="2"/>
  <c r="J148" i="2" s="1"/>
  <c r="I136" i="2"/>
  <c r="J136" i="2" s="1"/>
  <c r="I124" i="2"/>
  <c r="J124" i="2" s="1"/>
  <c r="I118" i="2"/>
  <c r="J118" i="2" s="1"/>
  <c r="I112" i="2"/>
  <c r="J112" i="2" s="1"/>
  <c r="I100" i="2"/>
  <c r="J100" i="2" s="1"/>
  <c r="I88" i="2"/>
  <c r="J88" i="2" s="1"/>
  <c r="I82" i="2"/>
  <c r="I70" i="2"/>
  <c r="J70" i="2" s="1"/>
  <c r="I64" i="2"/>
  <c r="I46" i="2"/>
  <c r="I40" i="2"/>
  <c r="J40" i="2" s="1"/>
  <c r="I34" i="2"/>
  <c r="J34" i="2" s="1"/>
  <c r="I28" i="2"/>
  <c r="I16" i="2"/>
  <c r="J16" i="2" s="1"/>
  <c r="I10" i="2"/>
  <c r="J10" i="2" s="1"/>
  <c r="I338" i="2"/>
  <c r="I248" i="2"/>
  <c r="J248" i="2" s="1"/>
  <c r="I224" i="2"/>
  <c r="J224" i="2" s="1"/>
  <c r="I206" i="2"/>
  <c r="J206" i="2" s="1"/>
  <c r="I182" i="2"/>
  <c r="J182" i="2" s="1"/>
  <c r="I164" i="2"/>
  <c r="J164" i="2" s="1"/>
  <c r="I146" i="2"/>
  <c r="I116" i="2"/>
  <c r="J116" i="2" s="1"/>
  <c r="I8" i="2"/>
  <c r="J8" i="2" s="1"/>
  <c r="I817" i="2"/>
  <c r="J817" i="2" s="1"/>
  <c r="I793" i="2"/>
  <c r="J793" i="2" s="1"/>
  <c r="I775" i="2"/>
  <c r="J775" i="2" s="1"/>
  <c r="I763" i="2"/>
  <c r="J763" i="2" s="1"/>
  <c r="I721" i="2"/>
  <c r="I679" i="2"/>
  <c r="J679" i="2" s="1"/>
  <c r="I661" i="2"/>
  <c r="J661" i="2" s="1"/>
  <c r="I643" i="2"/>
  <c r="J643" i="2" s="1"/>
  <c r="I619" i="2"/>
  <c r="J619" i="2" s="1"/>
  <c r="I565" i="2"/>
  <c r="J565" i="2" s="1"/>
  <c r="I827" i="2"/>
  <c r="J827" i="2" s="1"/>
  <c r="I809" i="2"/>
  <c r="J809" i="2" s="1"/>
  <c r="I797" i="2"/>
  <c r="J797" i="2" s="1"/>
  <c r="I779" i="2"/>
  <c r="J779" i="2" s="1"/>
  <c r="I755" i="2"/>
  <c r="J755" i="2" s="1"/>
  <c r="I743" i="2"/>
  <c r="J743" i="2" s="1"/>
  <c r="I695" i="2"/>
  <c r="J695" i="2" s="1"/>
  <c r="I683" i="2"/>
  <c r="J683" i="2" s="1"/>
  <c r="I665" i="2"/>
  <c r="J665" i="2" s="1"/>
  <c r="I569" i="2"/>
  <c r="J569" i="2" s="1"/>
  <c r="I820" i="2"/>
  <c r="J820" i="2" s="1"/>
  <c r="I808" i="2"/>
  <c r="J808" i="2" s="1"/>
  <c r="I802" i="2"/>
  <c r="J802" i="2" s="1"/>
  <c r="I790" i="2"/>
  <c r="J790" i="2" s="1"/>
  <c r="I837" i="2"/>
  <c r="J837" i="2" s="1"/>
  <c r="I831" i="2"/>
  <c r="J831" i="2" s="1"/>
  <c r="I825" i="2"/>
  <c r="J825" i="2" s="1"/>
  <c r="I819" i="2"/>
  <c r="J819" i="2" s="1"/>
  <c r="I813" i="2"/>
  <c r="J813" i="2" s="1"/>
  <c r="I807" i="2"/>
  <c r="J807" i="2" s="1"/>
  <c r="I801" i="2"/>
  <c r="J801" i="2" s="1"/>
  <c r="I795" i="2"/>
  <c r="J795" i="2" s="1"/>
  <c r="I783" i="2"/>
  <c r="J783" i="2" s="1"/>
  <c r="I777" i="2"/>
  <c r="J777" i="2" s="1"/>
  <c r="I765" i="2"/>
  <c r="J765" i="2" s="1"/>
  <c r="I759" i="2"/>
  <c r="J759" i="2" s="1"/>
  <c r="I753" i="2"/>
  <c r="J753" i="2" s="1"/>
  <c r="I747" i="2"/>
  <c r="I741" i="2"/>
  <c r="J741" i="2" s="1"/>
  <c r="I735" i="2"/>
  <c r="J735" i="2" s="1"/>
  <c r="I717" i="2"/>
  <c r="I711" i="2"/>
  <c r="I705" i="2"/>
  <c r="I699" i="2"/>
  <c r="J699" i="2" s="1"/>
  <c r="I693" i="2"/>
  <c r="J693" i="2" s="1"/>
  <c r="I687" i="2"/>
  <c r="I681" i="2"/>
  <c r="J681" i="2" s="1"/>
  <c r="I669" i="2"/>
  <c r="J669" i="2" s="1"/>
  <c r="I663" i="2"/>
  <c r="J663" i="2" s="1"/>
  <c r="I657" i="2"/>
  <c r="J657" i="2" s="1"/>
  <c r="I651" i="2"/>
  <c r="J651" i="2" s="1"/>
  <c r="I645" i="2"/>
  <c r="J645" i="2" s="1"/>
  <c r="I639" i="2"/>
  <c r="J639" i="2" s="1"/>
  <c r="I633" i="2"/>
  <c r="J633" i="2" s="1"/>
  <c r="I627" i="2"/>
  <c r="J627" i="2" s="1"/>
  <c r="I621" i="2"/>
  <c r="J621" i="2" s="1"/>
  <c r="I615" i="2"/>
  <c r="J615" i="2" s="1"/>
  <c r="I609" i="2"/>
  <c r="J609" i="2" s="1"/>
  <c r="I603" i="2"/>
  <c r="J603" i="2" s="1"/>
  <c r="I597" i="2"/>
  <c r="J597" i="2" s="1"/>
  <c r="I591" i="2"/>
  <c r="J591" i="2" s="1"/>
  <c r="I579" i="2"/>
  <c r="J579" i="2" s="1"/>
  <c r="I573" i="2"/>
  <c r="J573" i="2" s="1"/>
  <c r="I567" i="2"/>
  <c r="J567" i="2" s="1"/>
  <c r="I561" i="2"/>
  <c r="J561" i="2" s="1"/>
  <c r="I543" i="2"/>
  <c r="J543" i="2" s="1"/>
  <c r="I531" i="2"/>
  <c r="I525" i="2"/>
  <c r="J525" i="2" s="1"/>
  <c r="I519" i="2"/>
  <c r="I501" i="2"/>
  <c r="I489" i="2"/>
  <c r="J489" i="2" s="1"/>
  <c r="I483" i="2"/>
  <c r="I477" i="2"/>
  <c r="I471" i="2"/>
  <c r="J471" i="2" s="1"/>
  <c r="I465" i="2"/>
  <c r="I459" i="2"/>
  <c r="J459" i="2" s="1"/>
  <c r="I453" i="2"/>
  <c r="J453" i="2" s="1"/>
  <c r="I447" i="2"/>
  <c r="I441" i="2"/>
  <c r="J441" i="2" s="1"/>
  <c r="I435" i="2"/>
  <c r="J435" i="2" s="1"/>
  <c r="I429" i="2"/>
  <c r="J429" i="2" s="1"/>
  <c r="I417" i="2"/>
  <c r="J417" i="2" s="1"/>
  <c r="I411" i="2"/>
  <c r="J411" i="2" s="1"/>
  <c r="I399" i="2"/>
  <c r="J399" i="2" s="1"/>
  <c r="I393" i="2"/>
  <c r="J393" i="2" s="1"/>
  <c r="I387" i="2"/>
  <c r="I375" i="2"/>
  <c r="J375" i="2" s="1"/>
  <c r="I369" i="2"/>
  <c r="J369" i="2" s="1"/>
  <c r="I357" i="2"/>
  <c r="J357" i="2" s="1"/>
  <c r="I351" i="2"/>
  <c r="J351" i="2" s="1"/>
  <c r="I333" i="2"/>
  <c r="J333" i="2" s="1"/>
  <c r="I327" i="2"/>
  <c r="J327" i="2" s="1"/>
  <c r="I321" i="2"/>
  <c r="J321" i="2" s="1"/>
  <c r="I315" i="2"/>
  <c r="I309" i="2"/>
  <c r="J309" i="2" s="1"/>
  <c r="I303" i="2"/>
  <c r="J303" i="2" s="1"/>
  <c r="I297" i="2"/>
  <c r="J297" i="2" s="1"/>
  <c r="I291" i="2"/>
  <c r="J291" i="2" s="1"/>
  <c r="I285" i="2"/>
  <c r="J285" i="2" s="1"/>
  <c r="I279" i="2"/>
  <c r="J279" i="2" s="1"/>
  <c r="I273" i="2"/>
  <c r="J273" i="2" s="1"/>
  <c r="I267" i="2"/>
  <c r="J267" i="2" s="1"/>
  <c r="I261" i="2"/>
  <c r="J261" i="2" s="1"/>
  <c r="I255" i="2"/>
  <c r="J255" i="2" s="1"/>
  <c r="I249" i="2"/>
  <c r="J249" i="2" s="1"/>
  <c r="I243" i="2"/>
  <c r="J243" i="2" s="1"/>
  <c r="I237" i="2"/>
  <c r="J237" i="2" s="1"/>
  <c r="I231" i="2"/>
  <c r="J231" i="2" s="1"/>
  <c r="I225" i="2"/>
  <c r="J225" i="2" s="1"/>
  <c r="I219" i="2"/>
  <c r="J219" i="2" s="1"/>
  <c r="I213" i="2"/>
  <c r="J213" i="2" s="1"/>
  <c r="I201" i="2"/>
  <c r="J201" i="2" s="1"/>
  <c r="I195" i="2"/>
  <c r="J195" i="2" s="1"/>
  <c r="I189" i="2"/>
  <c r="J189" i="2" s="1"/>
  <c r="I183" i="2"/>
  <c r="J183" i="2" s="1"/>
  <c r="I177" i="2"/>
  <c r="J177" i="2" s="1"/>
  <c r="I171" i="2"/>
  <c r="J171" i="2" s="1"/>
  <c r="I165" i="2"/>
  <c r="J165" i="2" s="1"/>
  <c r="I159" i="2"/>
  <c r="J159" i="2" s="1"/>
  <c r="I153" i="2"/>
  <c r="J153" i="2" s="1"/>
  <c r="I147" i="2"/>
  <c r="J147" i="2" s="1"/>
  <c r="I141" i="2"/>
  <c r="J141" i="2" s="1"/>
  <c r="I135" i="2"/>
  <c r="J135" i="2" s="1"/>
  <c r="I129" i="2"/>
  <c r="J129" i="2" s="1"/>
  <c r="I123" i="2"/>
  <c r="I117" i="2"/>
  <c r="I111" i="2"/>
  <c r="J111" i="2" s="1"/>
  <c r="I105" i="2"/>
  <c r="J105" i="2" s="1"/>
  <c r="I99" i="2"/>
  <c r="J99" i="2" s="1"/>
  <c r="I93" i="2"/>
  <c r="J93" i="2" s="1"/>
  <c r="I87" i="2"/>
  <c r="J87" i="2" s="1"/>
  <c r="I81" i="2"/>
  <c r="J81" i="2" s="1"/>
  <c r="I75" i="2"/>
  <c r="J75" i="2" s="1"/>
  <c r="I69" i="2"/>
  <c r="J69" i="2" s="1"/>
  <c r="I57" i="2"/>
  <c r="J57" i="2" s="1"/>
  <c r="I51" i="2"/>
  <c r="J51" i="2" s="1"/>
  <c r="I45" i="2"/>
  <c r="J45" i="2" s="1"/>
  <c r="I39" i="2"/>
  <c r="J39" i="2" s="1"/>
  <c r="I27" i="2"/>
  <c r="J27" i="2" s="1"/>
  <c r="I21" i="2"/>
  <c r="J21" i="2" s="1"/>
  <c r="I15" i="2"/>
  <c r="J15" i="2" s="1"/>
  <c r="I9" i="2"/>
  <c r="J9" i="2" s="1"/>
  <c r="J80" i="2"/>
  <c r="J152" i="2"/>
  <c r="J498" i="2"/>
  <c r="F7" i="4"/>
  <c r="E19" i="4"/>
  <c r="F7" i="3"/>
  <c r="F30" i="3" s="1"/>
  <c r="J447" i="2"/>
  <c r="J816" i="2"/>
  <c r="I731" i="2"/>
  <c r="J731" i="2" s="1"/>
  <c r="I329" i="2"/>
  <c r="J329" i="2" s="1"/>
  <c r="I832" i="2"/>
  <c r="J832" i="2" s="1"/>
  <c r="I796" i="2"/>
  <c r="J796" i="2" s="1"/>
  <c r="I754" i="2"/>
  <c r="J754" i="2" s="1"/>
  <c r="I718" i="2"/>
  <c r="J718" i="2" s="1"/>
  <c r="I700" i="2"/>
  <c r="J700" i="2" s="1"/>
  <c r="I688" i="2"/>
  <c r="J688" i="2" s="1"/>
  <c r="I682" i="2"/>
  <c r="J682" i="2" s="1"/>
  <c r="I628" i="2"/>
  <c r="J628" i="2" s="1"/>
  <c r="I586" i="2"/>
  <c r="J586" i="2" s="1"/>
  <c r="I574" i="2"/>
  <c r="J574" i="2" s="1"/>
  <c r="I568" i="2"/>
  <c r="J568" i="2" s="1"/>
  <c r="I556" i="2"/>
  <c r="J556" i="2" s="1"/>
  <c r="I532" i="2"/>
  <c r="J532" i="2" s="1"/>
  <c r="I514" i="2"/>
  <c r="J514" i="2" s="1"/>
  <c r="I508" i="2"/>
  <c r="J508" i="2" s="1"/>
  <c r="I472" i="2"/>
  <c r="J472" i="2" s="1"/>
  <c r="I460" i="2"/>
  <c r="J460" i="2" s="1"/>
  <c r="I454" i="2"/>
  <c r="J454" i="2" s="1"/>
  <c r="I448" i="2"/>
  <c r="J448" i="2" s="1"/>
  <c r="I430" i="2"/>
  <c r="J430" i="2" s="1"/>
  <c r="I394" i="2"/>
  <c r="J394" i="2" s="1"/>
  <c r="I382" i="2"/>
  <c r="J382" i="2" s="1"/>
  <c r="I370" i="2"/>
  <c r="J370" i="2" s="1"/>
  <c r="I352" i="2"/>
  <c r="J352" i="2" s="1"/>
  <c r="I334" i="2"/>
  <c r="J334" i="2" s="1"/>
  <c r="I328" i="2"/>
  <c r="J328" i="2" s="1"/>
  <c r="I316" i="2"/>
  <c r="J316" i="2" s="1"/>
  <c r="I220" i="2"/>
  <c r="J220" i="2" s="1"/>
  <c r="I184" i="2"/>
  <c r="J184" i="2" s="1"/>
  <c r="I130" i="2"/>
  <c r="J130" i="2" s="1"/>
  <c r="I106" i="2"/>
  <c r="J106" i="2" s="1"/>
  <c r="I76" i="2"/>
  <c r="J76" i="2" s="1"/>
  <c r="I58" i="2"/>
  <c r="J58" i="2" s="1"/>
  <c r="J13" i="2"/>
  <c r="J216" i="2"/>
  <c r="I207" i="2"/>
  <c r="J207" i="2" s="1"/>
  <c r="J516" i="2"/>
  <c r="I707" i="2"/>
  <c r="J707" i="2" s="1"/>
  <c r="I581" i="2"/>
  <c r="J581" i="2" s="1"/>
  <c r="I515" i="2"/>
  <c r="J515" i="2" s="1"/>
  <c r="I257" i="2"/>
  <c r="J257" i="2" s="1"/>
  <c r="I789" i="2"/>
  <c r="J789" i="2" s="1"/>
  <c r="I771" i="2"/>
  <c r="J771" i="2" s="1"/>
  <c r="I729" i="2"/>
  <c r="J729" i="2" s="1"/>
  <c r="I675" i="2"/>
  <c r="J675" i="2" s="1"/>
  <c r="I585" i="2"/>
  <c r="J585" i="2" s="1"/>
  <c r="I555" i="2"/>
  <c r="J555" i="2" s="1"/>
  <c r="I549" i="2"/>
  <c r="J549" i="2" s="1"/>
  <c r="I537" i="2"/>
  <c r="J537" i="2" s="1"/>
  <c r="I507" i="2"/>
  <c r="J507" i="2" s="1"/>
  <c r="I495" i="2"/>
  <c r="J495" i="2" s="1"/>
  <c r="I405" i="2"/>
  <c r="J405" i="2" s="1"/>
  <c r="I363" i="2"/>
  <c r="J363" i="2" s="1"/>
  <c r="I339" i="2"/>
  <c r="J339" i="2" s="1"/>
  <c r="J778" i="2"/>
  <c r="I719" i="2"/>
  <c r="J719" i="2" s="1"/>
  <c r="I671" i="2"/>
  <c r="J671" i="2" s="1"/>
  <c r="I593" i="2"/>
  <c r="J593" i="2" s="1"/>
  <c r="I557" i="2"/>
  <c r="J557" i="2" s="1"/>
  <c r="I419" i="2"/>
  <c r="J419" i="2" s="1"/>
  <c r="I818" i="2"/>
  <c r="J818" i="2" s="1"/>
  <c r="I800" i="2"/>
  <c r="J800" i="2" s="1"/>
  <c r="I764" i="2"/>
  <c r="J764" i="2" s="1"/>
  <c r="I698" i="2"/>
  <c r="J698" i="2" s="1"/>
  <c r="I686" i="2"/>
  <c r="J686" i="2" s="1"/>
  <c r="I578" i="2"/>
  <c r="J578" i="2" s="1"/>
  <c r="I548" i="2"/>
  <c r="J548" i="2" s="1"/>
  <c r="I542" i="2"/>
  <c r="J542" i="2" s="1"/>
  <c r="I524" i="2"/>
  <c r="J524" i="2" s="1"/>
  <c r="I500" i="2"/>
  <c r="J500" i="2" s="1"/>
  <c r="I494" i="2"/>
  <c r="J494" i="2" s="1"/>
  <c r="I320" i="2"/>
  <c r="J320" i="2" s="1"/>
  <c r="I302" i="2"/>
  <c r="J302" i="2" s="1"/>
  <c r="I272" i="2"/>
  <c r="J272" i="2" s="1"/>
  <c r="J97" i="2"/>
  <c r="J228" i="2"/>
  <c r="J787" i="2"/>
  <c r="I562" i="2"/>
  <c r="J562" i="2" s="1"/>
  <c r="I767" i="2"/>
  <c r="J767" i="2" s="1"/>
  <c r="I749" i="2"/>
  <c r="J749" i="2" s="1"/>
  <c r="I713" i="2"/>
  <c r="J713" i="2" s="1"/>
  <c r="I823" i="2"/>
  <c r="J823" i="2" s="1"/>
  <c r="I805" i="2"/>
  <c r="J805" i="2" s="1"/>
  <c r="I697" i="2"/>
  <c r="J697" i="2" s="1"/>
  <c r="I589" i="2"/>
  <c r="J589" i="2" s="1"/>
  <c r="I529" i="2"/>
  <c r="J529" i="2" s="1"/>
  <c r="I463" i="2"/>
  <c r="J463" i="2" s="1"/>
  <c r="I445" i="2"/>
  <c r="J445" i="2" s="1"/>
  <c r="I331" i="2"/>
  <c r="J331" i="2" s="1"/>
  <c r="I313" i="2"/>
  <c r="J313" i="2" s="1"/>
  <c r="I301" i="2"/>
  <c r="J301" i="2" s="1"/>
  <c r="I295" i="2"/>
  <c r="J295" i="2" s="1"/>
  <c r="I277" i="2"/>
  <c r="J277" i="2" s="1"/>
  <c r="I259" i="2"/>
  <c r="J259" i="2" s="1"/>
  <c r="I187" i="2"/>
  <c r="J187" i="2" s="1"/>
  <c r="I151" i="2"/>
  <c r="J151" i="2" s="1"/>
  <c r="I91" i="2"/>
  <c r="J91" i="2" s="1"/>
  <c r="I73" i="2"/>
  <c r="J73" i="2" s="1"/>
  <c r="I43" i="2"/>
  <c r="J43" i="2" s="1"/>
  <c r="I31" i="2"/>
  <c r="J31" i="2" s="1"/>
  <c r="I19" i="2"/>
  <c r="J19" i="2" s="1"/>
  <c r="G7" i="2"/>
  <c r="G839" i="2" s="1"/>
  <c r="J372" i="2"/>
  <c r="I490" i="2"/>
  <c r="J490" i="2" s="1"/>
  <c r="I725" i="2"/>
  <c r="J725" i="2" s="1"/>
  <c r="I635" i="2"/>
  <c r="J635" i="2" s="1"/>
  <c r="I575" i="2"/>
  <c r="J575" i="2" s="1"/>
  <c r="I527" i="2"/>
  <c r="J527" i="2" s="1"/>
  <c r="I437" i="2"/>
  <c r="J437" i="2" s="1"/>
  <c r="I780" i="2"/>
  <c r="J780" i="2" s="1"/>
  <c r="I762" i="2"/>
  <c r="J762" i="2" s="1"/>
  <c r="I714" i="2"/>
  <c r="J714" i="2" s="1"/>
  <c r="I684" i="2"/>
  <c r="J684" i="2" s="1"/>
  <c r="I660" i="2"/>
  <c r="J660" i="2" s="1"/>
  <c r="I636" i="2"/>
  <c r="J636" i="2" s="1"/>
  <c r="I606" i="2"/>
  <c r="J606" i="2" s="1"/>
  <c r="I588" i="2"/>
  <c r="J588" i="2" s="1"/>
  <c r="I570" i="2"/>
  <c r="J570" i="2" s="1"/>
  <c r="I564" i="2"/>
  <c r="J564" i="2" s="1"/>
  <c r="I480" i="2"/>
  <c r="J480" i="2" s="1"/>
  <c r="I462" i="2"/>
  <c r="J462" i="2" s="1"/>
  <c r="I450" i="2"/>
  <c r="J450" i="2" s="1"/>
  <c r="I384" i="2"/>
  <c r="J384" i="2" s="1"/>
  <c r="I378" i="2"/>
  <c r="J378" i="2" s="1"/>
  <c r="I366" i="2"/>
  <c r="J366" i="2" s="1"/>
  <c r="I354" i="2"/>
  <c r="J354" i="2" s="1"/>
  <c r="I348" i="2"/>
  <c r="J348" i="2" s="1"/>
  <c r="I330" i="2"/>
  <c r="J330" i="2" s="1"/>
  <c r="I306" i="2"/>
  <c r="J306" i="2" s="1"/>
  <c r="I270" i="2"/>
  <c r="J270" i="2" s="1"/>
  <c r="I120" i="2"/>
  <c r="J120" i="2" s="1"/>
  <c r="I96" i="2"/>
  <c r="J96" i="2" s="1"/>
  <c r="J162" i="2"/>
  <c r="J241" i="2"/>
  <c r="J374" i="2"/>
  <c r="I607" i="2"/>
  <c r="J607" i="2" s="1"/>
  <c r="J715" i="2"/>
  <c r="J83" i="2"/>
  <c r="J8" i="3"/>
  <c r="E839" i="2"/>
  <c r="F839" i="2"/>
  <c r="J146" i="2" l="1"/>
  <c r="J59" i="2"/>
  <c r="J558" i="2"/>
  <c r="J210" i="2"/>
  <c r="J319" i="2"/>
  <c r="J624" i="2"/>
  <c r="J782" i="2"/>
  <c r="J834" i="2"/>
  <c r="J292" i="2"/>
  <c r="J173" i="2"/>
  <c r="J504" i="2"/>
  <c r="I523" i="2"/>
  <c r="J523" i="2" s="1"/>
  <c r="J137" i="2"/>
  <c r="J512" i="2"/>
  <c r="J108" i="2"/>
  <c r="J403" i="2"/>
  <c r="J56" i="2"/>
  <c r="J545" i="2"/>
  <c r="J773" i="2"/>
  <c r="J438" i="2"/>
  <c r="J64" i="2"/>
  <c r="I33" i="2"/>
  <c r="J33" i="2" s="1"/>
  <c r="I300" i="2"/>
  <c r="J300" i="2" s="1"/>
  <c r="J379" i="2"/>
  <c r="J114" i="2"/>
  <c r="J685" i="2"/>
  <c r="J709" i="2"/>
  <c r="J519" i="2"/>
  <c r="J571" i="2"/>
  <c r="J552" i="2"/>
  <c r="J416" i="2"/>
  <c r="J487" i="2"/>
  <c r="I288" i="2"/>
  <c r="J288" i="2" s="1"/>
  <c r="I732" i="2"/>
  <c r="J732" i="2" s="1"/>
  <c r="J530" i="2"/>
  <c r="J318" i="2"/>
  <c r="J215" i="2"/>
  <c r="J315" i="2"/>
  <c r="J338" i="2"/>
  <c r="J117" i="2"/>
  <c r="J324" i="2"/>
  <c r="J469" i="2"/>
  <c r="I221" i="2"/>
  <c r="J221" i="2" s="1"/>
  <c r="I341" i="2"/>
  <c r="J341" i="2" s="1"/>
  <c r="I132" i="2"/>
  <c r="J132" i="2" s="1"/>
  <c r="I560" i="2"/>
  <c r="J560" i="2" s="1"/>
  <c r="H7" i="2"/>
  <c r="H839" i="2" s="1"/>
  <c r="J125" i="2"/>
  <c r="I423" i="2"/>
  <c r="J423" i="2" s="1"/>
  <c r="J335" i="2"/>
  <c r="J359" i="2"/>
  <c r="J355" i="2"/>
  <c r="J350" i="2"/>
  <c r="J180" i="2"/>
  <c r="J169" i="2"/>
  <c r="J483" i="2"/>
  <c r="J705" i="2"/>
  <c r="J721" i="2"/>
  <c r="J71" i="2"/>
  <c r="J477" i="2"/>
  <c r="J82" i="2"/>
  <c r="I814" i="2"/>
  <c r="J814" i="2" s="1"/>
  <c r="I377" i="2"/>
  <c r="J377" i="2" s="1"/>
  <c r="J501" i="2"/>
  <c r="J502" i="2"/>
  <c r="J166" i="2"/>
  <c r="J298" i="2"/>
  <c r="J617" i="2"/>
  <c r="J409" i="2"/>
  <c r="J230" i="2"/>
  <c r="J478" i="2"/>
  <c r="J769" i="2"/>
  <c r="J476" i="2"/>
  <c r="J531" i="2"/>
  <c r="J123" i="2"/>
  <c r="J717" i="2"/>
  <c r="I493" i="2"/>
  <c r="J493" i="2" s="1"/>
  <c r="I52" i="2"/>
  <c r="J52" i="2" s="1"/>
  <c r="I256" i="2"/>
  <c r="J256" i="2" s="1"/>
  <c r="I191" i="2"/>
  <c r="J191" i="2" s="1"/>
  <c r="I36" i="2"/>
  <c r="J36" i="2" s="1"/>
  <c r="I396" i="2"/>
  <c r="J396" i="2" s="1"/>
  <c r="I534" i="2"/>
  <c r="J534" i="2"/>
  <c r="J539" i="2"/>
  <c r="J711" i="2"/>
  <c r="J131" i="2"/>
  <c r="I424" i="2"/>
  <c r="J424" i="2" s="1"/>
  <c r="I122" i="2"/>
  <c r="J122" i="2"/>
  <c r="I381" i="2"/>
  <c r="J381" i="2" s="1"/>
  <c r="J46" i="2"/>
  <c r="J646" i="2"/>
  <c r="J407" i="2"/>
  <c r="I739" i="2"/>
  <c r="J739" i="2" s="1"/>
  <c r="J193" i="2"/>
  <c r="J362" i="2"/>
  <c r="J747" i="2"/>
  <c r="I760" i="2"/>
  <c r="J760" i="2" s="1"/>
  <c r="I703" i="2"/>
  <c r="J703" i="2" s="1"/>
  <c r="I246" i="2"/>
  <c r="J246" i="2" s="1"/>
  <c r="I439" i="2"/>
  <c r="J439" i="2" s="1"/>
  <c r="J791" i="2"/>
  <c r="J413" i="2"/>
  <c r="J275" i="2"/>
  <c r="I642" i="2"/>
  <c r="J642" i="2" s="1"/>
  <c r="J687" i="2"/>
  <c r="J465" i="2"/>
  <c r="J222" i="2"/>
  <c r="J28" i="2"/>
  <c r="I404" i="2"/>
  <c r="J404" i="2" s="1"/>
  <c r="I513" i="2"/>
  <c r="J513" i="2" s="1"/>
  <c r="I345" i="2"/>
  <c r="J345" i="2" s="1"/>
  <c r="I723" i="2"/>
  <c r="J723" i="2" s="1"/>
  <c r="I736" i="2"/>
  <c r="J736" i="2" s="1"/>
  <c r="I128" i="2"/>
  <c r="J128" i="2" s="1"/>
  <c r="J387" i="2"/>
  <c r="I94" i="2"/>
  <c r="J94" i="2" s="1"/>
  <c r="I550" i="2"/>
  <c r="J550" i="2" s="1"/>
  <c r="J466" i="2"/>
  <c r="I63" i="2"/>
  <c r="J63" i="2" s="1"/>
  <c r="I496" i="2"/>
  <c r="J496" i="2" s="1"/>
  <c r="I78" i="2"/>
  <c r="J78" i="2" s="1"/>
  <c r="I251" i="2"/>
  <c r="J251" i="2" s="1"/>
  <c r="I497" i="2"/>
  <c r="J497" i="2" s="1"/>
  <c r="I727" i="2"/>
  <c r="J727" i="2" s="1"/>
  <c r="G7" i="4"/>
  <c r="G19" i="4" s="1"/>
  <c r="F19" i="4"/>
  <c r="G7" i="3"/>
  <c r="G30" i="3" s="1"/>
  <c r="I7" i="2" l="1"/>
  <c r="J7" i="2" s="1"/>
  <c r="J839" i="2" s="1"/>
  <c r="H7" i="4"/>
  <c r="H7" i="3"/>
  <c r="H30" i="3" s="1"/>
  <c r="I839" i="2" l="1"/>
  <c r="H19" i="4"/>
  <c r="J7" i="4"/>
  <c r="J19" i="4" s="1"/>
  <c r="I7" i="3"/>
  <c r="I30" i="3" s="1"/>
  <c r="J7" i="3" l="1"/>
  <c r="J3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7D4B1-577A-44CC-B6CA-F909B5AFEF15}" name="08RT02UX.13012025.121" type="6" refreshedVersion="5" background="1" saveData="1">
    <textPr codePage="437" sourceFile="C:\Users\Administrator\Desktop\178\15-JAN-2025\08RT02UX.13012025.12.TXT" tab="0" delimiter="~">
      <textFields count="7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xr16:uid="{C69A34C3-9FBC-46E8-BED5-A75DF79FBF67}" name="08RT02UX.13012025.1211" type="6" refreshedVersion="5" background="1" saveData="1">
    <textPr codePage="437" sourceFile="C:\Users\Administrator\Desktop\178\15-JAN-2025\08RT02UX.13012025.12.TXT" tab="0" delimiter="~">
      <textFields count="7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<sst xmlns="http://schemas.openxmlformats.org/spreadsheetml/2006/main" count="16436" uniqueCount="7752">
  <si>
    <t>7</t>
  </si>
  <si>
    <t>401</t>
  </si>
  <si>
    <t>701</t>
  </si>
  <si>
    <t>301</t>
  </si>
  <si>
    <t>501</t>
  </si>
  <si>
    <t>601</t>
  </si>
  <si>
    <t>29</t>
  </si>
  <si>
    <t>13</t>
  </si>
  <si>
    <t>201</t>
  </si>
  <si>
    <t>28</t>
  </si>
  <si>
    <t>801</t>
  </si>
  <si>
    <t>31</t>
  </si>
  <si>
    <t>15</t>
  </si>
  <si>
    <t>101</t>
  </si>
  <si>
    <t>S.NO</t>
  </si>
  <si>
    <t>BOID</t>
  </si>
  <si>
    <t>NAME</t>
  </si>
  <si>
    <t>ADDRESS</t>
  </si>
  <si>
    <t>DISTRICT</t>
  </si>
  <si>
    <t>B.CODE</t>
  </si>
  <si>
    <t>BANK NAME</t>
  </si>
  <si>
    <t>BANK ACCOUNT</t>
  </si>
  <si>
    <t>KITTA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</si>
  <si>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</si>
  <si>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</si>
  <si>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</si>
  <si>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</si>
  <si>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</si>
  <si>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</si>
  <si>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</si>
  <si>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</si>
  <si>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</si>
  <si>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</si>
  <si>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</si>
  <si>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</si>
  <si>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</si>
  <si>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</si>
  <si>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</si>
  <si>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</si>
  <si>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</si>
  <si>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</si>
  <si>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</si>
  <si>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</si>
  <si>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</si>
  <si>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</si>
  <si>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</si>
  <si>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</si>
  <si>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</si>
  <si>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</si>
  <si>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</si>
  <si>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</si>
  <si>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</si>
  <si>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</si>
  <si>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</si>
  <si>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</si>
  <si>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</si>
  <si>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</si>
  <si>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</si>
  <si>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</si>
  <si>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</si>
  <si>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</si>
  <si>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</si>
  <si>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</si>
  <si>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</si>
  <si>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</si>
  <si>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</si>
  <si>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</si>
  <si>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</si>
  <si>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</si>
  <si>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</si>
  <si>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</si>
  <si>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</si>
  <si>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</si>
  <si>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</si>
  <si>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</si>
  <si>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</si>
  <si>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</si>
  <si>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</si>
  <si>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</si>
  <si>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</si>
  <si>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</si>
  <si>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</si>
  <si>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</si>
  <si>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</si>
  <si>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</si>
  <si>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</si>
  <si>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</si>
  <si>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</si>
  <si>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</si>
  <si>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</si>
  <si>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</si>
  <si>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</si>
  <si>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</si>
  <si>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</si>
  <si>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</si>
  <si>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</si>
  <si>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</si>
  <si>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</si>
  <si>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</si>
  <si>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</si>
  <si>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</si>
  <si>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</si>
  <si>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</si>
  <si>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</si>
  <si>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</si>
  <si>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</si>
  <si>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</si>
  <si>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</si>
  <si>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</si>
  <si>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</si>
  <si>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</si>
  <si>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</si>
  <si>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</si>
  <si>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</si>
  <si>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</si>
  <si>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</si>
  <si>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</si>
  <si>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</si>
  <si>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</si>
  <si>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</si>
  <si>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</si>
  <si>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</si>
  <si>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</si>
  <si>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</si>
  <si>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</si>
  <si>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</si>
  <si>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</si>
  <si>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</si>
  <si>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</si>
  <si>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</si>
  <si>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</si>
  <si>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</si>
  <si>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</si>
  <si>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</si>
  <si>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</si>
  <si>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</si>
  <si>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</si>
  <si>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</si>
  <si>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</si>
  <si>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</si>
  <si>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</si>
  <si>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</si>
  <si>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</si>
  <si>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</si>
  <si>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</si>
  <si>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</si>
  <si>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</si>
  <si>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</si>
  <si>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</si>
  <si>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</si>
  <si>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</si>
  <si>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</si>
  <si>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</si>
  <si>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</si>
  <si>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</si>
  <si>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</si>
  <si>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</si>
  <si>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</si>
  <si>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</si>
  <si>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</si>
  <si>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</si>
  <si>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</si>
  <si>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</si>
  <si>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</si>
  <si>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</si>
  <si>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</si>
  <si>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</si>
  <si>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</si>
  <si>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</si>
  <si>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</si>
  <si>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</si>
  <si>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</si>
  <si>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</si>
  <si>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</si>
  <si>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</si>
  <si>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</si>
  <si>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</si>
  <si>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</si>
  <si>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</si>
  <si>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</si>
  <si>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</si>
  <si>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</si>
  <si>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</si>
  <si>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</si>
  <si>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</si>
  <si>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</si>
  <si>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</si>
  <si>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</si>
  <si>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</si>
  <si>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</si>
  <si>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</si>
  <si>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</si>
  <si>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</si>
  <si>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</si>
  <si>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</si>
  <si>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</si>
  <si>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</si>
  <si>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</si>
  <si>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</si>
  <si>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</si>
  <si>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</si>
  <si>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</si>
  <si>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</si>
  <si>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</si>
  <si>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</si>
  <si>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</si>
  <si>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</si>
  <si>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</si>
  <si>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</si>
  <si>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</si>
  <si>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</si>
  <si>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</si>
  <si>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</si>
  <si>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</si>
  <si>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</si>
  <si>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</si>
  <si>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</si>
  <si>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</si>
  <si>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</si>
  <si>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</si>
  <si>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</si>
  <si>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</si>
  <si>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</si>
  <si>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</si>
  <si>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</si>
  <si>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</si>
  <si>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</si>
  <si>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</si>
  <si>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</si>
  <si>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</si>
  <si>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</si>
  <si>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</si>
  <si>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</si>
  <si>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</si>
  <si>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</si>
  <si>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</si>
  <si>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</si>
  <si>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</si>
  <si>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</si>
  <si>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</si>
  <si>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</si>
  <si>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</si>
  <si>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</si>
  <si>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</si>
  <si>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</si>
  <si>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</si>
  <si>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</si>
  <si>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</si>
  <si>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</si>
  <si>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</si>
  <si>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</si>
  <si>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</si>
  <si>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</si>
  <si>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</si>
  <si>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</si>
  <si>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</si>
  <si>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</si>
  <si>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</si>
  <si>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</si>
  <si>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</si>
  <si>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</si>
  <si>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</si>
  <si>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</si>
  <si>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</si>
  <si>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</si>
  <si>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</si>
  <si>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</si>
  <si>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</si>
  <si>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</si>
  <si>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</si>
  <si>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</si>
  <si>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</si>
  <si>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</si>
  <si>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</si>
  <si>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</si>
  <si>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</si>
  <si>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</si>
  <si>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</si>
  <si>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</si>
  <si>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</si>
  <si>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</si>
  <si>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</si>
  <si>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</si>
  <si>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</si>
  <si>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</si>
  <si>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</si>
  <si>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</si>
  <si>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</si>
  <si>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</si>
  <si>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</si>
  <si>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</si>
  <si>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</si>
  <si>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</si>
  <si>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</si>
  <si>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</si>
  <si>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</si>
  <si>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</si>
  <si>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</si>
  <si>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</si>
  <si>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</si>
  <si>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</si>
  <si>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</si>
  <si>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</si>
  <si>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</si>
  <si>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</si>
  <si>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</si>
  <si>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</si>
  <si>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</si>
  <si>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</si>
  <si>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</si>
  <si>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</si>
  <si>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</si>
  <si>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</si>
  <si>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</si>
  <si>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</si>
  <si>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</si>
  <si>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</si>
  <si>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</si>
  <si>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</si>
  <si>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</si>
  <si>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</si>
  <si>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</si>
  <si>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</si>
  <si>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</si>
  <si>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</si>
  <si>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</si>
  <si>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</si>
  <si>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</si>
  <si>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</si>
  <si>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</si>
  <si>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</si>
  <si>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</si>
  <si>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</si>
  <si>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</si>
  <si>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</si>
  <si>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</si>
  <si>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</si>
  <si>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</si>
  <si>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</si>
  <si>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</si>
  <si>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</si>
  <si>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</si>
  <si>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</si>
  <si>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</si>
  <si>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</si>
  <si>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</si>
  <si>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</si>
  <si>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</si>
  <si>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</si>
  <si>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</si>
  <si>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</si>
  <si>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</si>
  <si>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</si>
  <si>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</si>
  <si>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</si>
  <si>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</si>
  <si>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</si>
  <si>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</si>
  <si>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</si>
  <si>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</si>
  <si>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</si>
  <si>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</si>
  <si>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</si>
  <si>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</si>
  <si>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</si>
  <si>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</si>
  <si>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</si>
  <si>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</si>
  <si>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</si>
  <si>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</si>
  <si>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</si>
  <si>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</si>
  <si>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</si>
  <si>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</si>
  <si>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</si>
  <si>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</si>
  <si>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</si>
  <si>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</si>
  <si>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</si>
  <si>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</si>
  <si>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</si>
  <si>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</si>
  <si>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</si>
  <si>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</si>
  <si>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</si>
  <si>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</si>
  <si>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</si>
  <si>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</si>
  <si>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</si>
  <si>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</si>
  <si>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</si>
  <si>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</si>
  <si>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</si>
  <si>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</si>
  <si>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</si>
  <si>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</si>
  <si>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</si>
  <si>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</si>
  <si>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</si>
  <si>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</si>
  <si>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</si>
  <si>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</si>
  <si>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</si>
  <si>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</si>
  <si>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</si>
  <si>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</si>
  <si>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</si>
  <si>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</si>
  <si>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</si>
  <si>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</si>
  <si>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</si>
  <si>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</si>
  <si>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</si>
  <si>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</si>
  <si>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</si>
  <si>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</si>
  <si>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</si>
  <si>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</si>
  <si>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</si>
  <si>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</si>
  <si>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</si>
  <si>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</si>
  <si>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</si>
  <si>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</si>
  <si>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</si>
  <si>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</si>
  <si>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</si>
  <si>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</si>
  <si>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</si>
  <si>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</si>
  <si>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</si>
  <si>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</si>
  <si>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</si>
  <si>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</si>
  <si>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</si>
  <si>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</si>
  <si>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</si>
  <si>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</si>
  <si>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</si>
  <si>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</si>
  <si>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</si>
  <si>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</si>
  <si>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</si>
  <si>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</si>
  <si>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</si>
  <si>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</si>
  <si>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</si>
  <si>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</si>
  <si>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</si>
  <si>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</si>
  <si>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</si>
  <si>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</si>
  <si>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</si>
  <si>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</si>
  <si>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</si>
  <si>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</si>
  <si>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</si>
  <si>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</si>
  <si>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</si>
  <si>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</si>
  <si>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</si>
  <si>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</si>
  <si>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</si>
  <si>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</si>
  <si>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</si>
  <si>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</si>
  <si>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</si>
  <si>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</si>
  <si>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</si>
  <si>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</si>
  <si>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</si>
  <si>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</si>
  <si>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</si>
  <si>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</si>
  <si>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</si>
  <si>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</si>
  <si>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</si>
  <si>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</si>
  <si>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</si>
  <si>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</si>
  <si>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</si>
  <si>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</si>
  <si>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</si>
  <si>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</si>
  <si>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</si>
  <si>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</si>
  <si>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</si>
  <si>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</si>
  <si>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</si>
  <si>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</si>
  <si>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</si>
  <si>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</si>
  <si>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</si>
  <si>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</si>
  <si>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</si>
  <si>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</si>
  <si>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</si>
  <si>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</si>
  <si>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</si>
  <si>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</si>
  <si>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</si>
  <si>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</si>
  <si>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</si>
  <si>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</si>
  <si>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</si>
  <si>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</si>
  <si>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</si>
  <si>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</si>
  <si>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</si>
  <si>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</si>
  <si>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</si>
  <si>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</si>
  <si>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</si>
  <si>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</si>
  <si>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</si>
  <si>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</si>
  <si>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</si>
  <si>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</si>
  <si>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</si>
  <si>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</si>
  <si>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</si>
  <si>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</si>
  <si>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</si>
  <si>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</si>
  <si>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</si>
  <si>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</si>
  <si>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</si>
  <si>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</si>
  <si>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</si>
  <si>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</si>
  <si>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</si>
  <si>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</si>
  <si>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</si>
  <si>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</si>
  <si>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</si>
  <si>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</si>
  <si>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</si>
  <si>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</si>
  <si>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</si>
  <si>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</si>
  <si>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</si>
  <si>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</si>
  <si>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</si>
  <si>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</si>
  <si>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</si>
  <si>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</si>
  <si>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</si>
  <si>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</si>
  <si>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</si>
  <si>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</si>
  <si>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</si>
  <si>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</si>
  <si>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</si>
  <si>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</si>
  <si>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</si>
  <si>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</si>
  <si>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</si>
  <si>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</si>
  <si>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</si>
  <si>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</si>
  <si>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</si>
  <si>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</si>
  <si>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</si>
  <si>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</si>
  <si>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</si>
  <si>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</si>
  <si>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</si>
  <si>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</si>
  <si>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</si>
  <si>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</si>
  <si>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</si>
  <si>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</si>
  <si>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</si>
  <si>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</si>
  <si>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</si>
  <si>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</si>
  <si>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</si>
  <si>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</si>
  <si>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</si>
  <si>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</si>
  <si>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</si>
  <si>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</si>
  <si>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</si>
  <si>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</si>
  <si>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</si>
  <si>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</si>
  <si>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</si>
  <si>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</si>
  <si>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</si>
  <si>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</si>
  <si>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</si>
  <si>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</si>
  <si>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</si>
  <si>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</si>
  <si>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</si>
  <si>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</si>
  <si>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</si>
  <si>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</si>
  <si>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</si>
  <si>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</si>
  <si>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</si>
  <si>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</si>
  <si>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</si>
  <si>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</si>
  <si>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</si>
  <si>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</si>
  <si>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</si>
  <si>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</si>
  <si>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</si>
  <si>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</si>
  <si>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</si>
  <si>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</si>
  <si>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</si>
  <si>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</si>
  <si>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</si>
  <si>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</si>
  <si>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</si>
  <si>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</si>
  <si>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</si>
  <si>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</si>
  <si>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</si>
  <si>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</si>
  <si>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</si>
  <si>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</si>
  <si>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</si>
  <si>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</si>
  <si>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</si>
  <si>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</si>
  <si>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</si>
  <si>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</si>
  <si>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</si>
  <si>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</si>
  <si>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</si>
  <si>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</si>
  <si>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</si>
  <si>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</si>
  <si>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</si>
  <si>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</si>
  <si>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</si>
  <si>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</si>
  <si>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</si>
  <si>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</si>
  <si>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</si>
  <si>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</si>
  <si>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</si>
  <si>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</si>
  <si>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</si>
  <si>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</si>
  <si>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</si>
  <si>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</si>
  <si>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</si>
  <si>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</si>
  <si>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</si>
  <si>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</si>
  <si>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</si>
  <si>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</si>
  <si>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</si>
  <si>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</si>
  <si>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</si>
  <si>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</si>
  <si>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</si>
  <si>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</si>
  <si>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</si>
  <si>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</si>
  <si>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</si>
  <si>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</si>
  <si>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</si>
  <si>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</si>
  <si>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</si>
  <si>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</si>
  <si>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</si>
  <si>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</si>
  <si>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</si>
  <si>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</si>
  <si>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</si>
  <si>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</si>
  <si>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</si>
  <si>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</si>
  <si>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</si>
  <si>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</si>
  <si>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</si>
  <si>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</si>
  <si>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</si>
  <si>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</si>
  <si>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</si>
  <si>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</si>
  <si>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</si>
  <si>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</si>
  <si>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</si>
  <si>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</si>
  <si>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</si>
  <si>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</si>
  <si>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</si>
  <si>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</si>
  <si>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</si>
  <si>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</si>
  <si>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</si>
  <si>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</si>
  <si>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</si>
  <si>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</si>
  <si>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</si>
  <si>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</si>
  <si>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</si>
  <si>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</si>
  <si>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</si>
  <si>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</si>
  <si>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</si>
  <si>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</si>
  <si>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</si>
  <si>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</si>
  <si>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</si>
  <si>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</si>
  <si>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</si>
  <si>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</si>
  <si>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</si>
  <si>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</si>
  <si>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</si>
  <si>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</si>
  <si>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</si>
  <si>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</si>
  <si>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</si>
  <si>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</si>
  <si>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</si>
  <si>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</si>
  <si>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</si>
  <si>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</si>
  <si>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</si>
  <si>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</si>
  <si>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</si>
  <si>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</si>
  <si>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</si>
  <si>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</si>
  <si>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</si>
  <si>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</si>
  <si>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</si>
  <si>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</si>
  <si>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</si>
  <si>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</si>
  <si>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</si>
  <si>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</si>
  <si>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</si>
  <si>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</si>
  <si>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</si>
  <si>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</si>
  <si>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</si>
  <si>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</si>
  <si>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</si>
  <si>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</si>
  <si>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</si>
  <si>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</si>
  <si>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</si>
  <si>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</si>
  <si>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</si>
  <si>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</si>
  <si>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</si>
  <si>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</si>
  <si>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</si>
  <si>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</si>
  <si>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</si>
  <si>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</si>
  <si>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</si>
  <si>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</si>
  <si>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</si>
  <si>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</si>
  <si>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</si>
  <si>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</si>
  <si>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</si>
  <si>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</si>
  <si>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</si>
  <si>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</si>
  <si>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</si>
  <si>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</si>
  <si>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</si>
  <si>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</si>
  <si>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</si>
  <si>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</si>
  <si>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</si>
  <si>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</si>
  <si>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</si>
  <si>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</si>
  <si>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</si>
  <si>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</si>
  <si>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</si>
  <si>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</si>
  <si>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</si>
  <si>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</si>
  <si>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</si>
  <si>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</si>
  <si>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</si>
  <si>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</si>
  <si>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</si>
  <si>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</si>
  <si>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</si>
  <si>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</si>
  <si>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</si>
  <si>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</si>
  <si>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</si>
  <si>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</si>
  <si>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</si>
  <si>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</si>
  <si>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</si>
  <si>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</si>
  <si>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</si>
  <si>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</si>
  <si>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</si>
  <si>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</si>
  <si>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</si>
  <si>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</si>
  <si>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</si>
  <si>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</si>
  <si>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</si>
  <si>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</si>
  <si>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</si>
  <si>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</si>
  <si>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</si>
  <si>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</si>
  <si>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</si>
  <si>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</si>
  <si>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</si>
  <si>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</si>
  <si>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</si>
  <si>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</si>
  <si>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</si>
  <si>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</si>
  <si>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</si>
  <si>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</si>
  <si>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</si>
  <si>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</si>
  <si>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</si>
  <si>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</si>
  <si>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</si>
  <si>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</si>
  <si>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</si>
  <si>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</si>
  <si>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</si>
  <si>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</si>
  <si>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</si>
  <si>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</si>
  <si>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</si>
  <si>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</si>
  <si>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</si>
  <si>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</si>
  <si>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</si>
  <si>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</si>
  <si>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</si>
  <si>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</si>
  <si>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</si>
  <si>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</si>
  <si>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</si>
  <si>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</si>
  <si>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</si>
  <si>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</si>
  <si>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</si>
  <si>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</si>
  <si>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</si>
  <si>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</si>
  <si>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</si>
  <si>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</si>
  <si>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</si>
  <si>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</si>
  <si>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</si>
  <si>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</si>
  <si>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</si>
  <si>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</si>
  <si>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</si>
  <si>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</si>
  <si>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</si>
  <si>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</si>
  <si>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</si>
  <si>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</si>
  <si>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</si>
  <si>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</si>
  <si>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</si>
  <si>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</si>
  <si>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</si>
  <si>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</si>
  <si>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</si>
  <si>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</si>
  <si>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</si>
  <si>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</si>
  <si>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</si>
  <si>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</si>
  <si>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</si>
  <si>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</si>
  <si>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</si>
  <si>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</si>
  <si>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</si>
  <si>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</si>
  <si>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</si>
  <si>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AMOUNT</t>
  </si>
  <si>
    <t>INT. @ 8.50%</t>
  </si>
  <si>
    <t>INT. PER DAY</t>
  </si>
  <si>
    <t>INTEREST</t>
  </si>
  <si>
    <t>TAX @ 6%</t>
  </si>
  <si>
    <t>NET INTEREST PAYABLE</t>
  </si>
  <si>
    <t>Rastriya Banijya Bank Ltd.</t>
  </si>
  <si>
    <t>"8.5% RBBL Debenture, 2083"</t>
  </si>
  <si>
    <t>Interest Calculation List</t>
  </si>
  <si>
    <t>Total no. of days</t>
  </si>
  <si>
    <t>TOTAL</t>
  </si>
  <si>
    <t>TAX @ 15%</t>
  </si>
  <si>
    <t>TAX EXEMPTED</t>
  </si>
  <si>
    <t>TAX</t>
  </si>
  <si>
    <t>PUBLIC TOTAL</t>
  </si>
  <si>
    <t>PRIVATE TOTAL</t>
  </si>
  <si>
    <t>MUTUAL FUND TOTAL</t>
  </si>
  <si>
    <t>BANK CODE</t>
  </si>
  <si>
    <t>FROM</t>
  </si>
  <si>
    <t>TO</t>
  </si>
  <si>
    <t>1001</t>
  </si>
  <si>
    <t>1901</t>
  </si>
  <si>
    <t>Agricultural Development Bank Ltd.-Ramshah Path Branch</t>
  </si>
  <si>
    <t>7301</t>
  </si>
  <si>
    <t xml:space="preserve">Kumari Bank Ltd.-Bagbazar Branch </t>
  </si>
  <si>
    <t>1601</t>
  </si>
  <si>
    <t>2301</t>
  </si>
  <si>
    <t>01200105201040</t>
  </si>
  <si>
    <t>Everest Bank Ltd.-Birtamod Branch</t>
  </si>
  <si>
    <t>Sanima Bank Ltd.-Head Office</t>
  </si>
  <si>
    <t>4501</t>
  </si>
  <si>
    <t>077010010000294</t>
  </si>
  <si>
    <t>Sanima Bank Ltd.-Putalisadak Branch</t>
  </si>
  <si>
    <t>001010010003504</t>
  </si>
  <si>
    <t>Nepal Bank Ltd.-Kathmandu Banking Office</t>
  </si>
  <si>
    <t>Nepal Investment Mega Bank Ltd.- Head Office Durbar Marg Branch</t>
  </si>
  <si>
    <t>0544150039921002</t>
  </si>
  <si>
    <t>NIC Asia Bank Ltd.-Tripureswor Branch</t>
  </si>
  <si>
    <t>0544150018332002</t>
  </si>
  <si>
    <t>NIC Asia Bank Ltd.- TTN Thapathali Branch</t>
  </si>
  <si>
    <t>7201</t>
  </si>
  <si>
    <t>Nabil Bank Ltd.-Tindhara Kathmandu</t>
  </si>
  <si>
    <t>Global IME Bank Ltd.-Head Office Branch</t>
  </si>
  <si>
    <t>Shangri-la Development Bank Ltd.- Baluwatar Branch</t>
  </si>
  <si>
    <t>17910200324155000019</t>
  </si>
  <si>
    <t>Muktinath Bikas Bank Ltd.- Central Office Branch</t>
  </si>
  <si>
    <t>02500800260915000001</t>
  </si>
  <si>
    <t>02700048830012</t>
  </si>
  <si>
    <t>Himalayan Bank Ltd.-Koteshwar Branch</t>
  </si>
  <si>
    <t>03601040265560</t>
  </si>
  <si>
    <t>882</t>
  </si>
  <si>
    <t>883</t>
  </si>
  <si>
    <t>884</t>
  </si>
  <si>
    <t>885</t>
  </si>
  <si>
    <t>886</t>
  </si>
  <si>
    <t>887</t>
  </si>
  <si>
    <t>888</t>
  </si>
  <si>
    <t>S.N.</t>
  </si>
  <si>
    <t>FATHER'S NAME</t>
  </si>
  <si>
    <t>GRANDFATHER'S NAME</t>
  </si>
  <si>
    <t>CITIZENSHIP</t>
  </si>
  <si>
    <t>PAN</t>
  </si>
  <si>
    <t>CONTACT</t>
  </si>
  <si>
    <t>BANK A/C NO.</t>
  </si>
  <si>
    <t>1301370002614019</t>
  </si>
  <si>
    <t>JAY PRAKASH SAH</t>
  </si>
  <si>
    <t>AABADH SAH TELI</t>
  </si>
  <si>
    <t>LAXMI SAH TELI</t>
  </si>
  <si>
    <t xml:space="preserve">1028191067/552010      </t>
  </si>
  <si>
    <t xml:space="preserve"> </t>
  </si>
  <si>
    <t>SARLAHI</t>
  </si>
  <si>
    <t>Sarlahi</t>
  </si>
  <si>
    <t>9800864105</t>
  </si>
  <si>
    <t>3162358877524001</t>
  </si>
  <si>
    <t>1301090001191473</t>
  </si>
  <si>
    <t>MOHAMMAD ISLAM KHAN</t>
  </si>
  <si>
    <t>ABDUL GULAM</t>
  </si>
  <si>
    <t>JAINAB KHAN</t>
  </si>
  <si>
    <t xml:space="preserve">1043530/4/13/627521992 </t>
  </si>
  <si>
    <t>LUMBINI</t>
  </si>
  <si>
    <t>Kapilvastu</t>
  </si>
  <si>
    <t>076520656</t>
  </si>
  <si>
    <t>1801</t>
  </si>
  <si>
    <t>Siddhartha Bank Ltd.-Corporate Hattisar</t>
  </si>
  <si>
    <t>02715000024</t>
  </si>
  <si>
    <t>1301120001941550</t>
  </si>
  <si>
    <t>IVAAN SHARMA</t>
  </si>
  <si>
    <t>ABHISEK SHARMA</t>
  </si>
  <si>
    <t>KAMLESH KUMAR SHARMA</t>
  </si>
  <si>
    <t xml:space="preserve">10431002532020         </t>
  </si>
  <si>
    <t>Kathmandu</t>
  </si>
  <si>
    <t>9802100514</t>
  </si>
  <si>
    <t>Global IME Bank Ltd.-Kantipath Branch</t>
  </si>
  <si>
    <t>D107010002342</t>
  </si>
  <si>
    <t>1301580001004597</t>
  </si>
  <si>
    <t>ABDUL SATAR ANSARI</t>
  </si>
  <si>
    <t>ABU MAHAMAD ANSARI/BABUNI KHATUN</t>
  </si>
  <si>
    <t>ISMIL MIYA ANSARI/RIHANA KHATUN</t>
  </si>
  <si>
    <t xml:space="preserve">10552100/29241989      </t>
  </si>
  <si>
    <t>07</t>
  </si>
  <si>
    <t>Bara</t>
  </si>
  <si>
    <t>-</t>
  </si>
  <si>
    <t>021011120000004</t>
  </si>
  <si>
    <t>1301090000291620</t>
  </si>
  <si>
    <t>SUBARNA PRASAD SHRESTHA</t>
  </si>
  <si>
    <t>AGNI MAN SHRESTHA</t>
  </si>
  <si>
    <t>LAXMI DEVI SHRESTHA</t>
  </si>
  <si>
    <t xml:space="preserve">1064238/034/351978     </t>
  </si>
  <si>
    <t>SALYAN</t>
  </si>
  <si>
    <t>Salyan</t>
  </si>
  <si>
    <t>081527653</t>
  </si>
  <si>
    <t>Siddhartha Bank Ltd.-Bhairahawa</t>
  </si>
  <si>
    <t>01515121386</t>
  </si>
  <si>
    <t>1301300000097151</t>
  </si>
  <si>
    <t>MUNA RAUT</t>
  </si>
  <si>
    <t>AGNI PRASAD RAUT/KALPANA RAUT</t>
  </si>
  <si>
    <t>NARAJUNG RAUT</t>
  </si>
  <si>
    <t xml:space="preserve">105103-1-040/904762009 </t>
  </si>
  <si>
    <t xml:space="preserve">108094183                </t>
  </si>
  <si>
    <t>ILAM</t>
  </si>
  <si>
    <t>Ilam</t>
  </si>
  <si>
    <t>9851207848</t>
  </si>
  <si>
    <t>Sanima Bank Ltd.- Satdobato Branch</t>
  </si>
  <si>
    <t>014011090005440</t>
  </si>
  <si>
    <t>1301590000917705</t>
  </si>
  <si>
    <t>ANIL RAI</t>
  </si>
  <si>
    <t>AITE RAI</t>
  </si>
  <si>
    <t>SANTARAM RAI</t>
  </si>
  <si>
    <t xml:space="preserve">1029201033/4752012     </t>
  </si>
  <si>
    <t>LALITPUR</t>
  </si>
  <si>
    <t>9818923559</t>
  </si>
  <si>
    <t>Rastriya Banijya Bank Ltd.-Central Office</t>
  </si>
  <si>
    <t>21315241407585</t>
  </si>
  <si>
    <t>1301650000519920</t>
  </si>
  <si>
    <t>SHREYANSHI SAH</t>
  </si>
  <si>
    <t>AJAY</t>
  </si>
  <si>
    <t xml:space="preserve">10241442020            </t>
  </si>
  <si>
    <t>Dhanusa</t>
  </si>
  <si>
    <t>9854026720</t>
  </si>
  <si>
    <t>1220100000364118</t>
  </si>
  <si>
    <t>1301360000002641</t>
  </si>
  <si>
    <t>RAM BIKRAM KARKI</t>
  </si>
  <si>
    <t>AKAL BAHADUR KARKI</t>
  </si>
  <si>
    <t>KSHATRA BAHADUR KARKI</t>
  </si>
  <si>
    <t xml:space="preserve">102521181981           </t>
  </si>
  <si>
    <t>DOLKHA</t>
  </si>
  <si>
    <t>Dolkha</t>
  </si>
  <si>
    <t>9841001986</t>
  </si>
  <si>
    <t>Nepal Investment Mega Bank Ltd.-Thamel Branch</t>
  </si>
  <si>
    <t>01605210250474</t>
  </si>
  <si>
    <t>1301090001778924</t>
  </si>
  <si>
    <t>AVISHARAN KHADKA</t>
  </si>
  <si>
    <t>ALOK KHADKA</t>
  </si>
  <si>
    <t>ANAL BAHADUR KHADKA</t>
  </si>
  <si>
    <t xml:space="preserve">1003273060-1022007     </t>
  </si>
  <si>
    <t>9841609271</t>
  </si>
  <si>
    <t>01916318339</t>
  </si>
  <si>
    <t>1301510000299989</t>
  </si>
  <si>
    <t>RAMESH BHATTARAI</t>
  </si>
  <si>
    <t>AMBIKA BHATTARAI</t>
  </si>
  <si>
    <t>TIKA DUTTA BHATTARAI</t>
  </si>
  <si>
    <t xml:space="preserve">103940641/426412005    </t>
  </si>
  <si>
    <t>BAGMATI</t>
  </si>
  <si>
    <t>Nabil Bank Limited.-Pharping</t>
  </si>
  <si>
    <t>17210017506091</t>
  </si>
  <si>
    <t>1301090000520591</t>
  </si>
  <si>
    <t>JYOTI PRASAD DHITAL</t>
  </si>
  <si>
    <t>AMBIKA PRASAD DHITAL</t>
  </si>
  <si>
    <t>KHADANANDA PRASAD SHARMA DHITAL</t>
  </si>
  <si>
    <t xml:space="preserve">1037167041990          </t>
  </si>
  <si>
    <t>BIRATNAGAR</t>
  </si>
  <si>
    <t>Morang</t>
  </si>
  <si>
    <t>021-463157</t>
  </si>
  <si>
    <t>Siddhartha Bank Ltd.-Biratnagar Branch</t>
  </si>
  <si>
    <t>00315080427</t>
  </si>
  <si>
    <t>1301120000974927</t>
  </si>
  <si>
    <t>Raksha Shrestha Kasaju</t>
  </si>
  <si>
    <t>Amrit Lal Shrestha/Basanti Shrestha</t>
  </si>
  <si>
    <t>Bindu Lal Shrestha/Suman Malla</t>
  </si>
  <si>
    <t xml:space="preserve">1046102822000          </t>
  </si>
  <si>
    <t>Butwal</t>
  </si>
  <si>
    <t>Rupandehi</t>
  </si>
  <si>
    <t>015520043</t>
  </si>
  <si>
    <t>Agricultural Development Bank Ltd.-Phikkal Banking</t>
  </si>
  <si>
    <t>0210300177482011</t>
  </si>
  <si>
    <t>1301090002482741</t>
  </si>
  <si>
    <t>AMISHA BHANDARI</t>
  </si>
  <si>
    <t>AMRIT SINGH BHANDARI/ANITA ADHIKARI BHANDARI</t>
  </si>
  <si>
    <t>DURGA BAHADUR BHANDARI</t>
  </si>
  <si>
    <t xml:space="preserve">10032212012            </t>
  </si>
  <si>
    <t>9849854124</t>
  </si>
  <si>
    <t>01915072848</t>
  </si>
  <si>
    <t>1301240000410011</t>
  </si>
  <si>
    <t>DANU SHERPA</t>
  </si>
  <si>
    <t>ANG DAWA SHERPA</t>
  </si>
  <si>
    <t>SARKI NURBU SHERPA</t>
  </si>
  <si>
    <t xml:space="preserve">10697841/1082006       </t>
  </si>
  <si>
    <t>SOLUKHUMBU</t>
  </si>
  <si>
    <t>Solukhumbu</t>
  </si>
  <si>
    <t>9807218212</t>
  </si>
  <si>
    <t>2201</t>
  </si>
  <si>
    <t>Laxmi Sunrise Bank Limited.-Gairidhara Branch</t>
  </si>
  <si>
    <t>0280680600299001</t>
  </si>
  <si>
    <t>1301120000818351</t>
  </si>
  <si>
    <t>NISCHAL KHANAL</t>
  </si>
  <si>
    <t>ANIL BHADRA KHANAL</t>
  </si>
  <si>
    <t>SHAMBHU BHADRA KAHANAL</t>
  </si>
  <si>
    <t xml:space="preserve">1044848032006          </t>
  </si>
  <si>
    <t>NAWALPARASI</t>
  </si>
  <si>
    <t>9841548945</t>
  </si>
  <si>
    <t>Global IME Bank Ltd.-Kalanki Branch</t>
  </si>
  <si>
    <t>3807010004028</t>
  </si>
  <si>
    <t>1301040000038461</t>
  </si>
  <si>
    <t>SAURAB RUNGTA</t>
  </si>
  <si>
    <t>ANUP KUMAR RUNGTA</t>
  </si>
  <si>
    <t>MAHABIR PRASAD RUNGTA</t>
  </si>
  <si>
    <t xml:space="preserve">10031060/894312012     </t>
  </si>
  <si>
    <t>SAMPANNA MARG</t>
  </si>
  <si>
    <t>9851035120</t>
  </si>
  <si>
    <t>Everest Bank Ltd.-Chabahil Branch</t>
  </si>
  <si>
    <t>01800501001771</t>
  </si>
  <si>
    <t>1301620000015067</t>
  </si>
  <si>
    <t>Nayan Krishna Joshi</t>
  </si>
  <si>
    <t>Arjun Krishna Joshi/ Shanti Joshi</t>
  </si>
  <si>
    <t>Bhairab Lal JOshi</t>
  </si>
  <si>
    <t xml:space="preserve">1005735441995          </t>
  </si>
  <si>
    <t>Janbahal</t>
  </si>
  <si>
    <t>Lalitpur</t>
  </si>
  <si>
    <t>9851122818</t>
  </si>
  <si>
    <t>9915</t>
  </si>
  <si>
    <t>Guheshwori Merchant Banking Finance Ltd.- Head office Branch</t>
  </si>
  <si>
    <t>10111000009422</t>
  </si>
  <si>
    <t>1301150000039551</t>
  </si>
  <si>
    <t>ANANTA ARYAL</t>
  </si>
  <si>
    <t>ARJUN PRASAD ARYAL</t>
  </si>
  <si>
    <t>MURALIDHAR ARYAL</t>
  </si>
  <si>
    <t xml:space="preserve">1003271060/19922008    </t>
  </si>
  <si>
    <t>BIDUR</t>
  </si>
  <si>
    <t>Nuwakot</t>
  </si>
  <si>
    <t>4601899</t>
  </si>
  <si>
    <t>Rastriya Banijya Bank Ltd.-Thapathali Branch</t>
  </si>
  <si>
    <t>142005534210</t>
  </si>
  <si>
    <t>1301370003248059</t>
  </si>
  <si>
    <t>BISHOW MAHARJAN</t>
  </si>
  <si>
    <t>ASHA BHAI MAHARJAN</t>
  </si>
  <si>
    <t>MACHA BHAI MAHARJAN</t>
  </si>
  <si>
    <t xml:space="preserve">1003271058/193022008   </t>
  </si>
  <si>
    <t>KIRTIPUR</t>
  </si>
  <si>
    <t>KATHMANDU</t>
  </si>
  <si>
    <t>9848678192</t>
  </si>
  <si>
    <t>NIC Asia Bank Ltd.- Tripureswor Branch</t>
  </si>
  <si>
    <t>0395759980624001</t>
  </si>
  <si>
    <t>1301580000899044</t>
  </si>
  <si>
    <t>RAMPYARI SHAHI</t>
  </si>
  <si>
    <t>ASHA LAL SHAHI/SANTU MAYA SHAHI</t>
  </si>
  <si>
    <t>RAGHUBIR SHAHI</t>
  </si>
  <si>
    <t xml:space="preserve">1003161821998          </t>
  </si>
  <si>
    <t>9866338205</t>
  </si>
  <si>
    <t>Nepal Bank Ltd.-Kalimati Branch</t>
  </si>
  <si>
    <t>0042100078196</t>
  </si>
  <si>
    <t>1301370000208853</t>
  </si>
  <si>
    <t>Shiva Kumar Maharjan</t>
  </si>
  <si>
    <t>Ashamaru Maharjan</t>
  </si>
  <si>
    <t>Sinhabir Maharjan</t>
  </si>
  <si>
    <t xml:space="preserve">100363331982           </t>
  </si>
  <si>
    <t>100791792</t>
  </si>
  <si>
    <t>Devapatan</t>
  </si>
  <si>
    <t>9843149833</t>
  </si>
  <si>
    <t>NIC Asia Bank Ltd.-Kalanki Branch</t>
  </si>
  <si>
    <t>1069438986524001</t>
  </si>
  <si>
    <t>1301320000074567</t>
  </si>
  <si>
    <t>Avishek Agrawal</t>
  </si>
  <si>
    <t>Ashok Kumar Agrawal</t>
  </si>
  <si>
    <t>Satya Narayan Agrawal</t>
  </si>
  <si>
    <t xml:space="preserve">103932903/063/642007   </t>
  </si>
  <si>
    <t>Tribhuvan Path-2</t>
  </si>
  <si>
    <t>Sunsari</t>
  </si>
  <si>
    <t>Dharan</t>
  </si>
  <si>
    <t>Nepal SBI Bank Ltd.-Dharan Branch</t>
  </si>
  <si>
    <t>19015240031598</t>
  </si>
  <si>
    <t>1301240000055784</t>
  </si>
  <si>
    <t>SURYA PRASAD BHUSAL</t>
  </si>
  <si>
    <t>ATMARAM BHUSAL</t>
  </si>
  <si>
    <t>DURGA PRASAD BHUSAL / SADHANA BELBASE BHUSAL</t>
  </si>
  <si>
    <t xml:space="preserve">1041396/25611983       </t>
  </si>
  <si>
    <t>101583406</t>
  </si>
  <si>
    <t>BHIMGALLI</t>
  </si>
  <si>
    <t>9840506256</t>
  </si>
  <si>
    <t>Rastriya Banijya Bank Ltd.-Baneshwor Branch</t>
  </si>
  <si>
    <t>1420100012292010</t>
  </si>
  <si>
    <t>1301060001041731</t>
  </si>
  <si>
    <t>gan bahadur basnet</t>
  </si>
  <si>
    <t>babal singh basnet</t>
  </si>
  <si>
    <t>sunita basnet</t>
  </si>
  <si>
    <t xml:space="preserve">10699670/1461998       </t>
  </si>
  <si>
    <t>sotang</t>
  </si>
  <si>
    <t>.</t>
  </si>
  <si>
    <t>02705080250030</t>
  </si>
  <si>
    <t>1301120000116394</t>
  </si>
  <si>
    <t>Binod Shakya</t>
  </si>
  <si>
    <t>Babu Ratna Shakya</t>
  </si>
  <si>
    <t>Vaju Dhana Shakya</t>
  </si>
  <si>
    <t xml:space="preserve">10036524/51521995      </t>
  </si>
  <si>
    <t>Lagana</t>
  </si>
  <si>
    <t>9849154102</t>
  </si>
  <si>
    <t>Global IME Bank Ltd.-KHUSIBU Branch</t>
  </si>
  <si>
    <t>5907010002629</t>
  </si>
  <si>
    <t>1301370003546736</t>
  </si>
  <si>
    <t>JHANKHU THARU</t>
  </si>
  <si>
    <t>BABURAM THARU</t>
  </si>
  <si>
    <t>PONGE THARU</t>
  </si>
  <si>
    <t xml:space="preserve">1043315612000          </t>
  </si>
  <si>
    <t>KAPILVASTU</t>
  </si>
  <si>
    <t>9847276550</t>
  </si>
  <si>
    <t>1975759982988001</t>
  </si>
  <si>
    <t>1301120001261904</t>
  </si>
  <si>
    <t>KANCHANA KHADKA</t>
  </si>
  <si>
    <t>BADRI BAHADUR KHADKA</t>
  </si>
  <si>
    <t>SHIVA JI KHADKA</t>
  </si>
  <si>
    <t xml:space="preserve">1003271058/1077032013  </t>
  </si>
  <si>
    <t>4332069</t>
  </si>
  <si>
    <t>0507010004560</t>
  </si>
  <si>
    <t>1301170000030751</t>
  </si>
  <si>
    <t>PRAKRITI SHRESTHA</t>
  </si>
  <si>
    <t>BADRI BAHADUR SHRESTHA</t>
  </si>
  <si>
    <t>HARKA BAHADUR SHRESTHA</t>
  </si>
  <si>
    <t xml:space="preserve">1039116/2564/45151988  </t>
  </si>
  <si>
    <t>KOSHI</t>
  </si>
  <si>
    <t>4154021</t>
  </si>
  <si>
    <t>2001</t>
  </si>
  <si>
    <t>Citizens Bank International Ltd.- Koteshwor Branch</t>
  </si>
  <si>
    <t>0090100000020026</t>
  </si>
  <si>
    <t>1301370000492294</t>
  </si>
  <si>
    <t>Urmila Sharma</t>
  </si>
  <si>
    <t>Badri Narayan Upadhyay</t>
  </si>
  <si>
    <t>Chandra Lal Upadhyay</t>
  </si>
  <si>
    <t xml:space="preserve">10035732/7608075571978 </t>
  </si>
  <si>
    <t>Bijay Chowk</t>
  </si>
  <si>
    <t>9849539777</t>
  </si>
  <si>
    <t>NIC Asia Bank Ltd.-Battisputali Branch</t>
  </si>
  <si>
    <t>3783970562524001</t>
  </si>
  <si>
    <t>1301080000443047</t>
  </si>
  <si>
    <t>PINKY KUMARI DAS</t>
  </si>
  <si>
    <t>BADRI PRASAD DAS</t>
  </si>
  <si>
    <t>ASHARFI DAS</t>
  </si>
  <si>
    <t xml:space="preserve">106790032001           </t>
  </si>
  <si>
    <t>RAJBIRAJ</t>
  </si>
  <si>
    <t>Saptari</t>
  </si>
  <si>
    <t>Everest Bank Ltd.-Baneshwor Branch</t>
  </si>
  <si>
    <t>00100501215498</t>
  </si>
  <si>
    <t>1301370002536266</t>
  </si>
  <si>
    <t>SUDARSAN PURI</t>
  </si>
  <si>
    <t>BADRI PURI</t>
  </si>
  <si>
    <t>HIM LAL PURI</t>
  </si>
  <si>
    <t xml:space="preserve">100362292001           </t>
  </si>
  <si>
    <t>9813182074</t>
  </si>
  <si>
    <t>3700217740524001</t>
  </si>
  <si>
    <t>1301090000007132</t>
  </si>
  <si>
    <t>BALARAM PRADHANANGA</t>
  </si>
  <si>
    <t>BADRI SHANKER PRADHANANGA</t>
  </si>
  <si>
    <t>GITA PRADHANANGA</t>
  </si>
  <si>
    <t xml:space="preserve">10034645/0251969       </t>
  </si>
  <si>
    <t>4470857</t>
  </si>
  <si>
    <t>00105010061651</t>
  </si>
  <si>
    <t>1301640000002005</t>
  </si>
  <si>
    <t>INDRA PRASAD SHARMA NEUPANE</t>
  </si>
  <si>
    <t>BADRINATH NEUPANE</t>
  </si>
  <si>
    <t>LOKNATH SHARMA NEUPANE</t>
  </si>
  <si>
    <t xml:space="preserve">1003450/130111974      </t>
  </si>
  <si>
    <t>120301892</t>
  </si>
  <si>
    <t>SINDHUPALCHOK</t>
  </si>
  <si>
    <t>Sindhupalchok</t>
  </si>
  <si>
    <t xml:space="preserve">9801228161       </t>
  </si>
  <si>
    <t>9931</t>
  </si>
  <si>
    <t>Mahalaxmi Bikas Bank Limited.-Durbar Margh Branch</t>
  </si>
  <si>
    <t>04212300784102000001</t>
  </si>
  <si>
    <t>1301100000294210</t>
  </si>
  <si>
    <t>KRISHNA PRASAD SUBEDI</t>
  </si>
  <si>
    <t>BAIJ NATH SUBEDI</t>
  </si>
  <si>
    <t>LAXMI PRASAD SUBEDI / SANGITA POKHREL</t>
  </si>
  <si>
    <t xml:space="preserve">1039119/21041988       </t>
  </si>
  <si>
    <t>SUNSARI</t>
  </si>
  <si>
    <t>9841921048</t>
  </si>
  <si>
    <t>Siddhartha Bank Ltd.-Gatthaghar</t>
  </si>
  <si>
    <t>02215126774</t>
  </si>
  <si>
    <t>1301080000051198</t>
  </si>
  <si>
    <t>ABHINAY JAYASWAL</t>
  </si>
  <si>
    <t>BAJRANG PRASAD CHAUDHARY</t>
  </si>
  <si>
    <t>RAMA CHAUDHARY</t>
  </si>
  <si>
    <t xml:space="preserve">1024396974862002       </t>
  </si>
  <si>
    <t>kathmandu</t>
  </si>
  <si>
    <t>00100523200009</t>
  </si>
  <si>
    <t>1301220000220026</t>
  </si>
  <si>
    <t>MAN BAHADUR ADHIKARI</t>
  </si>
  <si>
    <t>BAL BAHADUR ADHIKARI</t>
  </si>
  <si>
    <t>SHANTI MAYA ADHIKARI</t>
  </si>
  <si>
    <t xml:space="preserve">105611891995           </t>
  </si>
  <si>
    <t>CHITWAN-27</t>
  </si>
  <si>
    <t>Chitwan</t>
  </si>
  <si>
    <t>9855052847</t>
  </si>
  <si>
    <t>9910</t>
  </si>
  <si>
    <t>Triveni Bikas Bank Ltd.- Narayangarh Branch</t>
  </si>
  <si>
    <t>00101100009267000001</t>
  </si>
  <si>
    <t>1301680000074926</t>
  </si>
  <si>
    <t>RAM CHANDRA KARKI</t>
  </si>
  <si>
    <t>BAL BAHADUR KARKI</t>
  </si>
  <si>
    <t>SHER BAHADUR KARKI</t>
  </si>
  <si>
    <t xml:space="preserve">1022201441994          </t>
  </si>
  <si>
    <t>SYANGJA</t>
  </si>
  <si>
    <t>Syangja</t>
  </si>
  <si>
    <t>9851012727</t>
  </si>
  <si>
    <t>Shangri-la Development Bank Ltd.-Kalimati Branch</t>
  </si>
  <si>
    <t>08801200280376000001</t>
  </si>
  <si>
    <t>1301150000001747</t>
  </si>
  <si>
    <t>HEMANTA PARAJULI</t>
  </si>
  <si>
    <t>BAL RAM PARAJULI</t>
  </si>
  <si>
    <t>JAGILAL PARAJULI</t>
  </si>
  <si>
    <t xml:space="preserve">105252851998           </t>
  </si>
  <si>
    <t>DAMAK</t>
  </si>
  <si>
    <t>Jhapa</t>
  </si>
  <si>
    <t xml:space="preserve">9708094470       </t>
  </si>
  <si>
    <t>2101</t>
  </si>
  <si>
    <t>Prime Commercial Bank Ltd.-Kamalpokhari Central Office</t>
  </si>
  <si>
    <t>00103911SA</t>
  </si>
  <si>
    <t>1301240000059696</t>
  </si>
  <si>
    <t>SHANKAR GURUNG</t>
  </si>
  <si>
    <t>BALI GURUNG</t>
  </si>
  <si>
    <t>PHUNJO GURUNG</t>
  </si>
  <si>
    <t xml:space="preserve">1003132461999          </t>
  </si>
  <si>
    <t>9851122046</t>
  </si>
  <si>
    <t>Laxmi Sunrise Bank Limited.-Kamalpokhari Branch</t>
  </si>
  <si>
    <t>0690424246214001</t>
  </si>
  <si>
    <t>1301480000133625</t>
  </si>
  <si>
    <t>RAJESH TANDUKAR</t>
  </si>
  <si>
    <t>BALKRISHNA TANDUKAR</t>
  </si>
  <si>
    <t>AASHARAM TANDUKAR</t>
  </si>
  <si>
    <t xml:space="preserve">1005364562005          </t>
  </si>
  <si>
    <t>9849850381</t>
  </si>
  <si>
    <t>Himalayan Bank Ltd.-Patan Branch</t>
  </si>
  <si>
    <t>11006613990011</t>
  </si>
  <si>
    <t>1301310000048396</t>
  </si>
  <si>
    <t>AWANTIKA ADHIKARI</t>
  </si>
  <si>
    <t>BALMUKUNDA UPADHYAYA</t>
  </si>
  <si>
    <t>TANKA KUMAR ADHIKARI</t>
  </si>
  <si>
    <t xml:space="preserve">100325492008           </t>
  </si>
  <si>
    <t>9851076566</t>
  </si>
  <si>
    <t>5401</t>
  </si>
  <si>
    <t>Lumbini Bikas Bank Ltd.-Kaushaltar Branch</t>
  </si>
  <si>
    <t>02011000044266000001</t>
  </si>
  <si>
    <t>1301570000008261</t>
  </si>
  <si>
    <t>Santosh Kafle</t>
  </si>
  <si>
    <t>Balram Prasad Kafle</t>
  </si>
  <si>
    <t>Tej Prasad Kafle</t>
  </si>
  <si>
    <t xml:space="preserve">100374761996           </t>
  </si>
  <si>
    <t>305084068</t>
  </si>
  <si>
    <t>Oldbaneshwor</t>
  </si>
  <si>
    <t>9851137394</t>
  </si>
  <si>
    <t>Nepal Bank Ltd.-Lalitpur Branch</t>
  </si>
  <si>
    <t>01801200230233000001</t>
  </si>
  <si>
    <t>1301170000125326</t>
  </si>
  <si>
    <t>SUBIR SHRESTHA</t>
  </si>
  <si>
    <t>BANSHI SHRESTHA</t>
  </si>
  <si>
    <t>SANU KAJI SHRESTHA</t>
  </si>
  <si>
    <t xml:space="preserve">100444723/2331993      </t>
  </si>
  <si>
    <t>Kavrepalanchowk</t>
  </si>
  <si>
    <t>014474117</t>
  </si>
  <si>
    <t>Citizens Bank International Ltd.-Durbarmarg Branch</t>
  </si>
  <si>
    <t>0010100000882032</t>
  </si>
  <si>
    <t>1301090001868013</t>
  </si>
  <si>
    <t>HOM BAHADUR TAMANG</t>
  </si>
  <si>
    <t>BARU LAMA TAMANG</t>
  </si>
  <si>
    <t>MULU LAMA TAMANG</t>
  </si>
  <si>
    <t xml:space="preserve">1002318481999          </t>
  </si>
  <si>
    <t>DHADING</t>
  </si>
  <si>
    <t>Dhading</t>
  </si>
  <si>
    <t>9849250620</t>
  </si>
  <si>
    <t>Siddhartha Bank Ltd.-Gongabu Branch</t>
  </si>
  <si>
    <t>01616821860</t>
  </si>
  <si>
    <t>1301650000292002</t>
  </si>
  <si>
    <t>NABYA GUPTA</t>
  </si>
  <si>
    <t>BARUN GUPTA / LAXMI GUPTA</t>
  </si>
  <si>
    <t>BABU LAL SAH</t>
  </si>
  <si>
    <t xml:space="preserve">10551702018            </t>
  </si>
  <si>
    <t>KALAIYA</t>
  </si>
  <si>
    <t>9845137198</t>
  </si>
  <si>
    <t>Rastriya Banijya Bank Ltd.-Kalaiya Branch</t>
  </si>
  <si>
    <t>1260100000035005</t>
  </si>
  <si>
    <t>1301060000974422</t>
  </si>
  <si>
    <t>LISHA SHRESTHA</t>
  </si>
  <si>
    <t>BASANTA BASANTA BAHADUR SHRESTHA</t>
  </si>
  <si>
    <t>BISHNU BAHADUR SHREST HA</t>
  </si>
  <si>
    <t xml:space="preserve">1003147971996          </t>
  </si>
  <si>
    <t>4419799</t>
  </si>
  <si>
    <t>00210029375016</t>
  </si>
  <si>
    <t>1301010000087081</t>
  </si>
  <si>
    <t>KIRAN BHANDARI</t>
  </si>
  <si>
    <t>BASUDEV  BHANDARI</t>
  </si>
  <si>
    <t>BEENA SHARMA BHANDARI/ MANNATH BHANDARI</t>
  </si>
  <si>
    <t xml:space="preserve">1003103331992          </t>
  </si>
  <si>
    <t>BHANDARI GAUN</t>
  </si>
  <si>
    <t>4351015</t>
  </si>
  <si>
    <t>Nabil Bank Ltd.-Balaju Branch</t>
  </si>
  <si>
    <t>0110017503942</t>
  </si>
  <si>
    <t>1301520000668389</t>
  </si>
  <si>
    <t>SARASWATI KANDEL</t>
  </si>
  <si>
    <t>BASUDEV KANDEL</t>
  </si>
  <si>
    <t>NANDALAL KANDEL</t>
  </si>
  <si>
    <t xml:space="preserve">10561475/0521996       </t>
  </si>
  <si>
    <t>BANKE</t>
  </si>
  <si>
    <t>Kumari Bank Ltd.-Rangeli Branch</t>
  </si>
  <si>
    <t>1740095459100001</t>
  </si>
  <si>
    <t>1301120000295970</t>
  </si>
  <si>
    <t>Surakshya Shrestha</t>
  </si>
  <si>
    <t>Basudev Shrestha</t>
  </si>
  <si>
    <t>Krishna Bahadur Shrestha/ Bikram Basukala</t>
  </si>
  <si>
    <t xml:space="preserve">100347662004           </t>
  </si>
  <si>
    <t>Chandragiri</t>
  </si>
  <si>
    <t>9851133180</t>
  </si>
  <si>
    <t>Agricultural Development Bank Ltd.-Kalanki</t>
  </si>
  <si>
    <t>0211000046020010</t>
  </si>
  <si>
    <t>1301820000030169</t>
  </si>
  <si>
    <t>CHANDRA MANI BHUSAL</t>
  </si>
  <si>
    <t>BED PRASAD BHUSAL/LILA DEVI BHUSAL</t>
  </si>
  <si>
    <t>RITA BHUSAL/DEVI RAM BHUSAL</t>
  </si>
  <si>
    <t xml:space="preserve">104686872000           </t>
  </si>
  <si>
    <t>SALJHANDI</t>
  </si>
  <si>
    <t>9811971103</t>
  </si>
  <si>
    <t>Global IME Bank Ltd.-Saljhandi Branch</t>
  </si>
  <si>
    <t>22507010062383</t>
  </si>
  <si>
    <t>1301320000043061</t>
  </si>
  <si>
    <t>Bijaya Manandhar</t>
  </si>
  <si>
    <t>Bekha Narayan Manandhar</t>
  </si>
  <si>
    <t>Bu.Narayan Manandhar</t>
  </si>
  <si>
    <t xml:space="preserve">1003123111986          </t>
  </si>
  <si>
    <t>Kathmandu-23</t>
  </si>
  <si>
    <t>9841267143</t>
  </si>
  <si>
    <t>Nabil Bank Limited.-Bhedasingh Branch</t>
  </si>
  <si>
    <t>13910017503878</t>
  </si>
  <si>
    <t>1301170000031491</t>
  </si>
  <si>
    <t>BEL BAHADUR BASUKALA</t>
  </si>
  <si>
    <t>BEL BHAKTA BASUKALA</t>
  </si>
  <si>
    <t>RATNA LAL BASUKALA</t>
  </si>
  <si>
    <t xml:space="preserve">10013811989            </t>
  </si>
  <si>
    <t>Bhaktapur</t>
  </si>
  <si>
    <t>6617494</t>
  </si>
  <si>
    <t>Citizens Bank International Ltd.-Bhaktapur Branch</t>
  </si>
  <si>
    <t>0300100000002030</t>
  </si>
  <si>
    <t>1301550000083105</t>
  </si>
  <si>
    <t>NIRBHAY SHRESTHA</t>
  </si>
  <si>
    <t>BHAGAT BAHADUR  SHRESTHA</t>
  </si>
  <si>
    <t>HARSHA BAHADUR SHRESTHA</t>
  </si>
  <si>
    <t xml:space="preserve">10241952017            </t>
  </si>
  <si>
    <t>9841831516</t>
  </si>
  <si>
    <t>Laxmi Sunrise Bank Limited.-Head Office</t>
  </si>
  <si>
    <t>0150375830205001</t>
  </si>
  <si>
    <t>1301090002536446</t>
  </si>
  <si>
    <t>PHIRU RAM CHAUDHARY</t>
  </si>
  <si>
    <t>BHAGWATI PRASAD CHAUDHARY</t>
  </si>
  <si>
    <t>HARI PRASAD CHAUDHARY/PRAMISHA MAHATO</t>
  </si>
  <si>
    <t xml:space="preserve">10502531/20442000      </t>
  </si>
  <si>
    <t>KANCHANPUR</t>
  </si>
  <si>
    <t>Kanchanpur</t>
  </si>
  <si>
    <t>9845052517</t>
  </si>
  <si>
    <t>50316390850</t>
  </si>
  <si>
    <t>1301240000004684</t>
  </si>
  <si>
    <t>MADAN KRISHNA JOSHI</t>
  </si>
  <si>
    <t>BHAIRAB LAL JOSHI</t>
  </si>
  <si>
    <t>JYOTI LAL JOSHI/ VANI JOSHI</t>
  </si>
  <si>
    <t xml:space="preserve">100510/20491988        </t>
  </si>
  <si>
    <t>AGNISHALA</t>
  </si>
  <si>
    <t>5534288</t>
  </si>
  <si>
    <t>Sanima Bank Ltd.-Kumaripati Branch</t>
  </si>
  <si>
    <t>005000012100U</t>
  </si>
  <si>
    <t>1301110000288436</t>
  </si>
  <si>
    <t>SARITA PAUDYAL LAMICHHANE</t>
  </si>
  <si>
    <t>BHAIRAB PRASAD LAMICHHANE</t>
  </si>
  <si>
    <t>BHESH NATH LAMICHHANE</t>
  </si>
  <si>
    <t xml:space="preserve">1005986331999          </t>
  </si>
  <si>
    <t>9847695765</t>
  </si>
  <si>
    <t>1101</t>
  </si>
  <si>
    <t>Bank of Kathmandu Ltd.-Jawalakhel Branch</t>
  </si>
  <si>
    <t>091100000112524</t>
  </si>
  <si>
    <t>1301260001056861</t>
  </si>
  <si>
    <t>TILAK BAHADUR TAMANG</t>
  </si>
  <si>
    <t>BHAKTA BAHADUR TAMANG/RAM MAYA TAMANG</t>
  </si>
  <si>
    <t>CHHETUP TAMANG</t>
  </si>
  <si>
    <t>10273080221104192241996</t>
  </si>
  <si>
    <t>Ramechhap</t>
  </si>
  <si>
    <t>9801900066</t>
  </si>
  <si>
    <t>2601</t>
  </si>
  <si>
    <t>Prabhu Bank Ltd.-Main Branch Babarmahal</t>
  </si>
  <si>
    <t>1110021892000018</t>
  </si>
  <si>
    <t>1301240000253092</t>
  </si>
  <si>
    <t>BALARAM GAUTAM</t>
  </si>
  <si>
    <t>BHAKTI PRASAD UPADHYAYA</t>
  </si>
  <si>
    <t>JIBALAL GAUTAM</t>
  </si>
  <si>
    <t xml:space="preserve">104681986              </t>
  </si>
  <si>
    <t>9851022391</t>
  </si>
  <si>
    <t>1710017501857</t>
  </si>
  <si>
    <t>1301610000025931</t>
  </si>
  <si>
    <t>KOSHAHARI NIRAULA</t>
  </si>
  <si>
    <t>BHAKTIBELASH NIRAULA</t>
  </si>
  <si>
    <t>CHAKRA PRASAD NIRAULA</t>
  </si>
  <si>
    <t xml:space="preserve">106625931989           </t>
  </si>
  <si>
    <t xml:space="preserve">SURYABINAYAK             </t>
  </si>
  <si>
    <t xml:space="preserve">Bhaktapur                </t>
  </si>
  <si>
    <t>9851140284</t>
  </si>
  <si>
    <t>1501</t>
  </si>
  <si>
    <t>Machhapuchhre Bank Ltd.-HILE</t>
  </si>
  <si>
    <t>0380024179800012</t>
  </si>
  <si>
    <t>1301010000188202</t>
  </si>
  <si>
    <t>PURNA BAJRA BAJRACHARYA</t>
  </si>
  <si>
    <t>BHARAT BAJRA BAJRACHARYA</t>
  </si>
  <si>
    <t>RATNA BAJRA BAJRACHARYA</t>
  </si>
  <si>
    <t xml:space="preserve">100346531972           </t>
  </si>
  <si>
    <t>4034887</t>
  </si>
  <si>
    <t>Himalayan Bank Ltd.-Balaju Branch</t>
  </si>
  <si>
    <t>24052493060016</t>
  </si>
  <si>
    <t>1301090000064421</t>
  </si>
  <si>
    <t>SHYAM KARMACHARYA</t>
  </si>
  <si>
    <t>BHARATNATH KARMACHARYA</t>
  </si>
  <si>
    <t>INDIRA KARMACHARYA</t>
  </si>
  <si>
    <t xml:space="preserve">106829842004           </t>
  </si>
  <si>
    <t>5534272</t>
  </si>
  <si>
    <t>005000001440L</t>
  </si>
  <si>
    <t>1301090000061978</t>
  </si>
  <si>
    <t>ANITA MASKEY</t>
  </si>
  <si>
    <t>BHAWANI RAJ MASKEY</t>
  </si>
  <si>
    <t>GOBINDRA RAJ MASKEY</t>
  </si>
  <si>
    <t xml:space="preserve">1003925071987          </t>
  </si>
  <si>
    <t>4781780</t>
  </si>
  <si>
    <t>Global IME Bank Ltd.-NEW BANESHWOR II BRANCH</t>
  </si>
  <si>
    <t>32107010014878</t>
  </si>
  <si>
    <t>1301470000005650</t>
  </si>
  <si>
    <t>ASHOK CHAPAGAIN</t>
  </si>
  <si>
    <t>BHESRAJ CHAPAGAIN</t>
  </si>
  <si>
    <t>HARINDRA CHAPAGAIN</t>
  </si>
  <si>
    <t xml:space="preserve">1051684232003          </t>
  </si>
  <si>
    <t xml:space="preserve">106452866                </t>
  </si>
  <si>
    <t>9844617452</t>
  </si>
  <si>
    <t>Prime Commercial Bank Ltd.-Mitrapark Branch</t>
  </si>
  <si>
    <t>12301000000024401976</t>
  </si>
  <si>
    <t>1301040000405420</t>
  </si>
  <si>
    <t>TIKA BOHARA</t>
  </si>
  <si>
    <t>BHIM BAHADUR BOHARA/SUSHILA BOHARA</t>
  </si>
  <si>
    <t>SINGE BOHARA</t>
  </si>
  <si>
    <t xml:space="preserve">10636039/3321998       </t>
  </si>
  <si>
    <t>Rukum</t>
  </si>
  <si>
    <t>9844914875</t>
  </si>
  <si>
    <t>Nabil Bank Ltd.-Ghorahi Branch</t>
  </si>
  <si>
    <t>2610017505789</t>
  </si>
  <si>
    <t>1301070000855190</t>
  </si>
  <si>
    <t>ARJUN KOIRALA</t>
  </si>
  <si>
    <t>BHIM PRASAD KOIRALA</t>
  </si>
  <si>
    <t>INDRA PRASAD KOIRALA</t>
  </si>
  <si>
    <t xml:space="preserve">10191023612000         </t>
  </si>
  <si>
    <t>POKHARA</t>
  </si>
  <si>
    <t>Kaski</t>
  </si>
  <si>
    <t>9805210207</t>
  </si>
  <si>
    <t>1701</t>
  </si>
  <si>
    <t>Laxmi Bank Ltd.-Birgunj Branch</t>
  </si>
  <si>
    <t>03620077429</t>
  </si>
  <si>
    <t>1301570000130839</t>
  </si>
  <si>
    <t>SUMAN SAPKOTA</t>
  </si>
  <si>
    <t>BHIM PRASAD SAPKOTA</t>
  </si>
  <si>
    <t>YAGYA PRASAD SAPKOTA</t>
  </si>
  <si>
    <t>100430-01-068-273952012</t>
  </si>
  <si>
    <t>PANAUTI</t>
  </si>
  <si>
    <t>KAVREPALANCHOWK</t>
  </si>
  <si>
    <t>9849315723</t>
  </si>
  <si>
    <t>Nepal Bank Ltd.-Panauti Branch</t>
  </si>
  <si>
    <t>09001706712138000001</t>
  </si>
  <si>
    <t>1301090000206219</t>
  </si>
  <si>
    <t>SUSHILA SAPKOTA BAJGAI</t>
  </si>
  <si>
    <t>BHIMSEN PRASAD SAPKOTA</t>
  </si>
  <si>
    <t>CHUDAMANI SAPKOTA</t>
  </si>
  <si>
    <t xml:space="preserve">100430586611995        </t>
  </si>
  <si>
    <t>9849259872</t>
  </si>
  <si>
    <t>Siddhartha Bank Ltd.-Tripureshwor Branch</t>
  </si>
  <si>
    <t>00615067197</t>
  </si>
  <si>
    <t>1301350000005717</t>
  </si>
  <si>
    <t>HEERA KAJI DANGOL</t>
  </si>
  <si>
    <t>BHINDO DONGOL</t>
  </si>
  <si>
    <t>TAMA DANGOL</t>
  </si>
  <si>
    <t xml:space="preserve">1003163901986          </t>
  </si>
  <si>
    <t xml:space="preserve">100033638                </t>
  </si>
  <si>
    <t>9841547020</t>
  </si>
  <si>
    <t>1430100110295011</t>
  </si>
  <si>
    <t>1301690000473963</t>
  </si>
  <si>
    <t>JITENDRA BAHADUR NIROULA</t>
  </si>
  <si>
    <t>BHOJ BIKRAM NIROULA/MINA KUMARI NIROULA</t>
  </si>
  <si>
    <t>LAL BAHADUR NIROULA/PRAMILA KHATRI NIROULA</t>
  </si>
  <si>
    <t xml:space="preserve">1065121071/902008      </t>
  </si>
  <si>
    <t>KHOTANG</t>
  </si>
  <si>
    <t>Khotang</t>
  </si>
  <si>
    <t>9861324509</t>
  </si>
  <si>
    <t>07900054AD</t>
  </si>
  <si>
    <t>1301260001177644</t>
  </si>
  <si>
    <t>SWEEKRITI KAFLE</t>
  </si>
  <si>
    <t>BHOJ RAJ KAFLE/YAM KALA KAFLE</t>
  </si>
  <si>
    <t>LOK PRASAD KAFLE</t>
  </si>
  <si>
    <t xml:space="preserve">104436-02-74-100352018 </t>
  </si>
  <si>
    <t>Nawalparasi</t>
  </si>
  <si>
    <t>9867443442</t>
  </si>
  <si>
    <t>0140116371900015</t>
  </si>
  <si>
    <t>1301090000663246</t>
  </si>
  <si>
    <t>TEJ PRASAD NEPAL</t>
  </si>
  <si>
    <t>BHOLA NATH NEPAL</t>
  </si>
  <si>
    <t>RANGA LAL NEPAL</t>
  </si>
  <si>
    <t xml:space="preserve">1052119302001          </t>
  </si>
  <si>
    <t>GAURADAHA</t>
  </si>
  <si>
    <t>9841869094</t>
  </si>
  <si>
    <t>Nepal Bank Ltd.- Main Branch</t>
  </si>
  <si>
    <t>05901000695344000003</t>
  </si>
  <si>
    <t>1301170001055900</t>
  </si>
  <si>
    <t>MIN BAHADUR ALE MAGAR</t>
  </si>
  <si>
    <t>BHUBAN BAHADUR MAGAR/ SARKINI MAGAR</t>
  </si>
  <si>
    <t>DHANPUR ALE MAGAR</t>
  </si>
  <si>
    <t xml:space="preserve">102721-01-70-382662013 </t>
  </si>
  <si>
    <t>RAMECHHAP</t>
  </si>
  <si>
    <t>9860181407</t>
  </si>
  <si>
    <t>0130100000294032</t>
  </si>
  <si>
    <t>1301230000055620</t>
  </si>
  <si>
    <t>KRISHNA BAHADUR THAPA</t>
  </si>
  <si>
    <t>Bhuban Bahadur Thapa</t>
  </si>
  <si>
    <t>Sujata Adhikari Thapa / Hira Bahadur Thapa</t>
  </si>
  <si>
    <t xml:space="preserve">1029889/25351994       </t>
  </si>
  <si>
    <t>Sindhuli</t>
  </si>
  <si>
    <t>9851156384</t>
  </si>
  <si>
    <t>Nepal Investment Mega Bank Ltd.-Gongabu Branch</t>
  </si>
  <si>
    <t>02105080020174</t>
  </si>
  <si>
    <t>1301090000243920</t>
  </si>
  <si>
    <t>KHEM RAJ OJHA</t>
  </si>
  <si>
    <t>BHUBAN PRASAD OJHA</t>
  </si>
  <si>
    <t>MAKAR DHWAJ  OJHA</t>
  </si>
  <si>
    <t xml:space="preserve">10666134/1001987       </t>
  </si>
  <si>
    <t>SAGARMATHA</t>
  </si>
  <si>
    <t>Okhaldhunga</t>
  </si>
  <si>
    <t>9842858059</t>
  </si>
  <si>
    <t>Rastriya Banijya Bank Ltd.-Okhaldhunga Branch</t>
  </si>
  <si>
    <t>207000019712</t>
  </si>
  <si>
    <t>1301100000126290</t>
  </si>
  <si>
    <t>DIPAK GHIMIRE</t>
  </si>
  <si>
    <t>BHUMINANDA GHIMIRE</t>
  </si>
  <si>
    <t>NAINAND GHIMIRE</t>
  </si>
  <si>
    <t xml:space="preserve">100458729/3141995      </t>
  </si>
  <si>
    <t>KAVRE</t>
  </si>
  <si>
    <t>9842354723</t>
  </si>
  <si>
    <t>2501</t>
  </si>
  <si>
    <t>NMB Bank Ltd.-Biratnagar Branch</t>
  </si>
  <si>
    <t>00820600101060000001</t>
  </si>
  <si>
    <t>1301600000051948</t>
  </si>
  <si>
    <t>SANJEEV KUMAR RIMAL</t>
  </si>
  <si>
    <t>BHUPENDRA NATH RIMAL</t>
  </si>
  <si>
    <t>JAGAN NATH RIMAL</t>
  </si>
  <si>
    <t xml:space="preserve">10031001/3365/16962010 </t>
  </si>
  <si>
    <t>KALIKASTHAN-32</t>
  </si>
  <si>
    <t>9849090267</t>
  </si>
  <si>
    <t>3101</t>
  </si>
  <si>
    <t>Century Commercial Bank Ltd.- Putalisadak (HO) Branch</t>
  </si>
  <si>
    <t>001-803SP</t>
  </si>
  <si>
    <t>1301220000097168</t>
  </si>
  <si>
    <t>KRISHNA PRASAD TIMILSINA</t>
  </si>
  <si>
    <t>BHUWANDUTTA TIMILSINA</t>
  </si>
  <si>
    <t>BHAWANI TIMILSINA</t>
  </si>
  <si>
    <t xml:space="preserve">100360421977           </t>
  </si>
  <si>
    <t>9851096875</t>
  </si>
  <si>
    <t>Laxmi Sunrise Bank Limited.-Shankhamul Branch</t>
  </si>
  <si>
    <t>03110091237017</t>
  </si>
  <si>
    <t>1301530000028220</t>
  </si>
  <si>
    <t>Ratan Singh Dangol</t>
  </si>
  <si>
    <t>Bibek Bahadur Dangol</t>
  </si>
  <si>
    <t>Bekha Bahadur Dangol</t>
  </si>
  <si>
    <t>100528-09-065-028972008</t>
  </si>
  <si>
    <t>01</t>
  </si>
  <si>
    <t>9841742298</t>
  </si>
  <si>
    <t>Nepal SBI Bank Ltd.-Bargachhi Branch</t>
  </si>
  <si>
    <t>23215241400444</t>
  </si>
  <si>
    <t>1301510000332303</t>
  </si>
  <si>
    <t>DINESH THAPA</t>
  </si>
  <si>
    <t>BIDUR BAHADUR THAPA</t>
  </si>
  <si>
    <t>DAMBER BAHADUR THAPA</t>
  </si>
  <si>
    <t xml:space="preserve">1070141016/1258102013  </t>
  </si>
  <si>
    <t>Udayapur</t>
  </si>
  <si>
    <t>901</t>
  </si>
  <si>
    <t>Nepal Bangladesh Bank Ltd.-Fedap Branch</t>
  </si>
  <si>
    <t>002144722W</t>
  </si>
  <si>
    <t>1301650000632039</t>
  </si>
  <si>
    <t>NAMBIN INGAM</t>
  </si>
  <si>
    <t>BIJAY INGAM</t>
  </si>
  <si>
    <t>GAYNAENDRA/</t>
  </si>
  <si>
    <t xml:space="preserve">105220770719032782020  </t>
  </si>
  <si>
    <t>9849163218</t>
  </si>
  <si>
    <t>2600100000064005</t>
  </si>
  <si>
    <t>1301080000764864</t>
  </si>
  <si>
    <t>Sunil Kumar Sah</t>
  </si>
  <si>
    <t>bijay kumar sah</t>
  </si>
  <si>
    <t>HARI NANDAN SAH</t>
  </si>
  <si>
    <t xml:space="preserve">1024988922402006       </t>
  </si>
  <si>
    <t>KSHIRESHWORNATH</t>
  </si>
  <si>
    <t>9807843581</t>
  </si>
  <si>
    <t>Rastriya Banijya Bank Ltd.-Dhanusha Mahendranagar Branch</t>
  </si>
  <si>
    <t>1240100000272010</t>
  </si>
  <si>
    <t>1301070001066876</t>
  </si>
  <si>
    <t>MANDIRA BAIDYA</t>
  </si>
  <si>
    <t>BIJAY PRAKASH BAIDYA</t>
  </si>
  <si>
    <t>SURAJ KUMAR LAMA PAKHRIN</t>
  </si>
  <si>
    <t xml:space="preserve">1036032000             </t>
  </si>
  <si>
    <t>DHANKUTA</t>
  </si>
  <si>
    <t>Dhankuta</t>
  </si>
  <si>
    <t>9816332949</t>
  </si>
  <si>
    <t>02340001504</t>
  </si>
  <si>
    <t>1301370002737151</t>
  </si>
  <si>
    <t>YASASHWI MAHAT</t>
  </si>
  <si>
    <t>BIJAYA RAJ MAHAT</t>
  </si>
  <si>
    <t>SURYA BAHADUR MAHAT</t>
  </si>
  <si>
    <t xml:space="preserve">10581000542016         </t>
  </si>
  <si>
    <t>THORI</t>
  </si>
  <si>
    <t>Parsa</t>
  </si>
  <si>
    <t>9802107260</t>
  </si>
  <si>
    <t>2845759978362001</t>
  </si>
  <si>
    <t>1301510000002324</t>
  </si>
  <si>
    <t>ASHISH AGARWAL</t>
  </si>
  <si>
    <t>BIJMOHAN AGRAWAL</t>
  </si>
  <si>
    <t>ANSU MINDA AGRAWAL/SEOCHAN AGRAWAL</t>
  </si>
  <si>
    <t xml:space="preserve">1052012827022004       </t>
  </si>
  <si>
    <t>MECHI</t>
  </si>
  <si>
    <t>9841</t>
  </si>
  <si>
    <t>Nabil Bank Limited.-Birtamod - BNC Branch</t>
  </si>
  <si>
    <t>18910017501853</t>
  </si>
  <si>
    <t>1301120002375814</t>
  </si>
  <si>
    <t>PRAKASH NEPALI</t>
  </si>
  <si>
    <t>BIKRAM BAHADUR NEPALI</t>
  </si>
  <si>
    <t>KHUM BAHADUR NEPALI</t>
  </si>
  <si>
    <t xml:space="preserve">104241-01-74-003992017 </t>
  </si>
  <si>
    <t>GULMI</t>
  </si>
  <si>
    <t>Gulmi</t>
  </si>
  <si>
    <t>9868844043</t>
  </si>
  <si>
    <t>D807010003002</t>
  </si>
  <si>
    <t>1301110000022558</t>
  </si>
  <si>
    <t>NIL BAHADUR SHAHI</t>
  </si>
  <si>
    <t>BIL BAHADUR SHAHI</t>
  </si>
  <si>
    <t>KAJE LAL SHAHI</t>
  </si>
  <si>
    <t xml:space="preserve">1005619451993          </t>
  </si>
  <si>
    <t xml:space="preserve">9851032781       </t>
  </si>
  <si>
    <t>Nabil Bank Limited.-Kumaripati 2 Branch</t>
  </si>
  <si>
    <t>18310017503747</t>
  </si>
  <si>
    <t>1301340000003894</t>
  </si>
  <si>
    <t>SABITA THAPA</t>
  </si>
  <si>
    <t>BIMAL KUMAR THAPA</t>
  </si>
  <si>
    <t>DIL BAHADUR KHADKA</t>
  </si>
  <si>
    <t xml:space="preserve">1005952541998          </t>
  </si>
  <si>
    <t>BHAKTPAUR</t>
  </si>
  <si>
    <t>9741117181</t>
  </si>
  <si>
    <t>00100501011341</t>
  </si>
  <si>
    <t>1301220000143321</t>
  </si>
  <si>
    <t>JAY NARAYAN CHAUDHARY</t>
  </si>
  <si>
    <t>BINADA LAL SHAH KALWAR</t>
  </si>
  <si>
    <t>RAGNI KUMARY CHAUDHARY</t>
  </si>
  <si>
    <t xml:space="preserve">1059324901997          </t>
  </si>
  <si>
    <t>RAUTAHAT</t>
  </si>
  <si>
    <t>Rautahat</t>
  </si>
  <si>
    <t>9851120613</t>
  </si>
  <si>
    <t>Global IME Bank Ltd.-Kupondole Branch</t>
  </si>
  <si>
    <t>K207010002499</t>
  </si>
  <si>
    <t>1301600000361581</t>
  </si>
  <si>
    <t>BIBHUTI SHARMA</t>
  </si>
  <si>
    <t>BINAY KUMAR SHARMA/SHANTA GHIMIRE DHAKAL</t>
  </si>
  <si>
    <t>BHOLA PRASAD UPHADHAYA</t>
  </si>
  <si>
    <t xml:space="preserve">1001291019/312007      </t>
  </si>
  <si>
    <t>MAHOTTARI-04</t>
  </si>
  <si>
    <t>Mahottari</t>
  </si>
  <si>
    <t>9851178847</t>
  </si>
  <si>
    <t>Rastriya Banijya Bank Ltd.-Suryabinayak Branch</t>
  </si>
  <si>
    <t>1370100025203010</t>
  </si>
  <si>
    <t>1301120000143751</t>
  </si>
  <si>
    <t>Badri Govinda Shrestha</t>
  </si>
  <si>
    <t>Bindu Govinda Shrestha</t>
  </si>
  <si>
    <t>Ratna Govinda Shrestha/Padma Pradhan</t>
  </si>
  <si>
    <t xml:space="preserve">10051966/034/351978    </t>
  </si>
  <si>
    <t>Salha Tole</t>
  </si>
  <si>
    <t>9841897272</t>
  </si>
  <si>
    <t>Kumari Bank Ltd.-Kalimati Branch</t>
  </si>
  <si>
    <t>01301700053992000001</t>
  </si>
  <si>
    <t>1301770000100959</t>
  </si>
  <si>
    <t>ANKIT AGRAWAL PODDAR</t>
  </si>
  <si>
    <t>BINOD AGRAWAL PODDAR</t>
  </si>
  <si>
    <t>NANDA LAL AGRAWAL</t>
  </si>
  <si>
    <t xml:space="preserve">1009661019/7542008     </t>
  </si>
  <si>
    <t>BHERI</t>
  </si>
  <si>
    <t>9815517551</t>
  </si>
  <si>
    <t>Himalayan Bank Ltd.-Nepalgunj Branch</t>
  </si>
  <si>
    <t>02005408380018</t>
  </si>
  <si>
    <t>1301650000505470</t>
  </si>
  <si>
    <t>SAROJ KUMAR SAH</t>
  </si>
  <si>
    <t>BINOD KUMAR SAH SUDI</t>
  </si>
  <si>
    <t>BHOLA SAH/</t>
  </si>
  <si>
    <t xml:space="preserve">1024170172103972015    </t>
  </si>
  <si>
    <t>9824316380</t>
  </si>
  <si>
    <t>1220100054494010</t>
  </si>
  <si>
    <t>1301650000932770</t>
  </si>
  <si>
    <t>SARITA KUMARI SAH</t>
  </si>
  <si>
    <t xml:space="preserve">1024170276007132019    </t>
  </si>
  <si>
    <t>1220100000378118</t>
  </si>
  <si>
    <t>1301060000034980</t>
  </si>
  <si>
    <t>ABHI RAJBHANDARI</t>
  </si>
  <si>
    <t>BINOD MAN RAJBHANDARI</t>
  </si>
  <si>
    <t>BUDDHIMAN RAJBHANDARI</t>
  </si>
  <si>
    <t xml:space="preserve">1003562012             </t>
  </si>
  <si>
    <t>012102300</t>
  </si>
  <si>
    <t>02905150255318</t>
  </si>
  <si>
    <t>1301040000544902</t>
  </si>
  <si>
    <t>ARIA BAJRACHARYA</t>
  </si>
  <si>
    <t>BIPIN BAJRACHARHA</t>
  </si>
  <si>
    <t>LAXMI JYOTI BAJRACHARYA</t>
  </si>
  <si>
    <t xml:space="preserve">100520751229038832020  </t>
  </si>
  <si>
    <t>MAHALAXMI</t>
  </si>
  <si>
    <t>Nabil Bank Ltd.-Chabahil Branch</t>
  </si>
  <si>
    <t>03910017510152</t>
  </si>
  <si>
    <t>1301100000741779</t>
  </si>
  <si>
    <t>PRABHAT BIKRAM CHHETRI</t>
  </si>
  <si>
    <t>BIR BAHADUR BHAT CHHETRI</t>
  </si>
  <si>
    <t>JHABILAL BHAT CHHETRI</t>
  </si>
  <si>
    <t xml:space="preserve">10419740/23211997      </t>
  </si>
  <si>
    <t>9841435078</t>
  </si>
  <si>
    <t>NMB Bank Ltd.-Jeetpur Branch</t>
  </si>
  <si>
    <t>0350021806400011</t>
  </si>
  <si>
    <t>1301260000530099</t>
  </si>
  <si>
    <t>AKSHYA CHAUDHARY</t>
  </si>
  <si>
    <t>BIRENDRA PRASAD CHAUDHARY/BISHNU DEVI CHAUDHARY</t>
  </si>
  <si>
    <t>RAM BHAJAN CHAUDHARY</t>
  </si>
  <si>
    <t xml:space="preserve">10551038/94442011      </t>
  </si>
  <si>
    <t>9845425421</t>
  </si>
  <si>
    <t>0940086423600016</t>
  </si>
  <si>
    <t>1301090000636387</t>
  </si>
  <si>
    <t>KIRAN KC</t>
  </si>
  <si>
    <t>BIRGANJ KC</t>
  </si>
  <si>
    <t>LAXMI PRASAD KC</t>
  </si>
  <si>
    <t xml:space="preserve">1052186056732001       </t>
  </si>
  <si>
    <t>9841981522</t>
  </si>
  <si>
    <t>Siddhartha Bank Ltd.-Chandragadhi</t>
  </si>
  <si>
    <t>02215104119</t>
  </si>
  <si>
    <t>1301120000701431</t>
  </si>
  <si>
    <t>Sharada Devi Shrestha</t>
  </si>
  <si>
    <t>Bishnu Bahadur Shrestha</t>
  </si>
  <si>
    <t>Bishlal Shrestha/Mahesh Shrestha</t>
  </si>
  <si>
    <t xml:space="preserve">100314639/427951983    </t>
  </si>
  <si>
    <t>Nagarjun</t>
  </si>
  <si>
    <t>014286786</t>
  </si>
  <si>
    <t>Nabil Bank Ltd.-Halchowk Branch</t>
  </si>
  <si>
    <t>3210017500608</t>
  </si>
  <si>
    <t>1301040001117855</t>
  </si>
  <si>
    <t>AARYAN JOSHI</t>
  </si>
  <si>
    <t>BISHNU DATT JOSHI /RAMAN JHALANI JOSHI</t>
  </si>
  <si>
    <t>GOPAL DATT JOSHI /</t>
  </si>
  <si>
    <t xml:space="preserve">1050482013             </t>
  </si>
  <si>
    <t>9808591978</t>
  </si>
  <si>
    <t>Nabil Bank Ltd.-Personal Lending Branch</t>
  </si>
  <si>
    <t>08210017502561</t>
  </si>
  <si>
    <t>1301040000903238</t>
  </si>
  <si>
    <t>CHANDRA SHEKHAR SINGH</t>
  </si>
  <si>
    <t>BISHNU DAYAL KOIRI/LILA WATI KOIRI</t>
  </si>
  <si>
    <t>RAMJI MAHATO/</t>
  </si>
  <si>
    <t xml:space="preserve">106815-01-69/018422012 </t>
  </si>
  <si>
    <t>SIRAHA</t>
  </si>
  <si>
    <t>9816709135</t>
  </si>
  <si>
    <t>5510017501885</t>
  </si>
  <si>
    <t>1301100000206338</t>
  </si>
  <si>
    <t>SAMIR NIDHI TIWARI</t>
  </si>
  <si>
    <t>BISHNU NIDHI TIWARI</t>
  </si>
  <si>
    <t>TEJ NIDHI TIWARI</t>
  </si>
  <si>
    <t xml:space="preserve">1003271060/346032009   </t>
  </si>
  <si>
    <t>9841289286</t>
  </si>
  <si>
    <t>Rastriya Banijya Bank Ltd.-Main Branch Office</t>
  </si>
  <si>
    <t>1090100032634011</t>
  </si>
  <si>
    <t>1301010000035784</t>
  </si>
  <si>
    <t>SHANTA KUMARI GHIMIRE</t>
  </si>
  <si>
    <t>BISHNU PRASAD GHIMIRE</t>
  </si>
  <si>
    <t>BIMAL RAJ SUBEDI/ UMANATH GHIMIRE</t>
  </si>
  <si>
    <t xml:space="preserve">1003271060/1152512013  </t>
  </si>
  <si>
    <t>SADHUTAR</t>
  </si>
  <si>
    <t>4483223</t>
  </si>
  <si>
    <t>2801</t>
  </si>
  <si>
    <t>Mega Bank Nepal Ltd.- New Baneshwor Branch</t>
  </si>
  <si>
    <t>0050050076656</t>
  </si>
  <si>
    <t>1301770000242496</t>
  </si>
  <si>
    <t>MAIYA KUMARI GYAWALI</t>
  </si>
  <si>
    <t>BISHNU PRASAD GYAWALI</t>
  </si>
  <si>
    <t>RENU KANTA GYAWALI</t>
  </si>
  <si>
    <t xml:space="preserve">1024396924671993       </t>
  </si>
  <si>
    <t>JANAKPUR</t>
  </si>
  <si>
    <t>DHANUSA</t>
  </si>
  <si>
    <t>9841991924</t>
  </si>
  <si>
    <t>Himalayan Bank Ltd.-New Road Branch</t>
  </si>
  <si>
    <t>00301046510011</t>
  </si>
  <si>
    <t>1301730000878251</t>
  </si>
  <si>
    <t>BIBHAN LAMICHHANE</t>
  </si>
  <si>
    <t>BISHNU PRASAD LAMICHHANE</t>
  </si>
  <si>
    <t>TANKA PRASAD LAMICHHANE</t>
  </si>
  <si>
    <t xml:space="preserve">10021006292021         </t>
  </si>
  <si>
    <t>9843244341</t>
  </si>
  <si>
    <t>Nepal Investment Mega Bank Ltd.-Thamel-II Branch</t>
  </si>
  <si>
    <t>13205350002851</t>
  </si>
  <si>
    <t>1301100000190751</t>
  </si>
  <si>
    <t>SANJIV LUINTEL</t>
  </si>
  <si>
    <t>BISHNU PRASAD LUINTEL</t>
  </si>
  <si>
    <t>BADRI NATH  LUINTEL</t>
  </si>
  <si>
    <t xml:space="preserve">100115041992           </t>
  </si>
  <si>
    <t>BHAKTAPUR</t>
  </si>
  <si>
    <t>6611690</t>
  </si>
  <si>
    <t>Nabil Bank Ltd.-Suryabinayak Branch</t>
  </si>
  <si>
    <t>8110017500440</t>
  </si>
  <si>
    <t>1301070000137369</t>
  </si>
  <si>
    <t>Mahananda Chaulagain</t>
  </si>
  <si>
    <t>Bishnukanta Chaulagain</t>
  </si>
  <si>
    <t>Manikant Chaulagain</t>
  </si>
  <si>
    <t xml:space="preserve">103260/669/2111988     </t>
  </si>
  <si>
    <t>Chandannath</t>
  </si>
  <si>
    <t>Jumla</t>
  </si>
  <si>
    <t>Agricultural Development Bank Ltd.-Nepalgunj Branch</t>
  </si>
  <si>
    <t>0720300369304012</t>
  </si>
  <si>
    <t>1301230000001758</t>
  </si>
  <si>
    <t>Tek Narayan Sah</t>
  </si>
  <si>
    <t>Bishwanath Sah</t>
  </si>
  <si>
    <t>Kosilya Devi/Rasi Lal Sah</t>
  </si>
  <si>
    <t xml:space="preserve">1067710210361979       </t>
  </si>
  <si>
    <t xml:space="preserve">100579572                </t>
  </si>
  <si>
    <t>Patho</t>
  </si>
  <si>
    <t>9842044758</t>
  </si>
  <si>
    <t>Global IME Bank Ltd.-Hanumandas Road Branch</t>
  </si>
  <si>
    <t>1507010009263</t>
  </si>
  <si>
    <t>1301650000686957</t>
  </si>
  <si>
    <t>ERA NEUPANE</t>
  </si>
  <si>
    <t>BISWA NEUPANE</t>
  </si>
  <si>
    <t>HARI PRASAD  NEUPANE</t>
  </si>
  <si>
    <t xml:space="preserve">103720770928010482021  </t>
  </si>
  <si>
    <t>9828591541</t>
  </si>
  <si>
    <t>1880100001605010</t>
  </si>
  <si>
    <t>1301110000030172</t>
  </si>
  <si>
    <t>SABITA MULMI MALLA</t>
  </si>
  <si>
    <t>BISWO NARAYAN MALLA</t>
  </si>
  <si>
    <t>DHRUBA NARAYAN MALLA</t>
  </si>
  <si>
    <t xml:space="preserve">1005310/037/0381980    </t>
  </si>
  <si>
    <t>4781059</t>
  </si>
  <si>
    <t>32107010004508</t>
  </si>
  <si>
    <t>1301120000561044</t>
  </si>
  <si>
    <t>Kamal Bahadur Bhandari</t>
  </si>
  <si>
    <t>Bom Bahadur Bhandari</t>
  </si>
  <si>
    <t>Pahalman Bhandari / Sita Bhandari</t>
  </si>
  <si>
    <t xml:space="preserve">1004549851995          </t>
  </si>
  <si>
    <t>Simthali</t>
  </si>
  <si>
    <t>9841320138</t>
  </si>
  <si>
    <t>Rastriya Banijya Bank Ltd.-Teku Branch</t>
  </si>
  <si>
    <t>1700100000845104</t>
  </si>
  <si>
    <t>1301060000100850</t>
  </si>
  <si>
    <t>ANJAN ACHARYA</t>
  </si>
  <si>
    <t>BRIJDHAR ACHARYA</t>
  </si>
  <si>
    <t>SUMITA ACHARYA</t>
  </si>
  <si>
    <t xml:space="preserve">100327-01-73-144821987 </t>
  </si>
  <si>
    <t>4470413</t>
  </si>
  <si>
    <t>Nepal Investment Mega Bank Ltd.-Battisputali Branch</t>
  </si>
  <si>
    <t>01905080147668</t>
  </si>
  <si>
    <t>1301520000602217</t>
  </si>
  <si>
    <t>SITA BASNET</t>
  </si>
  <si>
    <t>BRIKHA BAHADUR BISTA</t>
  </si>
  <si>
    <t>CHANDRA BAHADUR BISTA</t>
  </si>
  <si>
    <t xml:space="preserve">10651385/682003        </t>
  </si>
  <si>
    <t>0960104424000001</t>
  </si>
  <si>
    <t>1301090001251819</t>
  </si>
  <si>
    <t>MUNIYA TAMANG</t>
  </si>
  <si>
    <t>BUDDHA RAJ TAMANG</t>
  </si>
  <si>
    <t>NARMAN TAMANG</t>
  </si>
  <si>
    <t xml:space="preserve">100430-01-70-027272013 </t>
  </si>
  <si>
    <t>TEMAL</t>
  </si>
  <si>
    <t>9823620080</t>
  </si>
  <si>
    <t>00615486020</t>
  </si>
  <si>
    <t>1301530000283565</t>
  </si>
  <si>
    <t>Dilip Ghimire</t>
  </si>
  <si>
    <t>Buddhi Bahadur Ghimire/Keshara Ghimire</t>
  </si>
  <si>
    <t>Devraj Ghimire</t>
  </si>
  <si>
    <t xml:space="preserve">103810-01-70-008952014 </t>
  </si>
  <si>
    <t>Khandbari-03</t>
  </si>
  <si>
    <t>Sankhuwasabha</t>
  </si>
  <si>
    <t>9842427149</t>
  </si>
  <si>
    <t>Nepal SBI Bank Ltd.-Dharmadevi Branch</t>
  </si>
  <si>
    <t>41315242900017</t>
  </si>
  <si>
    <t>1301040001190284</t>
  </si>
  <si>
    <t>BISHNU GURUNG</t>
  </si>
  <si>
    <t>BUDDHI BAHADUR GURUNG/BUDDHI MAYA GURUNG</t>
  </si>
  <si>
    <t>KRISHNA BAHADUR GURUNG/RUKU GURUNG</t>
  </si>
  <si>
    <t xml:space="preserve">10181115532004         </t>
  </si>
  <si>
    <t>9813600837</t>
  </si>
  <si>
    <t>01510017513569</t>
  </si>
  <si>
    <t>1301120000855998</t>
  </si>
  <si>
    <t>HOM BAHADUR SHRESTHA</t>
  </si>
  <si>
    <t>BUDDHI MAN SHRESTHA</t>
  </si>
  <si>
    <t>KAREMAN SHRESTHA</t>
  </si>
  <si>
    <t xml:space="preserve">106628400/911999       </t>
  </si>
  <si>
    <t>NARMEDESWOR</t>
  </si>
  <si>
    <t>9843299704</t>
  </si>
  <si>
    <t>2208010001325</t>
  </si>
  <si>
    <t>1301220000216649</t>
  </si>
  <si>
    <t>SUSHIL RATNA TULADHAR</t>
  </si>
  <si>
    <t>BUDDHI RATNA TULADHAR</t>
  </si>
  <si>
    <t>PRATIVA TULADHAR</t>
  </si>
  <si>
    <t xml:space="preserve">100310001983           </t>
  </si>
  <si>
    <t>MINBHAWAN-34</t>
  </si>
  <si>
    <t>9841233633</t>
  </si>
  <si>
    <t>Standard Chartered Bank Nepal Ltd.-New Baneshwor</t>
  </si>
  <si>
    <t>18005998601</t>
  </si>
  <si>
    <t>1301060000034748</t>
  </si>
  <si>
    <t>DEVI PRASAD RAJBHANDARI/ARCHANA SHRESTHA</t>
  </si>
  <si>
    <t xml:space="preserve">1005739241995          </t>
  </si>
  <si>
    <t>Nepal Investment Mega Bank Ltd.-Dhumbarahi Branch</t>
  </si>
  <si>
    <t>02905260250870</t>
  </si>
  <si>
    <t>1301370000294802</t>
  </si>
  <si>
    <t>Sangeet Kumar Shrestha</t>
  </si>
  <si>
    <t>Chakra Lal Shrestha</t>
  </si>
  <si>
    <t>Nara Singh Shrestha</t>
  </si>
  <si>
    <t xml:space="preserve">1003181281994          </t>
  </si>
  <si>
    <t>Layab</t>
  </si>
  <si>
    <t>9851119317</t>
  </si>
  <si>
    <t>NIC Asia Bank Ltd.-Thankot Branch</t>
  </si>
  <si>
    <t>4714265887524001</t>
  </si>
  <si>
    <t>1301070001126238</t>
  </si>
  <si>
    <t>LOK BAHADUR ALE MAGAR</t>
  </si>
  <si>
    <t>CHANDRA BAHADUR ALE MAGAR</t>
  </si>
  <si>
    <t>TARA DHOJ ALE MAGAR</t>
  </si>
  <si>
    <t xml:space="preserve">1029205412001          </t>
  </si>
  <si>
    <t>SINDHULI</t>
  </si>
  <si>
    <t>9841615525</t>
  </si>
  <si>
    <t>Laxmi Bank Ltd.- Sindhuli Branch</t>
  </si>
  <si>
    <t>07240002047</t>
  </si>
  <si>
    <t>1301480000032956</t>
  </si>
  <si>
    <t>PRAVEEN SHRESTHA</t>
  </si>
  <si>
    <t>CHANDRA BAHADUR SHRESTHA</t>
  </si>
  <si>
    <t>GANESH BAHADUR SHRESTHA</t>
  </si>
  <si>
    <t xml:space="preserve">100347121988           </t>
  </si>
  <si>
    <t xml:space="preserve">111439245                </t>
  </si>
  <si>
    <t>9803017968</t>
  </si>
  <si>
    <t>Nabil Bank Ltd.-Bhimsengola Branch</t>
  </si>
  <si>
    <t>4910017503306</t>
  </si>
  <si>
    <t>1301360000030261</t>
  </si>
  <si>
    <t>MUKESH SHRESTHA</t>
  </si>
  <si>
    <t>RATNA BAHADUR SHRESTHA</t>
  </si>
  <si>
    <t xml:space="preserve">10382165/360971986     </t>
  </si>
  <si>
    <t>SANKHUWASABHA</t>
  </si>
  <si>
    <t>9841120470</t>
  </si>
  <si>
    <t>00201000487468000001</t>
  </si>
  <si>
    <t>1301650000746114</t>
  </si>
  <si>
    <t>SAGAR RAYAMAJHI</t>
  </si>
  <si>
    <t>CHANDRA BAHADUR/ JANAKI RAYAMAJHI</t>
  </si>
  <si>
    <t>JUTENDRA BAHADUR RAYAMAJHI</t>
  </si>
  <si>
    <t xml:space="preserve">104140-00-74-006592017 </t>
  </si>
  <si>
    <t>MALARANI-2</t>
  </si>
  <si>
    <t>ARGHAKHANCHI</t>
  </si>
  <si>
    <t>9866565253</t>
  </si>
  <si>
    <t>Rastriya Banijya Bank Ltd.-Gulmi Branch</t>
  </si>
  <si>
    <t>3010100000340104</t>
  </si>
  <si>
    <t>1301120000094143</t>
  </si>
  <si>
    <t>Premraj Joshi</t>
  </si>
  <si>
    <t>Chandra Dutta Joshi</t>
  </si>
  <si>
    <t xml:space="preserve">10141223/496731979     </t>
  </si>
  <si>
    <t>100126521</t>
  </si>
  <si>
    <t>TOKHA</t>
  </si>
  <si>
    <t>4375015</t>
  </si>
  <si>
    <t>Nabil Bank Ltd.-DRM/Privilege Branch</t>
  </si>
  <si>
    <t>0210017531495</t>
  </si>
  <si>
    <t>1301170000044711</t>
  </si>
  <si>
    <t>HARSHA LAXMI BASUKALA</t>
  </si>
  <si>
    <t>CHANDRA MUNI SHAKYA</t>
  </si>
  <si>
    <t>BEKHA MUNI SHAKYA</t>
  </si>
  <si>
    <t xml:space="preserve">100129-01-064-16782008 </t>
  </si>
  <si>
    <t>Himalayan Bank Ltd.-Bhaktapur Branch</t>
  </si>
  <si>
    <t>00401295340015</t>
  </si>
  <si>
    <t>1301530000069751</t>
  </si>
  <si>
    <t>Mithlesh Kumar Patel</t>
  </si>
  <si>
    <t>Chandra Shekhar Prasad Kurmi</t>
  </si>
  <si>
    <t>Janak Prasad Kurmi</t>
  </si>
  <si>
    <t xml:space="preserve">10581046/1112010       </t>
  </si>
  <si>
    <t>9809144488</t>
  </si>
  <si>
    <t>Nepal SBI Bank Ltd.-Rampur Branch</t>
  </si>
  <si>
    <t>18115242900447</t>
  </si>
  <si>
    <t>1301670000038544</t>
  </si>
  <si>
    <t>RAJ KUSHWAHA</t>
  </si>
  <si>
    <t>CHANDRAKISHOR MAHATO KOIRI/SUMINTRA DEVI</t>
  </si>
  <si>
    <t>POOJA KUSHWAHA/BIRLAL MAHATO</t>
  </si>
  <si>
    <t xml:space="preserve">1058341066/3292011     </t>
  </si>
  <si>
    <t>RAMGHADWA</t>
  </si>
  <si>
    <t>PARSA</t>
  </si>
  <si>
    <t>9860661707</t>
  </si>
  <si>
    <t>Mahalaxmi Bikas Bank Ltd.- Birgunj Branch</t>
  </si>
  <si>
    <t>01901100507515000001</t>
  </si>
  <si>
    <t>1301120002680181</t>
  </si>
  <si>
    <t>KHADGA PRASAD PURI</t>
  </si>
  <si>
    <t>CHANDRALAL PURI</t>
  </si>
  <si>
    <t>LAXUMAN PURI</t>
  </si>
  <si>
    <t xml:space="preserve">1052357452922004       </t>
  </si>
  <si>
    <t>JHAPA</t>
  </si>
  <si>
    <t>9852678421</t>
  </si>
  <si>
    <t>2707010008874</t>
  </si>
  <si>
    <t>1301240000029764</t>
  </si>
  <si>
    <t>YAHUN CHANDRA SIBAKOTI</t>
  </si>
  <si>
    <t>CHANDRAMANI SIBAKOTI</t>
  </si>
  <si>
    <t>NANDALAL SIBAKOTI / MEENA TAMANG SIBAKOTI</t>
  </si>
  <si>
    <t xml:space="preserve">1003252/0321975        </t>
  </si>
  <si>
    <t>301857668</t>
  </si>
  <si>
    <t>BAGHTOLE</t>
  </si>
  <si>
    <t>9841461419</t>
  </si>
  <si>
    <t>Citizens Bank International Ltd.-Kumaripati Branch</t>
  </si>
  <si>
    <t>0080100000175032</t>
  </si>
  <si>
    <t>1301370000106948</t>
  </si>
  <si>
    <t>Manju Devi Shrestha</t>
  </si>
  <si>
    <t>Chatralal Shrestha</t>
  </si>
  <si>
    <t>Manik Ram Shrestha</t>
  </si>
  <si>
    <t xml:space="preserve">100333651978           </t>
  </si>
  <si>
    <t>Yetkha Bahal</t>
  </si>
  <si>
    <t>9841619391</t>
  </si>
  <si>
    <t>NIC Asia Bank Ltd.-Chhetrapati Branch</t>
  </si>
  <si>
    <t>1154386966524001</t>
  </si>
  <si>
    <t>1301070000040535</t>
  </si>
  <si>
    <t>Indira Tuladhar Shakya</t>
  </si>
  <si>
    <t>Chattra Man Shakya</t>
  </si>
  <si>
    <t>Puspa Raj Tuladhar</t>
  </si>
  <si>
    <t xml:space="preserve">105212701985           </t>
  </si>
  <si>
    <t>Chandragadi</t>
  </si>
  <si>
    <t>9841313359</t>
  </si>
  <si>
    <t>Nabil Bank Ltd.-Kadaghari branch</t>
  </si>
  <si>
    <t>08210017500743</t>
  </si>
  <si>
    <t>1301090002200767</t>
  </si>
  <si>
    <t>BIR BAHADUR GURUNG</t>
  </si>
  <si>
    <t>CHET BAHADUR GURUNG</t>
  </si>
  <si>
    <t xml:space="preserve">1046373302006          </t>
  </si>
  <si>
    <t>BUTWAL</t>
  </si>
  <si>
    <t>9819487209</t>
  </si>
  <si>
    <t>01315005114</t>
  </si>
  <si>
    <t>1301730000582865</t>
  </si>
  <si>
    <t>UMA KUMARI SAPKOTA</t>
  </si>
  <si>
    <t>CHETRA BAHADUR THAPA/JHAMKA KUMARI THAPA</t>
  </si>
  <si>
    <t>YABARAJ THAPA</t>
  </si>
  <si>
    <t xml:space="preserve">10034/31921988         </t>
  </si>
  <si>
    <t>9849590565</t>
  </si>
  <si>
    <t>Mega Bank Ltd.-Head Office</t>
  </si>
  <si>
    <t>0700054524611</t>
  </si>
  <si>
    <t>1301010000138032</t>
  </si>
  <si>
    <t>BINDHESWORI SHRESTHA</t>
  </si>
  <si>
    <t>CHETTRA KUMAR SHRESTHA</t>
  </si>
  <si>
    <t>BIKRAM LAL SHRESTHA/ JALIM KUMAR SHRESTHA</t>
  </si>
  <si>
    <t xml:space="preserve">100377341990           </t>
  </si>
  <si>
    <t>BALAJU</t>
  </si>
  <si>
    <t>9841441737</t>
  </si>
  <si>
    <t>NIC Asia Bank Ltd.- Balaju Branch</t>
  </si>
  <si>
    <t>5585968265524001</t>
  </si>
  <si>
    <t>1301440000208354</t>
  </si>
  <si>
    <t>CHET NARAYAN ARYAL</t>
  </si>
  <si>
    <t>CHHABI LAL ARYAL</t>
  </si>
  <si>
    <t>SHREE KRISHNA ARYAL</t>
  </si>
  <si>
    <t xml:space="preserve">1042411059/754252008   </t>
  </si>
  <si>
    <t>ARJE 04</t>
  </si>
  <si>
    <t>9843776315</t>
  </si>
  <si>
    <t>Global IME Bank Ltd.-Gwarko Branch</t>
  </si>
  <si>
    <t>8807010001754</t>
  </si>
  <si>
    <t>1301220000005962</t>
  </si>
  <si>
    <t>KESHAB PRASAD KHANAL</t>
  </si>
  <si>
    <t>CHHABI LAL KHANAL</t>
  </si>
  <si>
    <t>ISWARI NEUPANE KHANAL</t>
  </si>
  <si>
    <t xml:space="preserve">100616791989           </t>
  </si>
  <si>
    <t>9860204669</t>
  </si>
  <si>
    <t>Global IME Bank Ltd.-New Baneshwor Branch</t>
  </si>
  <si>
    <t>17207010004454</t>
  </si>
  <si>
    <t>1301630000326241</t>
  </si>
  <si>
    <t>ANIL BARAI</t>
  </si>
  <si>
    <t>CHHOTE LAL BARAI/USHA BARAI</t>
  </si>
  <si>
    <t>BANSRAJ BARAI</t>
  </si>
  <si>
    <t xml:space="preserve">1046371044/279122010   </t>
  </si>
  <si>
    <t>9867207412</t>
  </si>
  <si>
    <t>1201</t>
  </si>
  <si>
    <t>Nepal Credit &amp; Commerce Bank Ltd.-Siddharthanagar Branch</t>
  </si>
  <si>
    <t>002000130190B</t>
  </si>
  <si>
    <t>1301360000009609</t>
  </si>
  <si>
    <t>SAHANA SHRESTHA</t>
  </si>
  <si>
    <t>CHINI KAJI SHRESTHA</t>
  </si>
  <si>
    <t>CHANDRA BHAKTA SHRESTHA</t>
  </si>
  <si>
    <t xml:space="preserve">10035741/122351981     </t>
  </si>
  <si>
    <t>9840022059</t>
  </si>
  <si>
    <t>Global IME Bank Ltd.-New Road Branch</t>
  </si>
  <si>
    <t>30207010013905</t>
  </si>
  <si>
    <t>1301040000177485</t>
  </si>
  <si>
    <t>ANITA SHAKYA</t>
  </si>
  <si>
    <t>CHINIYA MAN BAJRACHARYA/ LAXMI BAJRACHARYA</t>
  </si>
  <si>
    <t>PURNA MAN BAJRACHARYA/ MANISH RAJ SHAKYA</t>
  </si>
  <si>
    <t xml:space="preserve">1045838022000          </t>
  </si>
  <si>
    <t>IMADOLE</t>
  </si>
  <si>
    <t>01-5200905</t>
  </si>
  <si>
    <t>00603058580011</t>
  </si>
  <si>
    <t>1301180000001706</t>
  </si>
  <si>
    <t>SHANTA TAMANG</t>
  </si>
  <si>
    <t>CHITRA BAHADUR TAMANG</t>
  </si>
  <si>
    <t>MAN BAHADUR TAMANG/YAM BAHADUR TAMANG</t>
  </si>
  <si>
    <t xml:space="preserve">1024111/670861980      </t>
  </si>
  <si>
    <t xml:space="preserve">149020529                </t>
  </si>
  <si>
    <t>KHUSIBU</t>
  </si>
  <si>
    <t>4354572</t>
  </si>
  <si>
    <t>Everest Bank Ltd.-Balaju Branch</t>
  </si>
  <si>
    <t>02000518200373</t>
  </si>
  <si>
    <t>1301440000122053</t>
  </si>
  <si>
    <t>Prekshana Maharjan</t>
  </si>
  <si>
    <t>Chitra Kaji Maharjan</t>
  </si>
  <si>
    <t>Raj Kaji Maharjan</t>
  </si>
  <si>
    <t xml:space="preserve">10031742012            </t>
  </si>
  <si>
    <t>Mahadevsthan 01</t>
  </si>
  <si>
    <t>9886122498</t>
  </si>
  <si>
    <t>Everest Bank Ltd.-Satungal Branch</t>
  </si>
  <si>
    <t>00300501211631</t>
  </si>
  <si>
    <t>1301060000510201</t>
  </si>
  <si>
    <t>KAMALA DHITAL NEUPANE</t>
  </si>
  <si>
    <t>CHOBA NATH DHITAL</t>
  </si>
  <si>
    <t>MAHESHOWR DHITAL</t>
  </si>
  <si>
    <t xml:space="preserve">1018345621992          </t>
  </si>
  <si>
    <t>GORKHA</t>
  </si>
  <si>
    <t>Gorkha</t>
  </si>
  <si>
    <t>9849370333</t>
  </si>
  <si>
    <t>Rastriya Banijya Bank Ltd.-Thamel Branch</t>
  </si>
  <si>
    <t>1100100016057010</t>
  </si>
  <si>
    <t>1301080000617846</t>
  </si>
  <si>
    <t>DEEP KUMARI DUWADI</t>
  </si>
  <si>
    <t>CHOK PRASAD KHANAL/REWATI KUMARI KHANAL</t>
  </si>
  <si>
    <t>JAGRAM KHANAL</t>
  </si>
  <si>
    <t xml:space="preserve">10021/34491988         </t>
  </si>
  <si>
    <t>9841947558</t>
  </si>
  <si>
    <t>07500501201674</t>
  </si>
  <si>
    <t>1301120000055549</t>
  </si>
  <si>
    <t>Shree Kanta Sapkota</t>
  </si>
  <si>
    <t>Chola Prasad Sapkota</t>
  </si>
  <si>
    <t>Devi Prasad Sapkota/  Sarswati Sapkota</t>
  </si>
  <si>
    <t xml:space="preserve">10204981976            </t>
  </si>
  <si>
    <t>Sundar Bazzar</t>
  </si>
  <si>
    <t>Lamjung</t>
  </si>
  <si>
    <t>9851174614</t>
  </si>
  <si>
    <t>3710017504292</t>
  </si>
  <si>
    <t>1301610000885716</t>
  </si>
  <si>
    <t>RACHANA RAYAMAJHI</t>
  </si>
  <si>
    <t>CHUN BAHADUR RAYAMAJHI</t>
  </si>
  <si>
    <t>MAN BAGADUR RAYAMAJHI</t>
  </si>
  <si>
    <t xml:space="preserve">104539-01-73-062082016 </t>
  </si>
  <si>
    <t>PALPA</t>
  </si>
  <si>
    <t>9808172127</t>
  </si>
  <si>
    <t>Machhapuchhre Bank Ltd.-SWOYAMBHU BRANCH</t>
  </si>
  <si>
    <t>0260076488100013</t>
  </si>
  <si>
    <t>1301040001004931</t>
  </si>
  <si>
    <t>SUMAN GHIMIRE</t>
  </si>
  <si>
    <t>CHURAMANI GHIMIRE/SITA GHIMIRE</t>
  </si>
  <si>
    <t>NAR BAHADUR GHIMIRE/SUSMA THAPA</t>
  </si>
  <si>
    <t xml:space="preserve">1046384722006          </t>
  </si>
  <si>
    <t>RUPANDEHI</t>
  </si>
  <si>
    <t>9812920333</t>
  </si>
  <si>
    <t>01010017512435</t>
  </si>
  <si>
    <t>1301430000005008</t>
  </si>
  <si>
    <t>Madan Raj Basnet</t>
  </si>
  <si>
    <t>Dal Bahadur Basnet</t>
  </si>
  <si>
    <t>Min Bahadur Basnet</t>
  </si>
  <si>
    <t xml:space="preserve">10035084/0361979       </t>
  </si>
  <si>
    <t>9841298792</t>
  </si>
  <si>
    <t>01905080051572</t>
  </si>
  <si>
    <t>1301260000938389</t>
  </si>
  <si>
    <t>SAMAN KHADKA</t>
  </si>
  <si>
    <t>DAL BAHADUR KHADKA/REM KUMARI KHADKA</t>
  </si>
  <si>
    <t>NARA BAHADUR KHADKA</t>
  </si>
  <si>
    <t xml:space="preserve">102522-01-75-004302018 </t>
  </si>
  <si>
    <t>9849781851</t>
  </si>
  <si>
    <t>1190103564300011</t>
  </si>
  <si>
    <t>1301120001814384</t>
  </si>
  <si>
    <t>CHHABI GHARTI</t>
  </si>
  <si>
    <t>DAMBAR BAHADUR GHARTI MAGAR/KRISHANI GHARTI MAGAR</t>
  </si>
  <si>
    <t>KHARKE GHARTI MAGAR/BHAN BAHADUR KAUCHA</t>
  </si>
  <si>
    <t xml:space="preserve">106045-2141995         </t>
  </si>
  <si>
    <t>PAWANNAGAR</t>
  </si>
  <si>
    <t>Dang</t>
  </si>
  <si>
    <t>9823857409</t>
  </si>
  <si>
    <t>5707010011224</t>
  </si>
  <si>
    <t>1301370000261046</t>
  </si>
  <si>
    <t>Mina Shrestha</t>
  </si>
  <si>
    <t>Dambar Bahadur Shrestha</t>
  </si>
  <si>
    <t>Rana Bahadur Shrestha</t>
  </si>
  <si>
    <t xml:space="preserve">100430-01-70-048452013 </t>
  </si>
  <si>
    <t>Majhipheda</t>
  </si>
  <si>
    <t>9818052715</t>
  </si>
  <si>
    <t>04201107569372000001</t>
  </si>
  <si>
    <t>1301170000013214</t>
  </si>
  <si>
    <t>KRISHNA PRASAD ADHIKARI</t>
  </si>
  <si>
    <t>DAMODAR ADHIKARI</t>
  </si>
  <si>
    <t>GANESH ADHIKARI</t>
  </si>
  <si>
    <t xml:space="preserve">1003271060/1262962014  </t>
  </si>
  <si>
    <t>107198169</t>
  </si>
  <si>
    <t>01-5149378</t>
  </si>
  <si>
    <t>Lumbini Bikas Bank Ltd.-Narephat Branch</t>
  </si>
  <si>
    <t>06611320130666000003</t>
  </si>
  <si>
    <t>1301450000038376</t>
  </si>
  <si>
    <t>DHRUBA BUDHATHOKI</t>
  </si>
  <si>
    <t>DAMODAR BUDHATHOKI</t>
  </si>
  <si>
    <t>BHUP LAL BUDHATHOKI</t>
  </si>
  <si>
    <t xml:space="preserve">10601303/7472002       </t>
  </si>
  <si>
    <t>DANG</t>
  </si>
  <si>
    <t>9851111611</t>
  </si>
  <si>
    <t>100201155588015</t>
  </si>
  <si>
    <t>1301580000116781</t>
  </si>
  <si>
    <t>RAMMANI NEUPANE</t>
  </si>
  <si>
    <t>DAMODAR NEUPANE</t>
  </si>
  <si>
    <t>KHIL NATH NEUPANE</t>
  </si>
  <si>
    <t xml:space="preserve">10021/337322010        </t>
  </si>
  <si>
    <t>06</t>
  </si>
  <si>
    <t>/</t>
  </si>
  <si>
    <t>Sanima Bank Ltd.-Dhadingbesi Branch</t>
  </si>
  <si>
    <t>004011060011086</t>
  </si>
  <si>
    <t>1301080000131161</t>
  </si>
  <si>
    <t>BIMALA GHIMIRE</t>
  </si>
  <si>
    <t>DAMODAR SHARMA GHIMIRE</t>
  </si>
  <si>
    <t>SHIVA NATH GHIMIRE</t>
  </si>
  <si>
    <t xml:space="preserve">100359161990           </t>
  </si>
  <si>
    <t>4491743</t>
  </si>
  <si>
    <t>00100513200447</t>
  </si>
  <si>
    <t>1301100001491897</t>
  </si>
  <si>
    <t>KHEM KUMAR GHIMIRE</t>
  </si>
  <si>
    <t>DAN BAHADUR GHIMIRE</t>
  </si>
  <si>
    <t>BHAG SINGH GHIMIRE</t>
  </si>
  <si>
    <t xml:space="preserve">1037200241991          </t>
  </si>
  <si>
    <t>9842032098</t>
  </si>
  <si>
    <t>NMB Bank Ltd.-Babarmahal Branch</t>
  </si>
  <si>
    <t>0080005123100019</t>
  </si>
  <si>
    <t>1301370002328105</t>
  </si>
  <si>
    <t>TEK BAHADUR PUN MAGAR</t>
  </si>
  <si>
    <t>DAN BAHADUR PUN</t>
  </si>
  <si>
    <t>RANASINGH PUN</t>
  </si>
  <si>
    <t xml:space="preserve">101011741989           </t>
  </si>
  <si>
    <t>Banke</t>
  </si>
  <si>
    <t>9858020320</t>
  </si>
  <si>
    <t>Nepal Bank Ltd.-Dhamboji Branch</t>
  </si>
  <si>
    <t>0951106831031000001</t>
  </si>
  <si>
    <t>1301090001578158</t>
  </si>
  <si>
    <t>RAMESH PAUDEL</t>
  </si>
  <si>
    <t>DAN PRASAD PAUDEL</t>
  </si>
  <si>
    <t>JAYA PRASAD PAUDEL</t>
  </si>
  <si>
    <t xml:space="preserve">103022-01-73-046772017 </t>
  </si>
  <si>
    <t>DOLAKHA</t>
  </si>
  <si>
    <t>9843680849</t>
  </si>
  <si>
    <t>03315130290</t>
  </si>
  <si>
    <t>1301510000099214</t>
  </si>
  <si>
    <t>ANLAL ROKAYA</t>
  </si>
  <si>
    <t>DANA ROKAYA</t>
  </si>
  <si>
    <t>KRNSHARI  ROKAYA/JABBAR ROKAYA</t>
  </si>
  <si>
    <t xml:space="preserve">107354292000           </t>
  </si>
  <si>
    <t>SETI</t>
  </si>
  <si>
    <t>Bajura</t>
  </si>
  <si>
    <t>9848437197</t>
  </si>
  <si>
    <t>Nepal Bangladesh Bank Ltd.-Sanghurigadhi Branch</t>
  </si>
  <si>
    <t>0522001072W</t>
  </si>
  <si>
    <t>1301370003512658</t>
  </si>
  <si>
    <t>KARMA LODRO PEMA  SHERPA</t>
  </si>
  <si>
    <t>DANE SHERPA</t>
  </si>
  <si>
    <t>KITHUK SHERPA</t>
  </si>
  <si>
    <t xml:space="preserve">100320770329060222021  </t>
  </si>
  <si>
    <t>9808213288</t>
  </si>
  <si>
    <t>0185751164433001</t>
  </si>
  <si>
    <t>1301120000104775</t>
  </si>
  <si>
    <t>Vidya Nemkul Raya</t>
  </si>
  <si>
    <t>Das Bahadur Nemkul</t>
  </si>
  <si>
    <t>Bhakta Bahadur Nemkul/ Sailesh Kumar Raya</t>
  </si>
  <si>
    <t xml:space="preserve">1005884/0381981        </t>
  </si>
  <si>
    <t>100055759</t>
  </si>
  <si>
    <t>Mahabouddha</t>
  </si>
  <si>
    <t>9851105767</t>
  </si>
  <si>
    <t>00124300102135000002</t>
  </si>
  <si>
    <t>1301060000100694</t>
  </si>
  <si>
    <t>SUMITA POUDEL ACHARYA</t>
  </si>
  <si>
    <t>DAYA NIDDHI POUDEL</t>
  </si>
  <si>
    <t xml:space="preserve">100329191997           </t>
  </si>
  <si>
    <t>9841215356</t>
  </si>
  <si>
    <t>1301370001885858</t>
  </si>
  <si>
    <t>Susmita Mandal</t>
  </si>
  <si>
    <t>Dayanand Mandal</t>
  </si>
  <si>
    <t>Baijnath Mandal</t>
  </si>
  <si>
    <t xml:space="preserve">103705-01-74-007352017 </t>
  </si>
  <si>
    <t>Rampur</t>
  </si>
  <si>
    <t>9811001769</t>
  </si>
  <si>
    <t>N087004168452401</t>
  </si>
  <si>
    <t>1301240000704393</t>
  </si>
  <si>
    <t>NASMITA ADHIKARI</t>
  </si>
  <si>
    <t>DEEPAK ADHIKARI</t>
  </si>
  <si>
    <t>OM PRAKASH ADHIKARI</t>
  </si>
  <si>
    <t xml:space="preserve">104338-06-76-003732019 </t>
  </si>
  <si>
    <t>BANGANGA</t>
  </si>
  <si>
    <t>9826400294</t>
  </si>
  <si>
    <t>0520832294301001</t>
  </si>
  <si>
    <t>1301100001843734</t>
  </si>
  <si>
    <t>DIVESH CHITRAKAR</t>
  </si>
  <si>
    <t>DEEPAK CHITRAKAR</t>
  </si>
  <si>
    <t>DIL BAHADUR CHITRAKAR</t>
  </si>
  <si>
    <t xml:space="preserve">1003271060/980152012   </t>
  </si>
  <si>
    <t>9849202714</t>
  </si>
  <si>
    <t>1720120484100013</t>
  </si>
  <si>
    <t>1301220000298349</t>
  </si>
  <si>
    <t>PRABIN KARKI</t>
  </si>
  <si>
    <t>DEVARAJ KARKI</t>
  </si>
  <si>
    <t>OM BAHADUR KARKI</t>
  </si>
  <si>
    <t xml:space="preserve">1003271060/622512010   </t>
  </si>
  <si>
    <t>BHULE-02</t>
  </si>
  <si>
    <t>9849128168</t>
  </si>
  <si>
    <t>Citizens Bank International Ltd.-Thapathali Branch</t>
  </si>
  <si>
    <t>0400100000423041</t>
  </si>
  <si>
    <t>1301080000199273</t>
  </si>
  <si>
    <t>RAM NATH ADHIKARI</t>
  </si>
  <si>
    <t>DEVI PRASAD ADHIKARI</t>
  </si>
  <si>
    <t>DIP NATH ADHIKARI</t>
  </si>
  <si>
    <t xml:space="preserve">102369941991           </t>
  </si>
  <si>
    <t>100043152</t>
  </si>
  <si>
    <t>ABUKHAIRENI</t>
  </si>
  <si>
    <t>Tanahu</t>
  </si>
  <si>
    <t>9855034299</t>
  </si>
  <si>
    <t>01500501000541</t>
  </si>
  <si>
    <t>1301170000218307</t>
  </si>
  <si>
    <t>MEGH RAJ BHANDARI</t>
  </si>
  <si>
    <t>DEVI PRASAD BHANDARI</t>
  </si>
  <si>
    <t>DILA RAM BHANADRI</t>
  </si>
  <si>
    <t xml:space="preserve">101913211991           </t>
  </si>
  <si>
    <t>GANDAKI</t>
  </si>
  <si>
    <t>9856039569</t>
  </si>
  <si>
    <t>Machhapuchhre Bank Ltd.-ITAHARI</t>
  </si>
  <si>
    <t>1536524004146024</t>
  </si>
  <si>
    <t>1301370000095842</t>
  </si>
  <si>
    <t>Dhana Pati Bhusal</t>
  </si>
  <si>
    <t>Devi Prasad Bhusal</t>
  </si>
  <si>
    <t>Anirudra Bhusal</t>
  </si>
  <si>
    <t xml:space="preserve">105673781982           </t>
  </si>
  <si>
    <t>Patihani</t>
  </si>
  <si>
    <t>9851007123</t>
  </si>
  <si>
    <t>NIC Asia Bank Ltd.-Maharajgunj Branch</t>
  </si>
  <si>
    <t>1369396377524001</t>
  </si>
  <si>
    <t>1301090000758239</t>
  </si>
  <si>
    <t>RUPADEVI CHUDAL</t>
  </si>
  <si>
    <t>DEVI PRASAD CHUDAL</t>
  </si>
  <si>
    <t>NARENDRA GHIMIRE</t>
  </si>
  <si>
    <t xml:space="preserve">1052354/3981987        </t>
  </si>
  <si>
    <t>HALDIBARI</t>
  </si>
  <si>
    <t>9841422031</t>
  </si>
  <si>
    <t>Mega Bank Nepal Ltd.- Kantipath Branch</t>
  </si>
  <si>
    <t>0250050023164</t>
  </si>
  <si>
    <t>1301370000635239</t>
  </si>
  <si>
    <t>Januka Dhakal</t>
  </si>
  <si>
    <t>Devi Prasad Dhakal</t>
  </si>
  <si>
    <t>Nav Adhikari</t>
  </si>
  <si>
    <t xml:space="preserve">1052042045/16472013    </t>
  </si>
  <si>
    <t>Gauradha</t>
  </si>
  <si>
    <t>9843506665</t>
  </si>
  <si>
    <t>Nepal Investment Mega Bank Ltd.-Thimi Branch</t>
  </si>
  <si>
    <t>11405330010146</t>
  </si>
  <si>
    <t>1301060000507807</t>
  </si>
  <si>
    <t>RAJENDRA KHAREL</t>
  </si>
  <si>
    <t>DEVI PRASAD KHAREL/ PARBATI KHAREL</t>
  </si>
  <si>
    <t>BAL KRISHNA KHAREL/ BHAWANA PAUDEL KHAREL</t>
  </si>
  <si>
    <t xml:space="preserve">1004620221996          </t>
  </si>
  <si>
    <t>5548886</t>
  </si>
  <si>
    <t>1301070000765172</t>
  </si>
  <si>
    <t>Merina Limbu</t>
  </si>
  <si>
    <t>Devi Prasad Limbu</t>
  </si>
  <si>
    <t>Moham Lal Limbu</t>
  </si>
  <si>
    <t xml:space="preserve">105401-01-76-019282019 </t>
  </si>
  <si>
    <t>Pathivara</t>
  </si>
  <si>
    <t>Taplejung</t>
  </si>
  <si>
    <t>Laxmi Bank Ltd.-Imadol Branch</t>
  </si>
  <si>
    <t>10323002272</t>
  </si>
  <si>
    <t>1301100000085128</t>
  </si>
  <si>
    <t>RADHIKA POKHAREL</t>
  </si>
  <si>
    <t>DEVI PRASAD POKHAREL</t>
  </si>
  <si>
    <t>TILAK PRASAD POKHAREL</t>
  </si>
  <si>
    <t xml:space="preserve">1002261/237912008      </t>
  </si>
  <si>
    <t>DHOLA</t>
  </si>
  <si>
    <t>01-4239006</t>
  </si>
  <si>
    <t>Sanima Bank Ltd.- New Baneshwor Branch</t>
  </si>
  <si>
    <t>0230000167712</t>
  </si>
  <si>
    <t>1301080000042852</t>
  </si>
  <si>
    <t>JAMUNA DEVI KANDEL</t>
  </si>
  <si>
    <t>DEVIPATI KANDEL</t>
  </si>
  <si>
    <t>RAM CHANDRA POUDEL</t>
  </si>
  <si>
    <t xml:space="preserve">105639861993           </t>
  </si>
  <si>
    <t>Narayani</t>
  </si>
  <si>
    <t>9841335978</t>
  </si>
  <si>
    <t>00100518200121</t>
  </si>
  <si>
    <t>1301100000769431</t>
  </si>
  <si>
    <t>KUNTI DEVI BHANDARI</t>
  </si>
  <si>
    <t>DHAN BAHADUR BOHARA/SETI DEVI BOHARA</t>
  </si>
  <si>
    <t>BHIM BAHADUR BOHARA/MAN BAHADUR BHANDARI</t>
  </si>
  <si>
    <t xml:space="preserve">10505741990            </t>
  </si>
  <si>
    <t>BHIMDATT</t>
  </si>
  <si>
    <t>+9779848714851</t>
  </si>
  <si>
    <t>Siddhartha Bank Ltd.-Old baneshwor</t>
  </si>
  <si>
    <t>01116468490</t>
  </si>
  <si>
    <t>1301070000995809</t>
  </si>
  <si>
    <t>INA DEVI MAHARJAN</t>
  </si>
  <si>
    <t>DHAN BAHADUR MAHARJAN</t>
  </si>
  <si>
    <t>KAJI MAHARJAN</t>
  </si>
  <si>
    <t xml:space="preserve">100393481999           </t>
  </si>
  <si>
    <t>9841328068</t>
  </si>
  <si>
    <t>01023087665</t>
  </si>
  <si>
    <t>1301070000054297</t>
  </si>
  <si>
    <t>Arun Manandhar</t>
  </si>
  <si>
    <t>Dhan Bahadur Manandhar</t>
  </si>
  <si>
    <t xml:space="preserve">1005360661988          </t>
  </si>
  <si>
    <t>9851020099</t>
  </si>
  <si>
    <t>Laxmi Sunrise Bank Limited.-Lagankhel-Patan Hospital</t>
  </si>
  <si>
    <t>01040001844</t>
  </si>
  <si>
    <t>1301120000199309</t>
  </si>
  <si>
    <t>DIPESH MANANDHAR</t>
  </si>
  <si>
    <t>DHAN BAHADUR MANANDHAR</t>
  </si>
  <si>
    <t>DHAN LAL MANANDHAR</t>
  </si>
  <si>
    <t xml:space="preserve">1003271051/96162007    </t>
  </si>
  <si>
    <t>Macchegaun</t>
  </si>
  <si>
    <t>4266331</t>
  </si>
  <si>
    <t>9001</t>
  </si>
  <si>
    <t>Goodwill Finance Ltd.-Indrachowk Branch</t>
  </si>
  <si>
    <t>1060600773</t>
  </si>
  <si>
    <t>1301670000042432</t>
  </si>
  <si>
    <t>PABITRA DEVI SAUD</t>
  </si>
  <si>
    <t>DHAN BAHADUR SAUD/NARA DEVI SAUD</t>
  </si>
  <si>
    <t>UTTAM BAHADUR SAUD/DAL BAHADUR SAUD</t>
  </si>
  <si>
    <t xml:space="preserve">1075159901997          </t>
  </si>
  <si>
    <t>KAILALI</t>
  </si>
  <si>
    <t>Kailali</t>
  </si>
  <si>
    <t>9848439543</t>
  </si>
  <si>
    <t>Mahalaxmi Bikas Bank Ltd.- Masuriya Branch</t>
  </si>
  <si>
    <t>01600800080811000001</t>
  </si>
  <si>
    <t>1301510000130971</t>
  </si>
  <si>
    <t>RAJANI THAPA</t>
  </si>
  <si>
    <t>DHAN BAHADUR THAPA</t>
  </si>
  <si>
    <t>GUNA BAHADUR RAI/HASTA BDR THAPA</t>
  </si>
  <si>
    <t xml:space="preserve">1005848691997          </t>
  </si>
  <si>
    <t>9843788743</t>
  </si>
  <si>
    <t>18310017501452</t>
  </si>
  <si>
    <t>1301370000075021</t>
  </si>
  <si>
    <t>Durga Bahadur Gurung</t>
  </si>
  <si>
    <t>Dhan Kaji Gurung</t>
  </si>
  <si>
    <t>Dharma raj Gurung</t>
  </si>
  <si>
    <t xml:space="preserve">1056508511989          </t>
  </si>
  <si>
    <t>Bharatpur</t>
  </si>
  <si>
    <t>9819245430</t>
  </si>
  <si>
    <t>NIC Asia Bank Ltd.- Hetauda Branch</t>
  </si>
  <si>
    <t>6869397381524001</t>
  </si>
  <si>
    <t>1301120002128337</t>
  </si>
  <si>
    <t>JAYMOD THAKUR</t>
  </si>
  <si>
    <t>DHANJAY THAKUR</t>
  </si>
  <si>
    <t>RAMRASHAN THAKUR</t>
  </si>
  <si>
    <t xml:space="preserve">1028063627171994       </t>
  </si>
  <si>
    <t>BALARA</t>
  </si>
  <si>
    <t>0</t>
  </si>
  <si>
    <t>1108010007060</t>
  </si>
  <si>
    <t>1301370002631007</t>
  </si>
  <si>
    <t>MINA KUMARI RAI</t>
  </si>
  <si>
    <t>DHANRAM RAI</t>
  </si>
  <si>
    <t>JITU BHAKTA RAI</t>
  </si>
  <si>
    <t xml:space="preserve">10653499/351994        </t>
  </si>
  <si>
    <t>9807940344</t>
  </si>
  <si>
    <t>5301</t>
  </si>
  <si>
    <t>Ace Development Bank Ltd.- Birgunj Branch</t>
  </si>
  <si>
    <t>4314187417524001</t>
  </si>
  <si>
    <t>1301060000086759</t>
  </si>
  <si>
    <t>ROMA KUMARI PANDEY PATHAK</t>
  </si>
  <si>
    <t>DHARMA CHANDRA PANDEY</t>
  </si>
  <si>
    <t>KRISHNA CHANDRA PANDEY</t>
  </si>
  <si>
    <t xml:space="preserve">1056947151999          </t>
  </si>
  <si>
    <t>9843016222</t>
  </si>
  <si>
    <t>Century Commercial Bank Limited.-Narayangarh Branch</t>
  </si>
  <si>
    <t>0040000004PA</t>
  </si>
  <si>
    <t>1301040000058159</t>
  </si>
  <si>
    <t>SHYAM HARI LAUDARI</t>
  </si>
  <si>
    <t>DHARMANANDA LAUDARI</t>
  </si>
  <si>
    <t>SHANTA WOSTI LAUDARI/KRISHNA DATTA LAUDARI</t>
  </si>
  <si>
    <t xml:space="preserve">1003264/365231983      </t>
  </si>
  <si>
    <t>9851240835</t>
  </si>
  <si>
    <t>0210017236601</t>
  </si>
  <si>
    <t>1301240000255110</t>
  </si>
  <si>
    <t>SITA GAUTAM</t>
  </si>
  <si>
    <t>DHATANANDA UPADHYAYA</t>
  </si>
  <si>
    <t>BALA RAM GAUTAM</t>
  </si>
  <si>
    <t xml:space="preserve">1046657161982          </t>
  </si>
  <si>
    <t>001011140000291</t>
  </si>
  <si>
    <t>1301580000004777</t>
  </si>
  <si>
    <t>SUPRAVA BASNET</t>
  </si>
  <si>
    <t>DHIRENDRA BAHADUR BASNET</t>
  </si>
  <si>
    <t>BHAKTA RAJ BASNET</t>
  </si>
  <si>
    <t xml:space="preserve">1039061010/1479862010  </t>
  </si>
  <si>
    <t>113454808</t>
  </si>
  <si>
    <t>AURABANI-9</t>
  </si>
  <si>
    <t>9804076145</t>
  </si>
  <si>
    <t>001011160000351</t>
  </si>
  <si>
    <t>1301600000419183</t>
  </si>
  <si>
    <t>RUDRA PRASAD DHUNGANA</t>
  </si>
  <si>
    <t>DHIRGA PRASAD DHUNGANA / GAURI DEVI DHUNGANA</t>
  </si>
  <si>
    <t>SAINJU KUMARI ADHIKARI / HARILAL DHUNGANA</t>
  </si>
  <si>
    <t xml:space="preserve">100214/642005          </t>
  </si>
  <si>
    <t>GANGAJAMUNA</t>
  </si>
  <si>
    <t>9847210397</t>
  </si>
  <si>
    <t>Prabhu Bank Ltd.-Diktel Branch</t>
  </si>
  <si>
    <t>2227085364500018</t>
  </si>
  <si>
    <t>1301110000086591</t>
  </si>
  <si>
    <t>RHITU MALLA</t>
  </si>
  <si>
    <t>SURYA NARAYAN MALLA</t>
  </si>
  <si>
    <t xml:space="preserve">100129-01-71-043952015 </t>
  </si>
  <si>
    <t>Bank of Kathmandu Ltd.-New Baneswor Branch</t>
  </si>
  <si>
    <t>051100039186524</t>
  </si>
  <si>
    <t>1301060000872614</t>
  </si>
  <si>
    <t>SAMEER SILWAL</t>
  </si>
  <si>
    <t>DHRUBA SILWAL</t>
  </si>
  <si>
    <t>BALA BAHADUR / NAMA KC  SILWAL</t>
  </si>
  <si>
    <t xml:space="preserve">100378638/278802011    </t>
  </si>
  <si>
    <t>4279741</t>
  </si>
  <si>
    <t>01705020002272</t>
  </si>
  <si>
    <t>1301120000700816</t>
  </si>
  <si>
    <t>PRAKASH RAJ GYAWALI</t>
  </si>
  <si>
    <t>DHUNDI RAJ GYAWALI</t>
  </si>
  <si>
    <t>KHAGESHWOR GYAWALI</t>
  </si>
  <si>
    <t xml:space="preserve">10034340/417441975     </t>
  </si>
  <si>
    <t>KOHALPUR</t>
  </si>
  <si>
    <t>084-690111</t>
  </si>
  <si>
    <t>Agricultural Development Bank Ltd.-Banking Branch Office Nepalgunj</t>
  </si>
  <si>
    <t>0720300372534010</t>
  </si>
  <si>
    <t>1301220000175271</t>
  </si>
  <si>
    <t>DHUNDIRAJ GHIMIRE</t>
  </si>
  <si>
    <t>PADAM NEUPANE</t>
  </si>
  <si>
    <t xml:space="preserve">104197322006           </t>
  </si>
  <si>
    <t>Arghakhanchi</t>
  </si>
  <si>
    <t>9843611664</t>
  </si>
  <si>
    <t>3787631860524001</t>
  </si>
  <si>
    <t>1301100000523960</t>
  </si>
  <si>
    <t>GITA BALAL</t>
  </si>
  <si>
    <t>DIL BAHADUR BALAL</t>
  </si>
  <si>
    <t>KAR BAHADUR BALAL</t>
  </si>
  <si>
    <t xml:space="preserve">1042834012004          </t>
  </si>
  <si>
    <t>SIMICHOWR</t>
  </si>
  <si>
    <t>9847106207</t>
  </si>
  <si>
    <t>NMB Bank Ltd.-Pokhara Branch</t>
  </si>
  <si>
    <t>0060055013900012</t>
  </si>
  <si>
    <t>1301260001287968</t>
  </si>
  <si>
    <t>HOM MAYA PUN</t>
  </si>
  <si>
    <t>DIL BAHADUR GARBUJA /POMPHA GARBUJA</t>
  </si>
  <si>
    <t>GANGARAJ GARBUJA</t>
  </si>
  <si>
    <t xml:space="preserve">101649-01-73-031832016 </t>
  </si>
  <si>
    <t>Myagdi</t>
  </si>
  <si>
    <t>9865289188</t>
  </si>
  <si>
    <t>Prabhu Bank Ltd.-Manamaiju  Branch</t>
  </si>
  <si>
    <t>1350173420100025</t>
  </si>
  <si>
    <t>1301530000057412</t>
  </si>
  <si>
    <t>Umesh Dongol</t>
  </si>
  <si>
    <t>Dil Bhakta Dongol</t>
  </si>
  <si>
    <t>Vidya Devi Dongol/Mangal Lal Dongol</t>
  </si>
  <si>
    <t xml:space="preserve">100322751974           </t>
  </si>
  <si>
    <t>102738302</t>
  </si>
  <si>
    <t xml:space="preserve">9851237706       </t>
  </si>
  <si>
    <t>Nabil Bank Ltd.-Newroad Branch</t>
  </si>
  <si>
    <t>0210017512948</t>
  </si>
  <si>
    <t>1301370001440177</t>
  </si>
  <si>
    <t>Nootan Jha</t>
  </si>
  <si>
    <t>Dilip Kumar Jha</t>
  </si>
  <si>
    <t>Shamshu Nath Jha</t>
  </si>
  <si>
    <t xml:space="preserve">1037114002009          </t>
  </si>
  <si>
    <t>Biratnagar</t>
  </si>
  <si>
    <t>9842043890</t>
  </si>
  <si>
    <t>0287003405852401</t>
  </si>
  <si>
    <t>1301150000056710</t>
  </si>
  <si>
    <t>PUNYABATI KHAKURAL</t>
  </si>
  <si>
    <t>DILLI PRASAD KHAKURAL</t>
  </si>
  <si>
    <t>SHIVA SHANKAR KHAKURAL</t>
  </si>
  <si>
    <t xml:space="preserve">100226737-049/501992   </t>
  </si>
  <si>
    <t>NALANG</t>
  </si>
  <si>
    <t>9860056789</t>
  </si>
  <si>
    <t>Prabhu Bank Ltd.-Shankhamul Branch</t>
  </si>
  <si>
    <t>04501000283602000001</t>
  </si>
  <si>
    <t>1301580000953348</t>
  </si>
  <si>
    <t>AMBIKA REGMI</t>
  </si>
  <si>
    <t>DILLI PRASAD MISHRA/NANDA KUMARI MISHRA</t>
  </si>
  <si>
    <t>RESHAM LAL MISHRA/SHALIGRAM REGMI</t>
  </si>
  <si>
    <t xml:space="preserve">100392812002           </t>
  </si>
  <si>
    <t>9803051441</t>
  </si>
  <si>
    <t>009011170000008</t>
  </si>
  <si>
    <t>1301690000657191</t>
  </si>
  <si>
    <t>SUNIL LAMSAL</t>
  </si>
  <si>
    <t>DILLI RAJ LAMSAL/DIL MAYA LAMSAL</t>
  </si>
  <si>
    <t>GURUDATTA LAMSAL</t>
  </si>
  <si>
    <t xml:space="preserve">1022422015/4832012     </t>
  </si>
  <si>
    <t>9813066329</t>
  </si>
  <si>
    <t>12600485PD</t>
  </si>
  <si>
    <t>1301610000918183</t>
  </si>
  <si>
    <t>NAWARAJ POUDEL</t>
  </si>
  <si>
    <t>DILLI RAM POUDEL</t>
  </si>
  <si>
    <t>BHUWANI SHANKAR PADHYA</t>
  </si>
  <si>
    <t xml:space="preserve">102242-01-72-041742016 </t>
  </si>
  <si>
    <t>9817195440</t>
  </si>
  <si>
    <t>Machhapuchhre Bank Ltd.-NAYABAZAR POKHARA BRANCH</t>
  </si>
  <si>
    <t>0010108785900011</t>
  </si>
  <si>
    <t>1301250000588313</t>
  </si>
  <si>
    <t>RAM KUMAR NEUPANE</t>
  </si>
  <si>
    <t>DILLI SARMA NEUPANE/BINDA NEUPANE</t>
  </si>
  <si>
    <t>YADU KUMAR NEUPANE</t>
  </si>
  <si>
    <t xml:space="preserve">100625-01-70-128852013 </t>
  </si>
  <si>
    <t>9813227578</t>
  </si>
  <si>
    <t>Muktinath Bikas Bank Ltd.-Battar Branch</t>
  </si>
  <si>
    <t>12421600479586000001</t>
  </si>
  <si>
    <t>1301060000086193</t>
  </si>
  <si>
    <t>PRATISARA BAJRACHARYA</t>
  </si>
  <si>
    <t>DINESH BAJRA BAJRACHARYA</t>
  </si>
  <si>
    <t>SIDHI BAJRA BAJRACHARYA</t>
  </si>
  <si>
    <t xml:space="preserve">10035152012            </t>
  </si>
  <si>
    <t>4285660</t>
  </si>
  <si>
    <t>Nepal Investment Mega Bank Ltd.-New Road Branch</t>
  </si>
  <si>
    <t>00705150266208</t>
  </si>
  <si>
    <t>1301380000004398</t>
  </si>
  <si>
    <t>RAKESH KUMAR YADAV</t>
  </si>
  <si>
    <t>DINESH YADAV</t>
  </si>
  <si>
    <t>HARISARAN YADAV</t>
  </si>
  <si>
    <t xml:space="preserve">1028729014841992       </t>
  </si>
  <si>
    <t>9851133036</t>
  </si>
  <si>
    <t>00600350840017</t>
  </si>
  <si>
    <t>1301120000197559</t>
  </si>
  <si>
    <t>Adhish Man Shrestha</t>
  </si>
  <si>
    <t>Dipak Kumar Shrestha</t>
  </si>
  <si>
    <t>Keshav Prasad Shrestha</t>
  </si>
  <si>
    <t xml:space="preserve">1003271060/1031812012  </t>
  </si>
  <si>
    <t>maitidevi</t>
  </si>
  <si>
    <t>9851073873</t>
  </si>
  <si>
    <t>Mega Bank Nepal Ltd.- Maitidevi Branch</t>
  </si>
  <si>
    <t>0240050017109</t>
  </si>
  <si>
    <t>1301070001081584</t>
  </si>
  <si>
    <t>Diwash Pathak</t>
  </si>
  <si>
    <t>Dipal Kumar Pathak</t>
  </si>
  <si>
    <t>Sita Ram Pathak</t>
  </si>
  <si>
    <t xml:space="preserve">1037790742003          </t>
  </si>
  <si>
    <t>9800921311</t>
  </si>
  <si>
    <t>00924002972</t>
  </si>
  <si>
    <t>1301090001275967</t>
  </si>
  <si>
    <t>SIYA ADHIKARI</t>
  </si>
  <si>
    <t>DIPEN ADHIKARI/ SANJITA GAUTAM ADHIKARI</t>
  </si>
  <si>
    <t xml:space="preserve">104520751226023942019  </t>
  </si>
  <si>
    <t>9851137525</t>
  </si>
  <si>
    <t>01715779228</t>
  </si>
  <si>
    <t>1301260000813333</t>
  </si>
  <si>
    <t>RABIN REGMI</t>
  </si>
  <si>
    <t>DOL PRASAD REGMI/MIN KUMARI REGMI</t>
  </si>
  <si>
    <t>DHARMA PRASAD REGMI</t>
  </si>
  <si>
    <t xml:space="preserve">10184410006/3392008    </t>
  </si>
  <si>
    <t>9846300374</t>
  </si>
  <si>
    <t>0820075587200011</t>
  </si>
  <si>
    <t>1301090000469738</t>
  </si>
  <si>
    <t>LAXMI SHARMA</t>
  </si>
  <si>
    <t>DRONARAJ POUDEL</t>
  </si>
  <si>
    <t>KUSHMA NIDHI POUDEL</t>
  </si>
  <si>
    <t xml:space="preserve">10141029/160402009     </t>
  </si>
  <si>
    <t>BAGLUNG</t>
  </si>
  <si>
    <t>Baglung</t>
  </si>
  <si>
    <t>9849888871</t>
  </si>
  <si>
    <t>00115230803</t>
  </si>
  <si>
    <t>1301520000683496</t>
  </si>
  <si>
    <t>REETA KAKSHAPATI SHRESTHA</t>
  </si>
  <si>
    <t>DURGA LAL KAKSHAPATI</t>
  </si>
  <si>
    <t>RAM LAL KAKSHAPATI</t>
  </si>
  <si>
    <t xml:space="preserve">100327-01-72-045912015 </t>
  </si>
  <si>
    <t>0610025003000001</t>
  </si>
  <si>
    <t>1301370001188303</t>
  </si>
  <si>
    <t>PRABIN SHRESTHA</t>
  </si>
  <si>
    <t>DURGA MAN SHRESTHA</t>
  </si>
  <si>
    <t>PUN NARAYAN SHRESTHA</t>
  </si>
  <si>
    <t xml:space="preserve">1023431020/1742011     </t>
  </si>
  <si>
    <t>KALIMATI</t>
  </si>
  <si>
    <t>9840050986</t>
  </si>
  <si>
    <t>4988971902252401</t>
  </si>
  <si>
    <t>1301120002928942</t>
  </si>
  <si>
    <t>SUNDAR ADHIKARI</t>
  </si>
  <si>
    <t>DURGA PRASAD ADHIKARI</t>
  </si>
  <si>
    <t>LOK MANI ADHIKARI</t>
  </si>
  <si>
    <t xml:space="preserve">10607056/13242003      </t>
  </si>
  <si>
    <t>RAPTI</t>
  </si>
  <si>
    <t>3309018100825</t>
  </si>
  <si>
    <t>1301230000039387</t>
  </si>
  <si>
    <t>RAM PRASAD DHUNGEL</t>
  </si>
  <si>
    <t>DURGA PRASAD DUNGEL</t>
  </si>
  <si>
    <t>MUNNA REGMI / GYANENDRA PRASAD DUNGEL</t>
  </si>
  <si>
    <t xml:space="preserve">1036206141987          </t>
  </si>
  <si>
    <t>9842096335</t>
  </si>
  <si>
    <t>Prabhu Bank Ltd.-Guleriya Branch</t>
  </si>
  <si>
    <t>00801600117191000001</t>
  </si>
  <si>
    <t>1301100000458127</t>
  </si>
  <si>
    <t>JAGANATH GAUTAM</t>
  </si>
  <si>
    <t>DURGA PRASAD GAUTAM</t>
  </si>
  <si>
    <t>NAMONARAYAN GAUTAM/PADAM KUMARI GAUTAM</t>
  </si>
  <si>
    <t xml:space="preserve">1054181/2741979        </t>
  </si>
  <si>
    <t>BIRTAMODE</t>
  </si>
  <si>
    <t>9842663993</t>
  </si>
  <si>
    <t>NMB Bank Ltd.-Birtamod Branch</t>
  </si>
  <si>
    <t>0280034546800011</t>
  </si>
  <si>
    <t>1301580000865268</t>
  </si>
  <si>
    <t>SIMA SHRESTHA</t>
  </si>
  <si>
    <t>DURGA PRASAD SHRESTHA/BIMALA SHRESTHA</t>
  </si>
  <si>
    <t>DIL BAHADUR SHRESTHA/ARJUN SHRESTHA</t>
  </si>
  <si>
    <t xml:space="preserve">1075141451988          </t>
  </si>
  <si>
    <t>DOTI</t>
  </si>
  <si>
    <t>Doti</t>
  </si>
  <si>
    <t>909011200000311</t>
  </si>
  <si>
    <t>1301020000137893</t>
  </si>
  <si>
    <t>BISHNU RAJ UPRETI</t>
  </si>
  <si>
    <t>DURGA PRASAD UPRETI</t>
  </si>
  <si>
    <t>YAMUNA GHALE UPRETI/KEDAR NATH UPRETI</t>
  </si>
  <si>
    <t xml:space="preserve">10252210901980         </t>
  </si>
  <si>
    <t>101934477</t>
  </si>
  <si>
    <t>9851075448</t>
  </si>
  <si>
    <t>Nepal Investment Mega Bank Ltd.-Pulchowk Branch</t>
  </si>
  <si>
    <t>00405090005713</t>
  </si>
  <si>
    <t>1301650000647438</t>
  </si>
  <si>
    <t>SANJAY KUMAR SHRESTHA</t>
  </si>
  <si>
    <t>DUTTA RAM SHRESTHA / MAN KUMARI SHRESTHA</t>
  </si>
  <si>
    <t>SANGITA SHRESTHA/ JITBAHADUR SHRESTHA</t>
  </si>
  <si>
    <t xml:space="preserve">105723/3052007         </t>
  </si>
  <si>
    <t>HETAUDA</t>
  </si>
  <si>
    <t>MAKWANPUR</t>
  </si>
  <si>
    <t>9851160625</t>
  </si>
  <si>
    <t>1430100017594011</t>
  </si>
  <si>
    <t>1301220000005451</t>
  </si>
  <si>
    <t>SUNITA SHRESTHA</t>
  </si>
  <si>
    <t>DWARIKA NATH SHRESTHA</t>
  </si>
  <si>
    <t>BUDDHI BAHADUR SHRESTHA</t>
  </si>
  <si>
    <t xml:space="preserve">1005539241991          </t>
  </si>
  <si>
    <t>9841150010</t>
  </si>
  <si>
    <t>19107010001774</t>
  </si>
  <si>
    <t>1301060001976843</t>
  </si>
  <si>
    <t>SAKUN GURUNG</t>
  </si>
  <si>
    <t>EK BAHADUR GURUNG</t>
  </si>
  <si>
    <t>RUDRA BAHADUR GURUNG</t>
  </si>
  <si>
    <t xml:space="preserve">101844441009/8272011   </t>
  </si>
  <si>
    <t>9827186423</t>
  </si>
  <si>
    <t>Nepal Investment Mega Bank Ltd.-Putalisadak Branch</t>
  </si>
  <si>
    <t>01205080487863</t>
  </si>
  <si>
    <t>1301060000178677</t>
  </si>
  <si>
    <t>BHAVISHWAR BHATTARAI</t>
  </si>
  <si>
    <t>EK NARAYAN BHATTARAI</t>
  </si>
  <si>
    <t xml:space="preserve">105635 5058/18011985   </t>
  </si>
  <si>
    <t>078501003</t>
  </si>
  <si>
    <t>Nepal Investment Mega Bank Ltd.-Narayanghad Branch</t>
  </si>
  <si>
    <t>01305090001312</t>
  </si>
  <si>
    <t>1301470000021947</t>
  </si>
  <si>
    <t>RAM CHANDRA SHRESTHA</t>
  </si>
  <si>
    <t>EK NARAYAN SHRESTHA</t>
  </si>
  <si>
    <t>TEK MAN SHRESTHA</t>
  </si>
  <si>
    <t xml:space="preserve">1018835322001          </t>
  </si>
  <si>
    <t>ROHATEPANI</t>
  </si>
  <si>
    <t>9849755298</t>
  </si>
  <si>
    <t>Laxmi Bank Ltd.-Charikot Branch</t>
  </si>
  <si>
    <t>02626003185</t>
  </si>
  <si>
    <t>1301650000182029</t>
  </si>
  <si>
    <t>MOTIRAM PAUDEL</t>
  </si>
  <si>
    <t>EKDEV PAUDEL / RADHIKA PAUDEL</t>
  </si>
  <si>
    <t>BHESRAJ UPADHAYA</t>
  </si>
  <si>
    <t xml:space="preserve">1045393037/62013       </t>
  </si>
  <si>
    <t>SOMHAR</t>
  </si>
  <si>
    <t>Palpa</t>
  </si>
  <si>
    <t>9847354686</t>
  </si>
  <si>
    <t>Rastriya Banijya Bank Ltd.-Syanjabazar Branch</t>
  </si>
  <si>
    <t>3470100050978011</t>
  </si>
  <si>
    <t>1301120002115714</t>
  </si>
  <si>
    <t>RAMESH ADHIKARI</t>
  </si>
  <si>
    <t>FADINDRA PRASAD ADHIAKRI/ SHANTA ADHIKARI</t>
  </si>
  <si>
    <t>DILANATH ADHIAKRI/ BINITA DHUNGANA</t>
  </si>
  <si>
    <t xml:space="preserve">1006251001/0492008     </t>
  </si>
  <si>
    <t>TARUKA</t>
  </si>
  <si>
    <t>9843356808</t>
  </si>
  <si>
    <t>J607010008459</t>
  </si>
  <si>
    <t>1301370001018445</t>
  </si>
  <si>
    <t>Hari Prasad Panday</t>
  </si>
  <si>
    <t>Fall Prasad Panday</t>
  </si>
  <si>
    <t>Chhabilal Panday</t>
  </si>
  <si>
    <t xml:space="preserve">10021/432002           </t>
  </si>
  <si>
    <t>Aag</t>
  </si>
  <si>
    <t>9841756122</t>
  </si>
  <si>
    <t>1387984899252401</t>
  </si>
  <si>
    <t>1301090000529254</t>
  </si>
  <si>
    <t>CHANDA THAPA LAMICHHANE</t>
  </si>
  <si>
    <t>GAGAN DHOJ THAPA</t>
  </si>
  <si>
    <t>CHANDRA DHOJ THAPA</t>
  </si>
  <si>
    <t xml:space="preserve">1025161901999          </t>
  </si>
  <si>
    <t>9774484426</t>
  </si>
  <si>
    <t>Nepal Bank Ltd.-Chabahil Branch</t>
  </si>
  <si>
    <t>06401000125826000001</t>
  </si>
  <si>
    <t>1301100000627723</t>
  </si>
  <si>
    <t>MAN BAHADUR BHANDARI</t>
  </si>
  <si>
    <t>GAGAN SINGH BHANDARI</t>
  </si>
  <si>
    <t>KRISHNA SINGH BHANDARI</t>
  </si>
  <si>
    <t xml:space="preserve">1050577972971984       </t>
  </si>
  <si>
    <t>+9779848772690</t>
  </si>
  <si>
    <t>NMB Bank Limited.-Mahendranagar Branch</t>
  </si>
  <si>
    <t>0980056923400018</t>
  </si>
  <si>
    <t>1301090000011421</t>
  </si>
  <si>
    <t>GAJA RAJ BHAKTA SHRESTHA</t>
  </si>
  <si>
    <t xml:space="preserve">1003159821986          </t>
  </si>
  <si>
    <t>00105010089352</t>
  </si>
  <si>
    <t>1301260000199785</t>
  </si>
  <si>
    <t>OM BAHADUR THAPA</t>
  </si>
  <si>
    <t>GAJENDRA BAHADUR THAPA/SANGRIKA THAPA</t>
  </si>
  <si>
    <t>BRIKHA BAHAUDR THAPA</t>
  </si>
  <si>
    <t xml:space="preserve">1003360362006          </t>
  </si>
  <si>
    <t>Mustang</t>
  </si>
  <si>
    <t>9841779583</t>
  </si>
  <si>
    <t>Global IME Bank Ltd.-Kamaladi-II Branch</t>
  </si>
  <si>
    <t>8407010001584</t>
  </si>
  <si>
    <t>1301070000108692</t>
  </si>
  <si>
    <t>Rama Devi Pokhrel</t>
  </si>
  <si>
    <t>Gana Prasad Pokhrel</t>
  </si>
  <si>
    <t>Bishnu Prasad Pokhrel</t>
  </si>
  <si>
    <t xml:space="preserve">107018051998           </t>
  </si>
  <si>
    <t>100801820</t>
  </si>
  <si>
    <t>Soltimod</t>
  </si>
  <si>
    <t>9761189415</t>
  </si>
  <si>
    <t>Rastriya Banijya Bank Ltd.-Pulchowk Branch</t>
  </si>
  <si>
    <t>1140100029055010</t>
  </si>
  <si>
    <t>1301370002739799</t>
  </si>
  <si>
    <t>DIL BAHADUR BHUJEL</t>
  </si>
  <si>
    <t>GANDE BHUJEL</t>
  </si>
  <si>
    <t>PREM BAHDUR BHUJEL</t>
  </si>
  <si>
    <t xml:space="preserve">106913352002           </t>
  </si>
  <si>
    <t>9803255058</t>
  </si>
  <si>
    <t>1798750499070001</t>
  </si>
  <si>
    <t>1301100000884685</t>
  </si>
  <si>
    <t>SURAJ KUMAR DURA</t>
  </si>
  <si>
    <t>GANESH BAHADUR DURA</t>
  </si>
  <si>
    <t>DHAN BAHADUR DURA</t>
  </si>
  <si>
    <t xml:space="preserve">1075131691987          </t>
  </si>
  <si>
    <t>01-4450956</t>
  </si>
  <si>
    <t>00124300198081000002</t>
  </si>
  <si>
    <t>1301100000274960</t>
  </si>
  <si>
    <t>MADHAB THAPA</t>
  </si>
  <si>
    <t>GANESH BAHADUR THAPA</t>
  </si>
  <si>
    <t>AMBAR SINGH THAPA/ CHIJAN THAPA</t>
  </si>
  <si>
    <t xml:space="preserve">1037261/1501988        </t>
  </si>
  <si>
    <t>KERABARI</t>
  </si>
  <si>
    <t>021-403009</t>
  </si>
  <si>
    <t>NMB Bank Ltd.-Kerabari Branch</t>
  </si>
  <si>
    <t>05930400319140000001</t>
  </si>
  <si>
    <t>1301650000488456</t>
  </si>
  <si>
    <t>BELISMA BHATTARAI</t>
  </si>
  <si>
    <t>GANESH BHATTARAI/ KOPILA DHAKAL</t>
  </si>
  <si>
    <t>BHUPRAJ SHARMA BHATTARAI</t>
  </si>
  <si>
    <t xml:space="preserve">100320770727009962020  </t>
  </si>
  <si>
    <t>RAMBHA</t>
  </si>
  <si>
    <t>9860352883</t>
  </si>
  <si>
    <t>Rastriya Banijya Bank Ltd.-Singhadurbar Parisar Branch</t>
  </si>
  <si>
    <t>1960100000009009</t>
  </si>
  <si>
    <t>1301590000000412</t>
  </si>
  <si>
    <t>RACHANA SHRESTHA</t>
  </si>
  <si>
    <t>GANESH MAN SHRESTHA</t>
  </si>
  <si>
    <t>KRISHNA MAN SHRESTHA</t>
  </si>
  <si>
    <t xml:space="preserve">1003271060/136942008   </t>
  </si>
  <si>
    <t>9849381409</t>
  </si>
  <si>
    <t>NIC Asia Bank Ltd.-Jawalakhel Branch</t>
  </si>
  <si>
    <t>0356347675524001</t>
  </si>
  <si>
    <t>1301870000008607</t>
  </si>
  <si>
    <t>YOGENDRA DHAKAL</t>
  </si>
  <si>
    <t xml:space="preserve">GANESH PRASAD DHAKAL/BHARTI DHAKAL                </t>
  </si>
  <si>
    <t>KABITA NIRAULA/PRABHAKAR DHAKAL</t>
  </si>
  <si>
    <t xml:space="preserve">103996188/971882005    </t>
  </si>
  <si>
    <t xml:space="preserve">Itahari                  </t>
  </si>
  <si>
    <t xml:space="preserve">Sunsari                  </t>
  </si>
  <si>
    <t>Everest Bank Ltd.-Itahari Branch</t>
  </si>
  <si>
    <t>01700501212114</t>
  </si>
  <si>
    <t>1301060000294035</t>
  </si>
  <si>
    <t>SUNIL KUMAR POKHREL</t>
  </si>
  <si>
    <t>GANESH PRASAD POKHREL</t>
  </si>
  <si>
    <t>BHIMESHOWAR PRASAD POKHREL</t>
  </si>
  <si>
    <t xml:space="preserve">1003132961987          </t>
  </si>
  <si>
    <t>4446445</t>
  </si>
  <si>
    <t>Nepal Investment Mega Bank Ltd.-Baluwatar Branch</t>
  </si>
  <si>
    <t>08205030250009</t>
  </si>
  <si>
    <t>1301220000431266</t>
  </si>
  <si>
    <t>MAN SINGH THAGUNNA</t>
  </si>
  <si>
    <t>GANESH SINGH THAGUNNA</t>
  </si>
  <si>
    <t>RAYABHAN THAGUNNA</t>
  </si>
  <si>
    <t xml:space="preserve">1049116711994          </t>
  </si>
  <si>
    <t xml:space="preserve">100068034                </t>
  </si>
  <si>
    <t>JAMIR -05</t>
  </si>
  <si>
    <t>Darchula</t>
  </si>
  <si>
    <t xml:space="preserve">9848999620       </t>
  </si>
  <si>
    <t>Global IME Bank Ltd.-Darchula Branch</t>
  </si>
  <si>
    <t>K107010000774</t>
  </si>
  <si>
    <t>1301060001073274</t>
  </si>
  <si>
    <t>NANDRAJ JOSHI</t>
  </si>
  <si>
    <t>GANGA DATT JOSHI</t>
  </si>
  <si>
    <t>HARI RAJ JOSHI</t>
  </si>
  <si>
    <t xml:space="preserve">104720691986           </t>
  </si>
  <si>
    <t>DILASAINI</t>
  </si>
  <si>
    <t>Baitidi</t>
  </si>
  <si>
    <t>9868540030</t>
  </si>
  <si>
    <t>Nepal SBI Bank Ltd.- Phidim Branch</t>
  </si>
  <si>
    <t>18115241406702</t>
  </si>
  <si>
    <t>1301230000201941</t>
  </si>
  <si>
    <t>SARITA ATAL</t>
  </si>
  <si>
    <t>GANGA PRASAD ATAL/PUSHPA ATAL</t>
  </si>
  <si>
    <t>BENI GOPAL BANG/JETHMAL ATAL</t>
  </si>
  <si>
    <t xml:space="preserve">10391243-11411989      </t>
  </si>
  <si>
    <t>MORANG</t>
  </si>
  <si>
    <t>9842499381</t>
  </si>
  <si>
    <t>Prabhu Bank Ltd.-Biratnagar Branch</t>
  </si>
  <si>
    <t>0060031754400011</t>
  </si>
  <si>
    <t>1301370001052060</t>
  </si>
  <si>
    <t>Rewati Ghimire</t>
  </si>
  <si>
    <t>Ganga Prasad Ghimire</t>
  </si>
  <si>
    <t>Rup Narayan Ghimire</t>
  </si>
  <si>
    <t xml:space="preserve">103836801977           </t>
  </si>
  <si>
    <t>100084382</t>
  </si>
  <si>
    <t>Pashupati Marga</t>
  </si>
  <si>
    <t>9842625444</t>
  </si>
  <si>
    <t>2012170464524001</t>
  </si>
  <si>
    <t>1301390000280517</t>
  </si>
  <si>
    <t>RINKU KUMARI</t>
  </si>
  <si>
    <t>GANGA PRASAD MISHRA</t>
  </si>
  <si>
    <t>DHARMENDRA KUMAR PANDEY</t>
  </si>
  <si>
    <t xml:space="preserve">1026183001/9862007     </t>
  </si>
  <si>
    <t>JALESHWOR-03</t>
  </si>
  <si>
    <t>9844411585</t>
  </si>
  <si>
    <t>Prabhu Bank Ltd.-Jaleshwor Branch</t>
  </si>
  <si>
    <t>0630075359100012</t>
  </si>
  <si>
    <t>1301450000028530</t>
  </si>
  <si>
    <t>BHARAT RAJ SHARMA</t>
  </si>
  <si>
    <t>GANGA PRASAD SHARMA</t>
  </si>
  <si>
    <t>HARI PRASAD SHARMA</t>
  </si>
  <si>
    <t xml:space="preserve">10222298/14001981      </t>
  </si>
  <si>
    <t>9851111166</t>
  </si>
  <si>
    <t>Machhapuchhre Bank Ltd.-LAKESIDE</t>
  </si>
  <si>
    <t>2222524033767013</t>
  </si>
  <si>
    <t>1301360000008016</t>
  </si>
  <si>
    <t>MANJU DEVI SHRESTHA</t>
  </si>
  <si>
    <t>GANGA PRASAD SHRESTHA</t>
  </si>
  <si>
    <t>HARI PRASAD SHRESTHA</t>
  </si>
  <si>
    <t xml:space="preserve">1045751968             </t>
  </si>
  <si>
    <t>9851097745</t>
  </si>
  <si>
    <t>Sanima Bank Ltd.-New Road Branch</t>
  </si>
  <si>
    <t>003011050000217</t>
  </si>
  <si>
    <t>1301070000945736</t>
  </si>
  <si>
    <t>RAMESH LAMA</t>
  </si>
  <si>
    <t>GAUTAM LAMA</t>
  </si>
  <si>
    <t>CHANDRA BAHADUR LAMA</t>
  </si>
  <si>
    <t xml:space="preserve">1027213053/1162007     </t>
  </si>
  <si>
    <t>9869693638</t>
  </si>
  <si>
    <t>03525000920</t>
  </si>
  <si>
    <t>1301090000143881</t>
  </si>
  <si>
    <t>SUDIP SHILWAL</t>
  </si>
  <si>
    <t>GEWARJ SHILWAL</t>
  </si>
  <si>
    <t>LAKHNATH SHILWAL</t>
  </si>
  <si>
    <t xml:space="preserve">1019461009/4182010     </t>
  </si>
  <si>
    <t>9846144720</t>
  </si>
  <si>
    <t>Siddhartha Bank Ltd.-Pokhara Branch</t>
  </si>
  <si>
    <t>00516275530</t>
  </si>
  <si>
    <t>1301090000347453</t>
  </si>
  <si>
    <t>RAM PRASAD DHAKAL</t>
  </si>
  <si>
    <t>GHANA NATH DHAKAL</t>
  </si>
  <si>
    <t>SHIVA LAL DHAKAL</t>
  </si>
  <si>
    <t xml:space="preserve">1018523071996          </t>
  </si>
  <si>
    <t>9841858562</t>
  </si>
  <si>
    <t>Siddhartha Bank Ltd.-Narayangarh</t>
  </si>
  <si>
    <t>00915076035</t>
  </si>
  <si>
    <t>1301100000137068</t>
  </si>
  <si>
    <t>SUDARSHAN KHANAL</t>
  </si>
  <si>
    <t>GHANANATH KHANAL</t>
  </si>
  <si>
    <t>LOKRAMAN KHANAL/MINU KHANAL ADHIKARI</t>
  </si>
  <si>
    <t xml:space="preserve">10035846/114571981     </t>
  </si>
  <si>
    <t>9851201703</t>
  </si>
  <si>
    <t>0010001043000022</t>
  </si>
  <si>
    <t>1301010000025495</t>
  </si>
  <si>
    <t>MAKUND SHRESTHA</t>
  </si>
  <si>
    <t>GHANASHYAM SHRESTHA</t>
  </si>
  <si>
    <t>SUSMA RAJBHANDARI/ BIR BAHADUR SHRESTHA</t>
  </si>
  <si>
    <t xml:space="preserve">106684/1591988         </t>
  </si>
  <si>
    <t>OKHALDHUNGA</t>
  </si>
  <si>
    <t>4483281</t>
  </si>
  <si>
    <t>0010058441086</t>
  </si>
  <si>
    <t>1301530000163862</t>
  </si>
  <si>
    <t>Ishwari Prasad Gyawali</t>
  </si>
  <si>
    <t>Ghanshyam Gyawali/ Harikala Gyawali</t>
  </si>
  <si>
    <t>Bhagwati Gyawali/ Bhuwani Shankar Gyawali</t>
  </si>
  <si>
    <t xml:space="preserve">1042892/041/04231986   </t>
  </si>
  <si>
    <t>02</t>
  </si>
  <si>
    <t>9805477508</t>
  </si>
  <si>
    <t>Nepal SBI Bank Ltd.-Butwal Branch</t>
  </si>
  <si>
    <t>19115241417451</t>
  </si>
  <si>
    <t>1301080000352031</t>
  </si>
  <si>
    <t>ANOJ KUMAR KASHYAP</t>
  </si>
  <si>
    <t>GHANSHYAM KAHAR</t>
  </si>
  <si>
    <t>GANGARAM KAHAR</t>
  </si>
  <si>
    <t xml:space="preserve">1060132007             </t>
  </si>
  <si>
    <t>9840059630</t>
  </si>
  <si>
    <t>01800516200527</t>
  </si>
  <si>
    <t>1301120002398614</t>
  </si>
  <si>
    <t>SAGAR SAPKOTA</t>
  </si>
  <si>
    <t>GHANSHYAM SAPKOTA</t>
  </si>
  <si>
    <t>RITA PANDEY</t>
  </si>
  <si>
    <t xml:space="preserve">104241-01-70-018842003 </t>
  </si>
  <si>
    <t>WAMITAKSAR</t>
  </si>
  <si>
    <t>9857072204</t>
  </si>
  <si>
    <t>8101</t>
  </si>
  <si>
    <t>Shine Resunga Development Bank Ltd.-Wami Branch</t>
  </si>
  <si>
    <t>00900700186060000001</t>
  </si>
  <si>
    <t>1301060000443296</t>
  </si>
  <si>
    <t>KUNJ PRASAD JOSHI</t>
  </si>
  <si>
    <t>GIRIJA PRASAD JOSHI</t>
  </si>
  <si>
    <t>DEV PRASAD JOSHI</t>
  </si>
  <si>
    <t xml:space="preserve">10036873/1055/23721982 </t>
  </si>
  <si>
    <t>9841392794</t>
  </si>
  <si>
    <t>9902</t>
  </si>
  <si>
    <t>Progressive Finance Co. Ltd.- Head Office Branch</t>
  </si>
  <si>
    <t>10110112025091</t>
  </si>
  <si>
    <t>1301390000281622</t>
  </si>
  <si>
    <t>PABAN KARKI</t>
  </si>
  <si>
    <t>GOBINDA BAHADUR KARKI/YAM KUMARI KARKI</t>
  </si>
  <si>
    <t>CHHETRA BAHADUR KARKI</t>
  </si>
  <si>
    <t xml:space="preserve">1027211016/232382011   </t>
  </si>
  <si>
    <t>RAMECHHAP-01</t>
  </si>
  <si>
    <t>9843131094</t>
  </si>
  <si>
    <t>Prabhu Bank Ltd.-Sinamangal Branch</t>
  </si>
  <si>
    <t>0180064881000012</t>
  </si>
  <si>
    <t>1301120001950491</t>
  </si>
  <si>
    <t>sital parajuli</t>
  </si>
  <si>
    <t>gobinda prasad parajuli</t>
  </si>
  <si>
    <t>tikaram parajuli</t>
  </si>
  <si>
    <t xml:space="preserve">100327-02-77-005052020 </t>
  </si>
  <si>
    <t>khotang</t>
  </si>
  <si>
    <t>977</t>
  </si>
  <si>
    <t>6107010005464</t>
  </si>
  <si>
    <t>1301120000000843</t>
  </si>
  <si>
    <t>Shanta Regmi</t>
  </si>
  <si>
    <t>Gobinda Prasad Regmi</t>
  </si>
  <si>
    <t>Prem Narayan Upadhya</t>
  </si>
  <si>
    <t xml:space="preserve">102267281986           </t>
  </si>
  <si>
    <t xml:space="preserve">100997455                </t>
  </si>
  <si>
    <t>Shyanja</t>
  </si>
  <si>
    <t>9841347485</t>
  </si>
  <si>
    <t>Kumari Bank Ltd.-Jitpur-Bara Branch</t>
  </si>
  <si>
    <t>0010001517100001</t>
  </si>
  <si>
    <t>1301060001688022</t>
  </si>
  <si>
    <t>PRADIP KARKI</t>
  </si>
  <si>
    <t>GOPAL BAHADUR KARKI/LAXMI DEVI KARKI</t>
  </si>
  <si>
    <t>GUNGA BAHADUR KARKI</t>
  </si>
  <si>
    <t xml:space="preserve">10451106492005         </t>
  </si>
  <si>
    <t>9847139361</t>
  </si>
  <si>
    <t>02605080278027</t>
  </si>
  <si>
    <t>1301010000167963</t>
  </si>
  <si>
    <t>PRAKASH KUMAR CHAULAGAIN</t>
  </si>
  <si>
    <t>GOPAL PRASAD CHAULAGAIN</t>
  </si>
  <si>
    <t>RAM PRASAD CHAULAGAIN</t>
  </si>
  <si>
    <t xml:space="preserve">105722/1321997         </t>
  </si>
  <si>
    <t>Makwanpur</t>
  </si>
  <si>
    <t>057-00000</t>
  </si>
  <si>
    <t>Himalayan Bank Ltd.-Hetauda 2 Branch</t>
  </si>
  <si>
    <t>22854814180018</t>
  </si>
  <si>
    <t>1301570000052011</t>
  </si>
  <si>
    <t>Santosh Pandey</t>
  </si>
  <si>
    <t>Gopal Prasad Pandey/Dhankumari Pandey</t>
  </si>
  <si>
    <t>Bishnuhari Pandey</t>
  </si>
  <si>
    <t xml:space="preserve">1003271060/22312008    </t>
  </si>
  <si>
    <t>Gokarneshwor</t>
  </si>
  <si>
    <t xml:space="preserve">9869666818       </t>
  </si>
  <si>
    <t>06401006216201000002</t>
  </si>
  <si>
    <t>1301060000554896</t>
  </si>
  <si>
    <t>SHIVA PRASAD PAUDEL</t>
  </si>
  <si>
    <t>GOPAL PRASAD PAUDEL</t>
  </si>
  <si>
    <t>HARIDEV PAUDEL</t>
  </si>
  <si>
    <t xml:space="preserve">10036215/61221984      </t>
  </si>
  <si>
    <t>014450146</t>
  </si>
  <si>
    <t>Nepal Investment Mega Bank Ltd.-Bouddha Branch</t>
  </si>
  <si>
    <t>02405080260206</t>
  </si>
  <si>
    <t>1301090000494184</t>
  </si>
  <si>
    <t>KRISHNA KUMAR DARUKA</t>
  </si>
  <si>
    <t>GOPALCHANDRA BANSAJ</t>
  </si>
  <si>
    <t>JIVANRAM</t>
  </si>
  <si>
    <t xml:space="preserve">10581603169381984      </t>
  </si>
  <si>
    <t>BIRGUNJ</t>
  </si>
  <si>
    <t>051527229</t>
  </si>
  <si>
    <t>Siddhartha Bank Ltd.-Birgunj Branch</t>
  </si>
  <si>
    <t>00215165984</t>
  </si>
  <si>
    <t>1301310000218033</t>
  </si>
  <si>
    <t>DHIRAJ KUMAR DAS</t>
  </si>
  <si>
    <t>GORAKH NATH DAS KAYAST/ SUNAINA DAS</t>
  </si>
  <si>
    <t>JAGNARAYAN LAL DAS</t>
  </si>
  <si>
    <t xml:space="preserve">1058341022/79172010    </t>
  </si>
  <si>
    <t>9858058108</t>
  </si>
  <si>
    <t>Mega Bank Nepal Ltd.- Birgunj Branch</t>
  </si>
  <si>
    <t>0090050008983</t>
  </si>
  <si>
    <t>1301080000747443</t>
  </si>
  <si>
    <t>GOMA SUBEDI</t>
  </si>
  <si>
    <t>GORAKH NATH SUBEDI</t>
  </si>
  <si>
    <t>DEVI LAL SUBEDI</t>
  </si>
  <si>
    <t xml:space="preserve">1075542892003          </t>
  </si>
  <si>
    <t>DHANGADHI</t>
  </si>
  <si>
    <t>9848485512</t>
  </si>
  <si>
    <t>01100501003367</t>
  </si>
  <si>
    <t>1301360000000625</t>
  </si>
  <si>
    <t>GOVINDA LAL SHRESTHA</t>
  </si>
  <si>
    <t>MUKTI LAL SHRESTHA</t>
  </si>
  <si>
    <t xml:space="preserve">1028731983             </t>
  </si>
  <si>
    <t>9841496110</t>
  </si>
  <si>
    <t>00301395020013</t>
  </si>
  <si>
    <t>1301380000057588</t>
  </si>
  <si>
    <t>GRISHMA NEUPANE</t>
  </si>
  <si>
    <t>GOVINDA PD. NEUPANE</t>
  </si>
  <si>
    <t>KEDAR NATH NEUPANE</t>
  </si>
  <si>
    <t xml:space="preserve">10572872015            </t>
  </si>
  <si>
    <t>GADHI-6</t>
  </si>
  <si>
    <t>9841377897</t>
  </si>
  <si>
    <t>142006019110</t>
  </si>
  <si>
    <t>1301520000042660</t>
  </si>
  <si>
    <t>APURVA OJHA</t>
  </si>
  <si>
    <t>GOVINDA PRASAD OJHA</t>
  </si>
  <si>
    <t>LOK NATH OJHA</t>
  </si>
  <si>
    <t xml:space="preserve">100373122005           </t>
  </si>
  <si>
    <t>9813675825</t>
  </si>
  <si>
    <t>0113524616952019</t>
  </si>
  <si>
    <t>1301170000963469</t>
  </si>
  <si>
    <t>SAMANTA SHRESTHA</t>
  </si>
  <si>
    <t>GUMAN SINGH SHRESTHA</t>
  </si>
  <si>
    <t>DEV PRASAD SHRESTHA</t>
  </si>
  <si>
    <t xml:space="preserve">1056806/0442000        </t>
  </si>
  <si>
    <t>CHITWAN</t>
  </si>
  <si>
    <t>0220100000013046</t>
  </si>
  <si>
    <t>1301090002006961</t>
  </si>
  <si>
    <t>YAM BAHADUR BUDHATHOKI</t>
  </si>
  <si>
    <t>GUN BAHADUR BUDHATHOKI</t>
  </si>
  <si>
    <t>TIKA RAM BUDHATHOKI</t>
  </si>
  <si>
    <t xml:space="preserve">101421091996           </t>
  </si>
  <si>
    <t>9841954254</t>
  </si>
  <si>
    <t>01815185896</t>
  </si>
  <si>
    <t>1301120000147258</t>
  </si>
  <si>
    <t>Shanti Neupane</t>
  </si>
  <si>
    <t>Gunanidhi Neupane</t>
  </si>
  <si>
    <t>Bishnu Datta Neupane/Dhruba Babu Marahatta</t>
  </si>
  <si>
    <t xml:space="preserve">1056289/0441999        </t>
  </si>
  <si>
    <t>Gunj Nagar</t>
  </si>
  <si>
    <t>014880057</t>
  </si>
  <si>
    <t>02000516200912</t>
  </si>
  <si>
    <t>1301380000059800</t>
  </si>
  <si>
    <t>BINOD SITAULA</t>
  </si>
  <si>
    <t>GURU PD. SITAULA</t>
  </si>
  <si>
    <t>SHREE PD. SITAULA</t>
  </si>
  <si>
    <t xml:space="preserve">1003108741996          </t>
  </si>
  <si>
    <t>9841218070</t>
  </si>
  <si>
    <t>1420100028723011</t>
  </si>
  <si>
    <t>1301100000350963</t>
  </si>
  <si>
    <t>RAMJI PRASAD ARYAL</t>
  </si>
  <si>
    <t>GURU PRASAD ARYAL</t>
  </si>
  <si>
    <t>KALPANA GHIMIRE</t>
  </si>
  <si>
    <t xml:space="preserve">104519971978           </t>
  </si>
  <si>
    <t>9847256241</t>
  </si>
  <si>
    <t>NMB Bank Ltd.- Traffic Chowk Butwal Branch</t>
  </si>
  <si>
    <t>0330060191200011</t>
  </si>
  <si>
    <t>1301240000452996</t>
  </si>
  <si>
    <t>SANTOSH ADHIKARI</t>
  </si>
  <si>
    <t>GYAN BAHADUR ADHIKARI</t>
  </si>
  <si>
    <t>KUL BAHADUR ADHIKARI</t>
  </si>
  <si>
    <t xml:space="preserve">10031031/750272011     </t>
  </si>
  <si>
    <t>9851232462</t>
  </si>
  <si>
    <t>0690783062299001</t>
  </si>
  <si>
    <t>1301230000166684</t>
  </si>
  <si>
    <t>KABDAN KUMAR RAI</t>
  </si>
  <si>
    <t>GYAN BAHADUR RAI /PHUL MAYA RAI</t>
  </si>
  <si>
    <t>SITA RAI /LOK BAHADUR RAI</t>
  </si>
  <si>
    <t xml:space="preserve">105280791999           </t>
  </si>
  <si>
    <t>KAMAL</t>
  </si>
  <si>
    <t>9817928074</t>
  </si>
  <si>
    <t>6801</t>
  </si>
  <si>
    <t>Kamana Sewa Bikas Bank Ltd.-Damak Branch</t>
  </si>
  <si>
    <t>06914100336946000001</t>
  </si>
  <si>
    <t>1301120001924197</t>
  </si>
  <si>
    <t>ANITA BARUWAL</t>
  </si>
  <si>
    <t>GYANENDRA BAHADUR KARKI/LAXMI KARKI</t>
  </si>
  <si>
    <t>PREM BAHADUR KARKI/ KRISHNAKUMAR BARUWAL</t>
  </si>
  <si>
    <t xml:space="preserve">1016139092006          </t>
  </si>
  <si>
    <t>MYAGDI</t>
  </si>
  <si>
    <t>9847201814</t>
  </si>
  <si>
    <t>O607010000457</t>
  </si>
  <si>
    <t>1301410000011824</t>
  </si>
  <si>
    <t>Keshab Prasad Adhikari</t>
  </si>
  <si>
    <t xml:space="preserve">Gyanendra Prasad Adhikari/Bhim Kumari Adhikari    </t>
  </si>
  <si>
    <t>uma simkhada adhikari</t>
  </si>
  <si>
    <t xml:space="preserve">10024291983            </t>
  </si>
  <si>
    <t>100779237</t>
  </si>
  <si>
    <t>9841364217</t>
  </si>
  <si>
    <t>00120600010032000001</t>
  </si>
  <si>
    <t>1301110000449356</t>
  </si>
  <si>
    <t>NHUCHHE KAJI MAHARJAN</t>
  </si>
  <si>
    <t>GYANI BABU MAHARJAN</t>
  </si>
  <si>
    <t>GARVA MAHARJAN</t>
  </si>
  <si>
    <t xml:space="preserve">100525571983           </t>
  </si>
  <si>
    <t>9841077341</t>
  </si>
  <si>
    <t>Bank of Kathmandu Ltd.-Lagankhel Branch</t>
  </si>
  <si>
    <t>159000000012524</t>
  </si>
  <si>
    <t>1301060000001226</t>
  </si>
  <si>
    <t>ANANTA MAN SINGH</t>
  </si>
  <si>
    <t>HANSA MAN SINGH</t>
  </si>
  <si>
    <t>ABINA SINGH</t>
  </si>
  <si>
    <t xml:space="preserve">100355781984           </t>
  </si>
  <si>
    <t xml:space="preserve">100322448                </t>
  </si>
  <si>
    <t>9851067576</t>
  </si>
  <si>
    <t>00105010032114</t>
  </si>
  <si>
    <t>1301060000454481</t>
  </si>
  <si>
    <t>HANSHA RAJ VIJAYANANDA</t>
  </si>
  <si>
    <t>HARERAM VIJAYANANDA</t>
  </si>
  <si>
    <t>HARIRUDRA VIJAYANANDA</t>
  </si>
  <si>
    <t xml:space="preserve">100316091988           </t>
  </si>
  <si>
    <t>4110726</t>
  </si>
  <si>
    <t>Prabhu Bank Ltd.-Tandi Branch</t>
  </si>
  <si>
    <t>02101000196248000001</t>
  </si>
  <si>
    <t>1301080000342699</t>
  </si>
  <si>
    <t>SANJAY BAHADUR RAJLAWAT</t>
  </si>
  <si>
    <t>HARI BAHADUR RAJLAWAT</t>
  </si>
  <si>
    <t>MOHAN SINGH RAJLAWAT</t>
  </si>
  <si>
    <t xml:space="preserve">1026392340981989       </t>
  </si>
  <si>
    <t>mahottari</t>
  </si>
  <si>
    <t>00100513202016</t>
  </si>
  <si>
    <t>1301120002932051</t>
  </si>
  <si>
    <t>HARI BAHADUR THAPA</t>
  </si>
  <si>
    <t>NARA BAHADUR THAPA</t>
  </si>
  <si>
    <t xml:space="preserve">1025221039-362010      </t>
  </si>
  <si>
    <t>3309018100826</t>
  </si>
  <si>
    <t>1301390000180351</t>
  </si>
  <si>
    <t>KHEM PRASAD PAUDEL</t>
  </si>
  <si>
    <t>HARI DATTA PAUDEL PADHYA</t>
  </si>
  <si>
    <t>SHIYARI PADHUYA PAUDEL</t>
  </si>
  <si>
    <t xml:space="preserve">1044400172004          </t>
  </si>
  <si>
    <t>KAWASOTI-11</t>
  </si>
  <si>
    <t>9857022018</t>
  </si>
  <si>
    <t>Prabhu Bank Ltd.-Bhairahawa Branch</t>
  </si>
  <si>
    <t>0090034788000011</t>
  </si>
  <si>
    <t>1301450000121954</t>
  </si>
  <si>
    <t>SUBASH DEVKOTA</t>
  </si>
  <si>
    <t>HARI DEVKOTA</t>
  </si>
  <si>
    <t>BRISPATI DEVKOTA</t>
  </si>
  <si>
    <t xml:space="preserve">105613791/0561999      </t>
  </si>
  <si>
    <t>9861915682</t>
  </si>
  <si>
    <t>0108010022305</t>
  </si>
  <si>
    <t>1301110000007835</t>
  </si>
  <si>
    <t>SUBHADRA DEVI MANANDHAR</t>
  </si>
  <si>
    <t>HARI NARAYAN MANANDHAR</t>
  </si>
  <si>
    <t>BUDDHI NARAYAN MANANDHAR</t>
  </si>
  <si>
    <t xml:space="preserve">10036337/55021978      </t>
  </si>
  <si>
    <t>4264226</t>
  </si>
  <si>
    <t>Nabil Bank Limited.-Lubhu Branch</t>
  </si>
  <si>
    <t>17010017500335</t>
  </si>
  <si>
    <t>1301240000184432</t>
  </si>
  <si>
    <t>MAHADEV SAH</t>
  </si>
  <si>
    <t>HARI NARYAN SAH</t>
  </si>
  <si>
    <t>GOSAI SAH</t>
  </si>
  <si>
    <t xml:space="preserve">106744712001           </t>
  </si>
  <si>
    <t>9804702940</t>
  </si>
  <si>
    <t>Laxmi Sunrise Bank Limited.-Rajbiraj Branch</t>
  </si>
  <si>
    <t>02410111135011</t>
  </si>
  <si>
    <t>1301110000020491</t>
  </si>
  <si>
    <t>BUDDHA PRASAD MANANDHAR</t>
  </si>
  <si>
    <t>HARI PD. MANANDHAR</t>
  </si>
  <si>
    <t>SURYA NARAYAN MANANDHAR</t>
  </si>
  <si>
    <t xml:space="preserve">10034097/15061980      </t>
  </si>
  <si>
    <t>4254458</t>
  </si>
  <si>
    <t>30107010033298</t>
  </si>
  <si>
    <t>1301290000088349</t>
  </si>
  <si>
    <t>MUKTI PRASAD BHANDARI</t>
  </si>
  <si>
    <t>HARI PRASAD BHANDARI</t>
  </si>
  <si>
    <t>ISHORI PRSAD BHANDARI</t>
  </si>
  <si>
    <t xml:space="preserve">10612701-748-0361989   </t>
  </si>
  <si>
    <t>BIJUWAR</t>
  </si>
  <si>
    <t>Pyuthan</t>
  </si>
  <si>
    <t>9860561361</t>
  </si>
  <si>
    <t>Rastriya Banijya Bank Ltd.-Bhotahity Branch</t>
  </si>
  <si>
    <t>136003139910</t>
  </si>
  <si>
    <t>1301370002150570</t>
  </si>
  <si>
    <t>MANI PRASAD BHANDARI</t>
  </si>
  <si>
    <t>SHRELAL BHANDARI</t>
  </si>
  <si>
    <t xml:space="preserve">103711981/2251989      </t>
  </si>
  <si>
    <t>9852029181</t>
  </si>
  <si>
    <t>3440259911524002</t>
  </si>
  <si>
    <t>1301240000853672</t>
  </si>
  <si>
    <t>SABNAM BHATTA</t>
  </si>
  <si>
    <t>HARI PRASAD BHATTA/MANJU BHATTA</t>
  </si>
  <si>
    <t>GANGA PRASAD BHATTA</t>
  </si>
  <si>
    <t xml:space="preserve">10184410461/1762009    </t>
  </si>
  <si>
    <t>9851111801</t>
  </si>
  <si>
    <t>0170382996205001</t>
  </si>
  <si>
    <t>1301060000254310</t>
  </si>
  <si>
    <t>RAJANI CHULYADYO</t>
  </si>
  <si>
    <t>HARI PRASAD CHULYADYO</t>
  </si>
  <si>
    <t>HARI BAHADUR CHULYADYO</t>
  </si>
  <si>
    <t xml:space="preserve">1001022852001          </t>
  </si>
  <si>
    <t>4251984</t>
  </si>
  <si>
    <t>00105010163997</t>
  </si>
  <si>
    <t>1301060000151610</t>
  </si>
  <si>
    <t>SHAMBHU POUDEL</t>
  </si>
  <si>
    <t>HARI PRASAD POUDEL</t>
  </si>
  <si>
    <t>JAYANANDA POUDEL/YASODA TIWARI</t>
  </si>
  <si>
    <t xml:space="preserve">10191721112004         </t>
  </si>
  <si>
    <t>606617976</t>
  </si>
  <si>
    <t>TANAHUN</t>
  </si>
  <si>
    <t>9856060161</t>
  </si>
  <si>
    <t>Nepal Investment Mega Bank Ltd.-Damauli Branch</t>
  </si>
  <si>
    <t>03305120250986</t>
  </si>
  <si>
    <t>1301120001287671</t>
  </si>
  <si>
    <t>RAMESH KUMAR SHARMA DAHAL</t>
  </si>
  <si>
    <t>DEVI PRASAD SHARMA</t>
  </si>
  <si>
    <t xml:space="preserve">103942/80561989        </t>
  </si>
  <si>
    <t>DHARAN</t>
  </si>
  <si>
    <t>9842025769</t>
  </si>
  <si>
    <t>Global IME Bank Ltd.-Dharan Branch</t>
  </si>
  <si>
    <t>6807010002574</t>
  </si>
  <si>
    <t>1301250000011141</t>
  </si>
  <si>
    <t>Roji Shrestha</t>
  </si>
  <si>
    <t>Hari Prasad Shrestha</t>
  </si>
  <si>
    <t>Purushotam Kumar Shrestha / Ananta Prasad Shrestha</t>
  </si>
  <si>
    <t xml:space="preserve">1067760850401987       </t>
  </si>
  <si>
    <t>Prabhu Bank Ltd.-Koteshwor Branch B</t>
  </si>
  <si>
    <t>1150072962300018</t>
  </si>
  <si>
    <t>1301060002079706</t>
  </si>
  <si>
    <t>PRADIP SUBEDI</t>
  </si>
  <si>
    <t>HARI PRASAD SUBEDI</t>
  </si>
  <si>
    <t>SANGITA KUMARI SHARMA SUBEDI</t>
  </si>
  <si>
    <t xml:space="preserve">1022673572002          </t>
  </si>
  <si>
    <t>PUTALIBAZAR</t>
  </si>
  <si>
    <t>9846286097</t>
  </si>
  <si>
    <t>01105050258944</t>
  </si>
  <si>
    <t>1301310000011338</t>
  </si>
  <si>
    <t>PRABHA KUMARI JOSHI</t>
  </si>
  <si>
    <t>HARI RAM JOSHI</t>
  </si>
  <si>
    <t>DEVI BHAKTA JOSHI/SUMAN NATH YOGAL SHRESTHA</t>
  </si>
  <si>
    <t xml:space="preserve">1014311987             </t>
  </si>
  <si>
    <t>9841384962</t>
  </si>
  <si>
    <t>1430100017150011</t>
  </si>
  <si>
    <t>1301170000837623</t>
  </si>
  <si>
    <t>PADMANATHA PANDEY</t>
  </si>
  <si>
    <t>HARIHAR PANDEY</t>
  </si>
  <si>
    <t>RESMI RAJ PANDEY</t>
  </si>
  <si>
    <t xml:space="preserve">10453023682003         </t>
  </si>
  <si>
    <t>9851082646</t>
  </si>
  <si>
    <t>0370100000467027</t>
  </si>
  <si>
    <t>1301120000870431</t>
  </si>
  <si>
    <t>Sanjeev Lawat</t>
  </si>
  <si>
    <t>Harihar Prasad Lawat</t>
  </si>
  <si>
    <t>Narayan Lawat/Shiva Lawat</t>
  </si>
  <si>
    <t xml:space="preserve">10616208/0471990       </t>
  </si>
  <si>
    <t>Mallarani</t>
  </si>
  <si>
    <t>086420168</t>
  </si>
  <si>
    <t>Global IME Bank Ltd.-Bijuwar Branch</t>
  </si>
  <si>
    <t>P207010002080</t>
  </si>
  <si>
    <t>1301370000307544</t>
  </si>
  <si>
    <t>Ramesh Kumar Tabdar</t>
  </si>
  <si>
    <t>Harilal Tabedar</t>
  </si>
  <si>
    <t>Khutan lal Tabedar</t>
  </si>
  <si>
    <t xml:space="preserve">10372581972            </t>
  </si>
  <si>
    <t>Kanchanbari</t>
  </si>
  <si>
    <t>9842020044</t>
  </si>
  <si>
    <t>NIC Asia Bank Ltd.-Biratnagar Branch</t>
  </si>
  <si>
    <t>0269457942524001</t>
  </si>
  <si>
    <t>1301390000259841</t>
  </si>
  <si>
    <t>HARISH CHANDRA PANDEY/SAGYAN DEVI</t>
  </si>
  <si>
    <t>RINKU KUMARI/BILAT PANDEY</t>
  </si>
  <si>
    <t xml:space="preserve">1026392364691999       </t>
  </si>
  <si>
    <t>109690140</t>
  </si>
  <si>
    <t>9844298224</t>
  </si>
  <si>
    <t>0630078863700017</t>
  </si>
  <si>
    <t>1301610000800240</t>
  </si>
  <si>
    <t>KRISHNA THAPA</t>
  </si>
  <si>
    <t>HARKA BAHADUR THAPA</t>
  </si>
  <si>
    <t>SHARMILAPOUDEL</t>
  </si>
  <si>
    <t xml:space="preserve">10191704652006         </t>
  </si>
  <si>
    <t>KASKI</t>
  </si>
  <si>
    <t>9846081224</t>
  </si>
  <si>
    <t>0010028238400017</t>
  </si>
  <si>
    <t>1301020000017409</t>
  </si>
  <si>
    <t>SURESH MAHARJAN</t>
  </si>
  <si>
    <t>HARSHA NARAYAN MAHARJAN</t>
  </si>
  <si>
    <t>SHANTI MAHARJAN/ BEKHA NARAYAN MAHARJAN</t>
  </si>
  <si>
    <t xml:space="preserve">10032337/104141998     </t>
  </si>
  <si>
    <t>NAYABAZAR</t>
  </si>
  <si>
    <t>Agricultural Development Bank Ltd.-Putalisadak</t>
  </si>
  <si>
    <t>0209900504290016</t>
  </si>
  <si>
    <t>1301170000030221</t>
  </si>
  <si>
    <t>RAVI RATNA SHAKYA</t>
  </si>
  <si>
    <t>HARSHA RATNA SHAKYA</t>
  </si>
  <si>
    <t>HARSHA JYOTI SHAKYA</t>
  </si>
  <si>
    <t xml:space="preserve">100390731982           </t>
  </si>
  <si>
    <t>9841293032</t>
  </si>
  <si>
    <t>Citizens Bank International Ltd.-Nayabazar Branch</t>
  </si>
  <si>
    <t>0150100001363010</t>
  </si>
  <si>
    <t>1301090000211324</t>
  </si>
  <si>
    <t>PAWAN RAJ BASAULA</t>
  </si>
  <si>
    <t>HIM BAHADUR BASAULA</t>
  </si>
  <si>
    <t>BHAWANI DATA BASAULA</t>
  </si>
  <si>
    <t xml:space="preserve">1020451034-29522007    </t>
  </si>
  <si>
    <t>LAMJUNG</t>
  </si>
  <si>
    <t>9856021130</t>
  </si>
  <si>
    <t>Nepal Investment Mega Bank Ltd.-Pokhara-III Branch</t>
  </si>
  <si>
    <t>13705080005289</t>
  </si>
  <si>
    <t>1301150000064506</t>
  </si>
  <si>
    <t>PRANAV SIGDEL</t>
  </si>
  <si>
    <t>HIMALAYA SIGDEL</t>
  </si>
  <si>
    <t>BASHU DEV SIGDEL</t>
  </si>
  <si>
    <t xml:space="preserve">1003271060/289582008   </t>
  </si>
  <si>
    <t>SIFAL</t>
  </si>
  <si>
    <t>9846024430</t>
  </si>
  <si>
    <t>Sanima Bank Ltd.-Gaushala Branch</t>
  </si>
  <si>
    <t>047011060000522</t>
  </si>
  <si>
    <t>1301370002689201</t>
  </si>
  <si>
    <t>HELENA MAHARJAN</t>
  </si>
  <si>
    <t>HIRA KAJI MAHARJAN</t>
  </si>
  <si>
    <t>NUCHHA NARAYAN MAHARJAN</t>
  </si>
  <si>
    <t xml:space="preserve">1003271060/851052011   </t>
  </si>
  <si>
    <t>9860161765</t>
  </si>
  <si>
    <t>2755750464166001</t>
  </si>
  <si>
    <t>1301370000715859</t>
  </si>
  <si>
    <t>Monika Shrestha</t>
  </si>
  <si>
    <t>Hira Kaji Shrestha</t>
  </si>
  <si>
    <t>Sahila Shrestha</t>
  </si>
  <si>
    <t xml:space="preserve">100327-35497/12942006  </t>
  </si>
  <si>
    <t xml:space="preserve">108323342                </t>
  </si>
  <si>
    <t>Satungal</t>
  </si>
  <si>
    <t>9823820116</t>
  </si>
  <si>
    <t>Global IME Bank Ltd.- Kamaladi Branch</t>
  </si>
  <si>
    <t>7507010010805</t>
  </si>
  <si>
    <t>1301100000038835</t>
  </si>
  <si>
    <t>SHYAM KUMAR TANDUKAR</t>
  </si>
  <si>
    <t>HIRA MAN TANDUKAR</t>
  </si>
  <si>
    <t>KAJI MAN TANDUKAR</t>
  </si>
  <si>
    <t xml:space="preserve">100364351984           </t>
  </si>
  <si>
    <t>9841367330</t>
  </si>
  <si>
    <t>0010001537000011</t>
  </si>
  <si>
    <t>1301310000152874</t>
  </si>
  <si>
    <t>DHRUVA KUMAR VAISHY</t>
  </si>
  <si>
    <t>HOLI RAM VAISHY/ GULABWATI VAISHY</t>
  </si>
  <si>
    <t>NANKU RAM VAISHY / ARADHANA VAISHY</t>
  </si>
  <si>
    <t xml:space="preserve">1009131989             </t>
  </si>
  <si>
    <t>301467177</t>
  </si>
  <si>
    <t>9858020699</t>
  </si>
  <si>
    <t>Nepal Investment Mega Bank Ltd.-Nepalgunj Branch</t>
  </si>
  <si>
    <t>01505090000217</t>
  </si>
  <si>
    <t>1301080000666011</t>
  </si>
  <si>
    <t>SHAMBHU PRASAD RIJAL</t>
  </si>
  <si>
    <t>HOMANTH RIJAL/ CHANDRA KUMARI RIJAL</t>
  </si>
  <si>
    <t>GAJADHAR RIJAL/DURGA RIJAL</t>
  </si>
  <si>
    <t xml:space="preserve">1002216722001          </t>
  </si>
  <si>
    <t>9861596140</t>
  </si>
  <si>
    <t>Everest Bank Ltd.-Teku Branch</t>
  </si>
  <si>
    <t>01000512200043</t>
  </si>
  <si>
    <t>1301650000338758</t>
  </si>
  <si>
    <t>SUSHIL PANTHI</t>
  </si>
  <si>
    <t>HOMNATH PANTHI/HUMAKALI PANTHI</t>
  </si>
  <si>
    <t>BINITA MARASINI PANTHI/DEVIRAM PANTHI</t>
  </si>
  <si>
    <t xml:space="preserve">1042142972000          </t>
  </si>
  <si>
    <t>RESUNGA</t>
  </si>
  <si>
    <t>9847574585</t>
  </si>
  <si>
    <t>3010100000004210</t>
  </si>
  <si>
    <t>1301370000287533</t>
  </si>
  <si>
    <t>Binod Prasad Poudel</t>
  </si>
  <si>
    <t>Homnath Poudel</t>
  </si>
  <si>
    <t>Buddhinath Poudel</t>
  </si>
  <si>
    <t xml:space="preserve">100397241979           </t>
  </si>
  <si>
    <t>Attharkhel</t>
  </si>
  <si>
    <t>9841542370</t>
  </si>
  <si>
    <t>NIC Asia Bank Ltd.- Boudha Branch</t>
  </si>
  <si>
    <t>1814319352524001</t>
  </si>
  <si>
    <t>1301370003092721</t>
  </si>
  <si>
    <t>DIPAK BELBASE</t>
  </si>
  <si>
    <t>HUTARAM BELBASE</t>
  </si>
  <si>
    <t>CHHABILAL BELBASE</t>
  </si>
  <si>
    <t xml:space="preserve">1041707/4010302009     </t>
  </si>
  <si>
    <t>9847329255</t>
  </si>
  <si>
    <t>1500194604524001</t>
  </si>
  <si>
    <t>1301090000973863</t>
  </si>
  <si>
    <t>SURMILA BHANDARI KHADKA</t>
  </si>
  <si>
    <t>INDRA BAHADUR BHANDARI</t>
  </si>
  <si>
    <t>DILLI BAHADUR BHANDARI</t>
  </si>
  <si>
    <t xml:space="preserve">1025221004-912010      </t>
  </si>
  <si>
    <t>9843286507</t>
  </si>
  <si>
    <t>00415031782</t>
  </si>
  <si>
    <t>1301090002054906</t>
  </si>
  <si>
    <t>SUSMITA KHADKA</t>
  </si>
  <si>
    <t>INDRA BAHADUR KHADKA/ HARI KALA KHADKA</t>
  </si>
  <si>
    <t>TEK BAHADUR KHADKA/ MADHU SUDHAN SIMKHADA</t>
  </si>
  <si>
    <t xml:space="preserve">1022687072002          </t>
  </si>
  <si>
    <t>9843673068</t>
  </si>
  <si>
    <t>50314004952</t>
  </si>
  <si>
    <t>1301480000109786</t>
  </si>
  <si>
    <t>ASIM GURUNG</t>
  </si>
  <si>
    <t>INDRA KUMAR GURUNG</t>
  </si>
  <si>
    <t>DHAN BAHADUR GURUNG</t>
  </si>
  <si>
    <t xml:space="preserve">10191316112002         </t>
  </si>
  <si>
    <t>9840728292</t>
  </si>
  <si>
    <t>Standard Chartered Bank Nepal Ltd.-Naxal</t>
  </si>
  <si>
    <t>18-2927111-01</t>
  </si>
  <si>
    <t>1301080000216420</t>
  </si>
  <si>
    <t>SHWETA UPADHYAY</t>
  </si>
  <si>
    <t>INDRA KUMAR UPADHYAY</t>
  </si>
  <si>
    <t>PARAS NATH UPADHYAY</t>
  </si>
  <si>
    <t xml:space="preserve">1037053078/522007      </t>
  </si>
  <si>
    <t>BRT</t>
  </si>
  <si>
    <t>021-472735</t>
  </si>
  <si>
    <t>00800510200159</t>
  </si>
  <si>
    <t>1301060001501946</t>
  </si>
  <si>
    <t>DINESH GURUNG</t>
  </si>
  <si>
    <t>INDRA MAN GURUNG</t>
  </si>
  <si>
    <t>GAJ BAHADUR GURUNG</t>
  </si>
  <si>
    <t xml:space="preserve">10181118732004         </t>
  </si>
  <si>
    <t>BARPAK</t>
  </si>
  <si>
    <t>056690856</t>
  </si>
  <si>
    <t>01305050185844</t>
  </si>
  <si>
    <t>1301110000200183</t>
  </si>
  <si>
    <t>SANTOSH KUMAR GAUTAM</t>
  </si>
  <si>
    <t>INDRALAL UPEDHAYA</t>
  </si>
  <si>
    <t>NANDALAL UPEDHAYA</t>
  </si>
  <si>
    <t xml:space="preserve">1063312(009)/33192001  </t>
  </si>
  <si>
    <t>9858021151</t>
  </si>
  <si>
    <t>Bank of Kathmandu Ltd.-Nepalgunj Branch</t>
  </si>
  <si>
    <t>050500001057524</t>
  </si>
  <si>
    <t>1301120002638027</t>
  </si>
  <si>
    <t>NIRAJ SAPKOTA</t>
  </si>
  <si>
    <t>INDRAMANI SAPKOTA</t>
  </si>
  <si>
    <t>NARESHWOR SAPKOTA</t>
  </si>
  <si>
    <t xml:space="preserve">101451912004           </t>
  </si>
  <si>
    <t>baglung</t>
  </si>
  <si>
    <t>9813326972</t>
  </si>
  <si>
    <t>Global IME Bank Ltd.-Dhapasi Branch</t>
  </si>
  <si>
    <t>00807010000268</t>
  </si>
  <si>
    <t>1301520000705029</t>
  </si>
  <si>
    <t>MAMATA LONIYA</t>
  </si>
  <si>
    <t>JAG NARAYAN LONIYA</t>
  </si>
  <si>
    <t>TAPESHWAR LONIYA</t>
  </si>
  <si>
    <t xml:space="preserve">1044361069/20862010    </t>
  </si>
  <si>
    <t>0500052802800001</t>
  </si>
  <si>
    <t>1301440000000602</t>
  </si>
  <si>
    <t>Nirlep Adhikari</t>
  </si>
  <si>
    <t>Jagadishwar Adhikari</t>
  </si>
  <si>
    <t>Balabhadra Adhikari</t>
  </si>
  <si>
    <t xml:space="preserve">101844-01-72-052722015 </t>
  </si>
  <si>
    <t>9861043837</t>
  </si>
  <si>
    <t>Bank of Kathmandu Ltd.-Thamel Branch</t>
  </si>
  <si>
    <t>050100002037524</t>
  </si>
  <si>
    <t>1301600000000736</t>
  </si>
  <si>
    <t>NAVIN KUMAR DHAKAL</t>
  </si>
  <si>
    <t>JAGANNATH PRASAD UPADHYA DHAKAL</t>
  </si>
  <si>
    <t>BHAGAT PRASAD DHAKAL</t>
  </si>
  <si>
    <t xml:space="preserve">1024396939591996       </t>
  </si>
  <si>
    <t>9851238830</t>
  </si>
  <si>
    <t>Prabhu Bank Ltd.-Head Office Babarmahal</t>
  </si>
  <si>
    <t>9997003481400018</t>
  </si>
  <si>
    <t>1301570000296150</t>
  </si>
  <si>
    <t>Sirjana Sapkota</t>
  </si>
  <si>
    <t>Jagannath Sapkota</t>
  </si>
  <si>
    <t>Balkrishna Sapkota</t>
  </si>
  <si>
    <t xml:space="preserve">101450-01-74-010382017 </t>
  </si>
  <si>
    <t>Kundule</t>
  </si>
  <si>
    <t>Nepal Bank Ltd.-Baglung Branch</t>
  </si>
  <si>
    <t>02201606812284000001</t>
  </si>
  <si>
    <t>1301060000329994</t>
  </si>
  <si>
    <t>KALIKA PRASAD KOIRALA</t>
  </si>
  <si>
    <t>JAGANNATHA PRASAD KOIRALA</t>
  </si>
  <si>
    <t>RITA KOIRALA</t>
  </si>
  <si>
    <t xml:space="preserve">1003807/495281983      </t>
  </si>
  <si>
    <t>DHANUSHA</t>
  </si>
  <si>
    <t>01-4107865</t>
  </si>
  <si>
    <t>Global IME Bank Ltd.-Tinkune Branch</t>
  </si>
  <si>
    <t>P507010003729</t>
  </si>
  <si>
    <t>1301650000434053</t>
  </si>
  <si>
    <t>JAGAT</t>
  </si>
  <si>
    <t>THAGUNNA/</t>
  </si>
  <si>
    <t xml:space="preserve">1049720141633932012    </t>
  </si>
  <si>
    <t>9849488120</t>
  </si>
  <si>
    <t>Rastriya Banijya Bank Ltd.-Darchula Branch</t>
  </si>
  <si>
    <t>4090100022690010</t>
  </si>
  <si>
    <t>1301490000053572</t>
  </si>
  <si>
    <t>PHOOL KUMARI SYANGDANPRADHAN</t>
  </si>
  <si>
    <t>JAGAT BAHADUR SYANGDAN</t>
  </si>
  <si>
    <t>GANESH BAHADUR PRADHAN</t>
  </si>
  <si>
    <t xml:space="preserve">1027211017/293662011   </t>
  </si>
  <si>
    <t>RAMECHAP</t>
  </si>
  <si>
    <t>9849137658</t>
  </si>
  <si>
    <t>Prime Commercial Bank Ltd.-Koteshwor Branch</t>
  </si>
  <si>
    <t>02300081SA</t>
  </si>
  <si>
    <t>1301650000340254</t>
  </si>
  <si>
    <t>LOKENDRA BAHADUR THAPA</t>
  </si>
  <si>
    <t>JAGAT BAHADUR THAPA/ LAXMI DEVVI THAPA</t>
  </si>
  <si>
    <t>BHUWAN SHING THAPA</t>
  </si>
  <si>
    <t xml:space="preserve">101163-01-71-012272014 </t>
  </si>
  <si>
    <t>DAILEKH</t>
  </si>
  <si>
    <t>9864345698</t>
  </si>
  <si>
    <t>Rastriya Banijya Bank Ltd.-Nepalgunj Branch</t>
  </si>
  <si>
    <t>4130100002801104</t>
  </si>
  <si>
    <t>1301070000566419</t>
  </si>
  <si>
    <t>Parwati Bohara</t>
  </si>
  <si>
    <t>Jagat Singh Bohara</t>
  </si>
  <si>
    <t>Dharam Singh Bohara</t>
  </si>
  <si>
    <t xml:space="preserve">1049723028/8442007     </t>
  </si>
  <si>
    <t>Mahakali</t>
  </si>
  <si>
    <t>9848711700</t>
  </si>
  <si>
    <t>09023003201</t>
  </si>
  <si>
    <t>1301580000415094</t>
  </si>
  <si>
    <t>DIVYA RAJANI RAI</t>
  </si>
  <si>
    <t>JAI BAHADUR RAI</t>
  </si>
  <si>
    <t>GAGAN KALYAN PRADHAN</t>
  </si>
  <si>
    <t xml:space="preserve">1052323582382001       </t>
  </si>
  <si>
    <t>041011200000003</t>
  </si>
  <si>
    <t>1301320000005080</t>
  </si>
  <si>
    <t>Kusum Devi Sanghai</t>
  </si>
  <si>
    <t>Jai Gopal Jalan</t>
  </si>
  <si>
    <t>Bimal K Sanghai</t>
  </si>
  <si>
    <t>10031746/1692/235821990</t>
  </si>
  <si>
    <t xml:space="preserve">108533653                </t>
  </si>
  <si>
    <t>Trikuti Marg</t>
  </si>
  <si>
    <t>9851031493</t>
  </si>
  <si>
    <t>Everest Bank Ltd.- New Road Branch</t>
  </si>
  <si>
    <t>00200518200143</t>
  </si>
  <si>
    <t>1301190000154588</t>
  </si>
  <si>
    <t>PRADEEP BHATTARAI</t>
  </si>
  <si>
    <t>JAI RAM BHATTARAI</t>
  </si>
  <si>
    <t>HEM LAL BHATTARAI</t>
  </si>
  <si>
    <t xml:space="preserve">1022177112004          </t>
  </si>
  <si>
    <t>TILOTAMA</t>
  </si>
  <si>
    <t>9857042729</t>
  </si>
  <si>
    <t>Nabil Bank Ltd.-Manigram Branch</t>
  </si>
  <si>
    <t>10810017500218</t>
  </si>
  <si>
    <t>1301040001167227</t>
  </si>
  <si>
    <t>RAJU KUMAR GURUNG</t>
  </si>
  <si>
    <t>JANG BAHADUR GURUNG/CHANDRA MAYA GURUNG</t>
  </si>
  <si>
    <t>DHAN BAHADUR GURUNG/PABITA GURUNG</t>
  </si>
  <si>
    <t xml:space="preserve">1024396922311990       </t>
  </si>
  <si>
    <t>9844022813</t>
  </si>
  <si>
    <t>Nabil Bank Ltd.-Janakpur Pidarichowk</t>
  </si>
  <si>
    <t>5210017503933</t>
  </si>
  <si>
    <t>1301040000065238</t>
  </si>
  <si>
    <t>SUNIL GURUNG</t>
  </si>
  <si>
    <t>JANGA BAHADUR GURUNG</t>
  </si>
  <si>
    <t>KUL PRASAD GURUNG</t>
  </si>
  <si>
    <t xml:space="preserve">1019819401999          </t>
  </si>
  <si>
    <t>9851014249</t>
  </si>
  <si>
    <t>1300079578524001</t>
  </si>
  <si>
    <t>1301320000081671</t>
  </si>
  <si>
    <t>Dipu Waiba</t>
  </si>
  <si>
    <t>Jas Bahadur Waiba</t>
  </si>
  <si>
    <t>Dorje Waiba</t>
  </si>
  <si>
    <t xml:space="preserve">10551198/7471995       </t>
  </si>
  <si>
    <t>Kathmandu-14</t>
  </si>
  <si>
    <t>9841147666</t>
  </si>
  <si>
    <t>003000000710H</t>
  </si>
  <si>
    <t>1301530000018476</t>
  </si>
  <si>
    <t>DEEPAK KUMAR JHA</t>
  </si>
  <si>
    <t>JAWAHAR JHA</t>
  </si>
  <si>
    <t>UPENDRA JHA</t>
  </si>
  <si>
    <t xml:space="preserve">1067979934142006       </t>
  </si>
  <si>
    <t>Phidim - 1</t>
  </si>
  <si>
    <t>Panchthar</t>
  </si>
  <si>
    <t>9842928069</t>
  </si>
  <si>
    <t>Nepal Sbi Bank Ltd.-Durbar Marg Branch</t>
  </si>
  <si>
    <t>17715240200273</t>
  </si>
  <si>
    <t>1301070000333313</t>
  </si>
  <si>
    <t>Bal Bahadur Tamang</t>
  </si>
  <si>
    <t>Jaya Bahadur Tamang</t>
  </si>
  <si>
    <t>Tikman Tamang</t>
  </si>
  <si>
    <t xml:space="preserve">103537947/4964/5642001 </t>
  </si>
  <si>
    <t>Koshi</t>
  </si>
  <si>
    <t>Bhojpur</t>
  </si>
  <si>
    <t>9842417352</t>
  </si>
  <si>
    <t>Laxmi Bank Ltd.-Hattisar Branch</t>
  </si>
  <si>
    <t>00526017519</t>
  </si>
  <si>
    <t>1301100000096444</t>
  </si>
  <si>
    <t>RAMCHANDRA NEUPANE</t>
  </si>
  <si>
    <t>JAYA DHARMA NEUPANE</t>
  </si>
  <si>
    <t>DILLI PRASAD NEUPANE/ANJU UPRETY</t>
  </si>
  <si>
    <t xml:space="preserve">10381870/203631981     </t>
  </si>
  <si>
    <t>5250235</t>
  </si>
  <si>
    <t>NMB Bank Ltd.-Banepa Branch</t>
  </si>
  <si>
    <t>00320500016950000001</t>
  </si>
  <si>
    <t>1301110000612152</t>
  </si>
  <si>
    <t>RABINDRA PANDEY</t>
  </si>
  <si>
    <t>JAYA NARAYAN PANDEY</t>
  </si>
  <si>
    <t>SHREE PRASAD PANDEY</t>
  </si>
  <si>
    <t xml:space="preserve">1004301076/1786442009  </t>
  </si>
  <si>
    <t>9841423518</t>
  </si>
  <si>
    <t>Bank of Kathmandu Ltd.-Maharajgunj Branch</t>
  </si>
  <si>
    <t>154400000438524</t>
  </si>
  <si>
    <t>1301630000323745</t>
  </si>
  <si>
    <t>BIKASH KUMAR SHUKLA</t>
  </si>
  <si>
    <t>JEET NARAYAN SHUKLA/SHARDA DEVI</t>
  </si>
  <si>
    <t>RAM PYARE SHUKLA</t>
  </si>
  <si>
    <t xml:space="preserve">1046176752005          </t>
  </si>
  <si>
    <t>9847612183</t>
  </si>
  <si>
    <t>003000341660B</t>
  </si>
  <si>
    <t>1301040001243122</t>
  </si>
  <si>
    <t>PRADEEP ACHARYA</t>
  </si>
  <si>
    <t>JHALAK PRASAD ACHARYA/JAYANTI ACHARYA</t>
  </si>
  <si>
    <t>MAKSHYA LAL ACHARYA/</t>
  </si>
  <si>
    <t xml:space="preserve">10194610102007         </t>
  </si>
  <si>
    <t>9742938390</t>
  </si>
  <si>
    <t>01210017525911</t>
  </si>
  <si>
    <t>1301570000338960</t>
  </si>
  <si>
    <t>PAWAN MAHAT</t>
  </si>
  <si>
    <t>JHAPAT MAHAT/SARAWATI MAHAT</t>
  </si>
  <si>
    <t>GAMBAR BAHADUR MAHAT</t>
  </si>
  <si>
    <t xml:space="preserve">102242-01-76-033262019 </t>
  </si>
  <si>
    <t>9844903415</t>
  </si>
  <si>
    <t>28311306815482000001</t>
  </si>
  <si>
    <t>1301070000971488</t>
  </si>
  <si>
    <t>AJAY KUMAR SHARMA</t>
  </si>
  <si>
    <t>JIB NARAYAN SHARMA</t>
  </si>
  <si>
    <t>THITAR SHARMA</t>
  </si>
  <si>
    <t xml:space="preserve">1067163024/4682007     </t>
  </si>
  <si>
    <t>SAPTARI</t>
  </si>
  <si>
    <t>9851113309</t>
  </si>
  <si>
    <t>00520479443</t>
  </si>
  <si>
    <t>1301040000063264</t>
  </si>
  <si>
    <t>BASAN SHRESTHA</t>
  </si>
  <si>
    <t>JIT LAL SHRESTHA</t>
  </si>
  <si>
    <t>SARITA SHRESTHA/BASUDEV SHRESTHA</t>
  </si>
  <si>
    <t xml:space="preserve">100310731986           </t>
  </si>
  <si>
    <t>01-4770695</t>
  </si>
  <si>
    <t>00120600110873000001</t>
  </si>
  <si>
    <t>1301720000284077</t>
  </si>
  <si>
    <t>ABHILASHA KARN</t>
  </si>
  <si>
    <t>JITENDRA PRASAD KARN</t>
  </si>
  <si>
    <t>AJIT KUMAR MALLIK</t>
  </si>
  <si>
    <t xml:space="preserve">1009115882003          </t>
  </si>
  <si>
    <t>NEPALGUNJ</t>
  </si>
  <si>
    <t>9816569234</t>
  </si>
  <si>
    <t>Agricultural Development Bank Ltd.-Birgunj Banking</t>
  </si>
  <si>
    <t>0507401721304015</t>
  </si>
  <si>
    <t>1301260000967074</t>
  </si>
  <si>
    <t>VICKY KUMAR SAH</t>
  </si>
  <si>
    <t>JITENDRA SAH MEHATARI/GITA DEVI</t>
  </si>
  <si>
    <t>LAXMI SAHU MEHATARI</t>
  </si>
  <si>
    <t xml:space="preserve">102618-01-73/004532016 </t>
  </si>
  <si>
    <t>9817603030</t>
  </si>
  <si>
    <t>0630085756200011</t>
  </si>
  <si>
    <t>1301080000291752</t>
  </si>
  <si>
    <t>BHUVNESHWAR YADAV</t>
  </si>
  <si>
    <t>JITU YADAV</t>
  </si>
  <si>
    <t>AJODHI YADAV</t>
  </si>
  <si>
    <t xml:space="preserve">1067161009/772008      </t>
  </si>
  <si>
    <t>031560428</t>
  </si>
  <si>
    <t>00100516210212</t>
  </si>
  <si>
    <t>1301040000058693</t>
  </si>
  <si>
    <t>ANITA JOSHI</t>
  </si>
  <si>
    <t>JIV NARAYAN KADEL</t>
  </si>
  <si>
    <t>PREM RAJ JOSHI/BALA BHADRA KADEL</t>
  </si>
  <si>
    <t>10037137/1800/496721948</t>
  </si>
  <si>
    <t>01-4375015</t>
  </si>
  <si>
    <t>Agricultural Development Bank Ltd.-Maharajgunj</t>
  </si>
  <si>
    <t>0210400235546011</t>
  </si>
  <si>
    <t>1301390000112865</t>
  </si>
  <si>
    <t>BRIJ KISHOR CHAURASIYA</t>
  </si>
  <si>
    <t>JOGENDRA RAUT BARAI</t>
  </si>
  <si>
    <t>BASUDEV RAUT BARAI</t>
  </si>
  <si>
    <t xml:space="preserve">1055331045/22042007    </t>
  </si>
  <si>
    <t>MAHAGADI MAI</t>
  </si>
  <si>
    <t>9855048136</t>
  </si>
  <si>
    <t>Prabhu Bank Ltd.-Jomsom Branch</t>
  </si>
  <si>
    <t>0740090523800016</t>
  </si>
  <si>
    <t>1301580000518894</t>
  </si>
  <si>
    <t>PREM KUSH SAH</t>
  </si>
  <si>
    <t>JOGENDRA SAH/SHUSHILA DEVI</t>
  </si>
  <si>
    <t>SARJUG SAH</t>
  </si>
  <si>
    <t xml:space="preserve">1024171102-6572008     </t>
  </si>
  <si>
    <t>9816800916</t>
  </si>
  <si>
    <t>001011010002125</t>
  </si>
  <si>
    <t>1301370002266653</t>
  </si>
  <si>
    <t>SADHANA MAHARJAN</t>
  </si>
  <si>
    <t>JOGMOHAN MAHARJAN</t>
  </si>
  <si>
    <t>BALKRISNNA MAHARJAN</t>
  </si>
  <si>
    <t>100528-01-070-013552013</t>
  </si>
  <si>
    <t>9808243175</t>
  </si>
  <si>
    <t>03524093338</t>
  </si>
  <si>
    <t>1301260000588477</t>
  </si>
  <si>
    <t>BAL KUMAR THAPA</t>
  </si>
  <si>
    <t>JUNGA BAHADUR THAPA/DEVI MAYA THAPA</t>
  </si>
  <si>
    <t>MAHA BIR THAPA</t>
  </si>
  <si>
    <t xml:space="preserve">1036232221989          </t>
  </si>
  <si>
    <t>9842065875</t>
  </si>
  <si>
    <t>0540167904500014</t>
  </si>
  <si>
    <t>1301770000014880</t>
  </si>
  <si>
    <t>PRAJITA SHRESTHA</t>
  </si>
  <si>
    <t>JYOTI PRAKASH SHRESTHA / PUSHPA SHRESTHA</t>
  </si>
  <si>
    <t>RAMSHARAN ANJAKHYA / SANU KAJI SHRESTHA</t>
  </si>
  <si>
    <t xml:space="preserve">1004301037/171712008   </t>
  </si>
  <si>
    <t>Suryabinayak</t>
  </si>
  <si>
    <t>9860804126</t>
  </si>
  <si>
    <t>00408822150011</t>
  </si>
  <si>
    <t>1301370000373139</t>
  </si>
  <si>
    <t>Roopesh Kumar Agrawal</t>
  </si>
  <si>
    <t>Kailash Chand Agrawal</t>
  </si>
  <si>
    <t>Fusaram Agrawal</t>
  </si>
  <si>
    <t xml:space="preserve">1068153005/4662007     </t>
  </si>
  <si>
    <t>Lahan</t>
  </si>
  <si>
    <t>Siraha</t>
  </si>
  <si>
    <t>9841093072</t>
  </si>
  <si>
    <t>10DB027786NPR003</t>
  </si>
  <si>
    <t>1301090000171381</t>
  </si>
  <si>
    <t>RAM MAN SHRESTHA</t>
  </si>
  <si>
    <t>KAILASH MAN SHRESTHA</t>
  </si>
  <si>
    <t>HIRA MAN SHRESTHA / DEEPA SHRESTHA</t>
  </si>
  <si>
    <t xml:space="preserve">1003129931999          </t>
  </si>
  <si>
    <t>CHANDRAGIRI</t>
  </si>
  <si>
    <t>014310970</t>
  </si>
  <si>
    <t>Siddhartha Bank Ltd.-SME, Kathmandu</t>
  </si>
  <si>
    <t>50215032794</t>
  </si>
  <si>
    <t>1301240000219941</t>
  </si>
  <si>
    <t>SUROJ CHILUWAL</t>
  </si>
  <si>
    <t>KAJIBABU CHILUWAL</t>
  </si>
  <si>
    <t>MAHANIDHI CHILUWAL</t>
  </si>
  <si>
    <t xml:space="preserve">1020609452006          </t>
  </si>
  <si>
    <t>9808282862</t>
  </si>
  <si>
    <t>Laxmi Sunrise Bank Limited.-Duhabi Branch</t>
  </si>
  <si>
    <t>0040516832208001</t>
  </si>
  <si>
    <t>1301040000987748</t>
  </si>
  <si>
    <t>RAJANI SHRESTHA</t>
  </si>
  <si>
    <t>KAJIBABU SHRESTHA/RAMDEVI SHRESTHA</t>
  </si>
  <si>
    <t>RATNA MAN SHRESTHA/RAMESWOR KARMACHARYA</t>
  </si>
  <si>
    <t xml:space="preserve">100352011999           </t>
  </si>
  <si>
    <t>9843697560</t>
  </si>
  <si>
    <t>1710017516374</t>
  </si>
  <si>
    <t>1301090000042642</t>
  </si>
  <si>
    <t>KANCHAN CHITRAKAR</t>
  </si>
  <si>
    <t>KAMAL BAHADUR CHITRAKAR</t>
  </si>
  <si>
    <t>LALIT BAHADUR CHITRAKAR</t>
  </si>
  <si>
    <t xml:space="preserve">10014/191993           </t>
  </si>
  <si>
    <t xml:space="preserve">100156115                </t>
  </si>
  <si>
    <t>4602925</t>
  </si>
  <si>
    <t>Nabil Bank Ltd.-Lalitpur Branch</t>
  </si>
  <si>
    <t>0210017529273</t>
  </si>
  <si>
    <t>1301120000231430</t>
  </si>
  <si>
    <t>Kabin Mool</t>
  </si>
  <si>
    <t>Kamal Das Mool</t>
  </si>
  <si>
    <t>Kedar Das Mool</t>
  </si>
  <si>
    <t xml:space="preserve">1005816471996          </t>
  </si>
  <si>
    <t>Kupondol</t>
  </si>
  <si>
    <t>5529440</t>
  </si>
  <si>
    <t>0210017500805</t>
  </si>
  <si>
    <t>1301650000317079</t>
  </si>
  <si>
    <t>KUNJANA DAHAL</t>
  </si>
  <si>
    <t>KAMAL PRASAD DAHAL / PABITRA DAHAL ADHIKARI</t>
  </si>
  <si>
    <t>BALABHADRA DAHAL</t>
  </si>
  <si>
    <t xml:space="preserve">103720730611001572016  </t>
  </si>
  <si>
    <t>RANIBARI</t>
  </si>
  <si>
    <t>9852091337</t>
  </si>
  <si>
    <t>1100100027376010</t>
  </si>
  <si>
    <t>1301180000134357</t>
  </si>
  <si>
    <t>MAHESH CHANDRA RAI</t>
  </si>
  <si>
    <t>KAMAL PRASAD RAI</t>
  </si>
  <si>
    <t>DHARMASUR RAI</t>
  </si>
  <si>
    <t xml:space="preserve">103542842004           </t>
  </si>
  <si>
    <t xml:space="preserve">112155960                </t>
  </si>
  <si>
    <t>BHOJPUR</t>
  </si>
  <si>
    <t>9851196522</t>
  </si>
  <si>
    <t>Rastriya Banijya Bank Ltd.-Maitidevi Branch</t>
  </si>
  <si>
    <t>155001482710</t>
  </si>
  <si>
    <t>1301120000536729</t>
  </si>
  <si>
    <t>SABITA BHATTARAI</t>
  </si>
  <si>
    <t>KAMAL RAJ BHATTARAI</t>
  </si>
  <si>
    <t xml:space="preserve">10451020222003         </t>
  </si>
  <si>
    <t>9849098304</t>
  </si>
  <si>
    <t>Rastriya Banijya Bank Ltd.-Damauli Branch</t>
  </si>
  <si>
    <t>3520100000008011</t>
  </si>
  <si>
    <t>1301120000444129</t>
  </si>
  <si>
    <t>Priyanka Subedi</t>
  </si>
  <si>
    <t>Kamal Subedi</t>
  </si>
  <si>
    <t>Tika Ram Subedi</t>
  </si>
  <si>
    <t xml:space="preserve">100327-01-72-014282015 </t>
  </si>
  <si>
    <t>New baneshwor</t>
  </si>
  <si>
    <t>9841206332</t>
  </si>
  <si>
    <t>01205150001793</t>
  </si>
  <si>
    <t>1301450000038361</t>
  </si>
  <si>
    <t>SAMEER JUNG SUBEDI</t>
  </si>
  <si>
    <t>KAMAL SUBEDI</t>
  </si>
  <si>
    <t>TIKA RAM SUBEDI</t>
  </si>
  <si>
    <t xml:space="preserve">1003270173074312016    </t>
  </si>
  <si>
    <t>4910017504838</t>
  </si>
  <si>
    <t>1301060001130910</t>
  </si>
  <si>
    <t>KRISHIKA LAMA</t>
  </si>
  <si>
    <t>KANCHHA LAMA</t>
  </si>
  <si>
    <t>KRISHNA PRASAD LAMA</t>
  </si>
  <si>
    <t xml:space="preserve">1004301077/1842802009  </t>
  </si>
  <si>
    <t>9818248590</t>
  </si>
  <si>
    <t>03605120275590</t>
  </si>
  <si>
    <t>1301240000057612</t>
  </si>
  <si>
    <t>TARA MAHARJAN</t>
  </si>
  <si>
    <t>KARMA LAL MAHARJAN</t>
  </si>
  <si>
    <t>KAJI MAN MAHARJAN</t>
  </si>
  <si>
    <t>100528-01-067-042592010</t>
  </si>
  <si>
    <t>9849038758</t>
  </si>
  <si>
    <t>Himalayan Bank Ltd.-Sundhara Branch</t>
  </si>
  <si>
    <t>11052782490011</t>
  </si>
  <si>
    <t>1301040000263135</t>
  </si>
  <si>
    <t>PRAKASH RAJ BHATT</t>
  </si>
  <si>
    <t>KASHI RAM BHATT/HARULI DEVI BHATT</t>
  </si>
  <si>
    <t>SITA KUMARI JOSHI/MOTI RAM BHATT</t>
  </si>
  <si>
    <t xml:space="preserve">1049155011997          </t>
  </si>
  <si>
    <t>9858422004</t>
  </si>
  <si>
    <t>NMB Bank Ltd.- Masuriya Branch</t>
  </si>
  <si>
    <t>0870089682600015</t>
  </si>
  <si>
    <t>1301610000861416</t>
  </si>
  <si>
    <t>KASHI RAM DHAKAL</t>
  </si>
  <si>
    <t>TULA RAM DHAKAL</t>
  </si>
  <si>
    <t xml:space="preserve">102242352-1662006      </t>
  </si>
  <si>
    <t>9841173236</t>
  </si>
  <si>
    <t>Machhapuchhre Bank Ltd.-Thakurdwara Branch</t>
  </si>
  <si>
    <t>0110007991400012</t>
  </si>
  <si>
    <t>1301090000776955</t>
  </si>
  <si>
    <t>SHUBHAA SHRESTHA</t>
  </si>
  <si>
    <t>KAUSHAL NATH SHRESTHA</t>
  </si>
  <si>
    <t>KEDAR NATH SHRESTHA</t>
  </si>
  <si>
    <t xml:space="preserve">1039BIRTH REG 782017   </t>
  </si>
  <si>
    <t>025-520113</t>
  </si>
  <si>
    <t>Standard Chartered Bank Nepal Ltd.-Dharan Branch</t>
  </si>
  <si>
    <t>24338238901</t>
  </si>
  <si>
    <t>1301720000199251</t>
  </si>
  <si>
    <t>SAMPADA BARAL</t>
  </si>
  <si>
    <t>KEDAR BARAL</t>
  </si>
  <si>
    <t>DAMBAR BAHADUR BARAL</t>
  </si>
  <si>
    <t xml:space="preserve">106627-01-76-066382019 </t>
  </si>
  <si>
    <t>LIKHU-9</t>
  </si>
  <si>
    <t>9851082506</t>
  </si>
  <si>
    <t>0100201668420012</t>
  </si>
  <si>
    <t>1301040000118532</t>
  </si>
  <si>
    <t>KIRAN MAN SHRESTHA</t>
  </si>
  <si>
    <t>KEDAR MAN SHRESTHA</t>
  </si>
  <si>
    <t>CHANDRA KUMARI MUNANKARMI/PURNA LAL SHRESTHA</t>
  </si>
  <si>
    <t xml:space="preserve">10031437/16061981      </t>
  </si>
  <si>
    <t>KAPAN</t>
  </si>
  <si>
    <t>9841490055</t>
  </si>
  <si>
    <t>Rastriya Banijya Bank Ltd.-Sanothimi Branch</t>
  </si>
  <si>
    <t>173000767210</t>
  </si>
  <si>
    <t>1301120000000288</t>
  </si>
  <si>
    <t>Pratap Man Shrestha</t>
  </si>
  <si>
    <t>Kedar Man Shrestha</t>
  </si>
  <si>
    <t>Krishna Man Shrestha</t>
  </si>
  <si>
    <t xml:space="preserve">1003171/482451979      </t>
  </si>
  <si>
    <t xml:space="preserve">MARU                     </t>
  </si>
  <si>
    <t>9851056123</t>
  </si>
  <si>
    <t>0690418141214001</t>
  </si>
  <si>
    <t>1301070000050180</t>
  </si>
  <si>
    <t>Rajendra Kumar Agrawal</t>
  </si>
  <si>
    <t>Kedar Nath Agrawal</t>
  </si>
  <si>
    <t>Ganesh Lal Agrawal</t>
  </si>
  <si>
    <t xml:space="preserve">10583876/160317591988  </t>
  </si>
  <si>
    <t>Birgunj</t>
  </si>
  <si>
    <t>9855023194</t>
  </si>
  <si>
    <t>Kumari Bank Ltd.-Hetauda Branch</t>
  </si>
  <si>
    <t>0580213098600001</t>
  </si>
  <si>
    <t>1301090002495214</t>
  </si>
  <si>
    <t>SHREE KRISHNA MAINALI</t>
  </si>
  <si>
    <t>KEDAR NATH MAINALI</t>
  </si>
  <si>
    <t>HARI PRASAD MAINALI</t>
  </si>
  <si>
    <t xml:space="preserve">10041253352004         </t>
  </si>
  <si>
    <t>9841704158</t>
  </si>
  <si>
    <t>01715142005</t>
  </si>
  <si>
    <t>1301380000056930</t>
  </si>
  <si>
    <t>GOVINDA PRASAD NEUPANE</t>
  </si>
  <si>
    <t>RUDRA NATH NEUPANE</t>
  </si>
  <si>
    <t xml:space="preserve">1057116631989          </t>
  </si>
  <si>
    <t>1420100054113010</t>
  </si>
  <si>
    <t>1301580000024519</t>
  </si>
  <si>
    <t>ANITA KUMARI BHATTARAI</t>
  </si>
  <si>
    <t>KEDAR PRASAD BHATTARAI</t>
  </si>
  <si>
    <t xml:space="preserve">105914031990           </t>
  </si>
  <si>
    <t>BIRGUNJ 11</t>
  </si>
  <si>
    <t>Sanima Bank Ltd.-Birgunj Branch</t>
  </si>
  <si>
    <t>021000000130N</t>
  </si>
  <si>
    <t>1301110000366928</t>
  </si>
  <si>
    <t>SANU BABU BAJGAIN</t>
  </si>
  <si>
    <t>KEDARNATH BAJGAIN/CHITRA KUMARI BAJGAIN</t>
  </si>
  <si>
    <t>SHIVA LAL BAJGAIN</t>
  </si>
  <si>
    <t xml:space="preserve">1004349331990          </t>
  </si>
  <si>
    <t>9841306368</t>
  </si>
  <si>
    <t>NIC Asia Bank Ltd.-Manmaiju Branch</t>
  </si>
  <si>
    <t>G302011813052401</t>
  </si>
  <si>
    <t>1301060000217445</t>
  </si>
  <si>
    <t>SAGAR POKHREL</t>
  </si>
  <si>
    <t>KESHAB KUAMR POKHREL</t>
  </si>
  <si>
    <t>PREM BAHADUR POKHREL</t>
  </si>
  <si>
    <t xml:space="preserve">1003240092005          </t>
  </si>
  <si>
    <t>014312384</t>
  </si>
  <si>
    <t>Global IME Bank Ltd.-Thankot Branch</t>
  </si>
  <si>
    <t>9007010000491</t>
  </si>
  <si>
    <t>1301370000009378</t>
  </si>
  <si>
    <t>Sanju Upadhyay</t>
  </si>
  <si>
    <t>Keshab Prasad Upadhyay</t>
  </si>
  <si>
    <t>Late. Pashupati Upadhyay</t>
  </si>
  <si>
    <t xml:space="preserve">102410951979           </t>
  </si>
  <si>
    <t>9841727803</t>
  </si>
  <si>
    <t>NIC Asia Bank Ltd.-Pulchowk Branch</t>
  </si>
  <si>
    <t>3369180286524002</t>
  </si>
  <si>
    <t>1301100001763547</t>
  </si>
  <si>
    <t>RENUKA SHRESTHA</t>
  </si>
  <si>
    <t>KHADGA BAHADUR SHRESTHA/SUBHA MAYA SHRESTHA</t>
  </si>
  <si>
    <t>MAN BAHADUR SHRESTHA/DEV BAHADUR SHRESTHA</t>
  </si>
  <si>
    <t xml:space="preserve">105103-01-73-017472016 </t>
  </si>
  <si>
    <t>sakphara</t>
  </si>
  <si>
    <t>9817328954</t>
  </si>
  <si>
    <t>0610076271200011</t>
  </si>
  <si>
    <t>1301770000217562</t>
  </si>
  <si>
    <t>SUMITRA SHRESTHA</t>
  </si>
  <si>
    <t>KHADGA PRADHAN</t>
  </si>
  <si>
    <t>JAGAT LAL PRADHAN</t>
  </si>
  <si>
    <t xml:space="preserve">100345111993           </t>
  </si>
  <si>
    <t>NAGARJUN</t>
  </si>
  <si>
    <t>9841203866</t>
  </si>
  <si>
    <t>Himalayan Bank Ltd.-Hiti Durbar Branch</t>
  </si>
  <si>
    <t>01909341190012</t>
  </si>
  <si>
    <t>1301120002555749</t>
  </si>
  <si>
    <t>AMRITA SUNAR</t>
  </si>
  <si>
    <t>KHADKA BAHADUR SUNAR</t>
  </si>
  <si>
    <t>BALARAM SUNAR</t>
  </si>
  <si>
    <t xml:space="preserve">101163-01-69-000202012 </t>
  </si>
  <si>
    <t>Dailekh</t>
  </si>
  <si>
    <t>9847290848</t>
  </si>
  <si>
    <t>0807010016119</t>
  </si>
  <si>
    <t>1301370000431901</t>
  </si>
  <si>
    <t>Thakur Prasad Neupane</t>
  </si>
  <si>
    <t>Khaga Dev Neupane</t>
  </si>
  <si>
    <t>Hom Kanta Neupane</t>
  </si>
  <si>
    <t xml:space="preserve">104514521987           </t>
  </si>
  <si>
    <t>Thatiya</t>
  </si>
  <si>
    <t>9857030792</t>
  </si>
  <si>
    <t>NIC Asia Bank Ltd.-Butwal Branch</t>
  </si>
  <si>
    <t>15SH039541NPR001</t>
  </si>
  <si>
    <t>1301120001131532</t>
  </si>
  <si>
    <t>Gyanu Shrestha</t>
  </si>
  <si>
    <t>Khagendra Shrestha</t>
  </si>
  <si>
    <t>Chum Bahadur shrestha</t>
  </si>
  <si>
    <t xml:space="preserve">1038101034/92009       </t>
  </si>
  <si>
    <t>Ankhibhuin</t>
  </si>
  <si>
    <t>9860874409</t>
  </si>
  <si>
    <t>6908010000196</t>
  </si>
  <si>
    <t>1301690000003608</t>
  </si>
  <si>
    <t>KHAGENDRA SHRESTHA/BINDRA MAYA SHRESTHA</t>
  </si>
  <si>
    <t>MAN BAHADUR SHRESTHA</t>
  </si>
  <si>
    <t xml:space="preserve">1035091017/142010      </t>
  </si>
  <si>
    <t>9862751636</t>
  </si>
  <si>
    <t>Prime Commercial Bank Limited.-Surunga Branch</t>
  </si>
  <si>
    <t>03700027GL</t>
  </si>
  <si>
    <t>1301120000414216</t>
  </si>
  <si>
    <t>BHABISHWOR DUMRE</t>
  </si>
  <si>
    <t>KHAGESHWOR DUMRE</t>
  </si>
  <si>
    <t>LAXMANIPATI DUMRE</t>
  </si>
  <si>
    <t xml:space="preserve">102240982001           </t>
  </si>
  <si>
    <t>104927115</t>
  </si>
  <si>
    <t>Kalikot</t>
  </si>
  <si>
    <t>9857051015</t>
  </si>
  <si>
    <t>Rastriya Banijya Bank Ltd.-Taulihawa Branch</t>
  </si>
  <si>
    <t>3110100041830010</t>
  </si>
  <si>
    <t>1301190000002371</t>
  </si>
  <si>
    <t>GOVIND PRASAD KOIRALA</t>
  </si>
  <si>
    <t>KHEM RAJ KOIRALA</t>
  </si>
  <si>
    <t>CHANDRA SHEKHAR KOIRALA</t>
  </si>
  <si>
    <t xml:space="preserve">1045393091992          </t>
  </si>
  <si>
    <t>BAGACHAUR</t>
  </si>
  <si>
    <t>9847089355</t>
  </si>
  <si>
    <t>0010033152800019</t>
  </si>
  <si>
    <t>1301040000526336</t>
  </si>
  <si>
    <t>YADAB KUMAR BASNET</t>
  </si>
  <si>
    <t>KHILA BAHADUR BASNET/SABITRA BASNET</t>
  </si>
  <si>
    <t>GADESH BAHADUR BASNET/BIMALA KHADKA BASNET</t>
  </si>
  <si>
    <t xml:space="preserve">1027472402000          </t>
  </si>
  <si>
    <t>MUGAAN-4</t>
  </si>
  <si>
    <t>9865351125</t>
  </si>
  <si>
    <t>00610017505888</t>
  </si>
  <si>
    <t>1301770000200278</t>
  </si>
  <si>
    <t>SURAJ THAPA</t>
  </si>
  <si>
    <t>KHIR MAN THAPA</t>
  </si>
  <si>
    <t>DAMBAR BAHDAUR THAPA</t>
  </si>
  <si>
    <t xml:space="preserve">1052042046/14582012    </t>
  </si>
  <si>
    <t>SWANI CHOWK</t>
  </si>
  <si>
    <t>9816076227</t>
  </si>
  <si>
    <t>Himalayan Bank Ltd.-Maharajgunj Branch</t>
  </si>
  <si>
    <t>00204688670017</t>
  </si>
  <si>
    <t>1301770000129119</t>
  </si>
  <si>
    <t>SANTOSH KUMAR SITHUNGE ALE</t>
  </si>
  <si>
    <t>KHUB BAHADUR SITHUNGE ALE</t>
  </si>
  <si>
    <t>PADHAM BAHADUR SITHUNGE ALE</t>
  </si>
  <si>
    <t xml:space="preserve">1026464739612001       </t>
  </si>
  <si>
    <t>Bardibas-11</t>
  </si>
  <si>
    <t>9841373400</t>
  </si>
  <si>
    <t>Himalayan Bank Ltd.-Swoyambhu Branch</t>
  </si>
  <si>
    <t>02502616090014</t>
  </si>
  <si>
    <t>1301370000555041</t>
  </si>
  <si>
    <t>Keshar Jung Baral</t>
  </si>
  <si>
    <t>Khum Bahadur Baral</t>
  </si>
  <si>
    <t>Nar Beer Baral</t>
  </si>
  <si>
    <t xml:space="preserve">104539-01-69-008811978 </t>
  </si>
  <si>
    <t>Parthok</t>
  </si>
  <si>
    <t>9846058427</t>
  </si>
  <si>
    <t>1611154905524001</t>
  </si>
  <si>
    <t>1301060000762835</t>
  </si>
  <si>
    <t>LOK NATH KHAREL</t>
  </si>
  <si>
    <t>KHUM BAHADUR KHAREL</t>
  </si>
  <si>
    <t>INDIRA KAPHLE</t>
  </si>
  <si>
    <t xml:space="preserve">1046167592004          </t>
  </si>
  <si>
    <t>BHAIRAHAWA</t>
  </si>
  <si>
    <t>9847510386</t>
  </si>
  <si>
    <t>Nepal Investment Mega Bank Ltd.-Bhairahawa Branch</t>
  </si>
  <si>
    <t>01005080277969</t>
  </si>
  <si>
    <t>1301120002429806</t>
  </si>
  <si>
    <t>SANTOSH SHARMA BHUSAL</t>
  </si>
  <si>
    <t>KHYAM PRASAD BHUSAL</t>
  </si>
  <si>
    <t>RAM PRASAD BHUSAL</t>
  </si>
  <si>
    <t xml:space="preserve">1017512482005          </t>
  </si>
  <si>
    <t>PHALEBASH</t>
  </si>
  <si>
    <t>Parbat</t>
  </si>
  <si>
    <t>9845082372</t>
  </si>
  <si>
    <t>1807010001841</t>
  </si>
  <si>
    <t>1301650000274593</t>
  </si>
  <si>
    <t>ATUL PAUDYAL</t>
  </si>
  <si>
    <t>KIRAN PAUDYAL / SARITA PAUDYAL LAMICHHANE</t>
  </si>
  <si>
    <t>BADRI NATH</t>
  </si>
  <si>
    <t>100528-01-071-014422014</t>
  </si>
  <si>
    <t>MANBHAWAN</t>
  </si>
  <si>
    <t>9840029430</t>
  </si>
  <si>
    <t>1140100030749010</t>
  </si>
  <si>
    <t>1301120002120171</t>
  </si>
  <si>
    <t>KIRAN SHRESTHA/RAJYA LAXMI SHRESTHA</t>
  </si>
  <si>
    <t>RAJ BHAKTA SHRESTHA</t>
  </si>
  <si>
    <t xml:space="preserve">100327-01-71-103492015 </t>
  </si>
  <si>
    <t>9860979750</t>
  </si>
  <si>
    <t>3907010003462</t>
  </si>
  <si>
    <t>1301440000207097</t>
  </si>
  <si>
    <t>Bishal Jabegu</t>
  </si>
  <si>
    <t>Kirtiman Limbu</t>
  </si>
  <si>
    <t>Lal Bahadur Limbu</t>
  </si>
  <si>
    <t xml:space="preserve">105103-01-70-009802013 </t>
  </si>
  <si>
    <t>Barbote 02</t>
  </si>
  <si>
    <t>9817001319</t>
  </si>
  <si>
    <t>Global IME Bank Ltd.-Panipokhari Branch</t>
  </si>
  <si>
    <t>3309015018666</t>
  </si>
  <si>
    <t>1301170000283911</t>
  </si>
  <si>
    <t>ONASHISH JOSHI</t>
  </si>
  <si>
    <t>KISHOR JOSHI</t>
  </si>
  <si>
    <t>TIKADEV JOSHI</t>
  </si>
  <si>
    <t xml:space="preserve">1003272013             </t>
  </si>
  <si>
    <t>ALOK NAGAR</t>
  </si>
  <si>
    <t>9841295938</t>
  </si>
  <si>
    <t>NIC Asia Bank Ltd.-Bagbazar Branch</t>
  </si>
  <si>
    <t>1959337599524001</t>
  </si>
  <si>
    <t>1301120002693211</t>
  </si>
  <si>
    <t>PRASHANT GUPTA</t>
  </si>
  <si>
    <t>KISHOR LAL GUPTA</t>
  </si>
  <si>
    <t>SAHATI RAM GUPTA</t>
  </si>
  <si>
    <t xml:space="preserve">104637-02-76-003092020 </t>
  </si>
  <si>
    <t>9802744113</t>
  </si>
  <si>
    <t>Global IME Bank Ltd.-Chauraha Butwal Branch</t>
  </si>
  <si>
    <t>36507010000572</t>
  </si>
  <si>
    <t>1301370003654712</t>
  </si>
  <si>
    <t>HIMA DEVI ADHIKARI</t>
  </si>
  <si>
    <t>KKESHAR BAHADUR ADHIKARI</t>
  </si>
  <si>
    <t>BRIKHA BAHADUR ADHIKARI</t>
  </si>
  <si>
    <t xml:space="preserve">1052643818362003       </t>
  </si>
  <si>
    <t>9813309971</t>
  </si>
  <si>
    <t>NIC Asia Bank Ltd.-Prakashpur Branch</t>
  </si>
  <si>
    <t>2445750529486001</t>
  </si>
  <si>
    <t>1301120000487165</t>
  </si>
  <si>
    <t>Sanjib Adhikari</t>
  </si>
  <si>
    <t>Krishna Bahadur Adhikari</t>
  </si>
  <si>
    <t>Shiva Bahadur Adhikari/Sanjula Thapa</t>
  </si>
  <si>
    <t xml:space="preserve">1006251027/23522011    </t>
  </si>
  <si>
    <t>Gairadhara</t>
  </si>
  <si>
    <t>9851166402</t>
  </si>
  <si>
    <t>1301060000345503</t>
  </si>
  <si>
    <t>Janga Bahadur K.C</t>
  </si>
  <si>
    <t>Krishna Bahadur Kunwar Chhetri</t>
  </si>
  <si>
    <t>Farsha Bahadur Kunwar Chhetri /Sushila K.C</t>
  </si>
  <si>
    <t xml:space="preserve">1042191642001          </t>
  </si>
  <si>
    <t>gulmi</t>
  </si>
  <si>
    <t>9857015035</t>
  </si>
  <si>
    <t>Nepal Investment Mega Bank Ltd.-Pokhara Branch</t>
  </si>
  <si>
    <t>01005060255851</t>
  </si>
  <si>
    <t>1301070000838392</t>
  </si>
  <si>
    <t>rabindra lama</t>
  </si>
  <si>
    <t>krishna bahadur lama</t>
  </si>
  <si>
    <t>man bahadur lama</t>
  </si>
  <si>
    <t xml:space="preserve">10041027142001         </t>
  </si>
  <si>
    <t>banepa</t>
  </si>
  <si>
    <t>9841106955</t>
  </si>
  <si>
    <t>00346001398</t>
  </si>
  <si>
    <t>1301060000027261</t>
  </si>
  <si>
    <t>BASANTA BAHADUR RAJBAHAK</t>
  </si>
  <si>
    <t>KRISHNA BAHADUR RAJBAHAK</t>
  </si>
  <si>
    <t>SHRIMAN RAJBAHAK</t>
  </si>
  <si>
    <t xml:space="preserve">10031060/653622010     </t>
  </si>
  <si>
    <t>9841756790</t>
  </si>
  <si>
    <t>19SB026158NPR001</t>
  </si>
  <si>
    <t>1301120000236496</t>
  </si>
  <si>
    <t>Subash Rajbhandari</t>
  </si>
  <si>
    <t>Krishna Bahadur Rajbhandari</t>
  </si>
  <si>
    <t>Kul Bahadur Rajbhandari</t>
  </si>
  <si>
    <t xml:space="preserve">1006251025/842008      </t>
  </si>
  <si>
    <t>Narjamandap</t>
  </si>
  <si>
    <t>9841972202</t>
  </si>
  <si>
    <t>Citizens Bank International Ltd.- Pathlaiya Branch</t>
  </si>
  <si>
    <t>0250000289SA</t>
  </si>
  <si>
    <t>1301110000393654</t>
  </si>
  <si>
    <t>UPENDRA KRISHNA REGMI</t>
  </si>
  <si>
    <t>KRISHNA BAHADUR REGMI</t>
  </si>
  <si>
    <t>DUNDI RAJ UPADHYAYA</t>
  </si>
  <si>
    <t xml:space="preserve">1013393262000          </t>
  </si>
  <si>
    <t>Surketh</t>
  </si>
  <si>
    <t>9848050839</t>
  </si>
  <si>
    <t>030500000456524</t>
  </si>
  <si>
    <t>1301120000062043</t>
  </si>
  <si>
    <t>Basu Dev Shrestha</t>
  </si>
  <si>
    <t>Krishna Bahadur Shretha</t>
  </si>
  <si>
    <t>Man Bahadur Shretha/Sangita Shrestha</t>
  </si>
  <si>
    <t xml:space="preserve">10081771972            </t>
  </si>
  <si>
    <t>Purano Baneshwor</t>
  </si>
  <si>
    <t>5130160</t>
  </si>
  <si>
    <t>0211000047006011</t>
  </si>
  <si>
    <t>1301120001889902</t>
  </si>
  <si>
    <t>KAMALA THAPA</t>
  </si>
  <si>
    <t>MANBIRE THAPA</t>
  </si>
  <si>
    <t xml:space="preserve">1002261/658362013      </t>
  </si>
  <si>
    <t>00</t>
  </si>
  <si>
    <t>7507010015231</t>
  </si>
  <si>
    <t>1301240000117863</t>
  </si>
  <si>
    <t>SANISH MAHARJAN</t>
  </si>
  <si>
    <t>KRISHNA BHAKTA MAHARJAN</t>
  </si>
  <si>
    <t>RAM LAL MAHARJAN</t>
  </si>
  <si>
    <t>100528-01-066-067372010</t>
  </si>
  <si>
    <t>9860027336</t>
  </si>
  <si>
    <t xml:space="preserve">Kumari Bank Ltd.-Kumaripati  Branch </t>
  </si>
  <si>
    <t>0090194722200001</t>
  </si>
  <si>
    <t>1301120000012215</t>
  </si>
  <si>
    <t>Chandra Bhakta Shrestha</t>
  </si>
  <si>
    <t>Krishna Bhakta Shrestha</t>
  </si>
  <si>
    <t>Gyan Bhakta Shrestha</t>
  </si>
  <si>
    <t xml:space="preserve">1003064541978          </t>
  </si>
  <si>
    <t>Bagmati</t>
  </si>
  <si>
    <t>4242541</t>
  </si>
  <si>
    <t>03907010090167</t>
  </si>
  <si>
    <t>1301580000052517</t>
  </si>
  <si>
    <t>TRIDEV ACHARYA</t>
  </si>
  <si>
    <t>KRISHNA DEV ACHARYA</t>
  </si>
  <si>
    <t>NARAYAN DATTA</t>
  </si>
  <si>
    <t xml:space="preserve">104659872005           </t>
  </si>
  <si>
    <t>05</t>
  </si>
  <si>
    <t>9847097180</t>
  </si>
  <si>
    <t>Sanima Bank Ltd.- Siddharthanagar Branch</t>
  </si>
  <si>
    <t>031000004710e</t>
  </si>
  <si>
    <t>1301120002859406</t>
  </si>
  <si>
    <t>DIWAKAR BHATTA</t>
  </si>
  <si>
    <t>KRISHNA DEV BHATTA/LAXMI DEVI BHATTA</t>
  </si>
  <si>
    <t>HARI KRISHNA BHATTA</t>
  </si>
  <si>
    <t xml:space="preserve">104972-01-71-670282014 </t>
  </si>
  <si>
    <t>darchula</t>
  </si>
  <si>
    <t>9848821952</t>
  </si>
  <si>
    <t>4307010036835</t>
  </si>
  <si>
    <t>1301110000539720</t>
  </si>
  <si>
    <t>krishna devi shrestha</t>
  </si>
  <si>
    <t>krishna lal shrestha</t>
  </si>
  <si>
    <t>asta narayan shrestha</t>
  </si>
  <si>
    <t xml:space="preserve">100345022000           </t>
  </si>
  <si>
    <t>bagmati</t>
  </si>
  <si>
    <t>9841269785</t>
  </si>
  <si>
    <t>Global IME Bank Ltd.-CHABAHIL II BRANCH</t>
  </si>
  <si>
    <t>32207010003305</t>
  </si>
  <si>
    <t>1301100000310227</t>
  </si>
  <si>
    <t>ROSHAN MAHARJAN</t>
  </si>
  <si>
    <t>KRISHNA MAHARJAN</t>
  </si>
  <si>
    <t>MAHILA MAHARJAN</t>
  </si>
  <si>
    <t>100528-01-067-050552010</t>
  </si>
  <si>
    <t>9860953790</t>
  </si>
  <si>
    <t>0140000179212</t>
  </si>
  <si>
    <t>1301040000001038</t>
  </si>
  <si>
    <t>SURESH PD. PARAJULI</t>
  </si>
  <si>
    <t>KRISHNA PD PARAJULI</t>
  </si>
  <si>
    <t>BAL KRISHNA PARAJULI</t>
  </si>
  <si>
    <t xml:space="preserve">1003265/27641973       </t>
  </si>
  <si>
    <t>SHANTINAGAR</t>
  </si>
  <si>
    <t>014621656</t>
  </si>
  <si>
    <t>18-1523090-01</t>
  </si>
  <si>
    <t>1301120001124472</t>
  </si>
  <si>
    <t>SHALIKRAM BIDARI</t>
  </si>
  <si>
    <t>KRISHNA PRASAD BIDARI/SITA BIDARI</t>
  </si>
  <si>
    <t>YADHUNATH BIDARI/ARCHANA SUBEDI</t>
  </si>
  <si>
    <t xml:space="preserve">1002407192001          </t>
  </si>
  <si>
    <t>KAT</t>
  </si>
  <si>
    <t xml:space="preserve">9865365733       </t>
  </si>
  <si>
    <t>Machhapuchhre Bank Ltd.-BALUWATAR</t>
  </si>
  <si>
    <t>0130018421900011</t>
  </si>
  <si>
    <t>1301090000736871</t>
  </si>
  <si>
    <t>SANJIB DAHAL</t>
  </si>
  <si>
    <t>KRISHNA PRASAD DAHAL</t>
  </si>
  <si>
    <t>MUKTINATH DAHAL/ SMITA DAHAL</t>
  </si>
  <si>
    <t xml:space="preserve">102819-02-72-013622015 </t>
  </si>
  <si>
    <t>000</t>
  </si>
  <si>
    <t>1301090000529201</t>
  </si>
  <si>
    <t>DAMBER BAHADUR LAMICHHANE</t>
  </si>
  <si>
    <t>KRISHNA PRASAD LAMICHHANE</t>
  </si>
  <si>
    <t>TUL PRASAD LAMICHHANE</t>
  </si>
  <si>
    <t xml:space="preserve">1025971980             </t>
  </si>
  <si>
    <t>9774114926</t>
  </si>
  <si>
    <t>Rastriya Banijya Bank Ltd.-Naxal Branch (Tangal)</t>
  </si>
  <si>
    <t>1160100004308010</t>
  </si>
  <si>
    <t>1301650000229077</t>
  </si>
  <si>
    <t>MAKUNDA SANJEL</t>
  </si>
  <si>
    <t>KRISHNA PRASAD SANJEL / PHUL KUMARI SANJEL</t>
  </si>
  <si>
    <t>DOL PRASAD SANJEL</t>
  </si>
  <si>
    <t xml:space="preserve">100501-068-048892011   </t>
  </si>
  <si>
    <t>SANKHU</t>
  </si>
  <si>
    <t>9849859754</t>
  </si>
  <si>
    <t>Rastriya Banijya Bank Ltd.-Khandbari Branch</t>
  </si>
  <si>
    <t>2080100021174010</t>
  </si>
  <si>
    <t>1301170000074753</t>
  </si>
  <si>
    <t>RAJENDRA PRASAD SHRESTHA</t>
  </si>
  <si>
    <t>KRISHNA PRASAD SHRESTHA</t>
  </si>
  <si>
    <t>RUDRA LAL SHRESTHA</t>
  </si>
  <si>
    <t xml:space="preserve">100378301980           </t>
  </si>
  <si>
    <t>01-42247023</t>
  </si>
  <si>
    <t>0400000234ZB</t>
  </si>
  <si>
    <t>1301610000088893</t>
  </si>
  <si>
    <t>HARI PRASHAD REGMEE</t>
  </si>
  <si>
    <t>KRISHNA PRASHAD REGMI</t>
  </si>
  <si>
    <t>RAM PRASHAD REGMI</t>
  </si>
  <si>
    <t xml:space="preserve">1037293600011984       </t>
  </si>
  <si>
    <t>9842034177</t>
  </si>
  <si>
    <t>Machhapuchhre Bank Ltd.-BIRATNAGAR</t>
  </si>
  <si>
    <t>0270017913400011</t>
  </si>
  <si>
    <t>1301370000220142</t>
  </si>
  <si>
    <t>Prabin Silwal</t>
  </si>
  <si>
    <t>Krishna Raj Silwal</t>
  </si>
  <si>
    <t>Khem Raj Silwal</t>
  </si>
  <si>
    <t xml:space="preserve">1002261/210512008      </t>
  </si>
  <si>
    <t>Charaundi Bazar</t>
  </si>
  <si>
    <t>9841035945</t>
  </si>
  <si>
    <t>NIC Asia Bank Ltd.-New Baneshwor Branch</t>
  </si>
  <si>
    <t>3069313022524002</t>
  </si>
  <si>
    <t>1301070000039779</t>
  </si>
  <si>
    <t>Krishna Raj Tuladhar</t>
  </si>
  <si>
    <t>Shiva Raj Tuladhar</t>
  </si>
  <si>
    <t xml:space="preserve">10031860/48101990      </t>
  </si>
  <si>
    <t>Dillibazar</t>
  </si>
  <si>
    <t>4510017502663</t>
  </si>
  <si>
    <t>1301040000823965</t>
  </si>
  <si>
    <t>SAMEER BAJRACHARYA</t>
  </si>
  <si>
    <t>KUBER MAN BAJRACHARYA</t>
  </si>
  <si>
    <t>SANU MAN BAJRACHARYA</t>
  </si>
  <si>
    <t xml:space="preserve">1003365172006          </t>
  </si>
  <si>
    <t>TEKU</t>
  </si>
  <si>
    <t>9841153451</t>
  </si>
  <si>
    <t>1710017500057</t>
  </si>
  <si>
    <t>1301260000985581</t>
  </si>
  <si>
    <t>INDRA BAHADUR PUN</t>
  </si>
  <si>
    <t>KUL BAHADUR PUN/RATI KALA PUN</t>
  </si>
  <si>
    <t>BATE PUN</t>
  </si>
  <si>
    <t xml:space="preserve">1016149752006          </t>
  </si>
  <si>
    <t>9808053325</t>
  </si>
  <si>
    <t>1350170704900010</t>
  </si>
  <si>
    <t>1301090000133626</t>
  </si>
  <si>
    <t>SHOBHA BASNET</t>
  </si>
  <si>
    <t>KUMAR BASNET</t>
  </si>
  <si>
    <t>KAMAL BAHADUR BASNET</t>
  </si>
  <si>
    <t xml:space="preserve">100380501997           </t>
  </si>
  <si>
    <t>9841650354</t>
  </si>
  <si>
    <t>Nabil Bank Ltd.-SME and Micro Branch</t>
  </si>
  <si>
    <t>9610017500082</t>
  </si>
  <si>
    <t>1301630000036726</t>
  </si>
  <si>
    <t>RAJENDRA KUMAR GAJUREL</t>
  </si>
  <si>
    <t>KUMOD PRASAD GAJUREL</t>
  </si>
  <si>
    <t>NARANATH GAJUREL</t>
  </si>
  <si>
    <t xml:space="preserve">10292046/55931997      </t>
  </si>
  <si>
    <t>SIDDHESHWOR</t>
  </si>
  <si>
    <t>9844025290</t>
  </si>
  <si>
    <t>Nepal Credit &amp; Commerce Bank Ltd.-Sindhuli Branch</t>
  </si>
  <si>
    <t>066000000990B</t>
  </si>
  <si>
    <t>1301100000064188</t>
  </si>
  <si>
    <t>DEEPAK POUDEL</t>
  </si>
  <si>
    <t>LAGNA PRASAD POUDEL</t>
  </si>
  <si>
    <t>LOKNATH POUDEL</t>
  </si>
  <si>
    <t xml:space="preserve">10373207/27051990      </t>
  </si>
  <si>
    <t>021522277</t>
  </si>
  <si>
    <t>0080004343200019</t>
  </si>
  <si>
    <t>1301100000004645</t>
  </si>
  <si>
    <t>SUBHASH KHANDELWAL</t>
  </si>
  <si>
    <t>LAKSHMAN PRASAD KHANDELWAL</t>
  </si>
  <si>
    <t>SONIA KHANDELWAL/BANSHIDHAR KHANDELWAL</t>
  </si>
  <si>
    <t xml:space="preserve">10581603203861993      </t>
  </si>
  <si>
    <t>301682190</t>
  </si>
  <si>
    <t>051-528647</t>
  </si>
  <si>
    <t>NMB Bank Ltd.-Birgunj Branch</t>
  </si>
  <si>
    <t>0190012072700015</t>
  </si>
  <si>
    <t>1301100001602917</t>
  </si>
  <si>
    <t>RIJAN LAMA</t>
  </si>
  <si>
    <t>LAL BAHADUR LAMA</t>
  </si>
  <si>
    <t>KILLA SING LAMA</t>
  </si>
  <si>
    <t xml:space="preserve">105731-01-73-026492017 </t>
  </si>
  <si>
    <t>9818590235</t>
  </si>
  <si>
    <t>6001</t>
  </si>
  <si>
    <t>Jyoti Bikash Bank Ltd.-Sitapaila</t>
  </si>
  <si>
    <t>10111500867371000001</t>
  </si>
  <si>
    <t>1301330000083701</t>
  </si>
  <si>
    <t>SUMITRA THAPA</t>
  </si>
  <si>
    <t>LAL BAHADUR MAGAR</t>
  </si>
  <si>
    <t>JAGAT BAHADUR MAGAR</t>
  </si>
  <si>
    <t xml:space="preserve">1023731942004          </t>
  </si>
  <si>
    <t>KHUMALTAR</t>
  </si>
  <si>
    <t>9849035284</t>
  </si>
  <si>
    <t>3910017505122</t>
  </si>
  <si>
    <t>1301370000741539</t>
  </si>
  <si>
    <t>Tula Bahadur Rokaya</t>
  </si>
  <si>
    <t>Lal Bahadur Rokaya</t>
  </si>
  <si>
    <t>Chaite Rokaya</t>
  </si>
  <si>
    <t xml:space="preserve">107313071987           </t>
  </si>
  <si>
    <t>Badimalika</t>
  </si>
  <si>
    <t>9858440442</t>
  </si>
  <si>
    <t>B487498083524001</t>
  </si>
  <si>
    <t>1301260001065055</t>
  </si>
  <si>
    <t>SHANTI TAMANG</t>
  </si>
  <si>
    <t>LAL SINGH TAMANG/HEM MAYA TAMANG</t>
  </si>
  <si>
    <t>KESHAR SINGH TAMANG</t>
  </si>
  <si>
    <t xml:space="preserve">102766039-2110412004   </t>
  </si>
  <si>
    <t>9801900064</t>
  </si>
  <si>
    <t>0570157900600017</t>
  </si>
  <si>
    <t>1301580000018638</t>
  </si>
  <si>
    <t>BISHU SUNAR</t>
  </si>
  <si>
    <t>LALBAHADUR SUNAR</t>
  </si>
  <si>
    <t>JASBIR SUNAR</t>
  </si>
  <si>
    <t xml:space="preserve">1006649992000          </t>
  </si>
  <si>
    <t>THANSING 5</t>
  </si>
  <si>
    <t>9851006872</t>
  </si>
  <si>
    <t>Sanima Bank Ltd.- Nayabazar Branch</t>
  </si>
  <si>
    <t>038011060001191</t>
  </si>
  <si>
    <t>1301110000227334</t>
  </si>
  <si>
    <t>SARBESH CHAUDHARY</t>
  </si>
  <si>
    <t>LALIT NARAYAN CHAUDHARY</t>
  </si>
  <si>
    <t>KANAN CHAUDHARY</t>
  </si>
  <si>
    <t xml:space="preserve">1068152001/12192009    </t>
  </si>
  <si>
    <t>9843116268</t>
  </si>
  <si>
    <t>Bank of Kathmandu Ltd.-Lahan Branch</t>
  </si>
  <si>
    <t>054500000814524</t>
  </si>
  <si>
    <t>1301370000016193</t>
  </si>
  <si>
    <t>Raghu Raj Rawal</t>
  </si>
  <si>
    <t>Late. Nar Bahadur Rawal</t>
  </si>
  <si>
    <t>Late. Amar Bahadur Rawal</t>
  </si>
  <si>
    <t xml:space="preserve">1003804/0471991        </t>
  </si>
  <si>
    <t>Lokanthali</t>
  </si>
  <si>
    <t>9851038288</t>
  </si>
  <si>
    <t>NIC Asia Bank Ltd.-Kausaltar Branch</t>
  </si>
  <si>
    <t>3269382561524001</t>
  </si>
  <si>
    <t>1301040000571512</t>
  </si>
  <si>
    <t>PRITAM KUMAR GACHCHHADAR</t>
  </si>
  <si>
    <t>LATURAM GACHHADAR/SITADEVI GACHHADAR</t>
  </si>
  <si>
    <t>AMAOLAL GACHHADAR/MEERA TABDAR</t>
  </si>
  <si>
    <t xml:space="preserve">103928060/300601993    </t>
  </si>
  <si>
    <t>9815318996</t>
  </si>
  <si>
    <t>12610017500409</t>
  </si>
  <si>
    <t>1301250000014837</t>
  </si>
  <si>
    <t>Bijaya Ram Amatya</t>
  </si>
  <si>
    <t>Laxman Amatya</t>
  </si>
  <si>
    <t>Asha Ram Amatya/ Swastika Mool Amatya</t>
  </si>
  <si>
    <t xml:space="preserve">100517701976           </t>
  </si>
  <si>
    <t xml:space="preserve">9766550621       </t>
  </si>
  <si>
    <t>00915093774</t>
  </si>
  <si>
    <t>1301120000264952</t>
  </si>
  <si>
    <t>RAMESH MAN CHITRAKAR</t>
  </si>
  <si>
    <t>LAXMAN CHITRAKAR</t>
  </si>
  <si>
    <t>ANITA CHITRAKAR</t>
  </si>
  <si>
    <t xml:space="preserve">10051321/030/311974    </t>
  </si>
  <si>
    <t>Laxmi Sunrise Bank Limited.-Gabahal Branch</t>
  </si>
  <si>
    <t>00710342736014</t>
  </si>
  <si>
    <t>1301510000027647</t>
  </si>
  <si>
    <t>HARI CHANDRA SHRESTHA</t>
  </si>
  <si>
    <t>LAXMAN SHRESTHA</t>
  </si>
  <si>
    <t>SITA MAYA SHRESTHA/BUDDHIMAN SHRESTHA</t>
  </si>
  <si>
    <t xml:space="preserve">102753771985           </t>
  </si>
  <si>
    <t>014386556</t>
  </si>
  <si>
    <t>Nabil Bank Limited.-Ghantaghar Branch</t>
  </si>
  <si>
    <t>16910017501728</t>
  </si>
  <si>
    <t>1301180000076842</t>
  </si>
  <si>
    <t>PRAKASH UPADHYAYA</t>
  </si>
  <si>
    <t>LAXMI BHAKTA UPADHYAYA</t>
  </si>
  <si>
    <t>PURNA KANTA LAMSAL/SHANTA REGMI</t>
  </si>
  <si>
    <t xml:space="preserve">105636021980           </t>
  </si>
  <si>
    <t xml:space="preserve">100353350                </t>
  </si>
  <si>
    <t>9851011977</t>
  </si>
  <si>
    <t>Rastriya Banijya Bank Ltd.-Kalanki Branch</t>
  </si>
  <si>
    <t>1750100001721010</t>
  </si>
  <si>
    <t>1301120002194510</t>
  </si>
  <si>
    <t>KHIM RAJ KHARAL</t>
  </si>
  <si>
    <t>LAXMI DHAR KHARAL</t>
  </si>
  <si>
    <t>NARAYAN KHARAL</t>
  </si>
  <si>
    <t xml:space="preserve">10425601988            </t>
  </si>
  <si>
    <t>9805458121</t>
  </si>
  <si>
    <t>7107010003586</t>
  </si>
  <si>
    <t>1301260000142991</t>
  </si>
  <si>
    <t>PREM SHARMA DHAKAL</t>
  </si>
  <si>
    <t>LAXMI PRASAD DHAKAL/CHANDRA KALA DHAKAL</t>
  </si>
  <si>
    <t>BHIM PRASAD DHAKAL</t>
  </si>
  <si>
    <t xml:space="preserve">1040081020/1282007     </t>
  </si>
  <si>
    <t>9808601959</t>
  </si>
  <si>
    <t>Prabhu Bank Ltd.-Benighat Branch</t>
  </si>
  <si>
    <t>08301001276235000001</t>
  </si>
  <si>
    <t>1301550000041208</t>
  </si>
  <si>
    <t>VIJAY RIMAL</t>
  </si>
  <si>
    <t>LAXMI PRASAD RIMAL</t>
  </si>
  <si>
    <t>KHADA NANDA RIMAL</t>
  </si>
  <si>
    <t xml:space="preserve">10031034/16622005      </t>
  </si>
  <si>
    <t>9841215990</t>
  </si>
  <si>
    <t>1301060001484254</t>
  </si>
  <si>
    <t>SONAM TAMRAKAR</t>
  </si>
  <si>
    <t>LAXMI SUNDAR TAMRAKAR</t>
  </si>
  <si>
    <t>BUDDHA MAN TAMRAKAR</t>
  </si>
  <si>
    <t xml:space="preserve">1003150992004          </t>
  </si>
  <si>
    <t>01-4016548</t>
  </si>
  <si>
    <t>03805080260237</t>
  </si>
  <si>
    <t>1301610000081790</t>
  </si>
  <si>
    <t>AMULYA ACHARYA</t>
  </si>
  <si>
    <t>LAXUMAN PRASAD ACHARYA</t>
  </si>
  <si>
    <t>SAMIKSHYA PARAJULI</t>
  </si>
  <si>
    <t xml:space="preserve">1045391034/2492009     </t>
  </si>
  <si>
    <t>9847145539</t>
  </si>
  <si>
    <t>0050025408200013</t>
  </si>
  <si>
    <t>1301100000597457</t>
  </si>
  <si>
    <t>ASWINI KUMAR BHATTARAI</t>
  </si>
  <si>
    <t>LEKHNATH BHATTARAI</t>
  </si>
  <si>
    <t>NARAYAN PRASAD BHATTARAI</t>
  </si>
  <si>
    <t xml:space="preserve">1052118041132001       </t>
  </si>
  <si>
    <t>9842637920</t>
  </si>
  <si>
    <t>NMB Bank Ltd.-Chandragadhi Branch</t>
  </si>
  <si>
    <t>06220600324643000001</t>
  </si>
  <si>
    <t>1301370003779126</t>
  </si>
  <si>
    <t>ANISH BHATTARAI</t>
  </si>
  <si>
    <t>LILA BHATTARAI</t>
  </si>
  <si>
    <t>CHANDRA PRASAD BHATTARAI</t>
  </si>
  <si>
    <t xml:space="preserve">100327-01-76-054912019 </t>
  </si>
  <si>
    <t>9840327996</t>
  </si>
  <si>
    <t>1655750815210001</t>
  </si>
  <si>
    <t>1301070000108709</t>
  </si>
  <si>
    <t>Rojina Dahal</t>
  </si>
  <si>
    <t>Lilanath Dahal</t>
  </si>
  <si>
    <t>Nanda Lal Dahal</t>
  </si>
  <si>
    <t xml:space="preserve">1029812007             </t>
  </si>
  <si>
    <t>9851089333</t>
  </si>
  <si>
    <t>Everest Bank Ltd.-Pulchowk Branch</t>
  </si>
  <si>
    <t>01200518200332</t>
  </si>
  <si>
    <t>1301070000108713</t>
  </si>
  <si>
    <t>ANUPAMA DAHAL</t>
  </si>
  <si>
    <t xml:space="preserve">102920-01-81-022572024 </t>
  </si>
  <si>
    <t>01200518200329</t>
  </si>
  <si>
    <t>1301070000108728</t>
  </si>
  <si>
    <t>Chitra Kumari Dahal</t>
  </si>
  <si>
    <t xml:space="preserve">10292472010            </t>
  </si>
  <si>
    <t>00405150264631</t>
  </si>
  <si>
    <t>1301070000690198</t>
  </si>
  <si>
    <t>PANKAJ KUMAR THAKUR</t>
  </si>
  <si>
    <t>LKHICHAN THAKUR/KUNTI DEVI</t>
  </si>
  <si>
    <t>DHANI PATH THAKUR/PRIYANKA SHARMA</t>
  </si>
  <si>
    <t xml:space="preserve">102819-01-70-038622013 </t>
  </si>
  <si>
    <t>9818184012</t>
  </si>
  <si>
    <t>09825001355</t>
  </si>
  <si>
    <t>1301110000606881</t>
  </si>
  <si>
    <t>GOBIN CHHETRI</t>
  </si>
  <si>
    <t>LOK BAHADUR GHARTI CHHETRI</t>
  </si>
  <si>
    <t>SAMMAR BAHADUR GHARTI CHHETRI</t>
  </si>
  <si>
    <t xml:space="preserve">1014501004/33612007    </t>
  </si>
  <si>
    <t>9867709585</t>
  </si>
  <si>
    <t>Bank of Kathmandu Ltd.-Baglung Branch</t>
  </si>
  <si>
    <t>093900000506524</t>
  </si>
  <si>
    <t>1301100000228742</t>
  </si>
  <si>
    <t>PHATAK BAHADUR PARAJULI</t>
  </si>
  <si>
    <t>LOK BAHADUR PARAJULI</t>
  </si>
  <si>
    <t>CHAKRA BAHADUR PARAJULI</t>
  </si>
  <si>
    <t xml:space="preserve">100434006/2941989      </t>
  </si>
  <si>
    <t>9813074736</t>
  </si>
  <si>
    <t>Prabhu Bank Ltd.-Kamaladi  Branch</t>
  </si>
  <si>
    <t>1110021732400018</t>
  </si>
  <si>
    <t>1301610000287207</t>
  </si>
  <si>
    <t>AJAYA THAPA</t>
  </si>
  <si>
    <t>LOK BAHADUR THAPA</t>
  </si>
  <si>
    <t>JIT BAHADUR THAPA</t>
  </si>
  <si>
    <t xml:space="preserve">1003114881998          </t>
  </si>
  <si>
    <t>9843659098</t>
  </si>
  <si>
    <t>Machhapuchhre Bank Ltd.-KOTESHWOR Branch</t>
  </si>
  <si>
    <t>0970097497500011</t>
  </si>
  <si>
    <t>1301150000033997</t>
  </si>
  <si>
    <t>UDDHAV PRASAD BHATTARAI</t>
  </si>
  <si>
    <t>LOK NATH BHATTARAI</t>
  </si>
  <si>
    <t>HARIKRISHNA BHATTARAI UPADHYAY</t>
  </si>
  <si>
    <t xml:space="preserve">100425011981           </t>
  </si>
  <si>
    <t>BHATTARAI TOLE</t>
  </si>
  <si>
    <t>9841345069</t>
  </si>
  <si>
    <t>0100200003727021</t>
  </si>
  <si>
    <t>1301120002685690</t>
  </si>
  <si>
    <t>BISHESHWOR REGMI</t>
  </si>
  <si>
    <t>LOK PRASAD JAISI</t>
  </si>
  <si>
    <t>LILADHAR JAISI</t>
  </si>
  <si>
    <t xml:space="preserve">10637812-28591996      </t>
  </si>
  <si>
    <t>RUKUM</t>
  </si>
  <si>
    <t>3309018100603</t>
  </si>
  <si>
    <t>1301060000281032</t>
  </si>
  <si>
    <t>SENENDRA RAJ UPRETI</t>
  </si>
  <si>
    <t>LOK RAJ UPRETI</t>
  </si>
  <si>
    <t>PUSHPA KUMARI UPRETI</t>
  </si>
  <si>
    <t xml:space="preserve">10038921975            </t>
  </si>
  <si>
    <t>9851079724</t>
  </si>
  <si>
    <t>01905090022066</t>
  </si>
  <si>
    <t>1301060000155560</t>
  </si>
  <si>
    <t>SAHIB BAIDYA</t>
  </si>
  <si>
    <t>LOKENDRA PRASAD BAIDYA</t>
  </si>
  <si>
    <t>SUNDAR PRASAD BAIDYA</t>
  </si>
  <si>
    <t xml:space="preserve">1003271060/1227632013  </t>
  </si>
  <si>
    <t>KILAGAL</t>
  </si>
  <si>
    <t>9843701165</t>
  </si>
  <si>
    <t>Nepal Investment Mega Bank Ltd.-Bhotahity Branch</t>
  </si>
  <si>
    <t>03005260250917</t>
  </si>
  <si>
    <t>1301090000723288</t>
  </si>
  <si>
    <t>LOKNATH POKHREL</t>
  </si>
  <si>
    <t>SALIKRAM POKHREL</t>
  </si>
  <si>
    <t xml:space="preserve">102242-01-70-017802013 </t>
  </si>
  <si>
    <t>9846707436</t>
  </si>
  <si>
    <t>00515074346</t>
  </si>
  <si>
    <t>1301110000004074</t>
  </si>
  <si>
    <t>DURGESH GOPAL SHRESTHA</t>
  </si>
  <si>
    <t>MADAN GOPAL SHRESTHA</t>
  </si>
  <si>
    <t>SHIVA GOPAL SHRESTHA</t>
  </si>
  <si>
    <t xml:space="preserve">1005848671996          </t>
  </si>
  <si>
    <t>100662957</t>
  </si>
  <si>
    <t>9841368088</t>
  </si>
  <si>
    <t>Himalayan Bank Ltd.-Putalisadak Branch</t>
  </si>
  <si>
    <t>25350111460014</t>
  </si>
  <si>
    <t>1301370000779149</t>
  </si>
  <si>
    <t>Puja Kumari Jha</t>
  </si>
  <si>
    <t>Madan Mohan Jha</t>
  </si>
  <si>
    <t>Rabindra Jha</t>
  </si>
  <si>
    <t xml:space="preserve">1067161024/652009      </t>
  </si>
  <si>
    <t>9814700820</t>
  </si>
  <si>
    <t>3687785619524001</t>
  </si>
  <si>
    <t>1301090000029357</t>
  </si>
  <si>
    <t>SILAM RANJIT SHRESTHA</t>
  </si>
  <si>
    <t>MADAN RAM RANJIT</t>
  </si>
  <si>
    <t>HARKHA BAHADUR RANJIT</t>
  </si>
  <si>
    <t xml:space="preserve">1003720/29961981       </t>
  </si>
  <si>
    <t>9841418502</t>
  </si>
  <si>
    <t>Laxmi Sunrise Bank Limited.-Kalimati Branch</t>
  </si>
  <si>
    <t>00810015346018</t>
  </si>
  <si>
    <t>1301100000033592</t>
  </si>
  <si>
    <t>MAHESH SHRESTHA</t>
  </si>
  <si>
    <t>MADHAV DAS SHRESTHA</t>
  </si>
  <si>
    <t>BISHNU DAS SHRESTHA</t>
  </si>
  <si>
    <t xml:space="preserve">100340881988           </t>
  </si>
  <si>
    <t>9803220817</t>
  </si>
  <si>
    <t>Rastriya Banijya Bank Ltd.-TIA Branch (Airport)</t>
  </si>
  <si>
    <t>1690100002945203</t>
  </si>
  <si>
    <t>1301040000129407</t>
  </si>
  <si>
    <t>MADHU KRISHNA SHRESTHA</t>
  </si>
  <si>
    <t>MADHAV KRISHNA SHRESTHA</t>
  </si>
  <si>
    <t>GOPAL KRISHNA SHRESTHA/SAMJHANA SHRESTHA</t>
  </si>
  <si>
    <t xml:space="preserve">100340082003           </t>
  </si>
  <si>
    <t>GAIRIDHARA</t>
  </si>
  <si>
    <t>4425566</t>
  </si>
  <si>
    <t>Bank of Kathmandu Ltd.-Balaju Branch</t>
  </si>
  <si>
    <t>050000029900524</t>
  </si>
  <si>
    <t>1301090000262880</t>
  </si>
  <si>
    <t>AMIT ACHARYA</t>
  </si>
  <si>
    <t>MADHAV PRASAD ACHARYA</t>
  </si>
  <si>
    <t>GANESH PRASAD ACHARYA / PRATIMA SHARMA</t>
  </si>
  <si>
    <t xml:space="preserve">10391867/28671996      </t>
  </si>
  <si>
    <t>INARUWA</t>
  </si>
  <si>
    <t>9841366722</t>
  </si>
  <si>
    <t>00100513202031</t>
  </si>
  <si>
    <t>1301060000214007</t>
  </si>
  <si>
    <t>BAM DEV ADHIKARI</t>
  </si>
  <si>
    <t>MADHAV PRASAD ADHIKARI</t>
  </si>
  <si>
    <t>NARAYANI NEPAL</t>
  </si>
  <si>
    <t xml:space="preserve">1046205651991          </t>
  </si>
  <si>
    <t>071-525971</t>
  </si>
  <si>
    <t>Laxmi Sunrise Bank Limited.-Birgunj Branch</t>
  </si>
  <si>
    <t>00152000181</t>
  </si>
  <si>
    <t>1301370000331396</t>
  </si>
  <si>
    <t>Prakash Rimal</t>
  </si>
  <si>
    <t>Madhusudan Rimal</t>
  </si>
  <si>
    <t>Yadu Kumar Rimal</t>
  </si>
  <si>
    <t xml:space="preserve">1006407401995          </t>
  </si>
  <si>
    <t>Charghare-07</t>
  </si>
  <si>
    <t>9841148696</t>
  </si>
  <si>
    <t>NIC Asia Bank Ltd.-Sukedhara Branch</t>
  </si>
  <si>
    <t>2863317918524002</t>
  </si>
  <si>
    <t>1301120000928960</t>
  </si>
  <si>
    <t>MANISHA SHARMA</t>
  </si>
  <si>
    <t>MAHABIR PRASAD SHARMA</t>
  </si>
  <si>
    <t>LAXMAN THAKUR</t>
  </si>
  <si>
    <t xml:space="preserve">1024171102/3982008     </t>
  </si>
  <si>
    <t>9849983481</t>
  </si>
  <si>
    <t>4008010000769</t>
  </si>
  <si>
    <t>1301300000038401</t>
  </si>
  <si>
    <t>SUNIL PRAJAPATI</t>
  </si>
  <si>
    <t>MAHANTH PANDIT KUMHAR</t>
  </si>
  <si>
    <t>RAMAVATAR PANDIT KUMHAR</t>
  </si>
  <si>
    <t xml:space="preserve">1055331076/61512008    </t>
  </si>
  <si>
    <t>KHUTWA</t>
  </si>
  <si>
    <t>9802934056</t>
  </si>
  <si>
    <t>2140524078490014</t>
  </si>
  <si>
    <t>1301060000017614</t>
  </si>
  <si>
    <t>MANISHA PRADHAN SHRESTHA</t>
  </si>
  <si>
    <t>MAHENDRA BARSING PRADHAN</t>
  </si>
  <si>
    <t>LEKHA NATH SHRESTHA</t>
  </si>
  <si>
    <t xml:space="preserve">1058005634191998       </t>
  </si>
  <si>
    <t>PARSHA</t>
  </si>
  <si>
    <t>9860007432</t>
  </si>
  <si>
    <t>1330100009641010</t>
  </si>
  <si>
    <t>1301100000455052</t>
  </si>
  <si>
    <t>LAKSHYA BAHADUR CHAUDHARY</t>
  </si>
  <si>
    <t>MAHENDRA PRASAD CHAUDHARY</t>
  </si>
  <si>
    <t>DEV NARAYAN CHAUDHARY</t>
  </si>
  <si>
    <t xml:space="preserve">1055159291998          </t>
  </si>
  <si>
    <t>BARA</t>
  </si>
  <si>
    <t>9851169732</t>
  </si>
  <si>
    <t>NMB Bank Ltd.-Salleri Branch</t>
  </si>
  <si>
    <t>0740051226100011</t>
  </si>
  <si>
    <t>1301070000128356</t>
  </si>
  <si>
    <t>Sujan Pradhan</t>
  </si>
  <si>
    <t>Mahesh Kumar Pradhan</t>
  </si>
  <si>
    <t>Ratna Man Pradhan</t>
  </si>
  <si>
    <t xml:space="preserve">101910531995           </t>
  </si>
  <si>
    <t>Pokhara</t>
  </si>
  <si>
    <t>9842043373</t>
  </si>
  <si>
    <t>Rastriya Banijya Bank Ltd.-Amarsinghchowk Branch</t>
  </si>
  <si>
    <t>03215086837</t>
  </si>
  <si>
    <t>1301720000373769</t>
  </si>
  <si>
    <t>RAVI DHUNGEL</t>
  </si>
  <si>
    <t>MAHESH RAJ SHARMA DHUNGEL</t>
  </si>
  <si>
    <t>NIMESH RAJ DHUNGANA</t>
  </si>
  <si>
    <t xml:space="preserve">100129-01-71-022972014 </t>
  </si>
  <si>
    <t>9861735746</t>
  </si>
  <si>
    <t>Agricultural Development Bank Ltd.-Koteshwor</t>
  </si>
  <si>
    <t>0210701365573019</t>
  </si>
  <si>
    <t>1301260001316768</t>
  </si>
  <si>
    <t>AMIT SURANA</t>
  </si>
  <si>
    <t>MALCHAND SURANA/LAXMI DEVI SURANA</t>
  </si>
  <si>
    <t>MEHTAB CHAND SURANA</t>
  </si>
  <si>
    <t xml:space="preserve">1037518512000          </t>
  </si>
  <si>
    <t>9852030495</t>
  </si>
  <si>
    <t>0060063782200018</t>
  </si>
  <si>
    <t>1301060000379235</t>
  </si>
  <si>
    <t>NARA BAHADUR HAMAL</t>
  </si>
  <si>
    <t>MAN BAHADUR HAMAL</t>
  </si>
  <si>
    <t>PADAM SINGH HAMAL</t>
  </si>
  <si>
    <t xml:space="preserve">101110271985           </t>
  </si>
  <si>
    <t>113557244</t>
  </si>
  <si>
    <t>014811726</t>
  </si>
  <si>
    <t>Prabhu Bank Ltd.-Sukedhara Branch</t>
  </si>
  <si>
    <t>0040008743800016</t>
  </si>
  <si>
    <t>1301090000803120</t>
  </si>
  <si>
    <t>LUM BAHADUR POUDEL</t>
  </si>
  <si>
    <t>MAN BAHADUR POUDEL</t>
  </si>
  <si>
    <t>BOUDHA MAN POUDEL</t>
  </si>
  <si>
    <t xml:space="preserve">1036735/14781996       </t>
  </si>
  <si>
    <t>9842051818</t>
  </si>
  <si>
    <t>02615083771</t>
  </si>
  <si>
    <t>1301180000020121</t>
  </si>
  <si>
    <t>TUL BAHADUR PULAMI MAGAR</t>
  </si>
  <si>
    <t>MAN BAHADUR PULAMI MAGAR</t>
  </si>
  <si>
    <t>BHIM BAHADUR PULAMI MAGAR</t>
  </si>
  <si>
    <t xml:space="preserve">1066044/45/7971997     </t>
  </si>
  <si>
    <t>GAMNANG TAR</t>
  </si>
  <si>
    <t>9851087474</t>
  </si>
  <si>
    <t>00603176500014</t>
  </si>
  <si>
    <t>1301090000618971</t>
  </si>
  <si>
    <t>SUBASH SHRESTHA</t>
  </si>
  <si>
    <t>BIR BAHADUR SHRESTHA / SITA SHRESTHA</t>
  </si>
  <si>
    <t xml:space="preserve">10651027/4922004       </t>
  </si>
  <si>
    <t>SWOYAMBHU</t>
  </si>
  <si>
    <t>9849240392</t>
  </si>
  <si>
    <t>Himalayan Bank Ltd.-Dhading Branch</t>
  </si>
  <si>
    <t>02504288190017</t>
  </si>
  <si>
    <t>1301160000105625</t>
  </si>
  <si>
    <t>RAMCHANDRA THAPA</t>
  </si>
  <si>
    <t>MAN BAHADUR THAPA</t>
  </si>
  <si>
    <t>AMBAR BAHADUR THAPA</t>
  </si>
  <si>
    <t xml:space="preserve">1018657741998          </t>
  </si>
  <si>
    <t>SULIKOT</t>
  </si>
  <si>
    <t>9841377602</t>
  </si>
  <si>
    <t>Lumbini Bikas Bank Ltd.-Thamel Branch</t>
  </si>
  <si>
    <t>04911020136199000001</t>
  </si>
  <si>
    <t>1301080000163164</t>
  </si>
  <si>
    <t>MEGHENDRA KUMAR SHRESTHA</t>
  </si>
  <si>
    <t>MAN BBAHADUR SHRESTHA</t>
  </si>
  <si>
    <t>KALU MAN SHRESTHA</t>
  </si>
  <si>
    <t xml:space="preserve">105430781974           </t>
  </si>
  <si>
    <t>5250201</t>
  </si>
  <si>
    <t>01200510200176</t>
  </si>
  <si>
    <t>1301060002088115</t>
  </si>
  <si>
    <t>RATNA JYOTI SHAKYA</t>
  </si>
  <si>
    <t>MAN JYOTI SHAKYA</t>
  </si>
  <si>
    <t>PANCHA JYOTI SHAKYA</t>
  </si>
  <si>
    <t xml:space="preserve">100511791974           </t>
  </si>
  <si>
    <t>9851060183</t>
  </si>
  <si>
    <t>00105010055724</t>
  </si>
  <si>
    <t>1301010000031868</t>
  </si>
  <si>
    <t>BASUDEV PRASAD BHANDARI</t>
  </si>
  <si>
    <t>MAN NATH BHANDARI</t>
  </si>
  <si>
    <t>RAVI LAL BHANDARI</t>
  </si>
  <si>
    <t xml:space="preserve">100358741992           </t>
  </si>
  <si>
    <t>Prime Commercial Bank Ltd.-Balaju Branch</t>
  </si>
  <si>
    <t>00700053SH</t>
  </si>
  <si>
    <t>1301120001303122</t>
  </si>
  <si>
    <t>ISHWOR PAUDEL</t>
  </si>
  <si>
    <t>MANIRAM JAISI</t>
  </si>
  <si>
    <t>DIBYASHWOR  PAUDEL</t>
  </si>
  <si>
    <t xml:space="preserve">1014501024/197712010   </t>
  </si>
  <si>
    <t>KUSHMISHARA</t>
  </si>
  <si>
    <t>9851148246</t>
  </si>
  <si>
    <t>F307010000360</t>
  </si>
  <si>
    <t>1301090001133315</t>
  </si>
  <si>
    <t>MANOHAR PRASAD SHAH</t>
  </si>
  <si>
    <t>MANMOHAN RAM SHAH</t>
  </si>
  <si>
    <t>RAMESHWAR SHAH</t>
  </si>
  <si>
    <t xml:space="preserve">10241102/59/892012     </t>
  </si>
  <si>
    <t>041-0490949</t>
  </si>
  <si>
    <t>00115428708</t>
  </si>
  <si>
    <t>1301130000360428</t>
  </si>
  <si>
    <t>MADHUKAR GARG</t>
  </si>
  <si>
    <t>MANOHAR KUMAR GARG</t>
  </si>
  <si>
    <t>LAXMI KUMAR GARG</t>
  </si>
  <si>
    <t xml:space="preserve">1043413/87222004       </t>
  </si>
  <si>
    <t>KAPILBASTU</t>
  </si>
  <si>
    <t>9851228777</t>
  </si>
  <si>
    <t>00115145168</t>
  </si>
  <si>
    <t>1301080000051183</t>
  </si>
  <si>
    <t>SUDHA CHAUDHARY</t>
  </si>
  <si>
    <t>MANOJ KUMAR CHAUDHARY</t>
  </si>
  <si>
    <t>DEV NATH CHAUDHARY</t>
  </si>
  <si>
    <t xml:space="preserve">1024171001/10812010    </t>
  </si>
  <si>
    <t xml:space="preserve">9767489790       </t>
  </si>
  <si>
    <t>00100523200008</t>
  </si>
  <si>
    <t>1301100000212559</t>
  </si>
  <si>
    <t>ABHINAV REGMI</t>
  </si>
  <si>
    <t>MATRIKA PRASAD REGMI</t>
  </si>
  <si>
    <t>TILAK PRASAD REGMI</t>
  </si>
  <si>
    <t xml:space="preserve">103931216/0631642006   </t>
  </si>
  <si>
    <t>9841025737</t>
  </si>
  <si>
    <t>NMB Bank Ltd.-TINKUNE Branch</t>
  </si>
  <si>
    <t>0750042074300011</t>
  </si>
  <si>
    <t>1301370000356949</t>
  </si>
  <si>
    <t>Nushrat Khatoon Ansari</t>
  </si>
  <si>
    <t>Md Islam Ansari</t>
  </si>
  <si>
    <t>Md Ishak Ansari</t>
  </si>
  <si>
    <t xml:space="preserve">1003252472005          </t>
  </si>
  <si>
    <t>Tahachal</t>
  </si>
  <si>
    <t>9860427637</t>
  </si>
  <si>
    <t>NIC Asia Bank Ltd.-Teku Branch</t>
  </si>
  <si>
    <t>3056466271524001</t>
  </si>
  <si>
    <t>1301080000584302</t>
  </si>
  <si>
    <t>PRAMILA KASULA</t>
  </si>
  <si>
    <t>MEDINI KANTA GHIMIRE</t>
  </si>
  <si>
    <t>BHAIRAB GHIMIRE</t>
  </si>
  <si>
    <t>100129-01-064-015712008</t>
  </si>
  <si>
    <t>9849193192</t>
  </si>
  <si>
    <t>00120516200014</t>
  </si>
  <si>
    <t>1301100000001283</t>
  </si>
  <si>
    <t>RUNUNOO CHAPAGAIN</t>
  </si>
  <si>
    <t>MEGH BAHADUR KHATRI</t>
  </si>
  <si>
    <t>JAYA PRASAD CHAPAGAIN/DEVI BAHADUR KHATRI</t>
  </si>
  <si>
    <t xml:space="preserve">10051101/033/0341977   </t>
  </si>
  <si>
    <t>106825617</t>
  </si>
  <si>
    <t>4601807</t>
  </si>
  <si>
    <t>0090100000548020</t>
  </si>
  <si>
    <t>1301610000599266</t>
  </si>
  <si>
    <t>BIJAY PAKHRIN</t>
  </si>
  <si>
    <t>MEGH BAHADUR PAKHRIN</t>
  </si>
  <si>
    <t>JEET BAHADUR PAKHRIN</t>
  </si>
  <si>
    <t xml:space="preserve">10262071/2092010       </t>
  </si>
  <si>
    <t xml:space="preserve">126779022                </t>
  </si>
  <si>
    <t>MAHOTTARI</t>
  </si>
  <si>
    <t>9861692425</t>
  </si>
  <si>
    <t>0260076412500011</t>
  </si>
  <si>
    <t>1301120000212352</t>
  </si>
  <si>
    <t>NEEMA POKHREL</t>
  </si>
  <si>
    <t>MEGH RAJ POKHREL</t>
  </si>
  <si>
    <t>GOPAL PRASAD POKHREL</t>
  </si>
  <si>
    <t xml:space="preserve">100314171996           </t>
  </si>
  <si>
    <t>014272260</t>
  </si>
  <si>
    <t>00300507060017</t>
  </si>
  <si>
    <t>1301060000773640</t>
  </si>
  <si>
    <t>SHARMILA UPRETI</t>
  </si>
  <si>
    <t>MEGHA NATH UPRETI</t>
  </si>
  <si>
    <t>ISHOWARI PRASAD UPRETI</t>
  </si>
  <si>
    <t xml:space="preserve">100430/1319722004      </t>
  </si>
  <si>
    <t>9841560155</t>
  </si>
  <si>
    <t>Nepal Bangladesh Bank Ltd.- Lalitpur Branch</t>
  </si>
  <si>
    <t>01610397 GB</t>
  </si>
  <si>
    <t>1301120000212692</t>
  </si>
  <si>
    <t>NEETI POKHAREL</t>
  </si>
  <si>
    <t>MEGHA RAJ POKHAREL</t>
  </si>
  <si>
    <t>GOPAL  PRASAD POKHAREL</t>
  </si>
  <si>
    <t xml:space="preserve">1067760854341996       </t>
  </si>
  <si>
    <t>00300507220014</t>
  </si>
  <si>
    <t>1301110000425966</t>
  </si>
  <si>
    <t>GIRI PRASAD GAIRE JOSHI</t>
  </si>
  <si>
    <t>MEGHRAJ GAIRE</t>
  </si>
  <si>
    <t>PADAMPANI GAIRE</t>
  </si>
  <si>
    <t xml:space="preserve">1045366871991          </t>
  </si>
  <si>
    <t>9813341764</t>
  </si>
  <si>
    <t>30207010011050</t>
  </si>
  <si>
    <t>1301100001496481</t>
  </si>
  <si>
    <t>DIL MAYA GURUNG</t>
  </si>
  <si>
    <t>MITRA LAL GURUNG</t>
  </si>
  <si>
    <t>GYAN BAHADUR GURUNG</t>
  </si>
  <si>
    <t xml:space="preserve">1023807072005          </t>
  </si>
  <si>
    <t>AABUKHAIRENI</t>
  </si>
  <si>
    <t>9845152962</t>
  </si>
  <si>
    <t>1380098680200011</t>
  </si>
  <si>
    <t>1301120000961485</t>
  </si>
  <si>
    <t>KAMAL KANTA POUDEL</t>
  </si>
  <si>
    <t>MITRA LAL POUDEL</t>
  </si>
  <si>
    <t>pitamber poudel</t>
  </si>
  <si>
    <t xml:space="preserve">1022598072000          </t>
  </si>
  <si>
    <t>4211693</t>
  </si>
  <si>
    <t>0107010005664</t>
  </si>
  <si>
    <t>1301100000183725</t>
  </si>
  <si>
    <t>CHANDRA MANI SAPKOTA</t>
  </si>
  <si>
    <t>MITRA LAL SAPKOTA</t>
  </si>
  <si>
    <t>DEVI PRASAD SAPKOTA</t>
  </si>
  <si>
    <t xml:space="preserve">1016709682000          </t>
  </si>
  <si>
    <t>DAHA</t>
  </si>
  <si>
    <t>9841885873</t>
  </si>
  <si>
    <t>0060020139400026</t>
  </si>
  <si>
    <t>1301580000264497</t>
  </si>
  <si>
    <t>KHOMRAJ BASHYAL</t>
  </si>
  <si>
    <t>MITRALAL BASHYAL</t>
  </si>
  <si>
    <t>KHIMANANDA BASHYAL</t>
  </si>
  <si>
    <t xml:space="preserve">10452/11742006         </t>
  </si>
  <si>
    <t>BAGNASKALI</t>
  </si>
  <si>
    <t>9847496416</t>
  </si>
  <si>
    <t>056000001110H</t>
  </si>
  <si>
    <t>1301090001874346</t>
  </si>
  <si>
    <t>MAHEK ISLAM KHAN</t>
  </si>
  <si>
    <t xml:space="preserve">104338-02-77-001582020 </t>
  </si>
  <si>
    <t>9857022478</t>
  </si>
  <si>
    <t>02716378520</t>
  </si>
  <si>
    <t>1301170000199853</t>
  </si>
  <si>
    <t>MANGESH THAPA</t>
  </si>
  <si>
    <t>MOHAN BAHADUR THAPA</t>
  </si>
  <si>
    <t>GANGA BAHADUR THAPA</t>
  </si>
  <si>
    <t xml:space="preserve">100310371986           </t>
  </si>
  <si>
    <t>014017158</t>
  </si>
  <si>
    <t>0010100000337009</t>
  </si>
  <si>
    <t>1301580000689566</t>
  </si>
  <si>
    <t>SUJATA BISHWOKARMA</t>
  </si>
  <si>
    <t>MOHAN BIR KAMI/DIL THAPA KAMAI</t>
  </si>
  <si>
    <t>DAL BAHADUR KAMI</t>
  </si>
  <si>
    <t xml:space="preserve">1028192095/2902009     </t>
  </si>
  <si>
    <t>023011090000978</t>
  </si>
  <si>
    <t>1301070000058648</t>
  </si>
  <si>
    <t>Upama Chand Thakuri Rana</t>
  </si>
  <si>
    <t>Mohan Chand Thakuri</t>
  </si>
  <si>
    <t>Jayson Shamsher Ja.Ba.Ra.</t>
  </si>
  <si>
    <t xml:space="preserve">100390221992           </t>
  </si>
  <si>
    <t>Thapathali</t>
  </si>
  <si>
    <t>9851047374</t>
  </si>
  <si>
    <t>00523000045</t>
  </si>
  <si>
    <t>1301060002069552</t>
  </si>
  <si>
    <t>pritam khadka</t>
  </si>
  <si>
    <t>mohan khadka / gayatri khadka</t>
  </si>
  <si>
    <t>krishna bahadur khadka</t>
  </si>
  <si>
    <t xml:space="preserve">1001291002-17942007    </t>
  </si>
  <si>
    <t>bhaktapur</t>
  </si>
  <si>
    <t>9841646934</t>
  </si>
  <si>
    <t>06105050006198</t>
  </si>
  <si>
    <t>1301650000859308</t>
  </si>
  <si>
    <t>GYAN BAHADUR BHANDARI</t>
  </si>
  <si>
    <t>MOHAN LAL BHANDARI</t>
  </si>
  <si>
    <t>JAYA RAM BHANDARI/BHAWANI BHANDARI</t>
  </si>
  <si>
    <t xml:space="preserve">1064141822002          </t>
  </si>
  <si>
    <t>9866917306</t>
  </si>
  <si>
    <t>4380100000074010</t>
  </si>
  <si>
    <t>1301130000424407</t>
  </si>
  <si>
    <t>PRIYANKA KAFLE GARG</t>
  </si>
  <si>
    <t>MOHAN LAL KAFLE</t>
  </si>
  <si>
    <t>PADAM LAL KAFLE</t>
  </si>
  <si>
    <t xml:space="preserve">10432079/243742015     </t>
  </si>
  <si>
    <t>9869133290</t>
  </si>
  <si>
    <t>00115156018</t>
  </si>
  <si>
    <t>1301520000111584</t>
  </si>
  <si>
    <t>ABIR KEDIA</t>
  </si>
  <si>
    <t>MOHIT KEDIA</t>
  </si>
  <si>
    <t>TARA CHAND KEDIA</t>
  </si>
  <si>
    <t xml:space="preserve">10581242017            </t>
  </si>
  <si>
    <t>NARAYANI</t>
  </si>
  <si>
    <t>9802009900</t>
  </si>
  <si>
    <t>0130036781400001</t>
  </si>
  <si>
    <t>1301520000111599</t>
  </si>
  <si>
    <t>AHAN KEDIA</t>
  </si>
  <si>
    <t xml:space="preserve">10581252017            </t>
  </si>
  <si>
    <t>0130036779200001</t>
  </si>
  <si>
    <t>1301070000050917</t>
  </si>
  <si>
    <t>Asmita Devi Agrawal</t>
  </si>
  <si>
    <t>Moti Lal Agrawal</t>
  </si>
  <si>
    <t xml:space="preserve">105718/2702001         </t>
  </si>
  <si>
    <t>Hetauda</t>
  </si>
  <si>
    <t>0580174021000001</t>
  </si>
  <si>
    <t>1301790000224196</t>
  </si>
  <si>
    <t>UMESH KUMAR CHAUDHARY KALWAR</t>
  </si>
  <si>
    <t>MOTILAL CHAUDHARY KALWAR/TETRI DEVI</t>
  </si>
  <si>
    <t>JANNULAL CHAUDHARY</t>
  </si>
  <si>
    <t xml:space="preserve">1058343007/1452007     </t>
  </si>
  <si>
    <t>9803129491</t>
  </si>
  <si>
    <t>Jyoti Bikash Bank Ltd.- Head Office Branch</t>
  </si>
  <si>
    <t>05011300133446000001</t>
  </si>
  <si>
    <t>1301300000101074</t>
  </si>
  <si>
    <t>SUBODH ACHARYA</t>
  </si>
  <si>
    <t xml:space="preserve">MUKTI PRASAD ACHARYA/SHANTA UPADHAYAY KAFLE       </t>
  </si>
  <si>
    <t>KUL RAJ ACHARYA</t>
  </si>
  <si>
    <t xml:space="preserve">100327-01-76-062602019 </t>
  </si>
  <si>
    <t xml:space="preserve">GAURISANKAR MARGA        </t>
  </si>
  <si>
    <t xml:space="preserve">KATHMANDU                </t>
  </si>
  <si>
    <t xml:space="preserve">9861700178       </t>
  </si>
  <si>
    <t>Nabil Bank Ltd.-Kuleshwor Branch</t>
  </si>
  <si>
    <t>3810017501937</t>
  </si>
  <si>
    <t>1301130000147107</t>
  </si>
  <si>
    <t>MONIKA GURUNG</t>
  </si>
  <si>
    <t>MUKUNDA GURUNG</t>
  </si>
  <si>
    <t>KEDAR PRASAD GURUNG</t>
  </si>
  <si>
    <t xml:space="preserve">10741025/42122012      </t>
  </si>
  <si>
    <t>SILGADHI</t>
  </si>
  <si>
    <t>9868588585</t>
  </si>
  <si>
    <t>Nepal SBI Bank Ltd.-Dhangadi Branch</t>
  </si>
  <si>
    <t>22215242900791</t>
  </si>
  <si>
    <t>1301730000180733</t>
  </si>
  <si>
    <t>GAURAV ADHIKARI</t>
  </si>
  <si>
    <t>NABARAJ ADHIKARI</t>
  </si>
  <si>
    <t>GANESH PRASAD ADHIKARI</t>
  </si>
  <si>
    <t xml:space="preserve">1023433021/3312007     </t>
  </si>
  <si>
    <t>TANAHU</t>
  </si>
  <si>
    <t>9846180334</t>
  </si>
  <si>
    <t>Mega Bank Nepal Ltd-Baniyatar Branch</t>
  </si>
  <si>
    <t>1190050008012</t>
  </si>
  <si>
    <t>1301060000290482</t>
  </si>
  <si>
    <t>NIRUPAM MISHRA</t>
  </si>
  <si>
    <t>NAGENDRA MISHRA</t>
  </si>
  <si>
    <t>SHOBHIT MISHRA</t>
  </si>
  <si>
    <t xml:space="preserve">10245601996            </t>
  </si>
  <si>
    <t>9841373881</t>
  </si>
  <si>
    <t>00100516207816</t>
  </si>
  <si>
    <t>1301760000051947</t>
  </si>
  <si>
    <t>Balkrishna Adhikari</t>
  </si>
  <si>
    <t>Namdeu Adhikari, Bhima Adhikari</t>
  </si>
  <si>
    <t>Yak Narayan Adhikari, Gyanu Pandey</t>
  </si>
  <si>
    <t xml:space="preserve">1022423044/4122007     </t>
  </si>
  <si>
    <t>9866043750</t>
  </si>
  <si>
    <t>6601</t>
  </si>
  <si>
    <t>Garima Bikas Bank Ltd.- Galyang Branch</t>
  </si>
  <si>
    <t>00201900048420000001</t>
  </si>
  <si>
    <t>1301120000333954</t>
  </si>
  <si>
    <t>DEV BAHADUR RANA MAGAR</t>
  </si>
  <si>
    <t>NAND BAHADUR RANA MAGAR</t>
  </si>
  <si>
    <t>NAR BAHADUR RANA MAGAR</t>
  </si>
  <si>
    <t xml:space="preserve">10023/0881989          </t>
  </si>
  <si>
    <t>9841575083</t>
  </si>
  <si>
    <t>Laxmi Bank Ltd.-Newroad Branch</t>
  </si>
  <si>
    <t>01026007814</t>
  </si>
  <si>
    <t>1301070000108688</t>
  </si>
  <si>
    <t>Bhabnath Dahal</t>
  </si>
  <si>
    <t xml:space="preserve">1003817/32111987       </t>
  </si>
  <si>
    <t>0210017510848</t>
  </si>
  <si>
    <t>1301080000787121</t>
  </si>
  <si>
    <t>GOKUL PRASAD POUDEL</t>
  </si>
  <si>
    <t>NANDA LAL PADHAYA</t>
  </si>
  <si>
    <t>PARBATI KAFLE POUDEL</t>
  </si>
  <si>
    <t xml:space="preserve">1056948/0442007        </t>
  </si>
  <si>
    <t>9855064309</t>
  </si>
  <si>
    <t>Everest Bank Ltd.-Narayangarh Branch</t>
  </si>
  <si>
    <t>02500501205093</t>
  </si>
  <si>
    <t>1301100000738295</t>
  </si>
  <si>
    <t>SANTOSH PAWEY</t>
  </si>
  <si>
    <t>NANDANLAL PAWEY</t>
  </si>
  <si>
    <t>DHUTANA PAWEY THARU</t>
  </si>
  <si>
    <t xml:space="preserve">10560379222008         </t>
  </si>
  <si>
    <t>KALYANPUR</t>
  </si>
  <si>
    <t>9860338079</t>
  </si>
  <si>
    <t>0190061633500011</t>
  </si>
  <si>
    <t>1301120000367215</t>
  </si>
  <si>
    <t>UDDHAV PRASAD PHUYAL</t>
  </si>
  <si>
    <t>NANDI KESWAR PHUYAL</t>
  </si>
  <si>
    <t>KAMALA PHUYAL</t>
  </si>
  <si>
    <t xml:space="preserve">10038977/3101982       </t>
  </si>
  <si>
    <t>KATHAMDNU</t>
  </si>
  <si>
    <t>01-4153757</t>
  </si>
  <si>
    <t>7507010010964</t>
  </si>
  <si>
    <t>1301220000124526</t>
  </si>
  <si>
    <t>NANDIKESHWOR PHUYAL</t>
  </si>
  <si>
    <t xml:space="preserve">100373801984           </t>
  </si>
  <si>
    <t>9818416627</t>
  </si>
  <si>
    <t>0310415403211001</t>
  </si>
  <si>
    <t>1301630000397548</t>
  </si>
  <si>
    <t>SOHAN PRASAD JOSHI</t>
  </si>
  <si>
    <t>NANI BABU JOSHI/MANOMAIYA JOSHI</t>
  </si>
  <si>
    <t>BHIM BAHADUR JOSHI</t>
  </si>
  <si>
    <t xml:space="preserve">1068162/513-1681987    </t>
  </si>
  <si>
    <t>9861739548</t>
  </si>
  <si>
    <t>1270000046510</t>
  </si>
  <si>
    <t>1301520000776327</t>
  </si>
  <si>
    <t>CHANDRA MAYA PURI</t>
  </si>
  <si>
    <t>NAR BAHADUR PURI</t>
  </si>
  <si>
    <t>LOK NATH PURI</t>
  </si>
  <si>
    <t xml:space="preserve">1037052049/272072013   </t>
  </si>
  <si>
    <t xml:space="preserve">Kumari Bank Ltd.-Urlabari  Branch </t>
  </si>
  <si>
    <t>0200019769800001</t>
  </si>
  <si>
    <t>1301100001845621</t>
  </si>
  <si>
    <t>GUMA ADHIKARI</t>
  </si>
  <si>
    <t>NARAN PRASAD GAUTAM</t>
  </si>
  <si>
    <t>KHADU GAUTAM</t>
  </si>
  <si>
    <t xml:space="preserve">1019463022/4082007     </t>
  </si>
  <si>
    <t>9846771570</t>
  </si>
  <si>
    <t>1290156603300013</t>
  </si>
  <si>
    <t>1301700000015711</t>
  </si>
  <si>
    <t>BIMALA THAPA</t>
  </si>
  <si>
    <t>NARAYAN BAHADUR THAPA CHHETRI</t>
  </si>
  <si>
    <t>JUT BAHADUR THAPA</t>
  </si>
  <si>
    <t xml:space="preserve">1060522002/4072009     </t>
  </si>
  <si>
    <t>9844930455</t>
  </si>
  <si>
    <t>Rastriya Banijya Bank Ltd.-Lamahi Branch</t>
  </si>
  <si>
    <t>4290100013945010</t>
  </si>
  <si>
    <t>1301120002671753</t>
  </si>
  <si>
    <t>ADHIRAJ CHAUDHRY</t>
  </si>
  <si>
    <t>NARAYAN CHAUDHARY/ DULESHRE CHAUDHARY</t>
  </si>
  <si>
    <t>TULARAM CHAUDHARY/ CHAKRAWOTI CHAUDHARY</t>
  </si>
  <si>
    <t xml:space="preserve">106070/5911996         </t>
  </si>
  <si>
    <t>9847832131</t>
  </si>
  <si>
    <t>23607010002015</t>
  </si>
  <si>
    <t>1301580000215341</t>
  </si>
  <si>
    <t>HOM PRASAD SITAULA</t>
  </si>
  <si>
    <t>NARAYAN DATTA SITAULA</t>
  </si>
  <si>
    <t>PADAM SITAULA</t>
  </si>
  <si>
    <t xml:space="preserve">100221/4124/16431985   </t>
  </si>
  <si>
    <t>----</t>
  </si>
  <si>
    <t>0040001255312</t>
  </si>
  <si>
    <t>1301120001418497</t>
  </si>
  <si>
    <t>MANISHA KARMACHARYA</t>
  </si>
  <si>
    <t>NARAYAN PRASAD KARMACHARYA/BIMALA SHRESTHA KARMACH</t>
  </si>
  <si>
    <t>BUDDHI NARAYAN KARMACHARYA/ANISH SHRESTHA</t>
  </si>
  <si>
    <t xml:space="preserve">1003123622004          </t>
  </si>
  <si>
    <t>9841559943</t>
  </si>
  <si>
    <t>2808010001664</t>
  </si>
  <si>
    <t>1301070000542877</t>
  </si>
  <si>
    <t>Sumit Sah</t>
  </si>
  <si>
    <t>Narayan Sah</t>
  </si>
  <si>
    <t>Shree Ram Swarup Sah</t>
  </si>
  <si>
    <t xml:space="preserve">1067161001/40302010    </t>
  </si>
  <si>
    <t>Rajbiraj</t>
  </si>
  <si>
    <t>031520528</t>
  </si>
  <si>
    <t>Laxmi Bank Ltd.-Rajbiraj Branch</t>
  </si>
  <si>
    <t>11520002016</t>
  </si>
  <si>
    <t>1301440000208485</t>
  </si>
  <si>
    <t>Bhawani Sharma Paudel</t>
  </si>
  <si>
    <t>Narayan Sharma</t>
  </si>
  <si>
    <t>Bishnu Nath Padhya</t>
  </si>
  <si>
    <t xml:space="preserve">1014503027-3822014     </t>
  </si>
  <si>
    <t>Binamare 01</t>
  </si>
  <si>
    <t>9847766739</t>
  </si>
  <si>
    <t>Global IME Bank Ltd.-Kushmishera Branch</t>
  </si>
  <si>
    <t>4507010003462</t>
  </si>
  <si>
    <t>1301010000529587</t>
  </si>
  <si>
    <t>SANU BABU SHRESTHA</t>
  </si>
  <si>
    <t>NARAYAN SHRESTHA</t>
  </si>
  <si>
    <t>JAGAT BAHADUR SHRESTHA</t>
  </si>
  <si>
    <t xml:space="preserve">10034404/26952002      </t>
  </si>
  <si>
    <t>Himalayan Bank Ltd.-Tokha Branch</t>
  </si>
  <si>
    <t>31155323430014</t>
  </si>
  <si>
    <t>1301100000726564</t>
  </si>
  <si>
    <t>THAPENDRA KUMAR RAUT</t>
  </si>
  <si>
    <t>NARENDRA KUMAR RAUT</t>
  </si>
  <si>
    <t>BHUWAN SINGH RAUT</t>
  </si>
  <si>
    <t xml:space="preserve">1070465322000          </t>
  </si>
  <si>
    <t>HADIYA</t>
  </si>
  <si>
    <t>N/A</t>
  </si>
  <si>
    <t>NMB Bank Ltd.-Letang Branch</t>
  </si>
  <si>
    <t>0580061760900014</t>
  </si>
  <si>
    <t>1301180000000069</t>
  </si>
  <si>
    <t>KAMALA SHRESTHA</t>
  </si>
  <si>
    <t>NARENDRA KUMAR SHRESTHA</t>
  </si>
  <si>
    <t>HARI BHAKTA SHRESTHA</t>
  </si>
  <si>
    <t xml:space="preserve">103906/3682/052/532015 </t>
  </si>
  <si>
    <t>130018427</t>
  </si>
  <si>
    <t>16910017512081</t>
  </si>
  <si>
    <t>1301260000654444</t>
  </si>
  <si>
    <t>MIRA SHRESTHA</t>
  </si>
  <si>
    <t>NATI KAPALI/BISHNU MAYA KAPALI</t>
  </si>
  <si>
    <t>MANGAL DAS KAPALI</t>
  </si>
  <si>
    <t xml:space="preserve">1005481632006          </t>
  </si>
  <si>
    <t>9841858934</t>
  </si>
  <si>
    <t>Prabhu Bank Ltd.-Koteshwor Branch</t>
  </si>
  <si>
    <t>0170150705300018</t>
  </si>
  <si>
    <t>1301220000372359</t>
  </si>
  <si>
    <t>NAINISHA SUBEDI</t>
  </si>
  <si>
    <t>NAVARAJ SUBEDI</t>
  </si>
  <si>
    <t>BABURAM SUBEDI</t>
  </si>
  <si>
    <t xml:space="preserve">1046372024/628802010   </t>
  </si>
  <si>
    <t>Rupandehi-04</t>
  </si>
  <si>
    <t>9847120703</t>
  </si>
  <si>
    <t>2701</t>
  </si>
  <si>
    <t>Janata Bank Nepal Ltd.-Thapathali Branch</t>
  </si>
  <si>
    <t>061106052501901</t>
  </si>
  <si>
    <t>1301600000000717</t>
  </si>
  <si>
    <t>BAIBHAV DHAKAL</t>
  </si>
  <si>
    <t>JAGANNATH PRASAD UPADHAYA DHAKAL</t>
  </si>
  <si>
    <t xml:space="preserve">1026212016             </t>
  </si>
  <si>
    <t>041-522343</t>
  </si>
  <si>
    <t>Prabhu Bank Ltd.-Thamel 320 Branch</t>
  </si>
  <si>
    <t>3207006650000018</t>
  </si>
  <si>
    <t>1301060001882757</t>
  </si>
  <si>
    <t>ANISH BLON LAMA</t>
  </si>
  <si>
    <t>NAWARAJ LAMA</t>
  </si>
  <si>
    <t>BIR BAHADUR LAMA</t>
  </si>
  <si>
    <t xml:space="preserve">1004916012000          </t>
  </si>
  <si>
    <t>9801076070</t>
  </si>
  <si>
    <t>Nepal Investment Mega Bank Ltd.-Lagankhel Branch</t>
  </si>
  <si>
    <t>01205030103024</t>
  </si>
  <si>
    <t>1301370000230300</t>
  </si>
  <si>
    <t>Durga Prasad Dawadi</t>
  </si>
  <si>
    <t>Negnath Dawadi</t>
  </si>
  <si>
    <t>Hari Prasad Dawadi</t>
  </si>
  <si>
    <t xml:space="preserve">10561931979            </t>
  </si>
  <si>
    <t>9851159148</t>
  </si>
  <si>
    <t>3369178526524002</t>
  </si>
  <si>
    <t>1301230000005032</t>
  </si>
  <si>
    <t>Chakra Pani Bhattarai</t>
  </si>
  <si>
    <t>Netra Prasad Bhattarai</t>
  </si>
  <si>
    <t>Shivalal Bhattarai</t>
  </si>
  <si>
    <t xml:space="preserve">1017477752005          </t>
  </si>
  <si>
    <t>9851079763</t>
  </si>
  <si>
    <t>Nepal Investment Mega Bank Ltd.-Kirtipur Branch</t>
  </si>
  <si>
    <t>05205050094298</t>
  </si>
  <si>
    <t>1301100000343320</t>
  </si>
  <si>
    <t>RAM KRISHNA SUBEDI</t>
  </si>
  <si>
    <t>NETRA PRASAD SUBEDI</t>
  </si>
  <si>
    <t>RADHA KRISHNA SUBEDI</t>
  </si>
  <si>
    <t>10412022-041-4223291985</t>
  </si>
  <si>
    <t>9851281728</t>
  </si>
  <si>
    <t>0010038818100012</t>
  </si>
  <si>
    <t>1301040000060527</t>
  </si>
  <si>
    <t>LINA NEMKUL SHRESTHA</t>
  </si>
  <si>
    <t xml:space="preserve">NHUCHE BAHADUR NEMKUL/LAXMI NEMKUL                </t>
  </si>
  <si>
    <t>RAJESH SHRESTHA/PURNA BAHADUR NEMKUL</t>
  </si>
  <si>
    <t xml:space="preserve">1005623731997          </t>
  </si>
  <si>
    <t>9841554595</t>
  </si>
  <si>
    <t>18310017506685</t>
  </si>
  <si>
    <t>1301490000052224</t>
  </si>
  <si>
    <t>RAJYA LAXMI KHADGI SHRESTHA</t>
  </si>
  <si>
    <t>NHUCHHE RATNA KHADGI</t>
  </si>
  <si>
    <t>PRATYUSH KUMAR SHRESTHA</t>
  </si>
  <si>
    <t xml:space="preserve">1005633941993          </t>
  </si>
  <si>
    <t>9841741186</t>
  </si>
  <si>
    <t>1430100111164011</t>
  </si>
  <si>
    <t>1301570000201804</t>
  </si>
  <si>
    <t>NIL KUMAR SHRESTHA / JUNI MAYA SHRESTHA</t>
  </si>
  <si>
    <t>NETRA KUMARI SHRESTHA / NANDA LAL SHRESTHA</t>
  </si>
  <si>
    <t xml:space="preserve">1018254/24311992       </t>
  </si>
  <si>
    <t>JAUBARI</t>
  </si>
  <si>
    <t>9856040987</t>
  </si>
  <si>
    <t>Nepal Bank Ltd.-Jaubari Branch</t>
  </si>
  <si>
    <t>23101706921959000001</t>
  </si>
  <si>
    <t>1301060000889172</t>
  </si>
  <si>
    <t>MOHAN LAMSAL</t>
  </si>
  <si>
    <t>NILKANTHA LAMSAL</t>
  </si>
  <si>
    <t>SHILA LAMSAL</t>
  </si>
  <si>
    <t>100327 8031/3038/192012</t>
  </si>
  <si>
    <t>TULSIPUR</t>
  </si>
  <si>
    <t>9851037083</t>
  </si>
  <si>
    <t>01605080102810</t>
  </si>
  <si>
    <t>1301510000210637</t>
  </si>
  <si>
    <t>KAUSTAV MAHARJAN</t>
  </si>
  <si>
    <t>NIMESH MAHARJAN</t>
  </si>
  <si>
    <t>RAMESH MAHARJAN</t>
  </si>
  <si>
    <t xml:space="preserve">100520700620044872018  </t>
  </si>
  <si>
    <t>9842667492</t>
  </si>
  <si>
    <t>Nabil Bank Limited.-Sanepa Branch</t>
  </si>
  <si>
    <t>23810017500698</t>
  </si>
  <si>
    <t>1301100000367994</t>
  </si>
  <si>
    <t>SANVEE DAHAL</t>
  </si>
  <si>
    <t>NIRAJAN DAHAL</t>
  </si>
  <si>
    <t>JHALENDRA PRASAD DAHAL</t>
  </si>
  <si>
    <t xml:space="preserve">10522452016            </t>
  </si>
  <si>
    <t>jhapa</t>
  </si>
  <si>
    <t>9840052989</t>
  </si>
  <si>
    <t>0010049121300013</t>
  </si>
  <si>
    <t>1301170000962942</t>
  </si>
  <si>
    <t>UNIKA SHRESTHA</t>
  </si>
  <si>
    <t>NIRBIKAR SHRESTHA</t>
  </si>
  <si>
    <t>BISHNU BAHADUR SHRESTHA</t>
  </si>
  <si>
    <t xml:space="preserve">1001KA3892004          </t>
  </si>
  <si>
    <t>9812776773</t>
  </si>
  <si>
    <t>0010100000087045</t>
  </si>
  <si>
    <t>1301720000424633</t>
  </si>
  <si>
    <t>INDRESHWARI SHRESTHA</t>
  </si>
  <si>
    <t>NMADHAV NANDA KARMACHARYA</t>
  </si>
  <si>
    <t>ACHUTANANDA KARMACHARYA</t>
  </si>
  <si>
    <t xml:space="preserve">10032719/30141989      </t>
  </si>
  <si>
    <t>TUSAL-04</t>
  </si>
  <si>
    <t>9841447153</t>
  </si>
  <si>
    <t>0210400235015014</t>
  </si>
  <si>
    <t>1301120000675776</t>
  </si>
  <si>
    <t>KRISHNA THAPA CHHETRI</t>
  </si>
  <si>
    <t>NOOR JUNG THAPA CHHETRI</t>
  </si>
  <si>
    <t>RAM BAHADUR THAPA</t>
  </si>
  <si>
    <t xml:space="preserve">104688032000           </t>
  </si>
  <si>
    <t>9847078317</t>
  </si>
  <si>
    <t>Global IME Bank Ltd.- Butwal  Branch</t>
  </si>
  <si>
    <t>01707010016400</t>
  </si>
  <si>
    <t>1301570000065183</t>
  </si>
  <si>
    <t>Uttam Belbase</t>
  </si>
  <si>
    <t>Numananda Belbase</t>
  </si>
  <si>
    <t>Lal Madi Belbase</t>
  </si>
  <si>
    <t xml:space="preserve">1046371023/384132009   </t>
  </si>
  <si>
    <t>Siddharthanagar-07</t>
  </si>
  <si>
    <t>9860569450</t>
  </si>
  <si>
    <t>Nabil Bank Ltd.-Card Division Branch</t>
  </si>
  <si>
    <t>09810017503947</t>
  </si>
  <si>
    <t>1301060001530568</t>
  </si>
  <si>
    <t>SURENDRA SHARMA</t>
  </si>
  <si>
    <t>OM PRAKASH SHARMA</t>
  </si>
  <si>
    <t>NIRU SHARMA</t>
  </si>
  <si>
    <t xml:space="preserve">1037053074/1072007     </t>
  </si>
  <si>
    <t>9814790781</t>
  </si>
  <si>
    <t>Laxmi Bank Ltd.-Biratnagar Branch</t>
  </si>
  <si>
    <t>00620157627</t>
  </si>
  <si>
    <t>1301170000110229</t>
  </si>
  <si>
    <t>DORJEE SHERPA</t>
  </si>
  <si>
    <t>ONGCHHU SHERPA</t>
  </si>
  <si>
    <t>KITAR SHERPA</t>
  </si>
  <si>
    <t xml:space="preserve">106911-07-236/19272006 </t>
  </si>
  <si>
    <t>4810294</t>
  </si>
  <si>
    <t>Mega Bank Nepal Ltd.- Bouddha Branch</t>
  </si>
  <si>
    <t>0250050008863</t>
  </si>
  <si>
    <t>1301120000747399</t>
  </si>
  <si>
    <t>Sharmila Chaudhary</t>
  </si>
  <si>
    <t>Pabitra Narayan Chaudhary</t>
  </si>
  <si>
    <t>Sudai Chaudhary</t>
  </si>
  <si>
    <t xml:space="preserve">10682001/94402012      </t>
  </si>
  <si>
    <t>Dhodhana</t>
  </si>
  <si>
    <t>9860783818</t>
  </si>
  <si>
    <t>2807010002077</t>
  </si>
  <si>
    <t>1301650000225340</t>
  </si>
  <si>
    <t>KRISHNA PRASAD BUDHA</t>
  </si>
  <si>
    <t>PADAM BAHADUR BUDHA / DILCHA BUDHA</t>
  </si>
  <si>
    <t>JHAK DEVI PAIJA BUDHA / UJIR SINGH BUDHA</t>
  </si>
  <si>
    <t xml:space="preserve">1016491039/160202010   </t>
  </si>
  <si>
    <t>9840603764</t>
  </si>
  <si>
    <t>Rastriya Banijya Bank Ltd.-Pardi Branch</t>
  </si>
  <si>
    <t>3500100002595010</t>
  </si>
  <si>
    <t>1301380000056926</t>
  </si>
  <si>
    <t>SARITA DAHAL NEUPANE</t>
  </si>
  <si>
    <t>PADAM NARAYAN DAHAL</t>
  </si>
  <si>
    <t xml:space="preserve">10050012602000         </t>
  </si>
  <si>
    <t>CHANDANPUR-4</t>
  </si>
  <si>
    <t>01801100230875000001</t>
  </si>
  <si>
    <t>1301570000132004</t>
  </si>
  <si>
    <t>Apasara Siwakoti</t>
  </si>
  <si>
    <t>Padam Prasad Mainali/Kalpana Mainali</t>
  </si>
  <si>
    <t>Krishna Siwakoti/Abichandra mainali</t>
  </si>
  <si>
    <t xml:space="preserve">1052182417842004       </t>
  </si>
  <si>
    <t>Kankai</t>
  </si>
  <si>
    <t>9806022262</t>
  </si>
  <si>
    <t>Nepal Bank Ltd.-Surunga Branch</t>
  </si>
  <si>
    <t>14701000951826000001</t>
  </si>
  <si>
    <t>1301060000062955</t>
  </si>
  <si>
    <t>BHARAT RAJ ACHARYA</t>
  </si>
  <si>
    <t>PADAM RAJ ACHARYA</t>
  </si>
  <si>
    <t>RUDRA LAL ACHARYA / SHUBHADRA DEVI REGMI</t>
  </si>
  <si>
    <t xml:space="preserve">10191111872001         </t>
  </si>
  <si>
    <t>061-463875</t>
  </si>
  <si>
    <t>Machhapuchhre Bank Ltd.-PEPSICOLA</t>
  </si>
  <si>
    <t>1122524053288018</t>
  </si>
  <si>
    <t>1301120000837062</t>
  </si>
  <si>
    <t>Dikendra Raj Kandel</t>
  </si>
  <si>
    <t>Paddhya Raj Kandel</t>
  </si>
  <si>
    <t>Mohan Nidhi Kandel / Sanumaya Kandel</t>
  </si>
  <si>
    <t xml:space="preserve">102010471982           </t>
  </si>
  <si>
    <t>Chakratirtha</t>
  </si>
  <si>
    <t>9851041576</t>
  </si>
  <si>
    <t>Global IME Bank Limited.-DHOBIGHAT Branch</t>
  </si>
  <si>
    <t>9507010000727</t>
  </si>
  <si>
    <t>1301170001160301</t>
  </si>
  <si>
    <t>PRATIMA SHRESTHA</t>
  </si>
  <si>
    <t>PAN BAHADUR SHRESTHA</t>
  </si>
  <si>
    <t>SUMAN KUMAR SHRESTHA</t>
  </si>
  <si>
    <t xml:space="preserve">1067161077/2542009     </t>
  </si>
  <si>
    <t>0570100000812041</t>
  </si>
  <si>
    <t>1301170000337063</t>
  </si>
  <si>
    <t>SHANKAR SUBEDI</t>
  </si>
  <si>
    <t>PASHUPATI NATH SUBEDI</t>
  </si>
  <si>
    <t>LAXMI PRASAD SUBEDI</t>
  </si>
  <si>
    <t xml:space="preserve">1039062001             </t>
  </si>
  <si>
    <t>0120100000024027</t>
  </si>
  <si>
    <t>1301090000575886</t>
  </si>
  <si>
    <t>BINOD KUMAR YADAV</t>
  </si>
  <si>
    <t>PASHUPATI YADAV</t>
  </si>
  <si>
    <t>RAM PRASAD YADAV</t>
  </si>
  <si>
    <t xml:space="preserve">103931536/335361995    </t>
  </si>
  <si>
    <t>INARWA</t>
  </si>
  <si>
    <t>9852024738</t>
  </si>
  <si>
    <t>00315127771</t>
  </si>
  <si>
    <t>1301120000172844</t>
  </si>
  <si>
    <t>Baikuntha Prasad Lamichhane</t>
  </si>
  <si>
    <t>Pasupati Prasad Lamichhane</t>
  </si>
  <si>
    <t>Bednath Lamichhane/ Binita Lamichhane</t>
  </si>
  <si>
    <t xml:space="preserve">100371161991           </t>
  </si>
  <si>
    <t>Budanilkantha</t>
  </si>
  <si>
    <t>9841213590</t>
  </si>
  <si>
    <t>Laxmi Sunrise Bank Limited.-Budhanilkantha Branch</t>
  </si>
  <si>
    <t>02310059859017</t>
  </si>
  <si>
    <t>1301060000817134</t>
  </si>
  <si>
    <t>PRASAMSHA BASAULA</t>
  </si>
  <si>
    <t xml:space="preserve">1019812014             </t>
  </si>
  <si>
    <t>061464992</t>
  </si>
  <si>
    <t>Nepal SBI Bank Ltd.-New Road Branch</t>
  </si>
  <si>
    <t>1891524310004</t>
  </si>
  <si>
    <t>1301060001947438</t>
  </si>
  <si>
    <t>GYALJEN SHERPA</t>
  </si>
  <si>
    <t>PEMBA SHERPA</t>
  </si>
  <si>
    <t>PASANG SHERPA</t>
  </si>
  <si>
    <t xml:space="preserve">1069111030/702008      </t>
  </si>
  <si>
    <t>SOLUKHUMBHU</t>
  </si>
  <si>
    <t>9808495529</t>
  </si>
  <si>
    <t>02905080336659</t>
  </si>
  <si>
    <t>1301080000019801</t>
  </si>
  <si>
    <t>RAMESH KUMAR ATREYA</t>
  </si>
  <si>
    <t>PHANUDATTA  ATREYA</t>
  </si>
  <si>
    <t>YAGYAMURTI ATREYA</t>
  </si>
  <si>
    <t xml:space="preserve">10412359/18631985      </t>
  </si>
  <si>
    <t>AGRAKHACHI</t>
  </si>
  <si>
    <t>Everest Bank Ltd.-Lazimpat Branch</t>
  </si>
  <si>
    <t>01400501000700</t>
  </si>
  <si>
    <t>1301650000821755</t>
  </si>
  <si>
    <t>BIJAY GHALAN</t>
  </si>
  <si>
    <t>PHUL BAHADUR GHALAN</t>
  </si>
  <si>
    <t>SHREEMAN GHALAN/ANJU TAMANG</t>
  </si>
  <si>
    <t xml:space="preserve">1057311023815872011    </t>
  </si>
  <si>
    <t>9866384616</t>
  </si>
  <si>
    <t>1310100000353104</t>
  </si>
  <si>
    <t>1301370000017807</t>
  </si>
  <si>
    <t>Sabina Bohara</t>
  </si>
  <si>
    <t>Phunne Mahata</t>
  </si>
  <si>
    <t>Phaure Mahata</t>
  </si>
  <si>
    <t xml:space="preserve">104972-1-16/567082010  </t>
  </si>
  <si>
    <t>Guljar</t>
  </si>
  <si>
    <t>9841391430</t>
  </si>
  <si>
    <t>NIC Asia Bank Ltd.-Lazimpat Branch</t>
  </si>
  <si>
    <t>6369388328524001</t>
  </si>
  <si>
    <t>1301530000127711</t>
  </si>
  <si>
    <t>Lhakpa Doma Pakhrin</t>
  </si>
  <si>
    <t>Phurba Pakhrin</t>
  </si>
  <si>
    <t>Sukaram Pakhrin</t>
  </si>
  <si>
    <t xml:space="preserve">10699736/4831998       </t>
  </si>
  <si>
    <t>Salleri</t>
  </si>
  <si>
    <t>9851230656</t>
  </si>
  <si>
    <t>Himalayan Bank Ltd.- Trishuli Branch</t>
  </si>
  <si>
    <t>02604511090016</t>
  </si>
  <si>
    <t>1301310000017422</t>
  </si>
  <si>
    <t>SHANTA SHARMA</t>
  </si>
  <si>
    <t>PITA NATH POKHREL</t>
  </si>
  <si>
    <t>SHYAM LAL UPADHYA/RUDRA RAJ SHARMA</t>
  </si>
  <si>
    <t xml:space="preserve">10033328/1111979       </t>
  </si>
  <si>
    <t>100341470</t>
  </si>
  <si>
    <t>4474221</t>
  </si>
  <si>
    <t>Prime Commercial Bank Ltd.-Baneshwor Branch</t>
  </si>
  <si>
    <t>00600060GL</t>
  </si>
  <si>
    <t>1301070000003484</t>
  </si>
  <si>
    <t>Ram Krishna Waha</t>
  </si>
  <si>
    <t>Pithanara Waha</t>
  </si>
  <si>
    <t>Kaji Bahadur Waha</t>
  </si>
  <si>
    <t xml:space="preserve">1001283322000          </t>
  </si>
  <si>
    <t>Madhyapur Thimi</t>
  </si>
  <si>
    <t>9851138306</t>
  </si>
  <si>
    <t>Laxmi Bank Ltd.-Pulchowk  Branch</t>
  </si>
  <si>
    <t>00720019804</t>
  </si>
  <si>
    <t>1301060000447286</t>
  </si>
  <si>
    <t>AAYUSHA SHRESTHA</t>
  </si>
  <si>
    <t>PRABIN BAHADUR SHRESTHA</t>
  </si>
  <si>
    <t>PURNA BAHADUR SHRESTHA</t>
  </si>
  <si>
    <t xml:space="preserve">100327-02-79-002932022 </t>
  </si>
  <si>
    <t>01-4915025</t>
  </si>
  <si>
    <t>Nepal Investment Mega Bank Ltd.-Naxal Branch</t>
  </si>
  <si>
    <t>05005050038927</t>
  </si>
  <si>
    <t>1301180000010704</t>
  </si>
  <si>
    <t>PRAGADH SHRESTHA</t>
  </si>
  <si>
    <t>PRABIN KUMAR SHRESTHA</t>
  </si>
  <si>
    <t>DHAN BAHADUR SHRESTHA</t>
  </si>
  <si>
    <t xml:space="preserve">105103-02-80-009832023 </t>
  </si>
  <si>
    <t>WARD NO. 01</t>
  </si>
  <si>
    <t xml:space="preserve">9804913524       </t>
  </si>
  <si>
    <t>Global IME Bank Ltd.-Koteshwor Branch</t>
  </si>
  <si>
    <t>3607010006739</t>
  </si>
  <si>
    <t>1301520000432702</t>
  </si>
  <si>
    <t>VIKASH PAUDEL</t>
  </si>
  <si>
    <t>PRADHUMNA PRASAD PAUDEL</t>
  </si>
  <si>
    <t>BASUDEV PAUDEL</t>
  </si>
  <si>
    <t xml:space="preserve">1005138572002          </t>
  </si>
  <si>
    <t>0030004408300001</t>
  </si>
  <si>
    <t>1301060001302061</t>
  </si>
  <si>
    <t>PRANAY SHANKER SHRESTHA</t>
  </si>
  <si>
    <t>PRAKASH SHANKER SHRESTHA</t>
  </si>
  <si>
    <t>LAXMI SHANKER SHRESTHA</t>
  </si>
  <si>
    <t xml:space="preserve">1005104912002          </t>
  </si>
  <si>
    <t>5592083</t>
  </si>
  <si>
    <t>00405090250092</t>
  </si>
  <si>
    <t>1301240000174732</t>
  </si>
  <si>
    <t>PRANAV SHANKER SHRESTHA</t>
  </si>
  <si>
    <t xml:space="preserve">1005104902002          </t>
  </si>
  <si>
    <t>9841335826</t>
  </si>
  <si>
    <t>Laxmi Sunrise Bank Limited.-Bhaisepati-Khokana Dobato</t>
  </si>
  <si>
    <t>0420384708299001</t>
  </si>
  <si>
    <t>1301370001261461</t>
  </si>
  <si>
    <t>Projwal Shrestha</t>
  </si>
  <si>
    <t>Prakash Shrestha</t>
  </si>
  <si>
    <t>Surya Bahadur Shrestha</t>
  </si>
  <si>
    <t xml:space="preserve">1003123292004          </t>
  </si>
  <si>
    <t>Chabahil</t>
  </si>
  <si>
    <t>9843154578</t>
  </si>
  <si>
    <t>4987902440524001</t>
  </si>
  <si>
    <t>1301370002464166</t>
  </si>
  <si>
    <t>KAUSHAL KUMAR DAS</t>
  </si>
  <si>
    <t>PRAMOD KUMAR DAS</t>
  </si>
  <si>
    <t>RAS KUMAR DAS</t>
  </si>
  <si>
    <t xml:space="preserve">105204-01-72-064792015 </t>
  </si>
  <si>
    <t>9816039297</t>
  </si>
  <si>
    <t>NIC Asia Bank Ltd.-Chandragadi Branch</t>
  </si>
  <si>
    <t>0987023207852401</t>
  </si>
  <si>
    <t>1301090002164168</t>
  </si>
  <si>
    <t>SAHARSA SHRESTHA</t>
  </si>
  <si>
    <t>PRAMOD SHRESTHA</t>
  </si>
  <si>
    <t xml:space="preserve">100320770426042862021  </t>
  </si>
  <si>
    <t>9841386380</t>
  </si>
  <si>
    <t>01717160840</t>
  </si>
  <si>
    <t>1301570000397875</t>
  </si>
  <si>
    <t>MANJU KUMARI BHATTA</t>
  </si>
  <si>
    <t>PRATAP DATTA  BHATTA /GOMATI BHATTA</t>
  </si>
  <si>
    <t>JAYANANDA BHATTA</t>
  </si>
  <si>
    <t xml:space="preserve">1050561676412003       </t>
  </si>
  <si>
    <t>9841859955</t>
  </si>
  <si>
    <t>00201107012059000001</t>
  </si>
  <si>
    <t>1301120000188801</t>
  </si>
  <si>
    <t>Ram Prakash Pradhan Shrestha</t>
  </si>
  <si>
    <t>Pratham Lal Shrestha</t>
  </si>
  <si>
    <t>Kaji Lal Shrestha/ Shreejani Makaju</t>
  </si>
  <si>
    <t xml:space="preserve">1004947062000          </t>
  </si>
  <si>
    <t>9841674992</t>
  </si>
  <si>
    <t>Janata Bank Nepal Ltd.-New Road Branch</t>
  </si>
  <si>
    <t>003104046975201</t>
  </si>
  <si>
    <t>1301650000444454</t>
  </si>
  <si>
    <t>AARIKA SHRESTHA</t>
  </si>
  <si>
    <t>PRATYUSH KUMAR SHRESTHA / RAJYA LAXMI KHADGI</t>
  </si>
  <si>
    <t>UDDHAV LAL SHRESTHA</t>
  </si>
  <si>
    <t xml:space="preserve">10052069082203462018   </t>
  </si>
  <si>
    <t>DHOBIGHAT</t>
  </si>
  <si>
    <t>9851082999</t>
  </si>
  <si>
    <t>1430100000008118</t>
  </si>
  <si>
    <t>1301650000444469</t>
  </si>
  <si>
    <t>PRASHIKA SHRESTHA</t>
  </si>
  <si>
    <t xml:space="preserve">100538862009           </t>
  </si>
  <si>
    <t>1430100000009118</t>
  </si>
  <si>
    <t>1301650000268995</t>
  </si>
  <si>
    <t>MADHAV KUMAR SHAH</t>
  </si>
  <si>
    <t>PRAYAG SAH / JOKHANI DEVI</t>
  </si>
  <si>
    <t>MAHESH SAH</t>
  </si>
  <si>
    <t xml:space="preserve">105834-01-71-014412014 </t>
  </si>
  <si>
    <t>POKHARIYA</t>
  </si>
  <si>
    <t>9845553386</t>
  </si>
  <si>
    <t>Rastriya Banijya Bank Ltd.-Dryport Biratnagar Branch</t>
  </si>
  <si>
    <t>2630100000773011</t>
  </si>
  <si>
    <t>1301120001085252</t>
  </si>
  <si>
    <t>SHALIK RAM THAPA</t>
  </si>
  <si>
    <t>PREM BAHADUR HAPA /  BHUWANI THAPA</t>
  </si>
  <si>
    <t>TOP BAHADUR THAPA /  NIRU KARKI THAPA</t>
  </si>
  <si>
    <t xml:space="preserve">1042411010/802222006   </t>
  </si>
  <si>
    <t>9857066833</t>
  </si>
  <si>
    <t>Rastriya Banijya Bank Ltd.-Sandhikharka Branch</t>
  </si>
  <si>
    <t>3050100000030104</t>
  </si>
  <si>
    <t>1301440000031483</t>
  </si>
  <si>
    <t>Januka Karki</t>
  </si>
  <si>
    <t>Prem Bahadur Karki</t>
  </si>
  <si>
    <t>Birkha Bahadur Karki</t>
  </si>
  <si>
    <t xml:space="preserve">106652728/2602003      </t>
  </si>
  <si>
    <t>Phulbari 07</t>
  </si>
  <si>
    <t>9866035766</t>
  </si>
  <si>
    <t>1301040000183366</t>
  </si>
  <si>
    <t>ISHWOR KHADKA</t>
  </si>
  <si>
    <t>PREM BAHADUR KHADKA/ARUNA KHADKA</t>
  </si>
  <si>
    <t>BUDDHI SINGH KHADKA/MONA KHADKA</t>
  </si>
  <si>
    <t xml:space="preserve">1075607422004          </t>
  </si>
  <si>
    <t>CHATAKPUR SAHI</t>
  </si>
  <si>
    <t>9804619403</t>
  </si>
  <si>
    <t>Nabil Bank Ltd.-Boradandi</t>
  </si>
  <si>
    <t>2810017501749</t>
  </si>
  <si>
    <t>1301720000591131</t>
  </si>
  <si>
    <t>ASHISH RAYAMAJHI</t>
  </si>
  <si>
    <t>PREM BAHADUR RAYAMAJHI</t>
  </si>
  <si>
    <t>BHIM BAHADUR RAYAMAJHI</t>
  </si>
  <si>
    <t xml:space="preserve">1045391032/2532009     </t>
  </si>
  <si>
    <t>9857038130</t>
  </si>
  <si>
    <t>Agricultural Development Bank Ltd.-KHASAULI Branch</t>
  </si>
  <si>
    <t>0414701046736011</t>
  </si>
  <si>
    <t>1301550000036905</t>
  </si>
  <si>
    <t>KAMAL BAHADUR THAPA</t>
  </si>
  <si>
    <t>PREM BAHADUR THAPA</t>
  </si>
  <si>
    <t>KHADGA BAHADUR THAPA</t>
  </si>
  <si>
    <t xml:space="preserve">10251341/4641983       </t>
  </si>
  <si>
    <t>9851031963</t>
  </si>
  <si>
    <t>Nepal Investment Mega Bank Ltd.-Thimi 2 Branch</t>
  </si>
  <si>
    <t>25605080001595</t>
  </si>
  <si>
    <t>1301630000080231</t>
  </si>
  <si>
    <t>DIVYA AGRAWAL</t>
  </si>
  <si>
    <t>PREM KUMAR AGRAWAL</t>
  </si>
  <si>
    <t>HARIRAM AGRAWAL</t>
  </si>
  <si>
    <t xml:space="preserve">105204-12-74-004902017 </t>
  </si>
  <si>
    <t>BHADRAPUR-1</t>
  </si>
  <si>
    <t>9849023972</t>
  </si>
  <si>
    <t>2040193038700001</t>
  </si>
  <si>
    <t>1301120000266151</t>
  </si>
  <si>
    <t>GANGA LAL SHRESTHA</t>
  </si>
  <si>
    <t>PREM PRASAD SHRESTHA</t>
  </si>
  <si>
    <t>DAL PRASAD SHRESTHA</t>
  </si>
  <si>
    <t xml:space="preserve">1041357/26841990       </t>
  </si>
  <si>
    <t>9847093396</t>
  </si>
  <si>
    <t>Shine Resunga Development Bank Ltd.- Butwal Branch</t>
  </si>
  <si>
    <t>00112300001072000006</t>
  </si>
  <si>
    <t>1301080000019170</t>
  </si>
  <si>
    <t>UDHAV PRASAD POUDEL</t>
  </si>
  <si>
    <t>PUNNYA PD POUDEL</t>
  </si>
  <si>
    <t>SHIV PD POUDEL</t>
  </si>
  <si>
    <t xml:space="preserve">100361061988           </t>
  </si>
  <si>
    <t>00210005108017</t>
  </si>
  <si>
    <t>1301090001161328</t>
  </si>
  <si>
    <t>TANKA BASNET</t>
  </si>
  <si>
    <t>PUNYA BAHADUR BASNET</t>
  </si>
  <si>
    <t>NAR BAHADUR BASNET</t>
  </si>
  <si>
    <t xml:space="preserve">10528/24197091993      </t>
  </si>
  <si>
    <t>shivagunj</t>
  </si>
  <si>
    <t>9852676386</t>
  </si>
  <si>
    <t>00715194609</t>
  </si>
  <si>
    <t>1301170000205775</t>
  </si>
  <si>
    <t>JANUKA BARAL (NIROULA)</t>
  </si>
  <si>
    <t>PUNYA PRASAD BARAL</t>
  </si>
  <si>
    <t>NANDA LAL BARAL</t>
  </si>
  <si>
    <t xml:space="preserve">105282316051995        </t>
  </si>
  <si>
    <t>SANISCHARE</t>
  </si>
  <si>
    <t>9862023702</t>
  </si>
  <si>
    <t>Citizens Bank International Ltd.-Biratnagar Branch</t>
  </si>
  <si>
    <t>0020100000533013</t>
  </si>
  <si>
    <t>1301650000259866</t>
  </si>
  <si>
    <t>SANDESH CHAND</t>
  </si>
  <si>
    <t>PURNA BAHADUR CHAND/BINDU CHAND</t>
  </si>
  <si>
    <t>INDRA BAHADUR CHAND</t>
  </si>
  <si>
    <t xml:space="preserve">1050578003552003       </t>
  </si>
  <si>
    <t>BHIMDHATA</t>
  </si>
  <si>
    <t>4190100000001210</t>
  </si>
  <si>
    <t>1301370000099511</t>
  </si>
  <si>
    <t>Anju Maharjan</t>
  </si>
  <si>
    <t>Purna Bahadur Maharjan</t>
  </si>
  <si>
    <t>Jit Bahadur Maharjan</t>
  </si>
  <si>
    <t xml:space="preserve">1003271060/119732008   </t>
  </si>
  <si>
    <t>Chalkhu</t>
  </si>
  <si>
    <t>9851318105</t>
  </si>
  <si>
    <t>4369317324524002</t>
  </si>
  <si>
    <t>1301440000188153</t>
  </si>
  <si>
    <t>Subash Nepali</t>
  </si>
  <si>
    <t>Purna Bahadur Nepali</t>
  </si>
  <si>
    <t>Lila Bahadur Nepali</t>
  </si>
  <si>
    <t xml:space="preserve">1022421052/922502008   </t>
  </si>
  <si>
    <t>Aadikhola 01</t>
  </si>
  <si>
    <t>9825141047</t>
  </si>
  <si>
    <t>3309015016636</t>
  </si>
  <si>
    <t>1301650000647442</t>
  </si>
  <si>
    <t>MAN KUMARI SHRESTHA</t>
  </si>
  <si>
    <t>PURNA BAHADUR SHRESTHA/ NANI MAYA SHRESTHA</t>
  </si>
  <si>
    <t>DUTTA RAM SHRESTHA / BIR BAHADUR SHRESTHA</t>
  </si>
  <si>
    <t xml:space="preserve">1003277017/60271981    </t>
  </si>
  <si>
    <t>GOKARNASHWOR</t>
  </si>
  <si>
    <t>9845122607</t>
  </si>
  <si>
    <t>1700100000112004</t>
  </si>
  <si>
    <t>1301370003522854</t>
  </si>
  <si>
    <t>PRABIN SHAKYA</t>
  </si>
  <si>
    <t>PURNA KAJI SHAKYA</t>
  </si>
  <si>
    <t>ASHA KAJI SHAKYA</t>
  </si>
  <si>
    <t>100528-01-065-032692008</t>
  </si>
  <si>
    <t>9840336390</t>
  </si>
  <si>
    <t>0335750994619001</t>
  </si>
  <si>
    <t>1301370002914881</t>
  </si>
  <si>
    <t>PARAS MANI BHATTARAI</t>
  </si>
  <si>
    <t>PURNA PRASAD BHATTARAI</t>
  </si>
  <si>
    <t>GANGA PRASAD BHATTARAI</t>
  </si>
  <si>
    <t xml:space="preserve">106772311999           </t>
  </si>
  <si>
    <t>KANCHANRUP</t>
  </si>
  <si>
    <t>9851198663</t>
  </si>
  <si>
    <t>0215750972490001</t>
  </si>
  <si>
    <t>1301250000016089</t>
  </si>
  <si>
    <t>Raju Chitrakar</t>
  </si>
  <si>
    <t>Purna Prashad Chitrakar</t>
  </si>
  <si>
    <t>Nuchhe Das Chitrakar/ Manju Chitrakar</t>
  </si>
  <si>
    <t xml:space="preserve">100154421985           </t>
  </si>
  <si>
    <t>5539975</t>
  </si>
  <si>
    <t>Agricultural Development Bank Ltd.-Mangalbare Branch</t>
  </si>
  <si>
    <t>0211900106744014</t>
  </si>
  <si>
    <t>1301100000121560</t>
  </si>
  <si>
    <t>RADHAKRISHNA TIMILSINA</t>
  </si>
  <si>
    <t>PURNABHADRA UPADHAYA TIMILSINA</t>
  </si>
  <si>
    <t>GOPI CHANDRA TIMILSINA</t>
  </si>
  <si>
    <t xml:space="preserve">10563400/0341990       </t>
  </si>
  <si>
    <t>056527812</t>
  </si>
  <si>
    <t>Nabil Bank Ltd.-Birauta Branch</t>
  </si>
  <si>
    <t>02410017515780</t>
  </si>
  <si>
    <t>1301250000065240</t>
  </si>
  <si>
    <t>aawaj shrestha</t>
  </si>
  <si>
    <t>purushotam kumar shrestha</t>
  </si>
  <si>
    <t>surya lal shrestha</t>
  </si>
  <si>
    <t xml:space="preserve">1003102035/22014       </t>
  </si>
  <si>
    <t>1150072981900011</t>
  </si>
  <si>
    <t>1301170000195221</t>
  </si>
  <si>
    <t>KRISHNA PRASAD ACHARYA</t>
  </si>
  <si>
    <t>PURUSHOTTAM ACHARYA</t>
  </si>
  <si>
    <t>RAMNATH ACHARYA</t>
  </si>
  <si>
    <t xml:space="preserve">100354301979           </t>
  </si>
  <si>
    <t>9841526993</t>
  </si>
  <si>
    <t>Citizens Bank International Ltd.-Narayangopal Chowk Branch</t>
  </si>
  <si>
    <t>0220100000252009</t>
  </si>
  <si>
    <t>1301250000065261</t>
  </si>
  <si>
    <t>aarya shrestha</t>
  </si>
  <si>
    <t>purushottam kumar shrestha</t>
  </si>
  <si>
    <t>suyra lal shrestha</t>
  </si>
  <si>
    <t xml:space="preserve">10032542007            </t>
  </si>
  <si>
    <t>1454021</t>
  </si>
  <si>
    <t>1150072963200015</t>
  </si>
  <si>
    <t>1301100000274635</t>
  </si>
  <si>
    <t>SUSHIL KUMAR PYAKUREL</t>
  </si>
  <si>
    <t>PURUSHOTTAM PYAKUREL</t>
  </si>
  <si>
    <t>CHANDRA KANTA PYAKUREL</t>
  </si>
  <si>
    <t xml:space="preserve">100821324/1063382001   </t>
  </si>
  <si>
    <t>SINDUPALCHOWK</t>
  </si>
  <si>
    <t>9851142636</t>
  </si>
  <si>
    <t>01220400180344000001</t>
  </si>
  <si>
    <t>1301520002369492</t>
  </si>
  <si>
    <t>RAJENDRA SINGH DHAMI</t>
  </si>
  <si>
    <t xml:space="preserve">PUSKAR SINGH DHAMI / MANMATI DEVI DHAMI           </t>
  </si>
  <si>
    <t>ISHWARI THAGUNNA / PURNA SINGH DHAMI</t>
  </si>
  <si>
    <t xml:space="preserve">1047277162003          </t>
  </si>
  <si>
    <t xml:space="preserve">DARCHULA                 </t>
  </si>
  <si>
    <t xml:space="preserve">9702690130       </t>
  </si>
  <si>
    <t>Kumari Bank Ltd.-Naxal Branch</t>
  </si>
  <si>
    <t>0430345541600001</t>
  </si>
  <si>
    <t>1301320000004963</t>
  </si>
  <si>
    <t>Bimal Kumar Sanghai</t>
  </si>
  <si>
    <t>Pusker Lal Sanghai</t>
  </si>
  <si>
    <t>Gulab Rai Sanghai</t>
  </si>
  <si>
    <t xml:space="preserve">10032813/30011979      </t>
  </si>
  <si>
    <t xml:space="preserve">108298419                </t>
  </si>
  <si>
    <t>Himalayan Bank Ltd.-Battisputali Branch</t>
  </si>
  <si>
    <t>03903111800015</t>
  </si>
  <si>
    <t>1301220000029498</t>
  </si>
  <si>
    <t>MOHAN KUMAR GHIMIRE</t>
  </si>
  <si>
    <t>PUSPA  BAHADUR  GHIMIRE</t>
  </si>
  <si>
    <t>PARBATA  DAHAL  GHIMIRE</t>
  </si>
  <si>
    <t xml:space="preserve">105297732081/177151989 </t>
  </si>
  <si>
    <t>9851198271</t>
  </si>
  <si>
    <t>00100501203504</t>
  </si>
  <si>
    <t>1301070000968895</t>
  </si>
  <si>
    <t>chel kumar pradhan</t>
  </si>
  <si>
    <t>puspa lal pradhan</t>
  </si>
  <si>
    <t>garja bahadur pradhan</t>
  </si>
  <si>
    <t xml:space="preserve">100401041-1755182008   </t>
  </si>
  <si>
    <t>9849934760</t>
  </si>
  <si>
    <t>00740010073</t>
  </si>
  <si>
    <t>1301650000020239</t>
  </si>
  <si>
    <t>JYOTIKA TIMALSINA</t>
  </si>
  <si>
    <t>PUSPARAJ TIMALSINA / MAKHAMALI TIMALSINA</t>
  </si>
  <si>
    <t>HARDIK TIMALSINA / SAHADEV TIMALSINA</t>
  </si>
  <si>
    <t xml:space="preserve">105757/378422006       </t>
  </si>
  <si>
    <t>105990661</t>
  </si>
  <si>
    <t>9845287948</t>
  </si>
  <si>
    <t>Rastriya Banijya Bank Ltd.-Shreepur Branch</t>
  </si>
  <si>
    <t>1330100051691011</t>
  </si>
  <si>
    <t>1301320000112481</t>
  </si>
  <si>
    <t>Mani Ranjitkar</t>
  </si>
  <si>
    <t>Radha Krishna Ranjitkar</t>
  </si>
  <si>
    <t>Ram Krishna Ranjitkar</t>
  </si>
  <si>
    <t xml:space="preserve">100327-01-74-140682018 </t>
  </si>
  <si>
    <t>Mega Bank Nepal Ltd.- Teku Branch</t>
  </si>
  <si>
    <t>0190050034210</t>
  </si>
  <si>
    <t>1301120001246869</t>
  </si>
  <si>
    <t>BIMAL PRAKASH SHAH</t>
  </si>
  <si>
    <t>RADHESHYAM SAH</t>
  </si>
  <si>
    <t>BINDU LAL SAH</t>
  </si>
  <si>
    <t xml:space="preserve">106721591999           </t>
  </si>
  <si>
    <t>SAKHUWA</t>
  </si>
  <si>
    <t>9802100145</t>
  </si>
  <si>
    <t>Global IME Bank Ltd.-Nakhu Branch</t>
  </si>
  <si>
    <t>8507010002391</t>
  </si>
  <si>
    <t>1301060000810641</t>
  </si>
  <si>
    <t>SAKET AGRAWAL</t>
  </si>
  <si>
    <t>RAJ KUMAR AGRAWAL</t>
  </si>
  <si>
    <t>LATE BASANT LAL AGRAWAL</t>
  </si>
  <si>
    <t xml:space="preserve">1009663019/2007        </t>
  </si>
  <si>
    <t>081525913</t>
  </si>
  <si>
    <t>01505090250306</t>
  </si>
  <si>
    <t>1301220000058939</t>
  </si>
  <si>
    <t>DINESH BAN</t>
  </si>
  <si>
    <t>RAJARAM BAN</t>
  </si>
  <si>
    <t>KANCHAKATI BAN</t>
  </si>
  <si>
    <t xml:space="preserve">1001174552005          </t>
  </si>
  <si>
    <t>BAGESHWORI</t>
  </si>
  <si>
    <t>9851172113</t>
  </si>
  <si>
    <t>1150100183300018</t>
  </si>
  <si>
    <t>1301060001098242</t>
  </si>
  <si>
    <t>AARON TAMANG</t>
  </si>
  <si>
    <t>RAJENDRA  TAMANG</t>
  </si>
  <si>
    <t>KARNA BAHADUR TAMANG</t>
  </si>
  <si>
    <t xml:space="preserve">1027312016             </t>
  </si>
  <si>
    <t>9860671199</t>
  </si>
  <si>
    <t>02405150260282</t>
  </si>
  <si>
    <t>1301120002673273</t>
  </si>
  <si>
    <t>AASTHA GURUNG</t>
  </si>
  <si>
    <t>RAJENDRA GURUNG</t>
  </si>
  <si>
    <t>TANKA BAHADUR GURUNG</t>
  </si>
  <si>
    <t xml:space="preserve">104637-02-70-014562013 </t>
  </si>
  <si>
    <t>3309018100570</t>
  </si>
  <si>
    <t>1301260000748619</t>
  </si>
  <si>
    <t>PRATIKSHYA SHARMA</t>
  </si>
  <si>
    <t>RAJENDRA KUMAR SHARMA/MENUKA SHARMA</t>
  </si>
  <si>
    <t>RAM PRASAD SHARMA</t>
  </si>
  <si>
    <t xml:space="preserve">103906-01-70-017582013 </t>
  </si>
  <si>
    <t>9842570835</t>
  </si>
  <si>
    <t>04801000381755000001</t>
  </si>
  <si>
    <t>1301040000152561</t>
  </si>
  <si>
    <t>SUSHIL NIROULA</t>
  </si>
  <si>
    <t>RAJENDRA PRASAD NIROULA</t>
  </si>
  <si>
    <t>SHREEVATSHA NIROULA/SITA NIROULA</t>
  </si>
  <si>
    <t xml:space="preserve">1052186045171978       </t>
  </si>
  <si>
    <t>KUTUNJE</t>
  </si>
  <si>
    <t>6612152</t>
  </si>
  <si>
    <t>Nabil Bank Ltd.-Head Office</t>
  </si>
  <si>
    <t>0110013310901</t>
  </si>
  <si>
    <t>1301040000060546</t>
  </si>
  <si>
    <t>RIZUL SHRESTHA</t>
  </si>
  <si>
    <t xml:space="preserve">RAJESH SHRESTHA/LINA NEMKUL SHRESTHA              </t>
  </si>
  <si>
    <t>/HOSH BAHADUR SHRESTHA</t>
  </si>
  <si>
    <t xml:space="preserve">100528-01-75-043602018 </t>
  </si>
  <si>
    <t xml:space="preserve">9869555674       </t>
  </si>
  <si>
    <t>01910017516375</t>
  </si>
  <si>
    <t>1301060001510619</t>
  </si>
  <si>
    <t>BIKASH KUMAR GUPTA</t>
  </si>
  <si>
    <t>RAJKUMAR GUPTA</t>
  </si>
  <si>
    <t>RAM LAKHAN SHAH</t>
  </si>
  <si>
    <t xml:space="preserve">1067161021/1912010     </t>
  </si>
  <si>
    <t>9861243331</t>
  </si>
  <si>
    <t>01905030256506</t>
  </si>
  <si>
    <t>1301170000092536</t>
  </si>
  <si>
    <t>RASHI MAHARJAN</t>
  </si>
  <si>
    <t>RAJU MAHARJAN</t>
  </si>
  <si>
    <t>SANU KAJI MAHARJAN</t>
  </si>
  <si>
    <t>100528-01-071-052872015</t>
  </si>
  <si>
    <t>015533553</t>
  </si>
  <si>
    <t>Citizens Bank International Ltd.-Kupondole Branch</t>
  </si>
  <si>
    <t>0320000708SA</t>
  </si>
  <si>
    <t>1301100000076816</t>
  </si>
  <si>
    <t>SONIA KHANDELWAL</t>
  </si>
  <si>
    <t>RAKESH KHNADELWAL</t>
  </si>
  <si>
    <t>RAMRASHPAL KHANDELWAL</t>
  </si>
  <si>
    <t xml:space="preserve">105864632005           </t>
  </si>
  <si>
    <t>051521855</t>
  </si>
  <si>
    <t>0190039361800014</t>
  </si>
  <si>
    <t>1301090000227119</t>
  </si>
  <si>
    <t>REEYA MUNANKAMI</t>
  </si>
  <si>
    <t>RAKESH MUNANKAMI</t>
  </si>
  <si>
    <t>RAMESH BAHADUR MUNANKAMI</t>
  </si>
  <si>
    <t xml:space="preserve">1046282009             </t>
  </si>
  <si>
    <t>015525590</t>
  </si>
  <si>
    <t>00115176576</t>
  </si>
  <si>
    <t>1301090000227123</t>
  </si>
  <si>
    <t>RIVKA MUNANKAMI</t>
  </si>
  <si>
    <t xml:space="preserve">10462592011            </t>
  </si>
  <si>
    <t>00115176558</t>
  </si>
  <si>
    <t>1301610000003721</t>
  </si>
  <si>
    <t>NIRMAL PRAJAPATI</t>
  </si>
  <si>
    <t>RAKESH PRAJAPATI</t>
  </si>
  <si>
    <t>BIKULAL PRAJAPATI</t>
  </si>
  <si>
    <t xml:space="preserve">1001313922006          </t>
  </si>
  <si>
    <t>9861569626</t>
  </si>
  <si>
    <t>Machhapuchhre Bank Ltd.-KAMALBINAYAK BRANCH</t>
  </si>
  <si>
    <t>0250048723700018</t>
  </si>
  <si>
    <t>1301110000039629</t>
  </si>
  <si>
    <t>SARIK KARMACHARYA</t>
  </si>
  <si>
    <t>RAM BAHADUR KARMACHARYA</t>
  </si>
  <si>
    <t>MIN BAHADUR  KARMACHARYA</t>
  </si>
  <si>
    <t xml:space="preserve">100129-01-69-038872012 </t>
  </si>
  <si>
    <t>9803357898</t>
  </si>
  <si>
    <t>NMB Bank Ltd.-Durbarmarg Branch</t>
  </si>
  <si>
    <t>06824100399111000001</t>
  </si>
  <si>
    <t>1301090000441211</t>
  </si>
  <si>
    <t>BANDANA SUBEDI KSHETRI</t>
  </si>
  <si>
    <t>RAM BAHADUR KSHETRI</t>
  </si>
  <si>
    <t>MAN BAHADUR SUBEDI</t>
  </si>
  <si>
    <t xml:space="preserve">1003271036/450592009   </t>
  </si>
  <si>
    <t>9843460346</t>
  </si>
  <si>
    <t>Siddhartha Bank Ltd.-Jorpati Branch</t>
  </si>
  <si>
    <t>02415274341</t>
  </si>
  <si>
    <t>1301170000300058</t>
  </si>
  <si>
    <t>GANESH KUMAR SHRESTHA</t>
  </si>
  <si>
    <t>RAM BAHADUR SHRESTHA</t>
  </si>
  <si>
    <t>LAXMI NARAYAN SHRESTHA</t>
  </si>
  <si>
    <t xml:space="preserve">10529571995            </t>
  </si>
  <si>
    <t>9842706993</t>
  </si>
  <si>
    <t>9939</t>
  </si>
  <si>
    <t>Reliance Finance Ltd.-Damak Branch</t>
  </si>
  <si>
    <t>10125000021051</t>
  </si>
  <si>
    <t>1301650000319057</t>
  </si>
  <si>
    <t>SISAM SHRESTHA</t>
  </si>
  <si>
    <t>RAM BAHADUR SHRESTHA / DAN LAXMI SHRESTHA</t>
  </si>
  <si>
    <t>HARI BAIKUNTHA SHRESTHA</t>
  </si>
  <si>
    <t xml:space="preserve">100129-01-74-033942017 </t>
  </si>
  <si>
    <t>SARASWOTI KHEL</t>
  </si>
  <si>
    <t>9823511315</t>
  </si>
  <si>
    <t>Rastriya Banijya Bank Ltd.-Thimi Branch</t>
  </si>
  <si>
    <t>1110100015586010</t>
  </si>
  <si>
    <t>1301250000051571</t>
  </si>
  <si>
    <t>Jeevan Kumar Tamang</t>
  </si>
  <si>
    <t>ram bahadur tamang</t>
  </si>
  <si>
    <t>math man tamang/ tara lama</t>
  </si>
  <si>
    <t xml:space="preserve">10037961999            </t>
  </si>
  <si>
    <t>lalitpur</t>
  </si>
  <si>
    <t>5555349</t>
  </si>
  <si>
    <t>00101300890116000001</t>
  </si>
  <si>
    <t>1301120001977830</t>
  </si>
  <si>
    <t>HARK BAHADUR THAYAYAT KHADKA</t>
  </si>
  <si>
    <t>RAM BAHADUR THAYAT/NARU DEVI THAYAT</t>
  </si>
  <si>
    <t>MAN BAHADUR THAYAT/RITA KUMARI RAWAL</t>
  </si>
  <si>
    <t xml:space="preserve">1071264372003          </t>
  </si>
  <si>
    <t>ACHHAM</t>
  </si>
  <si>
    <t>Achham</t>
  </si>
  <si>
    <t>9848455535</t>
  </si>
  <si>
    <t>J907010000796</t>
  </si>
  <si>
    <t>1301250000383391</t>
  </si>
  <si>
    <t>ANJANA SHAH</t>
  </si>
  <si>
    <t>RAM BALI SHAH/RITA DEVI SHAH</t>
  </si>
  <si>
    <t>CHANDRA DEV SHAH</t>
  </si>
  <si>
    <t xml:space="preserve">102819-01-71-016912014 </t>
  </si>
  <si>
    <t>9811241300</t>
  </si>
  <si>
    <t>Muktinath Bikas Bank Ltd.-Kamalamai Branch</t>
  </si>
  <si>
    <t>06920300361945000001</t>
  </si>
  <si>
    <t>1301100001604948</t>
  </si>
  <si>
    <t>DINESH KUNWAR</t>
  </si>
  <si>
    <t>RAM BHAGAT KUNWAR</t>
  </si>
  <si>
    <t>BHUBAN BAHADUR KUNWAR</t>
  </si>
  <si>
    <t xml:space="preserve">100201/41/312005       </t>
  </si>
  <si>
    <t>THAKRE</t>
  </si>
  <si>
    <t>9860104346</t>
  </si>
  <si>
    <t>0820073653400012</t>
  </si>
  <si>
    <t>1301170000938345</t>
  </si>
  <si>
    <t>SHYAM KRISHNA CHAKRADHAR</t>
  </si>
  <si>
    <t>RAM BHAKTA CHAKRADHAR</t>
  </si>
  <si>
    <t>LAXMI BHAKTA CHAKRADHAR</t>
  </si>
  <si>
    <t xml:space="preserve">1001140251996          </t>
  </si>
  <si>
    <t>9841020926</t>
  </si>
  <si>
    <t>0260100000208009</t>
  </si>
  <si>
    <t>1301770000490033</t>
  </si>
  <si>
    <t>DEEPAK KUMAR JOSHI</t>
  </si>
  <si>
    <t>RAM BILASH JOSHI/RADHA DEVI JOSHI</t>
  </si>
  <si>
    <t>BHAN BILASH JOSHI/</t>
  </si>
  <si>
    <t xml:space="preserve">10037399-12641973      </t>
  </si>
  <si>
    <t>9851285294</t>
  </si>
  <si>
    <t>Jyoti Bikash Bank Ltd.-Thamel Branch</t>
  </si>
  <si>
    <t>04901300630200000001</t>
  </si>
  <si>
    <t>1301370000476618</t>
  </si>
  <si>
    <t>Sandeep Sharma</t>
  </si>
  <si>
    <t>Ram Briksh Thakur</t>
  </si>
  <si>
    <t>Makun Lal Thakur</t>
  </si>
  <si>
    <t xml:space="preserve">106745422001           </t>
  </si>
  <si>
    <t>Prakhe Mahuwa</t>
  </si>
  <si>
    <t>9851133309</t>
  </si>
  <si>
    <t>NIC Asia Bank Ltd.-Birtamod Branch</t>
  </si>
  <si>
    <t>0261336190524001</t>
  </si>
  <si>
    <t>1301120000525816</t>
  </si>
  <si>
    <t>Pankaj Kumar Gupta</t>
  </si>
  <si>
    <t>Ram Chandra Prasaad Rauniyar</t>
  </si>
  <si>
    <t>Muneshwar Ram  Rauniyar/Salu Gupta</t>
  </si>
  <si>
    <t xml:space="preserve">106757061999           </t>
  </si>
  <si>
    <t>Shreetole</t>
  </si>
  <si>
    <t>9852820723</t>
  </si>
  <si>
    <t>0133967266524001</t>
  </si>
  <si>
    <t>1301180000146487</t>
  </si>
  <si>
    <t>CHUDAMANI PARAJULI</t>
  </si>
  <si>
    <t>RAM CHANDRA UPADHAYA PARAJULI</t>
  </si>
  <si>
    <t>CHANDRA KANTA UPADHAYA PARAJULI/KABITA KUMARI KAPHLE</t>
  </si>
  <si>
    <t xml:space="preserve">1008811781996          </t>
  </si>
  <si>
    <t>9841290710</t>
  </si>
  <si>
    <t>Nabil Bank Ltd.-Tripureshwar Branch</t>
  </si>
  <si>
    <t>1810017501236</t>
  </si>
  <si>
    <t>1301120000550657</t>
  </si>
  <si>
    <t>SHYAM NARAYAN YADAV</t>
  </si>
  <si>
    <t>RAM CHANDRA YADAV</t>
  </si>
  <si>
    <t xml:space="preserve">1067160170082642014    </t>
  </si>
  <si>
    <t>NMB Bank Ltd.-KANCHANBARI BRT Branch</t>
  </si>
  <si>
    <t>0600050908100012</t>
  </si>
  <si>
    <t>1301170000051797</t>
  </si>
  <si>
    <t>RAJAN KAJI SHRESTHA</t>
  </si>
  <si>
    <t>RAM KAJI SHRESTHA</t>
  </si>
  <si>
    <t>AKABIR SHRESTHA</t>
  </si>
  <si>
    <t xml:space="preserve">1001035172001          </t>
  </si>
  <si>
    <t>9851188991</t>
  </si>
  <si>
    <t>0300100001252010</t>
  </si>
  <si>
    <t>1301730000715660</t>
  </si>
  <si>
    <t>UMESH KUMAR SHRESTHA</t>
  </si>
  <si>
    <t>RAM KRISHNA SHRESTHA</t>
  </si>
  <si>
    <t>SANKHA NARAYAN SHRESTHA</t>
  </si>
  <si>
    <t xml:space="preserve">100212/1662005         </t>
  </si>
  <si>
    <t>MAJHGAUN-07</t>
  </si>
  <si>
    <t>9865727800</t>
  </si>
  <si>
    <t>Mega Bank Nepal Ltd.-Tripurasundari Branch</t>
  </si>
  <si>
    <t>0940050000574</t>
  </si>
  <si>
    <t>1301630000014541</t>
  </si>
  <si>
    <t>BEKHALAL MAHARJAN</t>
  </si>
  <si>
    <t xml:space="preserve">1005226101986          </t>
  </si>
  <si>
    <t>9841553366</t>
  </si>
  <si>
    <t>0090160699300001</t>
  </si>
  <si>
    <t>1301120000017840</t>
  </si>
  <si>
    <t>RAMESH SHRESTHA</t>
  </si>
  <si>
    <t>RAM LAL SHRESTHA</t>
  </si>
  <si>
    <t>SURYA LAL SHRESTHA/DHARATEE SHRESTHA</t>
  </si>
  <si>
    <t xml:space="preserve">1003760/108601985      </t>
  </si>
  <si>
    <t>ASON BAHAL</t>
  </si>
  <si>
    <t>4268352</t>
  </si>
  <si>
    <t>23907010001564</t>
  </si>
  <si>
    <t>1301250000049387</t>
  </si>
  <si>
    <t>samita awale (maharjan)</t>
  </si>
  <si>
    <t>ram maharjan</t>
  </si>
  <si>
    <t>lunjal shakya / chet ram maharjan</t>
  </si>
  <si>
    <t xml:space="preserve">1005945671998          </t>
  </si>
  <si>
    <t>na:tole</t>
  </si>
  <si>
    <t>5527409</t>
  </si>
  <si>
    <t>00603176380019</t>
  </si>
  <si>
    <t>1301090001284984</t>
  </si>
  <si>
    <t>HARI PRASAD KANDEL</t>
  </si>
  <si>
    <t>RAM PRASAD KANDEL/PRABATI KANDEL</t>
  </si>
  <si>
    <t>PRAJAPATI KANDEL/SUSHILA KHAREL KANDEL</t>
  </si>
  <si>
    <t xml:space="preserve">10147265/72042004      </t>
  </si>
  <si>
    <t>9845045477</t>
  </si>
  <si>
    <t>50314003300</t>
  </si>
  <si>
    <t>1301510000100241</t>
  </si>
  <si>
    <t>EKRAJ CHAUDHARY</t>
  </si>
  <si>
    <t>RAM PRASAD THARU</t>
  </si>
  <si>
    <t>SHAKUNTALA CHAUDHARY/BHAGI RAM THARU</t>
  </si>
  <si>
    <t xml:space="preserve">10109/916033241993     </t>
  </si>
  <si>
    <t>Bardiya</t>
  </si>
  <si>
    <t>9848450018</t>
  </si>
  <si>
    <t>052001052W</t>
  </si>
  <si>
    <t>1301220000169272</t>
  </si>
  <si>
    <t>SAROJ  RAJ PANDEY</t>
  </si>
  <si>
    <t>RAM RAJ PANDEY</t>
  </si>
  <si>
    <t>GOPAL RAJ PANDEY</t>
  </si>
  <si>
    <t xml:space="preserve">10034255/76561980      </t>
  </si>
  <si>
    <t>9846482428</t>
  </si>
  <si>
    <t>Global IME Bank Ltd.-Dhunche Branch</t>
  </si>
  <si>
    <t>I407010014302</t>
  </si>
  <si>
    <t>1301090000069295</t>
  </si>
  <si>
    <t>SURAJ KUMAR JOSHI</t>
  </si>
  <si>
    <t>RAM SUNDAR JOSHI</t>
  </si>
  <si>
    <t>SHREEPRASAD JOSHI</t>
  </si>
  <si>
    <t xml:space="preserve">100312352000           </t>
  </si>
  <si>
    <t>9841575062</t>
  </si>
  <si>
    <t>00188084120</t>
  </si>
  <si>
    <t>1301220000012741</t>
  </si>
  <si>
    <t>KANCHAN KUMAR MISHRA</t>
  </si>
  <si>
    <t>RAM SUNDAR MISHRA</t>
  </si>
  <si>
    <t>RAM NARAYAN MISHRA</t>
  </si>
  <si>
    <t xml:space="preserve">1026739529901994       </t>
  </si>
  <si>
    <t>9851041423</t>
  </si>
  <si>
    <t>Janata Bank Nepal Ltd.-Baneshwor Branch</t>
  </si>
  <si>
    <t>111104063413401</t>
  </si>
  <si>
    <t>1301080000009447</t>
  </si>
  <si>
    <t>PRADEEP KUMAR AGRAWAL</t>
  </si>
  <si>
    <t>RAMBILAS AGRAWAL</t>
  </si>
  <si>
    <t>BHURAMAL AGRAWAL</t>
  </si>
  <si>
    <t xml:space="preserve">105831988              </t>
  </si>
  <si>
    <t>9855035432</t>
  </si>
  <si>
    <t>Everest Bank Ltd.-Birgunj Branch</t>
  </si>
  <si>
    <t>00600510200051</t>
  </si>
  <si>
    <t>1301390000185094</t>
  </si>
  <si>
    <t>HARI SHANKAR GUPTA</t>
  </si>
  <si>
    <t>RAMBRIKSH GUPTA</t>
  </si>
  <si>
    <t>FEKU GUPTA</t>
  </si>
  <si>
    <t xml:space="preserve">1044173821994          </t>
  </si>
  <si>
    <t>GERMI-3</t>
  </si>
  <si>
    <t>9847053173</t>
  </si>
  <si>
    <t>Prabhu Bank Ltd.-Parasi Branch</t>
  </si>
  <si>
    <t>0500042716600011</t>
  </si>
  <si>
    <t>1301120000354018</t>
  </si>
  <si>
    <t>Shivaram Poudel</t>
  </si>
  <si>
    <t>Ramchandra Poudel</t>
  </si>
  <si>
    <t>Ratnakhar Poudel/ Shakuntala Bhattarai</t>
  </si>
  <si>
    <t xml:space="preserve">10561871981            </t>
  </si>
  <si>
    <t>100362556</t>
  </si>
  <si>
    <t>Gitanagar</t>
  </si>
  <si>
    <t>9841330270</t>
  </si>
  <si>
    <t>143010960111</t>
  </si>
  <si>
    <t>1301590000215361</t>
  </si>
  <si>
    <t>AMAN RAUNIYAR</t>
  </si>
  <si>
    <t>RAMCHANDRA PRASAD RAUNIYAR</t>
  </si>
  <si>
    <t>MUNESHWOR RAM RAUNIYAR</t>
  </si>
  <si>
    <t xml:space="preserve">1067162009/1692010     </t>
  </si>
  <si>
    <t>MAHALAXMI NAGARPALIKA</t>
  </si>
  <si>
    <t>9842832707</t>
  </si>
  <si>
    <t>Nabil Bank Ltd.-Balkumari Branch</t>
  </si>
  <si>
    <t>3110017517589</t>
  </si>
  <si>
    <t>1301090000655562</t>
  </si>
  <si>
    <t>RAMESH MUNANKAMI</t>
  </si>
  <si>
    <t>KSHITY RATNA SHRESTHA</t>
  </si>
  <si>
    <t xml:space="preserve">1046195421990          </t>
  </si>
  <si>
    <t>00115258175</t>
  </si>
  <si>
    <t>1301360000012852</t>
  </si>
  <si>
    <t>MARY SHRESTHA</t>
  </si>
  <si>
    <t xml:space="preserve">1003271060/179822008   </t>
  </si>
  <si>
    <t>9841250989</t>
  </si>
  <si>
    <t>00810062789017</t>
  </si>
  <si>
    <t>1301120000088885</t>
  </si>
  <si>
    <t>Rakshyak Lal Shrestha</t>
  </si>
  <si>
    <t>Ramesh Shrestha</t>
  </si>
  <si>
    <t>Ram Lal Shrestha</t>
  </si>
  <si>
    <t xml:space="preserve">1003271060/1289552014  </t>
  </si>
  <si>
    <t>Asan Bahal</t>
  </si>
  <si>
    <t>Citizens Bank International Ltd.-Newroad Branch</t>
  </si>
  <si>
    <t>0070001520SA</t>
  </si>
  <si>
    <t>1301380000003278</t>
  </si>
  <si>
    <t>NIMESH SHRESTHA</t>
  </si>
  <si>
    <t>ROSY GURUNG (spouse)</t>
  </si>
  <si>
    <t xml:space="preserve">1001273162000          </t>
  </si>
  <si>
    <t>102653654</t>
  </si>
  <si>
    <t>9841001987</t>
  </si>
  <si>
    <t>Nabil Bank Ltd.-New Baneshwor Branch</t>
  </si>
  <si>
    <t>3110017515159</t>
  </si>
  <si>
    <t>1301040000031067</t>
  </si>
  <si>
    <t>PRAYAG RAJ UPADHYAY POKHREL</t>
  </si>
  <si>
    <t>RAMESHWAR POKHREL</t>
  </si>
  <si>
    <t>PUSHPA POKHREL/BARUN PRASAD</t>
  </si>
  <si>
    <t xml:space="preserve">1067400214281994       </t>
  </si>
  <si>
    <t>BALUWATAR</t>
  </si>
  <si>
    <t>9851102403</t>
  </si>
  <si>
    <t>001011050002306</t>
  </si>
  <si>
    <t>1301520000025201</t>
  </si>
  <si>
    <t>JEEBESWOR LAL SHRESTHA</t>
  </si>
  <si>
    <t>RAMESHWOR LAL SHRESTHA</t>
  </si>
  <si>
    <t>DEENA SHRESTHA</t>
  </si>
  <si>
    <t xml:space="preserve">1005496881990          </t>
  </si>
  <si>
    <t>9841211276</t>
  </si>
  <si>
    <t>1386902677524001</t>
  </si>
  <si>
    <t>1301150000068739</t>
  </si>
  <si>
    <t>NAGENDRA PRASAD CHAUDHARY</t>
  </si>
  <si>
    <t>RAMJI BHANDARY THARU</t>
  </si>
  <si>
    <t>TAPASHI BHANDARY THARU / MALATI CHAUDHARY</t>
  </si>
  <si>
    <t xml:space="preserve">1058906009691984       </t>
  </si>
  <si>
    <t xml:space="preserve">103963723                </t>
  </si>
  <si>
    <t>NAKKHUDOL</t>
  </si>
  <si>
    <t>015591100</t>
  </si>
  <si>
    <t>Sanima Bank Ltd.- Ekanta Kuna Branch</t>
  </si>
  <si>
    <t>028011050000236</t>
  </si>
  <si>
    <t>1301730000388373</t>
  </si>
  <si>
    <t>SIMRAN NEUPANE</t>
  </si>
  <si>
    <t xml:space="preserve">10021005582021         </t>
  </si>
  <si>
    <t>NILKHANTHA</t>
  </si>
  <si>
    <t>9849673308</t>
  </si>
  <si>
    <t>Mega Bank Nepal Ltd.-Dhading Bensi Branch</t>
  </si>
  <si>
    <t>2040050006166</t>
  </si>
  <si>
    <t>1301310000242567</t>
  </si>
  <si>
    <t>RABINA GC</t>
  </si>
  <si>
    <t>RANA BAHADUR GC/BISHNU GC</t>
  </si>
  <si>
    <t>CHETMAN GC</t>
  </si>
  <si>
    <t xml:space="preserve">106153-01-71-025432014 </t>
  </si>
  <si>
    <t>PYUTHAN</t>
  </si>
  <si>
    <t>9860115359</t>
  </si>
  <si>
    <t>014011090001198</t>
  </si>
  <si>
    <t>1301650000954689</t>
  </si>
  <si>
    <t>AAKANSHA SAH</t>
  </si>
  <si>
    <t>RANJIT KUMAR GUPTA</t>
  </si>
  <si>
    <t xml:space="preserve">105520750205090552021  </t>
  </si>
  <si>
    <t>9845189506</t>
  </si>
  <si>
    <t>1250100030831010</t>
  </si>
  <si>
    <t>1301650000239478</t>
  </si>
  <si>
    <t>MIN BAHADUR B.C</t>
  </si>
  <si>
    <t>RATNA BAHADUR BUDHA / PADMI BUDHA</t>
  </si>
  <si>
    <t>SHANTI B.C / KESE BUDHA</t>
  </si>
  <si>
    <t xml:space="preserve">10102/28531996         </t>
  </si>
  <si>
    <t>BIRENDRANAGAR</t>
  </si>
  <si>
    <t>9816551737</t>
  </si>
  <si>
    <t>4130100036519010</t>
  </si>
  <si>
    <t>1301120002100524</t>
  </si>
  <si>
    <t>TIL BAHADUR ADHIKARI</t>
  </si>
  <si>
    <t>RATNA BAHADUR CHHETRI</t>
  </si>
  <si>
    <t>PREM BAHADUR ADHIKARI</t>
  </si>
  <si>
    <t xml:space="preserve">10142074192006         </t>
  </si>
  <si>
    <t>9849812307</t>
  </si>
  <si>
    <t>3309018002013</t>
  </si>
  <si>
    <t>1301370000565326</t>
  </si>
  <si>
    <t>Bharat Prasad Shrestha</t>
  </si>
  <si>
    <t>Ratna Lal Shrestha</t>
  </si>
  <si>
    <t>Janak Lal Shrestha</t>
  </si>
  <si>
    <t xml:space="preserve">1039149/024-251968     </t>
  </si>
  <si>
    <t>Himayati Path</t>
  </si>
  <si>
    <t>9842082069</t>
  </si>
  <si>
    <t>2312115017524001</t>
  </si>
  <si>
    <t>1301650000883257</t>
  </si>
  <si>
    <t>NIRMALA UPADHYAYA</t>
  </si>
  <si>
    <t>RATNA PRASAD UPADHYAYA</t>
  </si>
  <si>
    <t>PRABHAKHAER UPADHYAYA /RAM PRASAD UPADHYAYA</t>
  </si>
  <si>
    <t xml:space="preserve">101065301313552007     </t>
  </si>
  <si>
    <t>9848036495</t>
  </si>
  <si>
    <t>4560100000102010</t>
  </si>
  <si>
    <t>1301090000227104</t>
  </si>
  <si>
    <t>RATNA SANSAR SHRESTHA</t>
  </si>
  <si>
    <t xml:space="preserve">1003128451997          </t>
  </si>
  <si>
    <t>00115024160</t>
  </si>
  <si>
    <t>1301100000148941</t>
  </si>
  <si>
    <t>DURGA CHAPAGAIN</t>
  </si>
  <si>
    <t>REWATI RAMAN CHAPAGAIN</t>
  </si>
  <si>
    <t>TIKARAM CHAPAGAIN/THAKUR PRASAD BHATTARAI</t>
  </si>
  <si>
    <t xml:space="preserve">10381578/386311987     </t>
  </si>
  <si>
    <t>9848085222</t>
  </si>
  <si>
    <t>NMB Bank Ltd.-Nepalgunj Branch</t>
  </si>
  <si>
    <t>0140006659500011</t>
  </si>
  <si>
    <t>1301370002238505</t>
  </si>
  <si>
    <t>NARESH KHANAL</t>
  </si>
  <si>
    <t>RISHI RAM KHANAL</t>
  </si>
  <si>
    <t>BODH NATH KHANAL</t>
  </si>
  <si>
    <t xml:space="preserve">10181387462006         </t>
  </si>
  <si>
    <t>GANDADKI</t>
  </si>
  <si>
    <t>9841043620</t>
  </si>
  <si>
    <t>4414323931524001</t>
  </si>
  <si>
    <t>1301100001463316</t>
  </si>
  <si>
    <t>BISHNU PRASAD NEUPANE</t>
  </si>
  <si>
    <t>ROMAKANTA NEUPANE</t>
  </si>
  <si>
    <t>JIBLAL NEUPANE</t>
  </si>
  <si>
    <t xml:space="preserve">1042481592005          </t>
  </si>
  <si>
    <t>9857072693</t>
  </si>
  <si>
    <t>0360060760800012</t>
  </si>
  <si>
    <t>1301060001599012</t>
  </si>
  <si>
    <t>SAROJANI KHADKA</t>
  </si>
  <si>
    <t>RUDRA MAN SINGH BASNET/SARASWOTI BASNET</t>
  </si>
  <si>
    <t>KHADGAMAN SINGH BASNET/BUDDHI MAN SINGH KHADKA</t>
  </si>
  <si>
    <t>10032581/5902/302312019</t>
  </si>
  <si>
    <t>4412236</t>
  </si>
  <si>
    <t>01205080095507</t>
  </si>
  <si>
    <t>1301060001969633</t>
  </si>
  <si>
    <t>ASHOK PRASAD KANDEL</t>
  </si>
  <si>
    <t>RUDRA PRASAD KANDEL</t>
  </si>
  <si>
    <t>KHADANANDA KANDEL</t>
  </si>
  <si>
    <t xml:space="preserve">101450-01-72-035532015 </t>
  </si>
  <si>
    <t>Kanthekhola</t>
  </si>
  <si>
    <t>9861544608</t>
  </si>
  <si>
    <t>NIC Asia Bank Ltd.- Baglung Branch</t>
  </si>
  <si>
    <t>0745759976165001</t>
  </si>
  <si>
    <t>1301440000004081</t>
  </si>
  <si>
    <t>Tanka Prasad Sangroula</t>
  </si>
  <si>
    <t>Rudra Prasad Sangroula</t>
  </si>
  <si>
    <t>Prem Prasad Sangroula</t>
  </si>
  <si>
    <t xml:space="preserve">1052691228691997       </t>
  </si>
  <si>
    <t>Panchgachhi</t>
  </si>
  <si>
    <t>9867808724</t>
  </si>
  <si>
    <t>1430100017832011</t>
  </si>
  <si>
    <t>1301650000763991</t>
  </si>
  <si>
    <t>KAMALA KUMARI SHARMA CHAPAI</t>
  </si>
  <si>
    <t>RUKMANGAL CHAPAI</t>
  </si>
  <si>
    <t>BHAWANI PRASAD CHAPAI/SHALIGRAM SHARMA</t>
  </si>
  <si>
    <t xml:space="preserve">101024761997           </t>
  </si>
  <si>
    <t>9848018302</t>
  </si>
  <si>
    <t>Rastriya Banijya Bank Ltd.-Kohalpur Branch</t>
  </si>
  <si>
    <t>4280100000670010</t>
  </si>
  <si>
    <t>1301260000129501</t>
  </si>
  <si>
    <t>MANOJ SHERCHAN</t>
  </si>
  <si>
    <t>RUP PRASAD SHERCHAN/BHUGOL SHERCHAN</t>
  </si>
  <si>
    <t>KHAGENDRA GAUCHAN</t>
  </si>
  <si>
    <t xml:space="preserve">10036582002            </t>
  </si>
  <si>
    <t>9840056361</t>
  </si>
  <si>
    <t>00111901070794000002</t>
  </si>
  <si>
    <t>1301090000089284</t>
  </si>
  <si>
    <t>ARIJIT HALDAR</t>
  </si>
  <si>
    <t>RUPAK HALDAR</t>
  </si>
  <si>
    <t>SUSHIL CHANDRA HALDAR</t>
  </si>
  <si>
    <t xml:space="preserve">100331962000           </t>
  </si>
  <si>
    <t>014261783</t>
  </si>
  <si>
    <t>Nabil Bank Ltd.-Maitidevi Branch</t>
  </si>
  <si>
    <t>3610017505855</t>
  </si>
  <si>
    <t>1301650000501759</t>
  </si>
  <si>
    <t>Chhatra Bahadur Saud</t>
  </si>
  <si>
    <t>Sair Singh Saud</t>
  </si>
  <si>
    <t>Nain Singh Saud/Indra Saud</t>
  </si>
  <si>
    <t xml:space="preserve">104821921995           </t>
  </si>
  <si>
    <t>Dadeldhura</t>
  </si>
  <si>
    <t>9848707777</t>
  </si>
  <si>
    <t>4020100005611010</t>
  </si>
  <si>
    <t>1301320000014492</t>
  </si>
  <si>
    <t>Binod Kumar Agrawal</t>
  </si>
  <si>
    <t>Sajan Kumar Agrawal</t>
  </si>
  <si>
    <t>Maman Chand Agrawal</t>
  </si>
  <si>
    <t xml:space="preserve">10398751/117511989     </t>
  </si>
  <si>
    <t>Dharan-5</t>
  </si>
  <si>
    <t>9842249320</t>
  </si>
  <si>
    <t>NIC Asia Bank Ltd.-Dharan Main Branch</t>
  </si>
  <si>
    <t>2314049470524004</t>
  </si>
  <si>
    <t>1301080000454422</t>
  </si>
  <si>
    <t>SIMON TAMANG</t>
  </si>
  <si>
    <t>SAMJHANA KUMAR TAMANG</t>
  </si>
  <si>
    <t>MAI LAMA TAMANG</t>
  </si>
  <si>
    <t xml:space="preserve">100226-01-73-026292016 </t>
  </si>
  <si>
    <t>DHAGING</t>
  </si>
  <si>
    <t>02000501209732</t>
  </si>
  <si>
    <t>1301060001189488</t>
  </si>
  <si>
    <t>rajendra shrestha</t>
  </si>
  <si>
    <t>sammar bdr shrestha</t>
  </si>
  <si>
    <t>lal bahadur shrestha</t>
  </si>
  <si>
    <t xml:space="preserve">1006267371991          </t>
  </si>
  <si>
    <t>nuwakot</t>
  </si>
  <si>
    <t>9841689771</t>
  </si>
  <si>
    <t>02105120261005</t>
  </si>
  <si>
    <t>1301610000442830</t>
  </si>
  <si>
    <t>SADDAM HUSAIN</t>
  </si>
  <si>
    <t>SAMSER MIYAN CHUDIYAR</t>
  </si>
  <si>
    <t>AAKHTAR HUSAIN</t>
  </si>
  <si>
    <t xml:space="preserve">1055331008/318682013   </t>
  </si>
  <si>
    <t>9806804343</t>
  </si>
  <si>
    <t>Machhapuchhre Bank Ltd.-LAZIMPAT BRANCH</t>
  </si>
  <si>
    <t>0390074042800011</t>
  </si>
  <si>
    <t>1301370003207364</t>
  </si>
  <si>
    <t>GYANU FAUZDAR</t>
  </si>
  <si>
    <t>SANJAY KUMAR FAUZDAR</t>
  </si>
  <si>
    <t>RAM SAJJAN FAUZDAR</t>
  </si>
  <si>
    <t xml:space="preserve">104436-01-70-072452013 </t>
  </si>
  <si>
    <t>SARAWAL</t>
  </si>
  <si>
    <t>9860052134</t>
  </si>
  <si>
    <t>1965751105912001</t>
  </si>
  <si>
    <t>1301040000183195</t>
  </si>
  <si>
    <t>TIMILA SHRESTHA</t>
  </si>
  <si>
    <t>SANJAY KUMAR SHRESTHA/SANGITA SHRESTHA</t>
  </si>
  <si>
    <t>DUTTA RAM SHRESTHA</t>
  </si>
  <si>
    <t>KAMANE</t>
  </si>
  <si>
    <t>9841213864</t>
  </si>
  <si>
    <t>Rastriya Banijya Bank Ltd.-Gaushala Branch</t>
  </si>
  <si>
    <t>1340100037478010</t>
  </si>
  <si>
    <t>1301370001430521</t>
  </si>
  <si>
    <t>Siddhartha Singh</t>
  </si>
  <si>
    <t>Sanjay Kumar Singh</t>
  </si>
  <si>
    <t>Ram Narayan Prasad Singh</t>
  </si>
  <si>
    <t xml:space="preserve">100327-01-80-024002023 </t>
  </si>
  <si>
    <t>Rani</t>
  </si>
  <si>
    <t>9852025946</t>
  </si>
  <si>
    <t>NIC Asia Bank Ltd.-Ranimills area Branch</t>
  </si>
  <si>
    <t>O502002702852401</t>
  </si>
  <si>
    <t>1301370000166398</t>
  </si>
  <si>
    <t>Arjun Bahadur Shrestha</t>
  </si>
  <si>
    <t>Sanu Bahadur Shrestha</t>
  </si>
  <si>
    <t>Gopilal Shrestha</t>
  </si>
  <si>
    <t xml:space="preserve">100442061985           </t>
  </si>
  <si>
    <t>Parthali</t>
  </si>
  <si>
    <t>9851008881</t>
  </si>
  <si>
    <t>4969422964524001</t>
  </si>
  <si>
    <t>1301330000070333</t>
  </si>
  <si>
    <t>MUKESH MAHARJAN</t>
  </si>
  <si>
    <t>SANU BHAI MAHARJAN</t>
  </si>
  <si>
    <t>SAU SING MAHARJAN</t>
  </si>
  <si>
    <t xml:space="preserve">1003133982005          </t>
  </si>
  <si>
    <t>9841703235</t>
  </si>
  <si>
    <t>007012631U</t>
  </si>
  <si>
    <t>1301310000044353</t>
  </si>
  <si>
    <t>DINESH MAHARJAN</t>
  </si>
  <si>
    <t>HERA KAJI MAHARJAN/LEELA MAHARJAN</t>
  </si>
  <si>
    <t xml:space="preserve">100587462002           </t>
  </si>
  <si>
    <t>9841560142</t>
  </si>
  <si>
    <t>Prime Commercial Bank Ltd.- Mangal Bazar Branch</t>
  </si>
  <si>
    <t>02400060SH</t>
  </si>
  <si>
    <t>1301350000005721</t>
  </si>
  <si>
    <t>SANU CHORI DONGOL</t>
  </si>
  <si>
    <t>SANU MAHARJAN</t>
  </si>
  <si>
    <t>HRREA KAJI  DONGOL</t>
  </si>
  <si>
    <t xml:space="preserve">10032666-35462008      </t>
  </si>
  <si>
    <t>KA.MA.NA.PA.-21</t>
  </si>
  <si>
    <t>1700100000074004</t>
  </si>
  <si>
    <t>1301060000497971</t>
  </si>
  <si>
    <t>BOJENDRA KUMAR SHRESTHA</t>
  </si>
  <si>
    <t>SANUMANGGARDAS SHRESTHA</t>
  </si>
  <si>
    <t xml:space="preserve">1002373682000          </t>
  </si>
  <si>
    <t>KAHUNJA</t>
  </si>
  <si>
    <t>9849778546</t>
  </si>
  <si>
    <t>NIC Asia Bank Ltd.-Jumri-Pyuthan Branch</t>
  </si>
  <si>
    <t>C702958494152401</t>
  </si>
  <si>
    <t>1301370000066986</t>
  </si>
  <si>
    <t>Pradyumna Baidya</t>
  </si>
  <si>
    <t>Saroj Baidya</t>
  </si>
  <si>
    <t>Thakur Prasad Baidya</t>
  </si>
  <si>
    <t xml:space="preserve">105103-01-74-031262017 </t>
  </si>
  <si>
    <t>Prakash Path</t>
  </si>
  <si>
    <t>9815949925</t>
  </si>
  <si>
    <t>NIC Asia Bank Ltd.-Illam Branch</t>
  </si>
  <si>
    <t>0569395064524001</t>
  </si>
  <si>
    <t>1301580000679049</t>
  </si>
  <si>
    <t>SHIVANI KANODIYA AGRAWAL</t>
  </si>
  <si>
    <t>SATISH CHANDRA KANODIA/MANJU KANODIA</t>
  </si>
  <si>
    <t>JAGDIS PRASAD KANODIA/SAKET AGARWAL</t>
  </si>
  <si>
    <t xml:space="preserve">100966-01-76-006362019 </t>
  </si>
  <si>
    <t>017011090000865</t>
  </si>
  <si>
    <t>1301160000062282</t>
  </si>
  <si>
    <t>RAJ KUMAR YADAV</t>
  </si>
  <si>
    <t>SATYA DEV YADAV</t>
  </si>
  <si>
    <t>TAPASI YADAV</t>
  </si>
  <si>
    <t xml:space="preserve">1067002050171991       </t>
  </si>
  <si>
    <t>PAKARI</t>
  </si>
  <si>
    <t>9841530306</t>
  </si>
  <si>
    <t>Global IME Bank Ltd.-Chautara Branch</t>
  </si>
  <si>
    <t>I608010002392</t>
  </si>
  <si>
    <t>1301040001040757</t>
  </si>
  <si>
    <t>UMANAND THAKUR</t>
  </si>
  <si>
    <t>SATYA NARAYAN THAKUR /LILA DEVI THAKUR</t>
  </si>
  <si>
    <t>GULAI THAKUR /SITA DEVI THAKUR</t>
  </si>
  <si>
    <t xml:space="preserve">103956870/578702000    </t>
  </si>
  <si>
    <t>9804010329</t>
  </si>
  <si>
    <t>0710017503336</t>
  </si>
  <si>
    <t>1301530000046607</t>
  </si>
  <si>
    <t>Samir Pokharel</t>
  </si>
  <si>
    <t>Shakti Prasad Pokharel</t>
  </si>
  <si>
    <t>Srijana Pokharel/ Sitaram Pokhrel</t>
  </si>
  <si>
    <t xml:space="preserve">1067161001/2222007     </t>
  </si>
  <si>
    <t xml:space="preserve">9823307504       </t>
  </si>
  <si>
    <t>23115241401592</t>
  </si>
  <si>
    <t>1301090000059580</t>
  </si>
  <si>
    <t>SAMJHANA BHANDARI</t>
  </si>
  <si>
    <t>SHAMBHU BAAHDUR BHANDARI</t>
  </si>
  <si>
    <t>DINESH K.C</t>
  </si>
  <si>
    <t xml:space="preserve">10038587/9561995       </t>
  </si>
  <si>
    <t>977-4492673</t>
  </si>
  <si>
    <t>17310017507739</t>
  </si>
  <si>
    <t>1301150000056155</t>
  </si>
  <si>
    <t>MALATI CHAUDHARY</t>
  </si>
  <si>
    <t>SHAMBHU LAL CHAUDHARY</t>
  </si>
  <si>
    <t>BILAT CHAUDHARY</t>
  </si>
  <si>
    <t xml:space="preserve">1068151990             </t>
  </si>
  <si>
    <t>100183276</t>
  </si>
  <si>
    <t>BHAWANIPUR</t>
  </si>
  <si>
    <t>9852830728</t>
  </si>
  <si>
    <t>0107010014785</t>
  </si>
  <si>
    <t>1301600000000721</t>
  </si>
  <si>
    <t>SUNITA GHIMIRE</t>
  </si>
  <si>
    <t>SHAMBHU PRASAD GHIMIRE</t>
  </si>
  <si>
    <t>LOKNATH GHIMIRE</t>
  </si>
  <si>
    <t xml:space="preserve">1024928630562001       </t>
  </si>
  <si>
    <t>9841614674</t>
  </si>
  <si>
    <t>Prabhu Bank Ltd.-Jaleshwor 329 Branch</t>
  </si>
  <si>
    <t>3297002275800028</t>
  </si>
  <si>
    <t>1301230000007574</t>
  </si>
  <si>
    <t>Seema Verma Pradhan</t>
  </si>
  <si>
    <t>Shambhu Sharan Prasad Kayastha</t>
  </si>
  <si>
    <t>Dr-Rajesh Pradhan</t>
  </si>
  <si>
    <t xml:space="preserve">100387051991           </t>
  </si>
  <si>
    <t>4415013</t>
  </si>
  <si>
    <t>Nepal Credit &amp; Commerce Bank Ltd.-Birtamod Branch</t>
  </si>
  <si>
    <t>015000053770D</t>
  </si>
  <si>
    <t>1301440000175490</t>
  </si>
  <si>
    <t>Bijay Tamang</t>
  </si>
  <si>
    <t>Shambhu TAMANG</t>
  </si>
  <si>
    <t>Chandra Bahadur Tamang</t>
  </si>
  <si>
    <t xml:space="preserve">10041284112004         </t>
  </si>
  <si>
    <t>Rayale 05</t>
  </si>
  <si>
    <t>1021167297</t>
  </si>
  <si>
    <t>3309015013063</t>
  </si>
  <si>
    <t>1301590000285172</t>
  </si>
  <si>
    <t>SHASHWOT ADHIKARI</t>
  </si>
  <si>
    <t>SHANKAR ADHIKARI</t>
  </si>
  <si>
    <t>PURNA CHANDRA ADHIKARI</t>
  </si>
  <si>
    <t xml:space="preserve">100129-01-70-027632013 </t>
  </si>
  <si>
    <t>SURYABINAYAK</t>
  </si>
  <si>
    <t>9860171427</t>
  </si>
  <si>
    <t>01716000702</t>
  </si>
  <si>
    <t>1301220000033937</t>
  </si>
  <si>
    <t>SANJISH WAGLE</t>
  </si>
  <si>
    <t>SHARAD RAMAN WAGLE</t>
  </si>
  <si>
    <t>SURYA BHAKTA WALGE</t>
  </si>
  <si>
    <t xml:space="preserve">1023636942013          </t>
  </si>
  <si>
    <t>BYAS</t>
  </si>
  <si>
    <t>9841526927</t>
  </si>
  <si>
    <t>Global IME Bank Ltd.-Jawalakhel Branch</t>
  </si>
  <si>
    <t>8007010006986</t>
  </si>
  <si>
    <t>1301370000274925</t>
  </si>
  <si>
    <t>Ashish Shrestha</t>
  </si>
  <si>
    <t>Shashindra Shrestha</t>
  </si>
  <si>
    <t>Gorakh Bahadur Shrestha</t>
  </si>
  <si>
    <t xml:space="preserve">10036247/189801994     </t>
  </si>
  <si>
    <t>Naindole</t>
  </si>
  <si>
    <t>9842155112</t>
  </si>
  <si>
    <t>NIC Asia Bank Ltd.- BODE Branch</t>
  </si>
  <si>
    <t>12DB065908NPR001</t>
  </si>
  <si>
    <t>1301100000415528</t>
  </si>
  <si>
    <t>RACHEET SAH</t>
  </si>
  <si>
    <t>SHATRUDHAN SAH</t>
  </si>
  <si>
    <t>YOGENDRA SAH</t>
  </si>
  <si>
    <t xml:space="preserve">10241802013            </t>
  </si>
  <si>
    <t>0000</t>
  </si>
  <si>
    <t>NMB Bank Ltd.-Gorkha Branch</t>
  </si>
  <si>
    <t>0690050596900011</t>
  </si>
  <si>
    <t>1301040000052254</t>
  </si>
  <si>
    <t>PUSHPA POKHREL</t>
  </si>
  <si>
    <t>SHATRUGHAN PRASAD BHATTARAI</t>
  </si>
  <si>
    <t>PRAYAG RAJ UPADHYAY/MAHA PRASAD BHATTRAI</t>
  </si>
  <si>
    <t xml:space="preserve">106740033481979        </t>
  </si>
  <si>
    <t>9841696844</t>
  </si>
  <si>
    <t>001011050001710</t>
  </si>
  <si>
    <t>1301170000158147</t>
  </si>
  <si>
    <t>AKRUR DHOJ SHAH</t>
  </si>
  <si>
    <t>SHIB DHOJ SHAH</t>
  </si>
  <si>
    <t>NAR DHOJ SHAH</t>
  </si>
  <si>
    <t xml:space="preserve">100355651977           </t>
  </si>
  <si>
    <t>014476972</t>
  </si>
  <si>
    <t>Citizens Bank International Ltd.-Chabahil Branch</t>
  </si>
  <si>
    <t>0540000529SA</t>
  </si>
  <si>
    <t>1301060000205450</t>
  </si>
  <si>
    <t>BISHNU PRASAD MISHRA</t>
  </si>
  <si>
    <t>SHIKHAR NATH MISHRA</t>
  </si>
  <si>
    <t>BENI MADHAV MISHRA</t>
  </si>
  <si>
    <t xml:space="preserve">102312641982           </t>
  </si>
  <si>
    <t>101044431</t>
  </si>
  <si>
    <t>9851103143</t>
  </si>
  <si>
    <t>Nepal Investment Mega Bank Ltd.-Lazimpat Branch</t>
  </si>
  <si>
    <t>03605030276535</t>
  </si>
  <si>
    <t>1301260001324475</t>
  </si>
  <si>
    <t>BINAY KUMAR YADAV</t>
  </si>
  <si>
    <t>SHIV DHAR YADAV/SHANTI DEVI YADAV</t>
  </si>
  <si>
    <t>BIHARI YADAV</t>
  </si>
  <si>
    <t xml:space="preserve">103986263 / 872632004  </t>
  </si>
  <si>
    <t>9807397965</t>
  </si>
  <si>
    <t>0060142371600018</t>
  </si>
  <si>
    <t>1301080000169069</t>
  </si>
  <si>
    <t>RUKMANGAD POUDYAL</t>
  </si>
  <si>
    <t>SHIV LAL POUDYAL</t>
  </si>
  <si>
    <t>TIKA RAM POUDYAL</t>
  </si>
  <si>
    <t xml:space="preserve">1056271151984          </t>
  </si>
  <si>
    <t>9840015531</t>
  </si>
  <si>
    <t>00100513201451</t>
  </si>
  <si>
    <t>1301040000197081</t>
  </si>
  <si>
    <t>KHADAG NARAYAN CHAUDHARY</t>
  </si>
  <si>
    <t>SHIV NARAYAN CHAUDHARY</t>
  </si>
  <si>
    <t>BRIJ LAL KHAN THARU/KABITA KUMARI CHAUDHARY</t>
  </si>
  <si>
    <t xml:space="preserve">103969352/703522002    </t>
  </si>
  <si>
    <t>RABIHAT</t>
  </si>
  <si>
    <t>9848110625</t>
  </si>
  <si>
    <t>Rastriya Banijya Bank Ltd.-Biratnagar Branch</t>
  </si>
  <si>
    <t>2120100032101010</t>
  </si>
  <si>
    <t>1301200000010856</t>
  </si>
  <si>
    <t>SHASHI PRABHA SHARMA</t>
  </si>
  <si>
    <t>SHIV RAJ DHITAL</t>
  </si>
  <si>
    <t>GOPAL RAJ DHITAL</t>
  </si>
  <si>
    <t xml:space="preserve">10051076/034/351978    </t>
  </si>
  <si>
    <t>9849378246</t>
  </si>
  <si>
    <t>143010819111</t>
  </si>
  <si>
    <t>1301060001343759</t>
  </si>
  <si>
    <t>Kumar Sapkota</t>
  </si>
  <si>
    <t>Shiva Bahadur Sapkota</t>
  </si>
  <si>
    <t>Surya Bahadur Sapkota</t>
  </si>
  <si>
    <t xml:space="preserve">1003821999             </t>
  </si>
  <si>
    <t>02105120275729</t>
  </si>
  <si>
    <t>1301470000022936</t>
  </si>
  <si>
    <t>KUMAR DAHAL</t>
  </si>
  <si>
    <t>SHIVA PRASAD UPADHYAY</t>
  </si>
  <si>
    <t>KEDAR NATH UPADHYAY</t>
  </si>
  <si>
    <t xml:space="preserve">105519101982           </t>
  </si>
  <si>
    <t>100996838</t>
  </si>
  <si>
    <t>9845265630</t>
  </si>
  <si>
    <t>1430100017876011</t>
  </si>
  <si>
    <t>1301370000047781</t>
  </si>
  <si>
    <t>Prabha Devi Sharma</t>
  </si>
  <si>
    <t>Shiva Raj upadhyay</t>
  </si>
  <si>
    <t>Prakash Raj Sharma</t>
  </si>
  <si>
    <t xml:space="preserve">10605385/36891979      </t>
  </si>
  <si>
    <t>Moli</t>
  </si>
  <si>
    <t>9843003962</t>
  </si>
  <si>
    <t>3369359563524002</t>
  </si>
  <si>
    <t>1301380000061588</t>
  </si>
  <si>
    <t>DEEPA REGMI</t>
  </si>
  <si>
    <t>SHIVA RAM REGMI</t>
  </si>
  <si>
    <t>BINOD SITAULA(HUSBAND)</t>
  </si>
  <si>
    <t xml:space="preserve">100931712001           </t>
  </si>
  <si>
    <t>KATHMANDU-7</t>
  </si>
  <si>
    <t>9841072295</t>
  </si>
  <si>
    <t>1420100001019004</t>
  </si>
  <si>
    <t>1301060000019841</t>
  </si>
  <si>
    <t>SHYAM BABU PRASAD SAH</t>
  </si>
  <si>
    <t>SHIVA SAH</t>
  </si>
  <si>
    <t>SUMITA BHARATI</t>
  </si>
  <si>
    <t xml:space="preserve">10595821988            </t>
  </si>
  <si>
    <t>98520230</t>
  </si>
  <si>
    <t>Rastriya Banijya Bank Ltd.-Gaur Branch</t>
  </si>
  <si>
    <t>1210100009568010</t>
  </si>
  <si>
    <t>1301090002544723</t>
  </si>
  <si>
    <t>SARALA SHRESTHA</t>
  </si>
  <si>
    <t>SHIVA SHRESTHA/SUNMAYA SHRESTHA</t>
  </si>
  <si>
    <t>KRISHNA SHRESTHA/NAMRAJ DEWAN</t>
  </si>
  <si>
    <t xml:space="preserve">1003271047-109602007   </t>
  </si>
  <si>
    <t>9849328362</t>
  </si>
  <si>
    <t>50317068191</t>
  </si>
  <si>
    <t>1301380000007384</t>
  </si>
  <si>
    <t>MINU ADHIKARI KHANAL</t>
  </si>
  <si>
    <t>SHOBHA PD UPADHYAY</t>
  </si>
  <si>
    <t>HARIHAR PD UPADHYAY</t>
  </si>
  <si>
    <t xml:space="preserve">10037258/105731983     </t>
  </si>
  <si>
    <t>9843595097</t>
  </si>
  <si>
    <t>001000002340L</t>
  </si>
  <si>
    <t>1301080000372130</t>
  </si>
  <si>
    <t>SUMIT ACHARYA</t>
  </si>
  <si>
    <t>SHREE BINDA ACHARYA</t>
  </si>
  <si>
    <t>CHUDAMANI ACHARYA</t>
  </si>
  <si>
    <t xml:space="preserve">100372000              </t>
  </si>
  <si>
    <t>02600516200716</t>
  </si>
  <si>
    <t>1301170000093280</t>
  </si>
  <si>
    <t>RAJESH KUMAR SHAH</t>
  </si>
  <si>
    <t>SHREE KISHORI SAH</t>
  </si>
  <si>
    <t>SAUJI SAH</t>
  </si>
  <si>
    <t xml:space="preserve">1026615537661994       </t>
  </si>
  <si>
    <t>9844050214</t>
  </si>
  <si>
    <t>NIC Asia Bank Ltd.-Janakpur Branch</t>
  </si>
  <si>
    <t>3100144817524001</t>
  </si>
  <si>
    <t>1301730000151098</t>
  </si>
  <si>
    <t>KAMALESHWAR ADHIKARI DANUWAR</t>
  </si>
  <si>
    <t>SHREE LAL ADHIKARI</t>
  </si>
  <si>
    <t>SUBBA LAL ADHIKARI</t>
  </si>
  <si>
    <t xml:space="preserve">102920-01-71-009672014 </t>
  </si>
  <si>
    <t>9813066587</t>
  </si>
  <si>
    <t>0010050338888</t>
  </si>
  <si>
    <t>1301370000616769</t>
  </si>
  <si>
    <t>Usha Jha</t>
  </si>
  <si>
    <t>Shree Nandan Pathak</t>
  </si>
  <si>
    <t>Shree Birendra Jha</t>
  </si>
  <si>
    <t xml:space="preserve">106812251989           </t>
  </si>
  <si>
    <t>Govindapur</t>
  </si>
  <si>
    <t>9824739616</t>
  </si>
  <si>
    <t>3614214798524001</t>
  </si>
  <si>
    <t>1301100000918806</t>
  </si>
  <si>
    <t>SARITA THAPA</t>
  </si>
  <si>
    <t>SHREE PRASAD BHUJEL</t>
  </si>
  <si>
    <t>NAM DEV BHUJELTHAPA</t>
  </si>
  <si>
    <t xml:space="preserve">1046260272004          </t>
  </si>
  <si>
    <t>9849636184</t>
  </si>
  <si>
    <t>NMB Bank Ltd.-Thutipipal Branch</t>
  </si>
  <si>
    <t>0400029653400015</t>
  </si>
  <si>
    <t>1301170000493493</t>
  </si>
  <si>
    <t>RAJENDRA THAPA</t>
  </si>
  <si>
    <t>SHREE RAJ THAPA</t>
  </si>
  <si>
    <t xml:space="preserve">1003642001             </t>
  </si>
  <si>
    <t>9841169545</t>
  </si>
  <si>
    <t>0110000836CS</t>
  </si>
  <si>
    <t>1301470000008691</t>
  </si>
  <si>
    <t>RAJANI GURUNG</t>
  </si>
  <si>
    <t>SHYAM BAHADUR GURUNG</t>
  </si>
  <si>
    <t>LAL BAHADUR GURUNG</t>
  </si>
  <si>
    <t xml:space="preserve">100351262001           </t>
  </si>
  <si>
    <t>SHORHAKHUTTE</t>
  </si>
  <si>
    <t>9851063715</t>
  </si>
  <si>
    <t>0150000297MB</t>
  </si>
  <si>
    <t>1301100000190629</t>
  </si>
  <si>
    <t>DEEPINA KARMACHARYA</t>
  </si>
  <si>
    <t>SHYAM BAHADUR KARMACHARYA</t>
  </si>
  <si>
    <t>ASHA MARU KARMACHARYA</t>
  </si>
  <si>
    <t xml:space="preserve">1003352532006          </t>
  </si>
  <si>
    <t>9841760712</t>
  </si>
  <si>
    <t>NMB Bank Ltd.-Sitapaila Branch</t>
  </si>
  <si>
    <t>0660033888100012</t>
  </si>
  <si>
    <t>1301060000034237</t>
  </si>
  <si>
    <t>ARCHANA SHRESTHA</t>
  </si>
  <si>
    <t>SHYAM KAJI SHRESTHA</t>
  </si>
  <si>
    <t>SHITAL KAJI SHRESTHA/BINOD MAN RAJBHANDARI</t>
  </si>
  <si>
    <t xml:space="preserve">100351882001           </t>
  </si>
  <si>
    <t>Mahalaxmi Bikas Bank Limited.-Itahari Branch</t>
  </si>
  <si>
    <t>06000600276863000001</t>
  </si>
  <si>
    <t>1301370000069189</t>
  </si>
  <si>
    <t>Manish Dhital</t>
  </si>
  <si>
    <t>Shyam Krishna Dhital</t>
  </si>
  <si>
    <t>Hari Prasad Dhital</t>
  </si>
  <si>
    <t xml:space="preserve">1003273058/1972007     </t>
  </si>
  <si>
    <t>9841114641</t>
  </si>
  <si>
    <t>3369396629524001</t>
  </si>
  <si>
    <t>1301120000206564</t>
  </si>
  <si>
    <t>Rajesh Dangol</t>
  </si>
  <si>
    <t>Shyam Kumar Dangol</t>
  </si>
  <si>
    <t>Ratna Bahadur Dangol/Narayan Devi Dangol</t>
  </si>
  <si>
    <t xml:space="preserve">100314932/315311987    </t>
  </si>
  <si>
    <t>Ghattekulo</t>
  </si>
  <si>
    <t>9841492810</t>
  </si>
  <si>
    <t>00120400404995000001</t>
  </si>
  <si>
    <t>1301280000128111</t>
  </si>
  <si>
    <t>ASHOK KUMAR PANT</t>
  </si>
  <si>
    <t>SHYAM PANT</t>
  </si>
  <si>
    <t>RUDRA PRASAD PANT</t>
  </si>
  <si>
    <t xml:space="preserve">1017102761995          </t>
  </si>
  <si>
    <t>9841617776</t>
  </si>
  <si>
    <t>8001</t>
  </si>
  <si>
    <t>Kailash Bikas Bank Ltd.- Budibazar Branch</t>
  </si>
  <si>
    <t>01500600123824000001</t>
  </si>
  <si>
    <t>1301100000389883</t>
  </si>
  <si>
    <t>PRITHVI PRASAD JHA</t>
  </si>
  <si>
    <t>SHYAM PRASAD JHA</t>
  </si>
  <si>
    <t>GANGA RAJ JHA</t>
  </si>
  <si>
    <t xml:space="preserve">105816031160841981     </t>
  </si>
  <si>
    <t>NAUTAN LAXMANWA</t>
  </si>
  <si>
    <t>9855036600</t>
  </si>
  <si>
    <t>0190049389600011</t>
  </si>
  <si>
    <t>1301650000720936</t>
  </si>
  <si>
    <t>BINITA SHRESTHA</t>
  </si>
  <si>
    <t>SIDDHA KUMAR SHRESTHA</t>
  </si>
  <si>
    <t>KRITI BAHADUR SHRESTHA/</t>
  </si>
  <si>
    <t xml:space="preserve">1066271998             </t>
  </si>
  <si>
    <t>9842849091</t>
  </si>
  <si>
    <t>2060100011555010</t>
  </si>
  <si>
    <t>1301040000071157</t>
  </si>
  <si>
    <t>MUKUNDA GAUTAM</t>
  </si>
  <si>
    <t>SIDDHINATH GAUTAM</t>
  </si>
  <si>
    <t>RAMA GAUTAM/GYANESWAR GAUTAM</t>
  </si>
  <si>
    <t xml:space="preserve">10035281980            </t>
  </si>
  <si>
    <t>9851171599</t>
  </si>
  <si>
    <t>0310017503893</t>
  </si>
  <si>
    <t>1301120001366975</t>
  </si>
  <si>
    <t>MUDI RAJ TAMANG</t>
  </si>
  <si>
    <t>SOM BAHADUR TAMANG</t>
  </si>
  <si>
    <t>CHANDR BADUR TAMANG</t>
  </si>
  <si>
    <t xml:space="preserve">1025257632002          </t>
  </si>
  <si>
    <t>0977</t>
  </si>
  <si>
    <t>03309015011644</t>
  </si>
  <si>
    <t>1301080000603358</t>
  </si>
  <si>
    <t>LAL BAHADUR GHISING</t>
  </si>
  <si>
    <t>MAN SINGH TAMANG</t>
  </si>
  <si>
    <t xml:space="preserve">1029143671999          </t>
  </si>
  <si>
    <t>9803052352</t>
  </si>
  <si>
    <t>01800501214872</t>
  </si>
  <si>
    <t>1301180000188517</t>
  </si>
  <si>
    <t>DIL KUMAR TAMANG</t>
  </si>
  <si>
    <t>PUNAM GURUNG/SUK MAN TAMANG</t>
  </si>
  <si>
    <t xml:space="preserve">1006253060-26412007    </t>
  </si>
  <si>
    <t>NUWAKOT</t>
  </si>
  <si>
    <t>Laxmi Sunrise Bank Limited.-Puatalisadk Branch</t>
  </si>
  <si>
    <t>0220766613205001</t>
  </si>
  <si>
    <t>1301650000821717</t>
  </si>
  <si>
    <t>ANJU TAMANG</t>
  </si>
  <si>
    <t>SOMAN SING TAMANG</t>
  </si>
  <si>
    <t>WANJA LAMA/BIJAY GHALAN</t>
  </si>
  <si>
    <t xml:space="preserve">1006250175066642019    </t>
  </si>
  <si>
    <t>9867056681</t>
  </si>
  <si>
    <t>Rastriya Banijya Bank Ltd.-Balaju Branch</t>
  </si>
  <si>
    <t>1190100000060104</t>
  </si>
  <si>
    <t>1301370000230767</t>
  </si>
  <si>
    <t>Madhav Raj Sharma Parajuli</t>
  </si>
  <si>
    <t>Somnath Upadhya</t>
  </si>
  <si>
    <t>Loknath upadhya</t>
  </si>
  <si>
    <t xml:space="preserve">104481391990           </t>
  </si>
  <si>
    <t>9849258229</t>
  </si>
  <si>
    <t>1369443603524001</t>
  </si>
  <si>
    <t>1301120000183626</t>
  </si>
  <si>
    <t>Riko Sthapit</t>
  </si>
  <si>
    <t>Subarna Man Sthapit</t>
  </si>
  <si>
    <t>Purna Man Sthapit</t>
  </si>
  <si>
    <t xml:space="preserve">100314676/75471988     </t>
  </si>
  <si>
    <t>4270171</t>
  </si>
  <si>
    <t>143011087411</t>
  </si>
  <si>
    <t>1301690000041521</t>
  </si>
  <si>
    <t>NAMRATA DHUNGANA</t>
  </si>
  <si>
    <t>SUDARSAN DHUNGANA/NARBADA DHUNGANA</t>
  </si>
  <si>
    <t>SHALIKRAM DHUNGANA/RAGHAV SATYAL</t>
  </si>
  <si>
    <t>100129-01-065-019342008</t>
  </si>
  <si>
    <t>BAGAMATI</t>
  </si>
  <si>
    <t>9840176131</t>
  </si>
  <si>
    <t>01002313BS</t>
  </si>
  <si>
    <t>1301040000116398</t>
  </si>
  <si>
    <t>MILAN KARKI</t>
  </si>
  <si>
    <t>SUDARSHAN KARKI</t>
  </si>
  <si>
    <t>PRATIBHA PHAIJU/JIT BAHADUR KARKI</t>
  </si>
  <si>
    <t xml:space="preserve">1001263952000          </t>
  </si>
  <si>
    <t>KARKI</t>
  </si>
  <si>
    <t>6540655</t>
  </si>
  <si>
    <t>1910017504934</t>
  </si>
  <si>
    <t>1301190000067746</t>
  </si>
  <si>
    <t>SUDINA KUIKEL</t>
  </si>
  <si>
    <t>SUDARSHAN KUIKEL</t>
  </si>
  <si>
    <t>BINOD BHATTARAI</t>
  </si>
  <si>
    <t xml:space="preserve">1001105812003          </t>
  </si>
  <si>
    <t>101576891</t>
  </si>
  <si>
    <t>CHANGU</t>
  </si>
  <si>
    <t>9841631722</t>
  </si>
  <si>
    <t>00100516207601</t>
  </si>
  <si>
    <t>1301650000225891</t>
  </si>
  <si>
    <t>SHARADRAJ REGMI</t>
  </si>
  <si>
    <t>SUDARSHAN PRASAD REGMI / SITA REGMI</t>
  </si>
  <si>
    <t>BHAGABATI TIMALSINA / TEJNATH REGMI</t>
  </si>
  <si>
    <t xml:space="preserve">100248802003           </t>
  </si>
  <si>
    <t>BAJRAKOT</t>
  </si>
  <si>
    <t>9841617362</t>
  </si>
  <si>
    <t>1750100010183010</t>
  </si>
  <si>
    <t>1301260000560630</t>
  </si>
  <si>
    <t>KHUSHI D.C.</t>
  </si>
  <si>
    <t>SUDIP DANGI/KHIMA PUN</t>
  </si>
  <si>
    <t>BHAKTA BAHADUR DANGI</t>
  </si>
  <si>
    <t xml:space="preserve">1062502017             </t>
  </si>
  <si>
    <t>Rolpa</t>
  </si>
  <si>
    <t>9848298114</t>
  </si>
  <si>
    <t>2120157957000016</t>
  </si>
  <si>
    <t>1301370001922156</t>
  </si>
  <si>
    <t>Aarambha Regmi</t>
  </si>
  <si>
    <t>Sudip Regmi</t>
  </si>
  <si>
    <t>Hem raj Regmi</t>
  </si>
  <si>
    <t xml:space="preserve">10171632018            </t>
  </si>
  <si>
    <t>Pipaltari</t>
  </si>
  <si>
    <t>9851184055</t>
  </si>
  <si>
    <t>NIC Asia Bank Ltd.-New Road Pokhara Branch</t>
  </si>
  <si>
    <t>0165759987265001</t>
  </si>
  <si>
    <t>1301120000088944</t>
  </si>
  <si>
    <t>Dharatee Shrestha</t>
  </si>
  <si>
    <t>Suman Shrestha</t>
  </si>
  <si>
    <t>Nhuchhenarayan Shrestha/Ramesh Shrestha</t>
  </si>
  <si>
    <t xml:space="preserve">10035099/3171984       </t>
  </si>
  <si>
    <t>Muktinath Bikas Bank Ltd.-Kupondole Branch</t>
  </si>
  <si>
    <t>08022400779668000001</t>
  </si>
  <si>
    <t>1301120000107134</t>
  </si>
  <si>
    <t>Shova Khadka</t>
  </si>
  <si>
    <t>Sundar Khadka</t>
  </si>
  <si>
    <t>Dambar Bahadur Khadka/Bishnu Ram Khatri</t>
  </si>
  <si>
    <t xml:space="preserve">100319582002           </t>
  </si>
  <si>
    <t>Bishnu Budhanilkantha</t>
  </si>
  <si>
    <t>4359133</t>
  </si>
  <si>
    <t>1100100002163104</t>
  </si>
  <si>
    <t>1301370000431739</t>
  </si>
  <si>
    <t>Sujan Joshi</t>
  </si>
  <si>
    <t>Sunil Joshi</t>
  </si>
  <si>
    <t>Anand Lal Joshi</t>
  </si>
  <si>
    <t xml:space="preserve">1058341022/39462008    </t>
  </si>
  <si>
    <t>Birta</t>
  </si>
  <si>
    <t>9849866689</t>
  </si>
  <si>
    <t>NIC Asia Bank Ltd.-Birgunj Branch</t>
  </si>
  <si>
    <t>2255341698524001</t>
  </si>
  <si>
    <t>1301090000533195</t>
  </si>
  <si>
    <t>SANDESH KOIRALA</t>
  </si>
  <si>
    <t>SURESH KOIRALA</t>
  </si>
  <si>
    <t>BHAIRAB PRASAD KOIRALA</t>
  </si>
  <si>
    <t xml:space="preserve">101946-01-70-090682013 </t>
  </si>
  <si>
    <t>061-522188</t>
  </si>
  <si>
    <t>Siddhartha Bank Ltd.-Parshyang Branch</t>
  </si>
  <si>
    <t>03215009618</t>
  </si>
  <si>
    <t>1301090002499001</t>
  </si>
  <si>
    <t>SUMAN BHATTARAI</t>
  </si>
  <si>
    <t>SURESH PRASAD BHATTARAI</t>
  </si>
  <si>
    <t>GOVINDA PRASAD BHATTARAI</t>
  </si>
  <si>
    <t xml:space="preserve">1026181074/1962009     </t>
  </si>
  <si>
    <t>9813574668</t>
  </si>
  <si>
    <t>01715112074</t>
  </si>
  <si>
    <t>1301370002250246</t>
  </si>
  <si>
    <t>MEENA KUMARI THAKUR</t>
  </si>
  <si>
    <t>SURESH THAKUR</t>
  </si>
  <si>
    <t>BHOLA THAKUR</t>
  </si>
  <si>
    <t xml:space="preserve">106768252006           </t>
  </si>
  <si>
    <t>BARAIYA</t>
  </si>
  <si>
    <t>9819726521</t>
  </si>
  <si>
    <t>3614290394524001</t>
  </si>
  <si>
    <t>1301720000069031</t>
  </si>
  <si>
    <t>SURENDRA TAMANG</t>
  </si>
  <si>
    <t>SURYA BAHADUR TAMANG</t>
  </si>
  <si>
    <t xml:space="preserve">100325-01-69-028471994 </t>
  </si>
  <si>
    <t>TOKHA-3</t>
  </si>
  <si>
    <t>9808216351</t>
  </si>
  <si>
    <t>Agricultural Development Bank Ltd.-Balaju Branch</t>
  </si>
  <si>
    <t>0209701173754014</t>
  </si>
  <si>
    <t>1301120001632414</t>
  </si>
  <si>
    <t>SARITA JOSHI</t>
  </si>
  <si>
    <t>SURYA DASH JOSHI/ KRISHNA BADAN JOSHI</t>
  </si>
  <si>
    <t>BHIM DASH JOSHI/ RAJESH HARI JOSHI</t>
  </si>
  <si>
    <t xml:space="preserve">100586021979           </t>
  </si>
  <si>
    <t>9840051213</t>
  </si>
  <si>
    <t>Global IME Bank Ltd.-Sundhara Lalitpur Branch</t>
  </si>
  <si>
    <t>27707010001538</t>
  </si>
  <si>
    <t>1301380000014708</t>
  </si>
  <si>
    <t>SARITA DEVI SHRESTHA</t>
  </si>
  <si>
    <t>SURYA LAL SHRESTHA</t>
  </si>
  <si>
    <t>NAGENDRA KUMAR SHRESTHA</t>
  </si>
  <si>
    <t xml:space="preserve">10031020/22511982      </t>
  </si>
  <si>
    <t>9849711200</t>
  </si>
  <si>
    <t>1420100000004004</t>
  </si>
  <si>
    <t>1301250000011135</t>
  </si>
  <si>
    <t>Purushotam Kumar Shrestha</t>
  </si>
  <si>
    <t>Surya Lal Shrestha</t>
  </si>
  <si>
    <t>Roji Shrestha / Sar Bahadur Shrestha</t>
  </si>
  <si>
    <t xml:space="preserve">103877561981           </t>
  </si>
  <si>
    <t>9841244517</t>
  </si>
  <si>
    <t>1150072962600018</t>
  </si>
  <si>
    <t>1301170000022951</t>
  </si>
  <si>
    <t>UTTAM KUMAR SHRESTHA</t>
  </si>
  <si>
    <t>SHER BAHADUR SHRESTHA</t>
  </si>
  <si>
    <t xml:space="preserve">103818191976           </t>
  </si>
  <si>
    <t>0090100000009026</t>
  </si>
  <si>
    <t>1301120000439923</t>
  </si>
  <si>
    <t>Sanuj Shakya</t>
  </si>
  <si>
    <t>Surya Man Shakya</t>
  </si>
  <si>
    <t>Asta Man Shakya</t>
  </si>
  <si>
    <t xml:space="preserve">1005357272005          </t>
  </si>
  <si>
    <t>Chhayabahal</t>
  </si>
  <si>
    <t>9841184672</t>
  </si>
  <si>
    <t>2810017506103</t>
  </si>
  <si>
    <t>1301550000032189</t>
  </si>
  <si>
    <t>GRIHA LAXMI SULPYA GURAGAIN</t>
  </si>
  <si>
    <t>SURYA MAN SULPYA</t>
  </si>
  <si>
    <t>BHOLA PRASAD GURAGAIN</t>
  </si>
  <si>
    <t xml:space="preserve">100393741980           </t>
  </si>
  <si>
    <t>00120500105454000001</t>
  </si>
  <si>
    <t>1301110000010451</t>
  </si>
  <si>
    <t>SURYA N. MALLA</t>
  </si>
  <si>
    <t>TULSI N. MALLA</t>
  </si>
  <si>
    <t xml:space="preserve">1001131/026/0271970    </t>
  </si>
  <si>
    <t>9751010329</t>
  </si>
  <si>
    <t>30107010001078</t>
  </si>
  <si>
    <t>1301080000664882</t>
  </si>
  <si>
    <t>RAMESH KUMAR CHAUDHARY</t>
  </si>
  <si>
    <t>SURYA NARAYAN CHAUDHARY</t>
  </si>
  <si>
    <t xml:space="preserve">106742311996           </t>
  </si>
  <si>
    <t>9819066705</t>
  </si>
  <si>
    <t>00800501002458</t>
  </si>
  <si>
    <t>1301260000046220</t>
  </si>
  <si>
    <t>BHIMLAL BHANDARI</t>
  </si>
  <si>
    <t>SURYA PRASAD BHANDARI/ GIVKALA BHANDARI</t>
  </si>
  <si>
    <t>NARAD BHANDARI / KAMALA BHANDARI</t>
  </si>
  <si>
    <t xml:space="preserve">104247441999           </t>
  </si>
  <si>
    <t>109871783</t>
  </si>
  <si>
    <t>9847164907</t>
  </si>
  <si>
    <t>Prabhu Bank Ltd.-Butwal Branch</t>
  </si>
  <si>
    <t>0020031228400011</t>
  </si>
  <si>
    <t>1301290000004485</t>
  </si>
  <si>
    <t>SURESH KUMAR DAHAL</t>
  </si>
  <si>
    <t>SURYA PRASAD DAHAL</t>
  </si>
  <si>
    <t>NARAYAN PRASAD UPADHAYA</t>
  </si>
  <si>
    <t>10031189/27216/35241983</t>
  </si>
  <si>
    <t>9841374908</t>
  </si>
  <si>
    <t>Agricultural Development Bank Ltd.-New Road</t>
  </si>
  <si>
    <t>0210000029592011</t>
  </si>
  <si>
    <t>1301080000579064</t>
  </si>
  <si>
    <t>SUBHAM RAJ SINGH</t>
  </si>
  <si>
    <t>SUWASH BAHADUR SINGH</t>
  </si>
  <si>
    <t>PREM BAHADUR SINGH</t>
  </si>
  <si>
    <t xml:space="preserve">1072312015             </t>
  </si>
  <si>
    <t>BAJHANG</t>
  </si>
  <si>
    <t>Bajhang</t>
  </si>
  <si>
    <t>9868410184</t>
  </si>
  <si>
    <t>05400501202918</t>
  </si>
  <si>
    <t>1301120000285041</t>
  </si>
  <si>
    <t>KHADANANDA LAMICHHANE</t>
  </si>
  <si>
    <t xml:space="preserve">1002261/461482011      </t>
  </si>
  <si>
    <t xml:space="preserve">108666072                </t>
  </si>
  <si>
    <t>13205080016841</t>
  </si>
  <si>
    <t>1301550000085457</t>
  </si>
  <si>
    <t>LOKENDRA SOTI MAGAR</t>
  </si>
  <si>
    <t>TARK BAHADUR SOTI MAGAR</t>
  </si>
  <si>
    <t>RAN BAHADUR SOTI MAGAR</t>
  </si>
  <si>
    <t xml:space="preserve">10442003/2512013       </t>
  </si>
  <si>
    <t xml:space="preserve">131339396                </t>
  </si>
  <si>
    <t>DANDAJHERI</t>
  </si>
  <si>
    <t>9860829414</t>
  </si>
  <si>
    <t>02105080177283</t>
  </si>
  <si>
    <t>1301110000162235</t>
  </si>
  <si>
    <t>PRAMOD KUMAR KOIRALA</t>
  </si>
  <si>
    <t>TEEKA RAM KOIRALA</t>
  </si>
  <si>
    <t>SHOVAKAR KOIRALA</t>
  </si>
  <si>
    <t xml:space="preserve">101946/01/71/005352014 </t>
  </si>
  <si>
    <t>014280818</t>
  </si>
  <si>
    <t>Bank of Kathmandu Ltd.-New Road Branch</t>
  </si>
  <si>
    <t>050200011712524</t>
  </si>
  <si>
    <t>1301370001175980</t>
  </si>
  <si>
    <t>Narendra Fagami</t>
  </si>
  <si>
    <t>Tej Bahadur Fagami</t>
  </si>
  <si>
    <t>Keshu Fagami</t>
  </si>
  <si>
    <t xml:space="preserve">101649-01-70-029462013 </t>
  </si>
  <si>
    <t>Magardang</t>
  </si>
  <si>
    <t>9863067601</t>
  </si>
  <si>
    <t>6487971782452401</t>
  </si>
  <si>
    <t>1301240000184164</t>
  </si>
  <si>
    <t>KRISHNA BAHADUR KHADKA</t>
  </si>
  <si>
    <t>TEJ BAHADUR KHADKA</t>
  </si>
  <si>
    <t>KATAK BAHADUR KHADKA</t>
  </si>
  <si>
    <t xml:space="preserve">1025450382010          </t>
  </si>
  <si>
    <t>9813639966</t>
  </si>
  <si>
    <t>Laxmi Sunrise Bank Limited.-Chabahil Branch</t>
  </si>
  <si>
    <t>01410341426011</t>
  </si>
  <si>
    <t>1301040000012772</t>
  </si>
  <si>
    <t>BIJAY BAHADUR SHRESTHA</t>
  </si>
  <si>
    <t>TEJ BAHADUR SHRESTHA</t>
  </si>
  <si>
    <t>SONAM CHUKKI SHRESTHA</t>
  </si>
  <si>
    <t xml:space="preserve">1003272011             </t>
  </si>
  <si>
    <t>500074471</t>
  </si>
  <si>
    <t>BISHALNAGAR</t>
  </si>
  <si>
    <t>4431637</t>
  </si>
  <si>
    <t>00301035670025</t>
  </si>
  <si>
    <t>1301060000684100</t>
  </si>
  <si>
    <t>HUM NARAYAN ARYAL</t>
  </si>
  <si>
    <t>TEK  NARAYAN ARYAL</t>
  </si>
  <si>
    <t>DHUNDI RAJ ARYAL/ PUNYAWATI KHANAL</t>
  </si>
  <si>
    <t xml:space="preserve">1022770542004          </t>
  </si>
  <si>
    <t>Kumari Bank Ltd.-Murgiya- Branch</t>
  </si>
  <si>
    <t>0040074742000001</t>
  </si>
  <si>
    <t>1301610000098711</t>
  </si>
  <si>
    <t>MIN BAHADUR BUCHA</t>
  </si>
  <si>
    <t>TEK BAHADUR BUCHA</t>
  </si>
  <si>
    <t>INDRA BAHADUR BUCHA</t>
  </si>
  <si>
    <t xml:space="preserve">1075469232002          </t>
  </si>
  <si>
    <t>9848458663</t>
  </si>
  <si>
    <t>Machhapuchhre Bank Ltd.-DHANGADHI</t>
  </si>
  <si>
    <t>0350024406100013</t>
  </si>
  <si>
    <t>1301100000535410</t>
  </si>
  <si>
    <t>AAWASH GHIMIRE</t>
  </si>
  <si>
    <t>TEK BAHADUR GHIMIRE</t>
  </si>
  <si>
    <t>TILAK BAHADUR GHIMIRE</t>
  </si>
  <si>
    <t xml:space="preserve">103820730212016732016  </t>
  </si>
  <si>
    <t>9843377315</t>
  </si>
  <si>
    <t>NMB Bank Ltd.-Putalisadak Branch</t>
  </si>
  <si>
    <t>0040055250500011</t>
  </si>
  <si>
    <t>1301120000451873</t>
  </si>
  <si>
    <t>Kul Bahadur Khadka</t>
  </si>
  <si>
    <t>Tek Bahadur Khadka</t>
  </si>
  <si>
    <t>Dal Bahadur Khadka</t>
  </si>
  <si>
    <t xml:space="preserve">1027256931994          </t>
  </si>
  <si>
    <t>Chuchure</t>
  </si>
  <si>
    <t>9849018683</t>
  </si>
  <si>
    <t>Laxmi Sunrise Bank Limited.-Shiwalaya Branch</t>
  </si>
  <si>
    <t>1160605199205001</t>
  </si>
  <si>
    <t>1301170000138981</t>
  </si>
  <si>
    <t>KABITA KHATIWADA</t>
  </si>
  <si>
    <t>TEK BAHADUR KHATIWADA</t>
  </si>
  <si>
    <t>BISHNU BHAKTA KHATIWADA</t>
  </si>
  <si>
    <t xml:space="preserve">105438203/53251998     </t>
  </si>
  <si>
    <t>9841803164</t>
  </si>
  <si>
    <t>0270038733800011</t>
  </si>
  <si>
    <t>1301370001624769</t>
  </si>
  <si>
    <t>Bishnu Prasad Pangeni</t>
  </si>
  <si>
    <t>Teknath Pangeni</t>
  </si>
  <si>
    <t>Tara Nath Pangeni</t>
  </si>
  <si>
    <t xml:space="preserve">1010109102000          </t>
  </si>
  <si>
    <t>Sorahawa</t>
  </si>
  <si>
    <t>9841025185</t>
  </si>
  <si>
    <t>I457035401652401</t>
  </si>
  <si>
    <t>1301110000038338</t>
  </si>
  <si>
    <t>ASIM SHRESTHA</t>
  </si>
  <si>
    <t>TENZING LAL SHRESTHA</t>
  </si>
  <si>
    <t>MOTI LAL SHRESTHA</t>
  </si>
  <si>
    <t xml:space="preserve">100348041989           </t>
  </si>
  <si>
    <t>014257101</t>
  </si>
  <si>
    <t>Standard Chartered Bank Nepal Ltd.-UN Counter Branch</t>
  </si>
  <si>
    <t>18115116901</t>
  </si>
  <si>
    <t>1301110000560567</t>
  </si>
  <si>
    <t>TSHERIN ONGMU SHERPA</t>
  </si>
  <si>
    <t>TENZING TASHI SHERPA/ LHAKPA DOMA SHERPA</t>
  </si>
  <si>
    <t>THENJULE SHERPA</t>
  </si>
  <si>
    <t xml:space="preserve">1069113002/1032007     </t>
  </si>
  <si>
    <t>KHUMJUNG</t>
  </si>
  <si>
    <t>9803591399</t>
  </si>
  <si>
    <t>Prabhu Bank Ltd.-Maharajgunj Branch</t>
  </si>
  <si>
    <t>0380196697000012</t>
  </si>
  <si>
    <t>1301370000067314</t>
  </si>
  <si>
    <t>Kuber Prasad Baidya</t>
  </si>
  <si>
    <t xml:space="preserve">10519378/21951981      </t>
  </si>
  <si>
    <t>9852680370</t>
  </si>
  <si>
    <t>0569000093524033</t>
  </si>
  <si>
    <t>1301090000262876</t>
  </si>
  <si>
    <t>PRATIMA SHARMA</t>
  </si>
  <si>
    <t>THAKUR PRASAD LAUDARI</t>
  </si>
  <si>
    <t>DHARMANANDA LAUDARI / AMIT ACHARYA</t>
  </si>
  <si>
    <t xml:space="preserve">10037021999            </t>
  </si>
  <si>
    <t>BHARATPUR</t>
  </si>
  <si>
    <t>9841500596</t>
  </si>
  <si>
    <t>00201795280017</t>
  </si>
  <si>
    <t>1301120000031935</t>
  </si>
  <si>
    <t>YEK NARAYAN SHARMA</t>
  </si>
  <si>
    <t>THAMNARAYAN SHARMA</t>
  </si>
  <si>
    <t>GANGA DEVI DHAKAL</t>
  </si>
  <si>
    <t xml:space="preserve">1019929SYANGJA1978     </t>
  </si>
  <si>
    <t>9856028128</t>
  </si>
  <si>
    <t>Global IME Bank Ltd.-Pokhara Branch</t>
  </si>
  <si>
    <t>B607010002661</t>
  </si>
  <si>
    <t>1301770000063041</t>
  </si>
  <si>
    <t>KARUN DHAKAL</t>
  </si>
  <si>
    <t>THANESHWOR DHAKAL / NARMADA DHAKAL</t>
  </si>
  <si>
    <t>EKDEV DHAKAL</t>
  </si>
  <si>
    <t xml:space="preserve">1044250342002          </t>
  </si>
  <si>
    <t>9847462002</t>
  </si>
  <si>
    <t>Himalayan Bank Ltd.-Kawasoti Branch</t>
  </si>
  <si>
    <t>03808725220012</t>
  </si>
  <si>
    <t>1301370000359234</t>
  </si>
  <si>
    <t>Narayan Gautam</t>
  </si>
  <si>
    <t>Thaneshwor Gautam</t>
  </si>
  <si>
    <t>Tularam Gautam</t>
  </si>
  <si>
    <t xml:space="preserve">1013205481994          </t>
  </si>
  <si>
    <t>Birendranagar</t>
  </si>
  <si>
    <t>9851012367</t>
  </si>
  <si>
    <t>NIC Asia Bank Ltd.-New Road - Bisal Bazaar</t>
  </si>
  <si>
    <t>3014100398524001</t>
  </si>
  <si>
    <t>1301090000654058</t>
  </si>
  <si>
    <t>LAXMAN POUDYAL</t>
  </si>
  <si>
    <t>THIR KUMAR POUDYAL</t>
  </si>
  <si>
    <t>SAPTA RISI POUDYAL</t>
  </si>
  <si>
    <t xml:space="preserve">100399942009           </t>
  </si>
  <si>
    <t>4033606</t>
  </si>
  <si>
    <t>Siddhartha Bank Ltd.-Tulsipur</t>
  </si>
  <si>
    <t>01915178103</t>
  </si>
  <si>
    <t>1301060001971499</t>
  </si>
  <si>
    <t>RITA THAPALIYA</t>
  </si>
  <si>
    <t>TIKA DATTA THAPALIYA</t>
  </si>
  <si>
    <t>SHIVA PRASAD THAPALIYA</t>
  </si>
  <si>
    <t xml:space="preserve">10561877/0602003       </t>
  </si>
  <si>
    <t>9849632857</t>
  </si>
  <si>
    <t>03705050285599</t>
  </si>
  <si>
    <t>1301370000298957</t>
  </si>
  <si>
    <t>Arjun Kumar Dahal</t>
  </si>
  <si>
    <t>Tika Dutta dahal</t>
  </si>
  <si>
    <t>Kusma khar Dahal</t>
  </si>
  <si>
    <t xml:space="preserve">106515091984           </t>
  </si>
  <si>
    <t>Khotang-01</t>
  </si>
  <si>
    <t>9842352425</t>
  </si>
  <si>
    <t>2369456732524001</t>
  </si>
  <si>
    <t>1301380000002673</t>
  </si>
  <si>
    <t>ROSY GURUNG</t>
  </si>
  <si>
    <t>TIKA RAM GURUNG</t>
  </si>
  <si>
    <t>NIMESH SHRESTHA (spouse)</t>
  </si>
  <si>
    <t xml:space="preserve">1020296531999          </t>
  </si>
  <si>
    <t>102710296</t>
  </si>
  <si>
    <t>9841624424</t>
  </si>
  <si>
    <t>Nepal Investment Mega Bank Ltd.-New Baneshwor Branch</t>
  </si>
  <si>
    <t>02805120258456</t>
  </si>
  <si>
    <t>1301120000443013</t>
  </si>
  <si>
    <t>Purna Lal Subedi/Sunita Subedi</t>
  </si>
  <si>
    <t xml:space="preserve">10601729/33021982      </t>
  </si>
  <si>
    <t>Bhelahi</t>
  </si>
  <si>
    <t>00100516200880</t>
  </si>
  <si>
    <t>1301380000154778</t>
  </si>
  <si>
    <t>PRAMESH MARASINI</t>
  </si>
  <si>
    <t>TIKARAM UPADHYAY</t>
  </si>
  <si>
    <t>BHIMLAL MARASINI</t>
  </si>
  <si>
    <t xml:space="preserve">104140-01-75-028422018 </t>
  </si>
  <si>
    <t>CHHATRADEV</t>
  </si>
  <si>
    <t>9860265139</t>
  </si>
  <si>
    <t>047011050000387</t>
  </si>
  <si>
    <t>1301090001601866</t>
  </si>
  <si>
    <t>MEGHNATH PAUDEL</t>
  </si>
  <si>
    <t>TIL PRASAD PAUDEL/CHANDRA KUMARI PAUDEL</t>
  </si>
  <si>
    <t>CHHABILAL PAUDEL/GANGA PAUDEL</t>
  </si>
  <si>
    <t xml:space="preserve">1017511049/1352009     </t>
  </si>
  <si>
    <t>PARBAT</t>
  </si>
  <si>
    <t>9847678902</t>
  </si>
  <si>
    <t>50314004097</t>
  </si>
  <si>
    <t>1301040001117188</t>
  </si>
  <si>
    <t>PEMBA GURUNG</t>
  </si>
  <si>
    <t>TIRTHA BAHADUR GURUNG/BELU GURUNG</t>
  </si>
  <si>
    <t>TANKA BAHADUR GURUNG/</t>
  </si>
  <si>
    <t xml:space="preserve">106512-01-77-017582020 </t>
  </si>
  <si>
    <t>9815399237</t>
  </si>
  <si>
    <t>01610017513990</t>
  </si>
  <si>
    <t>1301370000096451</t>
  </si>
  <si>
    <t>Biken Maharjan</t>
  </si>
  <si>
    <t>Tirtha Narayan Maharjan</t>
  </si>
  <si>
    <t>Krishna Bhai Maharjan</t>
  </si>
  <si>
    <t xml:space="preserve">100382792001           </t>
  </si>
  <si>
    <t>Chalkhu Road</t>
  </si>
  <si>
    <t>9851131762</t>
  </si>
  <si>
    <t>4369402151524001</t>
  </si>
  <si>
    <t>1301250000049013</t>
  </si>
  <si>
    <t>Ranjana Tamrakar</t>
  </si>
  <si>
    <t>Tirtha Raj Tamrakar</t>
  </si>
  <si>
    <t>Ganesh raj tamrakar/ sanu bhai tamarkar</t>
  </si>
  <si>
    <t xml:space="preserve">10052761983            </t>
  </si>
  <si>
    <t>chakrabahal</t>
  </si>
  <si>
    <t>9849053169</t>
  </si>
  <si>
    <t>014000001510L</t>
  </si>
  <si>
    <t>1301370000383219</t>
  </si>
  <si>
    <t>Radheshyam Silpakar</t>
  </si>
  <si>
    <t>Tirtharam Silpakar</t>
  </si>
  <si>
    <t>Ram Bhakta Silpakar</t>
  </si>
  <si>
    <t xml:space="preserve">1001145751997          </t>
  </si>
  <si>
    <t>Tekhacho</t>
  </si>
  <si>
    <t>9841693700</t>
  </si>
  <si>
    <t>NIC Asia Bank Ltd.-Bhaktapur Branch</t>
  </si>
  <si>
    <t>08sh016891npr001</t>
  </si>
  <si>
    <t>1301720000553110</t>
  </si>
  <si>
    <t>CHANDRAKALA TIWARI</t>
  </si>
  <si>
    <t>TOL PRASAD TIWARI</t>
  </si>
  <si>
    <t>DEU KRISHNA TIWARI</t>
  </si>
  <si>
    <t xml:space="preserve">1046372036/612272010   </t>
  </si>
  <si>
    <t>9847257990</t>
  </si>
  <si>
    <t>Agricultural Development Bank Ltd.-Pharsatikar Branch</t>
  </si>
  <si>
    <t>0424501606140011</t>
  </si>
  <si>
    <t>1301370000271130</t>
  </si>
  <si>
    <t>Dinesh Bahadur K.C.</t>
  </si>
  <si>
    <t>Top Bahadur K.C.</t>
  </si>
  <si>
    <t>Bam Bahadur K.C.</t>
  </si>
  <si>
    <t xml:space="preserve">1025221042/772008      </t>
  </si>
  <si>
    <t>Khani Gaun</t>
  </si>
  <si>
    <t>9851014487</t>
  </si>
  <si>
    <t>NIC Asia Bank Ltd.-Pepsicola Branch</t>
  </si>
  <si>
    <t>4469451269524001</t>
  </si>
  <si>
    <t>1301160000000698</t>
  </si>
  <si>
    <t>MEGHA NATH DHAKAL</t>
  </si>
  <si>
    <t>TOYA NATH DHAKAL</t>
  </si>
  <si>
    <t>KRISHNA HARI DHAKAL</t>
  </si>
  <si>
    <t xml:space="preserve">10041194682004         </t>
  </si>
  <si>
    <t>GORKHALI</t>
  </si>
  <si>
    <t>9851170885</t>
  </si>
  <si>
    <t>143001780211</t>
  </si>
  <si>
    <t>1301170000220177</t>
  </si>
  <si>
    <t>PRAHLAD CHANDRA LAMSAL</t>
  </si>
  <si>
    <t>TOYANATH LAMSAL</t>
  </si>
  <si>
    <t>BEDI MADAV LAMSAL</t>
  </si>
  <si>
    <t xml:space="preserve">1023575512002          </t>
  </si>
  <si>
    <t>9855054519</t>
  </si>
  <si>
    <t>Citizens Bank International Ltd.-Narayanghat Branch</t>
  </si>
  <si>
    <t>0100001059CM</t>
  </si>
  <si>
    <t>1301090000006221</t>
  </si>
  <si>
    <t>RANA BAHADUR KHATRI</t>
  </si>
  <si>
    <t>TUL BAHADUR KHATRI</t>
  </si>
  <si>
    <t>KHADKA BAHAUUR KHATRI</t>
  </si>
  <si>
    <t xml:space="preserve">101753241992           </t>
  </si>
  <si>
    <t>100329960</t>
  </si>
  <si>
    <t>9845031377</t>
  </si>
  <si>
    <t>Siddhartha Bank Ltd.-B&amp;B extension counter, Lalitpur</t>
  </si>
  <si>
    <t>00801989100</t>
  </si>
  <si>
    <t>1301390000008300</t>
  </si>
  <si>
    <t>GYAN BAHADUR SHRESTHA</t>
  </si>
  <si>
    <t>TUL BAHADUR SHRESTHA</t>
  </si>
  <si>
    <t xml:space="preserve">100991321989           </t>
  </si>
  <si>
    <t>9855060565</t>
  </si>
  <si>
    <t>Prabhu Bank Ltd.-Bharatpur Branch</t>
  </si>
  <si>
    <t>0460041573700018</t>
  </si>
  <si>
    <t>1301730000032439</t>
  </si>
  <si>
    <t>MANISHA THAPA</t>
  </si>
  <si>
    <t>TUL BAHADUR THAPA MAGAR</t>
  </si>
  <si>
    <t>LILA BAHADUR THAPA</t>
  </si>
  <si>
    <t>1029201054/2945/2292009</t>
  </si>
  <si>
    <t>KAMALAMAI</t>
  </si>
  <si>
    <t>9844084990</t>
  </si>
  <si>
    <t>Mega Bank Nepal Ltd-Sindhuli Branch</t>
  </si>
  <si>
    <t>0840050075792</t>
  </si>
  <si>
    <t>1301060001239285</t>
  </si>
  <si>
    <t>ISHWAR DATT JOSHI</t>
  </si>
  <si>
    <t>TULA DATT JOSHI</t>
  </si>
  <si>
    <t>PHUNCHE JOSHI</t>
  </si>
  <si>
    <t xml:space="preserve">10491724/3701988       </t>
  </si>
  <si>
    <t>SARMAULI-</t>
  </si>
  <si>
    <t>9848567109</t>
  </si>
  <si>
    <t>04905050265089</t>
  </si>
  <si>
    <t>1301650000646871</t>
  </si>
  <si>
    <t>SANGITA SHRESTHA</t>
  </si>
  <si>
    <t>TULASI BHAKTA SHRESTHA</t>
  </si>
  <si>
    <t>MAN BAHADUR SHRESTHA / SANJAY KUMAR SHRESTHA</t>
  </si>
  <si>
    <t xml:space="preserve">100846287/1195782003   </t>
  </si>
  <si>
    <t>BHUMISHTHALI</t>
  </si>
  <si>
    <t>9843343260</t>
  </si>
  <si>
    <t>1700100000111004</t>
  </si>
  <si>
    <t>1301370000047796</t>
  </si>
  <si>
    <t>Tulasi Ram Upadhyay</t>
  </si>
  <si>
    <t>Reshmi Raj Upadhyay</t>
  </si>
  <si>
    <t xml:space="preserve">106051/41841994        </t>
  </si>
  <si>
    <t>Haikuli</t>
  </si>
  <si>
    <t>9851131491</t>
  </si>
  <si>
    <t>3369314472524002</t>
  </si>
  <si>
    <t>1301580000239033</t>
  </si>
  <si>
    <t>ARJUN SHRESTHA</t>
  </si>
  <si>
    <t>TULSI NARAYAN SHRESTHA/PARI SHRESTHA</t>
  </si>
  <si>
    <t>MOTILAL SHRESTHA/SIMA SHRESTHA</t>
  </si>
  <si>
    <t xml:space="preserve">100412941979           </t>
  </si>
  <si>
    <t>04</t>
  </si>
  <si>
    <t>9841262705</t>
  </si>
  <si>
    <t>001000030920F</t>
  </si>
  <si>
    <t>1301120000029060</t>
  </si>
  <si>
    <t>Binod Prasad Baral</t>
  </si>
  <si>
    <t>Tulsi Prasad Baral</t>
  </si>
  <si>
    <t>Purna Bahadur Baral</t>
  </si>
  <si>
    <t xml:space="preserve">1019786321999          </t>
  </si>
  <si>
    <t>pokhara</t>
  </si>
  <si>
    <t>5907010001537</t>
  </si>
  <si>
    <t>1301370000304923</t>
  </si>
  <si>
    <t>Anil Prasad Banskota</t>
  </si>
  <si>
    <t>Uddhab Prasad Banskota</t>
  </si>
  <si>
    <t>Purna Prasad Banskota</t>
  </si>
  <si>
    <t xml:space="preserve">100311021997           </t>
  </si>
  <si>
    <t>9860907498</t>
  </si>
  <si>
    <t>2163326564524001</t>
  </si>
  <si>
    <t>1301120000110884</t>
  </si>
  <si>
    <t>SABIN PHUYAL</t>
  </si>
  <si>
    <t>PRATIMA CHAPAGAIN</t>
  </si>
  <si>
    <t xml:space="preserve">100318821992           </t>
  </si>
  <si>
    <t>4153757</t>
  </si>
  <si>
    <t>7512010000055</t>
  </si>
  <si>
    <t>1301080000269401</t>
  </si>
  <si>
    <t>SITA BHATTARAI</t>
  </si>
  <si>
    <t>UDEY RAJ BHATTARAI</t>
  </si>
  <si>
    <t>JAGDISH DEVKOTA</t>
  </si>
  <si>
    <t xml:space="preserve">101012951988           </t>
  </si>
  <si>
    <t>BARDIYA</t>
  </si>
  <si>
    <t>05700501201724</t>
  </si>
  <si>
    <t>1301650000476706</t>
  </si>
  <si>
    <t>SHARADA GYAWALI</t>
  </si>
  <si>
    <t>UMANATH ARYAL</t>
  </si>
  <si>
    <t>KHADANANDA ARYAL/DEVRAJ GYAWALI</t>
  </si>
  <si>
    <t xml:space="preserve">1042143611992          </t>
  </si>
  <si>
    <t>9844713468</t>
  </si>
  <si>
    <t>1730100014365010</t>
  </si>
  <si>
    <t>1301100000007494</t>
  </si>
  <si>
    <t>REVATI PRASAD NEPAL</t>
  </si>
  <si>
    <t>UMANATH NEPAL</t>
  </si>
  <si>
    <t>ANITA NEPAL ATREYA/PHARSURAM NEPAL</t>
  </si>
  <si>
    <t xml:space="preserve">1045206471986          </t>
  </si>
  <si>
    <t>9841377639</t>
  </si>
  <si>
    <t>0010017282800017</t>
  </si>
  <si>
    <t>1301380000044279</t>
  </si>
  <si>
    <t>MURALI DHAR TIWARI</t>
  </si>
  <si>
    <t>UMANATH TIWARI</t>
  </si>
  <si>
    <t>SHAKUNTALA KUMARI PANGENI</t>
  </si>
  <si>
    <t xml:space="preserve">100327/1058/1029372012 </t>
  </si>
  <si>
    <t>9741186117</t>
  </si>
  <si>
    <t>01205210250337</t>
  </si>
  <si>
    <t>1301440000015085</t>
  </si>
  <si>
    <t>Maheswor Sharma</t>
  </si>
  <si>
    <t>Umapati Sharma</t>
  </si>
  <si>
    <t>Bramhapati Sharma</t>
  </si>
  <si>
    <t xml:space="preserve">102212961980           </t>
  </si>
  <si>
    <t xml:space="preserve">300931857                </t>
  </si>
  <si>
    <t>Phedikhola 05</t>
  </si>
  <si>
    <t>9851140679</t>
  </si>
  <si>
    <t>00100516208687</t>
  </si>
  <si>
    <t>1301510000335631</t>
  </si>
  <si>
    <t>MANISHA UPRETY</t>
  </si>
  <si>
    <t>UMESH KUMAR UPRETY</t>
  </si>
  <si>
    <t>PURNA BAHADUR BASNET</t>
  </si>
  <si>
    <t xml:space="preserve">1052043031/22532007    </t>
  </si>
  <si>
    <t>Nepal Bangladesh Bank Ltd.- Birtamode Branch</t>
  </si>
  <si>
    <t>023004452I</t>
  </si>
  <si>
    <t>1301060000268866</t>
  </si>
  <si>
    <t>SHREYA AMATYA</t>
  </si>
  <si>
    <t>UMESH MAN AMATYA</t>
  </si>
  <si>
    <t>AMRIT MAN AMATYA</t>
  </si>
  <si>
    <t xml:space="preserve">100327-01-79-020202022 </t>
  </si>
  <si>
    <t>014492756</t>
  </si>
  <si>
    <t>01905150040576</t>
  </si>
  <si>
    <t>1301390000101154</t>
  </si>
  <si>
    <t>BIRENDRA KUMAR MAHTO</t>
  </si>
  <si>
    <t>UPENDRA MAHTO</t>
  </si>
  <si>
    <t>CHITAMANI MAHTO</t>
  </si>
  <si>
    <t xml:space="preserve">10681510082007         </t>
  </si>
  <si>
    <t>LAHAN 19</t>
  </si>
  <si>
    <t>9847850732</t>
  </si>
  <si>
    <t>Prabhu Bank Ltd.-Pokhara Branch</t>
  </si>
  <si>
    <t>0560005781900012</t>
  </si>
  <si>
    <t>1301370002636915</t>
  </si>
  <si>
    <t>REKHA DEVI GUPTA</t>
  </si>
  <si>
    <t>UPENDRA PRASAD GUPTA</t>
  </si>
  <si>
    <t>CHATURI PRASAD GUPTA</t>
  </si>
  <si>
    <t xml:space="preserve">106716372006           </t>
  </si>
  <si>
    <t>9827443187</t>
  </si>
  <si>
    <t>NIC Asia Bank Ltd.-Rajbiraj Branch</t>
  </si>
  <si>
    <t>2385751059996001</t>
  </si>
  <si>
    <t>1301440000090480</t>
  </si>
  <si>
    <t>Raj Kumar Thapa</t>
  </si>
  <si>
    <t>Uttam Bahadur Thapa</t>
  </si>
  <si>
    <t>Ram Bahadur Thapa</t>
  </si>
  <si>
    <t xml:space="preserve">1005441082006          </t>
  </si>
  <si>
    <t>Bungmati 22</t>
  </si>
  <si>
    <t>9803050210</t>
  </si>
  <si>
    <t>Prabhu Bank Ltd.-Dhangadi Branch</t>
  </si>
  <si>
    <t>03001001131426000001</t>
  </si>
  <si>
    <t>1301060001943828</t>
  </si>
  <si>
    <t>ROJINA RAUT</t>
  </si>
  <si>
    <t>UTTAM BANIYA</t>
  </si>
  <si>
    <t>DHRUBA BAHADUR BANIYA</t>
  </si>
  <si>
    <t xml:space="preserve">102912032000           </t>
  </si>
  <si>
    <t>9841207086</t>
  </si>
  <si>
    <t>03605030264976</t>
  </si>
  <si>
    <t>1301100000291150</t>
  </si>
  <si>
    <t>SUSMINA GHIMIRE</t>
  </si>
  <si>
    <t>UTTAM GHIMIRE</t>
  </si>
  <si>
    <t>GANGA PRASHAD GHIMIRE</t>
  </si>
  <si>
    <t xml:space="preserve">1005176122003          </t>
  </si>
  <si>
    <t>9841596299</t>
  </si>
  <si>
    <t>NMB Bank Ltd.-Chabahil Branch</t>
  </si>
  <si>
    <t>0170043300600015</t>
  </si>
  <si>
    <t>1301120000402747</t>
  </si>
  <si>
    <t>UTKRISTA KARMACHARYA</t>
  </si>
  <si>
    <t>UTTAM LAL KARMACHARYA</t>
  </si>
  <si>
    <t>BABU LAL KARMACHARYA</t>
  </si>
  <si>
    <t xml:space="preserve">1005945871998          </t>
  </si>
  <si>
    <t>015524255</t>
  </si>
  <si>
    <t>00705080317122</t>
  </si>
  <si>
    <t>1301090002548352</t>
  </si>
  <si>
    <t>UCHCHATA NIRAULA</t>
  </si>
  <si>
    <t>UTTAM NIRAULA</t>
  </si>
  <si>
    <t>GAURI PRASAD NIRAULA</t>
  </si>
  <si>
    <t xml:space="preserve">103906-01-74-068422017 </t>
  </si>
  <si>
    <t>9815343795</t>
  </si>
  <si>
    <t>00315171698</t>
  </si>
  <si>
    <t>1301650000062495</t>
  </si>
  <si>
    <t>BHARAT KUMAR SHRESTHA</t>
  </si>
  <si>
    <t>YAGYA BHAKTA/JUNA MAYA SHRESTHA</t>
  </si>
  <si>
    <t>BINA DEVI/CHHETRA BHAKTA SHRESTHA</t>
  </si>
  <si>
    <t xml:space="preserve">10185-2031988          </t>
  </si>
  <si>
    <t>9846056465</t>
  </si>
  <si>
    <t>Rastriya Banijya Bank Ltd.-Aarughat Branch</t>
  </si>
  <si>
    <t>3210100000263010</t>
  </si>
  <si>
    <t>1301080000749396</t>
  </si>
  <si>
    <t>AADITYA BHATTA</t>
  </si>
  <si>
    <t>YAGYA RAJ BHATTA</t>
  </si>
  <si>
    <t>RAM CHANDRA BHATTA</t>
  </si>
  <si>
    <t xml:space="preserve">107520690313031862021  </t>
  </si>
  <si>
    <t>9868444141</t>
  </si>
  <si>
    <t>01100519200108</t>
  </si>
  <si>
    <t>1301080000779942</t>
  </si>
  <si>
    <t>MANISH BHATTA</t>
  </si>
  <si>
    <t xml:space="preserve">107520670323013992021  </t>
  </si>
  <si>
    <t>01100519200111</t>
  </si>
  <si>
    <t>1301060000019305</t>
  </si>
  <si>
    <t>YUKTA BAHADUR SUBEDI</t>
  </si>
  <si>
    <t>YAM BAHADUR SUBEDI</t>
  </si>
  <si>
    <t>TIKA BALLAV SUBEDI</t>
  </si>
  <si>
    <t xml:space="preserve">10173841987            </t>
  </si>
  <si>
    <t>061537901</t>
  </si>
  <si>
    <t>01105260250016</t>
  </si>
  <si>
    <t>1301580000410011</t>
  </si>
  <si>
    <t>SAGAR PANTHI</t>
  </si>
  <si>
    <t>YAM LAL PANTHI/GITA PANTHI</t>
  </si>
  <si>
    <t>LILADHAR PANTHI</t>
  </si>
  <si>
    <t xml:space="preserve">1041403008/11672013    </t>
  </si>
  <si>
    <t>..</t>
  </si>
  <si>
    <t>047011060000516</t>
  </si>
  <si>
    <t>1301120000161834</t>
  </si>
  <si>
    <t>Yamuna Devi Manandhar</t>
  </si>
  <si>
    <t>Yam Narayan Manandhar</t>
  </si>
  <si>
    <t>Buddhiman Manandhar</t>
  </si>
  <si>
    <t xml:space="preserve">10031291984            </t>
  </si>
  <si>
    <t>Nardevi</t>
  </si>
  <si>
    <t xml:space="preserve">9849513022       </t>
  </si>
  <si>
    <t>Goodwill Finance Ltd.-Head Office (Hattisar)</t>
  </si>
  <si>
    <t>20591</t>
  </si>
  <si>
    <t>1301120000161849</t>
  </si>
  <si>
    <t>Pancha Laxmi Manandhar</t>
  </si>
  <si>
    <t xml:space="preserve">10031301984            </t>
  </si>
  <si>
    <t>100356854</t>
  </si>
  <si>
    <t>9919</t>
  </si>
  <si>
    <t>ICFC Finance Ltd.- Corporate Head Office Branch</t>
  </si>
  <si>
    <t>01108300003638000018</t>
  </si>
  <si>
    <t>1301120000331218</t>
  </si>
  <si>
    <t>Ganesh Bahadur Jogi</t>
  </si>
  <si>
    <t>Yama Bahadur Jogi</t>
  </si>
  <si>
    <t>Chhatra Bahadur Jogi/ Durga Kumari Jogi</t>
  </si>
  <si>
    <t xml:space="preserve">1027479382000          </t>
  </si>
  <si>
    <t>Himganga</t>
  </si>
  <si>
    <t>9845656131</t>
  </si>
  <si>
    <t>01915077535</t>
  </si>
  <si>
    <t>1301370000022887</t>
  </si>
  <si>
    <t>Sangitanjali Koirala</t>
  </si>
  <si>
    <t>Yama Prasad Koirala</t>
  </si>
  <si>
    <t>Dandapani Koirala</t>
  </si>
  <si>
    <t xml:space="preserve">101890001986           </t>
  </si>
  <si>
    <t>Gandaki</t>
  </si>
  <si>
    <t>9841267267</t>
  </si>
  <si>
    <t>2169390935524001</t>
  </si>
  <si>
    <t>1301090001847016</t>
  </si>
  <si>
    <t>ZAINAB KHAN</t>
  </si>
  <si>
    <t>YASIN KHAN</t>
  </si>
  <si>
    <t xml:space="preserve">1043`382070/1222007    </t>
  </si>
  <si>
    <t>02715037911</t>
  </si>
  <si>
    <t>1301060001868191</t>
  </si>
  <si>
    <t>TEK RAJ BHANDARI</t>
  </si>
  <si>
    <t>YETU LAL BHANDARI</t>
  </si>
  <si>
    <t>JANARDAN BHANDARI</t>
  </si>
  <si>
    <t xml:space="preserve">104217551989           </t>
  </si>
  <si>
    <t>9844767764</t>
  </si>
  <si>
    <t>00100600005419000001</t>
  </si>
  <si>
    <t>1301070000170191</t>
  </si>
  <si>
    <t>Shanti Wagle</t>
  </si>
  <si>
    <t>Yubaraj Wagle</t>
  </si>
  <si>
    <t>Padam Pani Upadhaya wagle</t>
  </si>
  <si>
    <t xml:space="preserve">1023431034/995432007   </t>
  </si>
  <si>
    <t>Chhang</t>
  </si>
  <si>
    <t>9843099970</t>
  </si>
  <si>
    <t>Rastriya Banijya Bank Ltd.-Kirtipur Branch</t>
  </si>
  <si>
    <t>1170100021826010</t>
  </si>
  <si>
    <t>1301060001052205</t>
  </si>
  <si>
    <t>YUBLAL SHRESTHA</t>
  </si>
  <si>
    <t>BISHNU LAL SHRESTHA</t>
  </si>
  <si>
    <t xml:space="preserve">100349682003           </t>
  </si>
  <si>
    <t>02405080284356</t>
  </si>
  <si>
    <t>1301040000001500</t>
  </si>
  <si>
    <t>SURYAJYOTI LIFE INSURANCE CO. LTD</t>
  </si>
  <si>
    <t>302837144</t>
  </si>
  <si>
    <t>GAIREDHARA</t>
  </si>
  <si>
    <t>014419565</t>
  </si>
  <si>
    <t>NIC Asia Bank Ltd.-Kamaladi Branch</t>
  </si>
  <si>
    <t>3241167409524017</t>
  </si>
  <si>
    <t>1301040000004311</t>
  </si>
  <si>
    <t>LIFE INSURANCE CORPORATION (NEPAL) LIMITED</t>
  </si>
  <si>
    <t>500213148</t>
  </si>
  <si>
    <t>9851365590</t>
  </si>
  <si>
    <t>Citizens Bank International Ltd.-Corporate Office</t>
  </si>
  <si>
    <t>0010100000001304</t>
  </si>
  <si>
    <t>1301040001262895</t>
  </si>
  <si>
    <t>NEPAL STOCK EXCHANGE LIMITED</t>
  </si>
  <si>
    <t>500058242</t>
  </si>
  <si>
    <t>SINGHDARBAR PLAZA</t>
  </si>
  <si>
    <t>9851043471</t>
  </si>
  <si>
    <t>07501010000775</t>
  </si>
  <si>
    <t>1301060000296617</t>
  </si>
  <si>
    <t>NEPAL RE INSURANCE COMPANY LIMITED</t>
  </si>
  <si>
    <t>602432159</t>
  </si>
  <si>
    <t>014475998</t>
  </si>
  <si>
    <t>1430100002535001</t>
  </si>
  <si>
    <t>1301060001077741</t>
  </si>
  <si>
    <t>CITIZEN LIFE INSURANCE CO.LTD</t>
  </si>
  <si>
    <t>302744730</t>
  </si>
  <si>
    <t>01-4101744</t>
  </si>
  <si>
    <t>00101010326506</t>
  </si>
  <si>
    <t>1301060001536411</t>
  </si>
  <si>
    <t>CDS AND CLEARING LTD</t>
  </si>
  <si>
    <t>304491669</t>
  </si>
  <si>
    <t>4238008</t>
  </si>
  <si>
    <t>7501010001121</t>
  </si>
  <si>
    <t>1301060002237853</t>
  </si>
  <si>
    <t>NIBL SAMRIDDHI FUND-II</t>
  </si>
  <si>
    <t>305003418</t>
  </si>
  <si>
    <t>014425780</t>
  </si>
  <si>
    <t>1301070000001468</t>
  </si>
  <si>
    <t>NLG Insurance Co. Ltd</t>
  </si>
  <si>
    <t>302248245</t>
  </si>
  <si>
    <t>Lazimpat</t>
  </si>
  <si>
    <t>01-4442646</t>
  </si>
  <si>
    <t>Laxmi Sunrise Bank Limited.-Hattisar Branch</t>
  </si>
  <si>
    <t>00511153002</t>
  </si>
  <si>
    <t>1301070000296293</t>
  </si>
  <si>
    <t>HIMALAYAN LIFE INSURANCE LIMITED</t>
  </si>
  <si>
    <t>302889804</t>
  </si>
  <si>
    <t>Ka.ma.na.pa</t>
  </si>
  <si>
    <t>55502606885</t>
  </si>
  <si>
    <t>1301070001128309</t>
  </si>
  <si>
    <t>CIT Retirement Scheme</t>
  </si>
  <si>
    <t>300981807</t>
  </si>
  <si>
    <t>New Baneshwor</t>
  </si>
  <si>
    <t>1301090000027233</t>
  </si>
  <si>
    <t>NEPAL LIFE INSURANCE COMPANY LTD</t>
  </si>
  <si>
    <t>500063433</t>
  </si>
  <si>
    <t>4169082</t>
  </si>
  <si>
    <t>00115287064</t>
  </si>
  <si>
    <t>1301090000139161</t>
  </si>
  <si>
    <t>NECO INSURANCE LIMITED</t>
  </si>
  <si>
    <t>500051106</t>
  </si>
  <si>
    <t>ANAMNAGAR</t>
  </si>
  <si>
    <t>Global IME Bank Ltd.-Anamnagar Branch</t>
  </si>
  <si>
    <t>03901010008839</t>
  </si>
  <si>
    <t>1301090000262823</t>
  </si>
  <si>
    <t>NEPAL INSURANCE COMPANY LTD</t>
  </si>
  <si>
    <t>500056921</t>
  </si>
  <si>
    <t>KAMALADI</t>
  </si>
  <si>
    <t>4221353</t>
  </si>
  <si>
    <t>0010000309800003</t>
  </si>
  <si>
    <t>1301090000748689</t>
  </si>
  <si>
    <t>SIDDHARTHA EQUITY FUND</t>
  </si>
  <si>
    <t>600380326</t>
  </si>
  <si>
    <t>NAXAL</t>
  </si>
  <si>
    <t xml:space="preserve">015970747        </t>
  </si>
  <si>
    <t>00115279415</t>
  </si>
  <si>
    <t>1301100001043509</t>
  </si>
  <si>
    <t>NEPAL DOORSANCHAR COMPANY LIMITED</t>
  </si>
  <si>
    <t>300044614</t>
  </si>
  <si>
    <t>4243444</t>
  </si>
  <si>
    <t>0010001373900321</t>
  </si>
  <si>
    <t>1301100001322301</t>
  </si>
  <si>
    <t>NMB 50</t>
  </si>
  <si>
    <t>304425567</t>
  </si>
  <si>
    <t>01-4437963</t>
  </si>
  <si>
    <t>1301100002110853</t>
  </si>
  <si>
    <t>NMB SARAL BACHAT FUND-E</t>
  </si>
  <si>
    <t>301384422</t>
  </si>
  <si>
    <t>9900005401000851</t>
  </si>
  <si>
    <t>1301100003194518</t>
  </si>
  <si>
    <t>NMB HYBRID FUND L-II</t>
  </si>
  <si>
    <t>201618239</t>
  </si>
  <si>
    <t xml:space="preserve">Kathmandu                </t>
  </si>
  <si>
    <t xml:space="preserve">01-4537960       </t>
  </si>
  <si>
    <t>1301120000275447</t>
  </si>
  <si>
    <t>Sagarmatha  Lumbini Insurance Company Limited</t>
  </si>
  <si>
    <t>500054420</t>
  </si>
  <si>
    <t>Naxal</t>
  </si>
  <si>
    <t>4412367</t>
  </si>
  <si>
    <t>Global IME Bank Ltd.-Gyaneshwor Branch</t>
  </si>
  <si>
    <t>0401010000075</t>
  </si>
  <si>
    <t>1301150000107401</t>
  </si>
  <si>
    <t>SANIMA RELIANCE LIFE INSURANCE</t>
  </si>
  <si>
    <t xml:space="preserve">302967670                </t>
  </si>
  <si>
    <t xml:space="preserve">KATHMANDU 10             </t>
  </si>
  <si>
    <t xml:space="preserve">014787224        </t>
  </si>
  <si>
    <t>02500800200018000001</t>
  </si>
  <si>
    <t>1301230000001699</t>
  </si>
  <si>
    <t>Agrawal Securities Pvt. Ltd.</t>
  </si>
  <si>
    <t>500051540</t>
  </si>
  <si>
    <t>01-4424406</t>
  </si>
  <si>
    <t>7501010000743</t>
  </si>
  <si>
    <t>1301290000115671</t>
  </si>
  <si>
    <t>SURYA JYOTI LIFE INSURANCE CO.LTD</t>
  </si>
  <si>
    <t>GYANESHWOR</t>
  </si>
  <si>
    <t>550201</t>
  </si>
  <si>
    <t>3241496641524001</t>
  </si>
  <si>
    <t>1301370001138089</t>
  </si>
  <si>
    <t>Army Welfare</t>
  </si>
  <si>
    <t>9851070277</t>
  </si>
  <si>
    <t>01CA000093NPR008</t>
  </si>
  <si>
    <t>1301370002421873</t>
  </si>
  <si>
    <t>Nic Asia Dynamic Debt Fund</t>
  </si>
  <si>
    <t>604259648</t>
  </si>
  <si>
    <t>9851121964</t>
  </si>
  <si>
    <t>1301370007475861</t>
  </si>
  <si>
    <t>NIC ASIA BALANCED FUND</t>
  </si>
  <si>
    <t>201386444</t>
  </si>
  <si>
    <t>9851314531</t>
  </si>
  <si>
    <t>1301370007475889</t>
  </si>
  <si>
    <t>NIC ASIA DYNAMIC DEBT FUND</t>
  </si>
  <si>
    <t>201386473</t>
  </si>
  <si>
    <t>1301440000068163</t>
  </si>
  <si>
    <t>I.M.E. Life Insurance Company Limited</t>
  </si>
  <si>
    <t>303053398</t>
  </si>
  <si>
    <t>Kathmandu 03</t>
  </si>
  <si>
    <t>01-4024071,</t>
  </si>
  <si>
    <t>Prabhu Bank Ltd.-Lainchour Branch</t>
  </si>
  <si>
    <t>0860092658400022</t>
  </si>
  <si>
    <t>1301480000023597</t>
  </si>
  <si>
    <t>HIMALAYAN EVEREST INSURANCE LIMITED</t>
  </si>
  <si>
    <t>500056246</t>
  </si>
  <si>
    <t xml:space="preserve">015245090        </t>
  </si>
  <si>
    <t>Global IME Bank Ltd.-NAXAL BRANCH</t>
  </si>
  <si>
    <t>34401010000085</t>
  </si>
  <si>
    <t>1301580000397494</t>
  </si>
  <si>
    <t>NEPAL CLEARING HOUSE LTD.</t>
  </si>
  <si>
    <t>303690061</t>
  </si>
  <si>
    <t>4232386</t>
  </si>
  <si>
    <t>001010010001051</t>
  </si>
  <si>
    <t>1301580000697989</t>
  </si>
  <si>
    <t>SOCIAL SECURITY FUND</t>
  </si>
  <si>
    <t>201310445</t>
  </si>
  <si>
    <t>4255463</t>
  </si>
  <si>
    <t>1301580000797747</t>
  </si>
  <si>
    <t>SANIMA LARGE CAP FUND</t>
  </si>
  <si>
    <t>201388170</t>
  </si>
  <si>
    <t>014229124</t>
  </si>
  <si>
    <t>1301580001594068</t>
  </si>
  <si>
    <t>KARMACHARI SANCHAYA KOSH</t>
  </si>
  <si>
    <t>201252800</t>
  </si>
  <si>
    <t>03</t>
  </si>
  <si>
    <t>015447358</t>
  </si>
  <si>
    <t>1301960000049753</t>
  </si>
  <si>
    <t>NLG INSURANCE</t>
  </si>
  <si>
    <t xml:space="preserve">302248245                </t>
  </si>
  <si>
    <t xml:space="preserve">Lazimpat                 </t>
  </si>
  <si>
    <t xml:space="preserve">9851128661       </t>
  </si>
  <si>
    <t>1302010000081864</t>
  </si>
  <si>
    <t>GROWTH EQUITY PARTNERS</t>
  </si>
  <si>
    <t xml:space="preserve">623573516                </t>
  </si>
  <si>
    <t xml:space="preserve">KOTESHWOR                </t>
  </si>
  <si>
    <t xml:space="preserve">9851124687       </t>
  </si>
  <si>
    <t>7516</t>
  </si>
  <si>
    <t>Best Finance Company Limited.-Main Branch</t>
  </si>
  <si>
    <t>00300100088118000001</t>
  </si>
  <si>
    <t>1302200000003453</t>
  </si>
  <si>
    <t>CITIZEN LIFE INSURANCE COMPANY LIMITED</t>
  </si>
  <si>
    <t xml:space="preserve">015970217        </t>
  </si>
  <si>
    <t>0400100000219201</t>
  </si>
  <si>
    <t>From  1st Magh 082 to Asar End 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</si>
</sst>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2" fillId="0" borderId="0" xfId="0" applyFont="1"/>
    <xf numFmtId="164" fontId="2" fillId="3" borderId="0" xfId="1" applyNumberFormat="1" applyFont="1" applyFill="1" applyBorder="1" applyAlignment="1">
      <alignment horizontal="center" vertical="center" wrapText="1"/>
    </xf>
    <xf numFmtId="0" fontId="4" fillId="0" borderId="0" xfId="0" applyFont="1"/>
    <xf numFmtId="4" fontId="0" fillId="0" borderId="1" xfId="1" applyNumberFormat="1" applyFont="1" applyBorder="1" applyAlignment="1"/>
    <xf numFmtId="49" fontId="0" fillId="0" borderId="1" xfId="0" applyNumberFormat="1" applyBorder="1"/>
    <xf numFmtId="0" fontId="0" fillId="0" borderId="1" xfId="0" applyBorder="1"/>
    <xf numFmtId="43" fontId="6" fillId="0" borderId="1" xfId="1" applyFont="1" applyBorder="1"/>
    <xf numFmtId="164" fontId="2" fillId="3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43" fontId="0" fillId="0" borderId="1" xfId="1" applyFont="1" applyBorder="1"/>
    <xf numFmtId="43" fontId="6" fillId="0" borderId="1" xfId="0" applyNumberFormat="1" applyFont="1" applyBorder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/>
    <xf numFmtId="0" fontId="2" fillId="2" borderId="1" xfId="0" applyFont="1" applyFill="1" applyBorder="1"/>
    <xf numFmtId="4" fontId="4" fillId="0" borderId="1" xfId="0" applyNumberFormat="1" applyFont="1" applyBorder="1"/>
    <xf numFmtId="49" fontId="0" fillId="2" borderId="0" xfId="0" applyNumberFormat="1" applyFill="1"/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8RT02UX.13012025.12" connectionId="1" xr16:uid="{ECF625A0-CE78-4AFB-881C-7E208C85B40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8RT02UX.13012025.12" connectionId="2" xr16:uid="{FE7B06B4-39F4-4384-B631-6CD4B2DE80E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2"/>
  <sheetViews>
    <sheetView workbookViewId="0">
      <pane ySplit="1" topLeftCell="A2" activePane="bottomLeft" state="frozen"/>
      <selection pane="bottomLeft" sqref="A1:N868"/>
    </sheetView>
  </sheetViews>
  <sheetFormatPr defaultRowHeight="15" x14ac:dyDescent="0.25"/>
  <cols>
    <col min="1" max="1" width="6.7109375" customWidth="1"/>
    <col min="2" max="2" width="29.140625" customWidth="1"/>
    <col min="3" max="3" width="44" customWidth="1"/>
    <col min="4" max="4" width="60.85546875" bestFit="1" customWidth="1"/>
    <col min="5" max="5" width="59.140625" bestFit="1" customWidth="1"/>
    <col min="6" max="6" width="24.42578125" bestFit="1" customWidth="1"/>
    <col min="7" max="7" width="11.85546875" customWidth="1"/>
    <col min="8" max="8" width="27.5703125" bestFit="1" customWidth="1"/>
    <col min="9" max="9" width="21.85546875" bestFit="1" customWidth="1"/>
    <col min="10" max="10" width="15.140625" bestFit="1" customWidth="1"/>
    <col min="11" max="11" width="11.28515625" bestFit="1" customWidth="1"/>
    <col min="12" max="12" width="48.7109375" customWidth="1"/>
    <col min="13" max="13" width="21.42578125" bestFit="1" customWidth="1"/>
  </cols>
  <sheetData>
    <row r="1" spans="1:14" ht="15.75" x14ac:dyDescent="0.25">
      <c r="A1" s="19" t="s">
        <v>946</v>
      </c>
      <c r="B1" s="4" t="s">
        <v>15</v>
      </c>
      <c r="C1" s="4" t="s">
        <v>16</v>
      </c>
      <c r="D1" s="4" t="s">
        <v>947</v>
      </c>
      <c r="E1" s="4" t="s">
        <v>948</v>
      </c>
      <c r="F1" s="4" t="s">
        <v>949</v>
      </c>
      <c r="G1" s="4" t="s">
        <v>950</v>
      </c>
      <c r="H1" s="4" t="s">
        <v>17</v>
      </c>
      <c r="I1" s="4" t="s">
        <v>18</v>
      </c>
      <c r="J1" s="4" t="s">
        <v>951</v>
      </c>
      <c r="K1" s="4" t="s">
        <v>906</v>
      </c>
      <c r="L1" s="4" t="s">
        <v>20</v>
      </c>
      <c r="M1" s="4" t="s">
        <v>952</v>
      </c>
      <c r="N1" s="4" t="s">
        <v>22</v>
      </c>
    </row>
    <row r="2" spans="1:14" x14ac:dyDescent="0.25">
      <c r="A2" s="20" t="s">
        <v>23</v>
      </c>
      <c r="B2" s="1" t="s">
        <v>953</v>
      </c>
      <c r="C2" s="1" t="s">
        <v>954</v>
      </c>
      <c r="D2" s="1" t="s">
        <v>955</v>
      </c>
      <c r="E2" s="1" t="s">
        <v>956</v>
      </c>
      <c r="F2" s="1" t="s">
        <v>957</v>
      </c>
      <c r="G2" s="1" t="s">
        <v>958</v>
      </c>
      <c r="H2" s="1" t="s">
        <v>959</v>
      </c>
      <c r="I2" s="1" t="s">
        <v>960</v>
      </c>
      <c r="J2" s="1" t="s">
        <v>961</v>
      </c>
      <c r="K2" s="1" t="s">
        <v>915</v>
      </c>
      <c r="L2" s="1" t="s">
        <v>926</v>
      </c>
      <c r="M2" s="1" t="s">
        <v>962</v>
      </c>
      <c r="N2" s="1">
        <v>25</v>
      </c>
    </row>
    <row r="3" spans="1:14" x14ac:dyDescent="0.25">
      <c r="A3" s="20" t="s">
        <v>24</v>
      </c>
      <c r="B3" s="1" t="s">
        <v>963</v>
      </c>
      <c r="C3" s="1" t="s">
        <v>964</v>
      </c>
      <c r="D3" s="1" t="s">
        <v>965</v>
      </c>
      <c r="E3" s="1" t="s">
        <v>966</v>
      </c>
      <c r="F3" s="1" t="s">
        <v>967</v>
      </c>
      <c r="G3" s="1" t="s">
        <v>958</v>
      </c>
      <c r="H3" s="1" t="s">
        <v>968</v>
      </c>
      <c r="I3" s="1" t="s">
        <v>969</v>
      </c>
      <c r="J3" s="1" t="s">
        <v>970</v>
      </c>
      <c r="K3" s="1" t="s">
        <v>971</v>
      </c>
      <c r="L3" s="1" t="s">
        <v>972</v>
      </c>
      <c r="M3" s="1" t="s">
        <v>973</v>
      </c>
      <c r="N3" s="1">
        <v>25</v>
      </c>
    </row>
    <row r="4" spans="1:14" x14ac:dyDescent="0.25">
      <c r="A4" s="20" t="s">
        <v>25</v>
      </c>
      <c r="B4" s="1" t="s">
        <v>974</v>
      </c>
      <c r="C4" s="1" t="s">
        <v>975</v>
      </c>
      <c r="D4" s="1" t="s">
        <v>976</v>
      </c>
      <c r="E4" s="1" t="s">
        <v>977</v>
      </c>
      <c r="F4" s="1" t="s">
        <v>978</v>
      </c>
      <c r="G4" s="1" t="s">
        <v>958</v>
      </c>
      <c r="H4" s="1" t="s">
        <v>979</v>
      </c>
      <c r="I4" s="1" t="s">
        <v>979</v>
      </c>
      <c r="J4" s="1" t="s">
        <v>980</v>
      </c>
      <c r="K4" s="1" t="s">
        <v>910</v>
      </c>
      <c r="L4" s="1" t="s">
        <v>981</v>
      </c>
      <c r="M4" s="1" t="s">
        <v>982</v>
      </c>
      <c r="N4" s="1">
        <v>25</v>
      </c>
    </row>
    <row r="5" spans="1:14" x14ac:dyDescent="0.25">
      <c r="A5" s="20" t="s">
        <v>26</v>
      </c>
      <c r="B5" s="1" t="s">
        <v>983</v>
      </c>
      <c r="C5" s="1" t="s">
        <v>984</v>
      </c>
      <c r="D5" s="1" t="s">
        <v>985</v>
      </c>
      <c r="E5" s="1" t="s">
        <v>986</v>
      </c>
      <c r="F5" s="1" t="s">
        <v>987</v>
      </c>
      <c r="G5" s="1" t="s">
        <v>958</v>
      </c>
      <c r="H5" s="1" t="s">
        <v>988</v>
      </c>
      <c r="I5" s="1" t="s">
        <v>989</v>
      </c>
      <c r="J5" s="1" t="s">
        <v>990</v>
      </c>
      <c r="K5" s="1" t="s">
        <v>919</v>
      </c>
      <c r="L5" s="1" t="s">
        <v>918</v>
      </c>
      <c r="M5" s="1" t="s">
        <v>991</v>
      </c>
      <c r="N5" s="1">
        <v>35</v>
      </c>
    </row>
    <row r="6" spans="1:14" x14ac:dyDescent="0.25">
      <c r="A6" s="20" t="s">
        <v>27</v>
      </c>
      <c r="B6" s="1" t="s">
        <v>992</v>
      </c>
      <c r="C6" s="1" t="s">
        <v>993</v>
      </c>
      <c r="D6" s="1" t="s">
        <v>994</v>
      </c>
      <c r="E6" s="1" t="s">
        <v>995</v>
      </c>
      <c r="F6" s="1" t="s">
        <v>996</v>
      </c>
      <c r="G6" s="1" t="s">
        <v>958</v>
      </c>
      <c r="H6" s="1" t="s">
        <v>997</v>
      </c>
      <c r="I6" s="1" t="s">
        <v>998</v>
      </c>
      <c r="J6" s="1" t="s">
        <v>999</v>
      </c>
      <c r="K6" s="1" t="s">
        <v>971</v>
      </c>
      <c r="L6" s="1" t="s">
        <v>1000</v>
      </c>
      <c r="M6" s="1" t="s">
        <v>1001</v>
      </c>
      <c r="N6" s="1">
        <v>150</v>
      </c>
    </row>
    <row r="7" spans="1:14" x14ac:dyDescent="0.25">
      <c r="A7" s="20" t="s">
        <v>28</v>
      </c>
      <c r="B7" s="1" t="s">
        <v>1002</v>
      </c>
      <c r="C7" s="1" t="s">
        <v>1003</v>
      </c>
      <c r="D7" s="1" t="s">
        <v>1004</v>
      </c>
      <c r="E7" s="1" t="s">
        <v>1005</v>
      </c>
      <c r="F7" s="1" t="s">
        <v>1006</v>
      </c>
      <c r="G7" s="1" t="s">
        <v>1007</v>
      </c>
      <c r="H7" s="1" t="s">
        <v>1008</v>
      </c>
      <c r="I7" s="1" t="s">
        <v>1009</v>
      </c>
      <c r="J7" s="1" t="s">
        <v>1010</v>
      </c>
      <c r="K7" s="1" t="s">
        <v>919</v>
      </c>
      <c r="L7" s="1" t="s">
        <v>1011</v>
      </c>
      <c r="M7" s="1" t="s">
        <v>1012</v>
      </c>
      <c r="N7" s="1">
        <v>25</v>
      </c>
    </row>
    <row r="8" spans="1:14" x14ac:dyDescent="0.25">
      <c r="A8" s="20" t="s">
        <v>0</v>
      </c>
      <c r="B8" s="1" t="s">
        <v>1013</v>
      </c>
      <c r="C8" s="1" t="s">
        <v>1014</v>
      </c>
      <c r="D8" s="1" t="s">
        <v>1015</v>
      </c>
      <c r="E8" s="1" t="s">
        <v>1016</v>
      </c>
      <c r="F8" s="1" t="s">
        <v>1017</v>
      </c>
      <c r="G8" s="1" t="s">
        <v>958</v>
      </c>
      <c r="H8" s="1" t="s">
        <v>1018</v>
      </c>
      <c r="I8" s="1" t="s">
        <v>1018</v>
      </c>
      <c r="J8" s="1" t="s">
        <v>1019</v>
      </c>
      <c r="K8" s="1" t="s">
        <v>8</v>
      </c>
      <c r="L8" s="1" t="s">
        <v>1020</v>
      </c>
      <c r="M8" s="1" t="s">
        <v>1021</v>
      </c>
      <c r="N8" s="1">
        <v>25</v>
      </c>
    </row>
    <row r="9" spans="1:14" x14ac:dyDescent="0.25">
      <c r="A9" s="20" t="s">
        <v>29</v>
      </c>
      <c r="B9" s="1" t="s">
        <v>1022</v>
      </c>
      <c r="C9" s="1" t="s">
        <v>1023</v>
      </c>
      <c r="D9" s="1" t="s">
        <v>1024</v>
      </c>
      <c r="E9" s="1" t="s">
        <v>1024</v>
      </c>
      <c r="F9" s="1" t="s">
        <v>1025</v>
      </c>
      <c r="G9" s="1" t="s">
        <v>958</v>
      </c>
      <c r="H9" s="1" t="s">
        <v>1026</v>
      </c>
      <c r="I9" s="1" t="s">
        <v>1026</v>
      </c>
      <c r="J9" s="1" t="s">
        <v>1027</v>
      </c>
      <c r="K9" s="1" t="s">
        <v>8</v>
      </c>
      <c r="L9" s="1" t="s">
        <v>1020</v>
      </c>
      <c r="M9" s="1" t="s">
        <v>1028</v>
      </c>
      <c r="N9" s="1">
        <v>100</v>
      </c>
    </row>
    <row r="10" spans="1:14" x14ac:dyDescent="0.25">
      <c r="A10" s="20" t="s">
        <v>30</v>
      </c>
      <c r="B10" s="1" t="s">
        <v>1029</v>
      </c>
      <c r="C10" s="1" t="s">
        <v>1030</v>
      </c>
      <c r="D10" s="1" t="s">
        <v>1031</v>
      </c>
      <c r="E10" s="1" t="s">
        <v>1032</v>
      </c>
      <c r="F10" s="1" t="s">
        <v>1033</v>
      </c>
      <c r="G10" s="1" t="s">
        <v>958</v>
      </c>
      <c r="H10" s="1" t="s">
        <v>1034</v>
      </c>
      <c r="I10" s="1" t="s">
        <v>1035</v>
      </c>
      <c r="J10" s="1" t="s">
        <v>1036</v>
      </c>
      <c r="K10" s="1" t="s">
        <v>4</v>
      </c>
      <c r="L10" s="1" t="s">
        <v>1037</v>
      </c>
      <c r="M10" s="1" t="s">
        <v>1038</v>
      </c>
      <c r="N10" s="1">
        <v>25</v>
      </c>
    </row>
    <row r="11" spans="1:14" x14ac:dyDescent="0.25">
      <c r="A11" s="20" t="s">
        <v>31</v>
      </c>
      <c r="B11" s="1" t="s">
        <v>1039</v>
      </c>
      <c r="C11" s="1" t="s">
        <v>1040</v>
      </c>
      <c r="D11" s="1" t="s">
        <v>1041</v>
      </c>
      <c r="E11" s="1" t="s">
        <v>1042</v>
      </c>
      <c r="F11" s="1" t="s">
        <v>1043</v>
      </c>
      <c r="G11" s="1" t="s">
        <v>958</v>
      </c>
      <c r="H11" s="1" t="s">
        <v>979</v>
      </c>
      <c r="I11" s="1" t="s">
        <v>979</v>
      </c>
      <c r="J11" s="1" t="s">
        <v>1044</v>
      </c>
      <c r="K11" s="1" t="s">
        <v>971</v>
      </c>
      <c r="L11" s="1" t="s">
        <v>972</v>
      </c>
      <c r="M11" s="1" t="s">
        <v>1045</v>
      </c>
      <c r="N11" s="1">
        <v>25</v>
      </c>
    </row>
    <row r="12" spans="1:14" x14ac:dyDescent="0.25">
      <c r="A12" s="20" t="s">
        <v>32</v>
      </c>
      <c r="B12" s="1" t="s">
        <v>1046</v>
      </c>
      <c r="C12" s="1" t="s">
        <v>1047</v>
      </c>
      <c r="D12" s="1" t="s">
        <v>1048</v>
      </c>
      <c r="E12" s="1" t="s">
        <v>1049</v>
      </c>
      <c r="F12" s="1" t="s">
        <v>1050</v>
      </c>
      <c r="G12" s="1" t="s">
        <v>958</v>
      </c>
      <c r="H12" s="1" t="s">
        <v>1051</v>
      </c>
      <c r="I12" s="1" t="s">
        <v>1018</v>
      </c>
      <c r="K12" s="1" t="s">
        <v>1</v>
      </c>
      <c r="L12" s="1" t="s">
        <v>1052</v>
      </c>
      <c r="M12" s="1" t="s">
        <v>1053</v>
      </c>
      <c r="N12" s="1">
        <v>25</v>
      </c>
    </row>
    <row r="13" spans="1:14" x14ac:dyDescent="0.25">
      <c r="A13" s="20" t="s">
        <v>33</v>
      </c>
      <c r="B13" s="1" t="s">
        <v>1054</v>
      </c>
      <c r="C13" s="1" t="s">
        <v>1055</v>
      </c>
      <c r="D13" s="1" t="s">
        <v>1056</v>
      </c>
      <c r="E13" s="1" t="s">
        <v>1057</v>
      </c>
      <c r="F13" s="1" t="s">
        <v>1058</v>
      </c>
      <c r="G13" s="1" t="s">
        <v>958</v>
      </c>
      <c r="H13" s="1" t="s">
        <v>1059</v>
      </c>
      <c r="I13" s="1" t="s">
        <v>1060</v>
      </c>
      <c r="J13" s="1" t="s">
        <v>1061</v>
      </c>
      <c r="K13" s="1" t="s">
        <v>971</v>
      </c>
      <c r="L13" s="1" t="s">
        <v>1062</v>
      </c>
      <c r="M13" s="1" t="s">
        <v>1063</v>
      </c>
      <c r="N13" s="1">
        <v>25</v>
      </c>
    </row>
    <row r="14" spans="1:14" x14ac:dyDescent="0.25">
      <c r="A14" s="20" t="s">
        <v>7</v>
      </c>
      <c r="B14" s="1" t="s">
        <v>1064</v>
      </c>
      <c r="C14" s="1" t="s">
        <v>1065</v>
      </c>
      <c r="D14" s="1" t="s">
        <v>1066</v>
      </c>
      <c r="E14" s="1" t="s">
        <v>1067</v>
      </c>
      <c r="F14" s="1" t="s">
        <v>1068</v>
      </c>
      <c r="G14" s="1" t="s">
        <v>958</v>
      </c>
      <c r="H14" s="1" t="s">
        <v>1069</v>
      </c>
      <c r="I14" s="1" t="s">
        <v>1070</v>
      </c>
      <c r="J14" s="1" t="s">
        <v>1071</v>
      </c>
      <c r="K14" s="1" t="s">
        <v>3</v>
      </c>
      <c r="L14" s="1" t="s">
        <v>1072</v>
      </c>
      <c r="M14" s="1" t="s">
        <v>1073</v>
      </c>
      <c r="N14" s="1">
        <v>25</v>
      </c>
    </row>
    <row r="15" spans="1:14" x14ac:dyDescent="0.25">
      <c r="A15" s="20" t="s">
        <v>34</v>
      </c>
      <c r="B15" s="1" t="s">
        <v>1074</v>
      </c>
      <c r="C15" s="1" t="s">
        <v>1075</v>
      </c>
      <c r="D15" s="1" t="s">
        <v>1076</v>
      </c>
      <c r="E15" s="1" t="s">
        <v>1077</v>
      </c>
      <c r="F15" s="1" t="s">
        <v>1078</v>
      </c>
      <c r="G15" s="1" t="s">
        <v>958</v>
      </c>
      <c r="H15" s="1" t="s">
        <v>979</v>
      </c>
      <c r="I15" s="1" t="s">
        <v>979</v>
      </c>
      <c r="J15" s="1" t="s">
        <v>1079</v>
      </c>
      <c r="K15" s="1" t="s">
        <v>971</v>
      </c>
      <c r="L15" s="1" t="s">
        <v>972</v>
      </c>
      <c r="M15" s="1" t="s">
        <v>1080</v>
      </c>
      <c r="N15" s="1">
        <v>25</v>
      </c>
    </row>
    <row r="16" spans="1:14" x14ac:dyDescent="0.25">
      <c r="A16" s="20" t="s">
        <v>12</v>
      </c>
      <c r="B16" s="1" t="s">
        <v>1081</v>
      </c>
      <c r="C16" s="1" t="s">
        <v>1082</v>
      </c>
      <c r="D16" s="1" t="s">
        <v>1083</v>
      </c>
      <c r="E16" s="1" t="s">
        <v>1084</v>
      </c>
      <c r="F16" s="1" t="s">
        <v>1085</v>
      </c>
      <c r="G16" s="1" t="s">
        <v>958</v>
      </c>
      <c r="H16" s="1" t="s">
        <v>1086</v>
      </c>
      <c r="I16" s="1" t="s">
        <v>1087</v>
      </c>
      <c r="J16" s="1" t="s">
        <v>1088</v>
      </c>
      <c r="K16" s="1" t="s">
        <v>1089</v>
      </c>
      <c r="L16" s="1" t="s">
        <v>1090</v>
      </c>
      <c r="M16" s="1" t="s">
        <v>1091</v>
      </c>
      <c r="N16" s="1">
        <v>90</v>
      </c>
    </row>
    <row r="17" spans="1:14" x14ac:dyDescent="0.25">
      <c r="A17" s="20" t="s">
        <v>35</v>
      </c>
      <c r="B17" s="1" t="s">
        <v>1092</v>
      </c>
      <c r="C17" s="1" t="s">
        <v>1093</v>
      </c>
      <c r="D17" s="1" t="s">
        <v>1094</v>
      </c>
      <c r="E17" s="1" t="s">
        <v>1095</v>
      </c>
      <c r="F17" s="1" t="s">
        <v>1096</v>
      </c>
      <c r="G17" s="1" t="s">
        <v>958</v>
      </c>
      <c r="H17" s="1" t="s">
        <v>1097</v>
      </c>
      <c r="I17" s="1" t="s">
        <v>979</v>
      </c>
      <c r="J17" s="1" t="s">
        <v>1098</v>
      </c>
      <c r="K17" s="1" t="s">
        <v>910</v>
      </c>
      <c r="L17" s="1" t="s">
        <v>1099</v>
      </c>
      <c r="M17" s="1" t="s">
        <v>1100</v>
      </c>
      <c r="N17" s="1">
        <v>25</v>
      </c>
    </row>
    <row r="18" spans="1:14" x14ac:dyDescent="0.25">
      <c r="A18" s="20" t="s">
        <v>36</v>
      </c>
      <c r="B18" s="1" t="s">
        <v>1101</v>
      </c>
      <c r="C18" s="1" t="s">
        <v>1102</v>
      </c>
      <c r="D18" s="1" t="s">
        <v>1103</v>
      </c>
      <c r="E18" s="1" t="s">
        <v>1104</v>
      </c>
      <c r="F18" s="1" t="s">
        <v>1105</v>
      </c>
      <c r="G18" s="1" t="s">
        <v>958</v>
      </c>
      <c r="H18" s="1" t="s">
        <v>1106</v>
      </c>
      <c r="I18" s="1" t="s">
        <v>979</v>
      </c>
      <c r="J18" s="1" t="s">
        <v>1107</v>
      </c>
      <c r="K18" s="1" t="s">
        <v>909</v>
      </c>
      <c r="L18" s="1" t="s">
        <v>1108</v>
      </c>
      <c r="M18" s="1" t="s">
        <v>1109</v>
      </c>
      <c r="N18" s="1">
        <v>50</v>
      </c>
    </row>
    <row r="19" spans="1:14" x14ac:dyDescent="0.25">
      <c r="A19" s="20" t="s">
        <v>37</v>
      </c>
      <c r="B19" s="1" t="s">
        <v>1110</v>
      </c>
      <c r="C19" s="1" t="s">
        <v>1111</v>
      </c>
      <c r="D19" s="1" t="s">
        <v>1112</v>
      </c>
      <c r="E19" s="1" t="s">
        <v>1113</v>
      </c>
      <c r="F19" s="1" t="s">
        <v>1114</v>
      </c>
      <c r="G19" s="1" t="s">
        <v>958</v>
      </c>
      <c r="H19" s="1" t="s">
        <v>1115</v>
      </c>
      <c r="I19" s="1" t="s">
        <v>1116</v>
      </c>
      <c r="J19" s="1" t="s">
        <v>1117</v>
      </c>
      <c r="K19" s="1" t="s">
        <v>1118</v>
      </c>
      <c r="L19" s="1" t="s">
        <v>1119</v>
      </c>
      <c r="M19" s="1" t="s">
        <v>1120</v>
      </c>
      <c r="N19" s="1">
        <v>25</v>
      </c>
    </row>
    <row r="20" spans="1:14" x14ac:dyDescent="0.25">
      <c r="A20" s="20" t="s">
        <v>38</v>
      </c>
      <c r="B20" s="1" t="s">
        <v>1121</v>
      </c>
      <c r="C20" s="1" t="s">
        <v>1122</v>
      </c>
      <c r="D20" s="1" t="s">
        <v>1123</v>
      </c>
      <c r="E20" s="1" t="s">
        <v>1124</v>
      </c>
      <c r="F20" s="1" t="s">
        <v>1125</v>
      </c>
      <c r="G20" s="1" t="s">
        <v>958</v>
      </c>
      <c r="H20" s="1" t="s">
        <v>1126</v>
      </c>
      <c r="I20" s="1" t="s">
        <v>1127</v>
      </c>
      <c r="J20" s="1" t="s">
        <v>1128</v>
      </c>
      <c r="K20" s="1" t="s">
        <v>8</v>
      </c>
      <c r="L20" s="1" t="s">
        <v>1129</v>
      </c>
      <c r="M20" s="1" t="s">
        <v>1130</v>
      </c>
      <c r="N20" s="1">
        <v>190</v>
      </c>
    </row>
    <row r="21" spans="1:14" x14ac:dyDescent="0.25">
      <c r="A21" s="20" t="s">
        <v>39</v>
      </c>
      <c r="B21" s="1" t="s">
        <v>1131</v>
      </c>
      <c r="C21" s="1" t="s">
        <v>1132</v>
      </c>
      <c r="D21" s="1" t="s">
        <v>1133</v>
      </c>
      <c r="E21" s="1" t="s">
        <v>1134</v>
      </c>
      <c r="F21" s="1" t="s">
        <v>1135</v>
      </c>
      <c r="G21" s="1" t="s">
        <v>958</v>
      </c>
      <c r="H21" s="1" t="s">
        <v>1136</v>
      </c>
      <c r="I21" s="1" t="s">
        <v>1137</v>
      </c>
      <c r="J21" s="1" t="s">
        <v>1138</v>
      </c>
      <c r="K21" s="1" t="s">
        <v>915</v>
      </c>
      <c r="L21" s="1" t="s">
        <v>1139</v>
      </c>
      <c r="M21" s="1" t="s">
        <v>1140</v>
      </c>
      <c r="N21" s="1">
        <v>25</v>
      </c>
    </row>
    <row r="22" spans="1:14" x14ac:dyDescent="0.25">
      <c r="A22" s="20" t="s">
        <v>40</v>
      </c>
      <c r="B22" s="1" t="s">
        <v>1141</v>
      </c>
      <c r="C22" s="1" t="s">
        <v>1142</v>
      </c>
      <c r="D22" s="1" t="s">
        <v>1143</v>
      </c>
      <c r="E22" s="1" t="s">
        <v>1144</v>
      </c>
      <c r="F22" s="1" t="s">
        <v>1145</v>
      </c>
      <c r="G22" s="1" t="s">
        <v>958</v>
      </c>
      <c r="H22" s="1" t="s">
        <v>7</v>
      </c>
      <c r="I22" s="1" t="s">
        <v>979</v>
      </c>
      <c r="J22" s="1" t="s">
        <v>1146</v>
      </c>
      <c r="K22" s="1" t="s">
        <v>13</v>
      </c>
      <c r="L22" s="1" t="s">
        <v>1147</v>
      </c>
      <c r="M22" s="1" t="s">
        <v>1148</v>
      </c>
      <c r="N22" s="1">
        <v>25</v>
      </c>
    </row>
    <row r="23" spans="1:14" x14ac:dyDescent="0.25">
      <c r="A23" s="20" t="s">
        <v>41</v>
      </c>
      <c r="B23" s="1" t="s">
        <v>1149</v>
      </c>
      <c r="C23" s="1" t="s">
        <v>1150</v>
      </c>
      <c r="D23" s="1" t="s">
        <v>1151</v>
      </c>
      <c r="E23" s="1" t="s">
        <v>1152</v>
      </c>
      <c r="F23" s="1" t="s">
        <v>1153</v>
      </c>
      <c r="G23" s="1" t="s">
        <v>1154</v>
      </c>
      <c r="H23" s="1" t="s">
        <v>1155</v>
      </c>
      <c r="I23" s="1" t="s">
        <v>979</v>
      </c>
      <c r="J23" s="1" t="s">
        <v>1156</v>
      </c>
      <c r="K23" s="1" t="s">
        <v>915</v>
      </c>
      <c r="L23" s="1" t="s">
        <v>1157</v>
      </c>
      <c r="M23" s="1" t="s">
        <v>1158</v>
      </c>
      <c r="N23" s="1">
        <v>525</v>
      </c>
    </row>
    <row r="24" spans="1:14" x14ac:dyDescent="0.25">
      <c r="A24" s="20" t="s">
        <v>42</v>
      </c>
      <c r="B24" s="1" t="s">
        <v>1159</v>
      </c>
      <c r="C24" s="1" t="s">
        <v>1160</v>
      </c>
      <c r="D24" s="1" t="s">
        <v>1161</v>
      </c>
      <c r="E24" s="1" t="s">
        <v>1162</v>
      </c>
      <c r="F24" s="1" t="s">
        <v>1163</v>
      </c>
      <c r="G24" s="1" t="s">
        <v>958</v>
      </c>
      <c r="H24" s="1" t="s">
        <v>1164</v>
      </c>
      <c r="I24" s="1" t="s">
        <v>1165</v>
      </c>
      <c r="J24" s="1" t="s">
        <v>1166</v>
      </c>
      <c r="K24" s="1" t="s">
        <v>10</v>
      </c>
      <c r="L24" s="1" t="s">
        <v>1167</v>
      </c>
      <c r="M24" s="1" t="s">
        <v>1168</v>
      </c>
      <c r="N24" s="1">
        <v>25</v>
      </c>
    </row>
    <row r="25" spans="1:14" x14ac:dyDescent="0.25">
      <c r="A25" s="20" t="s">
        <v>43</v>
      </c>
      <c r="B25" s="1" t="s">
        <v>1169</v>
      </c>
      <c r="C25" s="1" t="s">
        <v>1170</v>
      </c>
      <c r="D25" s="1" t="s">
        <v>1171</v>
      </c>
      <c r="E25" s="1" t="s">
        <v>1172</v>
      </c>
      <c r="F25" s="1" t="s">
        <v>1173</v>
      </c>
      <c r="G25" s="1" t="s">
        <v>1174</v>
      </c>
      <c r="H25" s="1" t="s">
        <v>1175</v>
      </c>
      <c r="I25" s="1" t="s">
        <v>979</v>
      </c>
      <c r="J25" s="1" t="s">
        <v>1176</v>
      </c>
      <c r="K25" s="1" t="s">
        <v>8</v>
      </c>
      <c r="L25" s="1" t="s">
        <v>1177</v>
      </c>
      <c r="M25" s="1" t="s">
        <v>1178</v>
      </c>
      <c r="N25" s="1">
        <v>3500</v>
      </c>
    </row>
    <row r="26" spans="1:14" x14ac:dyDescent="0.25">
      <c r="A26" s="20" t="s">
        <v>44</v>
      </c>
      <c r="B26" s="1" t="s">
        <v>1179</v>
      </c>
      <c r="C26" s="1" t="s">
        <v>1180</v>
      </c>
      <c r="D26" s="1" t="s">
        <v>1181</v>
      </c>
      <c r="E26" s="1" t="s">
        <v>1182</v>
      </c>
      <c r="F26" s="1" t="s">
        <v>1183</v>
      </c>
      <c r="G26" s="1" t="s">
        <v>958</v>
      </c>
      <c r="H26" s="1" t="s">
        <v>1184</v>
      </c>
      <c r="I26" s="1" t="s">
        <v>1087</v>
      </c>
      <c r="J26" s="1" t="s">
        <v>1185</v>
      </c>
      <c r="K26" s="1" t="s">
        <v>4</v>
      </c>
      <c r="L26" s="1" t="s">
        <v>924</v>
      </c>
      <c r="M26" s="1" t="s">
        <v>1186</v>
      </c>
      <c r="N26" s="1">
        <v>25</v>
      </c>
    </row>
    <row r="27" spans="1:14" x14ac:dyDescent="0.25">
      <c r="A27" s="20" t="s">
        <v>45</v>
      </c>
      <c r="B27" s="1" t="s">
        <v>1187</v>
      </c>
      <c r="C27" s="1" t="s">
        <v>1188</v>
      </c>
      <c r="D27" s="1" t="s">
        <v>1189</v>
      </c>
      <c r="E27" s="1" t="s">
        <v>1190</v>
      </c>
      <c r="F27" s="1" t="s">
        <v>1191</v>
      </c>
      <c r="G27" s="1" t="s">
        <v>958</v>
      </c>
      <c r="H27" s="1" t="s">
        <v>1192</v>
      </c>
      <c r="I27" s="1" t="s">
        <v>979</v>
      </c>
      <c r="J27" s="1" t="s">
        <v>1193</v>
      </c>
      <c r="K27" s="1" t="s">
        <v>910</v>
      </c>
      <c r="L27" s="1" t="s">
        <v>1194</v>
      </c>
      <c r="M27" s="1" t="s">
        <v>1195</v>
      </c>
      <c r="N27" s="1">
        <v>25</v>
      </c>
    </row>
    <row r="28" spans="1:14" x14ac:dyDescent="0.25">
      <c r="A28" s="20" t="s">
        <v>46</v>
      </c>
      <c r="B28" s="1" t="s">
        <v>1196</v>
      </c>
      <c r="C28" s="1" t="s">
        <v>1197</v>
      </c>
      <c r="D28" s="1" t="s">
        <v>1198</v>
      </c>
      <c r="E28" s="1" t="s">
        <v>1199</v>
      </c>
      <c r="F28" s="1" t="s">
        <v>1200</v>
      </c>
      <c r="G28" s="1" t="s">
        <v>958</v>
      </c>
      <c r="H28" s="1" t="s">
        <v>1201</v>
      </c>
      <c r="I28" s="1" t="s">
        <v>969</v>
      </c>
      <c r="J28" s="1" t="s">
        <v>1202</v>
      </c>
      <c r="K28" s="1" t="s">
        <v>915</v>
      </c>
      <c r="L28" s="1" t="s">
        <v>926</v>
      </c>
      <c r="M28" s="1" t="s">
        <v>1203</v>
      </c>
      <c r="N28" s="1">
        <v>25</v>
      </c>
    </row>
    <row r="29" spans="1:14" x14ac:dyDescent="0.25">
      <c r="A29" s="20" t="s">
        <v>9</v>
      </c>
      <c r="B29" s="1" t="s">
        <v>1204</v>
      </c>
      <c r="C29" s="1" t="s">
        <v>1205</v>
      </c>
      <c r="D29" s="1" t="s">
        <v>1206</v>
      </c>
      <c r="E29" s="1" t="s">
        <v>1207</v>
      </c>
      <c r="F29" s="1" t="s">
        <v>1208</v>
      </c>
      <c r="G29" s="1" t="s">
        <v>958</v>
      </c>
      <c r="H29" s="1" t="s">
        <v>979</v>
      </c>
      <c r="I29" s="1" t="s">
        <v>979</v>
      </c>
      <c r="J29" s="1" t="s">
        <v>1209</v>
      </c>
      <c r="K29" s="1" t="s">
        <v>910</v>
      </c>
      <c r="L29" s="1" t="s">
        <v>981</v>
      </c>
      <c r="M29" s="1" t="s">
        <v>1210</v>
      </c>
      <c r="N29" s="1">
        <v>25</v>
      </c>
    </row>
    <row r="30" spans="1:14" x14ac:dyDescent="0.25">
      <c r="A30" s="20" t="s">
        <v>6</v>
      </c>
      <c r="B30" s="1" t="s">
        <v>1211</v>
      </c>
      <c r="C30" s="1" t="s">
        <v>1212</v>
      </c>
      <c r="D30" s="1" t="s">
        <v>1213</v>
      </c>
      <c r="E30" s="1" t="s">
        <v>1214</v>
      </c>
      <c r="F30" s="1" t="s">
        <v>1215</v>
      </c>
      <c r="G30" s="1" t="s">
        <v>958</v>
      </c>
      <c r="H30" s="1" t="s">
        <v>1216</v>
      </c>
      <c r="I30" s="1" t="s">
        <v>1165</v>
      </c>
      <c r="J30" s="1" t="s">
        <v>1217</v>
      </c>
      <c r="K30" s="1" t="s">
        <v>1218</v>
      </c>
      <c r="L30" s="1" t="s">
        <v>1219</v>
      </c>
      <c r="M30" s="1" t="s">
        <v>1220</v>
      </c>
      <c r="N30" s="1">
        <v>100</v>
      </c>
    </row>
    <row r="31" spans="1:14" x14ac:dyDescent="0.25">
      <c r="A31" s="20" t="s">
        <v>47</v>
      </c>
      <c r="B31" s="1" t="s">
        <v>1221</v>
      </c>
      <c r="C31" s="1" t="s">
        <v>1222</v>
      </c>
      <c r="D31" s="1" t="s">
        <v>1223</v>
      </c>
      <c r="E31" s="1" t="s">
        <v>1224</v>
      </c>
      <c r="F31" s="1" t="s">
        <v>1225</v>
      </c>
      <c r="G31" s="1" t="s">
        <v>958</v>
      </c>
      <c r="H31" s="1" t="s">
        <v>1226</v>
      </c>
      <c r="I31" s="1" t="s">
        <v>979</v>
      </c>
      <c r="J31" s="1" t="s">
        <v>1227</v>
      </c>
      <c r="K31" s="1" t="s">
        <v>915</v>
      </c>
      <c r="L31" s="1" t="s">
        <v>1228</v>
      </c>
      <c r="M31" s="1" t="s">
        <v>1229</v>
      </c>
      <c r="N31" s="1">
        <v>100</v>
      </c>
    </row>
    <row r="32" spans="1:14" x14ac:dyDescent="0.25">
      <c r="A32" s="20" t="s">
        <v>11</v>
      </c>
      <c r="B32" s="1" t="s">
        <v>1230</v>
      </c>
      <c r="C32" s="1" t="s">
        <v>1231</v>
      </c>
      <c r="D32" s="1" t="s">
        <v>1232</v>
      </c>
      <c r="E32" s="1" t="s">
        <v>1233</v>
      </c>
      <c r="F32" s="1" t="s">
        <v>1234</v>
      </c>
      <c r="G32" s="1" t="s">
        <v>958</v>
      </c>
      <c r="H32" s="1" t="s">
        <v>1235</v>
      </c>
      <c r="I32" s="1" t="s">
        <v>1236</v>
      </c>
      <c r="J32" s="1" t="s">
        <v>1185</v>
      </c>
      <c r="K32" s="1" t="s">
        <v>909</v>
      </c>
      <c r="L32" s="1" t="s">
        <v>1237</v>
      </c>
      <c r="M32" s="1" t="s">
        <v>1238</v>
      </c>
      <c r="N32" s="1">
        <v>30</v>
      </c>
    </row>
    <row r="33" spans="1:14" x14ac:dyDescent="0.25">
      <c r="A33" s="20" t="s">
        <v>48</v>
      </c>
      <c r="B33" s="1" t="s">
        <v>1239</v>
      </c>
      <c r="C33" s="1" t="s">
        <v>1240</v>
      </c>
      <c r="D33" s="1" t="s">
        <v>1241</v>
      </c>
      <c r="E33" s="1" t="s">
        <v>1242</v>
      </c>
      <c r="F33" s="1" t="s">
        <v>1243</v>
      </c>
      <c r="G33" s="1" t="s">
        <v>958</v>
      </c>
      <c r="H33" s="1" t="s">
        <v>979</v>
      </c>
      <c r="I33" s="1" t="s">
        <v>979</v>
      </c>
      <c r="J33" s="1" t="s">
        <v>1244</v>
      </c>
      <c r="K33" s="1" t="s">
        <v>915</v>
      </c>
      <c r="L33" s="1" t="s">
        <v>1228</v>
      </c>
      <c r="M33" s="1" t="s">
        <v>1245</v>
      </c>
      <c r="N33" s="1">
        <v>25</v>
      </c>
    </row>
    <row r="34" spans="1:14" x14ac:dyDescent="0.25">
      <c r="A34" s="20" t="s">
        <v>49</v>
      </c>
      <c r="B34" s="1" t="s">
        <v>1246</v>
      </c>
      <c r="C34" s="1" t="s">
        <v>1247</v>
      </c>
      <c r="D34" s="1" t="s">
        <v>1248</v>
      </c>
      <c r="E34" s="1" t="s">
        <v>1249</v>
      </c>
      <c r="F34" s="1" t="s">
        <v>1250</v>
      </c>
      <c r="G34" s="1" t="s">
        <v>958</v>
      </c>
      <c r="H34" s="1" t="s">
        <v>979</v>
      </c>
      <c r="I34" s="1" t="s">
        <v>979</v>
      </c>
      <c r="J34" s="1" t="s">
        <v>1251</v>
      </c>
      <c r="K34" s="1" t="s">
        <v>4</v>
      </c>
      <c r="L34" s="1" t="s">
        <v>924</v>
      </c>
      <c r="M34" s="1" t="s">
        <v>1252</v>
      </c>
      <c r="N34" s="1">
        <v>203</v>
      </c>
    </row>
    <row r="35" spans="1:14" x14ac:dyDescent="0.25">
      <c r="A35" s="20" t="s">
        <v>50</v>
      </c>
      <c r="B35" s="1" t="s">
        <v>1253</v>
      </c>
      <c r="C35" s="1" t="s">
        <v>1254</v>
      </c>
      <c r="D35" s="1" t="s">
        <v>1255</v>
      </c>
      <c r="E35" s="1" t="s">
        <v>1256</v>
      </c>
      <c r="F35" s="1" t="s">
        <v>1257</v>
      </c>
      <c r="G35" s="1" t="s">
        <v>1258</v>
      </c>
      <c r="H35" s="1" t="s">
        <v>1259</v>
      </c>
      <c r="I35" s="1" t="s">
        <v>1260</v>
      </c>
      <c r="J35" s="1" t="s">
        <v>1261</v>
      </c>
      <c r="K35" s="1" t="s">
        <v>1262</v>
      </c>
      <c r="L35" s="1" t="s">
        <v>1263</v>
      </c>
      <c r="M35" s="1" t="s">
        <v>1264</v>
      </c>
      <c r="N35" s="1">
        <v>25</v>
      </c>
    </row>
    <row r="36" spans="1:14" x14ac:dyDescent="0.25">
      <c r="A36" s="20" t="s">
        <v>51</v>
      </c>
      <c r="B36" s="1" t="s">
        <v>1265</v>
      </c>
      <c r="C36" s="1" t="s">
        <v>1266</v>
      </c>
      <c r="D36" s="1" t="s">
        <v>1267</v>
      </c>
      <c r="E36" s="1" t="s">
        <v>1268</v>
      </c>
      <c r="F36" s="1" t="s">
        <v>1269</v>
      </c>
      <c r="G36" s="1" t="s">
        <v>958</v>
      </c>
      <c r="H36" s="1" t="s">
        <v>1270</v>
      </c>
      <c r="I36" s="1" t="s">
        <v>1165</v>
      </c>
      <c r="J36" s="1" t="s">
        <v>1271</v>
      </c>
      <c r="K36" s="1" t="s">
        <v>971</v>
      </c>
      <c r="L36" s="1" t="s">
        <v>1272</v>
      </c>
      <c r="M36" s="1" t="s">
        <v>1273</v>
      </c>
      <c r="N36" s="1">
        <v>25</v>
      </c>
    </row>
    <row r="37" spans="1:14" x14ac:dyDescent="0.25">
      <c r="A37" s="20" t="s">
        <v>52</v>
      </c>
      <c r="B37" s="1" t="s">
        <v>1274</v>
      </c>
      <c r="C37" s="1" t="s">
        <v>1275</v>
      </c>
      <c r="D37" s="1" t="s">
        <v>1276</v>
      </c>
      <c r="E37" s="1" t="s">
        <v>1277</v>
      </c>
      <c r="F37" s="1" t="s">
        <v>1278</v>
      </c>
      <c r="G37" s="1" t="s">
        <v>958</v>
      </c>
      <c r="H37" s="1" t="s">
        <v>1279</v>
      </c>
      <c r="I37" s="1" t="s">
        <v>979</v>
      </c>
      <c r="J37" s="1" t="s">
        <v>1185</v>
      </c>
      <c r="K37" s="1" t="s">
        <v>909</v>
      </c>
      <c r="L37" s="1" t="s">
        <v>1237</v>
      </c>
      <c r="M37" s="1" t="s">
        <v>1280</v>
      </c>
      <c r="N37" s="1">
        <v>25</v>
      </c>
    </row>
    <row r="38" spans="1:14" x14ac:dyDescent="0.25">
      <c r="A38" s="20" t="s">
        <v>53</v>
      </c>
      <c r="B38" s="1" t="s">
        <v>1281</v>
      </c>
      <c r="C38" s="1" t="s">
        <v>1282</v>
      </c>
      <c r="D38" s="1" t="s">
        <v>1283</v>
      </c>
      <c r="E38" s="1" t="s">
        <v>1284</v>
      </c>
      <c r="F38" s="1" t="s">
        <v>1285</v>
      </c>
      <c r="G38" s="1" t="s">
        <v>958</v>
      </c>
      <c r="H38" s="1" t="s">
        <v>1286</v>
      </c>
      <c r="I38" s="1" t="s">
        <v>1287</v>
      </c>
      <c r="J38" s="1" t="s">
        <v>1288</v>
      </c>
      <c r="K38" s="1" t="s">
        <v>1289</v>
      </c>
      <c r="L38" s="1" t="s">
        <v>1290</v>
      </c>
      <c r="M38" s="1" t="s">
        <v>1291</v>
      </c>
      <c r="N38" s="1">
        <v>25</v>
      </c>
    </row>
    <row r="39" spans="1:14" x14ac:dyDescent="0.25">
      <c r="A39" s="20" t="s">
        <v>54</v>
      </c>
      <c r="B39" s="1" t="s">
        <v>1292</v>
      </c>
      <c r="C39" s="1" t="s">
        <v>1293</v>
      </c>
      <c r="D39" s="1" t="s">
        <v>1294</v>
      </c>
      <c r="E39" s="1" t="s">
        <v>1295</v>
      </c>
      <c r="F39" s="1" t="s">
        <v>1296</v>
      </c>
      <c r="G39" s="1" t="s">
        <v>958</v>
      </c>
      <c r="H39" s="1" t="s">
        <v>1297</v>
      </c>
      <c r="I39" s="1" t="s">
        <v>1298</v>
      </c>
      <c r="J39" s="1" t="s">
        <v>1299</v>
      </c>
      <c r="K39" s="1" t="s">
        <v>912</v>
      </c>
      <c r="L39" s="1" t="s">
        <v>1300</v>
      </c>
      <c r="M39" s="1" t="s">
        <v>1301</v>
      </c>
      <c r="N39" s="1">
        <v>25</v>
      </c>
    </row>
    <row r="40" spans="1:14" x14ac:dyDescent="0.25">
      <c r="A40" s="20" t="s">
        <v>55</v>
      </c>
      <c r="B40" s="1" t="s">
        <v>1302</v>
      </c>
      <c r="C40" s="1" t="s">
        <v>1303</v>
      </c>
      <c r="D40" s="1" t="s">
        <v>1304</v>
      </c>
      <c r="E40" s="1" t="s">
        <v>1305</v>
      </c>
      <c r="F40" s="1" t="s">
        <v>1306</v>
      </c>
      <c r="G40" s="1" t="s">
        <v>958</v>
      </c>
      <c r="H40" s="1" t="s">
        <v>1307</v>
      </c>
      <c r="I40" s="1" t="s">
        <v>1308</v>
      </c>
      <c r="J40" s="1" t="s">
        <v>1309</v>
      </c>
      <c r="K40" s="1" t="s">
        <v>1310</v>
      </c>
      <c r="L40" s="1" t="s">
        <v>1311</v>
      </c>
      <c r="M40" s="1" t="s">
        <v>1312</v>
      </c>
      <c r="N40" s="1">
        <v>25</v>
      </c>
    </row>
    <row r="41" spans="1:14" x14ac:dyDescent="0.25">
      <c r="A41" s="20" t="s">
        <v>56</v>
      </c>
      <c r="B41" s="1" t="s">
        <v>1313</v>
      </c>
      <c r="C41" s="1" t="s">
        <v>1314</v>
      </c>
      <c r="D41" s="1" t="s">
        <v>1315</v>
      </c>
      <c r="E41" s="1" t="s">
        <v>1316</v>
      </c>
      <c r="F41" s="1" t="s">
        <v>1317</v>
      </c>
      <c r="G41" s="1" t="s">
        <v>958</v>
      </c>
      <c r="H41" s="1" t="s">
        <v>1137</v>
      </c>
      <c r="I41" s="1" t="s">
        <v>979</v>
      </c>
      <c r="J41" s="1" t="s">
        <v>1318</v>
      </c>
      <c r="K41" s="1" t="s">
        <v>1089</v>
      </c>
      <c r="L41" s="1" t="s">
        <v>1319</v>
      </c>
      <c r="M41" s="1" t="s">
        <v>1320</v>
      </c>
      <c r="N41" s="1">
        <v>100</v>
      </c>
    </row>
    <row r="42" spans="1:14" x14ac:dyDescent="0.25">
      <c r="A42" s="20" t="s">
        <v>57</v>
      </c>
      <c r="B42" s="1" t="s">
        <v>1321</v>
      </c>
      <c r="C42" s="1" t="s">
        <v>1322</v>
      </c>
      <c r="D42" s="1" t="s">
        <v>1323</v>
      </c>
      <c r="E42" s="1" t="s">
        <v>1324</v>
      </c>
      <c r="F42" s="1" t="s">
        <v>1325</v>
      </c>
      <c r="G42" s="1" t="s">
        <v>958</v>
      </c>
      <c r="H42" s="1" t="s">
        <v>1018</v>
      </c>
      <c r="I42" s="1" t="s">
        <v>1018</v>
      </c>
      <c r="J42" s="1" t="s">
        <v>1326</v>
      </c>
      <c r="K42" s="1" t="s">
        <v>2</v>
      </c>
      <c r="L42" s="1" t="s">
        <v>1327</v>
      </c>
      <c r="M42" s="1" t="s">
        <v>1328</v>
      </c>
      <c r="N42" s="1">
        <v>100</v>
      </c>
    </row>
    <row r="43" spans="1:14" x14ac:dyDescent="0.25">
      <c r="A43" s="20" t="s">
        <v>58</v>
      </c>
      <c r="B43" s="1" t="s">
        <v>1329</v>
      </c>
      <c r="C43" s="1" t="s">
        <v>1330</v>
      </c>
      <c r="D43" s="1" t="s">
        <v>1331</v>
      </c>
      <c r="E43" s="1" t="s">
        <v>1332</v>
      </c>
      <c r="F43" s="1" t="s">
        <v>1333</v>
      </c>
      <c r="G43" s="1" t="s">
        <v>958</v>
      </c>
      <c r="H43" s="1" t="s">
        <v>1051</v>
      </c>
      <c r="I43" s="1" t="s">
        <v>979</v>
      </c>
      <c r="J43" s="1" t="s">
        <v>1334</v>
      </c>
      <c r="K43" s="1" t="s">
        <v>1335</v>
      </c>
      <c r="L43" s="1" t="s">
        <v>1336</v>
      </c>
      <c r="M43" s="1" t="s">
        <v>1337</v>
      </c>
      <c r="N43" s="1">
        <v>25</v>
      </c>
    </row>
    <row r="44" spans="1:14" x14ac:dyDescent="0.25">
      <c r="A44" s="20" t="s">
        <v>59</v>
      </c>
      <c r="B44" s="1" t="s">
        <v>1338</v>
      </c>
      <c r="C44" s="1" t="s">
        <v>1339</v>
      </c>
      <c r="D44" s="1" t="s">
        <v>1340</v>
      </c>
      <c r="E44" s="1" t="s">
        <v>1341</v>
      </c>
      <c r="F44" s="1" t="s">
        <v>1342</v>
      </c>
      <c r="G44" s="1" t="s">
        <v>1343</v>
      </c>
      <c r="H44" s="1" t="s">
        <v>1344</v>
      </c>
      <c r="I44" s="1" t="s">
        <v>979</v>
      </c>
      <c r="J44" s="1" t="s">
        <v>1345</v>
      </c>
      <c r="K44" s="1" t="s">
        <v>13</v>
      </c>
      <c r="L44" s="1" t="s">
        <v>1346</v>
      </c>
      <c r="M44" s="1" t="s">
        <v>1347</v>
      </c>
      <c r="N44" s="1">
        <v>1000</v>
      </c>
    </row>
    <row r="45" spans="1:14" x14ac:dyDescent="0.25">
      <c r="A45" s="20" t="s">
        <v>60</v>
      </c>
      <c r="B45" s="1" t="s">
        <v>1348</v>
      </c>
      <c r="C45" s="1" t="s">
        <v>1349</v>
      </c>
      <c r="D45" s="1" t="s">
        <v>1350</v>
      </c>
      <c r="E45" s="1" t="s">
        <v>1351</v>
      </c>
      <c r="F45" s="1" t="s">
        <v>1352</v>
      </c>
      <c r="G45" s="1" t="s">
        <v>958</v>
      </c>
      <c r="H45" s="1" t="s">
        <v>1353</v>
      </c>
      <c r="I45" s="1" t="s">
        <v>1353</v>
      </c>
      <c r="J45" s="1" t="s">
        <v>1354</v>
      </c>
      <c r="K45" s="1" t="s">
        <v>1218</v>
      </c>
      <c r="L45" s="1" t="s">
        <v>1355</v>
      </c>
      <c r="M45" s="1" t="s">
        <v>1356</v>
      </c>
      <c r="N45" s="1">
        <v>25</v>
      </c>
    </row>
    <row r="46" spans="1:14" x14ac:dyDescent="0.25">
      <c r="A46" s="20" t="s">
        <v>61</v>
      </c>
      <c r="B46" s="1" t="s">
        <v>1357</v>
      </c>
      <c r="C46" s="1" t="s">
        <v>1358</v>
      </c>
      <c r="D46" s="1" t="s">
        <v>1359</v>
      </c>
      <c r="E46" s="1" t="s">
        <v>1360</v>
      </c>
      <c r="F46" s="1" t="s">
        <v>1361</v>
      </c>
      <c r="G46" s="1" t="s">
        <v>958</v>
      </c>
      <c r="H46" s="1" t="s">
        <v>1362</v>
      </c>
      <c r="I46" s="1" t="s">
        <v>1363</v>
      </c>
      <c r="J46" s="1" t="s">
        <v>1364</v>
      </c>
      <c r="K46" s="1" t="s">
        <v>971</v>
      </c>
      <c r="L46" s="1" t="s">
        <v>1365</v>
      </c>
      <c r="M46" s="1" t="s">
        <v>1366</v>
      </c>
      <c r="N46" s="1">
        <v>25</v>
      </c>
    </row>
    <row r="47" spans="1:14" x14ac:dyDescent="0.25">
      <c r="A47" s="20" t="s">
        <v>62</v>
      </c>
      <c r="B47" s="1" t="s">
        <v>1367</v>
      </c>
      <c r="C47" s="1" t="s">
        <v>1368</v>
      </c>
      <c r="D47" s="1" t="s">
        <v>1369</v>
      </c>
      <c r="E47" s="1" t="s">
        <v>1370</v>
      </c>
      <c r="F47" s="1" t="s">
        <v>1371</v>
      </c>
      <c r="G47" s="1" t="s">
        <v>958</v>
      </c>
      <c r="H47" s="1" t="s">
        <v>1372</v>
      </c>
      <c r="I47" s="1" t="s">
        <v>989</v>
      </c>
      <c r="J47" s="1" t="s">
        <v>1373</v>
      </c>
      <c r="K47" s="1" t="s">
        <v>8</v>
      </c>
      <c r="L47" s="1" t="s">
        <v>1374</v>
      </c>
      <c r="M47" s="1" t="s">
        <v>1375</v>
      </c>
      <c r="N47" s="1">
        <v>40</v>
      </c>
    </row>
    <row r="48" spans="1:14" x14ac:dyDescent="0.25">
      <c r="A48" s="20" t="s">
        <v>63</v>
      </c>
      <c r="B48" s="1" t="s">
        <v>1376</v>
      </c>
      <c r="C48" s="1" t="s">
        <v>1377</v>
      </c>
      <c r="D48" s="1" t="s">
        <v>1378</v>
      </c>
      <c r="E48" s="1" t="s">
        <v>1379</v>
      </c>
      <c r="F48" s="1" t="s">
        <v>1380</v>
      </c>
      <c r="G48" s="1" t="s">
        <v>958</v>
      </c>
      <c r="H48" s="1" t="s">
        <v>979</v>
      </c>
      <c r="I48" s="1" t="s">
        <v>979</v>
      </c>
      <c r="J48" s="1" t="s">
        <v>1381</v>
      </c>
      <c r="K48" s="1" t="s">
        <v>1089</v>
      </c>
      <c r="L48" s="1" t="s">
        <v>1090</v>
      </c>
      <c r="M48" s="1" t="s">
        <v>1382</v>
      </c>
      <c r="N48" s="1">
        <v>25</v>
      </c>
    </row>
    <row r="49" spans="1:14" x14ac:dyDescent="0.25">
      <c r="A49" s="20" t="s">
        <v>64</v>
      </c>
      <c r="B49" s="1" t="s">
        <v>1383</v>
      </c>
      <c r="C49" s="1" t="s">
        <v>1384</v>
      </c>
      <c r="D49" s="1" t="s">
        <v>1385</v>
      </c>
      <c r="E49" s="1" t="s">
        <v>1386</v>
      </c>
      <c r="F49" s="1" t="s">
        <v>1387</v>
      </c>
      <c r="G49" s="1" t="s">
        <v>958</v>
      </c>
      <c r="H49" s="1" t="s">
        <v>1388</v>
      </c>
      <c r="I49" s="1" t="s">
        <v>979</v>
      </c>
      <c r="J49" s="1" t="s">
        <v>1389</v>
      </c>
      <c r="K49" s="1" t="s">
        <v>1</v>
      </c>
      <c r="L49" s="1" t="s">
        <v>1390</v>
      </c>
      <c r="M49" s="1" t="s">
        <v>1391</v>
      </c>
      <c r="N49" s="1">
        <v>25</v>
      </c>
    </row>
    <row r="50" spans="1:14" x14ac:dyDescent="0.25">
      <c r="A50" s="20" t="s">
        <v>65</v>
      </c>
      <c r="B50" s="1" t="s">
        <v>1392</v>
      </c>
      <c r="C50" s="1" t="s">
        <v>1393</v>
      </c>
      <c r="D50" s="1" t="s">
        <v>1394</v>
      </c>
      <c r="E50" s="1" t="s">
        <v>1395</v>
      </c>
      <c r="F50" s="1" t="s">
        <v>1396</v>
      </c>
      <c r="G50" s="1" t="s">
        <v>958</v>
      </c>
      <c r="H50" s="1" t="s">
        <v>1397</v>
      </c>
      <c r="I50" s="1" t="s">
        <v>1397</v>
      </c>
      <c r="K50" s="1" t="s">
        <v>914</v>
      </c>
      <c r="L50" s="1" t="s">
        <v>1398</v>
      </c>
      <c r="M50" s="1" t="s">
        <v>1399</v>
      </c>
      <c r="N50" s="1">
        <v>25</v>
      </c>
    </row>
    <row r="51" spans="1:14" x14ac:dyDescent="0.25">
      <c r="A51" s="20" t="s">
        <v>66</v>
      </c>
      <c r="B51" s="1" t="s">
        <v>1400</v>
      </c>
      <c r="C51" s="1" t="s">
        <v>1401</v>
      </c>
      <c r="D51" s="1" t="s">
        <v>1402</v>
      </c>
      <c r="E51" s="1" t="s">
        <v>1403</v>
      </c>
      <c r="F51" s="1" t="s">
        <v>1404</v>
      </c>
      <c r="G51" s="1" t="s">
        <v>958</v>
      </c>
      <c r="H51" s="1" t="s">
        <v>1405</v>
      </c>
      <c r="I51" s="1" t="s">
        <v>979</v>
      </c>
      <c r="J51" s="1" t="s">
        <v>1406</v>
      </c>
      <c r="K51" s="1" t="s">
        <v>3</v>
      </c>
      <c r="L51" s="1" t="s">
        <v>1407</v>
      </c>
      <c r="M51" s="1" t="s">
        <v>1408</v>
      </c>
      <c r="N51" s="1">
        <v>250</v>
      </c>
    </row>
    <row r="52" spans="1:14" x14ac:dyDescent="0.25">
      <c r="A52" s="20" t="s">
        <v>67</v>
      </c>
      <c r="B52" s="1" t="s">
        <v>1409</v>
      </c>
      <c r="C52" s="1" t="s">
        <v>1410</v>
      </c>
      <c r="D52" s="1" t="s">
        <v>1411</v>
      </c>
      <c r="E52" s="1" t="s">
        <v>1412</v>
      </c>
      <c r="F52" s="1" t="s">
        <v>1413</v>
      </c>
      <c r="G52" s="1" t="s">
        <v>958</v>
      </c>
      <c r="H52" s="1" t="s">
        <v>1414</v>
      </c>
      <c r="I52" s="1" t="s">
        <v>1070</v>
      </c>
      <c r="J52" s="1" t="s">
        <v>1415</v>
      </c>
      <c r="K52" s="1" t="s">
        <v>910</v>
      </c>
      <c r="L52" s="1" t="s">
        <v>1416</v>
      </c>
      <c r="M52" s="1" t="s">
        <v>1417</v>
      </c>
      <c r="N52" s="1">
        <v>366</v>
      </c>
    </row>
    <row r="53" spans="1:14" x14ac:dyDescent="0.25">
      <c r="A53" s="20" t="s">
        <v>68</v>
      </c>
      <c r="B53" s="1" t="s">
        <v>1418</v>
      </c>
      <c r="C53" s="1" t="s">
        <v>1419</v>
      </c>
      <c r="D53" s="1" t="s">
        <v>1420</v>
      </c>
      <c r="E53" s="1" t="s">
        <v>1421</v>
      </c>
      <c r="F53" s="1" t="s">
        <v>1422</v>
      </c>
      <c r="G53" s="1" t="s">
        <v>958</v>
      </c>
      <c r="H53" s="1" t="s">
        <v>1423</v>
      </c>
      <c r="I53" s="1" t="s">
        <v>979</v>
      </c>
      <c r="J53" s="1" t="s">
        <v>1424</v>
      </c>
      <c r="K53" s="1" t="s">
        <v>1</v>
      </c>
      <c r="L53" s="1" t="s">
        <v>1425</v>
      </c>
      <c r="M53" s="1" t="s">
        <v>1426</v>
      </c>
      <c r="N53" s="1">
        <v>25</v>
      </c>
    </row>
    <row r="54" spans="1:14" x14ac:dyDescent="0.25">
      <c r="A54" s="20" t="s">
        <v>69</v>
      </c>
      <c r="B54" s="1" t="s">
        <v>1427</v>
      </c>
      <c r="C54" s="1" t="s">
        <v>1428</v>
      </c>
      <c r="D54" s="1" t="s">
        <v>1429</v>
      </c>
      <c r="E54" s="1" t="s">
        <v>1430</v>
      </c>
      <c r="F54" s="1" t="s">
        <v>1431</v>
      </c>
      <c r="G54" s="1" t="s">
        <v>958</v>
      </c>
      <c r="H54" s="1" t="s">
        <v>1051</v>
      </c>
      <c r="I54" s="1" t="s">
        <v>1432</v>
      </c>
      <c r="J54" s="1" t="s">
        <v>1433</v>
      </c>
      <c r="K54" s="1" t="s">
        <v>1218</v>
      </c>
      <c r="L54" s="1" t="s">
        <v>1434</v>
      </c>
      <c r="M54" s="1" t="s">
        <v>1435</v>
      </c>
      <c r="N54" s="1">
        <v>25</v>
      </c>
    </row>
    <row r="55" spans="1:14" x14ac:dyDescent="0.25">
      <c r="A55" s="20" t="s">
        <v>70</v>
      </c>
      <c r="B55" s="1" t="s">
        <v>1436</v>
      </c>
      <c r="C55" s="1" t="s">
        <v>1437</v>
      </c>
      <c r="D55" s="1" t="s">
        <v>1438</v>
      </c>
      <c r="E55" s="1" t="s">
        <v>1439</v>
      </c>
      <c r="F55" s="1" t="s">
        <v>1440</v>
      </c>
      <c r="G55" s="1" t="s">
        <v>958</v>
      </c>
      <c r="H55" s="1" t="s">
        <v>1137</v>
      </c>
      <c r="I55" s="1" t="s">
        <v>979</v>
      </c>
      <c r="J55" s="1" t="s">
        <v>1441</v>
      </c>
      <c r="K55" s="1" t="s">
        <v>1089</v>
      </c>
      <c r="L55" s="1" t="s">
        <v>1442</v>
      </c>
      <c r="M55" s="1" t="s">
        <v>1443</v>
      </c>
      <c r="N55" s="1">
        <v>25</v>
      </c>
    </row>
    <row r="56" spans="1:14" x14ac:dyDescent="0.25">
      <c r="A56" s="20" t="s">
        <v>71</v>
      </c>
      <c r="B56" s="1" t="s">
        <v>1444</v>
      </c>
      <c r="C56" s="1" t="s">
        <v>1445</v>
      </c>
      <c r="D56" s="1" t="s">
        <v>1446</v>
      </c>
      <c r="E56" s="1" t="s">
        <v>1447</v>
      </c>
      <c r="F56" s="1" t="s">
        <v>1448</v>
      </c>
      <c r="G56" s="1" t="s">
        <v>958</v>
      </c>
      <c r="H56" s="1" t="s">
        <v>1449</v>
      </c>
      <c r="I56" s="1" t="s">
        <v>1450</v>
      </c>
      <c r="J56" s="1" t="s">
        <v>1451</v>
      </c>
      <c r="K56" s="1" t="s">
        <v>971</v>
      </c>
      <c r="L56" s="1" t="s">
        <v>972</v>
      </c>
      <c r="M56" s="1" t="s">
        <v>1452</v>
      </c>
      <c r="N56" s="1">
        <v>50</v>
      </c>
    </row>
    <row r="57" spans="1:14" x14ac:dyDescent="0.25">
      <c r="A57" s="20" t="s">
        <v>72</v>
      </c>
      <c r="B57" s="1" t="s">
        <v>1453</v>
      </c>
      <c r="C57" s="1" t="s">
        <v>1454</v>
      </c>
      <c r="D57" s="1" t="s">
        <v>1455</v>
      </c>
      <c r="E57" s="1" t="s">
        <v>1456</v>
      </c>
      <c r="F57" s="1" t="s">
        <v>1457</v>
      </c>
      <c r="G57" s="1" t="s">
        <v>958</v>
      </c>
      <c r="H57" s="1" t="s">
        <v>1458</v>
      </c>
      <c r="I57" s="1" t="s">
        <v>1116</v>
      </c>
      <c r="J57" s="1" t="s">
        <v>1459</v>
      </c>
      <c r="K57" s="1" t="s">
        <v>919</v>
      </c>
      <c r="L57" s="1" t="s">
        <v>1460</v>
      </c>
      <c r="M57" s="1" t="s">
        <v>1461</v>
      </c>
      <c r="N57" s="1">
        <v>500</v>
      </c>
    </row>
    <row r="58" spans="1:14" x14ac:dyDescent="0.25">
      <c r="A58" s="20" t="s">
        <v>73</v>
      </c>
      <c r="B58" s="1" t="s">
        <v>1462</v>
      </c>
      <c r="C58" s="1" t="s">
        <v>1463</v>
      </c>
      <c r="D58" s="1" t="s">
        <v>1464</v>
      </c>
      <c r="E58" s="1" t="s">
        <v>1465</v>
      </c>
      <c r="F58" s="1" t="s">
        <v>1466</v>
      </c>
      <c r="G58" s="1" t="s">
        <v>958</v>
      </c>
      <c r="H58" s="1" t="s">
        <v>979</v>
      </c>
      <c r="I58" s="1" t="s">
        <v>979</v>
      </c>
      <c r="J58" s="1" t="s">
        <v>1467</v>
      </c>
      <c r="K58" s="1" t="s">
        <v>1468</v>
      </c>
      <c r="L58" s="1" t="s">
        <v>1469</v>
      </c>
      <c r="M58" s="1" t="s">
        <v>1470</v>
      </c>
      <c r="N58" s="1">
        <v>300</v>
      </c>
    </row>
    <row r="59" spans="1:14" x14ac:dyDescent="0.25">
      <c r="A59" s="20" t="s">
        <v>74</v>
      </c>
      <c r="B59" s="1" t="s">
        <v>1471</v>
      </c>
      <c r="C59" s="1" t="s">
        <v>1472</v>
      </c>
      <c r="D59" s="1" t="s">
        <v>1473</v>
      </c>
      <c r="E59" s="1" t="s">
        <v>1474</v>
      </c>
      <c r="F59" s="1" t="s">
        <v>1475</v>
      </c>
      <c r="G59" s="1" t="s">
        <v>958</v>
      </c>
      <c r="H59" s="1" t="s">
        <v>1476</v>
      </c>
      <c r="I59" s="1" t="s">
        <v>1476</v>
      </c>
      <c r="J59" s="1" t="s">
        <v>1477</v>
      </c>
      <c r="K59" s="1" t="s">
        <v>1478</v>
      </c>
      <c r="L59" s="1" t="s">
        <v>1479</v>
      </c>
      <c r="M59" s="1" t="s">
        <v>1480</v>
      </c>
      <c r="N59" s="1">
        <v>25</v>
      </c>
    </row>
    <row r="60" spans="1:14" x14ac:dyDescent="0.25">
      <c r="A60" s="20" t="s">
        <v>75</v>
      </c>
      <c r="B60" s="1" t="s">
        <v>1481</v>
      </c>
      <c r="C60" s="1" t="s">
        <v>1482</v>
      </c>
      <c r="D60" s="1" t="s">
        <v>1483</v>
      </c>
      <c r="E60" s="1" t="s">
        <v>1484</v>
      </c>
      <c r="F60" s="1" t="s">
        <v>1485</v>
      </c>
      <c r="G60" s="1" t="s">
        <v>958</v>
      </c>
      <c r="H60" s="1" t="s">
        <v>968</v>
      </c>
      <c r="I60" s="1" t="s">
        <v>1070</v>
      </c>
      <c r="J60" s="1" t="s">
        <v>1486</v>
      </c>
      <c r="K60" s="1" t="s">
        <v>1</v>
      </c>
      <c r="L60" s="1" t="s">
        <v>930</v>
      </c>
      <c r="M60" s="1" t="s">
        <v>1487</v>
      </c>
      <c r="N60" s="1">
        <v>25</v>
      </c>
    </row>
    <row r="61" spans="1:14" x14ac:dyDescent="0.25">
      <c r="A61" s="20" t="s">
        <v>76</v>
      </c>
      <c r="B61" s="1" t="s">
        <v>1488</v>
      </c>
      <c r="C61" s="1" t="s">
        <v>1489</v>
      </c>
      <c r="D61" s="1" t="s">
        <v>1490</v>
      </c>
      <c r="E61" s="1" t="s">
        <v>1491</v>
      </c>
      <c r="F61" s="1" t="s">
        <v>1492</v>
      </c>
      <c r="G61" s="1" t="s">
        <v>958</v>
      </c>
      <c r="H61" s="1" t="s">
        <v>1493</v>
      </c>
      <c r="I61" s="1" t="s">
        <v>1494</v>
      </c>
      <c r="J61" s="1" t="s">
        <v>1495</v>
      </c>
      <c r="K61" s="1" t="s">
        <v>1496</v>
      </c>
      <c r="L61" s="1" t="s">
        <v>1497</v>
      </c>
      <c r="M61" s="1" t="s">
        <v>1498</v>
      </c>
      <c r="N61" s="1">
        <v>50</v>
      </c>
    </row>
    <row r="62" spans="1:14" x14ac:dyDescent="0.25">
      <c r="A62" s="20" t="s">
        <v>77</v>
      </c>
      <c r="B62" s="1" t="s">
        <v>1499</v>
      </c>
      <c r="C62" s="1" t="s">
        <v>1500</v>
      </c>
      <c r="D62" s="1" t="s">
        <v>1501</v>
      </c>
      <c r="E62" s="1" t="s">
        <v>1502</v>
      </c>
      <c r="F62" s="1" t="s">
        <v>1503</v>
      </c>
      <c r="G62" s="1" t="s">
        <v>958</v>
      </c>
      <c r="H62" s="1" t="s">
        <v>979</v>
      </c>
      <c r="I62" s="1" t="s">
        <v>979</v>
      </c>
      <c r="J62" s="1" t="s">
        <v>1504</v>
      </c>
      <c r="K62" s="1" t="s">
        <v>2</v>
      </c>
      <c r="L62" s="1" t="s">
        <v>1505</v>
      </c>
      <c r="M62" s="1" t="s">
        <v>1506</v>
      </c>
      <c r="N62" s="1">
        <v>25</v>
      </c>
    </row>
    <row r="63" spans="1:14" x14ac:dyDescent="0.25">
      <c r="A63" s="20" t="s">
        <v>78</v>
      </c>
      <c r="B63" s="1" t="s">
        <v>1507</v>
      </c>
      <c r="C63" s="1" t="s">
        <v>1508</v>
      </c>
      <c r="D63" s="1" t="s">
        <v>1509</v>
      </c>
      <c r="E63" s="1" t="s">
        <v>1510</v>
      </c>
      <c r="F63" s="1" t="s">
        <v>1511</v>
      </c>
      <c r="G63" s="1" t="s">
        <v>958</v>
      </c>
      <c r="H63" s="1" t="s">
        <v>1018</v>
      </c>
      <c r="I63" s="1" t="s">
        <v>1116</v>
      </c>
      <c r="J63" s="1" t="s">
        <v>1512</v>
      </c>
      <c r="K63" s="1" t="s">
        <v>919</v>
      </c>
      <c r="L63" s="1" t="s">
        <v>1460</v>
      </c>
      <c r="M63" s="1" t="s">
        <v>1513</v>
      </c>
      <c r="N63" s="1">
        <v>25</v>
      </c>
    </row>
    <row r="64" spans="1:14" x14ac:dyDescent="0.25">
      <c r="A64" s="20" t="s">
        <v>79</v>
      </c>
      <c r="B64" s="1" t="s">
        <v>1514</v>
      </c>
      <c r="C64" s="1" t="s">
        <v>1515</v>
      </c>
      <c r="D64" s="1" t="s">
        <v>1516</v>
      </c>
      <c r="E64" s="1" t="s">
        <v>1517</v>
      </c>
      <c r="F64" s="1" t="s">
        <v>1518</v>
      </c>
      <c r="G64" s="1" t="s">
        <v>958</v>
      </c>
      <c r="H64" s="1" t="s">
        <v>979</v>
      </c>
      <c r="I64" s="1" t="s">
        <v>979</v>
      </c>
      <c r="J64" s="1" t="s">
        <v>1519</v>
      </c>
      <c r="K64" s="1" t="s">
        <v>910</v>
      </c>
      <c r="L64" s="1" t="s">
        <v>1520</v>
      </c>
      <c r="M64" s="1" t="s">
        <v>1521</v>
      </c>
      <c r="N64" s="1">
        <v>150</v>
      </c>
    </row>
    <row r="65" spans="1:14" x14ac:dyDescent="0.25">
      <c r="A65" s="20" t="s">
        <v>80</v>
      </c>
      <c r="B65" s="1" t="s">
        <v>1522</v>
      </c>
      <c r="C65" s="1" t="s">
        <v>1523</v>
      </c>
      <c r="D65" s="1" t="s">
        <v>1524</v>
      </c>
      <c r="E65" s="1" t="s">
        <v>1525</v>
      </c>
      <c r="F65" s="1" t="s">
        <v>1526</v>
      </c>
      <c r="G65" s="1" t="s">
        <v>1527</v>
      </c>
      <c r="H65" s="1" t="s">
        <v>1008</v>
      </c>
      <c r="I65" s="1" t="s">
        <v>1009</v>
      </c>
      <c r="J65" s="1" t="s">
        <v>1528</v>
      </c>
      <c r="K65" s="1" t="s">
        <v>1310</v>
      </c>
      <c r="L65" s="1" t="s">
        <v>1529</v>
      </c>
      <c r="M65" s="1" t="s">
        <v>1530</v>
      </c>
      <c r="N65" s="1">
        <v>47</v>
      </c>
    </row>
    <row r="66" spans="1:14" x14ac:dyDescent="0.25">
      <c r="A66" s="20" t="s">
        <v>81</v>
      </c>
      <c r="B66" s="1" t="s">
        <v>1531</v>
      </c>
      <c r="C66" s="1" t="s">
        <v>1532</v>
      </c>
      <c r="D66" s="1" t="s">
        <v>1533</v>
      </c>
      <c r="E66" s="1" t="s">
        <v>1534</v>
      </c>
      <c r="F66" s="1" t="s">
        <v>1535</v>
      </c>
      <c r="G66" s="1" t="s">
        <v>958</v>
      </c>
      <c r="H66" s="1" t="s">
        <v>1536</v>
      </c>
      <c r="I66" s="1" t="s">
        <v>1536</v>
      </c>
      <c r="J66" s="1" t="s">
        <v>1537</v>
      </c>
      <c r="K66" s="1" t="s">
        <v>1</v>
      </c>
      <c r="L66" s="1" t="s">
        <v>1538</v>
      </c>
      <c r="M66" s="1" t="s">
        <v>1539</v>
      </c>
      <c r="N66" s="1">
        <v>25</v>
      </c>
    </row>
    <row r="67" spans="1:14" x14ac:dyDescent="0.25">
      <c r="A67" s="20" t="s">
        <v>82</v>
      </c>
      <c r="B67" s="1" t="s">
        <v>1540</v>
      </c>
      <c r="C67" s="1" t="s">
        <v>1541</v>
      </c>
      <c r="D67" s="1" t="s">
        <v>1542</v>
      </c>
      <c r="E67" s="1" t="s">
        <v>1543</v>
      </c>
      <c r="F67" s="1" t="s">
        <v>1544</v>
      </c>
      <c r="G67" s="1" t="s">
        <v>958</v>
      </c>
      <c r="H67" s="1" t="s">
        <v>1545</v>
      </c>
      <c r="I67" s="1" t="s">
        <v>1546</v>
      </c>
      <c r="J67" s="1" t="s">
        <v>1547</v>
      </c>
      <c r="K67" s="1" t="s">
        <v>1548</v>
      </c>
      <c r="L67" s="1" t="s">
        <v>1549</v>
      </c>
      <c r="M67" s="1" t="s">
        <v>1550</v>
      </c>
      <c r="N67" s="1">
        <v>50</v>
      </c>
    </row>
    <row r="68" spans="1:14" x14ac:dyDescent="0.25">
      <c r="A68" s="20" t="s">
        <v>83</v>
      </c>
      <c r="B68" s="1" t="s">
        <v>1551</v>
      </c>
      <c r="C68" s="1" t="s">
        <v>1552</v>
      </c>
      <c r="D68" s="1" t="s">
        <v>1553</v>
      </c>
      <c r="E68" s="1" t="s">
        <v>1554</v>
      </c>
      <c r="F68" s="1" t="s">
        <v>1555</v>
      </c>
      <c r="G68" s="1" t="s">
        <v>958</v>
      </c>
      <c r="H68" s="1" t="s">
        <v>1556</v>
      </c>
      <c r="I68" s="1" t="s">
        <v>1557</v>
      </c>
      <c r="J68" s="1" t="s">
        <v>1558</v>
      </c>
      <c r="K68" s="1" t="s">
        <v>13</v>
      </c>
      <c r="L68" s="1" t="s">
        <v>1559</v>
      </c>
      <c r="M68" s="1" t="s">
        <v>1560</v>
      </c>
      <c r="N68" s="1">
        <v>25</v>
      </c>
    </row>
    <row r="69" spans="1:14" x14ac:dyDescent="0.25">
      <c r="A69" s="20" t="s">
        <v>84</v>
      </c>
      <c r="B69" s="1" t="s">
        <v>1561</v>
      </c>
      <c r="C69" s="1" t="s">
        <v>1562</v>
      </c>
      <c r="D69" s="1" t="s">
        <v>1563</v>
      </c>
      <c r="E69" s="1" t="s">
        <v>1564</v>
      </c>
      <c r="F69" s="1" t="s">
        <v>1565</v>
      </c>
      <c r="G69" s="1" t="s">
        <v>958</v>
      </c>
      <c r="H69" s="1" t="s">
        <v>1557</v>
      </c>
      <c r="I69" s="1" t="s">
        <v>1353</v>
      </c>
      <c r="J69" s="1" t="s">
        <v>1566</v>
      </c>
      <c r="K69" s="1" t="s">
        <v>971</v>
      </c>
      <c r="L69" s="1" t="s">
        <v>1567</v>
      </c>
      <c r="M69" s="1" t="s">
        <v>1568</v>
      </c>
      <c r="N69" s="1">
        <v>200</v>
      </c>
    </row>
    <row r="70" spans="1:14" x14ac:dyDescent="0.25">
      <c r="A70" s="20" t="s">
        <v>85</v>
      </c>
      <c r="B70" s="1" t="s">
        <v>1569</v>
      </c>
      <c r="C70" s="1" t="s">
        <v>1570</v>
      </c>
      <c r="D70" s="1" t="s">
        <v>1571</v>
      </c>
      <c r="E70" s="1" t="s">
        <v>1572</v>
      </c>
      <c r="F70" s="1" t="s">
        <v>1573</v>
      </c>
      <c r="G70" s="1" t="s">
        <v>1574</v>
      </c>
      <c r="H70" s="1" t="s">
        <v>1137</v>
      </c>
      <c r="I70" s="1" t="s">
        <v>979</v>
      </c>
      <c r="J70" s="1" t="s">
        <v>1575</v>
      </c>
      <c r="K70" s="1" t="s">
        <v>8</v>
      </c>
      <c r="L70" s="1" t="s">
        <v>1129</v>
      </c>
      <c r="M70" s="1" t="s">
        <v>1576</v>
      </c>
      <c r="N70" s="1">
        <v>800</v>
      </c>
    </row>
    <row r="71" spans="1:14" x14ac:dyDescent="0.25">
      <c r="A71" s="20" t="s">
        <v>86</v>
      </c>
      <c r="B71" s="1" t="s">
        <v>1577</v>
      </c>
      <c r="C71" s="1" t="s">
        <v>1578</v>
      </c>
      <c r="D71" s="1" t="s">
        <v>1579</v>
      </c>
      <c r="E71" s="1" t="s">
        <v>1580</v>
      </c>
      <c r="F71" s="1" t="s">
        <v>1581</v>
      </c>
      <c r="G71" s="1" t="s">
        <v>958</v>
      </c>
      <c r="H71" s="1" t="s">
        <v>1582</v>
      </c>
      <c r="I71" s="1" t="s">
        <v>1583</v>
      </c>
      <c r="J71" s="1" t="s">
        <v>1584</v>
      </c>
      <c r="K71" s="1" t="s">
        <v>1310</v>
      </c>
      <c r="L71" s="1" t="s">
        <v>1311</v>
      </c>
      <c r="M71" s="1" t="s">
        <v>1585</v>
      </c>
      <c r="N71" s="1">
        <v>25</v>
      </c>
    </row>
    <row r="72" spans="1:14" x14ac:dyDescent="0.25">
      <c r="A72" s="20" t="s">
        <v>87</v>
      </c>
      <c r="B72" s="1" t="s">
        <v>1586</v>
      </c>
      <c r="C72" s="1" t="s">
        <v>1587</v>
      </c>
      <c r="D72" s="1" t="s">
        <v>1588</v>
      </c>
      <c r="E72" s="1" t="s">
        <v>1589</v>
      </c>
      <c r="F72" s="1" t="s">
        <v>1590</v>
      </c>
      <c r="G72" s="1" t="s">
        <v>958</v>
      </c>
      <c r="H72" s="1" t="s">
        <v>1591</v>
      </c>
      <c r="I72" s="1" t="s">
        <v>1591</v>
      </c>
      <c r="J72" s="1" t="s">
        <v>1592</v>
      </c>
      <c r="K72" s="1" t="s">
        <v>1478</v>
      </c>
      <c r="L72" s="1" t="s">
        <v>1479</v>
      </c>
      <c r="M72" s="1" t="s">
        <v>1593</v>
      </c>
      <c r="N72" s="1">
        <v>50</v>
      </c>
    </row>
    <row r="73" spans="1:14" x14ac:dyDescent="0.25">
      <c r="A73" s="20" t="s">
        <v>88</v>
      </c>
      <c r="B73" s="1" t="s">
        <v>1594</v>
      </c>
      <c r="C73" s="1" t="s">
        <v>1595</v>
      </c>
      <c r="D73" s="1" t="s">
        <v>1596</v>
      </c>
      <c r="E73" s="1" t="s">
        <v>1597</v>
      </c>
      <c r="F73" s="1" t="s">
        <v>1598</v>
      </c>
      <c r="G73" s="1" t="s">
        <v>958</v>
      </c>
      <c r="H73" s="1" t="s">
        <v>1599</v>
      </c>
      <c r="I73" s="1" t="s">
        <v>1308</v>
      </c>
      <c r="J73" s="1" t="s">
        <v>1600</v>
      </c>
      <c r="K73" s="1" t="s">
        <v>13</v>
      </c>
      <c r="L73" s="1" t="s">
        <v>1601</v>
      </c>
      <c r="M73" s="1" t="s">
        <v>1602</v>
      </c>
      <c r="N73" s="1">
        <v>50</v>
      </c>
    </row>
    <row r="74" spans="1:14" x14ac:dyDescent="0.25">
      <c r="A74" s="20" t="s">
        <v>89</v>
      </c>
      <c r="B74" s="1" t="s">
        <v>1603</v>
      </c>
      <c r="C74" s="1" t="s">
        <v>1604</v>
      </c>
      <c r="D74" s="1" t="s">
        <v>1605</v>
      </c>
      <c r="E74" s="1" t="s">
        <v>1606</v>
      </c>
      <c r="F74" s="1" t="s">
        <v>1607</v>
      </c>
      <c r="G74" s="1" t="s">
        <v>958</v>
      </c>
      <c r="H74" s="1" t="s">
        <v>1608</v>
      </c>
      <c r="I74" s="1" t="s">
        <v>1476</v>
      </c>
      <c r="J74" s="1" t="s">
        <v>1609</v>
      </c>
      <c r="K74" s="1" t="s">
        <v>1218</v>
      </c>
      <c r="L74" s="1" t="s">
        <v>1355</v>
      </c>
      <c r="M74" s="1" t="s">
        <v>1610</v>
      </c>
      <c r="N74" s="1">
        <v>25</v>
      </c>
    </row>
    <row r="75" spans="1:14" x14ac:dyDescent="0.25">
      <c r="A75" s="20" t="s">
        <v>90</v>
      </c>
      <c r="B75" s="1" t="s">
        <v>1611</v>
      </c>
      <c r="C75" s="1" t="s">
        <v>1612</v>
      </c>
      <c r="D75" s="1" t="s">
        <v>1613</v>
      </c>
      <c r="E75" s="1" t="s">
        <v>1614</v>
      </c>
      <c r="F75" s="1" t="s">
        <v>1615</v>
      </c>
      <c r="G75" s="1" t="s">
        <v>958</v>
      </c>
      <c r="H75" s="1" t="s">
        <v>1616</v>
      </c>
      <c r="I75" s="1" t="s">
        <v>1616</v>
      </c>
      <c r="J75" s="1" t="s">
        <v>1617</v>
      </c>
      <c r="K75" s="1" t="s">
        <v>4</v>
      </c>
      <c r="L75" s="1" t="s">
        <v>1618</v>
      </c>
      <c r="M75" s="1" t="s">
        <v>1619</v>
      </c>
      <c r="N75" s="1">
        <v>50</v>
      </c>
    </row>
    <row r="76" spans="1:14" x14ac:dyDescent="0.25">
      <c r="A76" s="20" t="s">
        <v>91</v>
      </c>
      <c r="B76" s="1" t="s">
        <v>1620</v>
      </c>
      <c r="C76" s="1" t="s">
        <v>1621</v>
      </c>
      <c r="D76" s="1" t="s">
        <v>1622</v>
      </c>
      <c r="E76" s="1" t="s">
        <v>1623</v>
      </c>
      <c r="F76" s="1" t="s">
        <v>1624</v>
      </c>
      <c r="G76" s="1" t="s">
        <v>958</v>
      </c>
      <c r="H76" s="1" t="s">
        <v>1625</v>
      </c>
      <c r="I76" s="1" t="s">
        <v>1626</v>
      </c>
      <c r="J76" s="1" t="s">
        <v>1627</v>
      </c>
      <c r="K76" s="1" t="s">
        <v>8</v>
      </c>
      <c r="L76" s="1" t="s">
        <v>1628</v>
      </c>
      <c r="M76" s="1" t="s">
        <v>1629</v>
      </c>
      <c r="N76" s="1">
        <v>25</v>
      </c>
    </row>
    <row r="77" spans="1:14" x14ac:dyDescent="0.25">
      <c r="A77" s="20" t="s">
        <v>92</v>
      </c>
      <c r="B77" s="1" t="s">
        <v>1630</v>
      </c>
      <c r="C77" s="1" t="s">
        <v>1631</v>
      </c>
      <c r="D77" s="1" t="s">
        <v>1632</v>
      </c>
      <c r="E77" s="1" t="s">
        <v>1633</v>
      </c>
      <c r="F77" s="1" t="s">
        <v>1634</v>
      </c>
      <c r="G77" s="1" t="s">
        <v>958</v>
      </c>
      <c r="H77" s="1" t="s">
        <v>1635</v>
      </c>
      <c r="I77" s="1" t="s">
        <v>1353</v>
      </c>
      <c r="J77" s="1" t="s">
        <v>1636</v>
      </c>
      <c r="K77" s="1" t="s">
        <v>1637</v>
      </c>
      <c r="L77" s="1" t="s">
        <v>1638</v>
      </c>
      <c r="M77" s="1" t="s">
        <v>1639</v>
      </c>
      <c r="N77" s="1">
        <v>25</v>
      </c>
    </row>
    <row r="78" spans="1:14" x14ac:dyDescent="0.25">
      <c r="A78" s="20" t="s">
        <v>93</v>
      </c>
      <c r="B78" s="1" t="s">
        <v>1640</v>
      </c>
      <c r="C78" s="1" t="s">
        <v>1641</v>
      </c>
      <c r="D78" s="1" t="s">
        <v>1642</v>
      </c>
      <c r="E78" s="1" t="s">
        <v>1643</v>
      </c>
      <c r="F78" s="1" t="s">
        <v>1644</v>
      </c>
      <c r="G78" s="1" t="s">
        <v>958</v>
      </c>
      <c r="H78" s="1" t="s">
        <v>1645</v>
      </c>
      <c r="I78" s="1" t="s">
        <v>979</v>
      </c>
      <c r="J78" s="1" t="s">
        <v>1646</v>
      </c>
      <c r="K78" s="1" t="s">
        <v>1647</v>
      </c>
      <c r="L78" s="1" t="s">
        <v>1648</v>
      </c>
      <c r="M78" s="1" t="s">
        <v>1649</v>
      </c>
      <c r="N78" s="1">
        <v>25</v>
      </c>
    </row>
    <row r="79" spans="1:14" x14ac:dyDescent="0.25">
      <c r="A79" s="20" t="s">
        <v>94</v>
      </c>
      <c r="B79" s="1" t="s">
        <v>1650</v>
      </c>
      <c r="C79" s="1" t="s">
        <v>1651</v>
      </c>
      <c r="D79" s="1" t="s">
        <v>1652</v>
      </c>
      <c r="E79" s="1" t="s">
        <v>1653</v>
      </c>
      <c r="F79" s="1" t="s">
        <v>1654</v>
      </c>
      <c r="G79" s="1" t="s">
        <v>958</v>
      </c>
      <c r="H79" s="1" t="s">
        <v>1137</v>
      </c>
      <c r="I79" s="1" t="s">
        <v>979</v>
      </c>
      <c r="J79" s="1" t="s">
        <v>1655</v>
      </c>
      <c r="K79" s="1" t="s">
        <v>1089</v>
      </c>
      <c r="L79" s="1" t="s">
        <v>1656</v>
      </c>
      <c r="M79" s="1" t="s">
        <v>1657</v>
      </c>
      <c r="N79" s="1">
        <v>100</v>
      </c>
    </row>
    <row r="80" spans="1:14" x14ac:dyDescent="0.25">
      <c r="A80" s="20" t="s">
        <v>95</v>
      </c>
      <c r="B80" s="1" t="s">
        <v>1658</v>
      </c>
      <c r="C80" s="1" t="s">
        <v>1659</v>
      </c>
      <c r="D80" s="1" t="s">
        <v>1660</v>
      </c>
      <c r="E80" s="1" t="s">
        <v>1661</v>
      </c>
      <c r="F80" s="1" t="s">
        <v>1662</v>
      </c>
      <c r="G80" s="1" t="s">
        <v>958</v>
      </c>
      <c r="H80" s="1" t="s">
        <v>1663</v>
      </c>
      <c r="I80" s="1" t="s">
        <v>1116</v>
      </c>
      <c r="J80" s="1" t="s">
        <v>1664</v>
      </c>
      <c r="K80" s="1" t="s">
        <v>10</v>
      </c>
      <c r="L80" s="1" t="s">
        <v>1665</v>
      </c>
      <c r="M80" s="1" t="s">
        <v>1666</v>
      </c>
      <c r="N80" s="1">
        <v>200</v>
      </c>
    </row>
    <row r="81" spans="1:14" x14ac:dyDescent="0.25">
      <c r="A81" s="20" t="s">
        <v>96</v>
      </c>
      <c r="B81" s="1" t="s">
        <v>1667</v>
      </c>
      <c r="C81" s="1" t="s">
        <v>1668</v>
      </c>
      <c r="D81" s="1" t="s">
        <v>1669</v>
      </c>
      <c r="E81" s="1" t="s">
        <v>1670</v>
      </c>
      <c r="F81" s="1" t="s">
        <v>1671</v>
      </c>
      <c r="G81" s="1" t="s">
        <v>958</v>
      </c>
      <c r="H81" s="1" t="s">
        <v>1625</v>
      </c>
      <c r="I81" s="1" t="s">
        <v>1672</v>
      </c>
      <c r="K81" s="1" t="s">
        <v>1673</v>
      </c>
      <c r="L81" s="1" t="s">
        <v>1674</v>
      </c>
      <c r="M81" s="1" t="s">
        <v>1675</v>
      </c>
      <c r="N81" s="1">
        <v>25</v>
      </c>
    </row>
    <row r="82" spans="1:14" x14ac:dyDescent="0.25">
      <c r="A82" s="20" t="s">
        <v>97</v>
      </c>
      <c r="B82" s="1" t="s">
        <v>1676</v>
      </c>
      <c r="C82" s="1" t="s">
        <v>1677</v>
      </c>
      <c r="D82" s="1" t="s">
        <v>1678</v>
      </c>
      <c r="E82" s="1" t="s">
        <v>1679</v>
      </c>
      <c r="F82" s="1" t="s">
        <v>1680</v>
      </c>
      <c r="G82" s="1" t="s">
        <v>958</v>
      </c>
      <c r="H82" s="1" t="s">
        <v>1308</v>
      </c>
      <c r="I82" s="1" t="s">
        <v>1308</v>
      </c>
      <c r="J82" s="1" t="s">
        <v>1681</v>
      </c>
      <c r="K82" s="1" t="s">
        <v>8</v>
      </c>
      <c r="L82" s="1" t="s">
        <v>1020</v>
      </c>
      <c r="M82" s="1" t="s">
        <v>1682</v>
      </c>
      <c r="N82" s="1">
        <v>25</v>
      </c>
    </row>
    <row r="83" spans="1:14" x14ac:dyDescent="0.25">
      <c r="A83" s="20" t="s">
        <v>98</v>
      </c>
      <c r="B83" s="1" t="s">
        <v>1683</v>
      </c>
      <c r="C83" s="1" t="s">
        <v>1684</v>
      </c>
      <c r="D83" s="1" t="s">
        <v>1685</v>
      </c>
      <c r="E83" s="1" t="s">
        <v>1686</v>
      </c>
      <c r="F83" s="1" t="s">
        <v>1687</v>
      </c>
      <c r="G83" s="1" t="s">
        <v>958</v>
      </c>
      <c r="H83" s="1" t="s">
        <v>1688</v>
      </c>
      <c r="I83" s="1" t="s">
        <v>1026</v>
      </c>
      <c r="J83" s="1" t="s">
        <v>1689</v>
      </c>
      <c r="K83" s="1" t="s">
        <v>8</v>
      </c>
      <c r="L83" s="1" t="s">
        <v>1690</v>
      </c>
      <c r="M83" s="1" t="s">
        <v>1691</v>
      </c>
      <c r="N83" s="1">
        <v>25</v>
      </c>
    </row>
    <row r="84" spans="1:14" x14ac:dyDescent="0.25">
      <c r="A84" s="20" t="s">
        <v>99</v>
      </c>
      <c r="B84" s="1" t="s">
        <v>1692</v>
      </c>
      <c r="C84" s="1" t="s">
        <v>1693</v>
      </c>
      <c r="D84" s="1" t="s">
        <v>1694</v>
      </c>
      <c r="E84" s="1" t="s">
        <v>1695</v>
      </c>
      <c r="F84" s="1" t="s">
        <v>1696</v>
      </c>
      <c r="G84" s="1" t="s">
        <v>958</v>
      </c>
      <c r="H84" s="1" t="s">
        <v>1697</v>
      </c>
      <c r="I84" s="1" t="s">
        <v>1698</v>
      </c>
      <c r="J84" s="1" t="s">
        <v>1699</v>
      </c>
      <c r="K84" s="1" t="s">
        <v>1548</v>
      </c>
      <c r="L84" s="1" t="s">
        <v>1549</v>
      </c>
      <c r="M84" s="1" t="s">
        <v>1700</v>
      </c>
      <c r="N84" s="1">
        <v>100</v>
      </c>
    </row>
    <row r="85" spans="1:14" x14ac:dyDescent="0.25">
      <c r="A85" s="20" t="s">
        <v>100</v>
      </c>
      <c r="B85" s="1" t="s">
        <v>1701</v>
      </c>
      <c r="C85" s="1" t="s">
        <v>1702</v>
      </c>
      <c r="D85" s="1" t="s">
        <v>1703</v>
      </c>
      <c r="E85" s="1" t="s">
        <v>1704</v>
      </c>
      <c r="F85" s="1" t="s">
        <v>1705</v>
      </c>
      <c r="G85" s="1" t="s">
        <v>958</v>
      </c>
      <c r="H85" s="1" t="s">
        <v>1706</v>
      </c>
      <c r="I85" s="1" t="s">
        <v>1707</v>
      </c>
      <c r="J85" s="1" t="s">
        <v>1708</v>
      </c>
      <c r="K85" s="1" t="s">
        <v>915</v>
      </c>
      <c r="L85" s="1" t="s">
        <v>926</v>
      </c>
      <c r="M85" s="1" t="s">
        <v>1709</v>
      </c>
      <c r="N85" s="1">
        <v>25</v>
      </c>
    </row>
    <row r="86" spans="1:14" x14ac:dyDescent="0.25">
      <c r="A86" s="20" t="s">
        <v>101</v>
      </c>
      <c r="B86" s="1" t="s">
        <v>1710</v>
      </c>
      <c r="C86" s="1" t="s">
        <v>1711</v>
      </c>
      <c r="D86" s="1" t="s">
        <v>1712</v>
      </c>
      <c r="E86" s="1" t="s">
        <v>1713</v>
      </c>
      <c r="F86" s="1" t="s">
        <v>1714</v>
      </c>
      <c r="G86" s="1" t="s">
        <v>958</v>
      </c>
      <c r="H86" s="1" t="s">
        <v>1715</v>
      </c>
      <c r="I86" s="1" t="s">
        <v>1308</v>
      </c>
      <c r="J86" s="1" t="s">
        <v>1716</v>
      </c>
      <c r="K86" s="1" t="s">
        <v>1</v>
      </c>
      <c r="L86" s="1" t="s">
        <v>1717</v>
      </c>
      <c r="M86" s="1" t="s">
        <v>1718</v>
      </c>
      <c r="N86" s="1">
        <v>250</v>
      </c>
    </row>
    <row r="87" spans="1:14" x14ac:dyDescent="0.25">
      <c r="A87" s="20" t="s">
        <v>102</v>
      </c>
      <c r="B87" s="1" t="s">
        <v>1719</v>
      </c>
      <c r="C87" s="1" t="s">
        <v>1720</v>
      </c>
      <c r="D87" s="1" t="s">
        <v>1721</v>
      </c>
      <c r="E87" s="1" t="s">
        <v>1722</v>
      </c>
      <c r="F87" s="1" t="s">
        <v>1723</v>
      </c>
      <c r="G87" s="1" t="s">
        <v>958</v>
      </c>
      <c r="H87" s="1" t="s">
        <v>1724</v>
      </c>
      <c r="I87" s="1" t="s">
        <v>1725</v>
      </c>
      <c r="J87" s="1" t="s">
        <v>1726</v>
      </c>
      <c r="K87" s="1" t="s">
        <v>910</v>
      </c>
      <c r="L87" s="1" t="s">
        <v>981</v>
      </c>
      <c r="M87" s="1" t="s">
        <v>1727</v>
      </c>
      <c r="N87" s="1">
        <v>50</v>
      </c>
    </row>
    <row r="88" spans="1:14" x14ac:dyDescent="0.25">
      <c r="A88" s="20" t="s">
        <v>103</v>
      </c>
      <c r="B88" s="1" t="s">
        <v>1728</v>
      </c>
      <c r="C88" s="1" t="s">
        <v>1729</v>
      </c>
      <c r="D88" s="1" t="s">
        <v>1730</v>
      </c>
      <c r="E88" s="1" t="s">
        <v>1731</v>
      </c>
      <c r="F88" s="1" t="s">
        <v>1732</v>
      </c>
      <c r="G88" s="1" t="s">
        <v>958</v>
      </c>
      <c r="H88" s="1" t="s">
        <v>1051</v>
      </c>
      <c r="I88" s="1" t="s">
        <v>1116</v>
      </c>
      <c r="J88" s="1" t="s">
        <v>1733</v>
      </c>
      <c r="K88" s="1" t="s">
        <v>1</v>
      </c>
      <c r="L88" s="1" t="s">
        <v>1734</v>
      </c>
      <c r="M88" s="1" t="s">
        <v>1735</v>
      </c>
      <c r="N88" s="1">
        <v>100</v>
      </c>
    </row>
    <row r="89" spans="1:14" x14ac:dyDescent="0.25">
      <c r="A89" s="20" t="s">
        <v>104</v>
      </c>
      <c r="B89" s="1" t="s">
        <v>1736</v>
      </c>
      <c r="C89" s="1" t="s">
        <v>1737</v>
      </c>
      <c r="D89" s="1" t="s">
        <v>1738</v>
      </c>
      <c r="E89" s="1" t="s">
        <v>1739</v>
      </c>
      <c r="F89" s="1" t="s">
        <v>1740</v>
      </c>
      <c r="G89" s="1" t="s">
        <v>958</v>
      </c>
      <c r="H89" s="1" t="s">
        <v>1741</v>
      </c>
      <c r="I89" s="1" t="s">
        <v>1432</v>
      </c>
      <c r="J89" s="1" t="s">
        <v>1742</v>
      </c>
      <c r="K89" s="1" t="s">
        <v>909</v>
      </c>
      <c r="L89" s="1" t="s">
        <v>1237</v>
      </c>
      <c r="M89" s="1" t="s">
        <v>1743</v>
      </c>
      <c r="N89" s="1">
        <v>100</v>
      </c>
    </row>
    <row r="90" spans="1:14" x14ac:dyDescent="0.25">
      <c r="A90" s="20" t="s">
        <v>105</v>
      </c>
      <c r="B90" s="1" t="s">
        <v>1744</v>
      </c>
      <c r="C90" s="1" t="s">
        <v>1745</v>
      </c>
      <c r="D90" s="1" t="s">
        <v>1746</v>
      </c>
      <c r="E90" s="1" t="s">
        <v>1747</v>
      </c>
      <c r="F90" s="1" t="s">
        <v>1748</v>
      </c>
      <c r="G90" s="1" t="s">
        <v>958</v>
      </c>
      <c r="H90" s="1" t="s">
        <v>1749</v>
      </c>
      <c r="I90" s="1" t="s">
        <v>1750</v>
      </c>
      <c r="J90" s="1" t="s">
        <v>1751</v>
      </c>
      <c r="K90" s="1" t="s">
        <v>910</v>
      </c>
      <c r="L90" s="1" t="s">
        <v>1752</v>
      </c>
      <c r="M90" s="1" t="s">
        <v>1753</v>
      </c>
      <c r="N90" s="1">
        <v>25</v>
      </c>
    </row>
    <row r="91" spans="1:14" x14ac:dyDescent="0.25">
      <c r="A91" s="20" t="s">
        <v>106</v>
      </c>
      <c r="B91" s="1" t="s">
        <v>1754</v>
      </c>
      <c r="C91" s="1" t="s">
        <v>1755</v>
      </c>
      <c r="D91" s="1" t="s">
        <v>1756</v>
      </c>
      <c r="E91" s="1" t="s">
        <v>1757</v>
      </c>
      <c r="F91" s="1" t="s">
        <v>1758</v>
      </c>
      <c r="G91" s="1" t="s">
        <v>958</v>
      </c>
      <c r="H91" s="1" t="s">
        <v>1759</v>
      </c>
      <c r="I91" s="1" t="s">
        <v>1760</v>
      </c>
      <c r="J91" s="1" t="s">
        <v>1761</v>
      </c>
      <c r="K91" s="1" t="s">
        <v>8</v>
      </c>
      <c r="L91" s="1" t="s">
        <v>1762</v>
      </c>
      <c r="M91" s="1" t="s">
        <v>1763</v>
      </c>
      <c r="N91" s="1">
        <v>25</v>
      </c>
    </row>
    <row r="92" spans="1:14" x14ac:dyDescent="0.25">
      <c r="A92" s="20" t="s">
        <v>107</v>
      </c>
      <c r="B92" s="1" t="s">
        <v>1764</v>
      </c>
      <c r="C92" s="1" t="s">
        <v>1765</v>
      </c>
      <c r="D92" s="1" t="s">
        <v>1766</v>
      </c>
      <c r="E92" s="1" t="s">
        <v>1767</v>
      </c>
      <c r="F92" s="1" t="s">
        <v>1768</v>
      </c>
      <c r="G92" s="1" t="s">
        <v>958</v>
      </c>
      <c r="H92" s="1" t="s">
        <v>1769</v>
      </c>
      <c r="I92" s="1" t="s">
        <v>1116</v>
      </c>
      <c r="J92" s="1" t="s">
        <v>1770</v>
      </c>
      <c r="K92" s="1" t="s">
        <v>914</v>
      </c>
      <c r="L92" s="1" t="s">
        <v>1771</v>
      </c>
      <c r="M92" s="1" t="s">
        <v>1772</v>
      </c>
      <c r="N92" s="1">
        <v>90</v>
      </c>
    </row>
    <row r="93" spans="1:14" x14ac:dyDescent="0.25">
      <c r="A93" s="20" t="s">
        <v>108</v>
      </c>
      <c r="B93" s="1" t="s">
        <v>1773</v>
      </c>
      <c r="C93" s="1" t="s">
        <v>1774</v>
      </c>
      <c r="D93" s="1" t="s">
        <v>1775</v>
      </c>
      <c r="E93" s="1" t="s">
        <v>1776</v>
      </c>
      <c r="F93" s="1" t="s">
        <v>1777</v>
      </c>
      <c r="G93" s="1" t="s">
        <v>958</v>
      </c>
      <c r="H93" s="1" t="s">
        <v>1778</v>
      </c>
      <c r="I93" s="1" t="s">
        <v>1397</v>
      </c>
      <c r="J93" s="1" t="s">
        <v>1779</v>
      </c>
      <c r="K93" s="1" t="s">
        <v>2</v>
      </c>
      <c r="L93" s="1" t="s">
        <v>1780</v>
      </c>
      <c r="M93" s="1" t="s">
        <v>1781</v>
      </c>
      <c r="N93" s="1">
        <v>25</v>
      </c>
    </row>
    <row r="94" spans="1:14" x14ac:dyDescent="0.25">
      <c r="A94" s="20" t="s">
        <v>109</v>
      </c>
      <c r="B94" s="1" t="s">
        <v>1782</v>
      </c>
      <c r="C94" s="1" t="s">
        <v>1783</v>
      </c>
      <c r="D94" s="1" t="s">
        <v>1784</v>
      </c>
      <c r="E94" s="1" t="s">
        <v>1785</v>
      </c>
      <c r="F94" s="1" t="s">
        <v>1786</v>
      </c>
      <c r="G94" s="1" t="s">
        <v>958</v>
      </c>
      <c r="H94" s="1" t="s">
        <v>1026</v>
      </c>
      <c r="I94" s="1" t="s">
        <v>1026</v>
      </c>
      <c r="J94" s="1" t="s">
        <v>1787</v>
      </c>
      <c r="K94" s="1" t="s">
        <v>8</v>
      </c>
      <c r="L94" s="1" t="s">
        <v>1020</v>
      </c>
      <c r="M94" s="1" t="s">
        <v>1788</v>
      </c>
      <c r="N94" s="1">
        <v>25</v>
      </c>
    </row>
    <row r="95" spans="1:14" x14ac:dyDescent="0.25">
      <c r="A95" s="20" t="s">
        <v>110</v>
      </c>
      <c r="B95" s="1" t="s">
        <v>1789</v>
      </c>
      <c r="C95" s="1" t="s">
        <v>1790</v>
      </c>
      <c r="D95" s="1" t="s">
        <v>1784</v>
      </c>
      <c r="E95" s="1" t="s">
        <v>1785</v>
      </c>
      <c r="F95" s="1" t="s">
        <v>1791</v>
      </c>
      <c r="G95" s="1" t="s">
        <v>958</v>
      </c>
      <c r="H95" s="1" t="s">
        <v>1026</v>
      </c>
      <c r="I95" s="1" t="s">
        <v>1026</v>
      </c>
      <c r="J95" s="1" t="s">
        <v>1787</v>
      </c>
      <c r="K95" s="1" t="s">
        <v>8</v>
      </c>
      <c r="L95" s="1" t="s">
        <v>1020</v>
      </c>
      <c r="M95" s="1" t="s">
        <v>1792</v>
      </c>
      <c r="N95" s="1">
        <v>25</v>
      </c>
    </row>
    <row r="96" spans="1:14" x14ac:dyDescent="0.25">
      <c r="A96" s="20" t="s">
        <v>111</v>
      </c>
      <c r="B96" s="1" t="s">
        <v>1793</v>
      </c>
      <c r="C96" s="1" t="s">
        <v>1794</v>
      </c>
      <c r="D96" s="1" t="s">
        <v>1795</v>
      </c>
      <c r="E96" s="1" t="s">
        <v>1796</v>
      </c>
      <c r="F96" s="1" t="s">
        <v>1797</v>
      </c>
      <c r="G96" s="1" t="s">
        <v>958</v>
      </c>
      <c r="H96" s="1" t="s">
        <v>1137</v>
      </c>
      <c r="I96" s="1" t="s">
        <v>979</v>
      </c>
      <c r="J96" s="1" t="s">
        <v>1798</v>
      </c>
      <c r="K96" s="1" t="s">
        <v>4</v>
      </c>
      <c r="L96" s="1" t="s">
        <v>924</v>
      </c>
      <c r="M96" s="1" t="s">
        <v>1799</v>
      </c>
      <c r="N96" s="1">
        <v>25</v>
      </c>
    </row>
    <row r="97" spans="1:14" x14ac:dyDescent="0.25">
      <c r="A97" s="20" t="s">
        <v>112</v>
      </c>
      <c r="B97" s="1" t="s">
        <v>1800</v>
      </c>
      <c r="C97" s="1" t="s">
        <v>1801</v>
      </c>
      <c r="D97" s="1" t="s">
        <v>1802</v>
      </c>
      <c r="E97" s="1" t="s">
        <v>1803</v>
      </c>
      <c r="F97" s="1" t="s">
        <v>1804</v>
      </c>
      <c r="G97" s="1" t="s">
        <v>958</v>
      </c>
      <c r="H97" s="1" t="s">
        <v>1805</v>
      </c>
      <c r="I97" s="1" t="s">
        <v>1018</v>
      </c>
      <c r="K97" s="1" t="s">
        <v>1</v>
      </c>
      <c r="L97" s="1" t="s">
        <v>1806</v>
      </c>
      <c r="M97" s="1" t="s">
        <v>1807</v>
      </c>
      <c r="N97" s="1">
        <v>25</v>
      </c>
    </row>
    <row r="98" spans="1:14" x14ac:dyDescent="0.25">
      <c r="A98" s="20" t="s">
        <v>113</v>
      </c>
      <c r="B98" s="1" t="s">
        <v>1808</v>
      </c>
      <c r="C98" s="1" t="s">
        <v>1809</v>
      </c>
      <c r="D98" s="1" t="s">
        <v>1810</v>
      </c>
      <c r="E98" s="1" t="s">
        <v>1811</v>
      </c>
      <c r="F98" s="1" t="s">
        <v>1812</v>
      </c>
      <c r="G98" s="1" t="s">
        <v>958</v>
      </c>
      <c r="H98" s="1" t="s">
        <v>1201</v>
      </c>
      <c r="I98" s="1" t="s">
        <v>969</v>
      </c>
      <c r="J98" s="1" t="s">
        <v>1813</v>
      </c>
      <c r="K98" s="1" t="s">
        <v>1637</v>
      </c>
      <c r="L98" s="1" t="s">
        <v>1814</v>
      </c>
      <c r="M98" s="1" t="s">
        <v>1815</v>
      </c>
      <c r="N98" s="1">
        <v>25</v>
      </c>
    </row>
    <row r="99" spans="1:14" x14ac:dyDescent="0.25">
      <c r="A99" s="20" t="s">
        <v>114</v>
      </c>
      <c r="B99" s="1" t="s">
        <v>1816</v>
      </c>
      <c r="C99" s="1" t="s">
        <v>1817</v>
      </c>
      <c r="D99" s="1" t="s">
        <v>1818</v>
      </c>
      <c r="E99" s="1" t="s">
        <v>1819</v>
      </c>
      <c r="F99" s="1" t="s">
        <v>1820</v>
      </c>
      <c r="G99" s="1" t="s">
        <v>958</v>
      </c>
      <c r="H99" s="1" t="s">
        <v>989</v>
      </c>
      <c r="I99" s="1" t="s">
        <v>989</v>
      </c>
      <c r="J99" s="1" t="s">
        <v>1821</v>
      </c>
      <c r="K99" s="1" t="s">
        <v>1478</v>
      </c>
      <c r="L99" s="1" t="s">
        <v>1479</v>
      </c>
      <c r="M99" s="1" t="s">
        <v>1822</v>
      </c>
      <c r="N99" s="1">
        <v>25</v>
      </c>
    </row>
    <row r="100" spans="1:14" x14ac:dyDescent="0.25">
      <c r="A100" s="20" t="s">
        <v>115</v>
      </c>
      <c r="B100" s="1" t="s">
        <v>1823</v>
      </c>
      <c r="C100" s="1" t="s">
        <v>1824</v>
      </c>
      <c r="D100" s="1" t="s">
        <v>1825</v>
      </c>
      <c r="E100" s="1" t="s">
        <v>1826</v>
      </c>
      <c r="F100" s="1" t="s">
        <v>1827</v>
      </c>
      <c r="G100" s="1" t="s">
        <v>958</v>
      </c>
      <c r="H100" s="1" t="s">
        <v>1715</v>
      </c>
      <c r="I100" s="1" t="s">
        <v>1308</v>
      </c>
      <c r="J100" s="1" t="s">
        <v>1828</v>
      </c>
      <c r="K100" s="1" t="s">
        <v>971</v>
      </c>
      <c r="L100" s="1" t="s">
        <v>1829</v>
      </c>
      <c r="M100" s="1" t="s">
        <v>1830</v>
      </c>
      <c r="N100" s="1">
        <v>25</v>
      </c>
    </row>
    <row r="101" spans="1:14" x14ac:dyDescent="0.25">
      <c r="A101" s="20" t="s">
        <v>116</v>
      </c>
      <c r="B101" s="1" t="s">
        <v>1831</v>
      </c>
      <c r="C101" s="1" t="s">
        <v>1832</v>
      </c>
      <c r="D101" s="1" t="s">
        <v>1833</v>
      </c>
      <c r="E101" s="1" t="s">
        <v>1834</v>
      </c>
      <c r="F101" s="1" t="s">
        <v>1835</v>
      </c>
      <c r="G101" s="1" t="s">
        <v>958</v>
      </c>
      <c r="H101" s="1" t="s">
        <v>1836</v>
      </c>
      <c r="I101" s="1" t="s">
        <v>979</v>
      </c>
      <c r="J101" s="1" t="s">
        <v>1837</v>
      </c>
      <c r="K101" s="1" t="s">
        <v>1</v>
      </c>
      <c r="L101" s="1" t="s">
        <v>1838</v>
      </c>
      <c r="M101" s="1" t="s">
        <v>1839</v>
      </c>
      <c r="N101" s="1">
        <v>25</v>
      </c>
    </row>
    <row r="102" spans="1:14" x14ac:dyDescent="0.25">
      <c r="A102" s="20" t="s">
        <v>13</v>
      </c>
      <c r="B102" s="1" t="s">
        <v>1840</v>
      </c>
      <c r="C102" s="1" t="s">
        <v>1841</v>
      </c>
      <c r="D102" s="1" t="s">
        <v>1842</v>
      </c>
      <c r="E102" s="1" t="s">
        <v>1843</v>
      </c>
      <c r="F102" s="1" t="s">
        <v>1844</v>
      </c>
      <c r="G102" s="1" t="s">
        <v>958</v>
      </c>
      <c r="H102" s="1" t="s">
        <v>1137</v>
      </c>
      <c r="I102" s="1" t="s">
        <v>1137</v>
      </c>
      <c r="J102" s="1" t="s">
        <v>1845</v>
      </c>
      <c r="K102" s="1" t="s">
        <v>1</v>
      </c>
      <c r="L102" s="1" t="s">
        <v>1846</v>
      </c>
      <c r="M102" s="1" t="s">
        <v>1847</v>
      </c>
      <c r="N102" s="1">
        <v>25</v>
      </c>
    </row>
    <row r="103" spans="1:14" x14ac:dyDescent="0.25">
      <c r="A103" s="20" t="s">
        <v>117</v>
      </c>
      <c r="B103" s="1" t="s">
        <v>1848</v>
      </c>
      <c r="C103" s="1" t="s">
        <v>1849</v>
      </c>
      <c r="D103" s="1" t="s">
        <v>1850</v>
      </c>
      <c r="E103" s="1" t="s">
        <v>1851</v>
      </c>
      <c r="F103" s="1" t="s">
        <v>1852</v>
      </c>
      <c r="G103" s="1" t="s">
        <v>958</v>
      </c>
      <c r="H103" s="1" t="s">
        <v>1853</v>
      </c>
      <c r="I103" s="1" t="s">
        <v>1853</v>
      </c>
      <c r="J103" s="1" t="s">
        <v>1854</v>
      </c>
      <c r="K103" s="1" t="s">
        <v>1</v>
      </c>
      <c r="L103" s="1" t="s">
        <v>1846</v>
      </c>
      <c r="M103" s="1" t="s">
        <v>1855</v>
      </c>
      <c r="N103" s="1">
        <v>100</v>
      </c>
    </row>
    <row r="104" spans="1:14" x14ac:dyDescent="0.25">
      <c r="A104" s="20" t="s">
        <v>118</v>
      </c>
      <c r="B104" s="1" t="s">
        <v>1856</v>
      </c>
      <c r="C104" s="1" t="s">
        <v>1857</v>
      </c>
      <c r="D104" s="1" t="s">
        <v>1858</v>
      </c>
      <c r="E104" s="1" t="s">
        <v>1859</v>
      </c>
      <c r="F104" s="1" t="s">
        <v>1860</v>
      </c>
      <c r="G104" s="1" t="s">
        <v>958</v>
      </c>
      <c r="H104" s="1" t="s">
        <v>1051</v>
      </c>
      <c r="I104" s="1" t="s">
        <v>979</v>
      </c>
      <c r="J104" s="1" t="s">
        <v>1861</v>
      </c>
      <c r="K104" s="1" t="s">
        <v>8</v>
      </c>
      <c r="L104" s="1" t="s">
        <v>1862</v>
      </c>
      <c r="M104" s="1" t="s">
        <v>1863</v>
      </c>
      <c r="N104" s="1">
        <v>200</v>
      </c>
    </row>
    <row r="105" spans="1:14" x14ac:dyDescent="0.25">
      <c r="A105" s="20" t="s">
        <v>119</v>
      </c>
      <c r="B105" s="1" t="s">
        <v>1864</v>
      </c>
      <c r="C105" s="1" t="s">
        <v>1865</v>
      </c>
      <c r="D105" s="1" t="s">
        <v>1866</v>
      </c>
      <c r="E105" s="1" t="s">
        <v>1867</v>
      </c>
      <c r="F105" s="1" t="s">
        <v>1868</v>
      </c>
      <c r="G105" s="1" t="s">
        <v>958</v>
      </c>
      <c r="H105" s="1" t="s">
        <v>1869</v>
      </c>
      <c r="I105" s="1" t="s">
        <v>1476</v>
      </c>
      <c r="J105" s="1" t="s">
        <v>1870</v>
      </c>
      <c r="K105" s="1" t="s">
        <v>1871</v>
      </c>
      <c r="L105" s="1" t="s">
        <v>1872</v>
      </c>
      <c r="M105" s="1" t="s">
        <v>1873</v>
      </c>
      <c r="N105" s="1">
        <v>200</v>
      </c>
    </row>
    <row r="106" spans="1:14" x14ac:dyDescent="0.25">
      <c r="A106" s="20" t="s">
        <v>120</v>
      </c>
      <c r="B106" s="1" t="s">
        <v>1874</v>
      </c>
      <c r="C106" s="1" t="s">
        <v>1875</v>
      </c>
      <c r="D106" s="1" t="s">
        <v>1876</v>
      </c>
      <c r="E106" s="1" t="s">
        <v>1877</v>
      </c>
      <c r="F106" s="1" t="s">
        <v>1878</v>
      </c>
      <c r="G106" s="1" t="s">
        <v>958</v>
      </c>
      <c r="H106" s="1" t="s">
        <v>1879</v>
      </c>
      <c r="I106" s="1" t="s">
        <v>1880</v>
      </c>
      <c r="J106" s="1" t="s">
        <v>1881</v>
      </c>
      <c r="K106" s="1" t="s">
        <v>2</v>
      </c>
      <c r="L106" s="1" t="s">
        <v>1882</v>
      </c>
      <c r="M106" s="1" t="s">
        <v>1883</v>
      </c>
      <c r="N106" s="1">
        <v>25</v>
      </c>
    </row>
    <row r="107" spans="1:14" x14ac:dyDescent="0.25">
      <c r="A107" s="20" t="s">
        <v>121</v>
      </c>
      <c r="B107" s="1" t="s">
        <v>1884</v>
      </c>
      <c r="C107" s="1" t="s">
        <v>1885</v>
      </c>
      <c r="D107" s="1" t="s">
        <v>1886</v>
      </c>
      <c r="E107" s="1" t="s">
        <v>1887</v>
      </c>
      <c r="F107" s="1" t="s">
        <v>1888</v>
      </c>
      <c r="G107" s="1" t="s">
        <v>958</v>
      </c>
      <c r="H107" s="1" t="s">
        <v>1363</v>
      </c>
      <c r="I107" s="1" t="s">
        <v>1363</v>
      </c>
      <c r="J107" s="1" t="s">
        <v>1889</v>
      </c>
      <c r="K107" s="1" t="s">
        <v>4</v>
      </c>
      <c r="L107" s="1" t="s">
        <v>1890</v>
      </c>
      <c r="M107" s="1" t="s">
        <v>1891</v>
      </c>
      <c r="N107" s="1">
        <v>25</v>
      </c>
    </row>
    <row r="108" spans="1:14" x14ac:dyDescent="0.25">
      <c r="A108" s="20" t="s">
        <v>122</v>
      </c>
      <c r="B108" s="1" t="s">
        <v>1892</v>
      </c>
      <c r="C108" s="1" t="s">
        <v>1893</v>
      </c>
      <c r="D108" s="1" t="s">
        <v>1894</v>
      </c>
      <c r="E108" s="1" t="s">
        <v>1895</v>
      </c>
      <c r="F108" s="1" t="s">
        <v>1896</v>
      </c>
      <c r="G108" s="1" t="s">
        <v>958</v>
      </c>
      <c r="H108" s="1" t="s">
        <v>1897</v>
      </c>
      <c r="I108" s="1" t="s">
        <v>1432</v>
      </c>
      <c r="J108" s="1" t="s">
        <v>1898</v>
      </c>
      <c r="K108" s="1" t="s">
        <v>1</v>
      </c>
      <c r="L108" s="1" t="s">
        <v>1899</v>
      </c>
      <c r="M108" s="1" t="s">
        <v>1900</v>
      </c>
      <c r="N108" s="1">
        <v>25</v>
      </c>
    </row>
    <row r="109" spans="1:14" x14ac:dyDescent="0.25">
      <c r="A109" s="20" t="s">
        <v>123</v>
      </c>
      <c r="B109" s="1" t="s">
        <v>1901</v>
      </c>
      <c r="C109" s="1" t="s">
        <v>1902</v>
      </c>
      <c r="D109" s="1" t="s">
        <v>1903</v>
      </c>
      <c r="E109" s="1" t="s">
        <v>1904</v>
      </c>
      <c r="F109" s="1" t="s">
        <v>1905</v>
      </c>
      <c r="G109" s="1" t="s">
        <v>958</v>
      </c>
      <c r="H109" s="1" t="s">
        <v>1906</v>
      </c>
      <c r="I109" s="1" t="s">
        <v>1907</v>
      </c>
      <c r="K109" s="1" t="s">
        <v>3</v>
      </c>
      <c r="L109" s="1" t="s">
        <v>1908</v>
      </c>
      <c r="M109" s="1" t="s">
        <v>1909</v>
      </c>
      <c r="N109" s="1">
        <v>25</v>
      </c>
    </row>
    <row r="110" spans="1:14" x14ac:dyDescent="0.25">
      <c r="A110" s="20" t="s">
        <v>124</v>
      </c>
      <c r="B110" s="1" t="s">
        <v>1910</v>
      </c>
      <c r="C110" s="1" t="s">
        <v>1911</v>
      </c>
      <c r="D110" s="1" t="s">
        <v>1912</v>
      </c>
      <c r="E110" s="1" t="s">
        <v>1913</v>
      </c>
      <c r="F110" s="1" t="s">
        <v>1914</v>
      </c>
      <c r="G110" s="1" t="s">
        <v>1915</v>
      </c>
      <c r="H110" s="1" t="s">
        <v>1916</v>
      </c>
      <c r="I110" s="1" t="s">
        <v>1236</v>
      </c>
      <c r="J110" s="1" t="s">
        <v>1917</v>
      </c>
      <c r="K110" s="1" t="s">
        <v>910</v>
      </c>
      <c r="L110" s="1" t="s">
        <v>1918</v>
      </c>
      <c r="M110" s="1" t="s">
        <v>1919</v>
      </c>
      <c r="N110" s="1">
        <v>25</v>
      </c>
    </row>
    <row r="111" spans="1:14" x14ac:dyDescent="0.25">
      <c r="A111" s="20" t="s">
        <v>125</v>
      </c>
      <c r="B111" s="1" t="s">
        <v>1920</v>
      </c>
      <c r="C111" s="1" t="s">
        <v>1921</v>
      </c>
      <c r="D111" s="1" t="s">
        <v>1922</v>
      </c>
      <c r="E111" s="1" t="s">
        <v>1923</v>
      </c>
      <c r="F111" s="1" t="s">
        <v>1924</v>
      </c>
      <c r="G111" s="1" t="s">
        <v>958</v>
      </c>
      <c r="H111" s="1" t="s">
        <v>1279</v>
      </c>
      <c r="I111" s="1" t="s">
        <v>1279</v>
      </c>
      <c r="J111" s="1" t="s">
        <v>1925</v>
      </c>
      <c r="K111" s="1" t="s">
        <v>8</v>
      </c>
      <c r="L111" s="1" t="s">
        <v>1020</v>
      </c>
      <c r="M111" s="1" t="s">
        <v>1926</v>
      </c>
      <c r="N111" s="1">
        <v>25</v>
      </c>
    </row>
    <row r="112" spans="1:14" x14ac:dyDescent="0.25">
      <c r="A112" s="20" t="s">
        <v>126</v>
      </c>
      <c r="B112" s="1" t="s">
        <v>1927</v>
      </c>
      <c r="C112" s="1" t="s">
        <v>1928</v>
      </c>
      <c r="D112" s="1" t="s">
        <v>1929</v>
      </c>
      <c r="E112" s="1" t="s">
        <v>1930</v>
      </c>
      <c r="F112" s="1" t="s">
        <v>1931</v>
      </c>
      <c r="G112" s="1" t="s">
        <v>958</v>
      </c>
      <c r="H112" s="1" t="s">
        <v>1051</v>
      </c>
      <c r="I112" s="1" t="s">
        <v>1432</v>
      </c>
      <c r="J112" s="1" t="s">
        <v>1932</v>
      </c>
      <c r="K112" s="1" t="s">
        <v>910</v>
      </c>
      <c r="L112" s="1" t="s">
        <v>1520</v>
      </c>
      <c r="M112" s="1" t="s">
        <v>1933</v>
      </c>
      <c r="N112" s="1">
        <v>300</v>
      </c>
    </row>
    <row r="113" spans="1:14" x14ac:dyDescent="0.25">
      <c r="A113" s="20" t="s">
        <v>127</v>
      </c>
      <c r="B113" s="1" t="s">
        <v>1934</v>
      </c>
      <c r="C113" s="1" t="s">
        <v>1935</v>
      </c>
      <c r="D113" s="1" t="s">
        <v>1936</v>
      </c>
      <c r="E113" s="1" t="s">
        <v>1937</v>
      </c>
      <c r="F113" s="1" t="s">
        <v>1938</v>
      </c>
      <c r="G113" s="1" t="s">
        <v>958</v>
      </c>
      <c r="H113" s="1" t="s">
        <v>1939</v>
      </c>
      <c r="I113" s="1" t="s">
        <v>1353</v>
      </c>
      <c r="J113" s="1" t="s">
        <v>1940</v>
      </c>
      <c r="K113" s="1" t="s">
        <v>8</v>
      </c>
      <c r="L113" s="1" t="s">
        <v>1941</v>
      </c>
      <c r="M113" s="1" t="s">
        <v>1942</v>
      </c>
      <c r="N113" s="1">
        <v>25</v>
      </c>
    </row>
    <row r="114" spans="1:14" x14ac:dyDescent="0.25">
      <c r="A114" s="20" t="s">
        <v>128</v>
      </c>
      <c r="B114" s="1" t="s">
        <v>1943</v>
      </c>
      <c r="C114" s="1" t="s">
        <v>1944</v>
      </c>
      <c r="D114" s="1" t="s">
        <v>1945</v>
      </c>
      <c r="E114" s="1" t="s">
        <v>1946</v>
      </c>
      <c r="F114" s="1" t="s">
        <v>1947</v>
      </c>
      <c r="G114" s="1" t="s">
        <v>958</v>
      </c>
      <c r="H114" s="1" t="s">
        <v>979</v>
      </c>
      <c r="I114" s="1" t="s">
        <v>979</v>
      </c>
      <c r="J114" s="1" t="s">
        <v>1948</v>
      </c>
      <c r="K114" s="1" t="s">
        <v>4</v>
      </c>
      <c r="L114" s="1" t="s">
        <v>1949</v>
      </c>
      <c r="M114" s="1" t="s">
        <v>1950</v>
      </c>
      <c r="N114" s="1">
        <v>25</v>
      </c>
    </row>
    <row r="115" spans="1:14" x14ac:dyDescent="0.25">
      <c r="A115" s="20" t="s">
        <v>129</v>
      </c>
      <c r="B115" s="1" t="s">
        <v>1951</v>
      </c>
      <c r="C115" s="1" t="s">
        <v>1952</v>
      </c>
      <c r="D115" s="1" t="s">
        <v>1953</v>
      </c>
      <c r="E115" s="1" t="s">
        <v>1954</v>
      </c>
      <c r="F115" s="1" t="s">
        <v>1955</v>
      </c>
      <c r="G115" s="1" t="s">
        <v>958</v>
      </c>
      <c r="H115" s="1" t="s">
        <v>1582</v>
      </c>
      <c r="I115" s="1" t="s">
        <v>1582</v>
      </c>
      <c r="K115" s="1" t="s">
        <v>914</v>
      </c>
      <c r="L115" s="1" t="s">
        <v>1398</v>
      </c>
      <c r="M115" s="1" t="s">
        <v>1956</v>
      </c>
      <c r="N115" s="1">
        <v>25</v>
      </c>
    </row>
    <row r="116" spans="1:14" x14ac:dyDescent="0.25">
      <c r="A116" s="20" t="s">
        <v>130</v>
      </c>
      <c r="B116" s="1" t="s">
        <v>1957</v>
      </c>
      <c r="C116" s="1" t="s">
        <v>1958</v>
      </c>
      <c r="D116" s="1" t="s">
        <v>1959</v>
      </c>
      <c r="E116" s="1" t="s">
        <v>1960</v>
      </c>
      <c r="F116" s="1" t="s">
        <v>1961</v>
      </c>
      <c r="G116" s="1" t="s">
        <v>958</v>
      </c>
      <c r="H116" s="1" t="s">
        <v>1962</v>
      </c>
      <c r="I116" s="1" t="s">
        <v>1353</v>
      </c>
      <c r="J116" s="1" t="s">
        <v>1963</v>
      </c>
      <c r="K116" s="1" t="s">
        <v>971</v>
      </c>
      <c r="L116" s="1" t="s">
        <v>972</v>
      </c>
      <c r="M116" s="1" t="s">
        <v>1964</v>
      </c>
      <c r="N116" s="1">
        <v>50</v>
      </c>
    </row>
    <row r="117" spans="1:14" x14ac:dyDescent="0.25">
      <c r="A117" s="20" t="s">
        <v>131</v>
      </c>
      <c r="B117" s="1" t="s">
        <v>1965</v>
      </c>
      <c r="C117" s="1" t="s">
        <v>1966</v>
      </c>
      <c r="D117" s="1" t="s">
        <v>1967</v>
      </c>
      <c r="E117" s="1" t="s">
        <v>1968</v>
      </c>
      <c r="F117" s="1" t="s">
        <v>1969</v>
      </c>
      <c r="G117" s="1" t="s">
        <v>958</v>
      </c>
      <c r="H117" s="1" t="s">
        <v>1970</v>
      </c>
      <c r="I117" s="1" t="s">
        <v>1971</v>
      </c>
      <c r="J117" s="1" t="s">
        <v>1972</v>
      </c>
      <c r="K117" s="1" t="s">
        <v>10</v>
      </c>
      <c r="L117" s="1" t="s">
        <v>1973</v>
      </c>
      <c r="M117" s="1" t="s">
        <v>1974</v>
      </c>
      <c r="N117" s="1">
        <v>25</v>
      </c>
    </row>
    <row r="118" spans="1:14" x14ac:dyDescent="0.25">
      <c r="A118" s="20" t="s">
        <v>132</v>
      </c>
      <c r="B118" s="1" t="s">
        <v>1975</v>
      </c>
      <c r="C118" s="1" t="s">
        <v>1976</v>
      </c>
      <c r="D118" s="1" t="s">
        <v>1977</v>
      </c>
      <c r="E118" s="1" t="s">
        <v>1978</v>
      </c>
      <c r="F118" s="1" t="s">
        <v>1979</v>
      </c>
      <c r="G118" s="1" t="s">
        <v>958</v>
      </c>
      <c r="H118" s="1" t="s">
        <v>1137</v>
      </c>
      <c r="I118" s="1" t="s">
        <v>1137</v>
      </c>
      <c r="J118" s="1" t="s">
        <v>1980</v>
      </c>
      <c r="K118" s="1" t="s">
        <v>1</v>
      </c>
      <c r="L118" s="1" t="s">
        <v>1846</v>
      </c>
      <c r="M118" s="1" t="s">
        <v>1981</v>
      </c>
      <c r="N118" s="1">
        <v>25</v>
      </c>
    </row>
    <row r="119" spans="1:14" x14ac:dyDescent="0.25">
      <c r="A119" s="20" t="s">
        <v>133</v>
      </c>
      <c r="B119" s="1" t="s">
        <v>1982</v>
      </c>
      <c r="C119" s="1" t="s">
        <v>1983</v>
      </c>
      <c r="D119" s="1" t="s">
        <v>1984</v>
      </c>
      <c r="E119" s="1" t="s">
        <v>1985</v>
      </c>
      <c r="F119" s="1" t="s">
        <v>1986</v>
      </c>
      <c r="G119" s="1" t="s">
        <v>958</v>
      </c>
      <c r="H119" s="1" t="s">
        <v>1987</v>
      </c>
      <c r="I119" s="1" t="s">
        <v>1626</v>
      </c>
      <c r="J119" s="1" t="s">
        <v>1988</v>
      </c>
      <c r="K119" s="1" t="s">
        <v>910</v>
      </c>
      <c r="L119" s="1" t="s">
        <v>981</v>
      </c>
      <c r="M119" s="1" t="s">
        <v>1989</v>
      </c>
      <c r="N119" s="1">
        <v>25</v>
      </c>
    </row>
    <row r="120" spans="1:14" x14ac:dyDescent="0.25">
      <c r="A120" s="20" t="s">
        <v>134</v>
      </c>
      <c r="B120" s="1" t="s">
        <v>1990</v>
      </c>
      <c r="C120" s="1" t="s">
        <v>1991</v>
      </c>
      <c r="D120" s="1" t="s">
        <v>1992</v>
      </c>
      <c r="E120" s="1" t="s">
        <v>1993</v>
      </c>
      <c r="F120" s="1" t="s">
        <v>1994</v>
      </c>
      <c r="G120" s="1" t="s">
        <v>958</v>
      </c>
      <c r="H120" s="1" t="s">
        <v>1995</v>
      </c>
      <c r="I120" s="1" t="s">
        <v>979</v>
      </c>
      <c r="J120" s="1" t="s">
        <v>1996</v>
      </c>
      <c r="K120" s="1" t="s">
        <v>5</v>
      </c>
      <c r="L120" s="1" t="s">
        <v>1997</v>
      </c>
      <c r="M120" s="1" t="s">
        <v>1998</v>
      </c>
      <c r="N120" s="1">
        <v>25</v>
      </c>
    </row>
    <row r="121" spans="1:14" x14ac:dyDescent="0.25">
      <c r="A121" s="20" t="s">
        <v>135</v>
      </c>
      <c r="B121" s="1" t="s">
        <v>1999</v>
      </c>
      <c r="C121" s="1" t="s">
        <v>1795</v>
      </c>
      <c r="D121" s="1" t="s">
        <v>1796</v>
      </c>
      <c r="E121" s="1" t="s">
        <v>2000</v>
      </c>
      <c r="F121" s="1" t="s">
        <v>2001</v>
      </c>
      <c r="G121" s="1" t="s">
        <v>958</v>
      </c>
      <c r="H121" s="1" t="s">
        <v>1137</v>
      </c>
      <c r="I121" s="1" t="s">
        <v>979</v>
      </c>
      <c r="J121" s="1" t="s">
        <v>1798</v>
      </c>
      <c r="K121" s="1" t="s">
        <v>4</v>
      </c>
      <c r="L121" s="1" t="s">
        <v>2002</v>
      </c>
      <c r="M121" s="1" t="s">
        <v>2003</v>
      </c>
      <c r="N121" s="1">
        <v>25</v>
      </c>
    </row>
    <row r="122" spans="1:14" x14ac:dyDescent="0.25">
      <c r="A122" s="20" t="s">
        <v>136</v>
      </c>
      <c r="B122" s="1" t="s">
        <v>2004</v>
      </c>
      <c r="C122" s="1" t="s">
        <v>2005</v>
      </c>
      <c r="D122" s="1" t="s">
        <v>2006</v>
      </c>
      <c r="E122" s="1" t="s">
        <v>2007</v>
      </c>
      <c r="F122" s="1" t="s">
        <v>2008</v>
      </c>
      <c r="G122" s="1" t="s">
        <v>958</v>
      </c>
      <c r="H122" s="1" t="s">
        <v>2009</v>
      </c>
      <c r="I122" s="1" t="s">
        <v>979</v>
      </c>
      <c r="J122" s="1" t="s">
        <v>2010</v>
      </c>
      <c r="K122" s="1" t="s">
        <v>915</v>
      </c>
      <c r="L122" s="1" t="s">
        <v>2011</v>
      </c>
      <c r="M122" s="1" t="s">
        <v>2012</v>
      </c>
      <c r="N122" s="1">
        <v>50</v>
      </c>
    </row>
    <row r="123" spans="1:14" x14ac:dyDescent="0.25">
      <c r="A123" s="20" t="s">
        <v>137</v>
      </c>
      <c r="B123" s="1" t="s">
        <v>2013</v>
      </c>
      <c r="C123" s="1" t="s">
        <v>2014</v>
      </c>
      <c r="D123" s="1" t="s">
        <v>2015</v>
      </c>
      <c r="E123" s="1" t="s">
        <v>2016</v>
      </c>
      <c r="F123" s="1" t="s">
        <v>2017</v>
      </c>
      <c r="G123" s="1" t="s">
        <v>958</v>
      </c>
      <c r="H123" s="1" t="s">
        <v>2018</v>
      </c>
      <c r="I123" s="1" t="s">
        <v>1616</v>
      </c>
      <c r="J123" s="1" t="s">
        <v>2019</v>
      </c>
      <c r="K123" s="1" t="s">
        <v>1548</v>
      </c>
      <c r="L123" s="1" t="s">
        <v>2020</v>
      </c>
      <c r="M123" s="1" t="s">
        <v>2021</v>
      </c>
      <c r="N123" s="1">
        <v>25</v>
      </c>
    </row>
    <row r="124" spans="1:14" x14ac:dyDescent="0.25">
      <c r="A124" s="20" t="s">
        <v>138</v>
      </c>
      <c r="B124" s="1" t="s">
        <v>2022</v>
      </c>
      <c r="C124" s="1" t="s">
        <v>2023</v>
      </c>
      <c r="D124" s="1" t="s">
        <v>2024</v>
      </c>
      <c r="E124" s="1" t="s">
        <v>2025</v>
      </c>
      <c r="F124" s="1" t="s">
        <v>2026</v>
      </c>
      <c r="G124" s="1" t="s">
        <v>2027</v>
      </c>
      <c r="H124" s="1" t="s">
        <v>1137</v>
      </c>
      <c r="I124" s="1" t="s">
        <v>979</v>
      </c>
      <c r="J124" s="1" t="s">
        <v>2028</v>
      </c>
      <c r="K124" s="1" t="s">
        <v>1</v>
      </c>
      <c r="L124" s="1" t="s">
        <v>2029</v>
      </c>
      <c r="M124" s="1" t="s">
        <v>2030</v>
      </c>
      <c r="N124" s="1">
        <v>50</v>
      </c>
    </row>
    <row r="125" spans="1:14" x14ac:dyDescent="0.25">
      <c r="A125" s="20" t="s">
        <v>139</v>
      </c>
      <c r="B125" s="1" t="s">
        <v>2031</v>
      </c>
      <c r="C125" s="1" t="s">
        <v>2032</v>
      </c>
      <c r="D125" s="1" t="s">
        <v>2024</v>
      </c>
      <c r="E125" s="1" t="s">
        <v>2033</v>
      </c>
      <c r="F125" s="1" t="s">
        <v>2034</v>
      </c>
      <c r="G125" s="1" t="s">
        <v>958</v>
      </c>
      <c r="H125" s="1" t="s">
        <v>2035</v>
      </c>
      <c r="I125" s="1" t="s">
        <v>1971</v>
      </c>
      <c r="J125" s="1" t="s">
        <v>2036</v>
      </c>
      <c r="K125" s="1" t="s">
        <v>13</v>
      </c>
      <c r="L125" s="1" t="s">
        <v>923</v>
      </c>
      <c r="M125" s="1" t="s">
        <v>2037</v>
      </c>
      <c r="N125" s="1">
        <v>25</v>
      </c>
    </row>
    <row r="126" spans="1:14" x14ac:dyDescent="0.25">
      <c r="A126" s="20" t="s">
        <v>140</v>
      </c>
      <c r="B126" s="1" t="s">
        <v>2038</v>
      </c>
      <c r="C126" s="1" t="s">
        <v>2039</v>
      </c>
      <c r="D126" s="1" t="s">
        <v>2040</v>
      </c>
      <c r="E126" s="1" t="s">
        <v>2041</v>
      </c>
      <c r="F126" s="1" t="s">
        <v>2042</v>
      </c>
      <c r="G126" s="1" t="s">
        <v>958</v>
      </c>
      <c r="H126" s="1" t="s">
        <v>2043</v>
      </c>
      <c r="I126" s="1" t="s">
        <v>2044</v>
      </c>
      <c r="J126" s="1" t="s">
        <v>2045</v>
      </c>
      <c r="K126" s="1" t="s">
        <v>8</v>
      </c>
      <c r="L126" s="1" t="s">
        <v>2046</v>
      </c>
      <c r="M126" s="1" t="s">
        <v>2047</v>
      </c>
      <c r="N126" s="1">
        <v>25</v>
      </c>
    </row>
    <row r="127" spans="1:14" x14ac:dyDescent="0.25">
      <c r="A127" s="20" t="s">
        <v>141</v>
      </c>
      <c r="B127" s="1" t="s">
        <v>2048</v>
      </c>
      <c r="C127" s="1" t="s">
        <v>2049</v>
      </c>
      <c r="D127" s="1" t="s">
        <v>2050</v>
      </c>
      <c r="E127" s="1" t="s">
        <v>2050</v>
      </c>
      <c r="F127" s="1" t="s">
        <v>2051</v>
      </c>
      <c r="G127" s="1" t="s">
        <v>2052</v>
      </c>
      <c r="H127" s="1" t="s">
        <v>2053</v>
      </c>
      <c r="I127" s="1" t="s">
        <v>979</v>
      </c>
      <c r="J127" s="1" t="s">
        <v>2054</v>
      </c>
      <c r="K127" s="1" t="s">
        <v>1</v>
      </c>
      <c r="L127" s="1" t="s">
        <v>2055</v>
      </c>
      <c r="M127" s="1" t="s">
        <v>2056</v>
      </c>
      <c r="N127" s="1">
        <v>25</v>
      </c>
    </row>
    <row r="128" spans="1:14" x14ac:dyDescent="0.25">
      <c r="A128" s="20" t="s">
        <v>142</v>
      </c>
      <c r="B128" s="1" t="s">
        <v>2057</v>
      </c>
      <c r="C128" s="1" t="s">
        <v>2058</v>
      </c>
      <c r="D128" s="1" t="s">
        <v>2059</v>
      </c>
      <c r="E128" s="1" t="s">
        <v>2060</v>
      </c>
      <c r="F128" s="1" t="s">
        <v>2061</v>
      </c>
      <c r="G128" s="1" t="s">
        <v>958</v>
      </c>
      <c r="H128" s="1" t="s">
        <v>1897</v>
      </c>
      <c r="I128" s="1" t="s">
        <v>1432</v>
      </c>
      <c r="J128" s="1" t="s">
        <v>1433</v>
      </c>
      <c r="K128" s="1" t="s">
        <v>2</v>
      </c>
      <c r="L128" s="1" t="s">
        <v>2062</v>
      </c>
      <c r="M128" s="1" t="s">
        <v>2063</v>
      </c>
      <c r="N128" s="1">
        <v>25</v>
      </c>
    </row>
    <row r="129" spans="1:14" x14ac:dyDescent="0.25">
      <c r="A129" s="20" t="s">
        <v>143</v>
      </c>
      <c r="B129" s="1" t="s">
        <v>2064</v>
      </c>
      <c r="C129" s="1" t="s">
        <v>2065</v>
      </c>
      <c r="D129" s="1" t="s">
        <v>2066</v>
      </c>
      <c r="E129" s="1" t="s">
        <v>2067</v>
      </c>
      <c r="F129" s="1" t="s">
        <v>2068</v>
      </c>
      <c r="G129" s="1" t="s">
        <v>958</v>
      </c>
      <c r="H129" s="1" t="s">
        <v>1663</v>
      </c>
      <c r="I129" s="1" t="s">
        <v>1707</v>
      </c>
      <c r="J129" s="1" t="s">
        <v>2069</v>
      </c>
      <c r="K129" s="1" t="s">
        <v>10</v>
      </c>
      <c r="L129" s="1" t="s">
        <v>2070</v>
      </c>
      <c r="M129" s="1" t="s">
        <v>2071</v>
      </c>
      <c r="N129" s="1">
        <v>25</v>
      </c>
    </row>
    <row r="130" spans="1:14" x14ac:dyDescent="0.25">
      <c r="A130" s="20" t="s">
        <v>144</v>
      </c>
      <c r="B130" s="1" t="s">
        <v>2072</v>
      </c>
      <c r="C130" s="1" t="s">
        <v>2073</v>
      </c>
      <c r="D130" s="1" t="s">
        <v>2074</v>
      </c>
      <c r="E130" s="1" t="s">
        <v>2075</v>
      </c>
      <c r="F130" s="1" t="s">
        <v>2076</v>
      </c>
      <c r="G130" s="1" t="s">
        <v>958</v>
      </c>
      <c r="H130" s="1" t="s">
        <v>2077</v>
      </c>
      <c r="I130" s="1" t="s">
        <v>2078</v>
      </c>
      <c r="J130" s="1" t="s">
        <v>2079</v>
      </c>
      <c r="K130" s="1" t="s">
        <v>1262</v>
      </c>
      <c r="L130" s="1" t="s">
        <v>2080</v>
      </c>
      <c r="M130" s="1" t="s">
        <v>2081</v>
      </c>
      <c r="N130" s="1">
        <v>25</v>
      </c>
    </row>
    <row r="131" spans="1:14" x14ac:dyDescent="0.25">
      <c r="A131" s="20" t="s">
        <v>145</v>
      </c>
      <c r="B131" s="1" t="s">
        <v>2082</v>
      </c>
      <c r="C131" s="1" t="s">
        <v>2083</v>
      </c>
      <c r="D131" s="1" t="s">
        <v>2084</v>
      </c>
      <c r="E131" s="1" t="s">
        <v>2085</v>
      </c>
      <c r="F131" s="1" t="s">
        <v>2086</v>
      </c>
      <c r="G131" s="1" t="s">
        <v>958</v>
      </c>
      <c r="H131" s="1" t="s">
        <v>2087</v>
      </c>
      <c r="I131" s="1" t="s">
        <v>1308</v>
      </c>
      <c r="J131" s="1" t="s">
        <v>2088</v>
      </c>
      <c r="K131" s="1" t="s">
        <v>910</v>
      </c>
      <c r="L131" s="1" t="s">
        <v>981</v>
      </c>
      <c r="M131" s="1" t="s">
        <v>2089</v>
      </c>
      <c r="N131" s="1">
        <v>25</v>
      </c>
    </row>
    <row r="132" spans="1:14" x14ac:dyDescent="0.25">
      <c r="A132" s="20" t="s">
        <v>146</v>
      </c>
      <c r="B132" s="1" t="s">
        <v>2090</v>
      </c>
      <c r="C132" s="1" t="s">
        <v>2091</v>
      </c>
      <c r="D132" s="1" t="s">
        <v>2092</v>
      </c>
      <c r="E132" s="1" t="s">
        <v>2093</v>
      </c>
      <c r="F132" s="1" t="s">
        <v>2094</v>
      </c>
      <c r="G132" s="1" t="s">
        <v>2095</v>
      </c>
      <c r="H132" s="1" t="s">
        <v>2096</v>
      </c>
      <c r="I132" s="1" t="s">
        <v>1116</v>
      </c>
      <c r="J132" s="1" t="s">
        <v>2097</v>
      </c>
      <c r="K132" s="1" t="s">
        <v>1218</v>
      </c>
      <c r="L132" s="1" t="s">
        <v>2098</v>
      </c>
      <c r="M132" s="1" t="s">
        <v>2099</v>
      </c>
      <c r="N132" s="1">
        <v>2000</v>
      </c>
    </row>
    <row r="133" spans="1:14" x14ac:dyDescent="0.25">
      <c r="A133" s="20" t="s">
        <v>147</v>
      </c>
      <c r="B133" s="1" t="s">
        <v>2100</v>
      </c>
      <c r="C133" s="1" t="s">
        <v>2101</v>
      </c>
      <c r="D133" s="1" t="s">
        <v>2102</v>
      </c>
      <c r="E133" s="1" t="s">
        <v>2103</v>
      </c>
      <c r="F133" s="1" t="s">
        <v>2104</v>
      </c>
      <c r="G133" s="1" t="s">
        <v>958</v>
      </c>
      <c r="H133" s="1" t="s">
        <v>2105</v>
      </c>
      <c r="I133" s="1" t="s">
        <v>979</v>
      </c>
      <c r="J133" s="1" t="s">
        <v>2106</v>
      </c>
      <c r="K133" s="1" t="s">
        <v>915</v>
      </c>
      <c r="L133" s="1" t="s">
        <v>2107</v>
      </c>
      <c r="M133" s="1" t="s">
        <v>2108</v>
      </c>
      <c r="N133" s="1">
        <v>500</v>
      </c>
    </row>
    <row r="134" spans="1:14" x14ac:dyDescent="0.25">
      <c r="A134" s="20" t="s">
        <v>148</v>
      </c>
      <c r="B134" s="1" t="s">
        <v>2109</v>
      </c>
      <c r="C134" s="1" t="s">
        <v>2110</v>
      </c>
      <c r="D134" s="1" t="s">
        <v>2111</v>
      </c>
      <c r="E134" s="1" t="s">
        <v>2112</v>
      </c>
      <c r="F134" s="1" t="s">
        <v>2113</v>
      </c>
      <c r="G134" s="1" t="s">
        <v>958</v>
      </c>
      <c r="H134" s="1" t="s">
        <v>2114</v>
      </c>
      <c r="I134" s="1" t="s">
        <v>1308</v>
      </c>
      <c r="J134" s="1" t="s">
        <v>2115</v>
      </c>
      <c r="K134" s="1" t="s">
        <v>1</v>
      </c>
      <c r="L134" s="1" t="s">
        <v>2116</v>
      </c>
      <c r="M134" s="1" t="s">
        <v>2117</v>
      </c>
      <c r="N134" s="1">
        <v>25</v>
      </c>
    </row>
    <row r="135" spans="1:14" x14ac:dyDescent="0.25">
      <c r="A135" s="20" t="s">
        <v>149</v>
      </c>
      <c r="B135" s="1" t="s">
        <v>2118</v>
      </c>
      <c r="C135" s="1" t="s">
        <v>2119</v>
      </c>
      <c r="D135" s="1" t="s">
        <v>2120</v>
      </c>
      <c r="E135" s="1" t="s">
        <v>2119</v>
      </c>
      <c r="F135" s="1" t="s">
        <v>2121</v>
      </c>
      <c r="G135" s="1" t="s">
        <v>958</v>
      </c>
      <c r="H135" s="1" t="s">
        <v>2122</v>
      </c>
      <c r="I135" s="1" t="s">
        <v>1070</v>
      </c>
      <c r="J135" s="1" t="s">
        <v>2123</v>
      </c>
      <c r="K135" s="1" t="s">
        <v>971</v>
      </c>
      <c r="L135" s="1" t="s">
        <v>972</v>
      </c>
      <c r="M135" s="1" t="s">
        <v>2124</v>
      </c>
      <c r="N135" s="1">
        <v>25</v>
      </c>
    </row>
    <row r="136" spans="1:14" x14ac:dyDescent="0.25">
      <c r="A136" s="20" t="s">
        <v>150</v>
      </c>
      <c r="B136" s="1" t="s">
        <v>2125</v>
      </c>
      <c r="C136" s="1" t="s">
        <v>2126</v>
      </c>
      <c r="D136" s="1" t="s">
        <v>2127</v>
      </c>
      <c r="E136" s="1" t="s">
        <v>2128</v>
      </c>
      <c r="F136" s="1" t="s">
        <v>2129</v>
      </c>
      <c r="G136" s="1" t="s">
        <v>958</v>
      </c>
      <c r="H136" s="1" t="s">
        <v>979</v>
      </c>
      <c r="I136" s="1" t="s">
        <v>979</v>
      </c>
      <c r="J136" s="1" t="s">
        <v>2130</v>
      </c>
      <c r="K136" s="1" t="s">
        <v>1871</v>
      </c>
      <c r="L136" s="1" t="s">
        <v>2131</v>
      </c>
      <c r="M136" s="1" t="s">
        <v>2132</v>
      </c>
      <c r="N136" s="1">
        <v>100</v>
      </c>
    </row>
    <row r="137" spans="1:14" x14ac:dyDescent="0.25">
      <c r="A137" s="20" t="s">
        <v>151</v>
      </c>
      <c r="B137" s="1" t="s">
        <v>2133</v>
      </c>
      <c r="C137" s="1" t="s">
        <v>2134</v>
      </c>
      <c r="D137" s="1" t="s">
        <v>2135</v>
      </c>
      <c r="E137" s="1" t="s">
        <v>2136</v>
      </c>
      <c r="F137" s="1" t="s">
        <v>2137</v>
      </c>
      <c r="G137" s="1" t="s">
        <v>958</v>
      </c>
      <c r="H137" s="1" t="s">
        <v>2138</v>
      </c>
      <c r="I137" s="1" t="s">
        <v>979</v>
      </c>
      <c r="J137" s="1" t="s">
        <v>2139</v>
      </c>
      <c r="K137" s="1" t="s">
        <v>915</v>
      </c>
      <c r="L137" s="1" t="s">
        <v>2140</v>
      </c>
      <c r="M137" s="1" t="s">
        <v>2141</v>
      </c>
      <c r="N137" s="1">
        <v>100</v>
      </c>
    </row>
    <row r="138" spans="1:14" x14ac:dyDescent="0.25">
      <c r="A138" s="20" t="s">
        <v>152</v>
      </c>
      <c r="B138" s="1" t="s">
        <v>2142</v>
      </c>
      <c r="C138" s="1" t="s">
        <v>2143</v>
      </c>
      <c r="D138" s="1" t="s">
        <v>2144</v>
      </c>
      <c r="E138" s="1" t="s">
        <v>2145</v>
      </c>
      <c r="F138" s="1" t="s">
        <v>2146</v>
      </c>
      <c r="G138" s="1" t="s">
        <v>958</v>
      </c>
      <c r="H138" s="1" t="s">
        <v>2147</v>
      </c>
      <c r="I138" s="1" t="s">
        <v>1725</v>
      </c>
      <c r="J138" s="1" t="s">
        <v>2148</v>
      </c>
      <c r="K138" s="1" t="s">
        <v>910</v>
      </c>
      <c r="L138" s="1" t="s">
        <v>2149</v>
      </c>
      <c r="M138" s="1" t="s">
        <v>2150</v>
      </c>
      <c r="N138" s="1">
        <v>25</v>
      </c>
    </row>
    <row r="139" spans="1:14" x14ac:dyDescent="0.25">
      <c r="A139" s="20" t="s">
        <v>153</v>
      </c>
      <c r="B139" s="1" t="s">
        <v>2151</v>
      </c>
      <c r="C139" s="1" t="s">
        <v>2152</v>
      </c>
      <c r="D139" s="1" t="s">
        <v>2153</v>
      </c>
      <c r="E139" s="1" t="s">
        <v>2154</v>
      </c>
      <c r="F139" s="1" t="s">
        <v>2155</v>
      </c>
      <c r="G139" s="1" t="s">
        <v>958</v>
      </c>
      <c r="H139" s="1" t="s">
        <v>2053</v>
      </c>
      <c r="I139" s="1" t="s">
        <v>979</v>
      </c>
      <c r="J139" s="1" t="s">
        <v>2156</v>
      </c>
      <c r="K139" s="1" t="s">
        <v>910</v>
      </c>
      <c r="L139" s="1" t="s">
        <v>2157</v>
      </c>
      <c r="M139" s="1" t="s">
        <v>2158</v>
      </c>
      <c r="N139" s="1">
        <v>949</v>
      </c>
    </row>
    <row r="140" spans="1:14" x14ac:dyDescent="0.25">
      <c r="A140" s="20" t="s">
        <v>154</v>
      </c>
      <c r="B140" s="1" t="s">
        <v>2159</v>
      </c>
      <c r="C140" s="1" t="s">
        <v>2160</v>
      </c>
      <c r="D140" s="1" t="s">
        <v>2161</v>
      </c>
      <c r="E140" s="1" t="s">
        <v>2162</v>
      </c>
      <c r="F140" s="1" t="s">
        <v>2163</v>
      </c>
      <c r="G140" s="1" t="s">
        <v>958</v>
      </c>
      <c r="H140" s="1" t="s">
        <v>1070</v>
      </c>
      <c r="I140" s="1" t="s">
        <v>1070</v>
      </c>
      <c r="J140" s="1" t="s">
        <v>2164</v>
      </c>
      <c r="K140" s="1" t="s">
        <v>2165</v>
      </c>
      <c r="L140" s="1" t="s">
        <v>2166</v>
      </c>
      <c r="M140" s="1" t="s">
        <v>2167</v>
      </c>
      <c r="N140" s="1">
        <v>25</v>
      </c>
    </row>
    <row r="141" spans="1:14" x14ac:dyDescent="0.25">
      <c r="A141" s="20" t="s">
        <v>155</v>
      </c>
      <c r="B141" s="1" t="s">
        <v>2168</v>
      </c>
      <c r="C141" s="1" t="s">
        <v>2169</v>
      </c>
      <c r="D141" s="1" t="s">
        <v>2170</v>
      </c>
      <c r="E141" s="1" t="s">
        <v>2171</v>
      </c>
      <c r="F141" s="1" t="s">
        <v>2172</v>
      </c>
      <c r="G141" s="1" t="s">
        <v>958</v>
      </c>
      <c r="H141" s="1" t="s">
        <v>1137</v>
      </c>
      <c r="I141" s="1" t="s">
        <v>979</v>
      </c>
      <c r="J141" s="1" t="s">
        <v>2173</v>
      </c>
      <c r="K141" s="1" t="s">
        <v>910</v>
      </c>
      <c r="L141" s="1" t="s">
        <v>2174</v>
      </c>
      <c r="M141" s="1" t="s">
        <v>2175</v>
      </c>
      <c r="N141" s="1">
        <v>725</v>
      </c>
    </row>
    <row r="142" spans="1:14" x14ac:dyDescent="0.25">
      <c r="A142" s="20" t="s">
        <v>156</v>
      </c>
      <c r="B142" s="1" t="s">
        <v>2176</v>
      </c>
      <c r="C142" s="1" t="s">
        <v>2177</v>
      </c>
      <c r="D142" s="1" t="s">
        <v>2178</v>
      </c>
      <c r="E142" s="1" t="s">
        <v>2179</v>
      </c>
      <c r="F142" s="1" t="s">
        <v>2180</v>
      </c>
      <c r="G142" s="1" t="s">
        <v>958</v>
      </c>
      <c r="H142" s="1" t="s">
        <v>2181</v>
      </c>
      <c r="I142" s="1" t="s">
        <v>1116</v>
      </c>
      <c r="J142" s="1" t="s">
        <v>2182</v>
      </c>
      <c r="K142" s="1" t="s">
        <v>2</v>
      </c>
      <c r="L142" s="1" t="s">
        <v>1327</v>
      </c>
      <c r="M142" s="1" t="s">
        <v>2183</v>
      </c>
      <c r="N142" s="1">
        <v>25</v>
      </c>
    </row>
    <row r="143" spans="1:14" x14ac:dyDescent="0.25">
      <c r="A143" s="20" t="s">
        <v>157</v>
      </c>
      <c r="B143" s="1" t="s">
        <v>2184</v>
      </c>
      <c r="C143" s="1" t="s">
        <v>2185</v>
      </c>
      <c r="D143" s="1" t="s">
        <v>2186</v>
      </c>
      <c r="E143" s="1" t="s">
        <v>2187</v>
      </c>
      <c r="F143" s="1" t="s">
        <v>2188</v>
      </c>
      <c r="G143" s="1" t="s">
        <v>2189</v>
      </c>
      <c r="H143" s="1" t="s">
        <v>2190</v>
      </c>
      <c r="I143" s="1" t="s">
        <v>979</v>
      </c>
      <c r="J143" s="1" t="s">
        <v>2191</v>
      </c>
      <c r="K143" s="1" t="s">
        <v>909</v>
      </c>
      <c r="L143" s="1" t="s">
        <v>2192</v>
      </c>
      <c r="M143" s="1" t="s">
        <v>2193</v>
      </c>
      <c r="N143" s="1">
        <v>50</v>
      </c>
    </row>
    <row r="144" spans="1:14" x14ac:dyDescent="0.25">
      <c r="A144" s="20" t="s">
        <v>158</v>
      </c>
      <c r="B144" s="1" t="s">
        <v>2194</v>
      </c>
      <c r="C144" s="1" t="s">
        <v>2195</v>
      </c>
      <c r="D144" s="1" t="s">
        <v>2196</v>
      </c>
      <c r="E144" s="1" t="s">
        <v>2197</v>
      </c>
      <c r="F144" s="1" t="s">
        <v>2198</v>
      </c>
      <c r="G144" s="1" t="s">
        <v>958</v>
      </c>
      <c r="H144" s="1" t="s">
        <v>2199</v>
      </c>
      <c r="I144" s="1" t="s">
        <v>979</v>
      </c>
      <c r="J144" s="1" t="s">
        <v>2200</v>
      </c>
      <c r="K144" s="1" t="s">
        <v>909</v>
      </c>
      <c r="L144" s="1" t="s">
        <v>2201</v>
      </c>
      <c r="M144" s="1" t="s">
        <v>2202</v>
      </c>
      <c r="N144" s="1">
        <v>25</v>
      </c>
    </row>
    <row r="145" spans="1:14" x14ac:dyDescent="0.25">
      <c r="A145" s="20" t="s">
        <v>159</v>
      </c>
      <c r="B145" s="1" t="s">
        <v>2203</v>
      </c>
      <c r="C145" s="1" t="s">
        <v>2204</v>
      </c>
      <c r="D145" s="1" t="s">
        <v>2205</v>
      </c>
      <c r="E145" s="1" t="s">
        <v>2206</v>
      </c>
      <c r="F145" s="1" t="s">
        <v>2207</v>
      </c>
      <c r="G145" s="1" t="s">
        <v>958</v>
      </c>
      <c r="H145" s="1" t="s">
        <v>2208</v>
      </c>
      <c r="I145" s="1" t="s">
        <v>2209</v>
      </c>
      <c r="J145" s="1" t="s">
        <v>2210</v>
      </c>
      <c r="K145" s="1" t="s">
        <v>8</v>
      </c>
      <c r="L145" s="1" t="s">
        <v>2211</v>
      </c>
      <c r="M145" s="1" t="s">
        <v>2212</v>
      </c>
      <c r="N145" s="1">
        <v>25</v>
      </c>
    </row>
    <row r="146" spans="1:14" x14ac:dyDescent="0.25">
      <c r="A146" s="20" t="s">
        <v>160</v>
      </c>
      <c r="B146" s="1" t="s">
        <v>2213</v>
      </c>
      <c r="C146" s="1" t="s">
        <v>2214</v>
      </c>
      <c r="D146" s="1" t="s">
        <v>2215</v>
      </c>
      <c r="E146" s="1" t="s">
        <v>2216</v>
      </c>
      <c r="F146" s="1" t="s">
        <v>2217</v>
      </c>
      <c r="G146" s="1" t="s">
        <v>958</v>
      </c>
      <c r="H146" s="1" t="s">
        <v>1362</v>
      </c>
      <c r="I146" s="1" t="s">
        <v>1363</v>
      </c>
      <c r="J146" s="1" t="s">
        <v>2218</v>
      </c>
      <c r="K146" s="1" t="s">
        <v>909</v>
      </c>
      <c r="L146" s="1" t="s">
        <v>1237</v>
      </c>
      <c r="M146" s="1" t="s">
        <v>2219</v>
      </c>
      <c r="N146" s="1">
        <v>25</v>
      </c>
    </row>
    <row r="147" spans="1:14" x14ac:dyDescent="0.25">
      <c r="A147" s="20" t="s">
        <v>161</v>
      </c>
      <c r="B147" s="1" t="s">
        <v>2220</v>
      </c>
      <c r="C147" s="1" t="s">
        <v>2221</v>
      </c>
      <c r="D147" s="1" t="s">
        <v>2222</v>
      </c>
      <c r="E147" s="1" t="s">
        <v>2223</v>
      </c>
      <c r="F147" s="1" t="s">
        <v>2224</v>
      </c>
      <c r="G147" s="1" t="s">
        <v>958</v>
      </c>
      <c r="H147" s="1" t="s">
        <v>2225</v>
      </c>
      <c r="I147" s="1" t="s">
        <v>2226</v>
      </c>
      <c r="J147" s="1" t="s">
        <v>2227</v>
      </c>
      <c r="K147" s="1" t="s">
        <v>1</v>
      </c>
      <c r="L147" s="1" t="s">
        <v>1390</v>
      </c>
      <c r="M147" s="1" t="s">
        <v>2228</v>
      </c>
      <c r="N147" s="1">
        <v>500</v>
      </c>
    </row>
    <row r="148" spans="1:14" x14ac:dyDescent="0.25">
      <c r="A148" s="20" t="s">
        <v>162</v>
      </c>
      <c r="B148" s="1" t="s">
        <v>2229</v>
      </c>
      <c r="C148" s="1" t="s">
        <v>2230</v>
      </c>
      <c r="D148" s="1" t="s">
        <v>2231</v>
      </c>
      <c r="E148" s="1" t="s">
        <v>2232</v>
      </c>
      <c r="F148" s="1" t="s">
        <v>2233</v>
      </c>
      <c r="G148" s="1" t="s">
        <v>958</v>
      </c>
      <c r="H148" s="1" t="s">
        <v>2234</v>
      </c>
      <c r="I148" s="1" t="s">
        <v>2234</v>
      </c>
      <c r="J148" s="1" t="s">
        <v>2235</v>
      </c>
      <c r="K148" s="1" t="s">
        <v>1496</v>
      </c>
      <c r="L148" s="1" t="s">
        <v>2236</v>
      </c>
      <c r="M148" s="1" t="s">
        <v>2237</v>
      </c>
      <c r="N148" s="1">
        <v>25</v>
      </c>
    </row>
    <row r="149" spans="1:14" x14ac:dyDescent="0.25">
      <c r="A149" s="20" t="s">
        <v>163</v>
      </c>
      <c r="B149" s="1" t="s">
        <v>2238</v>
      </c>
      <c r="C149" s="1" t="s">
        <v>2239</v>
      </c>
      <c r="D149" s="1" t="s">
        <v>2240</v>
      </c>
      <c r="E149" s="1" t="s">
        <v>2241</v>
      </c>
      <c r="F149" s="1" t="s">
        <v>2242</v>
      </c>
      <c r="G149" s="1" t="s">
        <v>958</v>
      </c>
      <c r="H149" s="1" t="s">
        <v>2243</v>
      </c>
      <c r="I149" s="1" t="s">
        <v>2243</v>
      </c>
      <c r="J149" s="1" t="s">
        <v>2244</v>
      </c>
      <c r="K149" s="1" t="s">
        <v>1</v>
      </c>
      <c r="L149" s="1" t="s">
        <v>1846</v>
      </c>
      <c r="M149" s="1" t="s">
        <v>2245</v>
      </c>
      <c r="N149" s="1">
        <v>25</v>
      </c>
    </row>
    <row r="150" spans="1:14" x14ac:dyDescent="0.25">
      <c r="A150" s="20" t="s">
        <v>164</v>
      </c>
      <c r="B150" s="1" t="s">
        <v>2246</v>
      </c>
      <c r="C150" s="1" t="s">
        <v>2247</v>
      </c>
      <c r="D150" s="1" t="s">
        <v>2248</v>
      </c>
      <c r="E150" s="1" t="s">
        <v>2249</v>
      </c>
      <c r="F150" s="1" t="s">
        <v>2250</v>
      </c>
      <c r="G150" s="1" t="s">
        <v>958</v>
      </c>
      <c r="H150" s="1" t="s">
        <v>979</v>
      </c>
      <c r="I150" s="1" t="s">
        <v>979</v>
      </c>
      <c r="J150" s="1" t="s">
        <v>2251</v>
      </c>
      <c r="K150" s="1" t="s">
        <v>4</v>
      </c>
      <c r="L150" s="1" t="s">
        <v>1949</v>
      </c>
      <c r="M150" s="1" t="s">
        <v>2252</v>
      </c>
      <c r="N150" s="1">
        <v>300</v>
      </c>
    </row>
    <row r="151" spans="1:14" x14ac:dyDescent="0.25">
      <c r="A151" s="20" t="s">
        <v>165</v>
      </c>
      <c r="B151" s="1" t="s">
        <v>2253</v>
      </c>
      <c r="C151" s="1" t="s">
        <v>2254</v>
      </c>
      <c r="D151" s="1" t="s">
        <v>2255</v>
      </c>
      <c r="E151" s="1" t="s">
        <v>2256</v>
      </c>
      <c r="F151" s="1" t="s">
        <v>2257</v>
      </c>
      <c r="G151" s="1" t="s">
        <v>958</v>
      </c>
      <c r="H151" s="1" t="s">
        <v>1035</v>
      </c>
      <c r="I151" s="1" t="s">
        <v>1035</v>
      </c>
      <c r="J151" s="1" t="s">
        <v>2258</v>
      </c>
      <c r="K151" s="1" t="s">
        <v>1478</v>
      </c>
      <c r="L151" s="1" t="s">
        <v>1479</v>
      </c>
      <c r="M151" s="1" t="s">
        <v>2259</v>
      </c>
      <c r="N151" s="1">
        <v>50</v>
      </c>
    </row>
    <row r="152" spans="1:14" x14ac:dyDescent="0.25">
      <c r="A152" s="20" t="s">
        <v>166</v>
      </c>
      <c r="B152" s="1" t="s">
        <v>2260</v>
      </c>
      <c r="C152" s="1" t="s">
        <v>2261</v>
      </c>
      <c r="D152" s="1" t="s">
        <v>2262</v>
      </c>
      <c r="E152" s="1" t="s">
        <v>2263</v>
      </c>
      <c r="F152" s="1" t="s">
        <v>2264</v>
      </c>
      <c r="G152" s="1" t="s">
        <v>958</v>
      </c>
      <c r="H152" s="1" t="s">
        <v>2265</v>
      </c>
      <c r="I152" s="1" t="s">
        <v>2266</v>
      </c>
      <c r="J152" s="1" t="s">
        <v>2267</v>
      </c>
      <c r="K152" s="1" t="s">
        <v>910</v>
      </c>
      <c r="L152" s="1" t="s">
        <v>981</v>
      </c>
      <c r="M152" s="1" t="s">
        <v>2268</v>
      </c>
      <c r="N152" s="1">
        <v>50</v>
      </c>
    </row>
    <row r="153" spans="1:14" x14ac:dyDescent="0.25">
      <c r="A153" s="20" t="s">
        <v>167</v>
      </c>
      <c r="B153" s="1" t="s">
        <v>2269</v>
      </c>
      <c r="C153" s="1" t="s">
        <v>2270</v>
      </c>
      <c r="D153" s="1" t="s">
        <v>2271</v>
      </c>
      <c r="E153" s="1" t="s">
        <v>2272</v>
      </c>
      <c r="F153" s="1" t="s">
        <v>2273</v>
      </c>
      <c r="G153" s="1" t="s">
        <v>958</v>
      </c>
      <c r="H153" s="1" t="s">
        <v>2274</v>
      </c>
      <c r="I153" s="1" t="s">
        <v>1353</v>
      </c>
      <c r="J153" s="1" t="s">
        <v>2275</v>
      </c>
      <c r="K153" s="1" t="s">
        <v>13</v>
      </c>
      <c r="L153" s="1" t="s">
        <v>1147</v>
      </c>
      <c r="M153" s="1" t="s">
        <v>2276</v>
      </c>
      <c r="N153" s="1">
        <v>25</v>
      </c>
    </row>
    <row r="154" spans="1:14" x14ac:dyDescent="0.25">
      <c r="A154" s="20" t="s">
        <v>168</v>
      </c>
      <c r="B154" s="1" t="s">
        <v>2277</v>
      </c>
      <c r="C154" s="1" t="s">
        <v>2278</v>
      </c>
      <c r="D154" s="1" t="s">
        <v>2279</v>
      </c>
      <c r="E154" s="1" t="s">
        <v>2280</v>
      </c>
      <c r="F154" s="1" t="s">
        <v>2281</v>
      </c>
      <c r="G154" s="1" t="s">
        <v>2282</v>
      </c>
      <c r="H154" s="1" t="s">
        <v>1137</v>
      </c>
      <c r="I154" s="1" t="s">
        <v>979</v>
      </c>
      <c r="J154" s="1" t="s">
        <v>2283</v>
      </c>
      <c r="K154" s="1" t="s">
        <v>1335</v>
      </c>
      <c r="L154" s="1" t="s">
        <v>2284</v>
      </c>
      <c r="M154" s="1" t="s">
        <v>2285</v>
      </c>
      <c r="N154" s="1">
        <v>50</v>
      </c>
    </row>
    <row r="155" spans="1:14" x14ac:dyDescent="0.25">
      <c r="A155" s="20" t="s">
        <v>169</v>
      </c>
      <c r="B155" s="1" t="s">
        <v>2286</v>
      </c>
      <c r="C155" s="1" t="s">
        <v>2287</v>
      </c>
      <c r="D155" s="1" t="s">
        <v>2288</v>
      </c>
      <c r="E155" s="1" t="s">
        <v>2289</v>
      </c>
      <c r="F155" s="1" t="s">
        <v>2290</v>
      </c>
      <c r="G155" s="1" t="s">
        <v>958</v>
      </c>
      <c r="H155" s="1" t="s">
        <v>2291</v>
      </c>
      <c r="I155" s="1" t="s">
        <v>2266</v>
      </c>
      <c r="J155" s="1" t="s">
        <v>2292</v>
      </c>
      <c r="K155" s="1" t="s">
        <v>3</v>
      </c>
      <c r="L155" s="1" t="s">
        <v>911</v>
      </c>
      <c r="M155" s="1" t="s">
        <v>2293</v>
      </c>
      <c r="N155" s="1">
        <v>200</v>
      </c>
    </row>
    <row r="156" spans="1:14" x14ac:dyDescent="0.25">
      <c r="A156" s="20" t="s">
        <v>170</v>
      </c>
      <c r="B156" s="1" t="s">
        <v>2294</v>
      </c>
      <c r="C156" s="1" t="s">
        <v>2295</v>
      </c>
      <c r="D156" s="1" t="s">
        <v>2296</v>
      </c>
      <c r="E156" s="1" t="s">
        <v>2297</v>
      </c>
      <c r="F156" s="1" t="s">
        <v>2298</v>
      </c>
      <c r="G156" s="1" t="s">
        <v>958</v>
      </c>
      <c r="H156" s="1" t="s">
        <v>2299</v>
      </c>
      <c r="I156" s="1" t="s">
        <v>1363</v>
      </c>
      <c r="J156" s="1" t="s">
        <v>2300</v>
      </c>
      <c r="K156" s="1" t="s">
        <v>919</v>
      </c>
      <c r="L156" s="1" t="s">
        <v>2301</v>
      </c>
      <c r="M156" s="1" t="s">
        <v>2302</v>
      </c>
      <c r="N156" s="1">
        <v>25</v>
      </c>
    </row>
    <row r="157" spans="1:14" x14ac:dyDescent="0.25">
      <c r="A157" s="20" t="s">
        <v>171</v>
      </c>
      <c r="B157" s="1" t="s">
        <v>2303</v>
      </c>
      <c r="C157" s="1" t="s">
        <v>2304</v>
      </c>
      <c r="D157" s="1" t="s">
        <v>2305</v>
      </c>
      <c r="E157" s="1" t="s">
        <v>2306</v>
      </c>
      <c r="F157" s="1" t="s">
        <v>2307</v>
      </c>
      <c r="G157" s="1" t="s">
        <v>958</v>
      </c>
      <c r="H157" s="1" t="s">
        <v>979</v>
      </c>
      <c r="I157" s="1" t="s">
        <v>979</v>
      </c>
      <c r="J157" s="1" t="s">
        <v>2308</v>
      </c>
      <c r="K157" s="1" t="s">
        <v>909</v>
      </c>
      <c r="L157" s="1" t="s">
        <v>1237</v>
      </c>
      <c r="M157" s="1" t="s">
        <v>2309</v>
      </c>
      <c r="N157" s="1">
        <v>300</v>
      </c>
    </row>
    <row r="158" spans="1:14" x14ac:dyDescent="0.25">
      <c r="A158" s="20" t="s">
        <v>172</v>
      </c>
      <c r="B158" s="1" t="s">
        <v>2310</v>
      </c>
      <c r="C158" s="1" t="s">
        <v>2311</v>
      </c>
      <c r="D158" s="1" t="s">
        <v>2312</v>
      </c>
      <c r="E158" s="1" t="s">
        <v>2313</v>
      </c>
      <c r="F158" s="1" t="s">
        <v>2314</v>
      </c>
      <c r="G158" s="1" t="s">
        <v>958</v>
      </c>
      <c r="H158" s="1" t="s">
        <v>1059</v>
      </c>
      <c r="I158" s="1" t="s">
        <v>1060</v>
      </c>
      <c r="J158" s="1" t="s">
        <v>2315</v>
      </c>
      <c r="K158" s="1" t="s">
        <v>1637</v>
      </c>
      <c r="L158" s="1" t="s">
        <v>2316</v>
      </c>
      <c r="M158" s="1" t="s">
        <v>2317</v>
      </c>
      <c r="N158" s="1">
        <v>25</v>
      </c>
    </row>
    <row r="159" spans="1:14" x14ac:dyDescent="0.25">
      <c r="A159" s="20" t="s">
        <v>173</v>
      </c>
      <c r="B159" s="1" t="s">
        <v>2318</v>
      </c>
      <c r="C159" s="1" t="s">
        <v>2319</v>
      </c>
      <c r="D159" s="1" t="s">
        <v>2320</v>
      </c>
      <c r="E159" s="1" t="s">
        <v>2321</v>
      </c>
      <c r="F159" s="1" t="s">
        <v>2322</v>
      </c>
      <c r="G159" s="1" t="s">
        <v>958</v>
      </c>
      <c r="H159" s="1" t="s">
        <v>1397</v>
      </c>
      <c r="I159" s="1" t="s">
        <v>2323</v>
      </c>
      <c r="J159" s="1" t="s">
        <v>2324</v>
      </c>
      <c r="K159" s="1" t="s">
        <v>13</v>
      </c>
      <c r="L159" s="1" t="s">
        <v>2325</v>
      </c>
      <c r="M159" s="1" t="s">
        <v>2326</v>
      </c>
      <c r="N159" s="1">
        <v>25</v>
      </c>
    </row>
    <row r="160" spans="1:14" x14ac:dyDescent="0.25">
      <c r="A160" s="20" t="s">
        <v>174</v>
      </c>
      <c r="B160" s="1" t="s">
        <v>2327</v>
      </c>
      <c r="C160" s="1" t="s">
        <v>2328</v>
      </c>
      <c r="D160" s="1" t="s">
        <v>2329</v>
      </c>
      <c r="E160" s="1" t="s">
        <v>2330</v>
      </c>
      <c r="F160" s="1" t="s">
        <v>2331</v>
      </c>
      <c r="G160" s="1" t="s">
        <v>958</v>
      </c>
      <c r="H160" s="1" t="s">
        <v>2332</v>
      </c>
      <c r="I160" s="1" t="s">
        <v>1035</v>
      </c>
      <c r="J160" s="1" t="s">
        <v>2333</v>
      </c>
      <c r="K160" s="1" t="s">
        <v>971</v>
      </c>
      <c r="L160" s="1" t="s">
        <v>972</v>
      </c>
      <c r="M160" s="1" t="s">
        <v>2334</v>
      </c>
      <c r="N160" s="1">
        <v>30</v>
      </c>
    </row>
    <row r="161" spans="1:14" x14ac:dyDescent="0.25">
      <c r="A161" s="20" t="s">
        <v>175</v>
      </c>
      <c r="B161" s="1" t="s">
        <v>2335</v>
      </c>
      <c r="C161" s="1" t="s">
        <v>2336</v>
      </c>
      <c r="D161" s="1" t="s">
        <v>2337</v>
      </c>
      <c r="E161" s="1" t="s">
        <v>2338</v>
      </c>
      <c r="F161" s="1" t="s">
        <v>2339</v>
      </c>
      <c r="G161" s="1" t="s">
        <v>958</v>
      </c>
      <c r="H161" s="1" t="s">
        <v>2340</v>
      </c>
      <c r="I161" s="1" t="s">
        <v>2341</v>
      </c>
      <c r="J161" s="1" t="s">
        <v>2342</v>
      </c>
      <c r="K161" s="1" t="s">
        <v>1673</v>
      </c>
      <c r="L161" s="1" t="s">
        <v>2343</v>
      </c>
      <c r="M161" s="1" t="s">
        <v>2344</v>
      </c>
      <c r="N161" s="1">
        <v>25</v>
      </c>
    </row>
    <row r="162" spans="1:14" x14ac:dyDescent="0.25">
      <c r="A162" s="20" t="s">
        <v>176</v>
      </c>
      <c r="B162" s="1" t="s">
        <v>2345</v>
      </c>
      <c r="C162" s="1" t="s">
        <v>2346</v>
      </c>
      <c r="D162" s="1" t="s">
        <v>2347</v>
      </c>
      <c r="E162" s="1" t="s">
        <v>2348</v>
      </c>
      <c r="F162" s="1" t="s">
        <v>2349</v>
      </c>
      <c r="G162" s="1" t="s">
        <v>958</v>
      </c>
      <c r="H162" s="1" t="s">
        <v>979</v>
      </c>
      <c r="I162" s="1" t="s">
        <v>979</v>
      </c>
      <c r="J162" s="1" t="s">
        <v>2350</v>
      </c>
      <c r="K162" s="1" t="s">
        <v>915</v>
      </c>
      <c r="L162" s="1" t="s">
        <v>926</v>
      </c>
      <c r="M162" s="1" t="s">
        <v>2351</v>
      </c>
      <c r="N162" s="1">
        <v>25</v>
      </c>
    </row>
    <row r="163" spans="1:14" x14ac:dyDescent="0.25">
      <c r="A163" s="20" t="s">
        <v>177</v>
      </c>
      <c r="B163" s="1" t="s">
        <v>2352</v>
      </c>
      <c r="C163" s="1" t="s">
        <v>2353</v>
      </c>
      <c r="D163" s="1" t="s">
        <v>2354</v>
      </c>
      <c r="E163" s="1" t="s">
        <v>2355</v>
      </c>
      <c r="F163" s="1" t="s">
        <v>2356</v>
      </c>
      <c r="G163" s="1" t="s">
        <v>2357</v>
      </c>
      <c r="H163" s="1" t="s">
        <v>2358</v>
      </c>
      <c r="I163" s="1" t="s">
        <v>979</v>
      </c>
      <c r="J163" s="1" t="s">
        <v>2359</v>
      </c>
      <c r="K163" s="1" t="s">
        <v>1637</v>
      </c>
      <c r="L163" s="1" t="s">
        <v>2316</v>
      </c>
      <c r="M163" s="1" t="s">
        <v>2360</v>
      </c>
      <c r="N163" s="1">
        <v>50</v>
      </c>
    </row>
    <row r="164" spans="1:14" x14ac:dyDescent="0.25">
      <c r="A164" s="20" t="s">
        <v>178</v>
      </c>
      <c r="B164" s="1" t="s">
        <v>2361</v>
      </c>
      <c r="C164" s="1" t="s">
        <v>2362</v>
      </c>
      <c r="D164" s="1" t="s">
        <v>2363</v>
      </c>
      <c r="E164" s="1" t="s">
        <v>1944</v>
      </c>
      <c r="F164" s="1" t="s">
        <v>2364</v>
      </c>
      <c r="G164" s="1" t="s">
        <v>958</v>
      </c>
      <c r="H164" s="1" t="s">
        <v>979</v>
      </c>
      <c r="I164" s="1" t="s">
        <v>979</v>
      </c>
      <c r="J164" s="1" t="s">
        <v>2365</v>
      </c>
      <c r="L164" s="1" t="s">
        <v>958</v>
      </c>
      <c r="M164" s="1" t="s">
        <v>958</v>
      </c>
      <c r="N164" s="1">
        <v>25</v>
      </c>
    </row>
    <row r="165" spans="1:14" x14ac:dyDescent="0.25">
      <c r="A165" s="20" t="s">
        <v>179</v>
      </c>
      <c r="B165" s="1" t="s">
        <v>2366</v>
      </c>
      <c r="C165" s="1" t="s">
        <v>2367</v>
      </c>
      <c r="D165" s="1" t="s">
        <v>2368</v>
      </c>
      <c r="E165" s="1" t="s">
        <v>2369</v>
      </c>
      <c r="F165" s="1" t="s">
        <v>2370</v>
      </c>
      <c r="G165" s="1" t="s">
        <v>958</v>
      </c>
      <c r="H165" s="1" t="s">
        <v>2371</v>
      </c>
      <c r="I165" s="1" t="s">
        <v>1060</v>
      </c>
      <c r="J165" s="1" t="s">
        <v>2372</v>
      </c>
      <c r="K165" s="1" t="s">
        <v>915</v>
      </c>
      <c r="L165" s="1" t="s">
        <v>926</v>
      </c>
      <c r="M165" s="1" t="s">
        <v>2373</v>
      </c>
      <c r="N165" s="1">
        <v>100</v>
      </c>
    </row>
    <row r="166" spans="1:14" x14ac:dyDescent="0.25">
      <c r="A166" s="20" t="s">
        <v>180</v>
      </c>
      <c r="B166" s="1" t="s">
        <v>2374</v>
      </c>
      <c r="C166" s="1" t="s">
        <v>2375</v>
      </c>
      <c r="D166" s="1" t="s">
        <v>2376</v>
      </c>
      <c r="E166" s="1" t="s">
        <v>2377</v>
      </c>
      <c r="F166" s="1" t="s">
        <v>2378</v>
      </c>
      <c r="G166" s="1" t="s">
        <v>958</v>
      </c>
      <c r="H166" s="1" t="s">
        <v>2379</v>
      </c>
      <c r="I166" s="1" t="s">
        <v>969</v>
      </c>
      <c r="J166" s="1" t="s">
        <v>2380</v>
      </c>
      <c r="K166" s="1" t="s">
        <v>1089</v>
      </c>
      <c r="L166" s="1" t="s">
        <v>1090</v>
      </c>
      <c r="M166" s="1" t="s">
        <v>2381</v>
      </c>
      <c r="N166" s="1">
        <v>25</v>
      </c>
    </row>
    <row r="167" spans="1:14" x14ac:dyDescent="0.25">
      <c r="A167" s="20" t="s">
        <v>181</v>
      </c>
      <c r="B167" s="1" t="s">
        <v>2382</v>
      </c>
      <c r="C167" s="1" t="s">
        <v>2383</v>
      </c>
      <c r="D167" s="1" t="s">
        <v>2384</v>
      </c>
      <c r="E167" s="1" t="s">
        <v>2385</v>
      </c>
      <c r="F167" s="1" t="s">
        <v>2386</v>
      </c>
      <c r="G167" s="1" t="s">
        <v>958</v>
      </c>
      <c r="H167" s="1" t="s">
        <v>979</v>
      </c>
      <c r="I167" s="1" t="s">
        <v>979</v>
      </c>
      <c r="J167" s="1" t="s">
        <v>2387</v>
      </c>
      <c r="K167" s="1" t="s">
        <v>1637</v>
      </c>
      <c r="L167" s="1" t="s">
        <v>2316</v>
      </c>
      <c r="M167" s="1" t="s">
        <v>2388</v>
      </c>
      <c r="N167" s="1">
        <v>25</v>
      </c>
    </row>
    <row r="168" spans="1:14" x14ac:dyDescent="0.25">
      <c r="A168" s="20" t="s">
        <v>182</v>
      </c>
      <c r="B168" s="1" t="s">
        <v>2389</v>
      </c>
      <c r="C168" s="1" t="s">
        <v>2390</v>
      </c>
      <c r="D168" s="1" t="s">
        <v>2391</v>
      </c>
      <c r="E168" s="1" t="s">
        <v>2392</v>
      </c>
      <c r="F168" s="1" t="s">
        <v>2393</v>
      </c>
      <c r="G168" s="1" t="s">
        <v>958</v>
      </c>
      <c r="H168" s="1" t="s">
        <v>2394</v>
      </c>
      <c r="I168" s="1" t="s">
        <v>1035</v>
      </c>
      <c r="J168" s="1" t="s">
        <v>2395</v>
      </c>
      <c r="K168" s="1" t="s">
        <v>1218</v>
      </c>
      <c r="L168" s="1" t="s">
        <v>2396</v>
      </c>
      <c r="M168" s="1" t="s">
        <v>2397</v>
      </c>
      <c r="N168" s="1">
        <v>50</v>
      </c>
    </row>
    <row r="169" spans="1:14" x14ac:dyDescent="0.25">
      <c r="A169" s="20" t="s">
        <v>183</v>
      </c>
      <c r="B169" s="1" t="s">
        <v>2398</v>
      </c>
      <c r="C169" s="1" t="s">
        <v>2399</v>
      </c>
      <c r="D169" s="1" t="s">
        <v>2400</v>
      </c>
      <c r="E169" s="1" t="s">
        <v>2401</v>
      </c>
      <c r="F169" s="1" t="s">
        <v>2402</v>
      </c>
      <c r="G169" s="1" t="s">
        <v>2403</v>
      </c>
      <c r="H169" s="1" t="s">
        <v>2404</v>
      </c>
      <c r="I169" s="1" t="s">
        <v>2405</v>
      </c>
      <c r="J169" s="1" t="s">
        <v>2406</v>
      </c>
      <c r="K169" s="1" t="s">
        <v>909</v>
      </c>
      <c r="L169" s="1" t="s">
        <v>1237</v>
      </c>
      <c r="M169" s="1" t="s">
        <v>2407</v>
      </c>
      <c r="N169" s="1">
        <v>25</v>
      </c>
    </row>
    <row r="170" spans="1:14" x14ac:dyDescent="0.25">
      <c r="A170" s="20" t="s">
        <v>184</v>
      </c>
      <c r="B170" s="1" t="s">
        <v>2408</v>
      </c>
      <c r="C170" s="1" t="s">
        <v>2409</v>
      </c>
      <c r="D170" s="1" t="s">
        <v>2410</v>
      </c>
      <c r="E170" s="1" t="s">
        <v>2411</v>
      </c>
      <c r="F170" s="1" t="s">
        <v>2412</v>
      </c>
      <c r="G170" s="1" t="s">
        <v>958</v>
      </c>
      <c r="H170" s="1" t="s">
        <v>2413</v>
      </c>
      <c r="I170" s="1" t="s">
        <v>1546</v>
      </c>
      <c r="J170" s="1" t="s">
        <v>2414</v>
      </c>
      <c r="K170" s="1" t="s">
        <v>1496</v>
      </c>
      <c r="L170" s="1" t="s">
        <v>2415</v>
      </c>
      <c r="M170" s="1" t="s">
        <v>2416</v>
      </c>
      <c r="N170" s="1">
        <v>50</v>
      </c>
    </row>
    <row r="171" spans="1:14" x14ac:dyDescent="0.25">
      <c r="A171" s="20" t="s">
        <v>185</v>
      </c>
      <c r="B171" s="1" t="s">
        <v>2417</v>
      </c>
      <c r="C171" s="1" t="s">
        <v>2418</v>
      </c>
      <c r="D171" s="1" t="s">
        <v>2419</v>
      </c>
      <c r="E171" s="1" t="s">
        <v>2420</v>
      </c>
      <c r="F171" s="1" t="s">
        <v>2421</v>
      </c>
      <c r="G171" s="1" t="s">
        <v>958</v>
      </c>
      <c r="H171" s="1" t="s">
        <v>2422</v>
      </c>
      <c r="I171" s="1" t="s">
        <v>1287</v>
      </c>
      <c r="J171" s="1" t="s">
        <v>2423</v>
      </c>
      <c r="K171" s="1" t="s">
        <v>915</v>
      </c>
      <c r="L171" s="1" t="s">
        <v>2424</v>
      </c>
      <c r="M171" s="1" t="s">
        <v>2425</v>
      </c>
      <c r="N171" s="1">
        <v>25</v>
      </c>
    </row>
    <row r="172" spans="1:14" x14ac:dyDescent="0.25">
      <c r="A172" s="20" t="s">
        <v>186</v>
      </c>
      <c r="B172" s="1" t="s">
        <v>2426</v>
      </c>
      <c r="C172" s="1" t="s">
        <v>2427</v>
      </c>
      <c r="D172" s="1" t="s">
        <v>2428</v>
      </c>
      <c r="E172" s="1" t="s">
        <v>2429</v>
      </c>
      <c r="F172" s="1" t="s">
        <v>2430</v>
      </c>
      <c r="G172" s="1" t="s">
        <v>958</v>
      </c>
      <c r="H172" s="1" t="s">
        <v>2431</v>
      </c>
      <c r="I172" s="1" t="s">
        <v>1308</v>
      </c>
      <c r="J172" s="1" t="s">
        <v>2432</v>
      </c>
      <c r="K172" s="1" t="s">
        <v>1871</v>
      </c>
      <c r="L172" s="1" t="s">
        <v>2433</v>
      </c>
      <c r="M172" s="1" t="s">
        <v>2434</v>
      </c>
      <c r="N172" s="1">
        <v>25</v>
      </c>
    </row>
    <row r="173" spans="1:14" x14ac:dyDescent="0.25">
      <c r="A173" s="20" t="s">
        <v>187</v>
      </c>
      <c r="B173" s="1" t="s">
        <v>2435</v>
      </c>
      <c r="C173" s="1" t="s">
        <v>2436</v>
      </c>
      <c r="D173" s="1" t="s">
        <v>2437</v>
      </c>
      <c r="E173" s="1" t="s">
        <v>2438</v>
      </c>
      <c r="F173" s="1" t="s">
        <v>2439</v>
      </c>
      <c r="G173" s="1" t="s">
        <v>958</v>
      </c>
      <c r="H173" s="1" t="s">
        <v>2440</v>
      </c>
      <c r="I173" s="1" t="s">
        <v>1308</v>
      </c>
      <c r="J173" s="1" t="s">
        <v>2441</v>
      </c>
      <c r="K173" s="1" t="s">
        <v>4</v>
      </c>
      <c r="L173" s="1" t="s">
        <v>2442</v>
      </c>
      <c r="M173" s="1" t="s">
        <v>2443</v>
      </c>
      <c r="N173" s="1">
        <v>25</v>
      </c>
    </row>
    <row r="174" spans="1:14" x14ac:dyDescent="0.25">
      <c r="A174" s="20" t="s">
        <v>188</v>
      </c>
      <c r="B174" s="1" t="s">
        <v>2444</v>
      </c>
      <c r="C174" s="1" t="s">
        <v>2445</v>
      </c>
      <c r="D174" s="1" t="s">
        <v>2446</v>
      </c>
      <c r="E174" s="1" t="s">
        <v>2447</v>
      </c>
      <c r="F174" s="1" t="s">
        <v>2448</v>
      </c>
      <c r="G174" s="1" t="s">
        <v>958</v>
      </c>
      <c r="H174" s="1" t="s">
        <v>979</v>
      </c>
      <c r="I174" s="1" t="s">
        <v>979</v>
      </c>
      <c r="J174" s="1" t="s">
        <v>2449</v>
      </c>
      <c r="L174" s="1" t="s">
        <v>958</v>
      </c>
      <c r="M174" s="1" t="s">
        <v>958</v>
      </c>
      <c r="N174" s="1">
        <v>25</v>
      </c>
    </row>
    <row r="175" spans="1:14" x14ac:dyDescent="0.25">
      <c r="A175" s="20" t="s">
        <v>189</v>
      </c>
      <c r="B175" s="1" t="s">
        <v>2450</v>
      </c>
      <c r="C175" s="1" t="s">
        <v>2451</v>
      </c>
      <c r="D175" s="1" t="s">
        <v>2452</v>
      </c>
      <c r="E175" s="1" t="s">
        <v>2453</v>
      </c>
      <c r="F175" s="1" t="s">
        <v>2454</v>
      </c>
      <c r="G175" s="1" t="s">
        <v>958</v>
      </c>
      <c r="H175" s="1" t="s">
        <v>2455</v>
      </c>
      <c r="I175" s="1" t="s">
        <v>2456</v>
      </c>
      <c r="K175" s="1" t="s">
        <v>1548</v>
      </c>
      <c r="L175" s="1" t="s">
        <v>2457</v>
      </c>
      <c r="M175" s="1" t="s">
        <v>2458</v>
      </c>
      <c r="N175" s="1">
        <v>25</v>
      </c>
    </row>
    <row r="176" spans="1:14" x14ac:dyDescent="0.25">
      <c r="A176" s="20" t="s">
        <v>190</v>
      </c>
      <c r="B176" s="1" t="s">
        <v>2459</v>
      </c>
      <c r="C176" s="1" t="s">
        <v>2460</v>
      </c>
      <c r="D176" s="1" t="s">
        <v>2461</v>
      </c>
      <c r="E176" s="1" t="s">
        <v>2462</v>
      </c>
      <c r="F176" s="1" t="s">
        <v>2463</v>
      </c>
      <c r="G176" s="1" t="s">
        <v>958</v>
      </c>
      <c r="H176" s="1" t="s">
        <v>2464</v>
      </c>
      <c r="I176" s="1" t="s">
        <v>1363</v>
      </c>
      <c r="J176" s="1" t="s">
        <v>2465</v>
      </c>
      <c r="K176" s="1" t="s">
        <v>919</v>
      </c>
      <c r="L176" s="1" t="s">
        <v>2466</v>
      </c>
      <c r="M176" s="1" t="s">
        <v>2467</v>
      </c>
      <c r="N176" s="1">
        <v>25</v>
      </c>
    </row>
    <row r="177" spans="1:14" x14ac:dyDescent="0.25">
      <c r="A177" s="20" t="s">
        <v>191</v>
      </c>
      <c r="B177" s="1" t="s">
        <v>2468</v>
      </c>
      <c r="C177" s="1" t="s">
        <v>2469</v>
      </c>
      <c r="D177" s="1" t="s">
        <v>2470</v>
      </c>
      <c r="E177" s="1" t="s">
        <v>2471</v>
      </c>
      <c r="F177" s="1" t="s">
        <v>2472</v>
      </c>
      <c r="G177" s="1" t="s">
        <v>958</v>
      </c>
      <c r="H177" s="1" t="s">
        <v>2473</v>
      </c>
      <c r="I177" s="1" t="s">
        <v>1287</v>
      </c>
      <c r="J177" s="1" t="s">
        <v>2474</v>
      </c>
      <c r="K177" s="1" t="s">
        <v>909</v>
      </c>
      <c r="L177" s="1" t="s">
        <v>1237</v>
      </c>
      <c r="M177" s="1" t="s">
        <v>2475</v>
      </c>
      <c r="N177" s="1">
        <v>25</v>
      </c>
    </row>
    <row r="178" spans="1:14" x14ac:dyDescent="0.25">
      <c r="A178" s="20" t="s">
        <v>192</v>
      </c>
      <c r="B178" s="1" t="s">
        <v>2476</v>
      </c>
      <c r="C178" s="1" t="s">
        <v>2477</v>
      </c>
      <c r="D178" s="1" t="s">
        <v>2478</v>
      </c>
      <c r="E178" s="1" t="s">
        <v>2479</v>
      </c>
      <c r="F178" s="1" t="s">
        <v>2480</v>
      </c>
      <c r="G178" s="1" t="s">
        <v>958</v>
      </c>
      <c r="H178" s="1" t="s">
        <v>2481</v>
      </c>
      <c r="I178" s="1" t="s">
        <v>1450</v>
      </c>
      <c r="J178" s="1" t="s">
        <v>2482</v>
      </c>
      <c r="K178" s="1" t="s">
        <v>971</v>
      </c>
      <c r="L178" s="1" t="s">
        <v>2483</v>
      </c>
      <c r="M178" s="1" t="s">
        <v>2484</v>
      </c>
      <c r="N178" s="1">
        <v>100</v>
      </c>
    </row>
    <row r="179" spans="1:14" x14ac:dyDescent="0.25">
      <c r="A179" s="20" t="s">
        <v>193</v>
      </c>
      <c r="B179" s="1" t="s">
        <v>2485</v>
      </c>
      <c r="C179" s="1" t="s">
        <v>2486</v>
      </c>
      <c r="D179" s="1" t="s">
        <v>2487</v>
      </c>
      <c r="E179" s="1" t="s">
        <v>2488</v>
      </c>
      <c r="F179" s="1" t="s">
        <v>2489</v>
      </c>
      <c r="G179" s="1" t="s">
        <v>958</v>
      </c>
      <c r="H179" s="1" t="s">
        <v>979</v>
      </c>
      <c r="I179" s="1" t="s">
        <v>979</v>
      </c>
      <c r="J179" s="1" t="s">
        <v>2490</v>
      </c>
      <c r="K179" s="1" t="s">
        <v>1548</v>
      </c>
      <c r="L179" s="1" t="s">
        <v>1549</v>
      </c>
      <c r="M179" s="1" t="s">
        <v>2491</v>
      </c>
      <c r="N179" s="1">
        <v>25</v>
      </c>
    </row>
    <row r="180" spans="1:14" x14ac:dyDescent="0.25">
      <c r="A180" s="20" t="s">
        <v>194</v>
      </c>
      <c r="B180" s="1" t="s">
        <v>2492</v>
      </c>
      <c r="C180" s="1" t="s">
        <v>2493</v>
      </c>
      <c r="D180" s="1" t="s">
        <v>2494</v>
      </c>
      <c r="E180" s="1" t="s">
        <v>1420</v>
      </c>
      <c r="F180" s="1" t="s">
        <v>2495</v>
      </c>
      <c r="G180" s="1" t="s">
        <v>958</v>
      </c>
      <c r="H180" s="1" t="s">
        <v>1116</v>
      </c>
      <c r="I180" s="1" t="s">
        <v>1116</v>
      </c>
      <c r="J180" s="1" t="s">
        <v>2496</v>
      </c>
      <c r="K180" s="1" t="s">
        <v>1089</v>
      </c>
      <c r="L180" s="1" t="s">
        <v>2497</v>
      </c>
      <c r="M180" s="1" t="s">
        <v>2498</v>
      </c>
      <c r="N180" s="1">
        <v>700</v>
      </c>
    </row>
    <row r="181" spans="1:14" x14ac:dyDescent="0.25">
      <c r="A181" s="20" t="s">
        <v>195</v>
      </c>
      <c r="B181" s="1" t="s">
        <v>2499</v>
      </c>
      <c r="C181" s="1" t="s">
        <v>2500</v>
      </c>
      <c r="D181" s="1" t="s">
        <v>2501</v>
      </c>
      <c r="E181" s="1" t="s">
        <v>2502</v>
      </c>
      <c r="F181" s="1" t="s">
        <v>2503</v>
      </c>
      <c r="G181" s="1" t="s">
        <v>958</v>
      </c>
      <c r="H181" s="1" t="s">
        <v>2504</v>
      </c>
      <c r="I181" s="1" t="s">
        <v>979</v>
      </c>
      <c r="J181" s="1" t="s">
        <v>2505</v>
      </c>
      <c r="K181" s="1" t="s">
        <v>2506</v>
      </c>
      <c r="L181" s="1" t="s">
        <v>2507</v>
      </c>
      <c r="M181" s="1" t="s">
        <v>2508</v>
      </c>
      <c r="N181" s="1">
        <v>25</v>
      </c>
    </row>
    <row r="182" spans="1:14" x14ac:dyDescent="0.25">
      <c r="A182" s="20" t="s">
        <v>196</v>
      </c>
      <c r="B182" s="1" t="s">
        <v>2509</v>
      </c>
      <c r="C182" s="1" t="s">
        <v>2510</v>
      </c>
      <c r="D182" s="1" t="s">
        <v>2511</v>
      </c>
      <c r="E182" s="1" t="s">
        <v>2512</v>
      </c>
      <c r="F182" s="1" t="s">
        <v>2513</v>
      </c>
      <c r="G182" s="1" t="s">
        <v>958</v>
      </c>
      <c r="H182" s="1" t="s">
        <v>2514</v>
      </c>
      <c r="I182" s="1" t="s">
        <v>2515</v>
      </c>
      <c r="J182" s="1" t="s">
        <v>2516</v>
      </c>
      <c r="K182" s="1" t="s">
        <v>1262</v>
      </c>
      <c r="L182" s="1" t="s">
        <v>2517</v>
      </c>
      <c r="M182" s="1" t="s">
        <v>2518</v>
      </c>
      <c r="N182" s="1">
        <v>25</v>
      </c>
    </row>
    <row r="183" spans="1:14" x14ac:dyDescent="0.25">
      <c r="A183" s="20" t="s">
        <v>197</v>
      </c>
      <c r="B183" s="1" t="s">
        <v>2519</v>
      </c>
      <c r="C183" s="1" t="s">
        <v>2520</v>
      </c>
      <c r="D183" s="1" t="s">
        <v>2521</v>
      </c>
      <c r="E183" s="1" t="s">
        <v>2522</v>
      </c>
      <c r="F183" s="1" t="s">
        <v>2523</v>
      </c>
      <c r="G183" s="1" t="s">
        <v>958</v>
      </c>
      <c r="H183" s="1" t="s">
        <v>1051</v>
      </c>
      <c r="I183" s="1" t="s">
        <v>1116</v>
      </c>
      <c r="J183" s="1" t="s">
        <v>2524</v>
      </c>
      <c r="K183" s="1" t="s">
        <v>1</v>
      </c>
      <c r="L183" s="1" t="s">
        <v>1734</v>
      </c>
      <c r="M183" s="1" t="s">
        <v>2525</v>
      </c>
      <c r="N183" s="1">
        <v>100</v>
      </c>
    </row>
    <row r="184" spans="1:14" x14ac:dyDescent="0.25">
      <c r="A184" s="20" t="s">
        <v>198</v>
      </c>
      <c r="B184" s="1" t="s">
        <v>2526</v>
      </c>
      <c r="C184" s="1" t="s">
        <v>2527</v>
      </c>
      <c r="D184" s="1" t="s">
        <v>2528</v>
      </c>
      <c r="E184" s="1" t="s">
        <v>2529</v>
      </c>
      <c r="F184" s="1" t="s">
        <v>2530</v>
      </c>
      <c r="G184" s="1" t="s">
        <v>958</v>
      </c>
      <c r="H184" s="1" t="s">
        <v>2531</v>
      </c>
      <c r="I184" s="1" t="s">
        <v>1287</v>
      </c>
      <c r="J184" s="1" t="s">
        <v>2532</v>
      </c>
      <c r="K184" s="1" t="s">
        <v>915</v>
      </c>
      <c r="L184" s="1" t="s">
        <v>2533</v>
      </c>
      <c r="M184" s="1" t="s">
        <v>2534</v>
      </c>
      <c r="N184" s="1">
        <v>25</v>
      </c>
    </row>
    <row r="185" spans="1:14" x14ac:dyDescent="0.25">
      <c r="A185" s="20" t="s">
        <v>199</v>
      </c>
      <c r="B185" s="1" t="s">
        <v>2535</v>
      </c>
      <c r="C185" s="1" t="s">
        <v>2536</v>
      </c>
      <c r="D185" s="1" t="s">
        <v>2537</v>
      </c>
      <c r="E185" s="1" t="s">
        <v>2538</v>
      </c>
      <c r="F185" s="1" t="s">
        <v>2539</v>
      </c>
      <c r="G185" s="1" t="s">
        <v>958</v>
      </c>
      <c r="H185" s="1" t="s">
        <v>2540</v>
      </c>
      <c r="I185" s="1" t="s">
        <v>960</v>
      </c>
      <c r="J185" s="1" t="s">
        <v>2541</v>
      </c>
      <c r="K185" s="1" t="s">
        <v>910</v>
      </c>
      <c r="L185" s="1" t="s">
        <v>981</v>
      </c>
      <c r="M185" s="1" t="s">
        <v>2542</v>
      </c>
      <c r="N185" s="1">
        <v>25</v>
      </c>
    </row>
    <row r="186" spans="1:14" x14ac:dyDescent="0.25">
      <c r="A186" s="20" t="s">
        <v>200</v>
      </c>
      <c r="B186" s="1" t="s">
        <v>2543</v>
      </c>
      <c r="C186" s="1" t="s">
        <v>2544</v>
      </c>
      <c r="D186" s="1" t="s">
        <v>2545</v>
      </c>
      <c r="E186" s="1" t="s">
        <v>2546</v>
      </c>
      <c r="F186" s="1" t="s">
        <v>2547</v>
      </c>
      <c r="G186" s="1" t="s">
        <v>958</v>
      </c>
      <c r="H186" s="1" t="s">
        <v>1582</v>
      </c>
      <c r="I186" s="1" t="s">
        <v>1583</v>
      </c>
      <c r="J186" s="1" t="s">
        <v>2548</v>
      </c>
      <c r="K186" s="1" t="s">
        <v>2549</v>
      </c>
      <c r="L186" s="1" t="s">
        <v>2550</v>
      </c>
      <c r="M186" s="1" t="s">
        <v>2551</v>
      </c>
      <c r="N186" s="1">
        <v>25</v>
      </c>
    </row>
    <row r="187" spans="1:14" x14ac:dyDescent="0.25">
      <c r="A187" s="20" t="s">
        <v>201</v>
      </c>
      <c r="B187" s="1" t="s">
        <v>2552</v>
      </c>
      <c r="C187" s="1" t="s">
        <v>2553</v>
      </c>
      <c r="D187" s="1" t="s">
        <v>2554</v>
      </c>
      <c r="E187" s="1" t="s">
        <v>2555</v>
      </c>
      <c r="F187" s="1" t="s">
        <v>2556</v>
      </c>
      <c r="G187" s="1" t="s">
        <v>958</v>
      </c>
      <c r="H187" s="1" t="s">
        <v>979</v>
      </c>
      <c r="I187" s="1" t="s">
        <v>979</v>
      </c>
      <c r="J187" s="1" t="s">
        <v>2557</v>
      </c>
      <c r="K187" s="1" t="s">
        <v>1647</v>
      </c>
      <c r="L187" s="1" t="s">
        <v>2558</v>
      </c>
      <c r="M187" s="1" t="s">
        <v>2559</v>
      </c>
      <c r="N187" s="1">
        <v>25</v>
      </c>
    </row>
    <row r="188" spans="1:14" x14ac:dyDescent="0.25">
      <c r="A188" s="20" t="s">
        <v>202</v>
      </c>
      <c r="B188" s="1" t="s">
        <v>2560</v>
      </c>
      <c r="C188" s="1" t="s">
        <v>2561</v>
      </c>
      <c r="D188" s="1" t="s">
        <v>2562</v>
      </c>
      <c r="E188" s="1" t="s">
        <v>2563</v>
      </c>
      <c r="F188" s="1" t="s">
        <v>2564</v>
      </c>
      <c r="G188" s="1" t="s">
        <v>958</v>
      </c>
      <c r="H188" s="1" t="s">
        <v>1137</v>
      </c>
      <c r="I188" s="1" t="s">
        <v>979</v>
      </c>
      <c r="J188" s="1" t="s">
        <v>2565</v>
      </c>
      <c r="K188" s="1" t="s">
        <v>1</v>
      </c>
      <c r="L188" s="1" t="s">
        <v>930</v>
      </c>
      <c r="M188" s="1" t="s">
        <v>2566</v>
      </c>
      <c r="N188" s="1">
        <v>310</v>
      </c>
    </row>
    <row r="189" spans="1:14" x14ac:dyDescent="0.25">
      <c r="A189" s="20" t="s">
        <v>203</v>
      </c>
      <c r="B189" s="1" t="s">
        <v>2567</v>
      </c>
      <c r="C189" s="1" t="s">
        <v>2568</v>
      </c>
      <c r="D189" s="1" t="s">
        <v>2569</v>
      </c>
      <c r="E189" s="1" t="s">
        <v>2570</v>
      </c>
      <c r="F189" s="1" t="s">
        <v>2571</v>
      </c>
      <c r="G189" s="1" t="s">
        <v>958</v>
      </c>
      <c r="H189" s="1" t="s">
        <v>968</v>
      </c>
      <c r="I189" s="1" t="s">
        <v>1070</v>
      </c>
      <c r="J189" s="1" t="s">
        <v>1486</v>
      </c>
      <c r="K189" s="1" t="s">
        <v>919</v>
      </c>
      <c r="L189" s="1" t="s">
        <v>918</v>
      </c>
      <c r="M189" s="1" t="s">
        <v>2572</v>
      </c>
      <c r="N189" s="1">
        <v>25</v>
      </c>
    </row>
    <row r="190" spans="1:14" x14ac:dyDescent="0.25">
      <c r="A190" s="20" t="s">
        <v>204</v>
      </c>
      <c r="B190" s="1" t="s">
        <v>2573</v>
      </c>
      <c r="C190" s="1" t="s">
        <v>2574</v>
      </c>
      <c r="D190" s="1" t="s">
        <v>2575</v>
      </c>
      <c r="E190" s="1" t="s">
        <v>2576</v>
      </c>
      <c r="F190" s="1" t="s">
        <v>2577</v>
      </c>
      <c r="G190" s="1" t="s">
        <v>2578</v>
      </c>
      <c r="H190" s="1" t="s">
        <v>2579</v>
      </c>
      <c r="I190" s="1" t="s">
        <v>1165</v>
      </c>
      <c r="J190" s="1" t="s">
        <v>2580</v>
      </c>
      <c r="K190" s="1" t="s">
        <v>919</v>
      </c>
      <c r="L190" s="1" t="s">
        <v>918</v>
      </c>
      <c r="M190" s="1" t="s">
        <v>2581</v>
      </c>
      <c r="N190" s="1">
        <v>70</v>
      </c>
    </row>
    <row r="191" spans="1:14" x14ac:dyDescent="0.25">
      <c r="A191" s="20" t="s">
        <v>205</v>
      </c>
      <c r="B191" s="1" t="s">
        <v>2582</v>
      </c>
      <c r="C191" s="1" t="s">
        <v>2583</v>
      </c>
      <c r="D191" s="1" t="s">
        <v>2584</v>
      </c>
      <c r="E191" s="1" t="s">
        <v>2585</v>
      </c>
      <c r="F191" s="1" t="s">
        <v>2586</v>
      </c>
      <c r="G191" s="1" t="s">
        <v>958</v>
      </c>
      <c r="H191" s="1" t="s">
        <v>2587</v>
      </c>
      <c r="I191" s="1" t="s">
        <v>1362</v>
      </c>
      <c r="J191" s="1" t="s">
        <v>2588</v>
      </c>
      <c r="K191" s="1" t="s">
        <v>1478</v>
      </c>
      <c r="L191" s="1" t="s">
        <v>2589</v>
      </c>
      <c r="M191" s="1" t="s">
        <v>2590</v>
      </c>
      <c r="N191" s="1">
        <v>25</v>
      </c>
    </row>
    <row r="192" spans="1:14" x14ac:dyDescent="0.25">
      <c r="A192" s="20" t="s">
        <v>206</v>
      </c>
      <c r="B192" s="1" t="s">
        <v>2591</v>
      </c>
      <c r="C192" s="1" t="s">
        <v>2592</v>
      </c>
      <c r="D192" s="1" t="s">
        <v>1930</v>
      </c>
      <c r="E192" s="1" t="s">
        <v>2593</v>
      </c>
      <c r="F192" s="1" t="s">
        <v>2594</v>
      </c>
      <c r="G192" s="1" t="s">
        <v>958</v>
      </c>
      <c r="H192" s="1" t="s">
        <v>1051</v>
      </c>
      <c r="I192" s="1" t="s">
        <v>1432</v>
      </c>
      <c r="J192" s="1" t="s">
        <v>1932</v>
      </c>
      <c r="K192" s="1" t="s">
        <v>1468</v>
      </c>
      <c r="L192" s="1" t="s">
        <v>2595</v>
      </c>
      <c r="M192" s="1" t="s">
        <v>2596</v>
      </c>
      <c r="N192" s="1">
        <v>100</v>
      </c>
    </row>
    <row r="193" spans="1:14" x14ac:dyDescent="0.25">
      <c r="A193" s="20" t="s">
        <v>207</v>
      </c>
      <c r="B193" s="1" t="s">
        <v>2597</v>
      </c>
      <c r="C193" s="1" t="s">
        <v>2598</v>
      </c>
      <c r="D193" s="1" t="s">
        <v>2599</v>
      </c>
      <c r="E193" s="1" t="s">
        <v>2600</v>
      </c>
      <c r="F193" s="1" t="s">
        <v>2601</v>
      </c>
      <c r="G193" s="1" t="s">
        <v>958</v>
      </c>
      <c r="H193" s="1" t="s">
        <v>979</v>
      </c>
      <c r="I193" s="1" t="s">
        <v>979</v>
      </c>
      <c r="J193" s="1" t="s">
        <v>2602</v>
      </c>
      <c r="K193" s="1" t="s">
        <v>4</v>
      </c>
      <c r="L193" s="1" t="s">
        <v>924</v>
      </c>
      <c r="M193" s="1" t="s">
        <v>2603</v>
      </c>
      <c r="N193" s="1">
        <v>50</v>
      </c>
    </row>
    <row r="194" spans="1:14" x14ac:dyDescent="0.25">
      <c r="A194" s="20" t="s">
        <v>208</v>
      </c>
      <c r="B194" s="1" t="s">
        <v>2604</v>
      </c>
      <c r="C194" s="1" t="s">
        <v>2605</v>
      </c>
      <c r="D194" s="1" t="s">
        <v>2606</v>
      </c>
      <c r="E194" s="1" t="s">
        <v>2607</v>
      </c>
      <c r="F194" s="1" t="s">
        <v>2608</v>
      </c>
      <c r="G194" s="1" t="s">
        <v>958</v>
      </c>
      <c r="H194" s="1" t="s">
        <v>2609</v>
      </c>
      <c r="I194" s="1" t="s">
        <v>2323</v>
      </c>
      <c r="J194" s="1" t="s">
        <v>2610</v>
      </c>
      <c r="K194" s="1" t="s">
        <v>3</v>
      </c>
      <c r="L194" s="1" t="s">
        <v>2611</v>
      </c>
      <c r="M194" s="1" t="s">
        <v>2612</v>
      </c>
      <c r="N194" s="1">
        <v>25</v>
      </c>
    </row>
    <row r="195" spans="1:14" x14ac:dyDescent="0.25">
      <c r="A195" s="20" t="s">
        <v>209</v>
      </c>
      <c r="B195" s="1" t="s">
        <v>2613</v>
      </c>
      <c r="C195" s="1" t="s">
        <v>2304</v>
      </c>
      <c r="D195" s="1" t="s">
        <v>2614</v>
      </c>
      <c r="E195" s="1" t="s">
        <v>2615</v>
      </c>
      <c r="F195" s="1" t="s">
        <v>2616</v>
      </c>
      <c r="G195" s="1" t="s">
        <v>958</v>
      </c>
      <c r="H195" s="1" t="s">
        <v>2044</v>
      </c>
      <c r="I195" s="1" t="s">
        <v>2617</v>
      </c>
      <c r="J195" s="1" t="s">
        <v>2618</v>
      </c>
      <c r="K195" s="1" t="s">
        <v>915</v>
      </c>
      <c r="L195" s="1" t="s">
        <v>1228</v>
      </c>
      <c r="M195" s="1" t="s">
        <v>2619</v>
      </c>
      <c r="N195" s="1">
        <v>25</v>
      </c>
    </row>
    <row r="196" spans="1:14" x14ac:dyDescent="0.25">
      <c r="A196" s="20" t="s">
        <v>210</v>
      </c>
      <c r="B196" s="1" t="s">
        <v>2620</v>
      </c>
      <c r="C196" s="1" t="s">
        <v>2621</v>
      </c>
      <c r="D196" s="1" t="s">
        <v>2622</v>
      </c>
      <c r="E196" s="1" t="s">
        <v>2623</v>
      </c>
      <c r="F196" s="1" t="s">
        <v>2624</v>
      </c>
      <c r="G196" s="1" t="s">
        <v>958</v>
      </c>
      <c r="H196" s="1" t="s">
        <v>2625</v>
      </c>
      <c r="I196" s="1" t="s">
        <v>1725</v>
      </c>
      <c r="J196" s="1" t="s">
        <v>2626</v>
      </c>
      <c r="K196" s="1" t="s">
        <v>1637</v>
      </c>
      <c r="L196" s="1" t="s">
        <v>2627</v>
      </c>
      <c r="M196" s="1" t="s">
        <v>2628</v>
      </c>
      <c r="N196" s="1">
        <v>25</v>
      </c>
    </row>
    <row r="197" spans="1:14" x14ac:dyDescent="0.25">
      <c r="A197" s="20" t="s">
        <v>211</v>
      </c>
      <c r="B197" s="1" t="s">
        <v>2629</v>
      </c>
      <c r="C197" s="1" t="s">
        <v>2630</v>
      </c>
      <c r="D197" s="1" t="s">
        <v>2631</v>
      </c>
      <c r="E197" s="1" t="s">
        <v>2632</v>
      </c>
      <c r="F197" s="1" t="s">
        <v>2633</v>
      </c>
      <c r="G197" s="1" t="s">
        <v>958</v>
      </c>
      <c r="H197" s="1" t="s">
        <v>2634</v>
      </c>
      <c r="I197" s="1" t="s">
        <v>2634</v>
      </c>
      <c r="J197" s="1" t="s">
        <v>2635</v>
      </c>
      <c r="K197" s="1" t="s">
        <v>1478</v>
      </c>
      <c r="L197" s="1" t="s">
        <v>2636</v>
      </c>
      <c r="M197" s="1" t="s">
        <v>2637</v>
      </c>
      <c r="N197" s="1">
        <v>50</v>
      </c>
    </row>
    <row r="198" spans="1:14" x14ac:dyDescent="0.25">
      <c r="A198" s="20" t="s">
        <v>212</v>
      </c>
      <c r="B198" s="1" t="s">
        <v>2638</v>
      </c>
      <c r="C198" s="1" t="s">
        <v>2639</v>
      </c>
      <c r="D198" s="1" t="s">
        <v>2640</v>
      </c>
      <c r="E198" s="1" t="s">
        <v>2641</v>
      </c>
      <c r="F198" s="1" t="s">
        <v>2642</v>
      </c>
      <c r="G198" s="1" t="s">
        <v>2643</v>
      </c>
      <c r="H198" s="1" t="s">
        <v>12</v>
      </c>
      <c r="I198" s="1" t="s">
        <v>979</v>
      </c>
      <c r="J198" s="1" t="s">
        <v>2644</v>
      </c>
      <c r="K198" s="1" t="s">
        <v>1</v>
      </c>
      <c r="L198" s="1" t="s">
        <v>2645</v>
      </c>
      <c r="M198" s="1" t="s">
        <v>2646</v>
      </c>
      <c r="N198" s="1">
        <v>50</v>
      </c>
    </row>
    <row r="199" spans="1:14" x14ac:dyDescent="0.25">
      <c r="A199" s="20" t="s">
        <v>213</v>
      </c>
      <c r="B199" s="1" t="s">
        <v>2647</v>
      </c>
      <c r="C199" s="1" t="s">
        <v>2648</v>
      </c>
      <c r="D199" s="1" t="s">
        <v>2649</v>
      </c>
      <c r="E199" s="1" t="s">
        <v>2650</v>
      </c>
      <c r="F199" s="1" t="s">
        <v>2651</v>
      </c>
      <c r="G199" s="1" t="s">
        <v>958</v>
      </c>
      <c r="H199" s="1" t="s">
        <v>2652</v>
      </c>
      <c r="I199" s="1" t="s">
        <v>1060</v>
      </c>
      <c r="J199" s="1" t="s">
        <v>2653</v>
      </c>
      <c r="K199" s="1" t="s">
        <v>915</v>
      </c>
      <c r="L199" s="1" t="s">
        <v>926</v>
      </c>
      <c r="M199" s="1" t="s">
        <v>2654</v>
      </c>
      <c r="N199" s="1">
        <v>25</v>
      </c>
    </row>
    <row r="200" spans="1:14" x14ac:dyDescent="0.25">
      <c r="A200" s="20" t="s">
        <v>214</v>
      </c>
      <c r="B200" s="1" t="s">
        <v>2655</v>
      </c>
      <c r="C200" s="1" t="s">
        <v>2656</v>
      </c>
      <c r="D200" s="1" t="s">
        <v>2657</v>
      </c>
      <c r="E200" s="1" t="s">
        <v>2658</v>
      </c>
      <c r="F200" s="1" t="s">
        <v>2659</v>
      </c>
      <c r="G200" s="1" t="s">
        <v>958</v>
      </c>
      <c r="H200" s="1" t="s">
        <v>2660</v>
      </c>
      <c r="I200" s="1" t="s">
        <v>1363</v>
      </c>
      <c r="J200" s="1" t="s">
        <v>2661</v>
      </c>
      <c r="K200" s="1" t="s">
        <v>1478</v>
      </c>
      <c r="L200" s="1" t="s">
        <v>2662</v>
      </c>
      <c r="M200" s="1" t="s">
        <v>2663</v>
      </c>
      <c r="N200" s="1">
        <v>25</v>
      </c>
    </row>
    <row r="201" spans="1:14" x14ac:dyDescent="0.25">
      <c r="A201" s="20" t="s">
        <v>215</v>
      </c>
      <c r="B201" s="1" t="s">
        <v>2664</v>
      </c>
      <c r="C201" s="1" t="s">
        <v>2665</v>
      </c>
      <c r="D201" s="1" t="s">
        <v>2666</v>
      </c>
      <c r="E201" s="1" t="s">
        <v>2667</v>
      </c>
      <c r="F201" s="1" t="s">
        <v>2668</v>
      </c>
      <c r="G201" s="1" t="s">
        <v>958</v>
      </c>
      <c r="H201" s="1" t="s">
        <v>979</v>
      </c>
      <c r="I201" s="1" t="s">
        <v>979</v>
      </c>
      <c r="J201" s="1" t="s">
        <v>2669</v>
      </c>
      <c r="K201" s="1" t="s">
        <v>919</v>
      </c>
      <c r="L201" s="1" t="s">
        <v>918</v>
      </c>
      <c r="M201" s="1" t="s">
        <v>2670</v>
      </c>
      <c r="N201" s="1">
        <v>25</v>
      </c>
    </row>
    <row r="202" spans="1:14" x14ac:dyDescent="0.25">
      <c r="A202" s="20" t="s">
        <v>8</v>
      </c>
      <c r="B202" s="1" t="s">
        <v>2671</v>
      </c>
      <c r="C202" s="1" t="s">
        <v>2672</v>
      </c>
      <c r="D202" s="1" t="s">
        <v>2673</v>
      </c>
      <c r="E202" s="1" t="s">
        <v>2674</v>
      </c>
      <c r="F202" s="1" t="s">
        <v>2675</v>
      </c>
      <c r="G202" s="1" t="s">
        <v>958</v>
      </c>
      <c r="H202" s="1" t="s">
        <v>1297</v>
      </c>
      <c r="I202" s="1" t="s">
        <v>979</v>
      </c>
      <c r="J202" s="1" t="s">
        <v>2676</v>
      </c>
      <c r="K202" s="1" t="s">
        <v>1310</v>
      </c>
      <c r="L202" s="1" t="s">
        <v>1311</v>
      </c>
      <c r="M202" s="1" t="s">
        <v>2677</v>
      </c>
      <c r="N202" s="1">
        <v>25</v>
      </c>
    </row>
    <row r="203" spans="1:14" x14ac:dyDescent="0.25">
      <c r="A203" s="20" t="s">
        <v>216</v>
      </c>
      <c r="B203" s="1" t="s">
        <v>2678</v>
      </c>
      <c r="C203" s="1" t="s">
        <v>2679</v>
      </c>
      <c r="D203" s="1" t="s">
        <v>2680</v>
      </c>
      <c r="E203" s="1" t="s">
        <v>2681</v>
      </c>
      <c r="F203" s="1" t="s">
        <v>2682</v>
      </c>
      <c r="G203" s="1" t="s">
        <v>958</v>
      </c>
      <c r="H203" s="1" t="s">
        <v>1297</v>
      </c>
      <c r="I203" s="1" t="s">
        <v>1297</v>
      </c>
      <c r="J203" s="1" t="s">
        <v>2683</v>
      </c>
      <c r="K203" s="1" t="s">
        <v>1496</v>
      </c>
      <c r="L203" s="1" t="s">
        <v>2684</v>
      </c>
      <c r="M203" s="1" t="s">
        <v>2685</v>
      </c>
      <c r="N203" s="1">
        <v>25</v>
      </c>
    </row>
    <row r="204" spans="1:14" x14ac:dyDescent="0.25">
      <c r="A204" s="20" t="s">
        <v>217</v>
      </c>
      <c r="B204" s="1" t="s">
        <v>2686</v>
      </c>
      <c r="C204" s="1" t="s">
        <v>2687</v>
      </c>
      <c r="D204" s="1" t="s">
        <v>2688</v>
      </c>
      <c r="E204" s="1" t="s">
        <v>2689</v>
      </c>
      <c r="F204" s="1" t="s">
        <v>2690</v>
      </c>
      <c r="G204" s="1" t="s">
        <v>958</v>
      </c>
      <c r="H204" s="1" t="s">
        <v>1127</v>
      </c>
      <c r="I204" s="1" t="s">
        <v>1127</v>
      </c>
      <c r="J204" s="1" t="s">
        <v>2691</v>
      </c>
      <c r="K204" s="1" t="s">
        <v>929</v>
      </c>
      <c r="L204" s="1" t="s">
        <v>2692</v>
      </c>
      <c r="M204" s="1" t="s">
        <v>2693</v>
      </c>
      <c r="N204" s="1">
        <v>25</v>
      </c>
    </row>
    <row r="205" spans="1:14" x14ac:dyDescent="0.25">
      <c r="A205" s="20" t="s">
        <v>218</v>
      </c>
      <c r="B205" s="1" t="s">
        <v>2694</v>
      </c>
      <c r="C205" s="1" t="s">
        <v>2695</v>
      </c>
      <c r="D205" s="1" t="s">
        <v>2696</v>
      </c>
      <c r="E205" s="1" t="s">
        <v>2697</v>
      </c>
      <c r="F205" s="1" t="s">
        <v>2698</v>
      </c>
      <c r="G205" s="1" t="s">
        <v>958</v>
      </c>
      <c r="H205" s="1" t="s">
        <v>1137</v>
      </c>
      <c r="I205" s="1" t="s">
        <v>979</v>
      </c>
      <c r="J205" s="1" t="s">
        <v>2699</v>
      </c>
      <c r="K205" s="1" t="s">
        <v>4</v>
      </c>
      <c r="L205" s="1" t="s">
        <v>2700</v>
      </c>
      <c r="M205" s="1" t="s">
        <v>2701</v>
      </c>
      <c r="N205" s="1">
        <v>25</v>
      </c>
    </row>
    <row r="206" spans="1:14" x14ac:dyDescent="0.25">
      <c r="A206" s="20" t="s">
        <v>219</v>
      </c>
      <c r="B206" s="1" t="s">
        <v>2702</v>
      </c>
      <c r="C206" s="1" t="s">
        <v>2703</v>
      </c>
      <c r="D206" s="1" t="s">
        <v>2704</v>
      </c>
      <c r="E206" s="1" t="s">
        <v>2705</v>
      </c>
      <c r="F206" s="1" t="s">
        <v>2706</v>
      </c>
      <c r="G206" s="1" t="s">
        <v>958</v>
      </c>
      <c r="H206" s="1" t="s">
        <v>959</v>
      </c>
      <c r="I206" s="1" t="s">
        <v>960</v>
      </c>
      <c r="J206" s="1" t="s">
        <v>2707</v>
      </c>
      <c r="K206" s="1" t="s">
        <v>2</v>
      </c>
      <c r="L206" s="1" t="s">
        <v>1327</v>
      </c>
      <c r="M206" s="1" t="s">
        <v>2708</v>
      </c>
      <c r="N206" s="1">
        <v>25</v>
      </c>
    </row>
    <row r="207" spans="1:14" x14ac:dyDescent="0.25">
      <c r="A207" s="20" t="s">
        <v>220</v>
      </c>
      <c r="B207" s="1" t="s">
        <v>2709</v>
      </c>
      <c r="C207" s="1" t="s">
        <v>2710</v>
      </c>
      <c r="D207" s="1" t="s">
        <v>2711</v>
      </c>
      <c r="E207" s="1" t="s">
        <v>2712</v>
      </c>
      <c r="F207" s="1" t="s">
        <v>2713</v>
      </c>
      <c r="G207" s="1" t="s">
        <v>958</v>
      </c>
      <c r="H207" s="1" t="s">
        <v>2714</v>
      </c>
      <c r="I207" s="1" t="s">
        <v>979</v>
      </c>
      <c r="J207" s="1" t="s">
        <v>2715</v>
      </c>
      <c r="K207" s="1" t="s">
        <v>1871</v>
      </c>
      <c r="L207" s="1" t="s">
        <v>2716</v>
      </c>
      <c r="M207" s="1" t="s">
        <v>2717</v>
      </c>
      <c r="N207" s="1">
        <v>25</v>
      </c>
    </row>
    <row r="208" spans="1:14" x14ac:dyDescent="0.25">
      <c r="A208" s="20" t="s">
        <v>221</v>
      </c>
      <c r="B208" s="1" t="s">
        <v>2718</v>
      </c>
      <c r="C208" s="1" t="s">
        <v>2719</v>
      </c>
      <c r="D208" s="1" t="s">
        <v>2720</v>
      </c>
      <c r="E208" s="1" t="s">
        <v>2721</v>
      </c>
      <c r="F208" s="1" t="s">
        <v>2722</v>
      </c>
      <c r="G208" s="1" t="s">
        <v>958</v>
      </c>
      <c r="H208" s="1" t="s">
        <v>2652</v>
      </c>
      <c r="I208" s="1" t="s">
        <v>1060</v>
      </c>
      <c r="J208" s="1" t="s">
        <v>2723</v>
      </c>
      <c r="K208" s="1" t="s">
        <v>1548</v>
      </c>
      <c r="L208" s="1" t="s">
        <v>1549</v>
      </c>
      <c r="M208" s="1" t="s">
        <v>2724</v>
      </c>
      <c r="N208" s="1">
        <v>35</v>
      </c>
    </row>
    <row r="209" spans="1:14" x14ac:dyDescent="0.25">
      <c r="A209" s="20" t="s">
        <v>222</v>
      </c>
      <c r="B209" s="1" t="s">
        <v>2725</v>
      </c>
      <c r="C209" s="1" t="s">
        <v>2726</v>
      </c>
      <c r="D209" s="1" t="s">
        <v>2727</v>
      </c>
      <c r="E209" s="1" t="s">
        <v>2278</v>
      </c>
      <c r="F209" s="1" t="s">
        <v>2728</v>
      </c>
      <c r="G209" s="1" t="s">
        <v>958</v>
      </c>
      <c r="H209" s="1" t="s">
        <v>979</v>
      </c>
      <c r="I209" s="1" t="s">
        <v>979</v>
      </c>
      <c r="J209" s="1" t="s">
        <v>2729</v>
      </c>
      <c r="K209" s="1" t="s">
        <v>971</v>
      </c>
      <c r="L209" s="1" t="s">
        <v>972</v>
      </c>
      <c r="M209" s="1" t="s">
        <v>2730</v>
      </c>
      <c r="N209" s="1">
        <v>25</v>
      </c>
    </row>
    <row r="210" spans="1:14" x14ac:dyDescent="0.25">
      <c r="A210" s="20" t="s">
        <v>223</v>
      </c>
      <c r="B210" s="1" t="s">
        <v>2731</v>
      </c>
      <c r="C210" s="1" t="s">
        <v>2732</v>
      </c>
      <c r="D210" s="1" t="s">
        <v>2733</v>
      </c>
      <c r="E210" s="1" t="s">
        <v>2734</v>
      </c>
      <c r="F210" s="1" t="s">
        <v>2735</v>
      </c>
      <c r="G210" s="1" t="s">
        <v>958</v>
      </c>
      <c r="H210" s="1" t="s">
        <v>2209</v>
      </c>
      <c r="I210" s="1" t="s">
        <v>2209</v>
      </c>
      <c r="J210" s="1" t="s">
        <v>2736</v>
      </c>
      <c r="K210" s="1" t="s">
        <v>1478</v>
      </c>
      <c r="L210" s="1" t="s">
        <v>1479</v>
      </c>
      <c r="M210" s="1" t="s">
        <v>2737</v>
      </c>
      <c r="N210" s="1">
        <v>25</v>
      </c>
    </row>
    <row r="211" spans="1:14" x14ac:dyDescent="0.25">
      <c r="A211" s="20" t="s">
        <v>224</v>
      </c>
      <c r="B211" s="1" t="s">
        <v>2738</v>
      </c>
      <c r="C211" s="1" t="s">
        <v>2739</v>
      </c>
      <c r="D211" s="1" t="s">
        <v>2740</v>
      </c>
      <c r="E211" s="1" t="s">
        <v>2741</v>
      </c>
      <c r="F211" s="1" t="s">
        <v>2742</v>
      </c>
      <c r="G211" s="1" t="s">
        <v>958</v>
      </c>
      <c r="H211" s="1" t="s">
        <v>2743</v>
      </c>
      <c r="I211" s="1" t="s">
        <v>2744</v>
      </c>
      <c r="J211" s="1" t="s">
        <v>2745</v>
      </c>
      <c r="K211" s="1" t="s">
        <v>971</v>
      </c>
      <c r="L211" s="1" t="s">
        <v>972</v>
      </c>
      <c r="M211" s="1" t="s">
        <v>2746</v>
      </c>
      <c r="N211" s="1">
        <v>25</v>
      </c>
    </row>
    <row r="212" spans="1:14" x14ac:dyDescent="0.25">
      <c r="A212" s="20" t="s">
        <v>225</v>
      </c>
      <c r="B212" s="1" t="s">
        <v>2747</v>
      </c>
      <c r="C212" s="1" t="s">
        <v>2748</v>
      </c>
      <c r="D212" s="1" t="s">
        <v>2749</v>
      </c>
      <c r="E212" s="1" t="s">
        <v>2750</v>
      </c>
      <c r="F212" s="1" t="s">
        <v>2751</v>
      </c>
      <c r="G212" s="1" t="s">
        <v>958</v>
      </c>
      <c r="H212" s="1" t="s">
        <v>1137</v>
      </c>
      <c r="I212" s="1" t="s">
        <v>1137</v>
      </c>
      <c r="K212" s="1" t="s">
        <v>914</v>
      </c>
      <c r="L212" s="1" t="s">
        <v>1398</v>
      </c>
      <c r="M212" s="1" t="s">
        <v>2752</v>
      </c>
      <c r="N212" s="1">
        <v>25</v>
      </c>
    </row>
    <row r="213" spans="1:14" x14ac:dyDescent="0.25">
      <c r="A213" s="20" t="s">
        <v>226</v>
      </c>
      <c r="B213" s="1" t="s">
        <v>2753</v>
      </c>
      <c r="C213" s="1" t="s">
        <v>2754</v>
      </c>
      <c r="D213" s="1" t="s">
        <v>2755</v>
      </c>
      <c r="E213" s="1" t="s">
        <v>2756</v>
      </c>
      <c r="F213" s="1" t="s">
        <v>2757</v>
      </c>
      <c r="G213" s="1" t="s">
        <v>958</v>
      </c>
      <c r="H213" s="1" t="s">
        <v>2758</v>
      </c>
      <c r="I213" s="1" t="s">
        <v>2405</v>
      </c>
      <c r="J213" s="1" t="s">
        <v>2759</v>
      </c>
      <c r="K213" s="1" t="s">
        <v>915</v>
      </c>
      <c r="L213" s="1" t="s">
        <v>926</v>
      </c>
      <c r="M213" s="1" t="s">
        <v>2760</v>
      </c>
      <c r="N213" s="1">
        <v>100</v>
      </c>
    </row>
    <row r="214" spans="1:14" x14ac:dyDescent="0.25">
      <c r="A214" s="20" t="s">
        <v>227</v>
      </c>
      <c r="B214" s="1" t="s">
        <v>2761</v>
      </c>
      <c r="C214" s="1" t="s">
        <v>2762</v>
      </c>
      <c r="D214" s="1" t="s">
        <v>2763</v>
      </c>
      <c r="E214" s="1" t="s">
        <v>2764</v>
      </c>
      <c r="F214" s="1" t="s">
        <v>2765</v>
      </c>
      <c r="G214" s="1" t="s">
        <v>958</v>
      </c>
      <c r="H214" s="1" t="s">
        <v>2766</v>
      </c>
      <c r="I214" s="1" t="s">
        <v>2266</v>
      </c>
      <c r="K214" s="1" t="s">
        <v>910</v>
      </c>
      <c r="L214" s="1" t="s">
        <v>981</v>
      </c>
      <c r="M214" s="1" t="s">
        <v>2767</v>
      </c>
      <c r="N214" s="1">
        <v>25</v>
      </c>
    </row>
    <row r="215" spans="1:14" x14ac:dyDescent="0.25">
      <c r="A215" s="20" t="s">
        <v>228</v>
      </c>
      <c r="B215" s="1" t="s">
        <v>2768</v>
      </c>
      <c r="C215" s="1" t="s">
        <v>2769</v>
      </c>
      <c r="D215" s="1" t="s">
        <v>2770</v>
      </c>
      <c r="E215" s="1" t="s">
        <v>2771</v>
      </c>
      <c r="F215" s="1" t="s">
        <v>2772</v>
      </c>
      <c r="G215" s="1" t="s">
        <v>958</v>
      </c>
      <c r="H215" s="1" t="s">
        <v>1059</v>
      </c>
      <c r="I215" s="1" t="s">
        <v>1060</v>
      </c>
      <c r="J215" s="1" t="s">
        <v>2773</v>
      </c>
      <c r="K215" s="1" t="s">
        <v>1478</v>
      </c>
      <c r="L215" s="1" t="s">
        <v>2774</v>
      </c>
      <c r="M215" s="1" t="s">
        <v>2775</v>
      </c>
      <c r="N215" s="1">
        <v>250</v>
      </c>
    </row>
    <row r="216" spans="1:14" x14ac:dyDescent="0.25">
      <c r="A216" s="20" t="s">
        <v>229</v>
      </c>
      <c r="B216" s="1" t="s">
        <v>2776</v>
      </c>
      <c r="C216" s="1" t="s">
        <v>2777</v>
      </c>
      <c r="D216" s="1" t="s">
        <v>2778</v>
      </c>
      <c r="E216" s="1" t="s">
        <v>2779</v>
      </c>
      <c r="F216" s="1" t="s">
        <v>2780</v>
      </c>
      <c r="G216" s="1" t="s">
        <v>958</v>
      </c>
      <c r="H216" s="1" t="s">
        <v>2781</v>
      </c>
      <c r="I216" s="1" t="s">
        <v>1308</v>
      </c>
      <c r="J216" s="1" t="s">
        <v>2782</v>
      </c>
      <c r="K216" s="1" t="s">
        <v>1637</v>
      </c>
      <c r="L216" s="1" t="s">
        <v>2783</v>
      </c>
      <c r="M216" s="1" t="s">
        <v>2784</v>
      </c>
      <c r="N216" s="1">
        <v>25</v>
      </c>
    </row>
    <row r="217" spans="1:14" x14ac:dyDescent="0.25">
      <c r="A217" s="20" t="s">
        <v>230</v>
      </c>
      <c r="B217" s="1" t="s">
        <v>2785</v>
      </c>
      <c r="C217" s="1" t="s">
        <v>2786</v>
      </c>
      <c r="D217" s="1" t="s">
        <v>2787</v>
      </c>
      <c r="E217" s="1" t="s">
        <v>2788</v>
      </c>
      <c r="F217" s="1" t="s">
        <v>2789</v>
      </c>
      <c r="G217" s="1" t="s">
        <v>958</v>
      </c>
      <c r="H217" s="1" t="s">
        <v>2790</v>
      </c>
      <c r="I217" s="1" t="s">
        <v>2791</v>
      </c>
      <c r="J217" s="1" t="s">
        <v>990</v>
      </c>
      <c r="K217" s="1" t="s">
        <v>919</v>
      </c>
      <c r="L217" s="1" t="s">
        <v>918</v>
      </c>
      <c r="M217" s="1" t="s">
        <v>2792</v>
      </c>
      <c r="N217" s="1">
        <v>25</v>
      </c>
    </row>
    <row r="218" spans="1:14" x14ac:dyDescent="0.25">
      <c r="A218" s="20" t="s">
        <v>231</v>
      </c>
      <c r="B218" s="1" t="s">
        <v>2793</v>
      </c>
      <c r="C218" s="1" t="s">
        <v>2794</v>
      </c>
      <c r="D218" s="1" t="s">
        <v>2795</v>
      </c>
      <c r="E218" s="1" t="s">
        <v>2796</v>
      </c>
      <c r="F218" s="1" t="s">
        <v>2797</v>
      </c>
      <c r="G218" s="1" t="s">
        <v>2798</v>
      </c>
      <c r="H218" s="1" t="s">
        <v>1879</v>
      </c>
      <c r="I218" s="1" t="s">
        <v>1035</v>
      </c>
      <c r="J218" s="1" t="s">
        <v>2799</v>
      </c>
      <c r="K218" s="1" t="s">
        <v>4</v>
      </c>
      <c r="L218" s="1" t="s">
        <v>2800</v>
      </c>
      <c r="M218" s="1" t="s">
        <v>2801</v>
      </c>
      <c r="N218" s="1">
        <v>25</v>
      </c>
    </row>
    <row r="219" spans="1:14" x14ac:dyDescent="0.25">
      <c r="A219" s="20" t="s">
        <v>232</v>
      </c>
      <c r="B219" s="1" t="s">
        <v>2802</v>
      </c>
      <c r="C219" s="1" t="s">
        <v>2803</v>
      </c>
      <c r="D219" s="1" t="s">
        <v>2804</v>
      </c>
      <c r="E219" s="1" t="s">
        <v>2805</v>
      </c>
      <c r="F219" s="1" t="s">
        <v>2806</v>
      </c>
      <c r="G219" s="1" t="s">
        <v>958</v>
      </c>
      <c r="H219" s="1" t="s">
        <v>2807</v>
      </c>
      <c r="I219" s="1" t="s">
        <v>2808</v>
      </c>
      <c r="J219" s="1" t="s">
        <v>2809</v>
      </c>
      <c r="K219" s="1" t="s">
        <v>8</v>
      </c>
      <c r="L219" s="1" t="s">
        <v>1129</v>
      </c>
      <c r="M219" s="1" t="s">
        <v>2810</v>
      </c>
      <c r="N219" s="1">
        <v>25</v>
      </c>
    </row>
    <row r="220" spans="1:14" x14ac:dyDescent="0.25">
      <c r="A220" s="20" t="s">
        <v>233</v>
      </c>
      <c r="B220" s="1" t="s">
        <v>2811</v>
      </c>
      <c r="C220" s="1" t="s">
        <v>2812</v>
      </c>
      <c r="D220" s="1" t="s">
        <v>2813</v>
      </c>
      <c r="E220" s="1" t="s">
        <v>2814</v>
      </c>
      <c r="F220" s="1" t="s">
        <v>2815</v>
      </c>
      <c r="G220" s="1" t="s">
        <v>958</v>
      </c>
      <c r="H220" s="1" t="s">
        <v>1018</v>
      </c>
      <c r="I220" s="1" t="s">
        <v>1116</v>
      </c>
      <c r="J220" s="1" t="s">
        <v>2816</v>
      </c>
      <c r="K220" s="1" t="s">
        <v>910</v>
      </c>
      <c r="L220" s="1" t="s">
        <v>1752</v>
      </c>
      <c r="M220" s="1" t="s">
        <v>2817</v>
      </c>
      <c r="N220" s="1">
        <v>25</v>
      </c>
    </row>
    <row r="221" spans="1:14" x14ac:dyDescent="0.25">
      <c r="A221" s="20" t="s">
        <v>234</v>
      </c>
      <c r="B221" s="1" t="s">
        <v>2818</v>
      </c>
      <c r="C221" s="1" t="s">
        <v>2819</v>
      </c>
      <c r="D221" s="1" t="s">
        <v>2820</v>
      </c>
      <c r="E221" s="1" t="s">
        <v>2821</v>
      </c>
      <c r="F221" s="1" t="s">
        <v>2822</v>
      </c>
      <c r="G221" s="1" t="s">
        <v>958</v>
      </c>
      <c r="H221" s="1" t="s">
        <v>2208</v>
      </c>
      <c r="I221" s="1" t="s">
        <v>2209</v>
      </c>
      <c r="J221" s="1" t="s">
        <v>2823</v>
      </c>
      <c r="K221" s="1" t="s">
        <v>4</v>
      </c>
      <c r="L221" s="1" t="s">
        <v>2824</v>
      </c>
      <c r="M221" s="1" t="s">
        <v>2825</v>
      </c>
      <c r="N221" s="1">
        <v>25</v>
      </c>
    </row>
    <row r="222" spans="1:14" x14ac:dyDescent="0.25">
      <c r="A222" s="20" t="s">
        <v>235</v>
      </c>
      <c r="B222" s="1" t="s">
        <v>2826</v>
      </c>
      <c r="C222" s="1" t="s">
        <v>2827</v>
      </c>
      <c r="D222" s="1" t="s">
        <v>2828</v>
      </c>
      <c r="E222" s="1" t="s">
        <v>2665</v>
      </c>
      <c r="F222" s="1" t="s">
        <v>2829</v>
      </c>
      <c r="G222" s="1" t="s">
        <v>958</v>
      </c>
      <c r="H222" s="1" t="s">
        <v>1097</v>
      </c>
      <c r="I222" s="1" t="s">
        <v>1591</v>
      </c>
      <c r="J222" s="1" t="s">
        <v>2830</v>
      </c>
      <c r="K222" s="1" t="s">
        <v>4</v>
      </c>
      <c r="L222" s="1" t="s">
        <v>2831</v>
      </c>
      <c r="M222" s="1" t="s">
        <v>2832</v>
      </c>
      <c r="N222" s="1">
        <v>50</v>
      </c>
    </row>
    <row r="223" spans="1:14" x14ac:dyDescent="0.25">
      <c r="A223" s="20" t="s">
        <v>236</v>
      </c>
      <c r="B223" s="1" t="s">
        <v>2833</v>
      </c>
      <c r="C223" s="1" t="s">
        <v>2834</v>
      </c>
      <c r="D223" s="1" t="s">
        <v>2835</v>
      </c>
      <c r="E223" s="1" t="s">
        <v>2836</v>
      </c>
      <c r="F223" s="1" t="s">
        <v>2837</v>
      </c>
      <c r="G223" s="1" t="s">
        <v>958</v>
      </c>
      <c r="H223" s="1" t="s">
        <v>2838</v>
      </c>
      <c r="I223" s="1" t="s">
        <v>2209</v>
      </c>
      <c r="J223" s="1" t="s">
        <v>2839</v>
      </c>
      <c r="K223" s="1" t="s">
        <v>1548</v>
      </c>
      <c r="L223" s="1" t="s">
        <v>2840</v>
      </c>
      <c r="M223" s="1" t="s">
        <v>2841</v>
      </c>
      <c r="N223" s="1">
        <v>25</v>
      </c>
    </row>
    <row r="224" spans="1:14" x14ac:dyDescent="0.25">
      <c r="A224" s="20" t="s">
        <v>237</v>
      </c>
      <c r="B224" s="1" t="s">
        <v>2842</v>
      </c>
      <c r="C224" s="1" t="s">
        <v>2843</v>
      </c>
      <c r="D224" s="1" t="s">
        <v>2844</v>
      </c>
      <c r="E224" s="1" t="s">
        <v>2845</v>
      </c>
      <c r="F224" s="1" t="s">
        <v>2846</v>
      </c>
      <c r="G224" s="1" t="s">
        <v>958</v>
      </c>
      <c r="H224" s="1" t="s">
        <v>2847</v>
      </c>
      <c r="I224" s="1" t="s">
        <v>2848</v>
      </c>
      <c r="J224" s="1" t="s">
        <v>2849</v>
      </c>
      <c r="K224" s="1" t="s">
        <v>8</v>
      </c>
      <c r="L224" s="1" t="s">
        <v>2850</v>
      </c>
      <c r="M224" s="1" t="s">
        <v>2851</v>
      </c>
      <c r="N224" s="1">
        <v>25</v>
      </c>
    </row>
    <row r="225" spans="1:14" x14ac:dyDescent="0.25">
      <c r="A225" s="20" t="s">
        <v>238</v>
      </c>
      <c r="B225" s="1" t="s">
        <v>2852</v>
      </c>
      <c r="C225" s="1" t="s">
        <v>2853</v>
      </c>
      <c r="D225" s="1" t="s">
        <v>2854</v>
      </c>
      <c r="E225" s="1" t="s">
        <v>2855</v>
      </c>
      <c r="F225" s="1" t="s">
        <v>2856</v>
      </c>
      <c r="G225" s="1" t="s">
        <v>958</v>
      </c>
      <c r="H225" s="1" t="s">
        <v>2857</v>
      </c>
      <c r="I225" s="1" t="s">
        <v>1127</v>
      </c>
      <c r="J225" s="1" t="s">
        <v>2858</v>
      </c>
      <c r="K225" s="1" t="s">
        <v>910</v>
      </c>
      <c r="L225" s="1" t="s">
        <v>981</v>
      </c>
      <c r="M225" s="1" t="s">
        <v>2859</v>
      </c>
      <c r="N225" s="1">
        <v>25</v>
      </c>
    </row>
    <row r="226" spans="1:14" x14ac:dyDescent="0.25">
      <c r="A226" s="20" t="s">
        <v>239</v>
      </c>
      <c r="B226" s="1" t="s">
        <v>2860</v>
      </c>
      <c r="C226" s="1" t="s">
        <v>2861</v>
      </c>
      <c r="D226" s="1" t="s">
        <v>2862</v>
      </c>
      <c r="E226" s="1" t="s">
        <v>2863</v>
      </c>
      <c r="F226" s="1" t="s">
        <v>2864</v>
      </c>
      <c r="G226" s="1" t="s">
        <v>958</v>
      </c>
      <c r="H226" s="1" t="s">
        <v>2865</v>
      </c>
      <c r="I226" s="1" t="s">
        <v>1363</v>
      </c>
      <c r="J226" s="1" t="s">
        <v>2866</v>
      </c>
      <c r="K226" s="1" t="s">
        <v>915</v>
      </c>
      <c r="L226" s="1" t="s">
        <v>926</v>
      </c>
      <c r="M226" s="1" t="s">
        <v>2867</v>
      </c>
      <c r="N226" s="1">
        <v>25</v>
      </c>
    </row>
    <row r="227" spans="1:14" x14ac:dyDescent="0.25">
      <c r="A227" s="20" t="s">
        <v>240</v>
      </c>
      <c r="B227" s="1" t="s">
        <v>2868</v>
      </c>
      <c r="C227" s="1" t="s">
        <v>2869</v>
      </c>
      <c r="D227" s="1" t="s">
        <v>2870</v>
      </c>
      <c r="E227" s="1" t="s">
        <v>2871</v>
      </c>
      <c r="F227" s="1" t="s">
        <v>2872</v>
      </c>
      <c r="G227" s="1" t="s">
        <v>958</v>
      </c>
      <c r="H227" s="1" t="s">
        <v>979</v>
      </c>
      <c r="I227" s="1" t="s">
        <v>979</v>
      </c>
      <c r="J227" s="1" t="s">
        <v>2873</v>
      </c>
      <c r="K227" s="1" t="s">
        <v>13</v>
      </c>
      <c r="L227" s="1" t="s">
        <v>2874</v>
      </c>
      <c r="M227" s="1" t="s">
        <v>2875</v>
      </c>
      <c r="N227" s="1">
        <v>25</v>
      </c>
    </row>
    <row r="228" spans="1:14" x14ac:dyDescent="0.25">
      <c r="A228" s="20" t="s">
        <v>241</v>
      </c>
      <c r="B228" s="1" t="s">
        <v>2876</v>
      </c>
      <c r="C228" s="1" t="s">
        <v>2877</v>
      </c>
      <c r="D228" s="1" t="s">
        <v>2878</v>
      </c>
      <c r="E228" s="1" t="s">
        <v>2879</v>
      </c>
      <c r="F228" s="1" t="s">
        <v>2880</v>
      </c>
      <c r="G228" s="1" t="s">
        <v>958</v>
      </c>
      <c r="H228" s="1" t="s">
        <v>1449</v>
      </c>
      <c r="I228" s="1" t="s">
        <v>1450</v>
      </c>
      <c r="J228" s="1" t="s">
        <v>2881</v>
      </c>
      <c r="K228" s="1" t="s">
        <v>1637</v>
      </c>
      <c r="L228" s="1" t="s">
        <v>2882</v>
      </c>
      <c r="M228" s="1" t="s">
        <v>2883</v>
      </c>
      <c r="N228" s="1">
        <v>100</v>
      </c>
    </row>
    <row r="229" spans="1:14" x14ac:dyDescent="0.25">
      <c r="A229" s="20" t="s">
        <v>242</v>
      </c>
      <c r="B229" s="1" t="s">
        <v>2884</v>
      </c>
      <c r="C229" s="1" t="s">
        <v>1249</v>
      </c>
      <c r="D229" s="1" t="s">
        <v>2885</v>
      </c>
      <c r="E229" s="1" t="s">
        <v>1247</v>
      </c>
      <c r="F229" s="1" t="s">
        <v>2886</v>
      </c>
      <c r="G229" s="1" t="s">
        <v>958</v>
      </c>
      <c r="H229" s="1" t="s">
        <v>979</v>
      </c>
      <c r="I229" s="1" t="s">
        <v>979</v>
      </c>
      <c r="J229" s="1" t="s">
        <v>1251</v>
      </c>
      <c r="K229" s="1" t="s">
        <v>4</v>
      </c>
      <c r="L229" s="1" t="s">
        <v>924</v>
      </c>
      <c r="M229" s="1" t="s">
        <v>2887</v>
      </c>
      <c r="N229" s="1">
        <v>120</v>
      </c>
    </row>
    <row r="230" spans="1:14" x14ac:dyDescent="0.25">
      <c r="A230" s="20" t="s">
        <v>243</v>
      </c>
      <c r="B230" s="1" t="s">
        <v>2888</v>
      </c>
      <c r="C230" s="1" t="s">
        <v>2889</v>
      </c>
      <c r="D230" s="1" t="s">
        <v>2890</v>
      </c>
      <c r="E230" s="1" t="s">
        <v>2891</v>
      </c>
      <c r="F230" s="1" t="s">
        <v>2892</v>
      </c>
      <c r="G230" s="1" t="s">
        <v>958</v>
      </c>
      <c r="H230" s="1" t="s">
        <v>2893</v>
      </c>
      <c r="I230" s="1" t="s">
        <v>2893</v>
      </c>
      <c r="J230" s="1" t="s">
        <v>2894</v>
      </c>
      <c r="K230" s="1" t="s">
        <v>910</v>
      </c>
      <c r="L230" s="1" t="s">
        <v>2895</v>
      </c>
      <c r="M230" s="1" t="s">
        <v>2896</v>
      </c>
      <c r="N230" s="1">
        <v>25</v>
      </c>
    </row>
    <row r="231" spans="1:14" x14ac:dyDescent="0.25">
      <c r="A231" s="20" t="s">
        <v>244</v>
      </c>
      <c r="B231" s="1" t="s">
        <v>2897</v>
      </c>
      <c r="C231" s="1" t="s">
        <v>2898</v>
      </c>
      <c r="D231" s="1" t="s">
        <v>2899</v>
      </c>
      <c r="E231" s="1" t="s">
        <v>2900</v>
      </c>
      <c r="F231" s="1" t="s">
        <v>2901</v>
      </c>
      <c r="G231" s="1" t="s">
        <v>2902</v>
      </c>
      <c r="H231" s="1" t="s">
        <v>2903</v>
      </c>
      <c r="I231" s="1" t="s">
        <v>979</v>
      </c>
      <c r="J231" s="1" t="s">
        <v>2904</v>
      </c>
      <c r="K231" s="1" t="s">
        <v>8</v>
      </c>
      <c r="L231" s="1" t="s">
        <v>2905</v>
      </c>
      <c r="M231" s="1" t="s">
        <v>2906</v>
      </c>
      <c r="N231" s="1">
        <v>25</v>
      </c>
    </row>
    <row r="232" spans="1:14" x14ac:dyDescent="0.25">
      <c r="A232" s="20" t="s">
        <v>245</v>
      </c>
      <c r="B232" s="1" t="s">
        <v>2907</v>
      </c>
      <c r="C232" s="1" t="s">
        <v>2908</v>
      </c>
      <c r="D232" s="1" t="s">
        <v>2909</v>
      </c>
      <c r="E232" s="1" t="s">
        <v>2910</v>
      </c>
      <c r="F232" s="1" t="s">
        <v>2911</v>
      </c>
      <c r="G232" s="1" t="s">
        <v>958</v>
      </c>
      <c r="H232" s="1" t="s">
        <v>1086</v>
      </c>
      <c r="I232" s="1" t="s">
        <v>1087</v>
      </c>
      <c r="J232" s="1" t="s">
        <v>2912</v>
      </c>
      <c r="K232" s="1" t="s">
        <v>915</v>
      </c>
      <c r="L232" s="1" t="s">
        <v>926</v>
      </c>
      <c r="M232" s="1" t="s">
        <v>2913</v>
      </c>
      <c r="N232" s="1">
        <v>30</v>
      </c>
    </row>
    <row r="233" spans="1:14" x14ac:dyDescent="0.25">
      <c r="A233" s="20" t="s">
        <v>246</v>
      </c>
      <c r="B233" s="1" t="s">
        <v>2914</v>
      </c>
      <c r="C233" s="1" t="s">
        <v>2915</v>
      </c>
      <c r="D233" s="1" t="s">
        <v>2916</v>
      </c>
      <c r="E233" s="1" t="s">
        <v>2917</v>
      </c>
      <c r="F233" s="1" t="s">
        <v>2918</v>
      </c>
      <c r="G233" s="1" t="s">
        <v>958</v>
      </c>
      <c r="H233" s="1" t="s">
        <v>2340</v>
      </c>
      <c r="I233" s="1" t="s">
        <v>2515</v>
      </c>
      <c r="J233" s="1" t="s">
        <v>2919</v>
      </c>
      <c r="K233" s="1" t="s">
        <v>1637</v>
      </c>
      <c r="L233" s="1" t="s">
        <v>2316</v>
      </c>
      <c r="M233" s="1" t="s">
        <v>2920</v>
      </c>
      <c r="N233" s="1">
        <v>25</v>
      </c>
    </row>
    <row r="234" spans="1:14" x14ac:dyDescent="0.25">
      <c r="A234" s="20" t="s">
        <v>247</v>
      </c>
      <c r="B234" s="1" t="s">
        <v>2921</v>
      </c>
      <c r="C234" s="1" t="s">
        <v>2922</v>
      </c>
      <c r="D234" s="1" t="s">
        <v>2923</v>
      </c>
      <c r="E234" s="1" t="s">
        <v>2924</v>
      </c>
      <c r="F234" s="1" t="s">
        <v>2925</v>
      </c>
      <c r="G234" s="1" t="s">
        <v>958</v>
      </c>
      <c r="H234" s="1" t="s">
        <v>2926</v>
      </c>
      <c r="I234" s="1" t="s">
        <v>1060</v>
      </c>
      <c r="J234" s="1" t="s">
        <v>2927</v>
      </c>
      <c r="K234" s="1" t="s">
        <v>1637</v>
      </c>
      <c r="L234" s="1" t="s">
        <v>2928</v>
      </c>
      <c r="M234" s="1" t="s">
        <v>2929</v>
      </c>
      <c r="N234" s="1">
        <v>25</v>
      </c>
    </row>
    <row r="235" spans="1:14" x14ac:dyDescent="0.25">
      <c r="A235" s="20" t="s">
        <v>248</v>
      </c>
      <c r="B235" s="1" t="s">
        <v>2930</v>
      </c>
      <c r="C235" s="1" t="s">
        <v>2931</v>
      </c>
      <c r="D235" s="1" t="s">
        <v>2932</v>
      </c>
      <c r="E235" s="1" t="s">
        <v>2933</v>
      </c>
      <c r="F235" s="1" t="s">
        <v>2934</v>
      </c>
      <c r="G235" s="1" t="s">
        <v>958</v>
      </c>
      <c r="H235" s="1" t="s">
        <v>2935</v>
      </c>
      <c r="I235" s="1" t="s">
        <v>2234</v>
      </c>
      <c r="J235" s="1" t="s">
        <v>2936</v>
      </c>
      <c r="K235" s="1" t="s">
        <v>8</v>
      </c>
      <c r="L235" s="1" t="s">
        <v>2937</v>
      </c>
      <c r="M235" s="1" t="s">
        <v>2938</v>
      </c>
      <c r="N235" s="1">
        <v>25</v>
      </c>
    </row>
    <row r="236" spans="1:14" x14ac:dyDescent="0.25">
      <c r="A236" s="20" t="s">
        <v>249</v>
      </c>
      <c r="B236" s="1" t="s">
        <v>2939</v>
      </c>
      <c r="C236" s="1" t="s">
        <v>2940</v>
      </c>
      <c r="D236" s="1" t="s">
        <v>2941</v>
      </c>
      <c r="E236" s="1" t="s">
        <v>2942</v>
      </c>
      <c r="F236" s="1" t="s">
        <v>2943</v>
      </c>
      <c r="G236" s="1" t="s">
        <v>958</v>
      </c>
      <c r="H236" s="1" t="s">
        <v>1137</v>
      </c>
      <c r="I236" s="1" t="s">
        <v>979</v>
      </c>
      <c r="J236" s="1" t="s">
        <v>2944</v>
      </c>
      <c r="K236" s="1" t="s">
        <v>915</v>
      </c>
      <c r="L236" s="1" t="s">
        <v>2945</v>
      </c>
      <c r="M236" s="1" t="s">
        <v>2946</v>
      </c>
      <c r="N236" s="1">
        <v>150</v>
      </c>
    </row>
    <row r="237" spans="1:14" x14ac:dyDescent="0.25">
      <c r="A237" s="20" t="s">
        <v>250</v>
      </c>
      <c r="B237" s="1" t="s">
        <v>2947</v>
      </c>
      <c r="C237" s="1" t="s">
        <v>2948</v>
      </c>
      <c r="D237" s="1" t="s">
        <v>2949</v>
      </c>
      <c r="E237" s="1" t="s">
        <v>2950</v>
      </c>
      <c r="F237" s="1" t="s">
        <v>2951</v>
      </c>
      <c r="G237" s="1" t="s">
        <v>958</v>
      </c>
      <c r="H237" s="1" t="s">
        <v>2952</v>
      </c>
      <c r="I237" s="1" t="s">
        <v>2953</v>
      </c>
      <c r="K237" s="1" t="s">
        <v>909</v>
      </c>
      <c r="L237" s="1" t="s">
        <v>2954</v>
      </c>
      <c r="M237" s="1" t="s">
        <v>2955</v>
      </c>
      <c r="N237" s="1">
        <v>10</v>
      </c>
    </row>
    <row r="238" spans="1:14" x14ac:dyDescent="0.25">
      <c r="A238" s="20" t="s">
        <v>251</v>
      </c>
      <c r="B238" s="1" t="s">
        <v>2956</v>
      </c>
      <c r="C238" s="1" t="s">
        <v>2957</v>
      </c>
      <c r="D238" s="1" t="s">
        <v>2958</v>
      </c>
      <c r="E238" s="1" t="s">
        <v>2959</v>
      </c>
      <c r="F238" s="1" t="s">
        <v>2960</v>
      </c>
      <c r="G238" s="1" t="s">
        <v>958</v>
      </c>
      <c r="H238" s="1" t="s">
        <v>979</v>
      </c>
      <c r="I238" s="1" t="s">
        <v>979</v>
      </c>
      <c r="J238" s="1" t="s">
        <v>2961</v>
      </c>
      <c r="K238" s="1" t="s">
        <v>4</v>
      </c>
      <c r="L238" s="1" t="s">
        <v>2962</v>
      </c>
      <c r="M238" s="1" t="s">
        <v>2963</v>
      </c>
      <c r="N238" s="1">
        <v>700</v>
      </c>
    </row>
    <row r="239" spans="1:14" x14ac:dyDescent="0.25">
      <c r="A239" s="20" t="s">
        <v>252</v>
      </c>
      <c r="B239" s="1" t="s">
        <v>2964</v>
      </c>
      <c r="C239" s="1" t="s">
        <v>2965</v>
      </c>
      <c r="D239" s="1" t="s">
        <v>2966</v>
      </c>
      <c r="E239" s="1" t="s">
        <v>2967</v>
      </c>
      <c r="F239" s="1" t="s">
        <v>2968</v>
      </c>
      <c r="G239" s="1" t="s">
        <v>2969</v>
      </c>
      <c r="H239" s="1" t="s">
        <v>2970</v>
      </c>
      <c r="I239" s="1" t="s">
        <v>2971</v>
      </c>
      <c r="J239" s="1" t="s">
        <v>2972</v>
      </c>
      <c r="K239" s="1" t="s">
        <v>910</v>
      </c>
      <c r="L239" s="1" t="s">
        <v>2973</v>
      </c>
      <c r="M239" s="1" t="s">
        <v>2974</v>
      </c>
      <c r="N239" s="1">
        <v>25</v>
      </c>
    </row>
    <row r="240" spans="1:14" x14ac:dyDescent="0.25">
      <c r="A240" s="20" t="s">
        <v>253</v>
      </c>
      <c r="B240" s="1" t="s">
        <v>2975</v>
      </c>
      <c r="C240" s="1" t="s">
        <v>2976</v>
      </c>
      <c r="D240" s="1" t="s">
        <v>2977</v>
      </c>
      <c r="E240" s="1" t="s">
        <v>2978</v>
      </c>
      <c r="F240" s="1" t="s">
        <v>2979</v>
      </c>
      <c r="G240" s="1" t="s">
        <v>958</v>
      </c>
      <c r="H240" s="1" t="s">
        <v>2980</v>
      </c>
      <c r="I240" s="1" t="s">
        <v>2981</v>
      </c>
      <c r="J240" s="1" t="s">
        <v>2982</v>
      </c>
      <c r="K240" s="1" t="s">
        <v>10</v>
      </c>
      <c r="L240" s="1" t="s">
        <v>2983</v>
      </c>
      <c r="M240" s="1" t="s">
        <v>2984</v>
      </c>
      <c r="N240" s="1">
        <v>50</v>
      </c>
    </row>
    <row r="241" spans="1:14" x14ac:dyDescent="0.25">
      <c r="A241" s="20" t="s">
        <v>254</v>
      </c>
      <c r="B241" s="1" t="s">
        <v>2985</v>
      </c>
      <c r="C241" s="1" t="s">
        <v>2986</v>
      </c>
      <c r="D241" s="1" t="s">
        <v>2987</v>
      </c>
      <c r="E241" s="1" t="s">
        <v>2988</v>
      </c>
      <c r="F241" s="1" t="s">
        <v>2989</v>
      </c>
      <c r="G241" s="1" t="s">
        <v>958</v>
      </c>
      <c r="H241" s="1" t="s">
        <v>1059</v>
      </c>
      <c r="I241" s="1" t="s">
        <v>2990</v>
      </c>
      <c r="J241" s="1" t="s">
        <v>2991</v>
      </c>
      <c r="K241" s="1" t="s">
        <v>1478</v>
      </c>
      <c r="L241" s="1" t="s">
        <v>2992</v>
      </c>
      <c r="M241" s="1" t="s">
        <v>2993</v>
      </c>
      <c r="N241" s="1">
        <v>25</v>
      </c>
    </row>
    <row r="242" spans="1:14" x14ac:dyDescent="0.25">
      <c r="A242" s="20" t="s">
        <v>255</v>
      </c>
      <c r="B242" s="1" t="s">
        <v>2994</v>
      </c>
      <c r="C242" s="1" t="s">
        <v>2995</v>
      </c>
      <c r="D242" s="1" t="s">
        <v>2996</v>
      </c>
      <c r="E242" s="1" t="s">
        <v>2997</v>
      </c>
      <c r="F242" s="1" t="s">
        <v>2998</v>
      </c>
      <c r="G242" s="1" t="s">
        <v>2999</v>
      </c>
      <c r="H242" s="1" t="s">
        <v>3000</v>
      </c>
      <c r="I242" s="1" t="s">
        <v>1308</v>
      </c>
      <c r="J242" s="1" t="s">
        <v>3001</v>
      </c>
      <c r="K242" s="1" t="s">
        <v>915</v>
      </c>
      <c r="L242" s="1" t="s">
        <v>926</v>
      </c>
      <c r="M242" s="1" t="s">
        <v>3002</v>
      </c>
      <c r="N242" s="1">
        <v>25</v>
      </c>
    </row>
    <row r="243" spans="1:14" x14ac:dyDescent="0.25">
      <c r="A243" s="20" t="s">
        <v>256</v>
      </c>
      <c r="B243" s="1" t="s">
        <v>3003</v>
      </c>
      <c r="C243" s="1" t="s">
        <v>3004</v>
      </c>
      <c r="D243" s="1" t="s">
        <v>3005</v>
      </c>
      <c r="E243" s="1" t="s">
        <v>3006</v>
      </c>
      <c r="F243" s="1" t="s">
        <v>3007</v>
      </c>
      <c r="G243" s="1" t="s">
        <v>958</v>
      </c>
      <c r="H243" s="1" t="s">
        <v>3008</v>
      </c>
      <c r="I243" s="1" t="s">
        <v>1760</v>
      </c>
      <c r="J243" s="1" t="s">
        <v>3009</v>
      </c>
      <c r="K243" s="1" t="s">
        <v>1478</v>
      </c>
      <c r="L243" s="1" t="s">
        <v>3010</v>
      </c>
      <c r="M243" s="1" t="s">
        <v>3011</v>
      </c>
      <c r="N243" s="1">
        <v>50</v>
      </c>
    </row>
    <row r="244" spans="1:14" x14ac:dyDescent="0.25">
      <c r="A244" s="20" t="s">
        <v>257</v>
      </c>
      <c r="B244" s="1" t="s">
        <v>3012</v>
      </c>
      <c r="C244" s="1" t="s">
        <v>3013</v>
      </c>
      <c r="D244" s="1" t="s">
        <v>3014</v>
      </c>
      <c r="E244" s="1" t="s">
        <v>3015</v>
      </c>
      <c r="F244" s="1" t="s">
        <v>3016</v>
      </c>
      <c r="G244" s="1" t="s">
        <v>958</v>
      </c>
      <c r="H244" s="1" t="s">
        <v>1297</v>
      </c>
      <c r="I244" s="1" t="s">
        <v>1298</v>
      </c>
      <c r="J244" s="1" t="s">
        <v>3017</v>
      </c>
      <c r="K244" s="1" t="s">
        <v>1496</v>
      </c>
      <c r="L244" s="1" t="s">
        <v>3018</v>
      </c>
      <c r="M244" s="1" t="s">
        <v>3019</v>
      </c>
      <c r="N244" s="1">
        <v>50</v>
      </c>
    </row>
    <row r="245" spans="1:14" x14ac:dyDescent="0.25">
      <c r="A245" s="20" t="s">
        <v>258</v>
      </c>
      <c r="B245" s="1" t="s">
        <v>3020</v>
      </c>
      <c r="C245" s="1" t="s">
        <v>3021</v>
      </c>
      <c r="D245" s="1" t="s">
        <v>3022</v>
      </c>
      <c r="E245" s="1" t="s">
        <v>3023</v>
      </c>
      <c r="F245" s="1" t="s">
        <v>3024</v>
      </c>
      <c r="G245" s="1" t="s">
        <v>958</v>
      </c>
      <c r="H245" s="1" t="s">
        <v>1018</v>
      </c>
      <c r="I245" s="1" t="s">
        <v>1116</v>
      </c>
      <c r="J245" s="1" t="s">
        <v>3025</v>
      </c>
      <c r="K245" s="1" t="s">
        <v>919</v>
      </c>
      <c r="L245" s="1" t="s">
        <v>3026</v>
      </c>
      <c r="M245" s="1" t="s">
        <v>3027</v>
      </c>
      <c r="N245" s="1">
        <v>50</v>
      </c>
    </row>
    <row r="246" spans="1:14" x14ac:dyDescent="0.25">
      <c r="A246" s="20" t="s">
        <v>259</v>
      </c>
      <c r="B246" s="1" t="s">
        <v>3028</v>
      </c>
      <c r="C246" s="1" t="s">
        <v>3029</v>
      </c>
      <c r="D246" s="1" t="s">
        <v>3030</v>
      </c>
      <c r="E246" s="1" t="s">
        <v>3031</v>
      </c>
      <c r="F246" s="1" t="s">
        <v>3032</v>
      </c>
      <c r="G246" s="1" t="s">
        <v>958</v>
      </c>
      <c r="H246" s="1" t="s">
        <v>1608</v>
      </c>
      <c r="I246" s="1" t="s">
        <v>1476</v>
      </c>
      <c r="J246" s="1" t="s">
        <v>3033</v>
      </c>
      <c r="K246" s="1" t="s">
        <v>1548</v>
      </c>
      <c r="L246" s="1" t="s">
        <v>1549</v>
      </c>
      <c r="M246" s="1" t="s">
        <v>3034</v>
      </c>
      <c r="N246" s="1">
        <v>25</v>
      </c>
    </row>
    <row r="247" spans="1:14" x14ac:dyDescent="0.25">
      <c r="A247" s="20" t="s">
        <v>260</v>
      </c>
      <c r="B247" s="1" t="s">
        <v>3035</v>
      </c>
      <c r="C247" s="1" t="s">
        <v>3036</v>
      </c>
      <c r="D247" s="1" t="s">
        <v>3037</v>
      </c>
      <c r="E247" s="1" t="s">
        <v>3038</v>
      </c>
      <c r="F247" s="1" t="s">
        <v>3039</v>
      </c>
      <c r="G247" s="1" t="s">
        <v>958</v>
      </c>
      <c r="H247" s="1" t="s">
        <v>1545</v>
      </c>
      <c r="I247" s="1" t="s">
        <v>1546</v>
      </c>
      <c r="J247" s="1" t="s">
        <v>3040</v>
      </c>
      <c r="K247" s="1" t="s">
        <v>971</v>
      </c>
      <c r="L247" s="1" t="s">
        <v>3041</v>
      </c>
      <c r="M247" s="1" t="s">
        <v>3042</v>
      </c>
      <c r="N247" s="1">
        <v>25</v>
      </c>
    </row>
    <row r="248" spans="1:14" x14ac:dyDescent="0.25">
      <c r="A248" s="20" t="s">
        <v>261</v>
      </c>
      <c r="B248" s="1" t="s">
        <v>3043</v>
      </c>
      <c r="C248" s="1" t="s">
        <v>3044</v>
      </c>
      <c r="D248" s="1" t="s">
        <v>3045</v>
      </c>
      <c r="E248" s="1" t="s">
        <v>3046</v>
      </c>
      <c r="F248" s="1" t="s">
        <v>3047</v>
      </c>
      <c r="G248" s="1" t="s">
        <v>958</v>
      </c>
      <c r="H248" s="1" t="s">
        <v>2208</v>
      </c>
      <c r="I248" s="1" t="s">
        <v>2209</v>
      </c>
      <c r="J248" s="1" t="s">
        <v>3048</v>
      </c>
      <c r="K248" s="1" t="s">
        <v>971</v>
      </c>
      <c r="L248" s="1" t="s">
        <v>3049</v>
      </c>
      <c r="M248" s="1" t="s">
        <v>3050</v>
      </c>
      <c r="N248" s="1">
        <v>25</v>
      </c>
    </row>
    <row r="249" spans="1:14" x14ac:dyDescent="0.25">
      <c r="A249" s="20" t="s">
        <v>262</v>
      </c>
      <c r="B249" s="1" t="s">
        <v>3051</v>
      </c>
      <c r="C249" s="1" t="s">
        <v>3052</v>
      </c>
      <c r="D249" s="1" t="s">
        <v>3053</v>
      </c>
      <c r="E249" s="1" t="s">
        <v>3054</v>
      </c>
      <c r="F249" s="1" t="s">
        <v>3055</v>
      </c>
      <c r="G249" s="1" t="s">
        <v>958</v>
      </c>
      <c r="H249" s="1" t="s">
        <v>979</v>
      </c>
      <c r="I249" s="1" t="s">
        <v>979</v>
      </c>
      <c r="J249" s="1" t="s">
        <v>3056</v>
      </c>
      <c r="K249" s="1" t="s">
        <v>1637</v>
      </c>
      <c r="L249" s="1" t="s">
        <v>2316</v>
      </c>
      <c r="M249" s="1" t="s">
        <v>3057</v>
      </c>
      <c r="N249" s="1">
        <v>100</v>
      </c>
    </row>
    <row r="250" spans="1:14" x14ac:dyDescent="0.25">
      <c r="A250" s="20" t="s">
        <v>263</v>
      </c>
      <c r="B250" s="1" t="s">
        <v>3058</v>
      </c>
      <c r="C250" s="1" t="s">
        <v>3059</v>
      </c>
      <c r="D250" s="1" t="s">
        <v>3060</v>
      </c>
      <c r="E250" s="1" t="s">
        <v>3061</v>
      </c>
      <c r="F250" s="1" t="s">
        <v>3062</v>
      </c>
      <c r="G250" s="1" t="s">
        <v>958</v>
      </c>
      <c r="H250" s="1" t="s">
        <v>3063</v>
      </c>
      <c r="I250" s="1" t="s">
        <v>1626</v>
      </c>
      <c r="J250" s="1" t="s">
        <v>3064</v>
      </c>
      <c r="K250" s="1" t="s">
        <v>1871</v>
      </c>
      <c r="L250" s="1" t="s">
        <v>2433</v>
      </c>
      <c r="M250" s="1" t="s">
        <v>3065</v>
      </c>
      <c r="N250" s="1">
        <v>50</v>
      </c>
    </row>
    <row r="251" spans="1:14" x14ac:dyDescent="0.25">
      <c r="A251" s="20" t="s">
        <v>264</v>
      </c>
      <c r="B251" s="1" t="s">
        <v>3066</v>
      </c>
      <c r="C251" s="1" t="s">
        <v>3067</v>
      </c>
      <c r="D251" s="1" t="s">
        <v>3068</v>
      </c>
      <c r="E251" s="1" t="s">
        <v>3069</v>
      </c>
      <c r="F251" s="1" t="s">
        <v>3070</v>
      </c>
      <c r="G251" s="1" t="s">
        <v>958</v>
      </c>
      <c r="H251" s="1" t="s">
        <v>3071</v>
      </c>
      <c r="I251" s="1" t="s">
        <v>1070</v>
      </c>
      <c r="J251" s="1" t="s">
        <v>3072</v>
      </c>
      <c r="K251" s="1" t="s">
        <v>10</v>
      </c>
      <c r="L251" s="1" t="s">
        <v>3073</v>
      </c>
      <c r="M251" s="1" t="s">
        <v>3074</v>
      </c>
      <c r="N251" s="1">
        <v>100</v>
      </c>
    </row>
    <row r="252" spans="1:14" x14ac:dyDescent="0.25">
      <c r="A252" s="20" t="s">
        <v>265</v>
      </c>
      <c r="B252" s="1" t="s">
        <v>3075</v>
      </c>
      <c r="C252" s="1" t="s">
        <v>3076</v>
      </c>
      <c r="D252" s="1" t="s">
        <v>3077</v>
      </c>
      <c r="E252" s="1" t="s">
        <v>3078</v>
      </c>
      <c r="F252" s="1" t="s">
        <v>3079</v>
      </c>
      <c r="G252" s="1" t="s">
        <v>958</v>
      </c>
      <c r="H252" s="1" t="s">
        <v>979</v>
      </c>
      <c r="I252" s="1" t="s">
        <v>979</v>
      </c>
      <c r="J252" s="1" t="s">
        <v>3080</v>
      </c>
      <c r="K252" s="1" t="s">
        <v>909</v>
      </c>
      <c r="L252" s="1" t="s">
        <v>1237</v>
      </c>
      <c r="M252" s="1" t="s">
        <v>3081</v>
      </c>
      <c r="N252" s="1">
        <v>25</v>
      </c>
    </row>
    <row r="253" spans="1:14" x14ac:dyDescent="0.25">
      <c r="A253" s="20" t="s">
        <v>266</v>
      </c>
      <c r="B253" s="1" t="s">
        <v>3082</v>
      </c>
      <c r="C253" s="1" t="s">
        <v>3083</v>
      </c>
      <c r="D253" s="1" t="s">
        <v>3084</v>
      </c>
      <c r="E253" s="1" t="s">
        <v>3085</v>
      </c>
      <c r="F253" s="1" t="s">
        <v>3086</v>
      </c>
      <c r="G253" s="1" t="s">
        <v>958</v>
      </c>
      <c r="H253" s="1" t="s">
        <v>3087</v>
      </c>
      <c r="I253" s="1" t="s">
        <v>1725</v>
      </c>
      <c r="J253" s="1" t="s">
        <v>3088</v>
      </c>
      <c r="K253" s="1" t="s">
        <v>3089</v>
      </c>
      <c r="L253" s="1" t="s">
        <v>3090</v>
      </c>
      <c r="M253" s="1" t="s">
        <v>3091</v>
      </c>
      <c r="N253" s="1">
        <v>25</v>
      </c>
    </row>
    <row r="254" spans="1:14" x14ac:dyDescent="0.25">
      <c r="A254" s="20" t="s">
        <v>267</v>
      </c>
      <c r="B254" s="1" t="s">
        <v>3092</v>
      </c>
      <c r="C254" s="1" t="s">
        <v>3093</v>
      </c>
      <c r="D254" s="1" t="s">
        <v>3094</v>
      </c>
      <c r="E254" s="1" t="s">
        <v>3095</v>
      </c>
      <c r="F254" s="1" t="s">
        <v>3096</v>
      </c>
      <c r="G254" s="1" t="s">
        <v>958</v>
      </c>
      <c r="H254" s="1" t="s">
        <v>979</v>
      </c>
      <c r="I254" s="1" t="s">
        <v>979</v>
      </c>
      <c r="J254" s="1" t="s">
        <v>3097</v>
      </c>
      <c r="K254" s="1" t="s">
        <v>3098</v>
      </c>
      <c r="L254" s="1" t="s">
        <v>3099</v>
      </c>
      <c r="M254" s="1" t="s">
        <v>3100</v>
      </c>
      <c r="N254" s="1">
        <v>25</v>
      </c>
    </row>
    <row r="255" spans="1:14" x14ac:dyDescent="0.25">
      <c r="A255" s="20" t="s">
        <v>268</v>
      </c>
      <c r="B255" s="1" t="s">
        <v>3101</v>
      </c>
      <c r="C255" s="1" t="s">
        <v>3102</v>
      </c>
      <c r="D255" s="1" t="s">
        <v>3103</v>
      </c>
      <c r="E255" s="1" t="s">
        <v>3104</v>
      </c>
      <c r="F255" s="1" t="s">
        <v>3105</v>
      </c>
      <c r="G255" s="1" t="s">
        <v>958</v>
      </c>
      <c r="H255" s="1" t="s">
        <v>3106</v>
      </c>
      <c r="I255" s="1" t="s">
        <v>1476</v>
      </c>
      <c r="J255" s="1" t="s">
        <v>3107</v>
      </c>
      <c r="K255" s="1" t="s">
        <v>1478</v>
      </c>
      <c r="L255" s="1" t="s">
        <v>3108</v>
      </c>
      <c r="M255" s="1" t="s">
        <v>3109</v>
      </c>
      <c r="N255" s="1">
        <v>25</v>
      </c>
    </row>
    <row r="256" spans="1:14" x14ac:dyDescent="0.25">
      <c r="A256" s="20" t="s">
        <v>269</v>
      </c>
      <c r="B256" s="1" t="s">
        <v>3110</v>
      </c>
      <c r="C256" s="1" t="s">
        <v>3111</v>
      </c>
      <c r="D256" s="1" t="s">
        <v>3112</v>
      </c>
      <c r="E256" s="1" t="s">
        <v>3113</v>
      </c>
      <c r="F256" s="1" t="s">
        <v>3114</v>
      </c>
      <c r="G256" s="1" t="s">
        <v>958</v>
      </c>
      <c r="H256" s="1" t="s">
        <v>3115</v>
      </c>
      <c r="I256" s="1" t="s">
        <v>1583</v>
      </c>
      <c r="J256" s="1" t="s">
        <v>3116</v>
      </c>
      <c r="K256" s="1" t="s">
        <v>910</v>
      </c>
      <c r="L256" s="1" t="s">
        <v>981</v>
      </c>
      <c r="M256" s="1" t="s">
        <v>3117</v>
      </c>
      <c r="N256" s="1">
        <v>25</v>
      </c>
    </row>
    <row r="257" spans="1:14" x14ac:dyDescent="0.25">
      <c r="A257" s="20" t="s">
        <v>270</v>
      </c>
      <c r="B257" s="1" t="s">
        <v>3118</v>
      </c>
      <c r="C257" s="1" t="s">
        <v>3119</v>
      </c>
      <c r="D257" s="1" t="s">
        <v>3120</v>
      </c>
      <c r="E257" s="1" t="s">
        <v>3121</v>
      </c>
      <c r="F257" s="1" t="s">
        <v>3122</v>
      </c>
      <c r="G257" s="1" t="s">
        <v>3123</v>
      </c>
      <c r="H257" s="1" t="s">
        <v>3124</v>
      </c>
      <c r="I257" s="1" t="s">
        <v>1298</v>
      </c>
      <c r="J257" s="1" t="s">
        <v>3125</v>
      </c>
      <c r="K257" s="1" t="s">
        <v>914</v>
      </c>
      <c r="L257" s="1" t="s">
        <v>3126</v>
      </c>
      <c r="M257" s="1" t="s">
        <v>3127</v>
      </c>
      <c r="N257" s="1">
        <v>500</v>
      </c>
    </row>
    <row r="258" spans="1:14" x14ac:dyDescent="0.25">
      <c r="A258" s="20" t="s">
        <v>271</v>
      </c>
      <c r="B258" s="1" t="s">
        <v>3128</v>
      </c>
      <c r="C258" s="1" t="s">
        <v>3129</v>
      </c>
      <c r="D258" s="1" t="s">
        <v>3130</v>
      </c>
      <c r="E258" s="1" t="s">
        <v>3131</v>
      </c>
      <c r="F258" s="1" t="s">
        <v>3132</v>
      </c>
      <c r="G258" s="1" t="s">
        <v>958</v>
      </c>
      <c r="H258" s="1" t="s">
        <v>2234</v>
      </c>
      <c r="I258" s="1" t="s">
        <v>2848</v>
      </c>
      <c r="J258" s="1" t="s">
        <v>3133</v>
      </c>
      <c r="K258" s="1" t="s">
        <v>4</v>
      </c>
      <c r="L258" s="1" t="s">
        <v>924</v>
      </c>
      <c r="M258" s="1" t="s">
        <v>3134</v>
      </c>
      <c r="N258" s="1">
        <v>25</v>
      </c>
    </row>
    <row r="259" spans="1:14" x14ac:dyDescent="0.25">
      <c r="A259" s="20" t="s">
        <v>272</v>
      </c>
      <c r="B259" s="1" t="s">
        <v>3135</v>
      </c>
      <c r="C259" s="1" t="s">
        <v>3136</v>
      </c>
      <c r="D259" s="1" t="s">
        <v>3137</v>
      </c>
      <c r="E259" s="1" t="s">
        <v>3138</v>
      </c>
      <c r="F259" s="1" t="s">
        <v>3139</v>
      </c>
      <c r="G259" s="1" t="s">
        <v>958</v>
      </c>
      <c r="H259" s="1" t="s">
        <v>2807</v>
      </c>
      <c r="I259" s="1" t="s">
        <v>3140</v>
      </c>
      <c r="J259" s="1" t="s">
        <v>3141</v>
      </c>
      <c r="K259" s="1" t="s">
        <v>2</v>
      </c>
      <c r="L259" s="1" t="s">
        <v>3142</v>
      </c>
      <c r="M259" s="1" t="s">
        <v>3143</v>
      </c>
      <c r="N259" s="1">
        <v>25</v>
      </c>
    </row>
    <row r="260" spans="1:14" x14ac:dyDescent="0.25">
      <c r="A260" s="20" t="s">
        <v>273</v>
      </c>
      <c r="B260" s="1" t="s">
        <v>3144</v>
      </c>
      <c r="C260" s="1" t="s">
        <v>3145</v>
      </c>
      <c r="D260" s="1" t="s">
        <v>3146</v>
      </c>
      <c r="E260" s="1" t="s">
        <v>3147</v>
      </c>
      <c r="F260" s="1" t="s">
        <v>3148</v>
      </c>
      <c r="G260" s="1" t="s">
        <v>958</v>
      </c>
      <c r="H260" s="1" t="s">
        <v>3149</v>
      </c>
      <c r="I260" s="1" t="s">
        <v>979</v>
      </c>
      <c r="J260" s="1" t="s">
        <v>3150</v>
      </c>
      <c r="K260" s="1" t="s">
        <v>13</v>
      </c>
      <c r="L260" s="1" t="s">
        <v>2874</v>
      </c>
      <c r="M260" s="1" t="s">
        <v>3151</v>
      </c>
      <c r="N260" s="1">
        <v>50</v>
      </c>
    </row>
    <row r="261" spans="1:14" x14ac:dyDescent="0.25">
      <c r="A261" s="20" t="s">
        <v>274</v>
      </c>
      <c r="B261" s="1" t="s">
        <v>3152</v>
      </c>
      <c r="C261" s="1" t="s">
        <v>3153</v>
      </c>
      <c r="D261" s="1" t="s">
        <v>3154</v>
      </c>
      <c r="E261" s="1" t="s">
        <v>3155</v>
      </c>
      <c r="F261" s="1" t="s">
        <v>3156</v>
      </c>
      <c r="G261" s="1" t="s">
        <v>958</v>
      </c>
      <c r="H261" s="1" t="s">
        <v>979</v>
      </c>
      <c r="I261" s="1" t="s">
        <v>979</v>
      </c>
      <c r="J261" s="1" t="s">
        <v>3157</v>
      </c>
      <c r="K261" s="1" t="s">
        <v>4</v>
      </c>
      <c r="L261" s="1" t="s">
        <v>3158</v>
      </c>
      <c r="M261" s="1" t="s">
        <v>3159</v>
      </c>
      <c r="N261" s="1">
        <v>25</v>
      </c>
    </row>
    <row r="262" spans="1:14" x14ac:dyDescent="0.25">
      <c r="A262" s="20" t="s">
        <v>275</v>
      </c>
      <c r="B262" s="1" t="s">
        <v>3160</v>
      </c>
      <c r="C262" s="1" t="s">
        <v>3161</v>
      </c>
      <c r="D262" s="1" t="s">
        <v>3162</v>
      </c>
      <c r="E262" s="1" t="s">
        <v>3163</v>
      </c>
      <c r="F262" s="1" t="s">
        <v>3164</v>
      </c>
      <c r="G262" s="1" t="s">
        <v>958</v>
      </c>
      <c r="H262" s="1" t="s">
        <v>3165</v>
      </c>
      <c r="I262" s="1" t="s">
        <v>1707</v>
      </c>
      <c r="J262" s="1" t="s">
        <v>3166</v>
      </c>
      <c r="K262" s="1" t="s">
        <v>971</v>
      </c>
      <c r="L262" s="1" t="s">
        <v>3167</v>
      </c>
      <c r="M262" s="1" t="s">
        <v>3168</v>
      </c>
      <c r="N262" s="1">
        <v>100</v>
      </c>
    </row>
    <row r="263" spans="1:14" x14ac:dyDescent="0.25">
      <c r="A263" s="20" t="s">
        <v>276</v>
      </c>
      <c r="B263" s="1" t="s">
        <v>3169</v>
      </c>
      <c r="C263" s="1" t="s">
        <v>3170</v>
      </c>
      <c r="D263" s="1" t="s">
        <v>3171</v>
      </c>
      <c r="E263" s="1" t="s">
        <v>3172</v>
      </c>
      <c r="F263" s="1" t="s">
        <v>3173</v>
      </c>
      <c r="G263" s="1" t="s">
        <v>958</v>
      </c>
      <c r="H263" s="1" t="s">
        <v>1778</v>
      </c>
      <c r="I263" s="1" t="s">
        <v>1397</v>
      </c>
      <c r="J263" s="1" t="s">
        <v>3174</v>
      </c>
      <c r="K263" s="1" t="s">
        <v>1871</v>
      </c>
      <c r="L263" s="1" t="s">
        <v>3175</v>
      </c>
      <c r="M263" s="1" t="s">
        <v>3176</v>
      </c>
      <c r="N263" s="1">
        <v>25</v>
      </c>
    </row>
    <row r="264" spans="1:14" x14ac:dyDescent="0.25">
      <c r="A264" s="20" t="s">
        <v>277</v>
      </c>
      <c r="B264" s="1" t="s">
        <v>3177</v>
      </c>
      <c r="C264" s="1" t="s">
        <v>3178</v>
      </c>
      <c r="D264" s="1" t="s">
        <v>3179</v>
      </c>
      <c r="E264" s="1" t="s">
        <v>3180</v>
      </c>
      <c r="F264" s="1" t="s">
        <v>3181</v>
      </c>
      <c r="G264" s="1" t="s">
        <v>958</v>
      </c>
      <c r="H264" s="1" t="s">
        <v>3182</v>
      </c>
      <c r="I264" s="1" t="s">
        <v>2515</v>
      </c>
      <c r="J264" s="1" t="s">
        <v>3183</v>
      </c>
      <c r="K264" s="1" t="s">
        <v>909</v>
      </c>
      <c r="L264" s="1" t="s">
        <v>1237</v>
      </c>
      <c r="M264" s="1" t="s">
        <v>3184</v>
      </c>
      <c r="N264" s="1">
        <v>35</v>
      </c>
    </row>
    <row r="265" spans="1:14" x14ac:dyDescent="0.25">
      <c r="A265" s="20" t="s">
        <v>278</v>
      </c>
      <c r="B265" s="1" t="s">
        <v>3185</v>
      </c>
      <c r="C265" s="1" t="s">
        <v>2812</v>
      </c>
      <c r="D265" s="1" t="s">
        <v>3186</v>
      </c>
      <c r="E265" s="1" t="s">
        <v>3187</v>
      </c>
      <c r="F265" s="1" t="s">
        <v>3188</v>
      </c>
      <c r="G265" s="1" t="s">
        <v>958</v>
      </c>
      <c r="H265" s="1" t="s">
        <v>1137</v>
      </c>
      <c r="I265" s="1" t="s">
        <v>979</v>
      </c>
      <c r="J265" s="1" t="s">
        <v>3189</v>
      </c>
      <c r="K265" s="1" t="s">
        <v>2</v>
      </c>
      <c r="L265" s="1" t="s">
        <v>1882</v>
      </c>
      <c r="M265" s="1" t="s">
        <v>3190</v>
      </c>
      <c r="N265" s="1">
        <v>25</v>
      </c>
    </row>
    <row r="266" spans="1:14" x14ac:dyDescent="0.25">
      <c r="A266" s="20" t="s">
        <v>279</v>
      </c>
      <c r="B266" s="1" t="s">
        <v>3191</v>
      </c>
      <c r="C266" s="1" t="s">
        <v>3192</v>
      </c>
      <c r="D266" s="1" t="s">
        <v>3193</v>
      </c>
      <c r="E266" s="1" t="s">
        <v>3194</v>
      </c>
      <c r="F266" s="1" t="s">
        <v>3195</v>
      </c>
      <c r="G266" s="1" t="s">
        <v>958</v>
      </c>
      <c r="H266" s="1" t="s">
        <v>3196</v>
      </c>
      <c r="I266" s="1" t="s">
        <v>3140</v>
      </c>
      <c r="J266" s="1" t="s">
        <v>3197</v>
      </c>
      <c r="K266" s="1" t="s">
        <v>8</v>
      </c>
      <c r="L266" s="1" t="s">
        <v>1177</v>
      </c>
      <c r="M266" s="1" t="s">
        <v>3198</v>
      </c>
      <c r="N266" s="1">
        <v>25</v>
      </c>
    </row>
    <row r="267" spans="1:14" x14ac:dyDescent="0.25">
      <c r="A267" s="20" t="s">
        <v>280</v>
      </c>
      <c r="B267" s="1" t="s">
        <v>3199</v>
      </c>
      <c r="C267" s="1" t="s">
        <v>3200</v>
      </c>
      <c r="D267" s="1" t="s">
        <v>3201</v>
      </c>
      <c r="E267" s="1" t="s">
        <v>3202</v>
      </c>
      <c r="F267" s="1" t="s">
        <v>3203</v>
      </c>
      <c r="G267" s="1" t="s">
        <v>958</v>
      </c>
      <c r="H267" s="1" t="s">
        <v>1051</v>
      </c>
      <c r="I267" s="1" t="s">
        <v>979</v>
      </c>
      <c r="J267" s="1" t="s">
        <v>3204</v>
      </c>
      <c r="K267" s="1" t="s">
        <v>914</v>
      </c>
      <c r="L267" s="1" t="s">
        <v>3126</v>
      </c>
      <c r="M267" s="1" t="s">
        <v>3205</v>
      </c>
      <c r="N267" s="1">
        <v>25</v>
      </c>
    </row>
    <row r="268" spans="1:14" x14ac:dyDescent="0.25">
      <c r="A268" s="20" t="s">
        <v>281</v>
      </c>
      <c r="B268" s="1" t="s">
        <v>3206</v>
      </c>
      <c r="C268" s="1" t="s">
        <v>3207</v>
      </c>
      <c r="D268" s="1" t="s">
        <v>3208</v>
      </c>
      <c r="E268" s="1" t="s">
        <v>3209</v>
      </c>
      <c r="F268" s="1" t="s">
        <v>3210</v>
      </c>
      <c r="G268" s="1" t="s">
        <v>958</v>
      </c>
      <c r="H268" s="1" t="s">
        <v>3211</v>
      </c>
      <c r="I268" s="1" t="s">
        <v>1287</v>
      </c>
      <c r="J268" s="1" t="s">
        <v>990</v>
      </c>
      <c r="K268" s="1" t="s">
        <v>1218</v>
      </c>
      <c r="L268" s="1" t="s">
        <v>1355</v>
      </c>
      <c r="M268" s="1" t="s">
        <v>3212</v>
      </c>
      <c r="N268" s="1">
        <v>25</v>
      </c>
    </row>
    <row r="269" spans="1:14" x14ac:dyDescent="0.25">
      <c r="A269" s="20" t="s">
        <v>282</v>
      </c>
      <c r="B269" s="1" t="s">
        <v>3213</v>
      </c>
      <c r="C269" s="1" t="s">
        <v>3214</v>
      </c>
      <c r="D269" s="1" t="s">
        <v>3215</v>
      </c>
      <c r="E269" s="1" t="s">
        <v>3216</v>
      </c>
      <c r="F269" s="1" t="s">
        <v>3217</v>
      </c>
      <c r="G269" s="1" t="s">
        <v>958</v>
      </c>
      <c r="H269" s="1" t="s">
        <v>1018</v>
      </c>
      <c r="I269" s="1" t="s">
        <v>1116</v>
      </c>
      <c r="J269" s="1" t="s">
        <v>3218</v>
      </c>
      <c r="K269" s="1" t="s">
        <v>971</v>
      </c>
      <c r="L269" s="1" t="s">
        <v>972</v>
      </c>
      <c r="M269" s="1" t="s">
        <v>3219</v>
      </c>
      <c r="N269" s="1">
        <v>25</v>
      </c>
    </row>
    <row r="270" spans="1:14" x14ac:dyDescent="0.25">
      <c r="A270" s="20" t="s">
        <v>283</v>
      </c>
      <c r="B270" s="1" t="s">
        <v>3220</v>
      </c>
      <c r="C270" s="1" t="s">
        <v>3221</v>
      </c>
      <c r="D270" s="1" t="s">
        <v>3222</v>
      </c>
      <c r="E270" s="1" t="s">
        <v>3223</v>
      </c>
      <c r="F270" s="1" t="s">
        <v>3224</v>
      </c>
      <c r="G270" s="1" t="s">
        <v>958</v>
      </c>
      <c r="H270" s="1" t="s">
        <v>3225</v>
      </c>
      <c r="I270" s="1" t="s">
        <v>1287</v>
      </c>
      <c r="J270" s="1" t="s">
        <v>3226</v>
      </c>
      <c r="K270" s="1" t="s">
        <v>909</v>
      </c>
      <c r="L270" s="1" t="s">
        <v>2192</v>
      </c>
      <c r="M270" s="1" t="s">
        <v>3227</v>
      </c>
      <c r="N270" s="1">
        <v>30</v>
      </c>
    </row>
    <row r="271" spans="1:14" x14ac:dyDescent="0.25">
      <c r="A271" s="20" t="s">
        <v>284</v>
      </c>
      <c r="B271" s="1" t="s">
        <v>3228</v>
      </c>
      <c r="C271" s="1" t="s">
        <v>3229</v>
      </c>
      <c r="D271" s="1" t="s">
        <v>3230</v>
      </c>
      <c r="E271" s="1" t="s">
        <v>3231</v>
      </c>
      <c r="F271" s="1" t="s">
        <v>3232</v>
      </c>
      <c r="G271" s="1" t="s">
        <v>958</v>
      </c>
      <c r="H271" s="1" t="s">
        <v>1137</v>
      </c>
      <c r="I271" s="1" t="s">
        <v>979</v>
      </c>
      <c r="J271" s="1" t="s">
        <v>3233</v>
      </c>
      <c r="K271" s="1" t="s">
        <v>8</v>
      </c>
      <c r="L271" s="1" t="s">
        <v>1177</v>
      </c>
      <c r="M271" s="1" t="s">
        <v>3234</v>
      </c>
      <c r="N271" s="1">
        <v>900</v>
      </c>
    </row>
    <row r="272" spans="1:14" x14ac:dyDescent="0.25">
      <c r="A272" s="20" t="s">
        <v>285</v>
      </c>
      <c r="B272" s="1" t="s">
        <v>3235</v>
      </c>
      <c r="C272" s="1" t="s">
        <v>3236</v>
      </c>
      <c r="D272" s="1" t="s">
        <v>3237</v>
      </c>
      <c r="E272" s="1" t="s">
        <v>3238</v>
      </c>
      <c r="F272" s="1" t="s">
        <v>3239</v>
      </c>
      <c r="G272" s="1" t="s">
        <v>958</v>
      </c>
      <c r="H272" s="1" t="s">
        <v>2122</v>
      </c>
      <c r="I272" s="1" t="s">
        <v>1070</v>
      </c>
      <c r="J272" s="1" t="s">
        <v>3240</v>
      </c>
      <c r="K272" s="1" t="s">
        <v>1637</v>
      </c>
      <c r="L272" s="1" t="s">
        <v>3241</v>
      </c>
      <c r="M272" s="1" t="s">
        <v>3242</v>
      </c>
      <c r="N272" s="1">
        <v>50</v>
      </c>
    </row>
    <row r="273" spans="1:14" x14ac:dyDescent="0.25">
      <c r="A273" s="20" t="s">
        <v>286</v>
      </c>
      <c r="B273" s="1" t="s">
        <v>3243</v>
      </c>
      <c r="C273" s="1" t="s">
        <v>3244</v>
      </c>
      <c r="D273" s="1" t="s">
        <v>3245</v>
      </c>
      <c r="E273" s="1" t="s">
        <v>3246</v>
      </c>
      <c r="F273" s="1" t="s">
        <v>3247</v>
      </c>
      <c r="G273" s="1" t="s">
        <v>958</v>
      </c>
      <c r="H273" s="1" t="s">
        <v>1137</v>
      </c>
      <c r="I273" s="1" t="s">
        <v>979</v>
      </c>
      <c r="J273" s="1" t="s">
        <v>3248</v>
      </c>
      <c r="K273" s="1" t="s">
        <v>1089</v>
      </c>
      <c r="L273" s="1" t="s">
        <v>1319</v>
      </c>
      <c r="M273" s="1" t="s">
        <v>3249</v>
      </c>
      <c r="N273" s="1">
        <v>25</v>
      </c>
    </row>
    <row r="274" spans="1:14" x14ac:dyDescent="0.25">
      <c r="A274" s="20" t="s">
        <v>287</v>
      </c>
      <c r="B274" s="1" t="s">
        <v>3250</v>
      </c>
      <c r="C274" s="1" t="s">
        <v>3251</v>
      </c>
      <c r="D274" s="1" t="s">
        <v>3252</v>
      </c>
      <c r="E274" s="1" t="s">
        <v>3253</v>
      </c>
      <c r="F274" s="1" t="s">
        <v>3254</v>
      </c>
      <c r="G274" s="1" t="s">
        <v>958</v>
      </c>
      <c r="H274" s="1" t="s">
        <v>3255</v>
      </c>
      <c r="I274" s="1" t="s">
        <v>2087</v>
      </c>
      <c r="J274" s="1" t="s">
        <v>3256</v>
      </c>
      <c r="K274" s="1" t="s">
        <v>3257</v>
      </c>
      <c r="L274" s="1" t="s">
        <v>3258</v>
      </c>
      <c r="M274" s="1" t="s">
        <v>3259</v>
      </c>
      <c r="N274" s="1">
        <v>25</v>
      </c>
    </row>
    <row r="275" spans="1:14" x14ac:dyDescent="0.25">
      <c r="A275" s="20" t="s">
        <v>288</v>
      </c>
      <c r="B275" s="1" t="s">
        <v>3260</v>
      </c>
      <c r="C275" s="1" t="s">
        <v>3261</v>
      </c>
      <c r="D275" s="1" t="s">
        <v>3262</v>
      </c>
      <c r="E275" s="1" t="s">
        <v>3263</v>
      </c>
      <c r="F275" s="1" t="s">
        <v>3264</v>
      </c>
      <c r="G275" s="1" t="s">
        <v>958</v>
      </c>
      <c r="H275" s="1" t="s">
        <v>3265</v>
      </c>
      <c r="I275" s="1" t="s">
        <v>2634</v>
      </c>
      <c r="J275" s="1" t="s">
        <v>3266</v>
      </c>
      <c r="K275" s="1" t="s">
        <v>910</v>
      </c>
      <c r="L275" s="1" t="s">
        <v>981</v>
      </c>
      <c r="M275" s="1" t="s">
        <v>3267</v>
      </c>
      <c r="N275" s="1">
        <v>25</v>
      </c>
    </row>
    <row r="276" spans="1:14" x14ac:dyDescent="0.25">
      <c r="A276" s="20" t="s">
        <v>289</v>
      </c>
      <c r="B276" s="1" t="s">
        <v>3268</v>
      </c>
      <c r="C276" s="1" t="s">
        <v>3269</v>
      </c>
      <c r="D276" s="1" t="s">
        <v>3270</v>
      </c>
      <c r="E276" s="1" t="s">
        <v>3271</v>
      </c>
      <c r="F276" s="1" t="s">
        <v>3272</v>
      </c>
      <c r="G276" s="1" t="s">
        <v>3273</v>
      </c>
      <c r="H276" s="1" t="s">
        <v>979</v>
      </c>
      <c r="I276" s="1" t="s">
        <v>979</v>
      </c>
      <c r="J276" s="1" t="s">
        <v>3274</v>
      </c>
      <c r="K276" s="1" t="s">
        <v>1637</v>
      </c>
      <c r="L276" s="1" t="s">
        <v>2316</v>
      </c>
      <c r="M276" s="1" t="s">
        <v>3275</v>
      </c>
      <c r="N276" s="1">
        <v>100</v>
      </c>
    </row>
    <row r="277" spans="1:14" x14ac:dyDescent="0.25">
      <c r="A277" s="20" t="s">
        <v>290</v>
      </c>
      <c r="B277" s="1" t="s">
        <v>3276</v>
      </c>
      <c r="C277" s="1" t="s">
        <v>3277</v>
      </c>
      <c r="D277" s="1" t="s">
        <v>3278</v>
      </c>
      <c r="E277" s="1" t="s">
        <v>3279</v>
      </c>
      <c r="F277" s="1" t="s">
        <v>3280</v>
      </c>
      <c r="G277" s="1" t="s">
        <v>958</v>
      </c>
      <c r="H277" s="1" t="s">
        <v>1018</v>
      </c>
      <c r="I277" s="1" t="s">
        <v>1116</v>
      </c>
      <c r="J277" s="1" t="s">
        <v>3281</v>
      </c>
      <c r="K277" s="1" t="s">
        <v>1468</v>
      </c>
      <c r="L277" s="1" t="s">
        <v>3282</v>
      </c>
      <c r="M277" s="1" t="s">
        <v>3283</v>
      </c>
      <c r="N277" s="1">
        <v>25</v>
      </c>
    </row>
    <row r="278" spans="1:14" x14ac:dyDescent="0.25">
      <c r="A278" s="20" t="s">
        <v>291</v>
      </c>
      <c r="B278" s="1" t="s">
        <v>3284</v>
      </c>
      <c r="C278" s="1" t="s">
        <v>3285</v>
      </c>
      <c r="D278" s="1" t="s">
        <v>3286</v>
      </c>
      <c r="E278" s="1" t="s">
        <v>3287</v>
      </c>
      <c r="F278" s="1" t="s">
        <v>3288</v>
      </c>
      <c r="G278" s="1" t="s">
        <v>3289</v>
      </c>
      <c r="H278" s="1" t="s">
        <v>979</v>
      </c>
      <c r="I278" s="1" t="s">
        <v>979</v>
      </c>
      <c r="J278" s="1" t="s">
        <v>3290</v>
      </c>
      <c r="K278" s="1" t="s">
        <v>4</v>
      </c>
      <c r="L278" s="1" t="s">
        <v>924</v>
      </c>
      <c r="M278" s="1" t="s">
        <v>3291</v>
      </c>
      <c r="N278" s="1">
        <v>25</v>
      </c>
    </row>
    <row r="279" spans="1:14" x14ac:dyDescent="0.25">
      <c r="A279" s="20" t="s">
        <v>292</v>
      </c>
      <c r="B279" s="1" t="s">
        <v>3292</v>
      </c>
      <c r="C279" s="1" t="s">
        <v>3293</v>
      </c>
      <c r="D279" s="1" t="s">
        <v>3294</v>
      </c>
      <c r="E279" s="1" t="s">
        <v>3295</v>
      </c>
      <c r="F279" s="1" t="s">
        <v>3296</v>
      </c>
      <c r="G279" s="1" t="s">
        <v>958</v>
      </c>
      <c r="H279" s="1" t="s">
        <v>979</v>
      </c>
      <c r="I279" s="1" t="s">
        <v>979</v>
      </c>
      <c r="J279" s="1" t="s">
        <v>3297</v>
      </c>
      <c r="K279" s="1" t="s">
        <v>1478</v>
      </c>
      <c r="L279" s="1" t="s">
        <v>3298</v>
      </c>
      <c r="M279" s="1" t="s">
        <v>3299</v>
      </c>
      <c r="N279" s="1">
        <v>50</v>
      </c>
    </row>
    <row r="280" spans="1:14" x14ac:dyDescent="0.25">
      <c r="A280" s="20" t="s">
        <v>293</v>
      </c>
      <c r="B280" s="1" t="s">
        <v>3300</v>
      </c>
      <c r="C280" s="1" t="s">
        <v>3301</v>
      </c>
      <c r="D280" s="1" t="s">
        <v>3302</v>
      </c>
      <c r="E280" s="1" t="s">
        <v>3303</v>
      </c>
      <c r="F280" s="1" t="s">
        <v>3304</v>
      </c>
      <c r="G280" s="1" t="s">
        <v>958</v>
      </c>
      <c r="H280" s="1" t="s">
        <v>3305</v>
      </c>
      <c r="I280" s="1" t="s">
        <v>1760</v>
      </c>
      <c r="J280" s="1" t="s">
        <v>1185</v>
      </c>
      <c r="K280" s="1" t="s">
        <v>909</v>
      </c>
      <c r="L280" s="1" t="s">
        <v>1237</v>
      </c>
      <c r="M280" s="1" t="s">
        <v>3306</v>
      </c>
      <c r="N280" s="1">
        <v>60</v>
      </c>
    </row>
    <row r="281" spans="1:14" x14ac:dyDescent="0.25">
      <c r="A281" s="20" t="s">
        <v>294</v>
      </c>
      <c r="B281" s="1" t="s">
        <v>3307</v>
      </c>
      <c r="C281" s="1" t="s">
        <v>1612</v>
      </c>
      <c r="D281" s="1" t="s">
        <v>3308</v>
      </c>
      <c r="E281" s="1" t="s">
        <v>3309</v>
      </c>
      <c r="F281" s="1" t="s">
        <v>3310</v>
      </c>
      <c r="G281" s="1" t="s">
        <v>958</v>
      </c>
      <c r="H281" s="1" t="s">
        <v>2332</v>
      </c>
      <c r="I281" s="1" t="s">
        <v>1035</v>
      </c>
      <c r="K281" s="1" t="s">
        <v>910</v>
      </c>
      <c r="L281" s="1" t="s">
        <v>981</v>
      </c>
      <c r="M281" s="1" t="s">
        <v>3311</v>
      </c>
      <c r="N281" s="1">
        <v>25</v>
      </c>
    </row>
    <row r="282" spans="1:14" x14ac:dyDescent="0.25">
      <c r="A282" s="20" t="s">
        <v>295</v>
      </c>
      <c r="B282" s="1" t="s">
        <v>3312</v>
      </c>
      <c r="C282" s="1" t="s">
        <v>3313</v>
      </c>
      <c r="D282" s="1" t="s">
        <v>3314</v>
      </c>
      <c r="E282" s="1" t="s">
        <v>3315</v>
      </c>
      <c r="F282" s="1" t="s">
        <v>3316</v>
      </c>
      <c r="G282" s="1" t="s">
        <v>958</v>
      </c>
      <c r="H282" s="1" t="s">
        <v>3317</v>
      </c>
      <c r="I282" s="1" t="s">
        <v>1591</v>
      </c>
      <c r="J282" s="1" t="s">
        <v>3318</v>
      </c>
      <c r="K282" s="1" t="s">
        <v>1478</v>
      </c>
      <c r="L282" s="1" t="s">
        <v>3319</v>
      </c>
      <c r="M282" s="1" t="s">
        <v>3320</v>
      </c>
      <c r="N282" s="1">
        <v>25</v>
      </c>
    </row>
    <row r="283" spans="1:14" x14ac:dyDescent="0.25">
      <c r="A283" s="20" t="s">
        <v>296</v>
      </c>
      <c r="B283" s="1" t="s">
        <v>3321</v>
      </c>
      <c r="C283" s="1" t="s">
        <v>3322</v>
      </c>
      <c r="D283" s="1" t="s">
        <v>3323</v>
      </c>
      <c r="E283" s="1" t="s">
        <v>3324</v>
      </c>
      <c r="F283" s="1" t="s">
        <v>3325</v>
      </c>
      <c r="G283" s="1" t="s">
        <v>958</v>
      </c>
      <c r="H283" s="1" t="s">
        <v>1137</v>
      </c>
      <c r="I283" s="1" t="s">
        <v>979</v>
      </c>
      <c r="J283" s="1" t="s">
        <v>3326</v>
      </c>
      <c r="K283" s="1" t="s">
        <v>910</v>
      </c>
      <c r="L283" s="1" t="s">
        <v>981</v>
      </c>
      <c r="M283" s="1" t="s">
        <v>3327</v>
      </c>
      <c r="N283" s="1">
        <v>1000</v>
      </c>
    </row>
    <row r="284" spans="1:14" x14ac:dyDescent="0.25">
      <c r="A284" s="20" t="s">
        <v>297</v>
      </c>
      <c r="B284" s="1" t="s">
        <v>3328</v>
      </c>
      <c r="C284" s="1" t="s">
        <v>3329</v>
      </c>
      <c r="D284" s="1" t="s">
        <v>3330</v>
      </c>
      <c r="E284" s="1" t="s">
        <v>3331</v>
      </c>
      <c r="F284" s="1" t="s">
        <v>3332</v>
      </c>
      <c r="G284" s="1" t="s">
        <v>958</v>
      </c>
      <c r="H284" s="1" t="s">
        <v>1051</v>
      </c>
      <c r="I284" s="1" t="s">
        <v>979</v>
      </c>
      <c r="J284" s="1" t="s">
        <v>3333</v>
      </c>
      <c r="K284" s="1" t="s">
        <v>1</v>
      </c>
      <c r="L284" s="1" t="s">
        <v>3334</v>
      </c>
      <c r="M284" s="1" t="s">
        <v>3335</v>
      </c>
      <c r="N284" s="1">
        <v>260</v>
      </c>
    </row>
    <row r="285" spans="1:14" x14ac:dyDescent="0.25">
      <c r="A285" s="20" t="s">
        <v>298</v>
      </c>
      <c r="B285" s="1" t="s">
        <v>3336</v>
      </c>
      <c r="C285" s="1" t="s">
        <v>3337</v>
      </c>
      <c r="D285" s="1" t="s">
        <v>3338</v>
      </c>
      <c r="E285" s="1" t="s">
        <v>3339</v>
      </c>
      <c r="F285" s="1" t="s">
        <v>3340</v>
      </c>
      <c r="G285" s="1" t="s">
        <v>958</v>
      </c>
      <c r="H285" s="1" t="s">
        <v>1236</v>
      </c>
      <c r="I285" s="1" t="s">
        <v>1236</v>
      </c>
      <c r="J285" s="1" t="s">
        <v>3341</v>
      </c>
      <c r="K285" s="1" t="s">
        <v>1089</v>
      </c>
      <c r="L285" s="1" t="s">
        <v>3342</v>
      </c>
      <c r="M285" s="1" t="s">
        <v>3343</v>
      </c>
      <c r="N285" s="1">
        <v>25</v>
      </c>
    </row>
    <row r="286" spans="1:14" x14ac:dyDescent="0.25">
      <c r="A286" s="20" t="s">
        <v>299</v>
      </c>
      <c r="B286" s="1" t="s">
        <v>3344</v>
      </c>
      <c r="C286" s="1" t="s">
        <v>3345</v>
      </c>
      <c r="D286" s="1" t="s">
        <v>3346</v>
      </c>
      <c r="E286" s="1" t="s">
        <v>3347</v>
      </c>
      <c r="F286" s="1" t="s">
        <v>3348</v>
      </c>
      <c r="G286" s="1" t="s">
        <v>958</v>
      </c>
      <c r="H286" s="1" t="s">
        <v>1051</v>
      </c>
      <c r="I286" s="1" t="s">
        <v>979</v>
      </c>
      <c r="J286" s="1" t="s">
        <v>3349</v>
      </c>
      <c r="K286" s="1" t="s">
        <v>910</v>
      </c>
      <c r="L286" s="1" t="s">
        <v>2895</v>
      </c>
      <c r="M286" s="1" t="s">
        <v>3350</v>
      </c>
      <c r="N286" s="1">
        <v>55</v>
      </c>
    </row>
    <row r="287" spans="1:14" x14ac:dyDescent="0.25">
      <c r="A287" s="20" t="s">
        <v>300</v>
      </c>
      <c r="B287" s="1" t="s">
        <v>3351</v>
      </c>
      <c r="C287" s="1" t="s">
        <v>3352</v>
      </c>
      <c r="D287" s="1" t="s">
        <v>3353</v>
      </c>
      <c r="E287" s="1" t="s">
        <v>3354</v>
      </c>
      <c r="F287" s="1" t="s">
        <v>3355</v>
      </c>
      <c r="G287" s="1" t="s">
        <v>958</v>
      </c>
      <c r="H287" s="1" t="s">
        <v>3356</v>
      </c>
      <c r="I287" s="1" t="s">
        <v>3357</v>
      </c>
      <c r="J287" s="1" t="s">
        <v>3358</v>
      </c>
      <c r="K287" s="1" t="s">
        <v>8</v>
      </c>
      <c r="L287" s="1" t="s">
        <v>3359</v>
      </c>
      <c r="M287" s="1" t="s">
        <v>3360</v>
      </c>
      <c r="N287" s="1">
        <v>250</v>
      </c>
    </row>
    <row r="288" spans="1:14" x14ac:dyDescent="0.25">
      <c r="A288" s="20" t="s">
        <v>301</v>
      </c>
      <c r="B288" s="1" t="s">
        <v>3361</v>
      </c>
      <c r="C288" s="1" t="s">
        <v>3362</v>
      </c>
      <c r="D288" s="1" t="s">
        <v>3353</v>
      </c>
      <c r="E288" s="1" t="s">
        <v>3363</v>
      </c>
      <c r="F288" s="1" t="s">
        <v>3364</v>
      </c>
      <c r="G288" s="1" t="s">
        <v>958</v>
      </c>
      <c r="H288" s="1" t="s">
        <v>2990</v>
      </c>
      <c r="I288" s="1" t="s">
        <v>1060</v>
      </c>
      <c r="J288" s="1" t="s">
        <v>3365</v>
      </c>
      <c r="K288" s="1" t="s">
        <v>915</v>
      </c>
      <c r="L288" s="1" t="s">
        <v>926</v>
      </c>
      <c r="M288" s="1" t="s">
        <v>3366</v>
      </c>
      <c r="N288" s="1">
        <v>30</v>
      </c>
    </row>
    <row r="289" spans="1:14" x14ac:dyDescent="0.25">
      <c r="A289" s="20" t="s">
        <v>302</v>
      </c>
      <c r="B289" s="1" t="s">
        <v>3367</v>
      </c>
      <c r="C289" s="1" t="s">
        <v>3368</v>
      </c>
      <c r="D289" s="1" t="s">
        <v>3369</v>
      </c>
      <c r="E289" s="1" t="s">
        <v>3370</v>
      </c>
      <c r="F289" s="1" t="s">
        <v>3371</v>
      </c>
      <c r="G289" s="1" t="s">
        <v>958</v>
      </c>
      <c r="H289" s="1" t="s">
        <v>2208</v>
      </c>
      <c r="I289" s="1" t="s">
        <v>2209</v>
      </c>
      <c r="J289" s="1" t="s">
        <v>3372</v>
      </c>
      <c r="K289" s="1" t="s">
        <v>1089</v>
      </c>
      <c r="L289" s="1" t="s">
        <v>1090</v>
      </c>
      <c r="M289" s="1" t="s">
        <v>3373</v>
      </c>
      <c r="N289" s="1">
        <v>25</v>
      </c>
    </row>
    <row r="290" spans="1:14" x14ac:dyDescent="0.25">
      <c r="A290" s="20" t="s">
        <v>303</v>
      </c>
      <c r="B290" s="1" t="s">
        <v>3374</v>
      </c>
      <c r="C290" s="1" t="s">
        <v>3375</v>
      </c>
      <c r="D290" s="1" t="s">
        <v>3376</v>
      </c>
      <c r="E290" s="1" t="s">
        <v>3377</v>
      </c>
      <c r="F290" s="1" t="s">
        <v>3378</v>
      </c>
      <c r="G290" s="1" t="s">
        <v>958</v>
      </c>
      <c r="H290" s="1" t="s">
        <v>979</v>
      </c>
      <c r="I290" s="1" t="s">
        <v>979</v>
      </c>
      <c r="J290" s="1" t="s">
        <v>3379</v>
      </c>
      <c r="K290" s="1" t="s">
        <v>4</v>
      </c>
      <c r="L290" s="1" t="s">
        <v>924</v>
      </c>
      <c r="M290" s="1" t="s">
        <v>3380</v>
      </c>
      <c r="N290" s="1">
        <v>100</v>
      </c>
    </row>
    <row r="291" spans="1:14" x14ac:dyDescent="0.25">
      <c r="A291" s="20" t="s">
        <v>304</v>
      </c>
      <c r="B291" s="1" t="s">
        <v>3381</v>
      </c>
      <c r="C291" s="1" t="s">
        <v>3382</v>
      </c>
      <c r="D291" s="1" t="s">
        <v>3383</v>
      </c>
      <c r="E291" s="1" t="s">
        <v>3384</v>
      </c>
      <c r="F291" s="1" t="s">
        <v>3385</v>
      </c>
      <c r="G291" s="1" t="s">
        <v>3386</v>
      </c>
      <c r="H291" s="1" t="s">
        <v>3387</v>
      </c>
      <c r="I291" s="1" t="s">
        <v>2405</v>
      </c>
      <c r="J291" s="1" t="s">
        <v>3388</v>
      </c>
      <c r="K291" s="1" t="s">
        <v>4</v>
      </c>
      <c r="L291" s="1" t="s">
        <v>3389</v>
      </c>
      <c r="M291" s="1" t="s">
        <v>3390</v>
      </c>
      <c r="N291" s="1">
        <v>100</v>
      </c>
    </row>
    <row r="292" spans="1:14" x14ac:dyDescent="0.25">
      <c r="A292" s="20" t="s">
        <v>305</v>
      </c>
      <c r="B292" s="1" t="s">
        <v>3391</v>
      </c>
      <c r="C292" s="1" t="s">
        <v>3392</v>
      </c>
      <c r="D292" s="1" t="s">
        <v>3015</v>
      </c>
      <c r="E292" s="1" t="s">
        <v>3393</v>
      </c>
      <c r="F292" s="1" t="s">
        <v>3394</v>
      </c>
      <c r="G292" s="1" t="s">
        <v>958</v>
      </c>
      <c r="H292" s="1" t="s">
        <v>3395</v>
      </c>
      <c r="I292" s="1" t="s">
        <v>1165</v>
      </c>
      <c r="J292" s="1" t="s">
        <v>3396</v>
      </c>
      <c r="K292" s="1" t="s">
        <v>910</v>
      </c>
      <c r="L292" s="1" t="s">
        <v>3397</v>
      </c>
      <c r="M292" s="1" t="s">
        <v>3398</v>
      </c>
      <c r="N292" s="1">
        <v>25</v>
      </c>
    </row>
    <row r="293" spans="1:14" x14ac:dyDescent="0.25">
      <c r="A293" s="20" t="s">
        <v>306</v>
      </c>
      <c r="B293" s="1" t="s">
        <v>3399</v>
      </c>
      <c r="C293" s="1" t="s">
        <v>3400</v>
      </c>
      <c r="D293" s="1" t="s">
        <v>3401</v>
      </c>
      <c r="E293" s="1" t="s">
        <v>3402</v>
      </c>
      <c r="F293" s="1" t="s">
        <v>3403</v>
      </c>
      <c r="G293" s="1" t="s">
        <v>958</v>
      </c>
      <c r="H293" s="1" t="s">
        <v>979</v>
      </c>
      <c r="I293" s="1" t="s">
        <v>979</v>
      </c>
      <c r="J293" s="1" t="s">
        <v>1217</v>
      </c>
      <c r="K293" s="1" t="s">
        <v>1478</v>
      </c>
      <c r="L293" s="1" t="s">
        <v>3404</v>
      </c>
      <c r="M293" s="1" t="s">
        <v>3405</v>
      </c>
      <c r="N293" s="1">
        <v>500</v>
      </c>
    </row>
    <row r="294" spans="1:14" x14ac:dyDescent="0.25">
      <c r="A294" s="20" t="s">
        <v>307</v>
      </c>
      <c r="B294" s="1" t="s">
        <v>3406</v>
      </c>
      <c r="C294" s="1" t="s">
        <v>3407</v>
      </c>
      <c r="D294" s="1" t="s">
        <v>3408</v>
      </c>
      <c r="E294" s="1" t="s">
        <v>3409</v>
      </c>
      <c r="F294" s="1" t="s">
        <v>3410</v>
      </c>
      <c r="G294" s="1" t="s">
        <v>958</v>
      </c>
      <c r="H294" s="1" t="s">
        <v>3411</v>
      </c>
      <c r="I294" s="1" t="s">
        <v>1297</v>
      </c>
      <c r="J294" s="1" t="s">
        <v>3412</v>
      </c>
      <c r="K294" s="1" t="s">
        <v>4</v>
      </c>
      <c r="L294" s="1" t="s">
        <v>924</v>
      </c>
      <c r="M294" s="1" t="s">
        <v>3413</v>
      </c>
      <c r="N294" s="1">
        <v>100</v>
      </c>
    </row>
    <row r="295" spans="1:14" x14ac:dyDescent="0.25">
      <c r="A295" s="20" t="s">
        <v>308</v>
      </c>
      <c r="B295" s="1" t="s">
        <v>3414</v>
      </c>
      <c r="C295" s="1" t="s">
        <v>3415</v>
      </c>
      <c r="D295" s="1" t="s">
        <v>3416</v>
      </c>
      <c r="E295" s="1" t="s">
        <v>3417</v>
      </c>
      <c r="F295" s="1" t="s">
        <v>3418</v>
      </c>
      <c r="G295" s="1" t="s">
        <v>958</v>
      </c>
      <c r="H295" s="1" t="s">
        <v>1051</v>
      </c>
      <c r="I295" s="1" t="s">
        <v>1353</v>
      </c>
      <c r="J295" s="1" t="s">
        <v>3419</v>
      </c>
      <c r="K295" s="1" t="s">
        <v>8</v>
      </c>
      <c r="L295" s="1" t="s">
        <v>1129</v>
      </c>
      <c r="M295" s="1" t="s">
        <v>3420</v>
      </c>
      <c r="N295" s="1">
        <v>100</v>
      </c>
    </row>
    <row r="296" spans="1:14" x14ac:dyDescent="0.25">
      <c r="A296" s="20" t="s">
        <v>309</v>
      </c>
      <c r="B296" s="1" t="s">
        <v>3421</v>
      </c>
      <c r="C296" s="1" t="s">
        <v>3422</v>
      </c>
      <c r="D296" s="1" t="s">
        <v>3423</v>
      </c>
      <c r="E296" s="1" t="s">
        <v>3424</v>
      </c>
      <c r="F296" s="1" t="s">
        <v>3425</v>
      </c>
      <c r="G296" s="1" t="s">
        <v>958</v>
      </c>
      <c r="H296" s="1" t="s">
        <v>2243</v>
      </c>
      <c r="I296" s="1" t="s">
        <v>1070</v>
      </c>
      <c r="J296" s="1" t="s">
        <v>3426</v>
      </c>
      <c r="K296" s="1" t="s">
        <v>1218</v>
      </c>
      <c r="L296" s="1" t="s">
        <v>1355</v>
      </c>
      <c r="M296" s="1" t="s">
        <v>3427</v>
      </c>
      <c r="N296" s="1">
        <v>25</v>
      </c>
    </row>
    <row r="297" spans="1:14" x14ac:dyDescent="0.25">
      <c r="A297" s="20" t="s">
        <v>310</v>
      </c>
      <c r="B297" s="1" t="s">
        <v>3428</v>
      </c>
      <c r="C297" s="1" t="s">
        <v>3429</v>
      </c>
      <c r="D297" s="1" t="s">
        <v>3430</v>
      </c>
      <c r="E297" s="1" t="s">
        <v>3431</v>
      </c>
      <c r="F297" s="1" t="s">
        <v>3432</v>
      </c>
      <c r="G297" s="1" t="s">
        <v>958</v>
      </c>
      <c r="H297" s="1" t="s">
        <v>3433</v>
      </c>
      <c r="I297" s="1" t="s">
        <v>3357</v>
      </c>
      <c r="J297" s="1" t="s">
        <v>3434</v>
      </c>
      <c r="K297" s="1" t="s">
        <v>910</v>
      </c>
      <c r="L297" s="1" t="s">
        <v>3435</v>
      </c>
      <c r="M297" s="1" t="s">
        <v>3436</v>
      </c>
      <c r="N297" s="1">
        <v>25</v>
      </c>
    </row>
    <row r="298" spans="1:14" x14ac:dyDescent="0.25">
      <c r="A298" s="20" t="s">
        <v>311</v>
      </c>
      <c r="B298" s="1" t="s">
        <v>3437</v>
      </c>
      <c r="C298" s="1" t="s">
        <v>3438</v>
      </c>
      <c r="D298" s="1" t="s">
        <v>3439</v>
      </c>
      <c r="E298" s="1" t="s">
        <v>3440</v>
      </c>
      <c r="F298" s="1" t="s">
        <v>3441</v>
      </c>
      <c r="G298" s="1" t="s">
        <v>958</v>
      </c>
      <c r="H298" s="1" t="s">
        <v>3442</v>
      </c>
      <c r="I298" s="1" t="s">
        <v>1060</v>
      </c>
      <c r="J298" s="1" t="s">
        <v>3443</v>
      </c>
      <c r="K298" s="1" t="s">
        <v>915</v>
      </c>
      <c r="L298" s="1" t="s">
        <v>3444</v>
      </c>
      <c r="M298" s="1" t="s">
        <v>3445</v>
      </c>
      <c r="N298" s="1">
        <v>50</v>
      </c>
    </row>
    <row r="299" spans="1:14" x14ac:dyDescent="0.25">
      <c r="A299" s="20" t="s">
        <v>312</v>
      </c>
      <c r="B299" s="1" t="s">
        <v>3446</v>
      </c>
      <c r="C299" s="1" t="s">
        <v>3006</v>
      </c>
      <c r="D299" s="1" t="s">
        <v>3447</v>
      </c>
      <c r="E299" s="1" t="s">
        <v>3448</v>
      </c>
      <c r="F299" s="1" t="s">
        <v>3449</v>
      </c>
      <c r="G299" s="1" t="s">
        <v>3450</v>
      </c>
      <c r="H299" s="1" t="s">
        <v>3008</v>
      </c>
      <c r="I299" s="1" t="s">
        <v>1760</v>
      </c>
      <c r="J299" s="1" t="s">
        <v>3451</v>
      </c>
      <c r="K299" s="1" t="s">
        <v>1478</v>
      </c>
      <c r="L299" s="1" t="s">
        <v>3010</v>
      </c>
      <c r="M299" s="1" t="s">
        <v>3452</v>
      </c>
      <c r="N299" s="1">
        <v>50</v>
      </c>
    </row>
    <row r="300" spans="1:14" x14ac:dyDescent="0.25">
      <c r="A300" s="20" t="s">
        <v>313</v>
      </c>
      <c r="B300" s="1" t="s">
        <v>3453</v>
      </c>
      <c r="C300" s="1" t="s">
        <v>3454</v>
      </c>
      <c r="D300" s="1" t="s">
        <v>3455</v>
      </c>
      <c r="E300" s="1" t="s">
        <v>3456</v>
      </c>
      <c r="F300" s="1" t="s">
        <v>3457</v>
      </c>
      <c r="G300" s="1" t="s">
        <v>958</v>
      </c>
      <c r="H300" s="1" t="s">
        <v>1545</v>
      </c>
      <c r="I300" s="1" t="s">
        <v>3458</v>
      </c>
      <c r="J300" s="1" t="s">
        <v>3459</v>
      </c>
      <c r="K300" s="1" t="s">
        <v>1496</v>
      </c>
      <c r="L300" s="1" t="s">
        <v>2684</v>
      </c>
      <c r="M300" s="1" t="s">
        <v>3460</v>
      </c>
      <c r="N300" s="1">
        <v>30</v>
      </c>
    </row>
    <row r="301" spans="1:14" x14ac:dyDescent="0.25">
      <c r="A301" s="20" t="s">
        <v>314</v>
      </c>
      <c r="B301" s="1" t="s">
        <v>3461</v>
      </c>
      <c r="C301" s="1" t="s">
        <v>3462</v>
      </c>
      <c r="D301" s="1" t="s">
        <v>3463</v>
      </c>
      <c r="E301" s="1" t="s">
        <v>3464</v>
      </c>
      <c r="F301" s="1" t="s">
        <v>3465</v>
      </c>
      <c r="G301" s="1" t="s">
        <v>958</v>
      </c>
      <c r="H301" s="1" t="s">
        <v>3466</v>
      </c>
      <c r="I301" s="1" t="s">
        <v>979</v>
      </c>
      <c r="K301" s="1" t="s">
        <v>3</v>
      </c>
      <c r="L301" s="1" t="s">
        <v>3467</v>
      </c>
      <c r="M301" s="1" t="s">
        <v>3468</v>
      </c>
      <c r="N301" s="1">
        <v>25</v>
      </c>
    </row>
    <row r="302" spans="1:14" x14ac:dyDescent="0.25">
      <c r="A302" s="20" t="s">
        <v>3</v>
      </c>
      <c r="B302" s="1" t="s">
        <v>3469</v>
      </c>
      <c r="C302" s="1" t="s">
        <v>3470</v>
      </c>
      <c r="D302" s="1" t="s">
        <v>3471</v>
      </c>
      <c r="E302" s="1" t="s">
        <v>3472</v>
      </c>
      <c r="F302" s="1" t="s">
        <v>3473</v>
      </c>
      <c r="G302" s="1" t="s">
        <v>958</v>
      </c>
      <c r="H302" s="1" t="s">
        <v>1051</v>
      </c>
      <c r="I302" s="1" t="s">
        <v>979</v>
      </c>
      <c r="J302" s="1" t="s">
        <v>3474</v>
      </c>
      <c r="K302" s="1" t="s">
        <v>1218</v>
      </c>
      <c r="L302" s="1" t="s">
        <v>3475</v>
      </c>
      <c r="M302" s="1" t="s">
        <v>3476</v>
      </c>
      <c r="N302" s="1">
        <v>30</v>
      </c>
    </row>
    <row r="303" spans="1:14" x14ac:dyDescent="0.25">
      <c r="A303" s="20" t="s">
        <v>315</v>
      </c>
      <c r="B303" s="1" t="s">
        <v>3477</v>
      </c>
      <c r="C303" s="1" t="s">
        <v>3478</v>
      </c>
      <c r="D303" s="1" t="s">
        <v>3479</v>
      </c>
      <c r="E303" s="1" t="s">
        <v>3480</v>
      </c>
      <c r="F303" s="1" t="s">
        <v>3481</v>
      </c>
      <c r="G303" s="1" t="s">
        <v>958</v>
      </c>
      <c r="H303" s="1" t="s">
        <v>3482</v>
      </c>
      <c r="I303" s="1" t="s">
        <v>2226</v>
      </c>
      <c r="J303" s="1" t="s">
        <v>3483</v>
      </c>
      <c r="K303" s="1" t="s">
        <v>4</v>
      </c>
      <c r="L303" s="1" t="s">
        <v>3484</v>
      </c>
      <c r="M303" s="1" t="s">
        <v>3485</v>
      </c>
      <c r="N303" s="1">
        <v>25</v>
      </c>
    </row>
    <row r="304" spans="1:14" x14ac:dyDescent="0.25">
      <c r="A304" s="20" t="s">
        <v>316</v>
      </c>
      <c r="B304" s="1" t="s">
        <v>3486</v>
      </c>
      <c r="C304" s="1" t="s">
        <v>3487</v>
      </c>
      <c r="D304" s="1" t="s">
        <v>3488</v>
      </c>
      <c r="E304" s="1" t="s">
        <v>3489</v>
      </c>
      <c r="F304" s="1" t="s">
        <v>3490</v>
      </c>
      <c r="G304" s="1" t="s">
        <v>958</v>
      </c>
      <c r="H304" s="1" t="s">
        <v>3491</v>
      </c>
      <c r="I304" s="1" t="s">
        <v>979</v>
      </c>
      <c r="J304" s="1" t="s">
        <v>3492</v>
      </c>
      <c r="K304" s="1" t="s">
        <v>919</v>
      </c>
      <c r="L304" s="1" t="s">
        <v>3493</v>
      </c>
      <c r="M304" s="1" t="s">
        <v>3494</v>
      </c>
      <c r="N304" s="1">
        <v>30</v>
      </c>
    </row>
    <row r="305" spans="1:14" x14ac:dyDescent="0.25">
      <c r="A305" s="20" t="s">
        <v>317</v>
      </c>
      <c r="B305" s="1" t="s">
        <v>3495</v>
      </c>
      <c r="C305" s="1" t="s">
        <v>3496</v>
      </c>
      <c r="D305" s="1" t="s">
        <v>3497</v>
      </c>
      <c r="E305" s="1" t="s">
        <v>3498</v>
      </c>
      <c r="F305" s="1" t="s">
        <v>3499</v>
      </c>
      <c r="G305" s="1" t="s">
        <v>958</v>
      </c>
      <c r="H305" s="1" t="s">
        <v>1051</v>
      </c>
      <c r="I305" s="1" t="s">
        <v>979</v>
      </c>
      <c r="J305" s="1" t="s">
        <v>3500</v>
      </c>
      <c r="K305" s="1" t="s">
        <v>915</v>
      </c>
      <c r="L305" s="1" t="s">
        <v>926</v>
      </c>
      <c r="M305" s="1" t="s">
        <v>3501</v>
      </c>
      <c r="N305" s="1">
        <v>25</v>
      </c>
    </row>
    <row r="306" spans="1:14" x14ac:dyDescent="0.25">
      <c r="A306" s="20" t="s">
        <v>318</v>
      </c>
      <c r="B306" s="1" t="s">
        <v>3502</v>
      </c>
      <c r="C306" s="1" t="s">
        <v>3503</v>
      </c>
      <c r="D306" s="1" t="s">
        <v>3504</v>
      </c>
      <c r="E306" s="1" t="s">
        <v>3505</v>
      </c>
      <c r="F306" s="1" t="s">
        <v>3506</v>
      </c>
      <c r="G306" s="1" t="s">
        <v>3507</v>
      </c>
      <c r="H306" s="1" t="s">
        <v>3508</v>
      </c>
      <c r="I306" s="1" t="s">
        <v>979</v>
      </c>
      <c r="J306" s="1" t="s">
        <v>3509</v>
      </c>
      <c r="K306" s="1" t="s">
        <v>910</v>
      </c>
      <c r="L306" s="1" t="s">
        <v>3510</v>
      </c>
      <c r="M306" s="1" t="s">
        <v>3511</v>
      </c>
      <c r="N306" s="1">
        <v>50</v>
      </c>
    </row>
    <row r="307" spans="1:14" x14ac:dyDescent="0.25">
      <c r="A307" s="20" t="s">
        <v>319</v>
      </c>
      <c r="B307" s="1" t="s">
        <v>3512</v>
      </c>
      <c r="C307" s="1" t="s">
        <v>3513</v>
      </c>
      <c r="D307" s="1" t="s">
        <v>3514</v>
      </c>
      <c r="E307" s="1" t="s">
        <v>3515</v>
      </c>
      <c r="F307" s="1" t="s">
        <v>3516</v>
      </c>
      <c r="G307" s="1" t="s">
        <v>958</v>
      </c>
      <c r="H307" s="1" t="s">
        <v>979</v>
      </c>
      <c r="I307" s="1" t="s">
        <v>979</v>
      </c>
      <c r="J307" s="1" t="s">
        <v>3517</v>
      </c>
      <c r="K307" s="1" t="s">
        <v>1637</v>
      </c>
      <c r="L307" s="1" t="s">
        <v>2316</v>
      </c>
      <c r="M307" s="1" t="s">
        <v>3518</v>
      </c>
      <c r="N307" s="1">
        <v>40</v>
      </c>
    </row>
    <row r="308" spans="1:14" x14ac:dyDescent="0.25">
      <c r="A308" s="20" t="s">
        <v>320</v>
      </c>
      <c r="B308" s="1" t="s">
        <v>3519</v>
      </c>
      <c r="C308" s="1" t="s">
        <v>3520</v>
      </c>
      <c r="D308" s="1" t="s">
        <v>3521</v>
      </c>
      <c r="E308" s="1" t="s">
        <v>3522</v>
      </c>
      <c r="F308" s="1" t="s">
        <v>3523</v>
      </c>
      <c r="G308" s="1" t="s">
        <v>3524</v>
      </c>
      <c r="H308" s="1" t="s">
        <v>1778</v>
      </c>
      <c r="I308" s="1" t="s">
        <v>2323</v>
      </c>
      <c r="J308" s="1" t="s">
        <v>3525</v>
      </c>
      <c r="K308" s="1" t="s">
        <v>4</v>
      </c>
      <c r="L308" s="1" t="s">
        <v>3526</v>
      </c>
      <c r="M308" s="1" t="s">
        <v>3527</v>
      </c>
      <c r="N308" s="1">
        <v>400</v>
      </c>
    </row>
    <row r="309" spans="1:14" x14ac:dyDescent="0.25">
      <c r="A309" s="20" t="s">
        <v>321</v>
      </c>
      <c r="B309" s="1" t="s">
        <v>3528</v>
      </c>
      <c r="C309" s="1" t="s">
        <v>3529</v>
      </c>
      <c r="D309" s="1" t="s">
        <v>3530</v>
      </c>
      <c r="E309" s="1" t="s">
        <v>3531</v>
      </c>
      <c r="F309" s="1" t="s">
        <v>3532</v>
      </c>
      <c r="G309" s="1" t="s">
        <v>958</v>
      </c>
      <c r="H309" s="1" t="s">
        <v>1363</v>
      </c>
      <c r="I309" s="1" t="s">
        <v>1363</v>
      </c>
      <c r="J309" s="1" t="s">
        <v>3533</v>
      </c>
      <c r="K309" s="1" t="s">
        <v>909</v>
      </c>
      <c r="L309" s="1" t="s">
        <v>3534</v>
      </c>
      <c r="M309" s="1" t="s">
        <v>3535</v>
      </c>
      <c r="N309" s="1">
        <v>25</v>
      </c>
    </row>
    <row r="310" spans="1:14" x14ac:dyDescent="0.25">
      <c r="A310" s="20" t="s">
        <v>322</v>
      </c>
      <c r="B310" s="1" t="s">
        <v>3536</v>
      </c>
      <c r="C310" s="1" t="s">
        <v>3537</v>
      </c>
      <c r="D310" s="1" t="s">
        <v>3538</v>
      </c>
      <c r="E310" s="1" t="s">
        <v>3539</v>
      </c>
      <c r="F310" s="1" t="s">
        <v>3540</v>
      </c>
      <c r="G310" s="1" t="s">
        <v>958</v>
      </c>
      <c r="H310" s="1" t="s">
        <v>3541</v>
      </c>
      <c r="I310" s="1" t="s">
        <v>1724</v>
      </c>
      <c r="J310" s="1" t="s">
        <v>3542</v>
      </c>
      <c r="K310" s="1" t="s">
        <v>8</v>
      </c>
      <c r="L310" s="1" t="s">
        <v>2046</v>
      </c>
      <c r="M310" s="1" t="s">
        <v>3543</v>
      </c>
      <c r="N310" s="1">
        <v>25</v>
      </c>
    </row>
    <row r="311" spans="1:14" x14ac:dyDescent="0.25">
      <c r="A311" s="20" t="s">
        <v>323</v>
      </c>
      <c r="B311" s="1" t="s">
        <v>3544</v>
      </c>
      <c r="C311" s="1" t="s">
        <v>3545</v>
      </c>
      <c r="D311" s="1" t="s">
        <v>3546</v>
      </c>
      <c r="E311" s="1" t="s">
        <v>3547</v>
      </c>
      <c r="F311" s="1" t="s">
        <v>3548</v>
      </c>
      <c r="G311" s="1" t="s">
        <v>958</v>
      </c>
      <c r="H311" s="1" t="s">
        <v>3549</v>
      </c>
      <c r="I311" s="1" t="s">
        <v>979</v>
      </c>
      <c r="J311" s="1" t="s">
        <v>3550</v>
      </c>
      <c r="K311" s="1" t="s">
        <v>915</v>
      </c>
      <c r="L311" s="1" t="s">
        <v>3551</v>
      </c>
      <c r="M311" s="1" t="s">
        <v>3552</v>
      </c>
      <c r="N311" s="1">
        <v>25</v>
      </c>
    </row>
    <row r="312" spans="1:14" x14ac:dyDescent="0.25">
      <c r="A312" s="20" t="s">
        <v>324</v>
      </c>
      <c r="B312" s="1" t="s">
        <v>3553</v>
      </c>
      <c r="C312" s="1" t="s">
        <v>3554</v>
      </c>
      <c r="D312" s="1" t="s">
        <v>3555</v>
      </c>
      <c r="E312" s="1" t="s">
        <v>3556</v>
      </c>
      <c r="F312" s="1" t="s">
        <v>3557</v>
      </c>
      <c r="G312" s="1" t="s">
        <v>958</v>
      </c>
      <c r="H312" s="1" t="s">
        <v>2044</v>
      </c>
      <c r="I312" s="1" t="s">
        <v>2617</v>
      </c>
      <c r="J312" s="1" t="s">
        <v>3558</v>
      </c>
      <c r="K312" s="1" t="s">
        <v>915</v>
      </c>
      <c r="L312" s="1" t="s">
        <v>926</v>
      </c>
      <c r="M312" s="1" t="s">
        <v>3559</v>
      </c>
      <c r="N312" s="1">
        <v>25</v>
      </c>
    </row>
    <row r="313" spans="1:14" x14ac:dyDescent="0.25">
      <c r="A313" s="20" t="s">
        <v>325</v>
      </c>
      <c r="B313" s="1" t="s">
        <v>3560</v>
      </c>
      <c r="C313" s="1" t="s">
        <v>3561</v>
      </c>
      <c r="D313" s="1" t="s">
        <v>3562</v>
      </c>
      <c r="E313" s="1" t="s">
        <v>3563</v>
      </c>
      <c r="F313" s="1" t="s">
        <v>3564</v>
      </c>
      <c r="G313" s="1" t="s">
        <v>958</v>
      </c>
      <c r="H313" s="1" t="s">
        <v>1034</v>
      </c>
      <c r="I313" s="1" t="s">
        <v>1035</v>
      </c>
      <c r="J313" s="1" t="s">
        <v>3565</v>
      </c>
      <c r="K313" s="1" t="s">
        <v>971</v>
      </c>
      <c r="L313" s="1" t="s">
        <v>972</v>
      </c>
      <c r="M313" s="1" t="s">
        <v>3566</v>
      </c>
      <c r="N313" s="1">
        <v>25</v>
      </c>
    </row>
    <row r="314" spans="1:14" x14ac:dyDescent="0.25">
      <c r="A314" s="20" t="s">
        <v>326</v>
      </c>
      <c r="B314" s="1" t="s">
        <v>3567</v>
      </c>
      <c r="C314" s="1" t="s">
        <v>3568</v>
      </c>
      <c r="D314" s="1" t="s">
        <v>3569</v>
      </c>
      <c r="E314" s="1" t="s">
        <v>3570</v>
      </c>
      <c r="F314" s="1" t="s">
        <v>3571</v>
      </c>
      <c r="G314" s="1" t="s">
        <v>958</v>
      </c>
      <c r="H314" s="1" t="s">
        <v>979</v>
      </c>
      <c r="I314" s="1" t="s">
        <v>979</v>
      </c>
      <c r="J314" s="1" t="s">
        <v>3572</v>
      </c>
      <c r="K314" s="1" t="s">
        <v>971</v>
      </c>
      <c r="L314" s="1" t="s">
        <v>972</v>
      </c>
      <c r="M314" s="1" t="s">
        <v>3573</v>
      </c>
      <c r="N314" s="1">
        <v>25</v>
      </c>
    </row>
    <row r="315" spans="1:14" x14ac:dyDescent="0.25">
      <c r="A315" s="20" t="s">
        <v>327</v>
      </c>
      <c r="B315" s="1" t="s">
        <v>3574</v>
      </c>
      <c r="C315" s="1" t="s">
        <v>3575</v>
      </c>
      <c r="D315" s="1" t="s">
        <v>3576</v>
      </c>
      <c r="E315" s="1" t="s">
        <v>3577</v>
      </c>
      <c r="F315" s="1" t="s">
        <v>3578</v>
      </c>
      <c r="G315" s="1" t="s">
        <v>958</v>
      </c>
      <c r="H315" s="1" t="s">
        <v>3458</v>
      </c>
      <c r="I315" s="1" t="s">
        <v>1546</v>
      </c>
      <c r="J315" s="1" t="s">
        <v>3579</v>
      </c>
      <c r="K315" s="1" t="s">
        <v>5</v>
      </c>
      <c r="L315" s="1" t="s">
        <v>3580</v>
      </c>
      <c r="M315" s="1" t="s">
        <v>3581</v>
      </c>
      <c r="N315" s="1">
        <v>25</v>
      </c>
    </row>
    <row r="316" spans="1:14" x14ac:dyDescent="0.25">
      <c r="A316" s="20" t="s">
        <v>328</v>
      </c>
      <c r="B316" s="1" t="s">
        <v>3582</v>
      </c>
      <c r="C316" s="1" t="s">
        <v>3583</v>
      </c>
      <c r="D316" s="1" t="s">
        <v>3584</v>
      </c>
      <c r="E316" s="1" t="s">
        <v>3585</v>
      </c>
      <c r="F316" s="1" t="s">
        <v>3586</v>
      </c>
      <c r="G316" s="1" t="s">
        <v>958</v>
      </c>
      <c r="H316" s="1" t="s">
        <v>3587</v>
      </c>
      <c r="I316" s="1" t="s">
        <v>1060</v>
      </c>
      <c r="J316" s="1" t="s">
        <v>3588</v>
      </c>
      <c r="K316" s="1" t="s">
        <v>909</v>
      </c>
      <c r="L316" s="1" t="s">
        <v>1237</v>
      </c>
      <c r="M316" s="1" t="s">
        <v>3589</v>
      </c>
      <c r="N316" s="1">
        <v>33</v>
      </c>
    </row>
    <row r="317" spans="1:14" x14ac:dyDescent="0.25">
      <c r="A317" s="20" t="s">
        <v>329</v>
      </c>
      <c r="B317" s="1" t="s">
        <v>3590</v>
      </c>
      <c r="C317" s="1" t="s">
        <v>3591</v>
      </c>
      <c r="D317" s="1" t="s">
        <v>3592</v>
      </c>
      <c r="E317" s="1" t="s">
        <v>3593</v>
      </c>
      <c r="F317" s="1" t="s">
        <v>3594</v>
      </c>
      <c r="G317" s="1" t="s">
        <v>958</v>
      </c>
      <c r="H317" s="1" t="s">
        <v>3595</v>
      </c>
      <c r="I317" s="1" t="s">
        <v>2209</v>
      </c>
      <c r="J317" s="1" t="s">
        <v>3596</v>
      </c>
      <c r="K317" s="1" t="s">
        <v>4</v>
      </c>
      <c r="L317" s="1" t="s">
        <v>924</v>
      </c>
      <c r="M317" s="1" t="s">
        <v>3597</v>
      </c>
      <c r="N317" s="1">
        <v>25</v>
      </c>
    </row>
    <row r="318" spans="1:14" x14ac:dyDescent="0.25">
      <c r="A318" s="20" t="s">
        <v>330</v>
      </c>
      <c r="B318" s="1" t="s">
        <v>3598</v>
      </c>
      <c r="C318" s="1" t="s">
        <v>3599</v>
      </c>
      <c r="D318" s="1" t="s">
        <v>3600</v>
      </c>
      <c r="E318" s="1" t="s">
        <v>3601</v>
      </c>
      <c r="F318" s="1" t="s">
        <v>3602</v>
      </c>
      <c r="G318" s="1" t="s">
        <v>958</v>
      </c>
      <c r="H318" s="1" t="s">
        <v>2766</v>
      </c>
      <c r="I318" s="1" t="s">
        <v>1536</v>
      </c>
      <c r="J318" s="1" t="s">
        <v>3603</v>
      </c>
      <c r="K318" s="1" t="s">
        <v>1468</v>
      </c>
      <c r="L318" s="1" t="s">
        <v>3604</v>
      </c>
      <c r="M318" s="1" t="s">
        <v>3605</v>
      </c>
      <c r="N318" s="1">
        <v>25</v>
      </c>
    </row>
    <row r="319" spans="1:14" x14ac:dyDescent="0.25">
      <c r="A319" s="20" t="s">
        <v>331</v>
      </c>
      <c r="B319" s="1" t="s">
        <v>3606</v>
      </c>
      <c r="C319" s="1" t="s">
        <v>3607</v>
      </c>
      <c r="D319" s="1" t="s">
        <v>3608</v>
      </c>
      <c r="E319" s="1" t="s">
        <v>3609</v>
      </c>
      <c r="F319" s="1" t="s">
        <v>3610</v>
      </c>
      <c r="G319" s="1" t="s">
        <v>958</v>
      </c>
      <c r="H319" s="1" t="s">
        <v>3611</v>
      </c>
      <c r="I319" s="1" t="s">
        <v>2744</v>
      </c>
      <c r="J319" s="1" t="s">
        <v>3612</v>
      </c>
      <c r="K319" s="1" t="s">
        <v>910</v>
      </c>
      <c r="L319" s="1" t="s">
        <v>3613</v>
      </c>
      <c r="M319" s="1" t="s">
        <v>3614</v>
      </c>
      <c r="N319" s="1">
        <v>25</v>
      </c>
    </row>
    <row r="320" spans="1:14" x14ac:dyDescent="0.25">
      <c r="A320" s="20" t="s">
        <v>332</v>
      </c>
      <c r="B320" s="1" t="s">
        <v>3615</v>
      </c>
      <c r="C320" s="1" t="s">
        <v>3616</v>
      </c>
      <c r="D320" s="1" t="s">
        <v>3617</v>
      </c>
      <c r="E320" s="1" t="s">
        <v>3618</v>
      </c>
      <c r="F320" s="1" t="s">
        <v>3619</v>
      </c>
      <c r="G320" s="1" t="s">
        <v>958</v>
      </c>
      <c r="H320" s="1" t="s">
        <v>1097</v>
      </c>
      <c r="I320" s="1" t="s">
        <v>1097</v>
      </c>
      <c r="K320" s="1" t="s">
        <v>914</v>
      </c>
      <c r="L320" s="1" t="s">
        <v>1398</v>
      </c>
      <c r="M320" s="1" t="s">
        <v>3620</v>
      </c>
      <c r="N320" s="1">
        <v>25</v>
      </c>
    </row>
    <row r="321" spans="1:14" x14ac:dyDescent="0.25">
      <c r="A321" s="20" t="s">
        <v>333</v>
      </c>
      <c r="B321" s="1" t="s">
        <v>3621</v>
      </c>
      <c r="C321" s="1" t="s">
        <v>3622</v>
      </c>
      <c r="D321" s="1" t="s">
        <v>3623</v>
      </c>
      <c r="E321" s="1" t="s">
        <v>3624</v>
      </c>
      <c r="F321" s="1" t="s">
        <v>3625</v>
      </c>
      <c r="G321" s="1" t="s">
        <v>958</v>
      </c>
      <c r="H321" s="1" t="s">
        <v>2209</v>
      </c>
      <c r="I321" s="1" t="s">
        <v>2209</v>
      </c>
      <c r="J321" s="1" t="s">
        <v>3626</v>
      </c>
      <c r="K321" s="1" t="s">
        <v>1468</v>
      </c>
      <c r="L321" s="1" t="s">
        <v>3627</v>
      </c>
      <c r="M321" s="1" t="s">
        <v>3628</v>
      </c>
      <c r="N321" s="1">
        <v>25</v>
      </c>
    </row>
    <row r="322" spans="1:14" x14ac:dyDescent="0.25">
      <c r="A322" s="20" t="s">
        <v>334</v>
      </c>
      <c r="B322" s="1" t="s">
        <v>3629</v>
      </c>
      <c r="C322" s="1" t="s">
        <v>3630</v>
      </c>
      <c r="D322" s="1" t="s">
        <v>3631</v>
      </c>
      <c r="E322" s="1" t="s">
        <v>3632</v>
      </c>
      <c r="F322" s="1" t="s">
        <v>3633</v>
      </c>
      <c r="G322" s="1" t="s">
        <v>958</v>
      </c>
      <c r="H322" s="1" t="s">
        <v>1879</v>
      </c>
      <c r="I322" s="1" t="s">
        <v>1026</v>
      </c>
      <c r="J322" s="1" t="s">
        <v>3634</v>
      </c>
      <c r="K322" s="1" t="s">
        <v>1478</v>
      </c>
      <c r="L322" s="1" t="s">
        <v>3635</v>
      </c>
      <c r="M322" s="1" t="s">
        <v>3636</v>
      </c>
      <c r="N322" s="1">
        <v>25</v>
      </c>
    </row>
    <row r="323" spans="1:14" x14ac:dyDescent="0.25">
      <c r="A323" s="20" t="s">
        <v>335</v>
      </c>
      <c r="B323" s="1" t="s">
        <v>3637</v>
      </c>
      <c r="C323" s="1" t="s">
        <v>3638</v>
      </c>
      <c r="D323" s="1" t="s">
        <v>3639</v>
      </c>
      <c r="E323" s="1" t="s">
        <v>3640</v>
      </c>
      <c r="F323" s="1" t="s">
        <v>3641</v>
      </c>
      <c r="G323" s="1" t="s">
        <v>958</v>
      </c>
      <c r="H323" s="1" t="s">
        <v>3642</v>
      </c>
      <c r="I323" s="1" t="s">
        <v>2744</v>
      </c>
      <c r="K323" s="1" t="s">
        <v>13</v>
      </c>
      <c r="L323" s="1" t="s">
        <v>3643</v>
      </c>
      <c r="M323" s="1" t="s">
        <v>3644</v>
      </c>
      <c r="N323" s="1">
        <v>25</v>
      </c>
    </row>
    <row r="324" spans="1:14" x14ac:dyDescent="0.25">
      <c r="A324" s="20" t="s">
        <v>336</v>
      </c>
      <c r="B324" s="1" t="s">
        <v>3645</v>
      </c>
      <c r="C324" s="1" t="s">
        <v>3646</v>
      </c>
      <c r="D324" s="1" t="s">
        <v>3647</v>
      </c>
      <c r="E324" s="1" t="s">
        <v>3648</v>
      </c>
      <c r="F324" s="1" t="s">
        <v>3649</v>
      </c>
      <c r="G324" s="1" t="s">
        <v>958</v>
      </c>
      <c r="H324" s="1" t="s">
        <v>3650</v>
      </c>
      <c r="I324" s="1" t="s">
        <v>1026</v>
      </c>
      <c r="J324" s="1" t="s">
        <v>3651</v>
      </c>
      <c r="K324" s="1" t="s">
        <v>910</v>
      </c>
      <c r="L324" s="1" t="s">
        <v>3652</v>
      </c>
      <c r="M324" s="1" t="s">
        <v>3653</v>
      </c>
      <c r="N324" s="1">
        <v>87</v>
      </c>
    </row>
    <row r="325" spans="1:14" x14ac:dyDescent="0.25">
      <c r="A325" s="20" t="s">
        <v>337</v>
      </c>
      <c r="B325" s="1" t="s">
        <v>3654</v>
      </c>
      <c r="C325" s="1" t="s">
        <v>2966</v>
      </c>
      <c r="D325" s="1" t="s">
        <v>3655</v>
      </c>
      <c r="E325" s="1" t="s">
        <v>3656</v>
      </c>
      <c r="F325" s="1" t="s">
        <v>3657</v>
      </c>
      <c r="G325" s="1" t="s">
        <v>958</v>
      </c>
      <c r="H325" s="1" t="s">
        <v>2971</v>
      </c>
      <c r="I325" s="1" t="s">
        <v>2971</v>
      </c>
      <c r="J325" s="1" t="s">
        <v>3658</v>
      </c>
      <c r="K325" s="1" t="s">
        <v>8</v>
      </c>
      <c r="L325" s="1" t="s">
        <v>3659</v>
      </c>
      <c r="M325" s="1" t="s">
        <v>3660</v>
      </c>
      <c r="N325" s="1">
        <v>25</v>
      </c>
    </row>
    <row r="326" spans="1:14" x14ac:dyDescent="0.25">
      <c r="A326" s="20" t="s">
        <v>338</v>
      </c>
      <c r="B326" s="1" t="s">
        <v>3661</v>
      </c>
      <c r="C326" s="1" t="s">
        <v>3662</v>
      </c>
      <c r="D326" s="1" t="s">
        <v>3663</v>
      </c>
      <c r="E326" s="1" t="s">
        <v>3664</v>
      </c>
      <c r="F326" s="1" t="s">
        <v>3665</v>
      </c>
      <c r="G326" s="1" t="s">
        <v>958</v>
      </c>
      <c r="H326" s="1" t="s">
        <v>3666</v>
      </c>
      <c r="I326" s="1" t="s">
        <v>1476</v>
      </c>
      <c r="J326" s="1" t="s">
        <v>3667</v>
      </c>
      <c r="K326" s="1" t="s">
        <v>1310</v>
      </c>
      <c r="L326" s="1" t="s">
        <v>3668</v>
      </c>
      <c r="M326" s="1" t="s">
        <v>3669</v>
      </c>
      <c r="N326" s="1">
        <v>25</v>
      </c>
    </row>
    <row r="327" spans="1:14" x14ac:dyDescent="0.25">
      <c r="A327" s="20" t="s">
        <v>339</v>
      </c>
      <c r="B327" s="1" t="s">
        <v>3670</v>
      </c>
      <c r="C327" s="1" t="s">
        <v>3671</v>
      </c>
      <c r="D327" s="1" t="s">
        <v>3672</v>
      </c>
      <c r="E327" s="1" t="s">
        <v>3673</v>
      </c>
      <c r="F327" s="1" t="s">
        <v>3674</v>
      </c>
      <c r="G327" s="1" t="s">
        <v>958</v>
      </c>
      <c r="H327" s="1" t="s">
        <v>3675</v>
      </c>
      <c r="I327" s="1" t="s">
        <v>3675</v>
      </c>
      <c r="J327" s="1" t="s">
        <v>3676</v>
      </c>
      <c r="K327" s="1" t="s">
        <v>8</v>
      </c>
      <c r="L327" s="1" t="s">
        <v>3677</v>
      </c>
      <c r="M327" s="1" t="s">
        <v>3678</v>
      </c>
      <c r="N327" s="1">
        <v>25</v>
      </c>
    </row>
    <row r="328" spans="1:14" x14ac:dyDescent="0.25">
      <c r="A328" s="20" t="s">
        <v>340</v>
      </c>
      <c r="B328" s="1" t="s">
        <v>3679</v>
      </c>
      <c r="C328" s="1" t="s">
        <v>3680</v>
      </c>
      <c r="D328" s="1" t="s">
        <v>3681</v>
      </c>
      <c r="E328" s="1" t="s">
        <v>3682</v>
      </c>
      <c r="F328" s="1" t="s">
        <v>3683</v>
      </c>
      <c r="G328" s="1" t="s">
        <v>958</v>
      </c>
      <c r="H328" s="1" t="s">
        <v>3684</v>
      </c>
      <c r="I328" s="1" t="s">
        <v>2971</v>
      </c>
      <c r="J328" s="1" t="s">
        <v>3685</v>
      </c>
      <c r="K328" s="1" t="s">
        <v>1548</v>
      </c>
      <c r="L328" s="1" t="s">
        <v>1549</v>
      </c>
      <c r="M328" s="1" t="s">
        <v>3686</v>
      </c>
      <c r="N328" s="1">
        <v>25</v>
      </c>
    </row>
    <row r="329" spans="1:14" x14ac:dyDescent="0.25">
      <c r="A329" s="20" t="s">
        <v>341</v>
      </c>
      <c r="B329" s="1" t="s">
        <v>3687</v>
      </c>
      <c r="C329" s="1" t="s">
        <v>3688</v>
      </c>
      <c r="D329" s="1" t="s">
        <v>3689</v>
      </c>
      <c r="E329" s="1" t="s">
        <v>3690</v>
      </c>
      <c r="F329" s="1" t="s">
        <v>3691</v>
      </c>
      <c r="G329" s="1" t="s">
        <v>958</v>
      </c>
      <c r="H329" s="1" t="s">
        <v>3071</v>
      </c>
      <c r="I329" s="1" t="s">
        <v>1127</v>
      </c>
      <c r="K329" s="1" t="s">
        <v>919</v>
      </c>
      <c r="L329" s="1" t="s">
        <v>918</v>
      </c>
      <c r="M329" s="1" t="s">
        <v>3692</v>
      </c>
      <c r="N329" s="1">
        <v>25</v>
      </c>
    </row>
    <row r="330" spans="1:14" x14ac:dyDescent="0.25">
      <c r="A330" s="20" t="s">
        <v>342</v>
      </c>
      <c r="B330" s="1" t="s">
        <v>3693</v>
      </c>
      <c r="C330" s="1" t="s">
        <v>3694</v>
      </c>
      <c r="D330" s="1" t="s">
        <v>3695</v>
      </c>
      <c r="E330" s="1" t="s">
        <v>3696</v>
      </c>
      <c r="F330" s="1" t="s">
        <v>3697</v>
      </c>
      <c r="G330" s="1" t="s">
        <v>3698</v>
      </c>
      <c r="H330" s="1" t="s">
        <v>3699</v>
      </c>
      <c r="I330" s="1" t="s">
        <v>979</v>
      </c>
      <c r="J330" s="1" t="s">
        <v>3700</v>
      </c>
      <c r="K330" s="1" t="s">
        <v>909</v>
      </c>
      <c r="L330" s="1" t="s">
        <v>3701</v>
      </c>
      <c r="M330" s="1" t="s">
        <v>3702</v>
      </c>
      <c r="N330" s="1">
        <v>25</v>
      </c>
    </row>
    <row r="331" spans="1:14" x14ac:dyDescent="0.25">
      <c r="A331" s="20" t="s">
        <v>343</v>
      </c>
      <c r="B331" s="1" t="s">
        <v>3703</v>
      </c>
      <c r="C331" s="1" t="s">
        <v>3704</v>
      </c>
      <c r="D331" s="1" t="s">
        <v>3705</v>
      </c>
      <c r="E331" s="1" t="s">
        <v>3706</v>
      </c>
      <c r="F331" s="1" t="s">
        <v>3707</v>
      </c>
      <c r="G331" s="1" t="s">
        <v>958</v>
      </c>
      <c r="H331" s="1" t="s">
        <v>3708</v>
      </c>
      <c r="I331" s="1" t="s">
        <v>2243</v>
      </c>
      <c r="J331" s="1" t="s">
        <v>3709</v>
      </c>
      <c r="K331" s="1" t="s">
        <v>1</v>
      </c>
      <c r="L331" s="1" t="s">
        <v>3710</v>
      </c>
      <c r="M331" s="1" t="s">
        <v>3711</v>
      </c>
      <c r="N331" s="1">
        <v>50</v>
      </c>
    </row>
    <row r="332" spans="1:14" x14ac:dyDescent="0.25">
      <c r="A332" s="20" t="s">
        <v>344</v>
      </c>
      <c r="B332" s="1" t="s">
        <v>3712</v>
      </c>
      <c r="C332" s="1" t="s">
        <v>3713</v>
      </c>
      <c r="D332" s="1" t="s">
        <v>3714</v>
      </c>
      <c r="E332" s="1" t="s">
        <v>3715</v>
      </c>
      <c r="F332" s="1" t="s">
        <v>3716</v>
      </c>
      <c r="G332" s="1" t="s">
        <v>958</v>
      </c>
      <c r="H332" s="1" t="s">
        <v>1880</v>
      </c>
      <c r="I332" s="1" t="s">
        <v>1880</v>
      </c>
      <c r="J332" s="1" t="s">
        <v>3717</v>
      </c>
      <c r="K332" s="1" t="s">
        <v>1</v>
      </c>
      <c r="L332" s="1" t="s">
        <v>3718</v>
      </c>
      <c r="M332" s="1" t="s">
        <v>3719</v>
      </c>
      <c r="N332" s="1">
        <v>25</v>
      </c>
    </row>
    <row r="333" spans="1:14" x14ac:dyDescent="0.25">
      <c r="A333" s="20" t="s">
        <v>345</v>
      </c>
      <c r="B333" s="1" t="s">
        <v>3720</v>
      </c>
      <c r="C333" s="1" t="s">
        <v>3721</v>
      </c>
      <c r="D333" s="1" t="s">
        <v>3722</v>
      </c>
      <c r="E333" s="1" t="s">
        <v>3723</v>
      </c>
      <c r="F333" s="1" t="s">
        <v>3724</v>
      </c>
      <c r="G333" s="1" t="s">
        <v>958</v>
      </c>
      <c r="H333" s="1" t="s">
        <v>3458</v>
      </c>
      <c r="I333" s="1" t="s">
        <v>1546</v>
      </c>
      <c r="J333" s="1" t="s">
        <v>3725</v>
      </c>
      <c r="K333" s="1" t="s">
        <v>915</v>
      </c>
      <c r="L333" s="1" t="s">
        <v>2424</v>
      </c>
      <c r="M333" s="1" t="s">
        <v>3726</v>
      </c>
      <c r="N333" s="1">
        <v>130</v>
      </c>
    </row>
    <row r="334" spans="1:14" x14ac:dyDescent="0.25">
      <c r="A334" s="20" t="s">
        <v>346</v>
      </c>
      <c r="B334" s="1" t="s">
        <v>3727</v>
      </c>
      <c r="C334" s="1" t="s">
        <v>3728</v>
      </c>
      <c r="D334" s="1" t="s">
        <v>3729</v>
      </c>
      <c r="E334" s="1" t="s">
        <v>3730</v>
      </c>
      <c r="F334" s="1" t="s">
        <v>3731</v>
      </c>
      <c r="G334" s="1" t="s">
        <v>958</v>
      </c>
      <c r="H334" s="1" t="s">
        <v>3732</v>
      </c>
      <c r="I334" s="1" t="s">
        <v>979</v>
      </c>
      <c r="J334" s="1" t="s">
        <v>3733</v>
      </c>
      <c r="K334" s="1" t="s">
        <v>919</v>
      </c>
      <c r="L334" s="1" t="s">
        <v>3026</v>
      </c>
      <c r="M334" s="1" t="s">
        <v>3734</v>
      </c>
      <c r="N334" s="1">
        <v>25</v>
      </c>
    </row>
    <row r="335" spans="1:14" x14ac:dyDescent="0.25">
      <c r="A335" s="20" t="s">
        <v>347</v>
      </c>
      <c r="B335" s="1" t="s">
        <v>3735</v>
      </c>
      <c r="C335" s="1" t="s">
        <v>3736</v>
      </c>
      <c r="D335" s="1" t="s">
        <v>3737</v>
      </c>
      <c r="E335" s="1" t="s">
        <v>3738</v>
      </c>
      <c r="F335" s="1" t="s">
        <v>3739</v>
      </c>
      <c r="G335" s="1" t="s">
        <v>958</v>
      </c>
      <c r="H335" s="1" t="s">
        <v>3740</v>
      </c>
      <c r="I335" s="1" t="s">
        <v>3741</v>
      </c>
      <c r="J335" s="1" t="s">
        <v>3742</v>
      </c>
      <c r="K335" s="1" t="s">
        <v>10</v>
      </c>
      <c r="L335" s="1" t="s">
        <v>3743</v>
      </c>
      <c r="M335" s="1" t="s">
        <v>3744</v>
      </c>
      <c r="N335" s="1">
        <v>25</v>
      </c>
    </row>
    <row r="336" spans="1:14" x14ac:dyDescent="0.25">
      <c r="A336" s="20" t="s">
        <v>348</v>
      </c>
      <c r="B336" s="1" t="s">
        <v>3745</v>
      </c>
      <c r="C336" s="1" t="s">
        <v>3746</v>
      </c>
      <c r="D336" s="1" t="s">
        <v>3747</v>
      </c>
      <c r="E336" s="1" t="s">
        <v>3748</v>
      </c>
      <c r="F336" s="1" t="s">
        <v>3749</v>
      </c>
      <c r="G336" s="1" t="s">
        <v>958</v>
      </c>
      <c r="H336" s="1" t="s">
        <v>3750</v>
      </c>
      <c r="I336" s="1" t="s">
        <v>3751</v>
      </c>
      <c r="J336" s="1" t="s">
        <v>3752</v>
      </c>
      <c r="K336" s="1" t="s">
        <v>1548</v>
      </c>
      <c r="L336" s="1" t="s">
        <v>3753</v>
      </c>
      <c r="M336" s="1" t="s">
        <v>3754</v>
      </c>
      <c r="N336" s="1">
        <v>25</v>
      </c>
    </row>
    <row r="337" spans="1:14" x14ac:dyDescent="0.25">
      <c r="A337" s="20" t="s">
        <v>349</v>
      </c>
      <c r="B337" s="1" t="s">
        <v>3755</v>
      </c>
      <c r="C337" s="1" t="s">
        <v>3756</v>
      </c>
      <c r="D337" s="1" t="s">
        <v>3757</v>
      </c>
      <c r="E337" s="1" t="s">
        <v>3758</v>
      </c>
      <c r="F337" s="1" t="s">
        <v>3759</v>
      </c>
      <c r="G337" s="1" t="s">
        <v>958</v>
      </c>
      <c r="H337" s="1" t="s">
        <v>2035</v>
      </c>
      <c r="I337" s="1" t="s">
        <v>1971</v>
      </c>
      <c r="J337" s="1" t="s">
        <v>3760</v>
      </c>
      <c r="K337" s="1" t="s">
        <v>1637</v>
      </c>
      <c r="L337" s="1" t="s">
        <v>3761</v>
      </c>
      <c r="M337" s="1" t="s">
        <v>3762</v>
      </c>
      <c r="N337" s="1">
        <v>25</v>
      </c>
    </row>
    <row r="338" spans="1:14" x14ac:dyDescent="0.25">
      <c r="A338" s="20" t="s">
        <v>350</v>
      </c>
      <c r="B338" s="1" t="s">
        <v>3763</v>
      </c>
      <c r="C338" s="1" t="s">
        <v>3764</v>
      </c>
      <c r="D338" s="1" t="s">
        <v>3765</v>
      </c>
      <c r="E338" s="1" t="s">
        <v>3766</v>
      </c>
      <c r="F338" s="1" t="s">
        <v>3767</v>
      </c>
      <c r="G338" s="1" t="s">
        <v>958</v>
      </c>
      <c r="H338" s="1" t="s">
        <v>1051</v>
      </c>
      <c r="I338" s="1" t="s">
        <v>1353</v>
      </c>
      <c r="J338" s="1" t="s">
        <v>3768</v>
      </c>
      <c r="K338" s="1" t="s">
        <v>1468</v>
      </c>
      <c r="L338" s="1" t="s">
        <v>3769</v>
      </c>
      <c r="M338" s="1" t="s">
        <v>3770</v>
      </c>
      <c r="N338" s="1">
        <v>50</v>
      </c>
    </row>
    <row r="339" spans="1:14" x14ac:dyDescent="0.25">
      <c r="A339" s="20" t="s">
        <v>351</v>
      </c>
      <c r="B339" s="1" t="s">
        <v>3771</v>
      </c>
      <c r="C339" s="1" t="s">
        <v>3772</v>
      </c>
      <c r="D339" s="1" t="s">
        <v>3773</v>
      </c>
      <c r="E339" s="1" t="s">
        <v>3774</v>
      </c>
      <c r="F339" s="1" t="s">
        <v>3775</v>
      </c>
      <c r="G339" s="1" t="s">
        <v>958</v>
      </c>
      <c r="H339" s="1" t="s">
        <v>1070</v>
      </c>
      <c r="I339" s="1" t="s">
        <v>1070</v>
      </c>
      <c r="J339" s="1" t="s">
        <v>3776</v>
      </c>
      <c r="K339" s="1" t="s">
        <v>2165</v>
      </c>
      <c r="L339" s="1" t="s">
        <v>2166</v>
      </c>
      <c r="M339" s="1" t="s">
        <v>3777</v>
      </c>
      <c r="N339" s="1">
        <v>25</v>
      </c>
    </row>
    <row r="340" spans="1:14" x14ac:dyDescent="0.25">
      <c r="A340" s="20" t="s">
        <v>352</v>
      </c>
      <c r="B340" s="1" t="s">
        <v>3778</v>
      </c>
      <c r="C340" s="1" t="s">
        <v>3779</v>
      </c>
      <c r="D340" s="1" t="s">
        <v>3780</v>
      </c>
      <c r="E340" s="1" t="s">
        <v>3781</v>
      </c>
      <c r="F340" s="1" t="s">
        <v>3782</v>
      </c>
      <c r="G340" s="1" t="s">
        <v>958</v>
      </c>
      <c r="H340" s="1" t="s">
        <v>3458</v>
      </c>
      <c r="I340" s="1" t="s">
        <v>3458</v>
      </c>
      <c r="J340" s="1" t="s">
        <v>3783</v>
      </c>
      <c r="K340" s="1" t="s">
        <v>1</v>
      </c>
      <c r="L340" s="1" t="s">
        <v>1846</v>
      </c>
      <c r="M340" s="1" t="s">
        <v>3784</v>
      </c>
      <c r="N340" s="1">
        <v>25</v>
      </c>
    </row>
    <row r="341" spans="1:14" x14ac:dyDescent="0.25">
      <c r="A341" s="20" t="s">
        <v>353</v>
      </c>
      <c r="B341" s="1" t="s">
        <v>3785</v>
      </c>
      <c r="C341" s="1" t="s">
        <v>3786</v>
      </c>
      <c r="D341" s="1" t="s">
        <v>3787</v>
      </c>
      <c r="E341" s="1" t="s">
        <v>3788</v>
      </c>
      <c r="F341" s="1" t="s">
        <v>3789</v>
      </c>
      <c r="G341" s="1" t="s">
        <v>958</v>
      </c>
      <c r="H341" s="1" t="s">
        <v>1298</v>
      </c>
      <c r="I341" s="1" t="s">
        <v>1298</v>
      </c>
      <c r="J341" s="1" t="s">
        <v>3790</v>
      </c>
      <c r="K341" s="1" t="s">
        <v>13</v>
      </c>
      <c r="L341" s="1" t="s">
        <v>1601</v>
      </c>
      <c r="M341" s="1" t="s">
        <v>3791</v>
      </c>
      <c r="N341" s="1">
        <v>25</v>
      </c>
    </row>
    <row r="342" spans="1:14" x14ac:dyDescent="0.25">
      <c r="A342" s="20" t="s">
        <v>354</v>
      </c>
      <c r="B342" s="1" t="s">
        <v>3792</v>
      </c>
      <c r="C342" s="1" t="s">
        <v>3793</v>
      </c>
      <c r="D342" s="1" t="s">
        <v>3794</v>
      </c>
      <c r="E342" s="1" t="s">
        <v>3795</v>
      </c>
      <c r="F342" s="1" t="s">
        <v>3796</v>
      </c>
      <c r="G342" s="1" t="s">
        <v>958</v>
      </c>
      <c r="H342" s="1" t="s">
        <v>3797</v>
      </c>
      <c r="I342" s="1" t="s">
        <v>1236</v>
      </c>
      <c r="J342" s="1" t="s">
        <v>3798</v>
      </c>
      <c r="K342" s="1" t="s">
        <v>1548</v>
      </c>
      <c r="L342" s="1" t="s">
        <v>3753</v>
      </c>
      <c r="M342" s="1" t="s">
        <v>3799</v>
      </c>
      <c r="N342" s="1">
        <v>25</v>
      </c>
    </row>
    <row r="343" spans="1:14" x14ac:dyDescent="0.25">
      <c r="A343" s="20" t="s">
        <v>355</v>
      </c>
      <c r="B343" s="1" t="s">
        <v>3800</v>
      </c>
      <c r="C343" s="1" t="s">
        <v>3801</v>
      </c>
      <c r="D343" s="1" t="s">
        <v>3802</v>
      </c>
      <c r="E343" s="1" t="s">
        <v>3803</v>
      </c>
      <c r="F343" s="1" t="s">
        <v>3804</v>
      </c>
      <c r="G343" s="1" t="s">
        <v>958</v>
      </c>
      <c r="H343" s="1" t="s">
        <v>1137</v>
      </c>
      <c r="I343" s="1" t="s">
        <v>979</v>
      </c>
      <c r="J343" s="1" t="s">
        <v>3805</v>
      </c>
      <c r="K343" s="1" t="s">
        <v>1637</v>
      </c>
      <c r="L343" s="1" t="s">
        <v>2316</v>
      </c>
      <c r="M343" s="1" t="s">
        <v>3806</v>
      </c>
      <c r="N343" s="1">
        <v>25</v>
      </c>
    </row>
    <row r="344" spans="1:14" x14ac:dyDescent="0.25">
      <c r="A344" s="20" t="s">
        <v>356</v>
      </c>
      <c r="B344" s="1" t="s">
        <v>3807</v>
      </c>
      <c r="C344" s="1" t="s">
        <v>3808</v>
      </c>
      <c r="D344" s="1" t="s">
        <v>3809</v>
      </c>
      <c r="E344" s="1" t="s">
        <v>3810</v>
      </c>
      <c r="F344" s="1" t="s">
        <v>3811</v>
      </c>
      <c r="G344" s="1" t="s">
        <v>958</v>
      </c>
      <c r="H344" s="1" t="s">
        <v>3812</v>
      </c>
      <c r="I344" s="1" t="s">
        <v>1397</v>
      </c>
      <c r="J344" s="1" t="s">
        <v>3813</v>
      </c>
      <c r="K344" s="1" t="s">
        <v>3</v>
      </c>
      <c r="L344" s="1" t="s">
        <v>3814</v>
      </c>
      <c r="M344" s="1" t="s">
        <v>3815</v>
      </c>
      <c r="N344" s="1">
        <v>30</v>
      </c>
    </row>
    <row r="345" spans="1:14" x14ac:dyDescent="0.25">
      <c r="A345" s="20" t="s">
        <v>357</v>
      </c>
      <c r="B345" s="1" t="s">
        <v>3816</v>
      </c>
      <c r="C345" s="1" t="s">
        <v>3817</v>
      </c>
      <c r="D345" s="1" t="s">
        <v>3818</v>
      </c>
      <c r="E345" s="1" t="s">
        <v>3819</v>
      </c>
      <c r="F345" s="1" t="s">
        <v>3820</v>
      </c>
      <c r="G345" s="1" t="s">
        <v>958</v>
      </c>
      <c r="H345" s="1" t="s">
        <v>1760</v>
      </c>
      <c r="I345" s="1" t="s">
        <v>1760</v>
      </c>
      <c r="J345" s="1" t="s">
        <v>3821</v>
      </c>
      <c r="K345" s="1" t="s">
        <v>1478</v>
      </c>
      <c r="L345" s="1" t="s">
        <v>1479</v>
      </c>
      <c r="M345" s="1" t="s">
        <v>3822</v>
      </c>
      <c r="N345" s="1">
        <v>25</v>
      </c>
    </row>
    <row r="346" spans="1:14" x14ac:dyDescent="0.25">
      <c r="A346" s="20" t="s">
        <v>358</v>
      </c>
      <c r="B346" s="1" t="s">
        <v>3823</v>
      </c>
      <c r="C346" s="1" t="s">
        <v>3824</v>
      </c>
      <c r="D346" s="1" t="s">
        <v>3825</v>
      </c>
      <c r="E346" s="1" t="s">
        <v>3826</v>
      </c>
      <c r="F346" s="1" t="s">
        <v>3827</v>
      </c>
      <c r="G346" s="1" t="s">
        <v>958</v>
      </c>
      <c r="H346" s="1" t="s">
        <v>1625</v>
      </c>
      <c r="I346" s="1" t="s">
        <v>1450</v>
      </c>
      <c r="J346" s="1" t="s">
        <v>3828</v>
      </c>
      <c r="K346" s="1" t="s">
        <v>909</v>
      </c>
      <c r="L346" s="1" t="s">
        <v>1237</v>
      </c>
      <c r="M346" s="1" t="s">
        <v>3829</v>
      </c>
      <c r="N346" s="1">
        <v>25</v>
      </c>
    </row>
    <row r="347" spans="1:14" x14ac:dyDescent="0.25">
      <c r="A347" s="20" t="s">
        <v>359</v>
      </c>
      <c r="B347" s="1" t="s">
        <v>3830</v>
      </c>
      <c r="C347" s="1" t="s">
        <v>3831</v>
      </c>
      <c r="D347" s="1" t="s">
        <v>3832</v>
      </c>
      <c r="E347" s="1" t="s">
        <v>3833</v>
      </c>
      <c r="F347" s="1" t="s">
        <v>3834</v>
      </c>
      <c r="G347" s="1" t="s">
        <v>958</v>
      </c>
      <c r="H347" s="1" t="s">
        <v>1137</v>
      </c>
      <c r="I347" s="1" t="s">
        <v>979</v>
      </c>
      <c r="J347" s="1" t="s">
        <v>3835</v>
      </c>
      <c r="K347" s="1" t="s">
        <v>3</v>
      </c>
      <c r="L347" s="1" t="s">
        <v>3836</v>
      </c>
      <c r="M347" s="1" t="s">
        <v>3837</v>
      </c>
      <c r="N347" s="1">
        <v>25</v>
      </c>
    </row>
    <row r="348" spans="1:14" x14ac:dyDescent="0.25">
      <c r="A348" s="20" t="s">
        <v>360</v>
      </c>
      <c r="B348" s="1" t="s">
        <v>3838</v>
      </c>
      <c r="C348" s="1" t="s">
        <v>3839</v>
      </c>
      <c r="D348" s="1" t="s">
        <v>3840</v>
      </c>
      <c r="E348" s="1" t="s">
        <v>3841</v>
      </c>
      <c r="F348" s="1" t="s">
        <v>3842</v>
      </c>
      <c r="G348" s="1" t="s">
        <v>958</v>
      </c>
      <c r="H348" s="1" t="s">
        <v>3843</v>
      </c>
      <c r="I348" s="1" t="s">
        <v>989</v>
      </c>
      <c r="J348" s="1" t="s">
        <v>3844</v>
      </c>
      <c r="K348" s="1" t="s">
        <v>1478</v>
      </c>
      <c r="L348" s="1" t="s">
        <v>3845</v>
      </c>
      <c r="M348" s="1" t="s">
        <v>3846</v>
      </c>
      <c r="N348" s="1">
        <v>25</v>
      </c>
    </row>
    <row r="349" spans="1:14" x14ac:dyDescent="0.25">
      <c r="A349" s="20" t="s">
        <v>361</v>
      </c>
      <c r="B349" s="1" t="s">
        <v>3847</v>
      </c>
      <c r="C349" s="1" t="s">
        <v>3848</v>
      </c>
      <c r="D349" s="1" t="s">
        <v>3849</v>
      </c>
      <c r="E349" s="1" t="s">
        <v>3850</v>
      </c>
      <c r="F349" s="1" t="s">
        <v>3851</v>
      </c>
      <c r="G349" s="1" t="s">
        <v>958</v>
      </c>
      <c r="H349" s="1" t="s">
        <v>1879</v>
      </c>
      <c r="I349" s="1" t="s">
        <v>1026</v>
      </c>
      <c r="J349" s="1" t="s">
        <v>3852</v>
      </c>
      <c r="K349" s="1" t="s">
        <v>919</v>
      </c>
      <c r="L349" s="1" t="s">
        <v>918</v>
      </c>
      <c r="M349" s="1" t="s">
        <v>3853</v>
      </c>
      <c r="N349" s="1">
        <v>25</v>
      </c>
    </row>
    <row r="350" spans="1:14" x14ac:dyDescent="0.25">
      <c r="A350" s="20" t="s">
        <v>362</v>
      </c>
      <c r="B350" s="1" t="s">
        <v>3854</v>
      </c>
      <c r="C350" s="1" t="s">
        <v>3855</v>
      </c>
      <c r="D350" s="1" t="s">
        <v>3856</v>
      </c>
      <c r="E350" s="1" t="s">
        <v>3857</v>
      </c>
      <c r="F350" s="1" t="s">
        <v>3858</v>
      </c>
      <c r="G350" s="1" t="s">
        <v>958</v>
      </c>
      <c r="H350" s="1" t="s">
        <v>1018</v>
      </c>
      <c r="I350" s="1" t="s">
        <v>1116</v>
      </c>
      <c r="J350" s="1" t="s">
        <v>3859</v>
      </c>
      <c r="K350" s="1" t="s">
        <v>1548</v>
      </c>
      <c r="L350" s="1" t="s">
        <v>1549</v>
      </c>
      <c r="M350" s="1" t="s">
        <v>3860</v>
      </c>
      <c r="N350" s="1">
        <v>25</v>
      </c>
    </row>
    <row r="351" spans="1:14" x14ac:dyDescent="0.25">
      <c r="A351" s="20" t="s">
        <v>363</v>
      </c>
      <c r="B351" s="1" t="s">
        <v>3861</v>
      </c>
      <c r="C351" s="1" t="s">
        <v>3862</v>
      </c>
      <c r="D351" s="1" t="s">
        <v>3863</v>
      </c>
      <c r="E351" s="1" t="s">
        <v>3864</v>
      </c>
      <c r="F351" s="1" t="s">
        <v>3865</v>
      </c>
      <c r="G351" s="1" t="s">
        <v>958</v>
      </c>
      <c r="H351" s="1" t="s">
        <v>1698</v>
      </c>
      <c r="I351" s="1" t="s">
        <v>1698</v>
      </c>
      <c r="J351" s="1" t="s">
        <v>3866</v>
      </c>
      <c r="K351" s="1" t="s">
        <v>1478</v>
      </c>
      <c r="L351" s="1" t="s">
        <v>1479</v>
      </c>
      <c r="M351" s="1" t="s">
        <v>3867</v>
      </c>
      <c r="N351" s="1">
        <v>25</v>
      </c>
    </row>
    <row r="352" spans="1:14" x14ac:dyDescent="0.25">
      <c r="A352" s="20" t="s">
        <v>364</v>
      </c>
      <c r="B352" s="1" t="s">
        <v>3868</v>
      </c>
      <c r="C352" s="1" t="s">
        <v>3869</v>
      </c>
      <c r="D352" s="1" t="s">
        <v>3870</v>
      </c>
      <c r="E352" s="1" t="s">
        <v>3871</v>
      </c>
      <c r="F352" s="1" t="s">
        <v>3872</v>
      </c>
      <c r="G352" s="1" t="s">
        <v>958</v>
      </c>
      <c r="H352" s="1" t="s">
        <v>3873</v>
      </c>
      <c r="I352" s="1" t="s">
        <v>1432</v>
      </c>
      <c r="J352" s="1" t="s">
        <v>3874</v>
      </c>
      <c r="K352" s="1" t="s">
        <v>2</v>
      </c>
      <c r="L352" s="1" t="s">
        <v>2062</v>
      </c>
      <c r="M352" s="1" t="s">
        <v>3875</v>
      </c>
      <c r="N352" s="1">
        <v>100</v>
      </c>
    </row>
    <row r="353" spans="1:14" x14ac:dyDescent="0.25">
      <c r="A353" s="20" t="s">
        <v>365</v>
      </c>
      <c r="B353" s="1" t="s">
        <v>3876</v>
      </c>
      <c r="C353" s="1" t="s">
        <v>3877</v>
      </c>
      <c r="D353" s="1" t="s">
        <v>3878</v>
      </c>
      <c r="E353" s="1" t="s">
        <v>3879</v>
      </c>
      <c r="F353" s="1" t="s">
        <v>3880</v>
      </c>
      <c r="G353" s="1" t="s">
        <v>958</v>
      </c>
      <c r="H353" s="1" t="s">
        <v>3881</v>
      </c>
      <c r="I353" s="1" t="s">
        <v>3882</v>
      </c>
      <c r="J353" s="1" t="s">
        <v>3883</v>
      </c>
      <c r="K353" s="1" t="s">
        <v>915</v>
      </c>
      <c r="L353" s="1" t="s">
        <v>1157</v>
      </c>
      <c r="M353" s="1" t="s">
        <v>3884</v>
      </c>
      <c r="N353" s="1">
        <v>25</v>
      </c>
    </row>
    <row r="354" spans="1:14" x14ac:dyDescent="0.25">
      <c r="A354" s="20" t="s">
        <v>366</v>
      </c>
      <c r="B354" s="1" t="s">
        <v>3885</v>
      </c>
      <c r="C354" s="1" t="s">
        <v>3886</v>
      </c>
      <c r="D354" s="1" t="s">
        <v>3887</v>
      </c>
      <c r="E354" s="1" t="s">
        <v>3888</v>
      </c>
      <c r="F354" s="1" t="s">
        <v>3889</v>
      </c>
      <c r="G354" s="1" t="s">
        <v>958</v>
      </c>
      <c r="H354" s="1" t="s">
        <v>3890</v>
      </c>
      <c r="I354" s="1" t="s">
        <v>979</v>
      </c>
      <c r="J354" s="1" t="s">
        <v>3891</v>
      </c>
      <c r="K354" s="1" t="s">
        <v>971</v>
      </c>
      <c r="L354" s="1" t="s">
        <v>3892</v>
      </c>
      <c r="M354" s="1" t="s">
        <v>3893</v>
      </c>
      <c r="N354" s="1">
        <v>25</v>
      </c>
    </row>
    <row r="355" spans="1:14" x14ac:dyDescent="0.25">
      <c r="A355" s="20" t="s">
        <v>367</v>
      </c>
      <c r="B355" s="1" t="s">
        <v>3894</v>
      </c>
      <c r="C355" s="1" t="s">
        <v>3895</v>
      </c>
      <c r="D355" s="1" t="s">
        <v>3896</v>
      </c>
      <c r="E355" s="1" t="s">
        <v>3897</v>
      </c>
      <c r="F355" s="1" t="s">
        <v>3898</v>
      </c>
      <c r="G355" s="1" t="s">
        <v>958</v>
      </c>
      <c r="H355" s="1" t="s">
        <v>2413</v>
      </c>
      <c r="I355" s="1" t="s">
        <v>2226</v>
      </c>
      <c r="J355" s="1" t="s">
        <v>3899</v>
      </c>
      <c r="K355" s="1" t="s">
        <v>1089</v>
      </c>
      <c r="L355" s="1" t="s">
        <v>3900</v>
      </c>
      <c r="M355" s="1" t="s">
        <v>3901</v>
      </c>
      <c r="N355" s="1">
        <v>25</v>
      </c>
    </row>
    <row r="356" spans="1:14" x14ac:dyDescent="0.25">
      <c r="A356" s="20" t="s">
        <v>368</v>
      </c>
      <c r="B356" s="1" t="s">
        <v>3902</v>
      </c>
      <c r="C356" s="1" t="s">
        <v>3903</v>
      </c>
      <c r="D356" s="1" t="s">
        <v>3904</v>
      </c>
      <c r="E356" s="1" t="s">
        <v>3905</v>
      </c>
      <c r="F356" s="1" t="s">
        <v>3906</v>
      </c>
      <c r="G356" s="1" t="s">
        <v>958</v>
      </c>
      <c r="H356" s="1" t="s">
        <v>1137</v>
      </c>
      <c r="I356" s="1" t="s">
        <v>1137</v>
      </c>
      <c r="J356" s="1" t="s">
        <v>3907</v>
      </c>
      <c r="K356" s="1" t="s">
        <v>1</v>
      </c>
      <c r="L356" s="1" t="s">
        <v>1846</v>
      </c>
      <c r="M356" s="1" t="s">
        <v>3908</v>
      </c>
      <c r="N356" s="1">
        <v>30</v>
      </c>
    </row>
    <row r="357" spans="1:14" x14ac:dyDescent="0.25">
      <c r="A357" s="20" t="s">
        <v>369</v>
      </c>
      <c r="B357" s="1" t="s">
        <v>3909</v>
      </c>
      <c r="C357" s="1" t="s">
        <v>3910</v>
      </c>
      <c r="D357" s="1" t="s">
        <v>3911</v>
      </c>
      <c r="E357" s="1" t="s">
        <v>3912</v>
      </c>
      <c r="F357" s="1" t="s">
        <v>3913</v>
      </c>
      <c r="G357" s="1" t="s">
        <v>3914</v>
      </c>
      <c r="H357" s="1" t="s">
        <v>979</v>
      </c>
      <c r="I357" s="1" t="s">
        <v>979</v>
      </c>
      <c r="J357" s="1" t="s">
        <v>3915</v>
      </c>
      <c r="K357" s="1" t="s">
        <v>1</v>
      </c>
      <c r="L357" s="1" t="s">
        <v>3916</v>
      </c>
      <c r="M357" s="1" t="s">
        <v>3917</v>
      </c>
      <c r="N357" s="1">
        <v>30</v>
      </c>
    </row>
    <row r="358" spans="1:14" x14ac:dyDescent="0.25">
      <c r="A358" s="20" t="s">
        <v>370</v>
      </c>
      <c r="B358" s="1" t="s">
        <v>3918</v>
      </c>
      <c r="C358" s="1" t="s">
        <v>3919</v>
      </c>
      <c r="D358" s="1" t="s">
        <v>3920</v>
      </c>
      <c r="E358" s="1" t="s">
        <v>3921</v>
      </c>
      <c r="F358" s="1" t="s">
        <v>3922</v>
      </c>
      <c r="G358" s="1" t="s">
        <v>958</v>
      </c>
      <c r="H358" s="1" t="s">
        <v>3923</v>
      </c>
      <c r="I358" s="1" t="s">
        <v>1116</v>
      </c>
      <c r="J358" s="1" t="s">
        <v>3924</v>
      </c>
      <c r="K358" s="1" t="s">
        <v>1</v>
      </c>
      <c r="L358" s="1" t="s">
        <v>3916</v>
      </c>
      <c r="M358" s="1" t="s">
        <v>3925</v>
      </c>
      <c r="N358" s="1">
        <v>300</v>
      </c>
    </row>
    <row r="359" spans="1:14" x14ac:dyDescent="0.25">
      <c r="A359" s="20" t="s">
        <v>371</v>
      </c>
      <c r="B359" s="1" t="s">
        <v>3926</v>
      </c>
      <c r="C359" s="1" t="s">
        <v>3927</v>
      </c>
      <c r="D359" s="1" t="s">
        <v>3928</v>
      </c>
      <c r="E359" s="1" t="s">
        <v>3929</v>
      </c>
      <c r="F359" s="1" t="s">
        <v>3930</v>
      </c>
      <c r="G359" s="1" t="s">
        <v>958</v>
      </c>
      <c r="H359" s="1" t="s">
        <v>3931</v>
      </c>
      <c r="I359" s="1" t="s">
        <v>1137</v>
      </c>
      <c r="J359" s="1" t="s">
        <v>3932</v>
      </c>
      <c r="K359" s="1" t="s">
        <v>8</v>
      </c>
      <c r="L359" s="1" t="s">
        <v>2211</v>
      </c>
      <c r="M359" s="1" t="s">
        <v>3933</v>
      </c>
      <c r="N359" s="1">
        <v>25</v>
      </c>
    </row>
    <row r="360" spans="1:14" x14ac:dyDescent="0.25">
      <c r="A360" s="20" t="s">
        <v>372</v>
      </c>
      <c r="B360" s="1" t="s">
        <v>3934</v>
      </c>
      <c r="C360" s="1" t="s">
        <v>3935</v>
      </c>
      <c r="D360" s="1" t="s">
        <v>3936</v>
      </c>
      <c r="E360" s="1" t="s">
        <v>3937</v>
      </c>
      <c r="F360" s="1" t="s">
        <v>3938</v>
      </c>
      <c r="G360" s="1" t="s">
        <v>3939</v>
      </c>
      <c r="H360" s="1" t="s">
        <v>3940</v>
      </c>
      <c r="I360" s="1" t="s">
        <v>3751</v>
      </c>
      <c r="J360" s="1" t="s">
        <v>3941</v>
      </c>
      <c r="K360" s="1" t="s">
        <v>8</v>
      </c>
      <c r="L360" s="1" t="s">
        <v>3942</v>
      </c>
      <c r="M360" s="1" t="s">
        <v>3943</v>
      </c>
      <c r="N360" s="1">
        <v>25</v>
      </c>
    </row>
    <row r="361" spans="1:14" x14ac:dyDescent="0.25">
      <c r="A361" s="20" t="s">
        <v>373</v>
      </c>
      <c r="B361" s="1" t="s">
        <v>3944</v>
      </c>
      <c r="C361" s="1" t="s">
        <v>3945</v>
      </c>
      <c r="D361" s="1" t="s">
        <v>3946</v>
      </c>
      <c r="E361" s="1" t="s">
        <v>2853</v>
      </c>
      <c r="F361" s="1" t="s">
        <v>3947</v>
      </c>
      <c r="G361" s="1" t="s">
        <v>958</v>
      </c>
      <c r="H361" s="1" t="s">
        <v>2234</v>
      </c>
      <c r="I361" s="1" t="s">
        <v>2848</v>
      </c>
      <c r="J361" s="1" t="s">
        <v>3948</v>
      </c>
      <c r="K361" s="1" t="s">
        <v>8</v>
      </c>
      <c r="L361" s="1" t="s">
        <v>3949</v>
      </c>
      <c r="M361" s="1" t="s">
        <v>3950</v>
      </c>
      <c r="N361" s="1">
        <v>25</v>
      </c>
    </row>
    <row r="362" spans="1:14" x14ac:dyDescent="0.25">
      <c r="A362" s="20" t="s">
        <v>374</v>
      </c>
      <c r="B362" s="1" t="s">
        <v>3951</v>
      </c>
      <c r="C362" s="1" t="s">
        <v>3952</v>
      </c>
      <c r="D362" s="1" t="s">
        <v>3953</v>
      </c>
      <c r="E362" s="1" t="s">
        <v>3954</v>
      </c>
      <c r="F362" s="1" t="s">
        <v>3955</v>
      </c>
      <c r="G362" s="1" t="s">
        <v>958</v>
      </c>
      <c r="H362" s="1" t="s">
        <v>3956</v>
      </c>
      <c r="I362" s="1" t="s">
        <v>979</v>
      </c>
      <c r="J362" s="1" t="s">
        <v>3957</v>
      </c>
      <c r="K362" s="1" t="s">
        <v>4</v>
      </c>
      <c r="L362" s="1" t="s">
        <v>2824</v>
      </c>
      <c r="M362" s="1" t="s">
        <v>3958</v>
      </c>
      <c r="N362" s="1">
        <v>100</v>
      </c>
    </row>
    <row r="363" spans="1:14" x14ac:dyDescent="0.25">
      <c r="A363" s="20" t="s">
        <v>375</v>
      </c>
      <c r="B363" s="1" t="s">
        <v>3959</v>
      </c>
      <c r="C363" s="1" t="s">
        <v>3960</v>
      </c>
      <c r="D363" s="1" t="s">
        <v>3961</v>
      </c>
      <c r="E363" s="1" t="s">
        <v>3962</v>
      </c>
      <c r="F363" s="1" t="s">
        <v>3963</v>
      </c>
      <c r="G363" s="1" t="s">
        <v>958</v>
      </c>
      <c r="H363" s="1" t="s">
        <v>1137</v>
      </c>
      <c r="I363" s="1" t="s">
        <v>979</v>
      </c>
      <c r="J363" s="1" t="s">
        <v>2292</v>
      </c>
      <c r="K363" s="1" t="s">
        <v>1</v>
      </c>
      <c r="L363" s="1" t="s">
        <v>2029</v>
      </c>
      <c r="M363" s="1" t="s">
        <v>3964</v>
      </c>
      <c r="N363" s="1">
        <v>50</v>
      </c>
    </row>
    <row r="364" spans="1:14" x14ac:dyDescent="0.25">
      <c r="A364" s="20" t="s">
        <v>376</v>
      </c>
      <c r="B364" s="1" t="s">
        <v>3965</v>
      </c>
      <c r="C364" s="1" t="s">
        <v>3966</v>
      </c>
      <c r="D364" s="1" t="s">
        <v>3967</v>
      </c>
      <c r="E364" s="1" t="s">
        <v>3968</v>
      </c>
      <c r="F364" s="1" t="s">
        <v>3969</v>
      </c>
      <c r="G364" s="1" t="s">
        <v>958</v>
      </c>
      <c r="H364" s="1" t="s">
        <v>1635</v>
      </c>
      <c r="I364" s="1" t="s">
        <v>1353</v>
      </c>
      <c r="J364" s="1" t="s">
        <v>3970</v>
      </c>
      <c r="K364" s="1" t="s">
        <v>4</v>
      </c>
      <c r="L364" s="1" t="s">
        <v>924</v>
      </c>
      <c r="M364" s="1" t="s">
        <v>3971</v>
      </c>
      <c r="N364" s="1">
        <v>100</v>
      </c>
    </row>
    <row r="365" spans="1:14" x14ac:dyDescent="0.25">
      <c r="A365" s="20" t="s">
        <v>377</v>
      </c>
      <c r="B365" s="1" t="s">
        <v>3972</v>
      </c>
      <c r="C365" s="1" t="s">
        <v>3973</v>
      </c>
      <c r="D365" s="1" t="s">
        <v>3974</v>
      </c>
      <c r="E365" s="1" t="s">
        <v>3975</v>
      </c>
      <c r="F365" s="1" t="s">
        <v>3976</v>
      </c>
      <c r="G365" s="1" t="s">
        <v>958</v>
      </c>
      <c r="H365" s="1" t="s">
        <v>1018</v>
      </c>
      <c r="I365" s="1" t="s">
        <v>1116</v>
      </c>
      <c r="J365" s="1" t="s">
        <v>3977</v>
      </c>
      <c r="K365" s="1" t="s">
        <v>2</v>
      </c>
      <c r="L365" s="1" t="s">
        <v>3978</v>
      </c>
      <c r="M365" s="1" t="s">
        <v>3979</v>
      </c>
      <c r="N365" s="1">
        <v>25</v>
      </c>
    </row>
    <row r="366" spans="1:14" x14ac:dyDescent="0.25">
      <c r="A366" s="20" t="s">
        <v>378</v>
      </c>
      <c r="B366" s="1" t="s">
        <v>3980</v>
      </c>
      <c r="C366" s="1" t="s">
        <v>3981</v>
      </c>
      <c r="D366" s="1" t="s">
        <v>3982</v>
      </c>
      <c r="E366" s="1" t="s">
        <v>3983</v>
      </c>
      <c r="F366" s="1" t="s">
        <v>3984</v>
      </c>
      <c r="G366" s="1" t="s">
        <v>958</v>
      </c>
      <c r="H366" s="1" t="s">
        <v>1449</v>
      </c>
      <c r="I366" s="1" t="s">
        <v>1450</v>
      </c>
      <c r="J366" s="1" t="s">
        <v>3985</v>
      </c>
      <c r="K366" s="1" t="s">
        <v>1637</v>
      </c>
      <c r="L366" s="1" t="s">
        <v>3986</v>
      </c>
      <c r="M366" s="1" t="s">
        <v>3987</v>
      </c>
      <c r="N366" s="1">
        <v>150</v>
      </c>
    </row>
    <row r="367" spans="1:14" x14ac:dyDescent="0.25">
      <c r="A367" s="20" t="s">
        <v>379</v>
      </c>
      <c r="B367" s="1" t="s">
        <v>3988</v>
      </c>
      <c r="C367" s="1" t="s">
        <v>3044</v>
      </c>
      <c r="D367" s="1" t="s">
        <v>3989</v>
      </c>
      <c r="E367" s="1" t="s">
        <v>3990</v>
      </c>
      <c r="F367" s="1" t="s">
        <v>3991</v>
      </c>
      <c r="G367" s="1" t="s">
        <v>958</v>
      </c>
      <c r="H367" s="1" t="s">
        <v>1297</v>
      </c>
      <c r="I367" s="1" t="s">
        <v>1297</v>
      </c>
      <c r="J367" s="1" t="s">
        <v>3992</v>
      </c>
      <c r="K367" s="1" t="s">
        <v>1496</v>
      </c>
      <c r="L367" s="1" t="s">
        <v>3993</v>
      </c>
      <c r="M367" s="1" t="s">
        <v>3994</v>
      </c>
      <c r="N367" s="1">
        <v>1000</v>
      </c>
    </row>
    <row r="368" spans="1:14" x14ac:dyDescent="0.25">
      <c r="A368" s="20" t="s">
        <v>380</v>
      </c>
      <c r="B368" s="1" t="s">
        <v>3995</v>
      </c>
      <c r="C368" s="1" t="s">
        <v>3996</v>
      </c>
      <c r="D368" s="1" t="s">
        <v>3997</v>
      </c>
      <c r="E368" s="1" t="s">
        <v>3998</v>
      </c>
      <c r="F368" s="1" t="s">
        <v>3999</v>
      </c>
      <c r="G368" s="1" t="s">
        <v>958</v>
      </c>
      <c r="H368" s="1" t="s">
        <v>3395</v>
      </c>
      <c r="I368" s="1" t="s">
        <v>1165</v>
      </c>
      <c r="J368" s="1" t="s">
        <v>4000</v>
      </c>
      <c r="K368" s="1" t="s">
        <v>5</v>
      </c>
      <c r="L368" s="1" t="s">
        <v>4001</v>
      </c>
      <c r="M368" s="1" t="s">
        <v>4002</v>
      </c>
      <c r="N368" s="1">
        <v>36</v>
      </c>
    </row>
    <row r="369" spans="1:14" x14ac:dyDescent="0.25">
      <c r="A369" s="20" t="s">
        <v>381</v>
      </c>
      <c r="B369" s="1" t="s">
        <v>4003</v>
      </c>
      <c r="C369" s="1" t="s">
        <v>4004</v>
      </c>
      <c r="D369" s="1" t="s">
        <v>4005</v>
      </c>
      <c r="E369" s="1" t="s">
        <v>4006</v>
      </c>
      <c r="F369" s="1" t="s">
        <v>4007</v>
      </c>
      <c r="G369" s="1" t="s">
        <v>958</v>
      </c>
      <c r="H369" s="1" t="s">
        <v>4008</v>
      </c>
      <c r="I369" s="1" t="s">
        <v>1626</v>
      </c>
      <c r="J369" s="1" t="s">
        <v>4009</v>
      </c>
      <c r="K369" s="1" t="s">
        <v>3</v>
      </c>
      <c r="L369" s="1" t="s">
        <v>911</v>
      </c>
      <c r="M369" s="1" t="s">
        <v>4010</v>
      </c>
      <c r="N369" s="1">
        <v>50</v>
      </c>
    </row>
    <row r="370" spans="1:14" x14ac:dyDescent="0.25">
      <c r="A370" s="20" t="s">
        <v>382</v>
      </c>
      <c r="B370" s="1" t="s">
        <v>4011</v>
      </c>
      <c r="C370" s="1" t="s">
        <v>4012</v>
      </c>
      <c r="D370" s="1" t="s">
        <v>4013</v>
      </c>
      <c r="E370" s="1" t="s">
        <v>4014</v>
      </c>
      <c r="F370" s="1" t="s">
        <v>4015</v>
      </c>
      <c r="G370" s="1" t="s">
        <v>958</v>
      </c>
      <c r="H370" s="1" t="s">
        <v>4016</v>
      </c>
      <c r="I370" s="1" t="s">
        <v>979</v>
      </c>
      <c r="J370" s="1" t="s">
        <v>4017</v>
      </c>
      <c r="K370" s="1" t="s">
        <v>8</v>
      </c>
      <c r="L370" s="1" t="s">
        <v>4018</v>
      </c>
      <c r="M370" s="1" t="s">
        <v>4019</v>
      </c>
      <c r="N370" s="1">
        <v>100</v>
      </c>
    </row>
    <row r="371" spans="1:14" x14ac:dyDescent="0.25">
      <c r="A371" s="20" t="s">
        <v>383</v>
      </c>
      <c r="B371" s="1" t="s">
        <v>4020</v>
      </c>
      <c r="C371" s="1" t="s">
        <v>4021</v>
      </c>
      <c r="D371" s="1" t="s">
        <v>4022</v>
      </c>
      <c r="E371" s="1" t="s">
        <v>4023</v>
      </c>
      <c r="F371" s="1" t="s">
        <v>4024</v>
      </c>
      <c r="G371" s="1" t="s">
        <v>958</v>
      </c>
      <c r="H371" s="1" t="s">
        <v>4025</v>
      </c>
      <c r="I371" s="1" t="s">
        <v>979</v>
      </c>
      <c r="J371" s="1" t="s">
        <v>4026</v>
      </c>
      <c r="K371" s="1" t="s">
        <v>1089</v>
      </c>
      <c r="L371" s="1" t="s">
        <v>1319</v>
      </c>
      <c r="M371" s="1" t="s">
        <v>4027</v>
      </c>
      <c r="N371" s="1">
        <v>10</v>
      </c>
    </row>
    <row r="372" spans="1:14" x14ac:dyDescent="0.25">
      <c r="A372" s="20" t="s">
        <v>384</v>
      </c>
      <c r="B372" s="1" t="s">
        <v>4028</v>
      </c>
      <c r="C372" s="1" t="s">
        <v>4029</v>
      </c>
      <c r="D372" s="1" t="s">
        <v>4030</v>
      </c>
      <c r="E372" s="1" t="s">
        <v>4031</v>
      </c>
      <c r="F372" s="1" t="s">
        <v>4032</v>
      </c>
      <c r="G372" s="1" t="s">
        <v>958</v>
      </c>
      <c r="H372" s="1" t="s">
        <v>4033</v>
      </c>
      <c r="I372" s="1" t="s">
        <v>1707</v>
      </c>
      <c r="J372" s="1" t="s">
        <v>4034</v>
      </c>
      <c r="K372" s="1" t="s">
        <v>914</v>
      </c>
      <c r="L372" s="1" t="s">
        <v>4035</v>
      </c>
      <c r="M372" s="1" t="s">
        <v>4036</v>
      </c>
      <c r="N372" s="1">
        <v>25</v>
      </c>
    </row>
    <row r="373" spans="1:14" x14ac:dyDescent="0.25">
      <c r="A373" s="20" t="s">
        <v>385</v>
      </c>
      <c r="B373" s="1" t="s">
        <v>4037</v>
      </c>
      <c r="C373" s="1" t="s">
        <v>4038</v>
      </c>
      <c r="D373" s="1" t="s">
        <v>4039</v>
      </c>
      <c r="E373" s="1" t="s">
        <v>4040</v>
      </c>
      <c r="F373" s="1" t="s">
        <v>4041</v>
      </c>
      <c r="G373" s="1" t="s">
        <v>958</v>
      </c>
      <c r="H373" s="1" t="s">
        <v>1635</v>
      </c>
      <c r="I373" s="1" t="s">
        <v>1353</v>
      </c>
      <c r="J373" s="1" t="s">
        <v>4042</v>
      </c>
      <c r="K373" s="1" t="s">
        <v>971</v>
      </c>
      <c r="L373" s="1" t="s">
        <v>972</v>
      </c>
      <c r="M373" s="1" t="s">
        <v>4043</v>
      </c>
      <c r="N373" s="1">
        <v>25</v>
      </c>
    </row>
    <row r="374" spans="1:14" x14ac:dyDescent="0.25">
      <c r="A374" s="20" t="s">
        <v>386</v>
      </c>
      <c r="B374" s="1" t="s">
        <v>4044</v>
      </c>
      <c r="C374" s="1" t="s">
        <v>4045</v>
      </c>
      <c r="D374" s="1" t="s">
        <v>3194</v>
      </c>
      <c r="E374" s="1" t="s">
        <v>4046</v>
      </c>
      <c r="F374" s="1" t="s">
        <v>4047</v>
      </c>
      <c r="G374" s="1" t="s">
        <v>958</v>
      </c>
      <c r="H374" s="1" t="s">
        <v>3196</v>
      </c>
      <c r="I374" s="1" t="s">
        <v>3140</v>
      </c>
      <c r="J374" s="1" t="s">
        <v>3197</v>
      </c>
      <c r="K374" s="1" t="s">
        <v>8</v>
      </c>
      <c r="L374" s="1" t="s">
        <v>1177</v>
      </c>
      <c r="M374" s="1" t="s">
        <v>4048</v>
      </c>
      <c r="N374" s="1">
        <v>25</v>
      </c>
    </row>
    <row r="375" spans="1:14" x14ac:dyDescent="0.25">
      <c r="A375" s="20" t="s">
        <v>387</v>
      </c>
      <c r="B375" s="1" t="s">
        <v>4049</v>
      </c>
      <c r="C375" s="1" t="s">
        <v>4050</v>
      </c>
      <c r="D375" s="1" t="s">
        <v>4051</v>
      </c>
      <c r="E375" s="1" t="s">
        <v>1048</v>
      </c>
      <c r="F375" s="1" t="s">
        <v>4052</v>
      </c>
      <c r="G375" s="1" t="s">
        <v>958</v>
      </c>
      <c r="H375" s="1" t="s">
        <v>4053</v>
      </c>
      <c r="I375" s="1" t="s">
        <v>1707</v>
      </c>
      <c r="K375" s="1" t="s">
        <v>919</v>
      </c>
      <c r="L375" s="1" t="s">
        <v>4054</v>
      </c>
      <c r="M375" s="1" t="s">
        <v>4055</v>
      </c>
      <c r="N375" s="1">
        <v>100</v>
      </c>
    </row>
    <row r="376" spans="1:14" x14ac:dyDescent="0.25">
      <c r="A376" s="20" t="s">
        <v>388</v>
      </c>
      <c r="B376" s="1" t="s">
        <v>4056</v>
      </c>
      <c r="C376" s="1" t="s">
        <v>4057</v>
      </c>
      <c r="D376" s="1" t="s">
        <v>4058</v>
      </c>
      <c r="E376" s="1" t="s">
        <v>4059</v>
      </c>
      <c r="F376" s="1" t="s">
        <v>4060</v>
      </c>
      <c r="G376" s="1" t="s">
        <v>958</v>
      </c>
      <c r="H376" s="1" t="s">
        <v>979</v>
      </c>
      <c r="I376" s="1" t="s">
        <v>979</v>
      </c>
      <c r="J376" s="1" t="s">
        <v>4061</v>
      </c>
      <c r="K376" s="1" t="s">
        <v>915</v>
      </c>
      <c r="L376" s="1" t="s">
        <v>4062</v>
      </c>
      <c r="M376" s="1" t="s">
        <v>4063</v>
      </c>
      <c r="N376" s="1">
        <v>25</v>
      </c>
    </row>
    <row r="377" spans="1:14" x14ac:dyDescent="0.25">
      <c r="A377" s="20" t="s">
        <v>389</v>
      </c>
      <c r="B377" s="1" t="s">
        <v>4064</v>
      </c>
      <c r="C377" s="1" t="s">
        <v>4065</v>
      </c>
      <c r="D377" s="1" t="s">
        <v>4066</v>
      </c>
      <c r="E377" s="1" t="s">
        <v>4067</v>
      </c>
      <c r="F377" s="1" t="s">
        <v>4068</v>
      </c>
      <c r="G377" s="1" t="s">
        <v>958</v>
      </c>
      <c r="H377" s="1" t="s">
        <v>979</v>
      </c>
      <c r="I377" s="1" t="s">
        <v>979</v>
      </c>
      <c r="J377" s="1" t="s">
        <v>4069</v>
      </c>
      <c r="K377" s="1" t="s">
        <v>910</v>
      </c>
      <c r="L377" s="1" t="s">
        <v>4070</v>
      </c>
      <c r="M377" s="1" t="s">
        <v>4071</v>
      </c>
      <c r="N377" s="1">
        <v>50</v>
      </c>
    </row>
    <row r="378" spans="1:14" x14ac:dyDescent="0.25">
      <c r="A378" s="20" t="s">
        <v>390</v>
      </c>
      <c r="B378" s="1" t="s">
        <v>4072</v>
      </c>
      <c r="C378" s="1" t="s">
        <v>4073</v>
      </c>
      <c r="D378" s="1" t="s">
        <v>4074</v>
      </c>
      <c r="E378" s="1" t="s">
        <v>4075</v>
      </c>
      <c r="F378" s="1" t="s">
        <v>4076</v>
      </c>
      <c r="G378" s="1" t="s">
        <v>958</v>
      </c>
      <c r="H378" s="1" t="s">
        <v>3882</v>
      </c>
      <c r="I378" s="1" t="s">
        <v>3882</v>
      </c>
      <c r="J378" s="1" t="s">
        <v>4077</v>
      </c>
      <c r="K378" s="1" t="s">
        <v>915</v>
      </c>
      <c r="L378" s="1" t="s">
        <v>4078</v>
      </c>
      <c r="M378" s="1" t="s">
        <v>4079</v>
      </c>
      <c r="N378" s="1">
        <v>200</v>
      </c>
    </row>
    <row r="379" spans="1:14" x14ac:dyDescent="0.25">
      <c r="A379" s="20" t="s">
        <v>391</v>
      </c>
      <c r="B379" s="1" t="s">
        <v>4080</v>
      </c>
      <c r="C379" s="1" t="s">
        <v>4081</v>
      </c>
      <c r="D379" s="1" t="s">
        <v>4082</v>
      </c>
      <c r="E379" s="1" t="s">
        <v>4083</v>
      </c>
      <c r="F379" s="1" t="s">
        <v>4084</v>
      </c>
      <c r="G379" s="1" t="s">
        <v>958</v>
      </c>
      <c r="H379" s="1" t="s">
        <v>4085</v>
      </c>
      <c r="I379" s="1" t="s">
        <v>1009</v>
      </c>
      <c r="J379" s="1" t="s">
        <v>4086</v>
      </c>
      <c r="K379" s="1" t="s">
        <v>1637</v>
      </c>
      <c r="L379" s="1" t="s">
        <v>2316</v>
      </c>
      <c r="M379" s="1" t="s">
        <v>4087</v>
      </c>
      <c r="N379" s="1">
        <v>25</v>
      </c>
    </row>
    <row r="380" spans="1:14" x14ac:dyDescent="0.25">
      <c r="A380" s="20" t="s">
        <v>392</v>
      </c>
      <c r="B380" s="1" t="s">
        <v>4088</v>
      </c>
      <c r="C380" s="1" t="s">
        <v>4089</v>
      </c>
      <c r="D380" s="1" t="s">
        <v>4090</v>
      </c>
      <c r="E380" s="1" t="s">
        <v>4091</v>
      </c>
      <c r="F380" s="1" t="s">
        <v>4092</v>
      </c>
      <c r="G380" s="1" t="s">
        <v>958</v>
      </c>
      <c r="H380" s="1" t="s">
        <v>4093</v>
      </c>
      <c r="I380" s="1" t="s">
        <v>1137</v>
      </c>
      <c r="J380" s="1" t="s">
        <v>4094</v>
      </c>
      <c r="K380" s="1" t="s">
        <v>2</v>
      </c>
      <c r="L380" s="1" t="s">
        <v>4095</v>
      </c>
      <c r="M380" s="1" t="s">
        <v>4096</v>
      </c>
      <c r="N380" s="1">
        <v>25</v>
      </c>
    </row>
    <row r="381" spans="1:14" x14ac:dyDescent="0.25">
      <c r="A381" s="20" t="s">
        <v>393</v>
      </c>
      <c r="B381" s="1" t="s">
        <v>4097</v>
      </c>
      <c r="C381" s="1" t="s">
        <v>4098</v>
      </c>
      <c r="D381" s="1" t="s">
        <v>4099</v>
      </c>
      <c r="E381" s="1" t="s">
        <v>4100</v>
      </c>
      <c r="F381" s="1" t="s">
        <v>4101</v>
      </c>
      <c r="G381" s="1" t="s">
        <v>958</v>
      </c>
      <c r="H381" s="1" t="s">
        <v>3675</v>
      </c>
      <c r="I381" s="1" t="s">
        <v>4102</v>
      </c>
      <c r="J381" s="1" t="s">
        <v>4103</v>
      </c>
      <c r="K381" s="1" t="s">
        <v>910</v>
      </c>
      <c r="L381" s="1" t="s">
        <v>981</v>
      </c>
      <c r="M381" s="1" t="s">
        <v>4104</v>
      </c>
      <c r="N381" s="1">
        <v>25</v>
      </c>
    </row>
    <row r="382" spans="1:14" x14ac:dyDescent="0.25">
      <c r="A382" s="20" t="s">
        <v>394</v>
      </c>
      <c r="B382" s="1" t="s">
        <v>4105</v>
      </c>
      <c r="C382" s="1" t="s">
        <v>4106</v>
      </c>
      <c r="D382" s="1" t="s">
        <v>4107</v>
      </c>
      <c r="E382" s="1" t="s">
        <v>4108</v>
      </c>
      <c r="F382" s="1" t="s">
        <v>4109</v>
      </c>
      <c r="G382" s="1" t="s">
        <v>958</v>
      </c>
      <c r="H382" s="1" t="s">
        <v>4110</v>
      </c>
      <c r="I382" s="1" t="s">
        <v>2848</v>
      </c>
      <c r="J382" s="1" t="s">
        <v>4111</v>
      </c>
      <c r="K382" s="1" t="s">
        <v>915</v>
      </c>
      <c r="L382" s="1" t="s">
        <v>4112</v>
      </c>
      <c r="M382" s="1" t="s">
        <v>4113</v>
      </c>
      <c r="N382" s="1">
        <v>25</v>
      </c>
    </row>
    <row r="383" spans="1:14" x14ac:dyDescent="0.25">
      <c r="A383" s="20" t="s">
        <v>395</v>
      </c>
      <c r="B383" s="1" t="s">
        <v>4114</v>
      </c>
      <c r="C383" s="1" t="s">
        <v>4115</v>
      </c>
      <c r="D383" s="1" t="s">
        <v>4116</v>
      </c>
      <c r="E383" s="1" t="s">
        <v>4117</v>
      </c>
      <c r="F383" s="1" t="s">
        <v>4118</v>
      </c>
      <c r="G383" s="1" t="s">
        <v>958</v>
      </c>
      <c r="H383" s="1" t="s">
        <v>4119</v>
      </c>
      <c r="I383" s="1" t="s">
        <v>1971</v>
      </c>
      <c r="J383" s="1" t="s">
        <v>4120</v>
      </c>
      <c r="K383" s="1" t="s">
        <v>910</v>
      </c>
      <c r="L383" s="1" t="s">
        <v>981</v>
      </c>
      <c r="M383" s="1" t="s">
        <v>4121</v>
      </c>
      <c r="N383" s="1">
        <v>25</v>
      </c>
    </row>
    <row r="384" spans="1:14" x14ac:dyDescent="0.25">
      <c r="A384" s="20" t="s">
        <v>396</v>
      </c>
      <c r="B384" s="1" t="s">
        <v>4122</v>
      </c>
      <c r="C384" s="1" t="s">
        <v>995</v>
      </c>
      <c r="D384" s="1" t="s">
        <v>4123</v>
      </c>
      <c r="E384" s="1" t="s">
        <v>4124</v>
      </c>
      <c r="F384" s="1" t="s">
        <v>4125</v>
      </c>
      <c r="G384" s="1" t="s">
        <v>958</v>
      </c>
      <c r="H384" s="1" t="s">
        <v>1715</v>
      </c>
      <c r="I384" s="1" t="s">
        <v>1308</v>
      </c>
      <c r="J384" s="1" t="s">
        <v>4126</v>
      </c>
      <c r="K384" s="1" t="s">
        <v>1310</v>
      </c>
      <c r="L384" s="1" t="s">
        <v>4127</v>
      </c>
      <c r="M384" s="1" t="s">
        <v>4128</v>
      </c>
      <c r="N384" s="1">
        <v>30</v>
      </c>
    </row>
    <row r="385" spans="1:14" x14ac:dyDescent="0.25">
      <c r="A385" s="20" t="s">
        <v>397</v>
      </c>
      <c r="B385" s="1" t="s">
        <v>4129</v>
      </c>
      <c r="C385" s="1" t="s">
        <v>4130</v>
      </c>
      <c r="D385" s="1" t="s">
        <v>4131</v>
      </c>
      <c r="E385" s="1" t="s">
        <v>4132</v>
      </c>
      <c r="F385" s="1" t="s">
        <v>4133</v>
      </c>
      <c r="G385" s="1" t="s">
        <v>4134</v>
      </c>
      <c r="H385" s="1" t="s">
        <v>4135</v>
      </c>
      <c r="I385" s="1" t="s">
        <v>1298</v>
      </c>
      <c r="J385" s="1" t="s">
        <v>4136</v>
      </c>
      <c r="K385" s="1" t="s">
        <v>8</v>
      </c>
      <c r="L385" s="1" t="s">
        <v>4137</v>
      </c>
      <c r="M385" s="1" t="s">
        <v>4138</v>
      </c>
      <c r="N385" s="1">
        <v>25</v>
      </c>
    </row>
    <row r="386" spans="1:14" x14ac:dyDescent="0.25">
      <c r="A386" s="20" t="s">
        <v>398</v>
      </c>
      <c r="B386" s="1" t="s">
        <v>4139</v>
      </c>
      <c r="C386" s="1" t="s">
        <v>4140</v>
      </c>
      <c r="D386" s="1" t="s">
        <v>4141</v>
      </c>
      <c r="E386" s="1" t="s">
        <v>4142</v>
      </c>
      <c r="F386" s="1" t="s">
        <v>4143</v>
      </c>
      <c r="G386" s="1" t="s">
        <v>958</v>
      </c>
      <c r="H386" s="1" t="s">
        <v>4144</v>
      </c>
      <c r="I386" s="1" t="s">
        <v>2848</v>
      </c>
      <c r="J386" s="1" t="s">
        <v>4145</v>
      </c>
      <c r="K386" s="1" t="s">
        <v>1478</v>
      </c>
      <c r="L386" s="1" t="s">
        <v>1479</v>
      </c>
      <c r="M386" s="1" t="s">
        <v>4146</v>
      </c>
      <c r="N386" s="1">
        <v>500</v>
      </c>
    </row>
    <row r="387" spans="1:14" x14ac:dyDescent="0.25">
      <c r="A387" s="20" t="s">
        <v>399</v>
      </c>
      <c r="B387" s="1" t="s">
        <v>4147</v>
      </c>
      <c r="C387" s="1" t="s">
        <v>4148</v>
      </c>
      <c r="D387" s="1" t="s">
        <v>4149</v>
      </c>
      <c r="E387" s="1" t="s">
        <v>4150</v>
      </c>
      <c r="F387" s="1" t="s">
        <v>4151</v>
      </c>
      <c r="G387" s="1" t="s">
        <v>958</v>
      </c>
      <c r="H387" s="1" t="s">
        <v>4152</v>
      </c>
      <c r="I387" s="1" t="s">
        <v>1476</v>
      </c>
      <c r="J387" s="1" t="s">
        <v>4153</v>
      </c>
      <c r="K387" s="1" t="s">
        <v>1</v>
      </c>
      <c r="L387" s="1" t="s">
        <v>1846</v>
      </c>
      <c r="M387" s="1" t="s">
        <v>4154</v>
      </c>
      <c r="N387" s="1">
        <v>25</v>
      </c>
    </row>
    <row r="388" spans="1:14" x14ac:dyDescent="0.25">
      <c r="A388" s="20" t="s">
        <v>400</v>
      </c>
      <c r="B388" s="1" t="s">
        <v>4155</v>
      </c>
      <c r="C388" s="1" t="s">
        <v>4156</v>
      </c>
      <c r="D388" s="1" t="s">
        <v>4157</v>
      </c>
      <c r="E388" s="1" t="s">
        <v>4158</v>
      </c>
      <c r="F388" s="1" t="s">
        <v>4159</v>
      </c>
      <c r="G388" s="1" t="s">
        <v>958</v>
      </c>
      <c r="H388" s="1" t="s">
        <v>4160</v>
      </c>
      <c r="I388" s="1" t="s">
        <v>2087</v>
      </c>
      <c r="J388" s="1" t="s">
        <v>4161</v>
      </c>
      <c r="K388" s="1" t="s">
        <v>2</v>
      </c>
      <c r="L388" s="1" t="s">
        <v>4162</v>
      </c>
      <c r="M388" s="1" t="s">
        <v>4163</v>
      </c>
      <c r="N388" s="1">
        <v>40</v>
      </c>
    </row>
    <row r="389" spans="1:14" x14ac:dyDescent="0.25">
      <c r="A389" s="20" t="s">
        <v>401</v>
      </c>
      <c r="B389" s="1" t="s">
        <v>4164</v>
      </c>
      <c r="C389" s="1" t="s">
        <v>4165</v>
      </c>
      <c r="D389" s="1" t="s">
        <v>4166</v>
      </c>
      <c r="E389" s="1" t="s">
        <v>4167</v>
      </c>
      <c r="F389" s="1" t="s">
        <v>4168</v>
      </c>
      <c r="G389" s="1" t="s">
        <v>958</v>
      </c>
      <c r="H389" s="1" t="s">
        <v>4169</v>
      </c>
      <c r="I389" s="1" t="s">
        <v>1760</v>
      </c>
      <c r="J389" s="1" t="s">
        <v>4170</v>
      </c>
      <c r="K389" s="1" t="s">
        <v>2</v>
      </c>
      <c r="L389" s="1" t="s">
        <v>4171</v>
      </c>
      <c r="M389" s="1" t="s">
        <v>4172</v>
      </c>
      <c r="N389" s="1">
        <v>25</v>
      </c>
    </row>
    <row r="390" spans="1:14" x14ac:dyDescent="0.25">
      <c r="A390" s="20" t="s">
        <v>402</v>
      </c>
      <c r="B390" s="1" t="s">
        <v>4173</v>
      </c>
      <c r="C390" s="1" t="s">
        <v>4174</v>
      </c>
      <c r="D390" s="1" t="s">
        <v>4175</v>
      </c>
      <c r="E390" s="1" t="s">
        <v>4176</v>
      </c>
      <c r="F390" s="1" t="s">
        <v>4177</v>
      </c>
      <c r="G390" s="1" t="s">
        <v>958</v>
      </c>
      <c r="H390" s="1" t="s">
        <v>4178</v>
      </c>
      <c r="I390" s="1" t="s">
        <v>2848</v>
      </c>
      <c r="J390" s="1" t="s">
        <v>4179</v>
      </c>
      <c r="K390" s="1" t="s">
        <v>915</v>
      </c>
      <c r="L390" s="1" t="s">
        <v>926</v>
      </c>
      <c r="M390" s="1" t="s">
        <v>4180</v>
      </c>
      <c r="N390" s="1">
        <v>100</v>
      </c>
    </row>
    <row r="391" spans="1:14" x14ac:dyDescent="0.25">
      <c r="A391" s="20" t="s">
        <v>403</v>
      </c>
      <c r="B391" s="1" t="s">
        <v>4181</v>
      </c>
      <c r="C391" s="1" t="s">
        <v>4182</v>
      </c>
      <c r="D391" s="1" t="s">
        <v>4183</v>
      </c>
      <c r="E391" s="1" t="s">
        <v>4184</v>
      </c>
      <c r="F391" s="1" t="s">
        <v>4185</v>
      </c>
      <c r="G391" s="1" t="s">
        <v>958</v>
      </c>
      <c r="H391" s="1" t="s">
        <v>4186</v>
      </c>
      <c r="I391" s="1" t="s">
        <v>1070</v>
      </c>
      <c r="J391" s="1" t="s">
        <v>4187</v>
      </c>
      <c r="K391" s="1" t="s">
        <v>4</v>
      </c>
      <c r="L391" s="1" t="s">
        <v>4188</v>
      </c>
      <c r="M391" s="1" t="s">
        <v>4189</v>
      </c>
      <c r="N391" s="1">
        <v>30</v>
      </c>
    </row>
    <row r="392" spans="1:14" x14ac:dyDescent="0.25">
      <c r="A392" s="20" t="s">
        <v>404</v>
      </c>
      <c r="B392" s="1" t="s">
        <v>4190</v>
      </c>
      <c r="C392" s="1" t="s">
        <v>4191</v>
      </c>
      <c r="D392" s="1" t="s">
        <v>4192</v>
      </c>
      <c r="E392" s="1" t="s">
        <v>4193</v>
      </c>
      <c r="F392" s="1" t="s">
        <v>4194</v>
      </c>
      <c r="G392" s="1" t="s">
        <v>958</v>
      </c>
      <c r="H392" s="1" t="s">
        <v>4195</v>
      </c>
      <c r="I392" s="1" t="s">
        <v>4196</v>
      </c>
      <c r="J392" s="1" t="s">
        <v>4197</v>
      </c>
      <c r="K392" s="1" t="s">
        <v>910</v>
      </c>
      <c r="L392" s="1" t="s">
        <v>981</v>
      </c>
      <c r="M392" s="1" t="s">
        <v>4198</v>
      </c>
      <c r="N392" s="1">
        <v>25</v>
      </c>
    </row>
    <row r="393" spans="1:14" x14ac:dyDescent="0.25">
      <c r="A393" s="20" t="s">
        <v>405</v>
      </c>
      <c r="B393" s="1" t="s">
        <v>4199</v>
      </c>
      <c r="C393" s="1" t="s">
        <v>4200</v>
      </c>
      <c r="D393" s="1" t="s">
        <v>4201</v>
      </c>
      <c r="E393" s="1" t="s">
        <v>4202</v>
      </c>
      <c r="F393" s="1" t="s">
        <v>4203</v>
      </c>
      <c r="G393" s="1" t="s">
        <v>958</v>
      </c>
      <c r="H393" s="1" t="s">
        <v>4204</v>
      </c>
      <c r="I393" s="1" t="s">
        <v>1116</v>
      </c>
      <c r="J393" s="1" t="s">
        <v>4205</v>
      </c>
      <c r="K393" s="1" t="s">
        <v>8</v>
      </c>
      <c r="L393" s="1" t="s">
        <v>2905</v>
      </c>
      <c r="M393" s="1" t="s">
        <v>4206</v>
      </c>
      <c r="N393" s="1">
        <v>300</v>
      </c>
    </row>
    <row r="394" spans="1:14" x14ac:dyDescent="0.25">
      <c r="A394" s="20" t="s">
        <v>406</v>
      </c>
      <c r="B394" s="1" t="s">
        <v>4207</v>
      </c>
      <c r="C394" s="1" t="s">
        <v>2942</v>
      </c>
      <c r="D394" s="1" t="s">
        <v>4208</v>
      </c>
      <c r="E394" s="1" t="s">
        <v>4209</v>
      </c>
      <c r="F394" s="1" t="s">
        <v>4210</v>
      </c>
      <c r="G394" s="1" t="s">
        <v>958</v>
      </c>
      <c r="H394" s="1" t="s">
        <v>979</v>
      </c>
      <c r="I394" s="1" t="s">
        <v>979</v>
      </c>
      <c r="J394" s="1" t="s">
        <v>4211</v>
      </c>
      <c r="K394" s="1" t="s">
        <v>910</v>
      </c>
      <c r="L394" s="1" t="s">
        <v>981</v>
      </c>
      <c r="M394" s="1" t="s">
        <v>4212</v>
      </c>
      <c r="N394" s="1">
        <v>25</v>
      </c>
    </row>
    <row r="395" spans="1:14" x14ac:dyDescent="0.25">
      <c r="A395" s="20" t="s">
        <v>407</v>
      </c>
      <c r="B395" s="1" t="s">
        <v>4213</v>
      </c>
      <c r="C395" s="1" t="s">
        <v>4214</v>
      </c>
      <c r="D395" s="1" t="s">
        <v>4215</v>
      </c>
      <c r="E395" s="1" t="s">
        <v>4216</v>
      </c>
      <c r="F395" s="1" t="s">
        <v>4217</v>
      </c>
      <c r="G395" s="1" t="s">
        <v>958</v>
      </c>
      <c r="H395" s="1" t="s">
        <v>4218</v>
      </c>
      <c r="I395" s="1" t="s">
        <v>1009</v>
      </c>
      <c r="J395" s="1" t="s">
        <v>4219</v>
      </c>
      <c r="K395" s="1" t="s">
        <v>910</v>
      </c>
      <c r="L395" s="1" t="s">
        <v>4220</v>
      </c>
      <c r="M395" s="1" t="s">
        <v>4221</v>
      </c>
      <c r="N395" s="1">
        <v>25</v>
      </c>
    </row>
    <row r="396" spans="1:14" x14ac:dyDescent="0.25">
      <c r="A396" s="20" t="s">
        <v>408</v>
      </c>
      <c r="B396" s="1" t="s">
        <v>4222</v>
      </c>
      <c r="C396" s="1" t="s">
        <v>4223</v>
      </c>
      <c r="D396" s="1" t="s">
        <v>4224</v>
      </c>
      <c r="E396" s="1" t="s">
        <v>4225</v>
      </c>
      <c r="F396" s="1" t="s">
        <v>4226</v>
      </c>
      <c r="G396" s="1" t="s">
        <v>958</v>
      </c>
      <c r="H396" s="1" t="s">
        <v>4227</v>
      </c>
      <c r="I396" s="1" t="s">
        <v>979</v>
      </c>
      <c r="J396" s="1" t="s">
        <v>4228</v>
      </c>
      <c r="K396" s="1" t="s">
        <v>915</v>
      </c>
      <c r="L396" s="1" t="s">
        <v>4229</v>
      </c>
      <c r="M396" s="1" t="s">
        <v>4230</v>
      </c>
      <c r="N396" s="1">
        <v>25</v>
      </c>
    </row>
    <row r="397" spans="1:14" x14ac:dyDescent="0.25">
      <c r="A397" s="20" t="s">
        <v>409</v>
      </c>
      <c r="B397" s="1" t="s">
        <v>4231</v>
      </c>
      <c r="C397" s="1" t="s">
        <v>4232</v>
      </c>
      <c r="D397" s="1" t="s">
        <v>4233</v>
      </c>
      <c r="E397" s="1" t="s">
        <v>4234</v>
      </c>
      <c r="F397" s="1" t="s">
        <v>4235</v>
      </c>
      <c r="G397" s="1" t="s">
        <v>958</v>
      </c>
      <c r="H397" s="1" t="s">
        <v>2122</v>
      </c>
      <c r="I397" s="1" t="s">
        <v>1070</v>
      </c>
      <c r="J397" s="1" t="s">
        <v>4236</v>
      </c>
      <c r="K397" s="1" t="s">
        <v>910</v>
      </c>
      <c r="L397" s="1" t="s">
        <v>4237</v>
      </c>
      <c r="M397" s="1" t="s">
        <v>4238</v>
      </c>
      <c r="N397" s="1">
        <v>25</v>
      </c>
    </row>
    <row r="398" spans="1:14" x14ac:dyDescent="0.25">
      <c r="A398" s="20" t="s">
        <v>410</v>
      </c>
      <c r="B398" s="1" t="s">
        <v>4239</v>
      </c>
      <c r="C398" s="1" t="s">
        <v>4240</v>
      </c>
      <c r="D398" s="1" t="s">
        <v>4241</v>
      </c>
      <c r="E398" s="1" t="s">
        <v>4242</v>
      </c>
      <c r="F398" s="1" t="s">
        <v>4243</v>
      </c>
      <c r="G398" s="1" t="s">
        <v>958</v>
      </c>
      <c r="H398" s="1" t="s">
        <v>1270</v>
      </c>
      <c r="I398" s="1" t="s">
        <v>1165</v>
      </c>
      <c r="J398" s="1" t="s">
        <v>4244</v>
      </c>
      <c r="K398" s="1" t="s">
        <v>915</v>
      </c>
      <c r="L398" s="1" t="s">
        <v>4245</v>
      </c>
      <c r="M398" s="1" t="s">
        <v>4246</v>
      </c>
      <c r="N398" s="1">
        <v>25</v>
      </c>
    </row>
    <row r="399" spans="1:14" x14ac:dyDescent="0.25">
      <c r="A399" s="20" t="s">
        <v>411</v>
      </c>
      <c r="B399" s="1" t="s">
        <v>4247</v>
      </c>
      <c r="C399" s="1" t="s">
        <v>4248</v>
      </c>
      <c r="D399" s="1" t="s">
        <v>4249</v>
      </c>
      <c r="E399" s="1" t="s">
        <v>4250</v>
      </c>
      <c r="F399" s="1" t="s">
        <v>4251</v>
      </c>
      <c r="G399" s="1" t="s">
        <v>958</v>
      </c>
      <c r="H399" s="1" t="s">
        <v>4252</v>
      </c>
      <c r="I399" s="1" t="s">
        <v>1127</v>
      </c>
      <c r="J399" s="1" t="s">
        <v>4253</v>
      </c>
      <c r="L399" s="1" t="s">
        <v>958</v>
      </c>
      <c r="M399" s="1" t="s">
        <v>958</v>
      </c>
      <c r="N399" s="1">
        <v>25</v>
      </c>
    </row>
    <row r="400" spans="1:14" x14ac:dyDescent="0.25">
      <c r="A400" s="20" t="s">
        <v>412</v>
      </c>
      <c r="B400" s="1" t="s">
        <v>4254</v>
      </c>
      <c r="C400" s="1" t="s">
        <v>4255</v>
      </c>
      <c r="D400" s="1" t="s">
        <v>4256</v>
      </c>
      <c r="E400" s="1" t="s">
        <v>4257</v>
      </c>
      <c r="F400" s="1" t="s">
        <v>4258</v>
      </c>
      <c r="G400" s="1" t="s">
        <v>958</v>
      </c>
      <c r="H400" s="1" t="s">
        <v>4259</v>
      </c>
      <c r="I400" s="1" t="s">
        <v>1725</v>
      </c>
      <c r="J400" s="1" t="s">
        <v>4260</v>
      </c>
      <c r="K400" s="1" t="s">
        <v>4</v>
      </c>
      <c r="L400" s="1" t="s">
        <v>4261</v>
      </c>
      <c r="M400" s="1" t="s">
        <v>4262</v>
      </c>
      <c r="N400" s="1">
        <v>25</v>
      </c>
    </row>
    <row r="401" spans="1:14" x14ac:dyDescent="0.25">
      <c r="A401" s="20" t="s">
        <v>413</v>
      </c>
      <c r="B401" s="1" t="s">
        <v>4263</v>
      </c>
      <c r="C401" s="1" t="s">
        <v>4264</v>
      </c>
      <c r="D401" s="1" t="s">
        <v>4265</v>
      </c>
      <c r="E401" s="1" t="s">
        <v>4266</v>
      </c>
      <c r="F401" s="1" t="s">
        <v>4267</v>
      </c>
      <c r="G401" s="1" t="s">
        <v>958</v>
      </c>
      <c r="H401" s="1" t="s">
        <v>4268</v>
      </c>
      <c r="I401" s="1" t="s">
        <v>1353</v>
      </c>
      <c r="J401" s="1" t="s">
        <v>4269</v>
      </c>
      <c r="K401" s="1" t="s">
        <v>1548</v>
      </c>
      <c r="L401" s="1" t="s">
        <v>1549</v>
      </c>
      <c r="M401" s="1" t="s">
        <v>4270</v>
      </c>
      <c r="N401" s="1">
        <v>50</v>
      </c>
    </row>
    <row r="402" spans="1:14" x14ac:dyDescent="0.25">
      <c r="A402" s="20" t="s">
        <v>1</v>
      </c>
      <c r="B402" s="1" t="s">
        <v>4271</v>
      </c>
      <c r="C402" s="1" t="s">
        <v>4272</v>
      </c>
      <c r="D402" s="1" t="s">
        <v>4273</v>
      </c>
      <c r="E402" s="1" t="s">
        <v>4274</v>
      </c>
      <c r="F402" s="1" t="s">
        <v>4275</v>
      </c>
      <c r="G402" s="1" t="s">
        <v>958</v>
      </c>
      <c r="H402" s="1" t="s">
        <v>979</v>
      </c>
      <c r="I402" s="1" t="s">
        <v>979</v>
      </c>
      <c r="J402" s="1" t="s">
        <v>4276</v>
      </c>
      <c r="K402" s="1" t="s">
        <v>915</v>
      </c>
      <c r="L402" s="1" t="s">
        <v>4229</v>
      </c>
      <c r="M402" s="1" t="s">
        <v>4277</v>
      </c>
      <c r="N402" s="1">
        <v>50</v>
      </c>
    </row>
    <row r="403" spans="1:14" x14ac:dyDescent="0.25">
      <c r="A403" s="20" t="s">
        <v>414</v>
      </c>
      <c r="B403" s="1" t="s">
        <v>4278</v>
      </c>
      <c r="C403" s="1" t="s">
        <v>4279</v>
      </c>
      <c r="D403" s="1" t="s">
        <v>4280</v>
      </c>
      <c r="E403" s="1" t="s">
        <v>4281</v>
      </c>
      <c r="F403" s="1" t="s">
        <v>4282</v>
      </c>
      <c r="G403" s="1" t="s">
        <v>958</v>
      </c>
      <c r="H403" s="1" t="s">
        <v>4283</v>
      </c>
      <c r="I403" s="1" t="s">
        <v>1127</v>
      </c>
      <c r="J403" s="1" t="s">
        <v>4284</v>
      </c>
      <c r="K403" s="1" t="s">
        <v>1218</v>
      </c>
      <c r="L403" s="1" t="s">
        <v>4285</v>
      </c>
      <c r="M403" s="1" t="s">
        <v>4286</v>
      </c>
      <c r="N403" s="1">
        <v>25</v>
      </c>
    </row>
    <row r="404" spans="1:14" x14ac:dyDescent="0.25">
      <c r="A404" s="20" t="s">
        <v>415</v>
      </c>
      <c r="B404" s="1" t="s">
        <v>4287</v>
      </c>
      <c r="C404" s="1" t="s">
        <v>4288</v>
      </c>
      <c r="D404" s="1" t="s">
        <v>4289</v>
      </c>
      <c r="E404" s="1" t="s">
        <v>4290</v>
      </c>
      <c r="F404" s="1" t="s">
        <v>4291</v>
      </c>
      <c r="G404" s="1" t="s">
        <v>958</v>
      </c>
      <c r="H404" s="1" t="s">
        <v>1778</v>
      </c>
      <c r="I404" s="1" t="s">
        <v>4292</v>
      </c>
      <c r="J404" s="1" t="s">
        <v>4293</v>
      </c>
      <c r="K404" s="1" t="s">
        <v>1468</v>
      </c>
      <c r="L404" s="1" t="s">
        <v>3604</v>
      </c>
      <c r="M404" s="1" t="s">
        <v>4294</v>
      </c>
      <c r="N404" s="1">
        <v>25</v>
      </c>
    </row>
    <row r="405" spans="1:14" x14ac:dyDescent="0.25">
      <c r="A405" s="20" t="s">
        <v>416</v>
      </c>
      <c r="B405" s="1" t="s">
        <v>4295</v>
      </c>
      <c r="C405" s="1" t="s">
        <v>4296</v>
      </c>
      <c r="D405" s="1" t="s">
        <v>4297</v>
      </c>
      <c r="E405" s="1" t="s">
        <v>4298</v>
      </c>
      <c r="F405" s="1" t="s">
        <v>4299</v>
      </c>
      <c r="G405" s="1" t="s">
        <v>958</v>
      </c>
      <c r="H405" s="1" t="s">
        <v>4300</v>
      </c>
      <c r="I405" s="1" t="s">
        <v>979</v>
      </c>
      <c r="J405" s="1" t="s">
        <v>4301</v>
      </c>
      <c r="K405" s="1" t="s">
        <v>3</v>
      </c>
      <c r="L405" s="1" t="s">
        <v>1407</v>
      </c>
      <c r="M405" s="1" t="s">
        <v>4302</v>
      </c>
      <c r="N405" s="1">
        <v>250</v>
      </c>
    </row>
    <row r="406" spans="1:14" x14ac:dyDescent="0.25">
      <c r="A406" s="20" t="s">
        <v>417</v>
      </c>
      <c r="B406" s="1" t="s">
        <v>4303</v>
      </c>
      <c r="C406" s="1" t="s">
        <v>4304</v>
      </c>
      <c r="D406" s="1" t="s">
        <v>1612</v>
      </c>
      <c r="E406" s="1" t="s">
        <v>4305</v>
      </c>
      <c r="F406" s="1" t="s">
        <v>4306</v>
      </c>
      <c r="G406" s="1" t="s">
        <v>958</v>
      </c>
      <c r="H406" s="1" t="s">
        <v>1362</v>
      </c>
      <c r="I406" s="1" t="s">
        <v>1363</v>
      </c>
      <c r="J406" s="1" t="s">
        <v>4307</v>
      </c>
      <c r="K406" s="1" t="s">
        <v>910</v>
      </c>
      <c r="L406" s="1" t="s">
        <v>981</v>
      </c>
      <c r="M406" s="1" t="s">
        <v>4308</v>
      </c>
      <c r="N406" s="1">
        <v>129</v>
      </c>
    </row>
    <row r="407" spans="1:14" x14ac:dyDescent="0.25">
      <c r="A407" s="20" t="s">
        <v>418</v>
      </c>
      <c r="B407" s="1" t="s">
        <v>4309</v>
      </c>
      <c r="C407" s="1" t="s">
        <v>4310</v>
      </c>
      <c r="D407" s="1" t="s">
        <v>4311</v>
      </c>
      <c r="E407" s="1" t="s">
        <v>4312</v>
      </c>
      <c r="F407" s="1" t="s">
        <v>4313</v>
      </c>
      <c r="G407" s="1" t="s">
        <v>958</v>
      </c>
      <c r="H407" s="1" t="s">
        <v>1018</v>
      </c>
      <c r="I407" s="1" t="s">
        <v>1116</v>
      </c>
      <c r="J407" s="1" t="s">
        <v>4314</v>
      </c>
      <c r="K407" s="1" t="s">
        <v>914</v>
      </c>
      <c r="L407" s="1" t="s">
        <v>4315</v>
      </c>
      <c r="M407" s="1" t="s">
        <v>4316</v>
      </c>
      <c r="N407" s="1">
        <v>25</v>
      </c>
    </row>
    <row r="408" spans="1:14" x14ac:dyDescent="0.25">
      <c r="A408" s="20" t="s">
        <v>419</v>
      </c>
      <c r="B408" s="1" t="s">
        <v>4317</v>
      </c>
      <c r="C408" s="1" t="s">
        <v>4318</v>
      </c>
      <c r="D408" s="1" t="s">
        <v>4319</v>
      </c>
      <c r="E408" s="1" t="s">
        <v>4320</v>
      </c>
      <c r="F408" s="1" t="s">
        <v>4321</v>
      </c>
      <c r="G408" s="1" t="s">
        <v>958</v>
      </c>
      <c r="H408" s="1" t="s">
        <v>4322</v>
      </c>
      <c r="I408" s="1" t="s">
        <v>979</v>
      </c>
      <c r="J408" s="1" t="s">
        <v>4323</v>
      </c>
      <c r="K408" s="1" t="s">
        <v>910</v>
      </c>
      <c r="L408" s="1" t="s">
        <v>1194</v>
      </c>
      <c r="M408" s="1" t="s">
        <v>4324</v>
      </c>
      <c r="N408" s="1">
        <v>310</v>
      </c>
    </row>
    <row r="409" spans="1:14" x14ac:dyDescent="0.25">
      <c r="A409" s="20" t="s">
        <v>420</v>
      </c>
      <c r="B409" s="1" t="s">
        <v>4325</v>
      </c>
      <c r="C409" s="1" t="s">
        <v>4326</v>
      </c>
      <c r="D409" s="1" t="s">
        <v>4327</v>
      </c>
      <c r="E409" s="1" t="s">
        <v>4328</v>
      </c>
      <c r="F409" s="1" t="s">
        <v>4329</v>
      </c>
      <c r="G409" s="1" t="s">
        <v>958</v>
      </c>
      <c r="H409" s="1" t="s">
        <v>4330</v>
      </c>
      <c r="I409" s="1" t="s">
        <v>1070</v>
      </c>
      <c r="J409" s="1" t="s">
        <v>4331</v>
      </c>
      <c r="K409" s="1" t="s">
        <v>919</v>
      </c>
      <c r="L409" s="1" t="s">
        <v>4332</v>
      </c>
      <c r="M409" s="1" t="s">
        <v>4333</v>
      </c>
      <c r="N409" s="1">
        <v>25</v>
      </c>
    </row>
    <row r="410" spans="1:14" x14ac:dyDescent="0.25">
      <c r="A410" s="20" t="s">
        <v>421</v>
      </c>
      <c r="B410" s="1" t="s">
        <v>4334</v>
      </c>
      <c r="C410" s="1" t="s">
        <v>4335</v>
      </c>
      <c r="D410" s="1" t="s">
        <v>4336</v>
      </c>
      <c r="E410" s="1" t="s">
        <v>4337</v>
      </c>
      <c r="F410" s="1" t="s">
        <v>4338</v>
      </c>
      <c r="G410" s="1" t="s">
        <v>958</v>
      </c>
      <c r="H410" s="1" t="s">
        <v>4339</v>
      </c>
      <c r="I410" s="1" t="s">
        <v>2971</v>
      </c>
      <c r="J410" s="1" t="s">
        <v>4340</v>
      </c>
      <c r="K410" s="1" t="s">
        <v>910</v>
      </c>
      <c r="L410" s="1" t="s">
        <v>981</v>
      </c>
      <c r="M410" s="1" t="s">
        <v>4341</v>
      </c>
      <c r="N410" s="1">
        <v>40</v>
      </c>
    </row>
    <row r="411" spans="1:14" x14ac:dyDescent="0.25">
      <c r="A411" s="20" t="s">
        <v>422</v>
      </c>
      <c r="B411" s="1" t="s">
        <v>4342</v>
      </c>
      <c r="C411" s="1" t="s">
        <v>4343</v>
      </c>
      <c r="D411" s="1" t="s">
        <v>4344</v>
      </c>
      <c r="E411" s="1" t="s">
        <v>4345</v>
      </c>
      <c r="F411" s="1" t="s">
        <v>4346</v>
      </c>
      <c r="G411" s="1" t="s">
        <v>958</v>
      </c>
      <c r="H411" s="1" t="s">
        <v>4347</v>
      </c>
      <c r="I411" s="1" t="s">
        <v>979</v>
      </c>
      <c r="J411" s="1" t="s">
        <v>4348</v>
      </c>
      <c r="K411" s="1" t="s">
        <v>910</v>
      </c>
      <c r="L411" s="1" t="s">
        <v>4349</v>
      </c>
      <c r="M411" s="1" t="s">
        <v>4350</v>
      </c>
      <c r="N411" s="1">
        <v>75</v>
      </c>
    </row>
    <row r="412" spans="1:14" x14ac:dyDescent="0.25">
      <c r="A412" s="20" t="s">
        <v>423</v>
      </c>
      <c r="B412" s="1" t="s">
        <v>4351</v>
      </c>
      <c r="C412" s="1" t="s">
        <v>4352</v>
      </c>
      <c r="D412" s="1" t="s">
        <v>4353</v>
      </c>
      <c r="E412" s="1" t="s">
        <v>4354</v>
      </c>
      <c r="F412" s="1" t="s">
        <v>4355</v>
      </c>
      <c r="G412" s="1" t="s">
        <v>958</v>
      </c>
      <c r="H412" s="1" t="s">
        <v>1018</v>
      </c>
      <c r="I412" s="1" t="s">
        <v>1116</v>
      </c>
      <c r="J412" s="1" t="s">
        <v>4356</v>
      </c>
      <c r="K412" s="1" t="s">
        <v>919</v>
      </c>
      <c r="L412" s="1" t="s">
        <v>1011</v>
      </c>
      <c r="M412" s="1" t="s">
        <v>4357</v>
      </c>
      <c r="N412" s="1">
        <v>200</v>
      </c>
    </row>
    <row r="413" spans="1:14" x14ac:dyDescent="0.25">
      <c r="A413" s="20" t="s">
        <v>424</v>
      </c>
      <c r="B413" s="1" t="s">
        <v>4358</v>
      </c>
      <c r="C413" s="1" t="s">
        <v>4359</v>
      </c>
      <c r="D413" s="1" t="s">
        <v>4360</v>
      </c>
      <c r="E413" s="1" t="s">
        <v>4361</v>
      </c>
      <c r="F413" s="1" t="s">
        <v>4362</v>
      </c>
      <c r="G413" s="1" t="s">
        <v>958</v>
      </c>
      <c r="H413" s="1" t="s">
        <v>4363</v>
      </c>
      <c r="I413" s="1" t="s">
        <v>979</v>
      </c>
      <c r="J413" s="1" t="s">
        <v>4364</v>
      </c>
      <c r="K413" s="1" t="s">
        <v>5</v>
      </c>
      <c r="L413" s="1" t="s">
        <v>1997</v>
      </c>
      <c r="M413" s="1" t="s">
        <v>4365</v>
      </c>
      <c r="N413" s="1">
        <v>300</v>
      </c>
    </row>
    <row r="414" spans="1:14" x14ac:dyDescent="0.25">
      <c r="A414" s="20" t="s">
        <v>425</v>
      </c>
      <c r="B414" s="1" t="s">
        <v>4366</v>
      </c>
      <c r="C414" s="1" t="s">
        <v>4367</v>
      </c>
      <c r="D414" s="1" t="s">
        <v>4368</v>
      </c>
      <c r="E414" s="1" t="s">
        <v>4369</v>
      </c>
      <c r="F414" s="1" t="s">
        <v>4370</v>
      </c>
      <c r="G414" s="1" t="s">
        <v>958</v>
      </c>
      <c r="H414" s="1" t="s">
        <v>4371</v>
      </c>
      <c r="I414" s="1" t="s">
        <v>979</v>
      </c>
      <c r="J414" s="1" t="s">
        <v>4372</v>
      </c>
      <c r="K414" s="1" t="s">
        <v>1496</v>
      </c>
      <c r="L414" s="1" t="s">
        <v>4373</v>
      </c>
      <c r="M414" s="1" t="s">
        <v>4374</v>
      </c>
      <c r="N414" s="1">
        <v>25</v>
      </c>
    </row>
    <row r="415" spans="1:14" x14ac:dyDescent="0.25">
      <c r="A415" s="20" t="s">
        <v>426</v>
      </c>
      <c r="B415" s="1" t="s">
        <v>4375</v>
      </c>
      <c r="C415" s="1" t="s">
        <v>4376</v>
      </c>
      <c r="D415" s="1" t="s">
        <v>4377</v>
      </c>
      <c r="E415" s="1" t="s">
        <v>4378</v>
      </c>
      <c r="F415" s="1" t="s">
        <v>4379</v>
      </c>
      <c r="G415" s="1" t="s">
        <v>958</v>
      </c>
      <c r="H415" s="1" t="s">
        <v>1879</v>
      </c>
      <c r="I415" s="1" t="s">
        <v>1760</v>
      </c>
      <c r="J415" s="1" t="s">
        <v>4380</v>
      </c>
      <c r="L415" s="1" t="s">
        <v>958</v>
      </c>
      <c r="M415" s="1" t="s">
        <v>958</v>
      </c>
      <c r="N415" s="1">
        <v>25</v>
      </c>
    </row>
    <row r="416" spans="1:14" x14ac:dyDescent="0.25">
      <c r="A416" s="20" t="s">
        <v>427</v>
      </c>
      <c r="B416" s="1" t="s">
        <v>4381</v>
      </c>
      <c r="C416" s="1" t="s">
        <v>4382</v>
      </c>
      <c r="D416" s="1" t="s">
        <v>4383</v>
      </c>
      <c r="E416" s="1" t="s">
        <v>4384</v>
      </c>
      <c r="F416" s="1" t="s">
        <v>4385</v>
      </c>
      <c r="G416" s="1" t="s">
        <v>958</v>
      </c>
      <c r="H416" s="1" t="s">
        <v>979</v>
      </c>
      <c r="I416" s="1" t="s">
        <v>979</v>
      </c>
      <c r="J416" s="1" t="s">
        <v>4386</v>
      </c>
      <c r="K416" s="1" t="s">
        <v>8</v>
      </c>
      <c r="L416" s="1" t="s">
        <v>4387</v>
      </c>
      <c r="M416" s="1" t="s">
        <v>4388</v>
      </c>
      <c r="N416" s="1">
        <v>25</v>
      </c>
    </row>
    <row r="417" spans="1:14" x14ac:dyDescent="0.25">
      <c r="A417" s="20" t="s">
        <v>428</v>
      </c>
      <c r="B417" s="1" t="s">
        <v>4389</v>
      </c>
      <c r="C417" s="1" t="s">
        <v>4390</v>
      </c>
      <c r="D417" s="1" t="s">
        <v>4391</v>
      </c>
      <c r="E417" s="1" t="s">
        <v>4392</v>
      </c>
      <c r="F417" s="1" t="s">
        <v>4393</v>
      </c>
      <c r="G417" s="1" t="s">
        <v>958</v>
      </c>
      <c r="H417" s="1" t="s">
        <v>4394</v>
      </c>
      <c r="I417" s="1" t="s">
        <v>1116</v>
      </c>
      <c r="J417" s="1" t="s">
        <v>4395</v>
      </c>
      <c r="K417" s="1" t="s">
        <v>8</v>
      </c>
      <c r="L417" s="1" t="s">
        <v>4396</v>
      </c>
      <c r="M417" s="1" t="s">
        <v>4397</v>
      </c>
      <c r="N417" s="1">
        <v>25</v>
      </c>
    </row>
    <row r="418" spans="1:14" x14ac:dyDescent="0.25">
      <c r="A418" s="20" t="s">
        <v>429</v>
      </c>
      <c r="B418" s="1" t="s">
        <v>4398</v>
      </c>
      <c r="C418" s="1" t="s">
        <v>4399</v>
      </c>
      <c r="D418" s="1" t="s">
        <v>4400</v>
      </c>
      <c r="E418" s="1" t="s">
        <v>4401</v>
      </c>
      <c r="F418" s="1" t="s">
        <v>4402</v>
      </c>
      <c r="G418" s="1" t="s">
        <v>958</v>
      </c>
      <c r="H418" s="1" t="s">
        <v>1137</v>
      </c>
      <c r="I418" s="1" t="s">
        <v>979</v>
      </c>
      <c r="J418" s="1" t="s">
        <v>4403</v>
      </c>
      <c r="K418" s="1" t="s">
        <v>1218</v>
      </c>
      <c r="L418" s="1" t="s">
        <v>2396</v>
      </c>
      <c r="M418" s="1" t="s">
        <v>4404</v>
      </c>
      <c r="N418" s="1">
        <v>300</v>
      </c>
    </row>
    <row r="419" spans="1:14" x14ac:dyDescent="0.25">
      <c r="A419" s="20" t="s">
        <v>430</v>
      </c>
      <c r="B419" s="1" t="s">
        <v>4405</v>
      </c>
      <c r="C419" s="1" t="s">
        <v>4406</v>
      </c>
      <c r="D419" s="1" t="s">
        <v>4407</v>
      </c>
      <c r="E419" s="1" t="s">
        <v>4408</v>
      </c>
      <c r="F419" s="1" t="s">
        <v>4409</v>
      </c>
      <c r="G419" s="1" t="s">
        <v>958</v>
      </c>
      <c r="H419" s="1" t="s">
        <v>2990</v>
      </c>
      <c r="I419" s="1" t="s">
        <v>1060</v>
      </c>
      <c r="J419" s="1" t="s">
        <v>4410</v>
      </c>
      <c r="K419" s="1" t="s">
        <v>1496</v>
      </c>
      <c r="L419" s="1" t="s">
        <v>4411</v>
      </c>
      <c r="M419" s="1" t="s">
        <v>4412</v>
      </c>
      <c r="N419" s="1">
        <v>27</v>
      </c>
    </row>
    <row r="420" spans="1:14" x14ac:dyDescent="0.25">
      <c r="A420" s="20" t="s">
        <v>431</v>
      </c>
      <c r="B420" s="1" t="s">
        <v>4413</v>
      </c>
      <c r="C420" s="1" t="s">
        <v>4414</v>
      </c>
      <c r="D420" s="1" t="s">
        <v>4415</v>
      </c>
      <c r="E420" s="1" t="s">
        <v>4416</v>
      </c>
      <c r="F420" s="1" t="s">
        <v>4417</v>
      </c>
      <c r="G420" s="1" t="s">
        <v>958</v>
      </c>
      <c r="H420" s="1" t="s">
        <v>4418</v>
      </c>
      <c r="I420" s="1" t="s">
        <v>1363</v>
      </c>
      <c r="J420" s="1" t="s">
        <v>4419</v>
      </c>
      <c r="K420" s="1" t="s">
        <v>915</v>
      </c>
      <c r="L420" s="1" t="s">
        <v>4420</v>
      </c>
      <c r="M420" s="1" t="s">
        <v>4421</v>
      </c>
      <c r="N420" s="1">
        <v>30</v>
      </c>
    </row>
    <row r="421" spans="1:14" x14ac:dyDescent="0.25">
      <c r="A421" s="20" t="s">
        <v>432</v>
      </c>
      <c r="B421" s="1" t="s">
        <v>4422</v>
      </c>
      <c r="C421" s="1" t="s">
        <v>2112</v>
      </c>
      <c r="D421" s="1" t="s">
        <v>4423</v>
      </c>
      <c r="E421" s="1" t="s">
        <v>4424</v>
      </c>
      <c r="F421" s="1" t="s">
        <v>4425</v>
      </c>
      <c r="G421" s="1" t="s">
        <v>958</v>
      </c>
      <c r="H421" s="1" t="s">
        <v>4426</v>
      </c>
      <c r="I421" s="1" t="s">
        <v>979</v>
      </c>
      <c r="J421" s="1" t="s">
        <v>2115</v>
      </c>
      <c r="K421" s="1" t="s">
        <v>1</v>
      </c>
      <c r="L421" s="1" t="s">
        <v>2116</v>
      </c>
      <c r="M421" s="1" t="s">
        <v>4427</v>
      </c>
      <c r="N421" s="1">
        <v>25</v>
      </c>
    </row>
    <row r="422" spans="1:14" x14ac:dyDescent="0.25">
      <c r="A422" s="20" t="s">
        <v>433</v>
      </c>
      <c r="B422" s="1" t="s">
        <v>4428</v>
      </c>
      <c r="C422" s="1" t="s">
        <v>4429</v>
      </c>
      <c r="D422" s="1" t="s">
        <v>4430</v>
      </c>
      <c r="E422" s="1" t="s">
        <v>4431</v>
      </c>
      <c r="F422" s="1" t="s">
        <v>4432</v>
      </c>
      <c r="G422" s="1" t="s">
        <v>958</v>
      </c>
      <c r="H422" s="1" t="s">
        <v>4433</v>
      </c>
      <c r="I422" s="1" t="s">
        <v>1137</v>
      </c>
      <c r="J422" s="1" t="s">
        <v>4434</v>
      </c>
      <c r="K422" s="1" t="s">
        <v>1</v>
      </c>
      <c r="L422" s="1" t="s">
        <v>1806</v>
      </c>
      <c r="M422" s="1" t="s">
        <v>4435</v>
      </c>
      <c r="N422" s="1">
        <v>25</v>
      </c>
    </row>
    <row r="423" spans="1:14" x14ac:dyDescent="0.25">
      <c r="A423" s="20" t="s">
        <v>434</v>
      </c>
      <c r="B423" s="1" t="s">
        <v>4436</v>
      </c>
      <c r="C423" s="1" t="s">
        <v>4437</v>
      </c>
      <c r="D423" s="1" t="s">
        <v>4438</v>
      </c>
      <c r="E423" s="1" t="s">
        <v>4439</v>
      </c>
      <c r="F423" s="1" t="s">
        <v>4440</v>
      </c>
      <c r="G423" s="1" t="s">
        <v>958</v>
      </c>
      <c r="H423" s="1" t="s">
        <v>2634</v>
      </c>
      <c r="I423" s="1" t="s">
        <v>2634</v>
      </c>
      <c r="J423" s="1" t="s">
        <v>4441</v>
      </c>
      <c r="K423" s="1" t="s">
        <v>1478</v>
      </c>
      <c r="L423" s="1" t="s">
        <v>1479</v>
      </c>
      <c r="M423" s="1" t="s">
        <v>4442</v>
      </c>
      <c r="N423" s="1">
        <v>50</v>
      </c>
    </row>
    <row r="424" spans="1:14" x14ac:dyDescent="0.25">
      <c r="A424" s="20" t="s">
        <v>435</v>
      </c>
      <c r="B424" s="1" t="s">
        <v>4443</v>
      </c>
      <c r="C424" s="1" t="s">
        <v>4444</v>
      </c>
      <c r="D424" s="1" t="s">
        <v>4445</v>
      </c>
      <c r="E424" s="1" t="s">
        <v>4446</v>
      </c>
      <c r="F424" s="1" t="s">
        <v>4447</v>
      </c>
      <c r="G424" s="1" t="s">
        <v>958</v>
      </c>
      <c r="H424" s="1" t="s">
        <v>979</v>
      </c>
      <c r="I424" s="1" t="s">
        <v>979</v>
      </c>
      <c r="J424" s="1" t="s">
        <v>4448</v>
      </c>
      <c r="K424" s="1" t="s">
        <v>1</v>
      </c>
      <c r="L424" s="1" t="s">
        <v>4449</v>
      </c>
      <c r="M424" s="1" t="s">
        <v>4450</v>
      </c>
      <c r="N424" s="1">
        <v>100</v>
      </c>
    </row>
    <row r="425" spans="1:14" x14ac:dyDescent="0.25">
      <c r="A425" s="20" t="s">
        <v>436</v>
      </c>
      <c r="B425" s="1" t="s">
        <v>4451</v>
      </c>
      <c r="C425" s="1" t="s">
        <v>4452</v>
      </c>
      <c r="D425" s="1" t="s">
        <v>4453</v>
      </c>
      <c r="E425" s="1" t="s">
        <v>4454</v>
      </c>
      <c r="F425" s="1" t="s">
        <v>4455</v>
      </c>
      <c r="G425" s="1" t="s">
        <v>958</v>
      </c>
      <c r="H425" s="1" t="s">
        <v>4456</v>
      </c>
      <c r="I425" s="1" t="s">
        <v>1616</v>
      </c>
      <c r="J425" s="1" t="s">
        <v>4457</v>
      </c>
      <c r="K425" s="1" t="s">
        <v>2165</v>
      </c>
      <c r="L425" s="1" t="s">
        <v>4458</v>
      </c>
      <c r="M425" s="1" t="s">
        <v>4459</v>
      </c>
      <c r="N425" s="1">
        <v>25</v>
      </c>
    </row>
    <row r="426" spans="1:14" x14ac:dyDescent="0.25">
      <c r="A426" s="20" t="s">
        <v>437</v>
      </c>
      <c r="B426" s="1" t="s">
        <v>4460</v>
      </c>
      <c r="C426" s="1" t="s">
        <v>4461</v>
      </c>
      <c r="D426" s="1" t="s">
        <v>4462</v>
      </c>
      <c r="E426" s="1" t="s">
        <v>4463</v>
      </c>
      <c r="F426" s="1" t="s">
        <v>4464</v>
      </c>
      <c r="G426" s="1" t="s">
        <v>958</v>
      </c>
      <c r="H426" s="1" t="s">
        <v>1059</v>
      </c>
      <c r="I426" s="1" t="s">
        <v>1060</v>
      </c>
      <c r="J426" s="1" t="s">
        <v>4465</v>
      </c>
      <c r="K426" s="1" t="s">
        <v>1637</v>
      </c>
      <c r="L426" s="1" t="s">
        <v>1638</v>
      </c>
      <c r="M426" s="1" t="s">
        <v>4466</v>
      </c>
      <c r="N426" s="1">
        <v>25</v>
      </c>
    </row>
    <row r="427" spans="1:14" x14ac:dyDescent="0.25">
      <c r="A427" s="20" t="s">
        <v>438</v>
      </c>
      <c r="B427" s="1" t="s">
        <v>4467</v>
      </c>
      <c r="C427" s="1" t="s">
        <v>4468</v>
      </c>
      <c r="D427" s="1" t="s">
        <v>4469</v>
      </c>
      <c r="E427" s="1" t="s">
        <v>4470</v>
      </c>
      <c r="F427" s="1" t="s">
        <v>4471</v>
      </c>
      <c r="G427" s="1" t="s">
        <v>4472</v>
      </c>
      <c r="H427" s="1" t="s">
        <v>2078</v>
      </c>
      <c r="I427" s="1" t="s">
        <v>1707</v>
      </c>
      <c r="J427" s="1" t="s">
        <v>4473</v>
      </c>
      <c r="K427" s="1" t="s">
        <v>1637</v>
      </c>
      <c r="L427" s="1" t="s">
        <v>4474</v>
      </c>
      <c r="M427" s="1" t="s">
        <v>4475</v>
      </c>
      <c r="N427" s="1">
        <v>500</v>
      </c>
    </row>
    <row r="428" spans="1:14" x14ac:dyDescent="0.25">
      <c r="A428" s="20" t="s">
        <v>439</v>
      </c>
      <c r="B428" s="1" t="s">
        <v>4476</v>
      </c>
      <c r="C428" s="1" t="s">
        <v>4477</v>
      </c>
      <c r="D428" s="1" t="s">
        <v>4478</v>
      </c>
      <c r="E428" s="1" t="s">
        <v>4479</v>
      </c>
      <c r="F428" s="1" t="s">
        <v>4480</v>
      </c>
      <c r="G428" s="1" t="s">
        <v>958</v>
      </c>
      <c r="H428" s="1" t="s">
        <v>2808</v>
      </c>
      <c r="I428" s="1" t="s">
        <v>3140</v>
      </c>
      <c r="J428" s="1" t="s">
        <v>4481</v>
      </c>
      <c r="K428" s="1" t="s">
        <v>4482</v>
      </c>
      <c r="L428" s="1" t="s">
        <v>4483</v>
      </c>
      <c r="M428" s="1" t="s">
        <v>4484</v>
      </c>
      <c r="N428" s="1">
        <v>25</v>
      </c>
    </row>
    <row r="429" spans="1:14" x14ac:dyDescent="0.25">
      <c r="A429" s="20" t="s">
        <v>440</v>
      </c>
      <c r="B429" s="1" t="s">
        <v>4485</v>
      </c>
      <c r="C429" s="1" t="s">
        <v>4486</v>
      </c>
      <c r="D429" s="1" t="s">
        <v>4487</v>
      </c>
      <c r="E429" s="1" t="s">
        <v>4488</v>
      </c>
      <c r="F429" s="1" t="s">
        <v>4489</v>
      </c>
      <c r="G429" s="1" t="s">
        <v>958</v>
      </c>
      <c r="H429" s="1" t="s">
        <v>4490</v>
      </c>
      <c r="I429" s="1" t="s">
        <v>1116</v>
      </c>
      <c r="J429" s="1" t="s">
        <v>4491</v>
      </c>
      <c r="K429" s="1" t="s">
        <v>1</v>
      </c>
      <c r="L429" s="1" t="s">
        <v>3916</v>
      </c>
      <c r="M429" s="1" t="s">
        <v>4492</v>
      </c>
      <c r="N429" s="1">
        <v>25</v>
      </c>
    </row>
    <row r="430" spans="1:14" x14ac:dyDescent="0.25">
      <c r="A430" s="20" t="s">
        <v>441</v>
      </c>
      <c r="B430" s="1" t="s">
        <v>4493</v>
      </c>
      <c r="C430" s="1" t="s">
        <v>4494</v>
      </c>
      <c r="D430" s="1" t="s">
        <v>4495</v>
      </c>
      <c r="E430" s="1" t="s">
        <v>4496</v>
      </c>
      <c r="F430" s="1" t="s">
        <v>4497</v>
      </c>
      <c r="G430" s="1" t="s">
        <v>958</v>
      </c>
      <c r="H430" s="1" t="s">
        <v>4498</v>
      </c>
      <c r="I430" s="1" t="s">
        <v>2341</v>
      </c>
      <c r="J430" s="1" t="s">
        <v>4499</v>
      </c>
      <c r="K430" s="1" t="s">
        <v>915</v>
      </c>
      <c r="L430" s="1" t="s">
        <v>926</v>
      </c>
      <c r="M430" s="1" t="s">
        <v>4500</v>
      </c>
      <c r="N430" s="1">
        <v>200</v>
      </c>
    </row>
    <row r="431" spans="1:14" x14ac:dyDescent="0.25">
      <c r="A431" s="20" t="s">
        <v>442</v>
      </c>
      <c r="B431" s="1" t="s">
        <v>4501</v>
      </c>
      <c r="C431" s="1" t="s">
        <v>4502</v>
      </c>
      <c r="D431" s="1" t="s">
        <v>4503</v>
      </c>
      <c r="E431" s="1" t="s">
        <v>4504</v>
      </c>
      <c r="F431" s="1" t="s">
        <v>4505</v>
      </c>
      <c r="G431" s="1" t="s">
        <v>958</v>
      </c>
      <c r="H431" s="1" t="s">
        <v>1476</v>
      </c>
      <c r="I431" s="1" t="s">
        <v>1476</v>
      </c>
      <c r="J431" s="1" t="s">
        <v>4506</v>
      </c>
      <c r="K431" s="1" t="s">
        <v>1478</v>
      </c>
      <c r="L431" s="1" t="s">
        <v>1479</v>
      </c>
      <c r="M431" s="1" t="s">
        <v>4507</v>
      </c>
      <c r="N431" s="1">
        <v>25</v>
      </c>
    </row>
    <row r="432" spans="1:14" x14ac:dyDescent="0.25">
      <c r="A432" s="20" t="s">
        <v>443</v>
      </c>
      <c r="B432" s="1" t="s">
        <v>4508</v>
      </c>
      <c r="C432" s="1" t="s">
        <v>4509</v>
      </c>
      <c r="D432" s="1" t="s">
        <v>4510</v>
      </c>
      <c r="E432" s="1" t="s">
        <v>4511</v>
      </c>
      <c r="F432" s="1" t="s">
        <v>4512</v>
      </c>
      <c r="G432" s="1" t="s">
        <v>958</v>
      </c>
      <c r="H432" s="1" t="s">
        <v>4513</v>
      </c>
      <c r="I432" s="1" t="s">
        <v>1127</v>
      </c>
      <c r="J432" s="1" t="s">
        <v>4514</v>
      </c>
      <c r="K432" s="1" t="s">
        <v>919</v>
      </c>
      <c r="L432" s="1" t="s">
        <v>4515</v>
      </c>
      <c r="M432" s="1" t="s">
        <v>4516</v>
      </c>
      <c r="N432" s="1">
        <v>25</v>
      </c>
    </row>
    <row r="433" spans="1:14" x14ac:dyDescent="0.25">
      <c r="A433" s="20" t="s">
        <v>444</v>
      </c>
      <c r="B433" s="1" t="s">
        <v>4517</v>
      </c>
      <c r="C433" s="1" t="s">
        <v>4518</v>
      </c>
      <c r="D433" s="1" t="s">
        <v>4519</v>
      </c>
      <c r="E433" s="1" t="s">
        <v>4520</v>
      </c>
      <c r="F433" s="1" t="s">
        <v>4521</v>
      </c>
      <c r="G433" s="1" t="s">
        <v>958</v>
      </c>
      <c r="H433" s="1" t="s">
        <v>1625</v>
      </c>
      <c r="I433" s="1" t="s">
        <v>3882</v>
      </c>
      <c r="J433" s="1" t="s">
        <v>4522</v>
      </c>
      <c r="K433" s="1" t="s">
        <v>1468</v>
      </c>
      <c r="L433" s="1" t="s">
        <v>4523</v>
      </c>
      <c r="M433" s="1" t="s">
        <v>4524</v>
      </c>
      <c r="N433" s="1">
        <v>25</v>
      </c>
    </row>
    <row r="434" spans="1:14" x14ac:dyDescent="0.25">
      <c r="A434" s="20" t="s">
        <v>445</v>
      </c>
      <c r="B434" s="1" t="s">
        <v>4525</v>
      </c>
      <c r="C434" s="1" t="s">
        <v>4526</v>
      </c>
      <c r="D434" s="1" t="s">
        <v>4527</v>
      </c>
      <c r="E434" s="1" t="s">
        <v>4528</v>
      </c>
      <c r="F434" s="1" t="s">
        <v>4529</v>
      </c>
      <c r="G434" s="1" t="s">
        <v>958</v>
      </c>
      <c r="H434" s="1" t="s">
        <v>4530</v>
      </c>
      <c r="I434" s="1" t="s">
        <v>1432</v>
      </c>
      <c r="J434" s="1" t="s">
        <v>4531</v>
      </c>
      <c r="K434" s="1" t="s">
        <v>915</v>
      </c>
      <c r="L434" s="1" t="s">
        <v>4532</v>
      </c>
      <c r="M434" s="1" t="s">
        <v>4533</v>
      </c>
      <c r="N434" s="1">
        <v>45</v>
      </c>
    </row>
    <row r="435" spans="1:14" x14ac:dyDescent="0.25">
      <c r="A435" s="20" t="s">
        <v>446</v>
      </c>
      <c r="B435" s="1" t="s">
        <v>4534</v>
      </c>
      <c r="C435" s="1" t="s">
        <v>4535</v>
      </c>
      <c r="D435" s="1" t="s">
        <v>4536</v>
      </c>
      <c r="E435" s="1" t="s">
        <v>4537</v>
      </c>
      <c r="F435" s="1" t="s">
        <v>4538</v>
      </c>
      <c r="G435" s="1" t="s">
        <v>958</v>
      </c>
      <c r="H435" s="1" t="s">
        <v>1059</v>
      </c>
      <c r="I435" s="1" t="s">
        <v>1060</v>
      </c>
      <c r="J435" s="1" t="s">
        <v>4539</v>
      </c>
      <c r="K435" s="1" t="s">
        <v>1</v>
      </c>
      <c r="L435" s="1" t="s">
        <v>1846</v>
      </c>
      <c r="M435" s="1" t="s">
        <v>4540</v>
      </c>
      <c r="N435" s="1">
        <v>25</v>
      </c>
    </row>
    <row r="436" spans="1:14" x14ac:dyDescent="0.25">
      <c r="A436" s="20" t="s">
        <v>447</v>
      </c>
      <c r="B436" s="1" t="s">
        <v>4541</v>
      </c>
      <c r="C436" s="1" t="s">
        <v>4542</v>
      </c>
      <c r="D436" s="1" t="s">
        <v>4543</v>
      </c>
      <c r="E436" s="1" t="s">
        <v>4544</v>
      </c>
      <c r="F436" s="1" t="s">
        <v>4545</v>
      </c>
      <c r="G436" s="1" t="s">
        <v>958</v>
      </c>
      <c r="H436" s="1" t="s">
        <v>1116</v>
      </c>
      <c r="I436" s="1" t="s">
        <v>1116</v>
      </c>
      <c r="J436" s="1" t="s">
        <v>4546</v>
      </c>
      <c r="K436" s="1" t="s">
        <v>971</v>
      </c>
      <c r="L436" s="1" t="s">
        <v>3049</v>
      </c>
      <c r="M436" s="1" t="s">
        <v>4547</v>
      </c>
      <c r="N436" s="1">
        <v>25</v>
      </c>
    </row>
    <row r="437" spans="1:14" x14ac:dyDescent="0.25">
      <c r="A437" s="20" t="s">
        <v>448</v>
      </c>
      <c r="B437" s="1" t="s">
        <v>4548</v>
      </c>
      <c r="C437" s="1" t="s">
        <v>4549</v>
      </c>
      <c r="D437" s="1" t="s">
        <v>4550</v>
      </c>
      <c r="E437" s="1" t="s">
        <v>4551</v>
      </c>
      <c r="F437" s="1" t="s">
        <v>4552</v>
      </c>
      <c r="G437" s="1" t="s">
        <v>958</v>
      </c>
      <c r="H437" s="1" t="s">
        <v>1018</v>
      </c>
      <c r="I437" s="1" t="s">
        <v>1116</v>
      </c>
      <c r="J437" s="1" t="s">
        <v>4380</v>
      </c>
      <c r="K437" s="1" t="s">
        <v>1089</v>
      </c>
      <c r="L437" s="1" t="s">
        <v>4553</v>
      </c>
      <c r="M437" s="1" t="s">
        <v>4554</v>
      </c>
      <c r="N437" s="1">
        <v>25</v>
      </c>
    </row>
    <row r="438" spans="1:14" x14ac:dyDescent="0.25">
      <c r="A438" s="20" t="s">
        <v>449</v>
      </c>
      <c r="B438" s="1" t="s">
        <v>4555</v>
      </c>
      <c r="C438" s="1" t="s">
        <v>4556</v>
      </c>
      <c r="D438" s="1" t="s">
        <v>4557</v>
      </c>
      <c r="E438" s="1" t="s">
        <v>4558</v>
      </c>
      <c r="F438" s="1" t="s">
        <v>4559</v>
      </c>
      <c r="G438" s="1" t="s">
        <v>958</v>
      </c>
      <c r="H438" s="1" t="s">
        <v>1051</v>
      </c>
      <c r="I438" s="1" t="s">
        <v>979</v>
      </c>
      <c r="J438" s="1" t="s">
        <v>4560</v>
      </c>
      <c r="K438" s="1" t="s">
        <v>1</v>
      </c>
      <c r="L438" s="1" t="s">
        <v>4561</v>
      </c>
      <c r="M438" s="1" t="s">
        <v>4562</v>
      </c>
      <c r="N438" s="1">
        <v>30</v>
      </c>
    </row>
    <row r="439" spans="1:14" x14ac:dyDescent="0.25">
      <c r="A439" s="20" t="s">
        <v>450</v>
      </c>
      <c r="B439" s="1" t="s">
        <v>4563</v>
      </c>
      <c r="C439" s="1" t="s">
        <v>4564</v>
      </c>
      <c r="D439" s="1" t="s">
        <v>4565</v>
      </c>
      <c r="E439" s="1" t="s">
        <v>4566</v>
      </c>
      <c r="F439" s="1" t="s">
        <v>4567</v>
      </c>
      <c r="G439" s="1" t="s">
        <v>4568</v>
      </c>
      <c r="H439" s="1" t="s">
        <v>3211</v>
      </c>
      <c r="I439" s="1" t="s">
        <v>1287</v>
      </c>
      <c r="J439" s="1" t="s">
        <v>4569</v>
      </c>
      <c r="K439" s="1" t="s">
        <v>8</v>
      </c>
      <c r="L439" s="1" t="s">
        <v>4570</v>
      </c>
      <c r="M439" s="1" t="s">
        <v>4571</v>
      </c>
      <c r="N439" s="1">
        <v>500</v>
      </c>
    </row>
    <row r="440" spans="1:14" x14ac:dyDescent="0.25">
      <c r="A440" s="20" t="s">
        <v>451</v>
      </c>
      <c r="B440" s="1" t="s">
        <v>4572</v>
      </c>
      <c r="C440" s="1" t="s">
        <v>4573</v>
      </c>
      <c r="D440" s="1" t="s">
        <v>4574</v>
      </c>
      <c r="E440" s="1" t="s">
        <v>4575</v>
      </c>
      <c r="F440" s="1" t="s">
        <v>4576</v>
      </c>
      <c r="G440" s="1" t="s">
        <v>958</v>
      </c>
      <c r="H440" s="1" t="s">
        <v>979</v>
      </c>
      <c r="I440" s="1" t="s">
        <v>979</v>
      </c>
      <c r="J440" s="1" t="s">
        <v>4577</v>
      </c>
      <c r="K440" s="1" t="s">
        <v>910</v>
      </c>
      <c r="L440" s="1" t="s">
        <v>981</v>
      </c>
      <c r="M440" s="1" t="s">
        <v>4578</v>
      </c>
      <c r="N440" s="1">
        <v>25</v>
      </c>
    </row>
    <row r="441" spans="1:14" x14ac:dyDescent="0.25">
      <c r="A441" s="20" t="s">
        <v>452</v>
      </c>
      <c r="B441" s="1" t="s">
        <v>4579</v>
      </c>
      <c r="C441" s="1" t="s">
        <v>4580</v>
      </c>
      <c r="D441" s="1" t="s">
        <v>4581</v>
      </c>
      <c r="E441" s="1" t="s">
        <v>4582</v>
      </c>
      <c r="F441" s="1" t="s">
        <v>4583</v>
      </c>
      <c r="G441" s="1" t="s">
        <v>958</v>
      </c>
      <c r="H441" s="1" t="s">
        <v>1116</v>
      </c>
      <c r="I441" s="1" t="s">
        <v>1116</v>
      </c>
      <c r="J441" s="1" t="s">
        <v>4584</v>
      </c>
      <c r="K441" s="1" t="s">
        <v>1478</v>
      </c>
      <c r="L441" s="1" t="s">
        <v>4585</v>
      </c>
      <c r="M441" s="1" t="s">
        <v>4586</v>
      </c>
      <c r="N441" s="1">
        <v>25</v>
      </c>
    </row>
    <row r="442" spans="1:14" x14ac:dyDescent="0.25">
      <c r="A442" s="20" t="s">
        <v>453</v>
      </c>
      <c r="B442" s="1" t="s">
        <v>4587</v>
      </c>
      <c r="C442" s="1" t="s">
        <v>4588</v>
      </c>
      <c r="D442" s="1" t="s">
        <v>4589</v>
      </c>
      <c r="E442" s="1" t="s">
        <v>4590</v>
      </c>
      <c r="F442" s="1" t="s">
        <v>4591</v>
      </c>
      <c r="G442" s="1" t="s">
        <v>958</v>
      </c>
      <c r="H442" s="1" t="s">
        <v>1137</v>
      </c>
      <c r="I442" s="1" t="s">
        <v>979</v>
      </c>
      <c r="J442" s="1" t="s">
        <v>4592</v>
      </c>
      <c r="L442" s="1" t="s">
        <v>958</v>
      </c>
      <c r="M442" s="1" t="s">
        <v>958</v>
      </c>
      <c r="N442" s="1">
        <v>100</v>
      </c>
    </row>
    <row r="443" spans="1:14" x14ac:dyDescent="0.25">
      <c r="A443" s="20" t="s">
        <v>454</v>
      </c>
      <c r="B443" s="1" t="s">
        <v>4593</v>
      </c>
      <c r="C443" s="1" t="s">
        <v>4594</v>
      </c>
      <c r="D443" s="1" t="s">
        <v>4595</v>
      </c>
      <c r="E443" s="1" t="s">
        <v>4596</v>
      </c>
      <c r="F443" s="1" t="s">
        <v>4597</v>
      </c>
      <c r="G443" s="1" t="s">
        <v>958</v>
      </c>
      <c r="H443" s="1" t="s">
        <v>979</v>
      </c>
      <c r="I443" s="1" t="s">
        <v>979</v>
      </c>
      <c r="J443" s="1" t="s">
        <v>4598</v>
      </c>
      <c r="K443" s="1" t="s">
        <v>4</v>
      </c>
      <c r="L443" s="1" t="s">
        <v>924</v>
      </c>
      <c r="M443" s="1" t="s">
        <v>4599</v>
      </c>
      <c r="N443" s="1">
        <v>50</v>
      </c>
    </row>
    <row r="444" spans="1:14" x14ac:dyDescent="0.25">
      <c r="A444" s="20" t="s">
        <v>455</v>
      </c>
      <c r="B444" s="1" t="s">
        <v>4600</v>
      </c>
      <c r="C444" s="1" t="s">
        <v>4601</v>
      </c>
      <c r="D444" s="1" t="s">
        <v>4602</v>
      </c>
      <c r="E444" s="1" t="s">
        <v>4603</v>
      </c>
      <c r="F444" s="1" t="s">
        <v>4604</v>
      </c>
      <c r="G444" s="1" t="s">
        <v>958</v>
      </c>
      <c r="H444" s="1" t="s">
        <v>2234</v>
      </c>
      <c r="I444" s="1" t="s">
        <v>2848</v>
      </c>
      <c r="J444" s="1" t="s">
        <v>4605</v>
      </c>
      <c r="K444" s="1" t="s">
        <v>1496</v>
      </c>
      <c r="L444" s="1" t="s">
        <v>1497</v>
      </c>
      <c r="M444" s="1" t="s">
        <v>4606</v>
      </c>
      <c r="N444" s="1">
        <v>25</v>
      </c>
    </row>
    <row r="445" spans="1:14" x14ac:dyDescent="0.25">
      <c r="A445" s="20" t="s">
        <v>456</v>
      </c>
      <c r="B445" s="1" t="s">
        <v>4607</v>
      </c>
      <c r="C445" s="1" t="s">
        <v>4608</v>
      </c>
      <c r="D445" s="1" t="s">
        <v>4609</v>
      </c>
      <c r="E445" s="1" t="s">
        <v>4610</v>
      </c>
      <c r="F445" s="1" t="s">
        <v>4611</v>
      </c>
      <c r="G445" s="1" t="s">
        <v>958</v>
      </c>
      <c r="H445" s="1" t="s">
        <v>979</v>
      </c>
      <c r="I445" s="1" t="s">
        <v>979</v>
      </c>
      <c r="J445" s="1" t="s">
        <v>4612</v>
      </c>
      <c r="K445" s="1" t="s">
        <v>1637</v>
      </c>
      <c r="L445" s="1" t="s">
        <v>4613</v>
      </c>
      <c r="M445" s="1" t="s">
        <v>4614</v>
      </c>
      <c r="N445" s="1">
        <v>25</v>
      </c>
    </row>
    <row r="446" spans="1:14" x14ac:dyDescent="0.25">
      <c r="A446" s="20" t="s">
        <v>457</v>
      </c>
      <c r="B446" s="1" t="s">
        <v>4615</v>
      </c>
      <c r="C446" s="1" t="s">
        <v>4616</v>
      </c>
      <c r="D446" s="1" t="s">
        <v>4617</v>
      </c>
      <c r="E446" s="1" t="s">
        <v>4618</v>
      </c>
      <c r="F446" s="1" t="s">
        <v>4619</v>
      </c>
      <c r="G446" s="1" t="s">
        <v>958</v>
      </c>
      <c r="H446" s="1" t="s">
        <v>979</v>
      </c>
      <c r="I446" s="1" t="s">
        <v>979</v>
      </c>
      <c r="J446" s="1" t="s">
        <v>4620</v>
      </c>
      <c r="K446" s="1" t="s">
        <v>915</v>
      </c>
      <c r="L446" s="1" t="s">
        <v>926</v>
      </c>
      <c r="M446" s="1" t="s">
        <v>4621</v>
      </c>
      <c r="N446" s="1">
        <v>25</v>
      </c>
    </row>
    <row r="447" spans="1:14" x14ac:dyDescent="0.25">
      <c r="A447" s="20" t="s">
        <v>458</v>
      </c>
      <c r="B447" s="1" t="s">
        <v>4622</v>
      </c>
      <c r="C447" s="1" t="s">
        <v>4623</v>
      </c>
      <c r="D447" s="1" t="s">
        <v>4624</v>
      </c>
      <c r="E447" s="1" t="s">
        <v>4625</v>
      </c>
      <c r="F447" s="1" t="s">
        <v>4626</v>
      </c>
      <c r="G447" s="1" t="s">
        <v>2902</v>
      </c>
      <c r="H447" s="1" t="s">
        <v>2903</v>
      </c>
      <c r="I447" s="1" t="s">
        <v>979</v>
      </c>
      <c r="J447" s="1" t="s">
        <v>4627</v>
      </c>
      <c r="K447" s="1" t="s">
        <v>909</v>
      </c>
      <c r="L447" s="1" t="s">
        <v>4628</v>
      </c>
      <c r="M447" s="1" t="s">
        <v>4629</v>
      </c>
      <c r="N447" s="1">
        <v>25</v>
      </c>
    </row>
    <row r="448" spans="1:14" x14ac:dyDescent="0.25">
      <c r="A448" s="20" t="s">
        <v>459</v>
      </c>
      <c r="B448" s="1" t="s">
        <v>4630</v>
      </c>
      <c r="C448" s="1" t="s">
        <v>4631</v>
      </c>
      <c r="D448" s="1" t="s">
        <v>4624</v>
      </c>
      <c r="E448" s="1" t="s">
        <v>4625</v>
      </c>
      <c r="F448" s="1" t="s">
        <v>4632</v>
      </c>
      <c r="G448" s="1" t="s">
        <v>2902</v>
      </c>
      <c r="H448" s="1" t="s">
        <v>2903</v>
      </c>
      <c r="I448" s="1" t="s">
        <v>979</v>
      </c>
      <c r="J448" s="1" t="s">
        <v>4627</v>
      </c>
      <c r="K448" s="1" t="s">
        <v>909</v>
      </c>
      <c r="L448" s="1" t="s">
        <v>4628</v>
      </c>
      <c r="M448" s="1" t="s">
        <v>4633</v>
      </c>
      <c r="N448" s="1">
        <v>25</v>
      </c>
    </row>
    <row r="449" spans="1:14" x14ac:dyDescent="0.25">
      <c r="A449" s="20" t="s">
        <v>460</v>
      </c>
      <c r="B449" s="1" t="s">
        <v>4634</v>
      </c>
      <c r="C449" s="1" t="s">
        <v>4635</v>
      </c>
      <c r="D449" s="1" t="s">
        <v>4624</v>
      </c>
      <c r="E449" s="1" t="s">
        <v>4625</v>
      </c>
      <c r="F449" s="1" t="s">
        <v>4636</v>
      </c>
      <c r="G449" s="1" t="s">
        <v>2902</v>
      </c>
      <c r="H449" s="1" t="s">
        <v>2903</v>
      </c>
      <c r="I449" s="1" t="s">
        <v>979</v>
      </c>
      <c r="J449" s="1" t="s">
        <v>4627</v>
      </c>
      <c r="K449" s="1" t="s">
        <v>4</v>
      </c>
      <c r="L449" s="1" t="s">
        <v>2800</v>
      </c>
      <c r="M449" s="1" t="s">
        <v>4637</v>
      </c>
      <c r="N449" s="1">
        <v>25</v>
      </c>
    </row>
    <row r="450" spans="1:14" x14ac:dyDescent="0.25">
      <c r="A450" s="20" t="s">
        <v>461</v>
      </c>
      <c r="B450" s="1" t="s">
        <v>4638</v>
      </c>
      <c r="C450" s="1" t="s">
        <v>4639</v>
      </c>
      <c r="D450" s="1" t="s">
        <v>4640</v>
      </c>
      <c r="E450" s="1" t="s">
        <v>4641</v>
      </c>
      <c r="F450" s="1" t="s">
        <v>4642</v>
      </c>
      <c r="G450" s="1" t="s">
        <v>958</v>
      </c>
      <c r="H450" s="1" t="s">
        <v>959</v>
      </c>
      <c r="I450" s="1" t="s">
        <v>960</v>
      </c>
      <c r="J450" s="1" t="s">
        <v>4643</v>
      </c>
      <c r="K450" s="1" t="s">
        <v>1548</v>
      </c>
      <c r="L450" s="1" t="s">
        <v>1549</v>
      </c>
      <c r="M450" s="1" t="s">
        <v>4644</v>
      </c>
      <c r="N450" s="1">
        <v>25</v>
      </c>
    </row>
    <row r="451" spans="1:14" x14ac:dyDescent="0.25">
      <c r="A451" s="20" t="s">
        <v>462</v>
      </c>
      <c r="B451" s="1" t="s">
        <v>4645</v>
      </c>
      <c r="C451" s="1" t="s">
        <v>4646</v>
      </c>
      <c r="D451" s="1" t="s">
        <v>4647</v>
      </c>
      <c r="E451" s="1" t="s">
        <v>4648</v>
      </c>
      <c r="F451" s="1" t="s">
        <v>4649</v>
      </c>
      <c r="G451" s="1" t="s">
        <v>958</v>
      </c>
      <c r="H451" s="1" t="s">
        <v>2743</v>
      </c>
      <c r="I451" s="1" t="s">
        <v>2744</v>
      </c>
      <c r="J451" s="1" t="s">
        <v>4650</v>
      </c>
      <c r="K451" s="1" t="s">
        <v>1468</v>
      </c>
      <c r="L451" s="1" t="s">
        <v>4651</v>
      </c>
      <c r="M451" s="1" t="s">
        <v>4652</v>
      </c>
      <c r="N451" s="1">
        <v>25</v>
      </c>
    </row>
    <row r="452" spans="1:14" x14ac:dyDescent="0.25">
      <c r="A452" s="20" t="s">
        <v>463</v>
      </c>
      <c r="B452" s="1" t="s">
        <v>4653</v>
      </c>
      <c r="C452" s="1" t="s">
        <v>4654</v>
      </c>
      <c r="D452" s="1" t="s">
        <v>4655</v>
      </c>
      <c r="E452" s="1" t="s">
        <v>4656</v>
      </c>
      <c r="F452" s="1" t="s">
        <v>4657</v>
      </c>
      <c r="G452" s="1" t="s">
        <v>958</v>
      </c>
      <c r="H452" s="1" t="s">
        <v>1051</v>
      </c>
      <c r="I452" s="1" t="s">
        <v>1353</v>
      </c>
      <c r="J452" s="1" t="s">
        <v>4658</v>
      </c>
      <c r="K452" s="1" t="s">
        <v>1478</v>
      </c>
      <c r="L452" s="1" t="s">
        <v>4659</v>
      </c>
      <c r="M452" s="1" t="s">
        <v>4660</v>
      </c>
      <c r="N452" s="1">
        <v>25</v>
      </c>
    </row>
    <row r="453" spans="1:14" x14ac:dyDescent="0.25">
      <c r="A453" s="20" t="s">
        <v>464</v>
      </c>
      <c r="B453" s="1" t="s">
        <v>4661</v>
      </c>
      <c r="C453" s="1" t="s">
        <v>4662</v>
      </c>
      <c r="D453" s="1" t="s">
        <v>4663</v>
      </c>
      <c r="E453" s="1" t="s">
        <v>4664</v>
      </c>
      <c r="F453" s="1" t="s">
        <v>4665</v>
      </c>
      <c r="G453" s="1" t="s">
        <v>958</v>
      </c>
      <c r="H453" s="1" t="s">
        <v>1137</v>
      </c>
      <c r="I453" s="1" t="s">
        <v>979</v>
      </c>
      <c r="J453" s="1" t="s">
        <v>4666</v>
      </c>
      <c r="K453" s="1" t="s">
        <v>1496</v>
      </c>
      <c r="L453" s="1" t="s">
        <v>4667</v>
      </c>
      <c r="M453" s="1" t="s">
        <v>4668</v>
      </c>
      <c r="N453" s="1">
        <v>26</v>
      </c>
    </row>
    <row r="454" spans="1:14" x14ac:dyDescent="0.25">
      <c r="A454" s="20" t="s">
        <v>465</v>
      </c>
      <c r="B454" s="1" t="s">
        <v>4669</v>
      </c>
      <c r="C454" s="1" t="s">
        <v>4670</v>
      </c>
      <c r="D454" s="1" t="s">
        <v>4671</v>
      </c>
      <c r="E454" s="1" t="s">
        <v>4672</v>
      </c>
      <c r="F454" s="1" t="s">
        <v>4673</v>
      </c>
      <c r="G454" s="1" t="s">
        <v>958</v>
      </c>
      <c r="H454" s="1" t="s">
        <v>4674</v>
      </c>
      <c r="I454" s="1" t="s">
        <v>1353</v>
      </c>
      <c r="J454" s="1" t="s">
        <v>4675</v>
      </c>
      <c r="K454" s="1" t="s">
        <v>3</v>
      </c>
      <c r="L454" s="1" t="s">
        <v>911</v>
      </c>
      <c r="M454" s="1" t="s">
        <v>4676</v>
      </c>
      <c r="N454" s="1">
        <v>50</v>
      </c>
    </row>
    <row r="455" spans="1:14" x14ac:dyDescent="0.25">
      <c r="A455" s="20" t="s">
        <v>466</v>
      </c>
      <c r="B455" s="1" t="s">
        <v>4677</v>
      </c>
      <c r="C455" s="1" t="s">
        <v>4678</v>
      </c>
      <c r="D455" s="1" t="s">
        <v>4679</v>
      </c>
      <c r="E455" s="1" t="s">
        <v>4680</v>
      </c>
      <c r="F455" s="1" t="s">
        <v>4681</v>
      </c>
      <c r="G455" s="1" t="s">
        <v>958</v>
      </c>
      <c r="H455" s="1" t="s">
        <v>4682</v>
      </c>
      <c r="I455" s="1" t="s">
        <v>1536</v>
      </c>
      <c r="K455" s="1" t="s">
        <v>910</v>
      </c>
      <c r="L455" s="1" t="s">
        <v>981</v>
      </c>
      <c r="M455" s="1" t="s">
        <v>4683</v>
      </c>
      <c r="N455" s="1">
        <v>25</v>
      </c>
    </row>
    <row r="456" spans="1:14" x14ac:dyDescent="0.25">
      <c r="A456" s="20" t="s">
        <v>467</v>
      </c>
      <c r="B456" s="1" t="s">
        <v>4684</v>
      </c>
      <c r="C456" s="1" t="s">
        <v>4685</v>
      </c>
      <c r="D456" s="1" t="s">
        <v>4686</v>
      </c>
      <c r="E456" s="1" t="s">
        <v>4687</v>
      </c>
      <c r="F456" s="1" t="s">
        <v>4688</v>
      </c>
      <c r="G456" s="1" t="s">
        <v>958</v>
      </c>
      <c r="H456" s="1" t="s">
        <v>979</v>
      </c>
      <c r="I456" s="1" t="s">
        <v>979</v>
      </c>
      <c r="J456" s="1" t="s">
        <v>4689</v>
      </c>
      <c r="K456" s="1" t="s">
        <v>4</v>
      </c>
      <c r="L456" s="1" t="s">
        <v>1949</v>
      </c>
      <c r="M456" s="1" t="s">
        <v>4690</v>
      </c>
      <c r="N456" s="1">
        <v>51</v>
      </c>
    </row>
    <row r="457" spans="1:14" x14ac:dyDescent="0.25">
      <c r="A457" s="20" t="s">
        <v>468</v>
      </c>
      <c r="B457" s="1" t="s">
        <v>4691</v>
      </c>
      <c r="C457" s="1" t="s">
        <v>4692</v>
      </c>
      <c r="D457" s="1" t="s">
        <v>4693</v>
      </c>
      <c r="E457" s="1" t="s">
        <v>4694</v>
      </c>
      <c r="F457" s="1" t="s">
        <v>4695</v>
      </c>
      <c r="G457" s="1" t="s">
        <v>958</v>
      </c>
      <c r="H457" s="1" t="s">
        <v>4696</v>
      </c>
      <c r="I457" s="1" t="s">
        <v>979</v>
      </c>
      <c r="J457" s="1" t="s">
        <v>4697</v>
      </c>
      <c r="K457" s="1" t="s">
        <v>4</v>
      </c>
      <c r="L457" s="1" t="s">
        <v>4698</v>
      </c>
      <c r="M457" s="1" t="s">
        <v>4699</v>
      </c>
      <c r="N457" s="1">
        <v>45</v>
      </c>
    </row>
    <row r="458" spans="1:14" x14ac:dyDescent="0.25">
      <c r="A458" s="20" t="s">
        <v>469</v>
      </c>
      <c r="B458" s="1" t="s">
        <v>4700</v>
      </c>
      <c r="C458" s="1" t="s">
        <v>4065</v>
      </c>
      <c r="D458" s="1" t="s">
        <v>4701</v>
      </c>
      <c r="E458" s="1" t="s">
        <v>4702</v>
      </c>
      <c r="F458" s="1" t="s">
        <v>4703</v>
      </c>
      <c r="G458" s="1" t="s">
        <v>958</v>
      </c>
      <c r="H458" s="1" t="s">
        <v>1297</v>
      </c>
      <c r="I458" s="1" t="s">
        <v>1298</v>
      </c>
      <c r="J458" s="1" t="s">
        <v>4704</v>
      </c>
      <c r="K458" s="1" t="s">
        <v>971</v>
      </c>
      <c r="L458" s="1" t="s">
        <v>972</v>
      </c>
      <c r="M458" s="1" t="s">
        <v>4705</v>
      </c>
      <c r="N458" s="1">
        <v>25</v>
      </c>
    </row>
    <row r="459" spans="1:14" x14ac:dyDescent="0.25">
      <c r="A459" s="20" t="s">
        <v>470</v>
      </c>
      <c r="B459" s="1" t="s">
        <v>4706</v>
      </c>
      <c r="C459" s="1" t="s">
        <v>4707</v>
      </c>
      <c r="D459" s="1" t="s">
        <v>4708</v>
      </c>
      <c r="E459" s="1" t="s">
        <v>4709</v>
      </c>
      <c r="F459" s="1" t="s">
        <v>4710</v>
      </c>
      <c r="G459" s="1" t="s">
        <v>4711</v>
      </c>
      <c r="H459" s="1" t="s">
        <v>1051</v>
      </c>
      <c r="I459" s="1" t="s">
        <v>1116</v>
      </c>
      <c r="J459" s="1" t="s">
        <v>4712</v>
      </c>
      <c r="K459" s="1" t="s">
        <v>2</v>
      </c>
      <c r="L459" s="1" t="s">
        <v>4713</v>
      </c>
      <c r="M459" s="1" t="s">
        <v>4714</v>
      </c>
      <c r="N459" s="1">
        <v>400</v>
      </c>
    </row>
    <row r="460" spans="1:14" x14ac:dyDescent="0.25">
      <c r="A460" s="20" t="s">
        <v>471</v>
      </c>
      <c r="B460" s="1" t="s">
        <v>4715</v>
      </c>
      <c r="C460" s="1" t="s">
        <v>4716</v>
      </c>
      <c r="D460" s="1" t="s">
        <v>4717</v>
      </c>
      <c r="E460" s="1" t="s">
        <v>4718</v>
      </c>
      <c r="F460" s="1" t="s">
        <v>4719</v>
      </c>
      <c r="G460" s="1" t="s">
        <v>958</v>
      </c>
      <c r="H460" s="1" t="s">
        <v>1236</v>
      </c>
      <c r="I460" s="1" t="s">
        <v>1236</v>
      </c>
      <c r="J460" s="1" t="s">
        <v>4720</v>
      </c>
      <c r="K460" s="1" t="s">
        <v>915</v>
      </c>
      <c r="L460" s="1" t="s">
        <v>926</v>
      </c>
      <c r="M460" s="1" t="s">
        <v>4721</v>
      </c>
      <c r="N460" s="1">
        <v>25</v>
      </c>
    </row>
    <row r="461" spans="1:14" x14ac:dyDescent="0.25">
      <c r="A461" s="20" t="s">
        <v>472</v>
      </c>
      <c r="B461" s="1" t="s">
        <v>4722</v>
      </c>
      <c r="C461" s="1" t="s">
        <v>4723</v>
      </c>
      <c r="D461" s="1" t="s">
        <v>4724</v>
      </c>
      <c r="E461" s="1" t="s">
        <v>4725</v>
      </c>
      <c r="F461" s="1" t="s">
        <v>4726</v>
      </c>
      <c r="G461" s="1" t="s">
        <v>958</v>
      </c>
      <c r="H461" s="1" t="s">
        <v>979</v>
      </c>
      <c r="I461" s="1" t="s">
        <v>979</v>
      </c>
      <c r="J461" s="1" t="s">
        <v>4727</v>
      </c>
      <c r="K461" s="1" t="s">
        <v>1089</v>
      </c>
      <c r="L461" s="1" t="s">
        <v>4728</v>
      </c>
      <c r="M461" s="1" t="s">
        <v>4729</v>
      </c>
      <c r="N461" s="1">
        <v>100</v>
      </c>
    </row>
    <row r="462" spans="1:14" x14ac:dyDescent="0.25">
      <c r="A462" s="20" t="s">
        <v>473</v>
      </c>
      <c r="B462" s="1" t="s">
        <v>4730</v>
      </c>
      <c r="C462" s="1" t="s">
        <v>4731</v>
      </c>
      <c r="D462" s="1" t="s">
        <v>4732</v>
      </c>
      <c r="E462" s="1" t="s">
        <v>4733</v>
      </c>
      <c r="F462" s="1" t="s">
        <v>4734</v>
      </c>
      <c r="G462" s="1" t="s">
        <v>958</v>
      </c>
      <c r="H462" s="1" t="s">
        <v>979</v>
      </c>
      <c r="I462" s="1" t="s">
        <v>979</v>
      </c>
      <c r="J462" s="1" t="s">
        <v>4735</v>
      </c>
      <c r="K462" s="1" t="s">
        <v>8</v>
      </c>
      <c r="L462" s="1" t="s">
        <v>4736</v>
      </c>
      <c r="M462" s="1" t="s">
        <v>4737</v>
      </c>
      <c r="N462" s="1">
        <v>25</v>
      </c>
    </row>
    <row r="463" spans="1:14" x14ac:dyDescent="0.25">
      <c r="A463" s="20" t="s">
        <v>474</v>
      </c>
      <c r="B463" s="1" t="s">
        <v>4738</v>
      </c>
      <c r="C463" s="1" t="s">
        <v>4739</v>
      </c>
      <c r="D463" s="1" t="s">
        <v>4740</v>
      </c>
      <c r="E463" s="1" t="s">
        <v>4741</v>
      </c>
      <c r="F463" s="1" t="s">
        <v>4742</v>
      </c>
      <c r="G463" s="1" t="s">
        <v>958</v>
      </c>
      <c r="H463" s="1" t="s">
        <v>4743</v>
      </c>
      <c r="I463" s="1" t="s">
        <v>979</v>
      </c>
      <c r="J463" s="1" t="s">
        <v>4744</v>
      </c>
      <c r="K463" s="1" t="s">
        <v>1468</v>
      </c>
      <c r="L463" s="1" t="s">
        <v>4745</v>
      </c>
      <c r="M463" s="1" t="s">
        <v>4746</v>
      </c>
      <c r="N463" s="1">
        <v>25</v>
      </c>
    </row>
    <row r="464" spans="1:14" x14ac:dyDescent="0.25">
      <c r="A464" s="20" t="s">
        <v>475</v>
      </c>
      <c r="B464" s="1" t="s">
        <v>4747</v>
      </c>
      <c r="C464" s="1" t="s">
        <v>4748</v>
      </c>
      <c r="D464" s="1" t="s">
        <v>4749</v>
      </c>
      <c r="E464" s="1" t="s">
        <v>4750</v>
      </c>
      <c r="F464" s="1" t="s">
        <v>4751</v>
      </c>
      <c r="G464" s="1" t="s">
        <v>958</v>
      </c>
      <c r="H464" s="1" t="s">
        <v>4752</v>
      </c>
      <c r="I464" s="1" t="s">
        <v>1165</v>
      </c>
      <c r="J464" s="1" t="s">
        <v>4753</v>
      </c>
      <c r="K464" s="1" t="s">
        <v>909</v>
      </c>
      <c r="L464" s="1" t="s">
        <v>1237</v>
      </c>
      <c r="M464" s="1" t="s">
        <v>4754</v>
      </c>
      <c r="N464" s="1">
        <v>100</v>
      </c>
    </row>
    <row r="465" spans="1:14" x14ac:dyDescent="0.25">
      <c r="A465" s="20" t="s">
        <v>476</v>
      </c>
      <c r="B465" s="1" t="s">
        <v>4755</v>
      </c>
      <c r="C465" s="1" t="s">
        <v>4756</v>
      </c>
      <c r="D465" s="1" t="s">
        <v>4757</v>
      </c>
      <c r="E465" s="1" t="s">
        <v>4758</v>
      </c>
      <c r="F465" s="1" t="s">
        <v>4759</v>
      </c>
      <c r="G465" s="1" t="s">
        <v>958</v>
      </c>
      <c r="H465" s="1" t="s">
        <v>2243</v>
      </c>
      <c r="I465" s="1" t="s">
        <v>1070</v>
      </c>
      <c r="J465" s="1" t="s">
        <v>4760</v>
      </c>
      <c r="K465" s="1" t="s">
        <v>1089</v>
      </c>
      <c r="L465" s="1" t="s">
        <v>4761</v>
      </c>
      <c r="M465" s="1" t="s">
        <v>4762</v>
      </c>
      <c r="N465" s="1">
        <v>50</v>
      </c>
    </row>
    <row r="466" spans="1:14" x14ac:dyDescent="0.25">
      <c r="A466" s="20" t="s">
        <v>477</v>
      </c>
      <c r="B466" s="1" t="s">
        <v>4763</v>
      </c>
      <c r="C466" s="1" t="s">
        <v>4764</v>
      </c>
      <c r="D466" s="1" t="s">
        <v>4765</v>
      </c>
      <c r="E466" s="1" t="s">
        <v>4766</v>
      </c>
      <c r="F466" s="1" t="s">
        <v>4767</v>
      </c>
      <c r="G466" s="1" t="s">
        <v>958</v>
      </c>
      <c r="H466" s="1" t="s">
        <v>4768</v>
      </c>
      <c r="I466" s="1" t="s">
        <v>1127</v>
      </c>
      <c r="J466" s="1" t="s">
        <v>4769</v>
      </c>
      <c r="K466" s="1" t="s">
        <v>915</v>
      </c>
      <c r="L466" s="1" t="s">
        <v>4770</v>
      </c>
      <c r="M466" s="1" t="s">
        <v>4771</v>
      </c>
      <c r="N466" s="1">
        <v>25</v>
      </c>
    </row>
    <row r="467" spans="1:14" x14ac:dyDescent="0.25">
      <c r="A467" s="20" t="s">
        <v>478</v>
      </c>
      <c r="B467" s="1" t="s">
        <v>4772</v>
      </c>
      <c r="C467" s="1" t="s">
        <v>4773</v>
      </c>
      <c r="D467" s="1" t="s">
        <v>4774</v>
      </c>
      <c r="E467" s="1" t="s">
        <v>4775</v>
      </c>
      <c r="F467" s="1" t="s">
        <v>4776</v>
      </c>
      <c r="G467" s="1" t="s">
        <v>958</v>
      </c>
      <c r="H467" s="1" t="s">
        <v>979</v>
      </c>
      <c r="I467" s="1" t="s">
        <v>979</v>
      </c>
      <c r="J467" s="1" t="s">
        <v>4777</v>
      </c>
      <c r="K467" s="1" t="s">
        <v>910</v>
      </c>
      <c r="L467" s="1" t="s">
        <v>981</v>
      </c>
      <c r="M467" s="1" t="s">
        <v>4778</v>
      </c>
      <c r="N467" s="1">
        <v>25</v>
      </c>
    </row>
    <row r="468" spans="1:14" x14ac:dyDescent="0.25">
      <c r="A468" s="20" t="s">
        <v>479</v>
      </c>
      <c r="B468" s="1" t="s">
        <v>4779</v>
      </c>
      <c r="C468" s="1" t="s">
        <v>4780</v>
      </c>
      <c r="D468" s="1" t="s">
        <v>4781</v>
      </c>
      <c r="E468" s="1" t="s">
        <v>4782</v>
      </c>
      <c r="F468" s="1" t="s">
        <v>4783</v>
      </c>
      <c r="G468" s="1" t="s">
        <v>958</v>
      </c>
      <c r="H468" s="1" t="s">
        <v>4784</v>
      </c>
      <c r="I468" s="1" t="s">
        <v>989</v>
      </c>
      <c r="J468" s="1" t="s">
        <v>4785</v>
      </c>
      <c r="K468" s="1" t="s">
        <v>1496</v>
      </c>
      <c r="L468" s="1" t="s">
        <v>3018</v>
      </c>
      <c r="M468" s="1" t="s">
        <v>4786</v>
      </c>
      <c r="N468" s="1">
        <v>25</v>
      </c>
    </row>
    <row r="469" spans="1:14" x14ac:dyDescent="0.25">
      <c r="A469" s="20" t="s">
        <v>480</v>
      </c>
      <c r="B469" s="1" t="s">
        <v>4787</v>
      </c>
      <c r="C469" s="1" t="s">
        <v>4788</v>
      </c>
      <c r="D469" s="1" t="s">
        <v>4789</v>
      </c>
      <c r="E469" s="1" t="s">
        <v>4790</v>
      </c>
      <c r="F469" s="1" t="s">
        <v>4791</v>
      </c>
      <c r="G469" s="1" t="s">
        <v>958</v>
      </c>
      <c r="H469" s="1" t="s">
        <v>4792</v>
      </c>
      <c r="I469" s="1" t="s">
        <v>1707</v>
      </c>
      <c r="J469" s="1" t="s">
        <v>4793</v>
      </c>
      <c r="K469" s="1" t="s">
        <v>8</v>
      </c>
      <c r="L469" s="1" t="s">
        <v>1177</v>
      </c>
      <c r="M469" s="1" t="s">
        <v>4794</v>
      </c>
      <c r="N469" s="1">
        <v>100</v>
      </c>
    </row>
    <row r="470" spans="1:14" x14ac:dyDescent="0.25">
      <c r="A470" s="20" t="s">
        <v>481</v>
      </c>
      <c r="B470" s="1" t="s">
        <v>4795</v>
      </c>
      <c r="C470" s="1" t="s">
        <v>4796</v>
      </c>
      <c r="D470" s="1" t="s">
        <v>4797</v>
      </c>
      <c r="E470" s="1" t="s">
        <v>4798</v>
      </c>
      <c r="F470" s="1" t="s">
        <v>4799</v>
      </c>
      <c r="G470" s="1" t="s">
        <v>958</v>
      </c>
      <c r="H470" s="1" t="s">
        <v>4800</v>
      </c>
      <c r="I470" s="1" t="s">
        <v>989</v>
      </c>
      <c r="J470" s="1" t="s">
        <v>4801</v>
      </c>
      <c r="K470" s="1" t="s">
        <v>1637</v>
      </c>
      <c r="L470" s="1" t="s">
        <v>4802</v>
      </c>
      <c r="M470" s="1" t="s">
        <v>4803</v>
      </c>
      <c r="N470" s="1">
        <v>30</v>
      </c>
    </row>
    <row r="471" spans="1:14" x14ac:dyDescent="0.25">
      <c r="A471" s="20" t="s">
        <v>482</v>
      </c>
      <c r="B471" s="1" t="s">
        <v>4804</v>
      </c>
      <c r="C471" s="1" t="s">
        <v>4805</v>
      </c>
      <c r="D471" s="1" t="s">
        <v>4806</v>
      </c>
      <c r="E471" s="1" t="s">
        <v>4807</v>
      </c>
      <c r="F471" s="1" t="s">
        <v>4808</v>
      </c>
      <c r="G471" s="1" t="s">
        <v>958</v>
      </c>
      <c r="H471" s="1" t="s">
        <v>4809</v>
      </c>
      <c r="I471" s="1" t="s">
        <v>1546</v>
      </c>
      <c r="J471" s="1" t="s">
        <v>4810</v>
      </c>
      <c r="K471" s="1" t="s">
        <v>8</v>
      </c>
      <c r="L471" s="1" t="s">
        <v>4811</v>
      </c>
      <c r="M471" s="1" t="s">
        <v>4812</v>
      </c>
      <c r="N471" s="1">
        <v>25</v>
      </c>
    </row>
    <row r="472" spans="1:14" x14ac:dyDescent="0.25">
      <c r="A472" s="20" t="s">
        <v>483</v>
      </c>
      <c r="B472" s="1" t="s">
        <v>4813</v>
      </c>
      <c r="C472" s="1" t="s">
        <v>4814</v>
      </c>
      <c r="D472" s="1" t="s">
        <v>4815</v>
      </c>
      <c r="E472" s="1" t="s">
        <v>4816</v>
      </c>
      <c r="F472" s="1" t="s">
        <v>4817</v>
      </c>
      <c r="G472" s="1" t="s">
        <v>958</v>
      </c>
      <c r="H472" s="1" t="s">
        <v>1897</v>
      </c>
      <c r="I472" s="1" t="s">
        <v>1432</v>
      </c>
      <c r="J472" s="1" t="s">
        <v>4818</v>
      </c>
      <c r="K472" s="1" t="s">
        <v>3</v>
      </c>
      <c r="L472" s="1" t="s">
        <v>4819</v>
      </c>
      <c r="M472" s="1" t="s">
        <v>4820</v>
      </c>
      <c r="N472" s="1">
        <v>100</v>
      </c>
    </row>
    <row r="473" spans="1:14" x14ac:dyDescent="0.25">
      <c r="A473" s="20" t="s">
        <v>484</v>
      </c>
      <c r="B473" s="1" t="s">
        <v>4821</v>
      </c>
      <c r="C473" s="1" t="s">
        <v>4822</v>
      </c>
      <c r="D473" s="1" t="s">
        <v>4823</v>
      </c>
      <c r="E473" s="1" t="s">
        <v>4824</v>
      </c>
      <c r="F473" s="1" t="s">
        <v>4825</v>
      </c>
      <c r="G473" s="1" t="s">
        <v>958</v>
      </c>
      <c r="H473" s="1" t="s">
        <v>1060</v>
      </c>
      <c r="I473" s="1" t="s">
        <v>1060</v>
      </c>
      <c r="J473" s="1" t="s">
        <v>4826</v>
      </c>
      <c r="K473" s="1" t="s">
        <v>1478</v>
      </c>
      <c r="L473" s="1" t="s">
        <v>1479</v>
      </c>
      <c r="M473" s="1" t="s">
        <v>4827</v>
      </c>
      <c r="N473" s="1">
        <v>30</v>
      </c>
    </row>
    <row r="474" spans="1:14" x14ac:dyDescent="0.25">
      <c r="A474" s="20" t="s">
        <v>485</v>
      </c>
      <c r="B474" s="1" t="s">
        <v>4828</v>
      </c>
      <c r="C474" s="1" t="s">
        <v>4829</v>
      </c>
      <c r="D474" s="1" t="s">
        <v>4830</v>
      </c>
      <c r="E474" s="1" t="s">
        <v>4831</v>
      </c>
      <c r="F474" s="1" t="s">
        <v>4832</v>
      </c>
      <c r="G474" s="1" t="s">
        <v>4833</v>
      </c>
      <c r="H474" s="1" t="s">
        <v>3675</v>
      </c>
      <c r="I474" s="1" t="s">
        <v>4102</v>
      </c>
      <c r="J474" s="1" t="s">
        <v>4834</v>
      </c>
      <c r="K474" s="1" t="s">
        <v>1478</v>
      </c>
      <c r="L474" s="1" t="s">
        <v>4835</v>
      </c>
      <c r="M474" s="1" t="s">
        <v>4836</v>
      </c>
      <c r="N474" s="1">
        <v>50</v>
      </c>
    </row>
    <row r="475" spans="1:14" x14ac:dyDescent="0.25">
      <c r="A475" s="20" t="s">
        <v>486</v>
      </c>
      <c r="B475" s="1" t="s">
        <v>4837</v>
      </c>
      <c r="C475" s="1" t="s">
        <v>4838</v>
      </c>
      <c r="D475" s="1" t="s">
        <v>4839</v>
      </c>
      <c r="E475" s="1" t="s">
        <v>4840</v>
      </c>
      <c r="F475" s="1" t="s">
        <v>4841</v>
      </c>
      <c r="G475" s="1" t="s">
        <v>958</v>
      </c>
      <c r="H475" s="1" t="s">
        <v>1805</v>
      </c>
      <c r="I475" s="1" t="s">
        <v>1698</v>
      </c>
      <c r="J475" s="1" t="s">
        <v>4842</v>
      </c>
      <c r="K475" s="1" t="s">
        <v>971</v>
      </c>
      <c r="L475" s="1" t="s">
        <v>972</v>
      </c>
      <c r="M475" s="1" t="s">
        <v>4843</v>
      </c>
      <c r="N475" s="1">
        <v>25</v>
      </c>
    </row>
    <row r="476" spans="1:14" x14ac:dyDescent="0.25">
      <c r="A476" s="20" t="s">
        <v>487</v>
      </c>
      <c r="B476" s="1" t="s">
        <v>4844</v>
      </c>
      <c r="C476" s="1" t="s">
        <v>4845</v>
      </c>
      <c r="D476" s="1" t="s">
        <v>4846</v>
      </c>
      <c r="E476" s="1" t="s">
        <v>4847</v>
      </c>
      <c r="F476" s="1" t="s">
        <v>4848</v>
      </c>
      <c r="G476" s="1" t="s">
        <v>958</v>
      </c>
      <c r="H476" s="1" t="s">
        <v>4849</v>
      </c>
      <c r="I476" s="1" t="s">
        <v>1626</v>
      </c>
      <c r="J476" s="1" t="s">
        <v>4850</v>
      </c>
      <c r="K476" s="1" t="s">
        <v>2</v>
      </c>
      <c r="L476" s="1" t="s">
        <v>1327</v>
      </c>
      <c r="M476" s="1" t="s">
        <v>4851</v>
      </c>
      <c r="N476" s="1">
        <v>25</v>
      </c>
    </row>
    <row r="477" spans="1:14" x14ac:dyDescent="0.25">
      <c r="A477" s="20" t="s">
        <v>488</v>
      </c>
      <c r="B477" s="1" t="s">
        <v>4852</v>
      </c>
      <c r="C477" s="1" t="s">
        <v>4853</v>
      </c>
      <c r="D477" s="1" t="s">
        <v>4124</v>
      </c>
      <c r="E477" s="1" t="s">
        <v>4854</v>
      </c>
      <c r="F477" s="1" t="s">
        <v>4855</v>
      </c>
      <c r="G477" s="1" t="s">
        <v>958</v>
      </c>
      <c r="H477" s="1" t="s">
        <v>4856</v>
      </c>
      <c r="I477" s="1" t="s">
        <v>979</v>
      </c>
      <c r="J477" s="1" t="s">
        <v>4857</v>
      </c>
      <c r="K477" s="1" t="s">
        <v>2</v>
      </c>
      <c r="L477" s="1" t="s">
        <v>4858</v>
      </c>
      <c r="M477" s="1" t="s">
        <v>4859</v>
      </c>
      <c r="N477" s="1">
        <v>25</v>
      </c>
    </row>
    <row r="478" spans="1:14" x14ac:dyDescent="0.25">
      <c r="A478" s="20" t="s">
        <v>489</v>
      </c>
      <c r="B478" s="1" t="s">
        <v>4860</v>
      </c>
      <c r="C478" s="1" t="s">
        <v>4861</v>
      </c>
      <c r="D478" s="1" t="s">
        <v>4862</v>
      </c>
      <c r="E478" s="1" t="s">
        <v>4863</v>
      </c>
      <c r="F478" s="1" t="s">
        <v>4864</v>
      </c>
      <c r="G478" s="1" t="s">
        <v>958</v>
      </c>
      <c r="H478" s="1" t="s">
        <v>4865</v>
      </c>
      <c r="I478" s="1" t="s">
        <v>2209</v>
      </c>
      <c r="J478" s="1" t="s">
        <v>4866</v>
      </c>
      <c r="K478" s="1" t="s">
        <v>1335</v>
      </c>
      <c r="L478" s="1" t="s">
        <v>4867</v>
      </c>
      <c r="M478" s="1" t="s">
        <v>4868</v>
      </c>
      <c r="N478" s="1">
        <v>25</v>
      </c>
    </row>
    <row r="479" spans="1:14" x14ac:dyDescent="0.25">
      <c r="A479" s="20" t="s">
        <v>490</v>
      </c>
      <c r="B479" s="1" t="s">
        <v>4869</v>
      </c>
      <c r="C479" s="1" t="s">
        <v>4870</v>
      </c>
      <c r="D479" s="1" t="s">
        <v>4871</v>
      </c>
      <c r="E479" s="1" t="s">
        <v>4872</v>
      </c>
      <c r="F479" s="1" t="s">
        <v>4873</v>
      </c>
      <c r="G479" s="1" t="s">
        <v>958</v>
      </c>
      <c r="H479" s="1" t="s">
        <v>1018</v>
      </c>
      <c r="I479" s="1" t="s">
        <v>1116</v>
      </c>
      <c r="J479" s="1" t="s">
        <v>4874</v>
      </c>
      <c r="K479" s="1" t="s">
        <v>909</v>
      </c>
      <c r="L479" s="1" t="s">
        <v>4628</v>
      </c>
      <c r="M479" s="1" t="s">
        <v>4875</v>
      </c>
      <c r="N479" s="1">
        <v>50</v>
      </c>
    </row>
    <row r="480" spans="1:14" x14ac:dyDescent="0.25">
      <c r="A480" s="20" t="s">
        <v>491</v>
      </c>
      <c r="B480" s="1" t="s">
        <v>4876</v>
      </c>
      <c r="C480" s="1" t="s">
        <v>4877</v>
      </c>
      <c r="D480" s="1" t="s">
        <v>4878</v>
      </c>
      <c r="E480" s="1" t="s">
        <v>4879</v>
      </c>
      <c r="F480" s="1" t="s">
        <v>4880</v>
      </c>
      <c r="G480" s="1" t="s">
        <v>958</v>
      </c>
      <c r="H480" s="1" t="s">
        <v>1018</v>
      </c>
      <c r="I480" s="1" t="s">
        <v>1116</v>
      </c>
      <c r="J480" s="1" t="s">
        <v>4881</v>
      </c>
      <c r="K480" s="1" t="s">
        <v>4</v>
      </c>
      <c r="L480" s="1" t="s">
        <v>924</v>
      </c>
      <c r="M480" s="1" t="s">
        <v>4882</v>
      </c>
      <c r="N480" s="1">
        <v>25</v>
      </c>
    </row>
    <row r="481" spans="1:14" x14ac:dyDescent="0.25">
      <c r="A481" s="20" t="s">
        <v>492</v>
      </c>
      <c r="B481" s="1" t="s">
        <v>4883</v>
      </c>
      <c r="C481" s="1" t="s">
        <v>4884</v>
      </c>
      <c r="D481" s="1" t="s">
        <v>4885</v>
      </c>
      <c r="E481" s="1" t="s">
        <v>4886</v>
      </c>
      <c r="F481" s="1" t="s">
        <v>4887</v>
      </c>
      <c r="G481" s="1" t="s">
        <v>958</v>
      </c>
      <c r="H481" s="1" t="s">
        <v>1051</v>
      </c>
      <c r="I481" s="1" t="s">
        <v>979</v>
      </c>
      <c r="J481" s="1" t="s">
        <v>1389</v>
      </c>
      <c r="K481" s="1" t="s">
        <v>1310</v>
      </c>
      <c r="L481" s="1" t="s">
        <v>4888</v>
      </c>
      <c r="M481" s="1" t="s">
        <v>4889</v>
      </c>
      <c r="N481" s="1">
        <v>50</v>
      </c>
    </row>
    <row r="482" spans="1:14" x14ac:dyDescent="0.25">
      <c r="A482" s="20" t="s">
        <v>493</v>
      </c>
      <c r="B482" s="1" t="s">
        <v>4890</v>
      </c>
      <c r="C482" s="1" t="s">
        <v>4891</v>
      </c>
      <c r="D482" s="1" t="s">
        <v>4892</v>
      </c>
      <c r="E482" s="1" t="s">
        <v>4893</v>
      </c>
      <c r="F482" s="1" t="s">
        <v>4894</v>
      </c>
      <c r="G482" s="1" t="s">
        <v>958</v>
      </c>
      <c r="H482" s="1" t="s">
        <v>4895</v>
      </c>
      <c r="I482" s="1" t="s">
        <v>2744</v>
      </c>
      <c r="J482" s="1" t="s">
        <v>4896</v>
      </c>
      <c r="K482" s="1" t="s">
        <v>910</v>
      </c>
      <c r="L482" s="1" t="s">
        <v>981</v>
      </c>
      <c r="M482" s="1" t="s">
        <v>4897</v>
      </c>
      <c r="N482" s="1">
        <v>25</v>
      </c>
    </row>
    <row r="483" spans="1:14" x14ac:dyDescent="0.25">
      <c r="A483" s="20" t="s">
        <v>494</v>
      </c>
      <c r="B483" s="1" t="s">
        <v>4898</v>
      </c>
      <c r="C483" s="1" t="s">
        <v>4899</v>
      </c>
      <c r="D483" s="1" t="s">
        <v>4900</v>
      </c>
      <c r="E483" s="1" t="s">
        <v>4901</v>
      </c>
      <c r="F483" s="1" t="s">
        <v>4902</v>
      </c>
      <c r="G483" s="1" t="s">
        <v>958</v>
      </c>
      <c r="H483" s="1" t="s">
        <v>1879</v>
      </c>
      <c r="I483" s="1" t="s">
        <v>1026</v>
      </c>
      <c r="J483" s="1" t="s">
        <v>4903</v>
      </c>
      <c r="K483" s="1" t="s">
        <v>971</v>
      </c>
      <c r="L483" s="1" t="s">
        <v>972</v>
      </c>
      <c r="M483" s="1" t="s">
        <v>4904</v>
      </c>
      <c r="N483" s="1">
        <v>100</v>
      </c>
    </row>
    <row r="484" spans="1:14" x14ac:dyDescent="0.25">
      <c r="A484" s="20" t="s">
        <v>495</v>
      </c>
      <c r="B484" s="1" t="s">
        <v>4905</v>
      </c>
      <c r="C484" s="1" t="s">
        <v>4906</v>
      </c>
      <c r="D484" s="1" t="s">
        <v>4907</v>
      </c>
      <c r="E484" s="1" t="s">
        <v>4908</v>
      </c>
      <c r="F484" s="1" t="s">
        <v>4909</v>
      </c>
      <c r="G484" s="1" t="s">
        <v>958</v>
      </c>
      <c r="H484" s="1" t="s">
        <v>4910</v>
      </c>
      <c r="I484" s="1" t="s">
        <v>969</v>
      </c>
      <c r="J484" s="1" t="s">
        <v>4911</v>
      </c>
      <c r="K484" s="1" t="s">
        <v>971</v>
      </c>
      <c r="L484" s="1" t="s">
        <v>972</v>
      </c>
      <c r="M484" s="1" t="s">
        <v>4912</v>
      </c>
      <c r="N484" s="1">
        <v>25</v>
      </c>
    </row>
    <row r="485" spans="1:14" x14ac:dyDescent="0.25">
      <c r="A485" s="20" t="s">
        <v>496</v>
      </c>
      <c r="B485" s="1" t="s">
        <v>4913</v>
      </c>
      <c r="C485" s="1" t="s">
        <v>4914</v>
      </c>
      <c r="D485" s="1" t="s">
        <v>4915</v>
      </c>
      <c r="E485" s="1" t="s">
        <v>4916</v>
      </c>
      <c r="F485" s="1" t="s">
        <v>4917</v>
      </c>
      <c r="G485" s="1" t="s">
        <v>958</v>
      </c>
      <c r="H485" s="1" t="s">
        <v>1879</v>
      </c>
      <c r="I485" s="1" t="s">
        <v>1026</v>
      </c>
      <c r="J485" s="1" t="s">
        <v>4918</v>
      </c>
      <c r="K485" s="1" t="s">
        <v>909</v>
      </c>
      <c r="L485" s="1" t="s">
        <v>1237</v>
      </c>
      <c r="M485" s="1" t="s">
        <v>4919</v>
      </c>
      <c r="N485" s="1">
        <v>25</v>
      </c>
    </row>
    <row r="486" spans="1:14" x14ac:dyDescent="0.25">
      <c r="A486" s="20" t="s">
        <v>497</v>
      </c>
      <c r="B486" s="1" t="s">
        <v>4920</v>
      </c>
      <c r="C486" s="1" t="s">
        <v>4921</v>
      </c>
      <c r="D486" s="1" t="s">
        <v>4922</v>
      </c>
      <c r="E486" s="1" t="s">
        <v>4923</v>
      </c>
      <c r="F486" s="1" t="s">
        <v>4924</v>
      </c>
      <c r="G486" s="1" t="s">
        <v>958</v>
      </c>
      <c r="H486" s="1" t="s">
        <v>1270</v>
      </c>
      <c r="I486" s="1" t="s">
        <v>1165</v>
      </c>
      <c r="J486" s="1" t="s">
        <v>4925</v>
      </c>
      <c r="K486" s="1" t="s">
        <v>1637</v>
      </c>
      <c r="L486" s="1" t="s">
        <v>4926</v>
      </c>
      <c r="M486" s="1" t="s">
        <v>4927</v>
      </c>
      <c r="N486" s="1">
        <v>25</v>
      </c>
    </row>
    <row r="487" spans="1:14" x14ac:dyDescent="0.25">
      <c r="A487" s="20" t="s">
        <v>498</v>
      </c>
      <c r="B487" s="1" t="s">
        <v>4928</v>
      </c>
      <c r="C487" s="1" t="s">
        <v>4929</v>
      </c>
      <c r="D487" s="1" t="s">
        <v>4930</v>
      </c>
      <c r="E487" s="1" t="s">
        <v>4931</v>
      </c>
      <c r="F487" s="1" t="s">
        <v>4932</v>
      </c>
      <c r="G487" s="1" t="s">
        <v>958</v>
      </c>
      <c r="H487" s="1" t="s">
        <v>4933</v>
      </c>
      <c r="I487" s="1" t="s">
        <v>979</v>
      </c>
      <c r="J487" s="1" t="s">
        <v>4934</v>
      </c>
      <c r="K487" s="1" t="s">
        <v>915</v>
      </c>
      <c r="L487" s="1" t="s">
        <v>4935</v>
      </c>
      <c r="M487" s="1" t="s">
        <v>4936</v>
      </c>
      <c r="N487" s="1">
        <v>25</v>
      </c>
    </row>
    <row r="488" spans="1:14" x14ac:dyDescent="0.25">
      <c r="A488" s="20" t="s">
        <v>499</v>
      </c>
      <c r="B488" s="1" t="s">
        <v>4937</v>
      </c>
      <c r="C488" s="1" t="s">
        <v>4938</v>
      </c>
      <c r="D488" s="1" t="s">
        <v>4939</v>
      </c>
      <c r="E488" s="1" t="s">
        <v>4940</v>
      </c>
      <c r="F488" s="1" t="s">
        <v>4941</v>
      </c>
      <c r="G488" s="1" t="s">
        <v>958</v>
      </c>
      <c r="H488" s="1" t="s">
        <v>1897</v>
      </c>
      <c r="I488" s="1" t="s">
        <v>1432</v>
      </c>
      <c r="J488" s="1" t="s">
        <v>4942</v>
      </c>
      <c r="K488" s="1" t="s">
        <v>909</v>
      </c>
      <c r="L488" s="1" t="s">
        <v>1237</v>
      </c>
      <c r="M488" s="1" t="s">
        <v>4943</v>
      </c>
      <c r="N488" s="1">
        <v>25</v>
      </c>
    </row>
    <row r="489" spans="1:14" x14ac:dyDescent="0.25">
      <c r="A489" s="20" t="s">
        <v>500</v>
      </c>
      <c r="B489" s="1" t="s">
        <v>4944</v>
      </c>
      <c r="C489" s="1" t="s">
        <v>4945</v>
      </c>
      <c r="D489" s="1" t="s">
        <v>4946</v>
      </c>
      <c r="E489" s="1" t="s">
        <v>4947</v>
      </c>
      <c r="F489" s="1" t="s">
        <v>4948</v>
      </c>
      <c r="G489" s="1" t="s">
        <v>4949</v>
      </c>
      <c r="H489" s="1" t="s">
        <v>1137</v>
      </c>
      <c r="I489" s="1" t="s">
        <v>979</v>
      </c>
      <c r="J489" s="1" t="s">
        <v>4950</v>
      </c>
      <c r="K489" s="1" t="s">
        <v>1218</v>
      </c>
      <c r="L489" s="1" t="s">
        <v>1219</v>
      </c>
      <c r="M489" s="1" t="s">
        <v>4951</v>
      </c>
      <c r="N489" s="1">
        <v>400</v>
      </c>
    </row>
    <row r="490" spans="1:14" x14ac:dyDescent="0.25">
      <c r="A490" s="20" t="s">
        <v>501</v>
      </c>
      <c r="B490" s="1" t="s">
        <v>4952</v>
      </c>
      <c r="C490" s="1" t="s">
        <v>4953</v>
      </c>
      <c r="D490" s="1" t="s">
        <v>4954</v>
      </c>
      <c r="E490" s="1" t="s">
        <v>4955</v>
      </c>
      <c r="F490" s="1" t="s">
        <v>4956</v>
      </c>
      <c r="G490" s="1" t="s">
        <v>4957</v>
      </c>
      <c r="H490" s="1" t="s">
        <v>4958</v>
      </c>
      <c r="I490" s="1" t="s">
        <v>4958</v>
      </c>
      <c r="J490" s="1" t="s">
        <v>4959</v>
      </c>
      <c r="K490" s="1" t="s">
        <v>1496</v>
      </c>
      <c r="L490" s="1" t="s">
        <v>2236</v>
      </c>
      <c r="M490" s="1" t="s">
        <v>4960</v>
      </c>
      <c r="N490" s="1">
        <v>25</v>
      </c>
    </row>
    <row r="491" spans="1:14" x14ac:dyDescent="0.25">
      <c r="A491" s="20" t="s">
        <v>502</v>
      </c>
      <c r="B491" s="1" t="s">
        <v>4961</v>
      </c>
      <c r="C491" s="1" t="s">
        <v>4962</v>
      </c>
      <c r="D491" s="1" t="s">
        <v>4963</v>
      </c>
      <c r="E491" s="1" t="s">
        <v>4964</v>
      </c>
      <c r="F491" s="1" t="s">
        <v>4965</v>
      </c>
      <c r="G491" s="1" t="s">
        <v>958</v>
      </c>
      <c r="H491" s="1" t="s">
        <v>1279</v>
      </c>
      <c r="I491" s="1" t="s">
        <v>979</v>
      </c>
      <c r="J491" s="1" t="s">
        <v>4966</v>
      </c>
      <c r="K491" s="1" t="s">
        <v>2</v>
      </c>
      <c r="L491" s="1" t="s">
        <v>1882</v>
      </c>
      <c r="M491" s="1" t="s">
        <v>4967</v>
      </c>
      <c r="N491" s="1">
        <v>25</v>
      </c>
    </row>
    <row r="492" spans="1:14" x14ac:dyDescent="0.25">
      <c r="A492" s="20" t="s">
        <v>503</v>
      </c>
      <c r="B492" s="1" t="s">
        <v>4968</v>
      </c>
      <c r="C492" s="1" t="s">
        <v>4969</v>
      </c>
      <c r="D492" s="1" t="s">
        <v>4970</v>
      </c>
      <c r="E492" s="1" t="s">
        <v>4971</v>
      </c>
      <c r="F492" s="1" t="s">
        <v>4972</v>
      </c>
      <c r="G492" s="1" t="s">
        <v>958</v>
      </c>
      <c r="H492" s="1" t="s">
        <v>1635</v>
      </c>
      <c r="I492" s="1" t="s">
        <v>1353</v>
      </c>
      <c r="J492" s="1" t="s">
        <v>4973</v>
      </c>
      <c r="K492" s="1" t="s">
        <v>1673</v>
      </c>
      <c r="L492" s="1" t="s">
        <v>4974</v>
      </c>
      <c r="M492" s="1" t="s">
        <v>4975</v>
      </c>
      <c r="N492" s="1">
        <v>25</v>
      </c>
    </row>
    <row r="493" spans="1:14" x14ac:dyDescent="0.25">
      <c r="A493" s="20" t="s">
        <v>504</v>
      </c>
      <c r="B493" s="1" t="s">
        <v>4976</v>
      </c>
      <c r="C493" s="1" t="s">
        <v>4977</v>
      </c>
      <c r="D493" s="1" t="s">
        <v>4978</v>
      </c>
      <c r="E493" s="1" t="s">
        <v>4979</v>
      </c>
      <c r="F493" s="1" t="s">
        <v>4980</v>
      </c>
      <c r="G493" s="1" t="s">
        <v>958</v>
      </c>
      <c r="H493" s="1" t="s">
        <v>1279</v>
      </c>
      <c r="I493" s="1" t="s">
        <v>979</v>
      </c>
      <c r="J493" s="1" t="s">
        <v>4966</v>
      </c>
      <c r="K493" s="1" t="s">
        <v>2</v>
      </c>
      <c r="L493" s="1" t="s">
        <v>1882</v>
      </c>
      <c r="M493" s="1" t="s">
        <v>4981</v>
      </c>
      <c r="N493" s="1">
        <v>25</v>
      </c>
    </row>
    <row r="494" spans="1:14" x14ac:dyDescent="0.25">
      <c r="A494" s="20" t="s">
        <v>505</v>
      </c>
      <c r="B494" s="1" t="s">
        <v>4982</v>
      </c>
      <c r="C494" s="1" t="s">
        <v>4983</v>
      </c>
      <c r="D494" s="1" t="s">
        <v>4984</v>
      </c>
      <c r="E494" s="1" t="s">
        <v>4985</v>
      </c>
      <c r="F494" s="1" t="s">
        <v>4986</v>
      </c>
      <c r="G494" s="1" t="s">
        <v>958</v>
      </c>
      <c r="H494" s="1" t="s">
        <v>2234</v>
      </c>
      <c r="I494" s="1" t="s">
        <v>2848</v>
      </c>
      <c r="J494" s="1" t="s">
        <v>4987</v>
      </c>
      <c r="K494" s="1" t="s">
        <v>910</v>
      </c>
      <c r="L494" s="1" t="s">
        <v>2174</v>
      </c>
      <c r="M494" s="1" t="s">
        <v>4988</v>
      </c>
      <c r="N494" s="1">
        <v>950</v>
      </c>
    </row>
    <row r="495" spans="1:14" x14ac:dyDescent="0.25">
      <c r="A495" s="20" t="s">
        <v>506</v>
      </c>
      <c r="B495" s="1" t="s">
        <v>4989</v>
      </c>
      <c r="C495" s="1" t="s">
        <v>4990</v>
      </c>
      <c r="D495" s="1" t="s">
        <v>4991</v>
      </c>
      <c r="E495" s="1" t="s">
        <v>4992</v>
      </c>
      <c r="F495" s="1" t="s">
        <v>4993</v>
      </c>
      <c r="G495" s="1" t="s">
        <v>958</v>
      </c>
      <c r="H495" s="1" t="s">
        <v>4994</v>
      </c>
      <c r="I495" s="1" t="s">
        <v>2405</v>
      </c>
      <c r="J495" s="1" t="s">
        <v>4995</v>
      </c>
      <c r="K495" s="1" t="s">
        <v>1637</v>
      </c>
      <c r="L495" s="1" t="s">
        <v>2316</v>
      </c>
      <c r="M495" s="1" t="s">
        <v>4996</v>
      </c>
      <c r="N495" s="1">
        <v>25</v>
      </c>
    </row>
    <row r="496" spans="1:14" x14ac:dyDescent="0.25">
      <c r="A496" s="20" t="s">
        <v>507</v>
      </c>
      <c r="B496" s="1" t="s">
        <v>4997</v>
      </c>
      <c r="C496" s="1" t="s">
        <v>4998</v>
      </c>
      <c r="D496" s="1" t="s">
        <v>4999</v>
      </c>
      <c r="E496" s="1" t="s">
        <v>5000</v>
      </c>
      <c r="F496" s="1" t="s">
        <v>5001</v>
      </c>
      <c r="G496" s="1" t="s">
        <v>958</v>
      </c>
      <c r="H496" s="1" t="s">
        <v>1297</v>
      </c>
      <c r="I496" s="1" t="s">
        <v>1298</v>
      </c>
      <c r="J496" s="1" t="s">
        <v>5002</v>
      </c>
      <c r="K496" s="1" t="s">
        <v>910</v>
      </c>
      <c r="L496" s="1" t="s">
        <v>981</v>
      </c>
      <c r="M496" s="1" t="s">
        <v>5003</v>
      </c>
      <c r="N496" s="1">
        <v>500</v>
      </c>
    </row>
    <row r="497" spans="1:14" x14ac:dyDescent="0.25">
      <c r="A497" s="20" t="s">
        <v>508</v>
      </c>
      <c r="B497" s="1" t="s">
        <v>5004</v>
      </c>
      <c r="C497" s="1" t="s">
        <v>5005</v>
      </c>
      <c r="D497" s="1" t="s">
        <v>5006</v>
      </c>
      <c r="E497" s="1" t="s">
        <v>5007</v>
      </c>
      <c r="F497" s="1" t="s">
        <v>5008</v>
      </c>
      <c r="G497" s="1" t="s">
        <v>958</v>
      </c>
      <c r="H497" s="1" t="s">
        <v>5009</v>
      </c>
      <c r="I497" s="1" t="s">
        <v>2634</v>
      </c>
      <c r="J497" s="1" t="s">
        <v>5010</v>
      </c>
      <c r="K497" s="1" t="s">
        <v>1637</v>
      </c>
      <c r="L497" s="1" t="s">
        <v>2627</v>
      </c>
      <c r="M497" s="1" t="s">
        <v>5011</v>
      </c>
      <c r="N497" s="1">
        <v>25</v>
      </c>
    </row>
    <row r="498" spans="1:14" x14ac:dyDescent="0.25">
      <c r="A498" s="20" t="s">
        <v>509</v>
      </c>
      <c r="B498" s="1" t="s">
        <v>5012</v>
      </c>
      <c r="C498" s="1" t="s">
        <v>5013</v>
      </c>
      <c r="D498" s="1" t="s">
        <v>5014</v>
      </c>
      <c r="E498" s="1" t="s">
        <v>5015</v>
      </c>
      <c r="F498" s="1" t="s">
        <v>5016</v>
      </c>
      <c r="G498" s="1" t="s">
        <v>958</v>
      </c>
      <c r="H498" s="1" t="s">
        <v>5017</v>
      </c>
      <c r="I498" s="1" t="s">
        <v>2848</v>
      </c>
      <c r="J498" s="1" t="s">
        <v>5018</v>
      </c>
      <c r="K498" s="1" t="s">
        <v>919</v>
      </c>
      <c r="L498" s="1" t="s">
        <v>918</v>
      </c>
      <c r="M498" s="1" t="s">
        <v>5019</v>
      </c>
      <c r="N498" s="1">
        <v>25</v>
      </c>
    </row>
    <row r="499" spans="1:14" x14ac:dyDescent="0.25">
      <c r="A499" s="20" t="s">
        <v>510</v>
      </c>
      <c r="B499" s="1" t="s">
        <v>5020</v>
      </c>
      <c r="C499" s="1" t="s">
        <v>5021</v>
      </c>
      <c r="D499" s="1" t="s">
        <v>964</v>
      </c>
      <c r="E499" s="1" t="s">
        <v>965</v>
      </c>
      <c r="F499" s="1" t="s">
        <v>5022</v>
      </c>
      <c r="G499" s="1" t="s">
        <v>958</v>
      </c>
      <c r="H499" s="1" t="s">
        <v>968</v>
      </c>
      <c r="I499" s="1" t="s">
        <v>969</v>
      </c>
      <c r="J499" s="1" t="s">
        <v>5023</v>
      </c>
      <c r="K499" s="1" t="s">
        <v>971</v>
      </c>
      <c r="L499" s="1" t="s">
        <v>972</v>
      </c>
      <c r="M499" s="1" t="s">
        <v>5024</v>
      </c>
      <c r="N499" s="1">
        <v>25</v>
      </c>
    </row>
    <row r="500" spans="1:14" x14ac:dyDescent="0.25">
      <c r="A500" s="20" t="s">
        <v>511</v>
      </c>
      <c r="B500" s="1" t="s">
        <v>5025</v>
      </c>
      <c r="C500" s="1" t="s">
        <v>5026</v>
      </c>
      <c r="D500" s="1" t="s">
        <v>5027</v>
      </c>
      <c r="E500" s="1" t="s">
        <v>5028</v>
      </c>
      <c r="F500" s="1" t="s">
        <v>5029</v>
      </c>
      <c r="G500" s="1" t="s">
        <v>958</v>
      </c>
      <c r="H500" s="1" t="s">
        <v>4016</v>
      </c>
      <c r="I500" s="1" t="s">
        <v>979</v>
      </c>
      <c r="J500" s="1" t="s">
        <v>5030</v>
      </c>
      <c r="K500" s="1" t="s">
        <v>1218</v>
      </c>
      <c r="L500" s="1" t="s">
        <v>1355</v>
      </c>
      <c r="M500" s="1" t="s">
        <v>5031</v>
      </c>
      <c r="N500" s="1">
        <v>25</v>
      </c>
    </row>
    <row r="501" spans="1:14" x14ac:dyDescent="0.25">
      <c r="A501" s="20" t="s">
        <v>512</v>
      </c>
      <c r="B501" s="1" t="s">
        <v>5032</v>
      </c>
      <c r="C501" s="1" t="s">
        <v>5033</v>
      </c>
      <c r="D501" s="1" t="s">
        <v>5034</v>
      </c>
      <c r="E501" s="1" t="s">
        <v>5035</v>
      </c>
      <c r="F501" s="1" t="s">
        <v>5036</v>
      </c>
      <c r="G501" s="1" t="s">
        <v>958</v>
      </c>
      <c r="H501" s="1" t="s">
        <v>979</v>
      </c>
      <c r="I501" s="1" t="s">
        <v>979</v>
      </c>
      <c r="J501" s="1" t="s">
        <v>990</v>
      </c>
      <c r="K501" s="1" t="s">
        <v>919</v>
      </c>
      <c r="L501" s="1" t="s">
        <v>918</v>
      </c>
      <c r="M501" s="1" t="s">
        <v>5037</v>
      </c>
      <c r="N501" s="1">
        <v>25</v>
      </c>
    </row>
    <row r="502" spans="1:14" x14ac:dyDescent="0.25">
      <c r="A502" s="20" t="s">
        <v>4</v>
      </c>
      <c r="B502" s="1" t="s">
        <v>5038</v>
      </c>
      <c r="C502" s="1" t="s">
        <v>5039</v>
      </c>
      <c r="D502" s="1" t="s">
        <v>5040</v>
      </c>
      <c r="E502" s="1" t="s">
        <v>5041</v>
      </c>
      <c r="F502" s="1" t="s">
        <v>5042</v>
      </c>
      <c r="G502" s="1" t="s">
        <v>958</v>
      </c>
      <c r="H502" s="1" t="s">
        <v>5043</v>
      </c>
      <c r="I502" s="1" t="s">
        <v>979</v>
      </c>
      <c r="J502" s="1" t="s">
        <v>5044</v>
      </c>
      <c r="K502" s="1" t="s">
        <v>1548</v>
      </c>
      <c r="L502" s="1" t="s">
        <v>3753</v>
      </c>
      <c r="M502" s="1" t="s">
        <v>5045</v>
      </c>
      <c r="N502" s="1">
        <v>25</v>
      </c>
    </row>
    <row r="503" spans="1:14" x14ac:dyDescent="0.25">
      <c r="A503" s="20" t="s">
        <v>513</v>
      </c>
      <c r="B503" s="1" t="s">
        <v>5046</v>
      </c>
      <c r="C503" s="1" t="s">
        <v>5047</v>
      </c>
      <c r="D503" s="1" t="s">
        <v>5048</v>
      </c>
      <c r="E503" s="1" t="s">
        <v>5049</v>
      </c>
      <c r="F503" s="1" t="s">
        <v>5050</v>
      </c>
      <c r="G503" s="1" t="s">
        <v>958</v>
      </c>
      <c r="H503" s="1" t="s">
        <v>5051</v>
      </c>
      <c r="I503" s="1" t="s">
        <v>1432</v>
      </c>
      <c r="J503" s="1" t="s">
        <v>5052</v>
      </c>
      <c r="K503" s="1" t="s">
        <v>4</v>
      </c>
      <c r="L503" s="1" t="s">
        <v>924</v>
      </c>
      <c r="M503" s="1" t="s">
        <v>5053</v>
      </c>
      <c r="N503" s="1">
        <v>75</v>
      </c>
    </row>
    <row r="504" spans="1:14" x14ac:dyDescent="0.25">
      <c r="A504" s="20" t="s">
        <v>514</v>
      </c>
      <c r="B504" s="1" t="s">
        <v>5054</v>
      </c>
      <c r="C504" s="1" t="s">
        <v>5055</v>
      </c>
      <c r="D504" s="1" t="s">
        <v>5056</v>
      </c>
      <c r="E504" s="1" t="s">
        <v>5057</v>
      </c>
      <c r="F504" s="1" t="s">
        <v>5058</v>
      </c>
      <c r="G504" s="1" t="s">
        <v>958</v>
      </c>
      <c r="H504" s="1" t="s">
        <v>998</v>
      </c>
      <c r="I504" s="1" t="s">
        <v>998</v>
      </c>
      <c r="J504" s="1" t="s">
        <v>5059</v>
      </c>
      <c r="K504" s="1" t="s">
        <v>8</v>
      </c>
      <c r="L504" s="1" t="s">
        <v>1020</v>
      </c>
      <c r="M504" s="1" t="s">
        <v>5060</v>
      </c>
      <c r="N504" s="1">
        <v>50</v>
      </c>
    </row>
    <row r="505" spans="1:14" x14ac:dyDescent="0.25">
      <c r="A505" s="20" t="s">
        <v>515</v>
      </c>
      <c r="B505" s="1" t="s">
        <v>5061</v>
      </c>
      <c r="C505" s="1" t="s">
        <v>5062</v>
      </c>
      <c r="D505" s="1" t="s">
        <v>5063</v>
      </c>
      <c r="E505" s="1" t="s">
        <v>5064</v>
      </c>
      <c r="F505" s="1" t="s">
        <v>5065</v>
      </c>
      <c r="G505" s="1" t="s">
        <v>958</v>
      </c>
      <c r="H505" s="1" t="s">
        <v>1201</v>
      </c>
      <c r="I505" s="1" t="s">
        <v>969</v>
      </c>
      <c r="J505" s="1" t="s">
        <v>5066</v>
      </c>
      <c r="K505" s="1" t="s">
        <v>971</v>
      </c>
      <c r="L505" s="1" t="s">
        <v>972</v>
      </c>
      <c r="M505" s="1" t="s">
        <v>5067</v>
      </c>
      <c r="N505" s="1">
        <v>25</v>
      </c>
    </row>
    <row r="506" spans="1:14" x14ac:dyDescent="0.25">
      <c r="A506" s="20" t="s">
        <v>516</v>
      </c>
      <c r="B506" s="1" t="s">
        <v>5068</v>
      </c>
      <c r="C506" s="1" t="s">
        <v>5069</v>
      </c>
      <c r="D506" s="1" t="s">
        <v>5070</v>
      </c>
      <c r="E506" s="1" t="s">
        <v>5071</v>
      </c>
      <c r="F506" s="1" t="s">
        <v>5072</v>
      </c>
      <c r="G506" s="1" t="s">
        <v>958</v>
      </c>
      <c r="H506" s="1" t="s">
        <v>5073</v>
      </c>
      <c r="I506" s="1" t="s">
        <v>1707</v>
      </c>
      <c r="J506" s="1" t="s">
        <v>5074</v>
      </c>
      <c r="K506" s="1" t="s">
        <v>914</v>
      </c>
      <c r="L506" s="1" t="s">
        <v>1398</v>
      </c>
      <c r="M506" s="1" t="s">
        <v>5075</v>
      </c>
      <c r="N506" s="1">
        <v>200</v>
      </c>
    </row>
    <row r="507" spans="1:14" x14ac:dyDescent="0.25">
      <c r="A507" s="20" t="s">
        <v>517</v>
      </c>
      <c r="B507" s="1" t="s">
        <v>5076</v>
      </c>
      <c r="C507" s="1" t="s">
        <v>5077</v>
      </c>
      <c r="D507" s="1" t="s">
        <v>5070</v>
      </c>
      <c r="E507" s="1" t="s">
        <v>5071</v>
      </c>
      <c r="F507" s="1" t="s">
        <v>5078</v>
      </c>
      <c r="G507" s="1" t="s">
        <v>958</v>
      </c>
      <c r="H507" s="1" t="s">
        <v>5073</v>
      </c>
      <c r="I507" s="1" t="s">
        <v>1707</v>
      </c>
      <c r="J507" s="1" t="s">
        <v>5074</v>
      </c>
      <c r="K507" s="1" t="s">
        <v>914</v>
      </c>
      <c r="L507" s="1" t="s">
        <v>1398</v>
      </c>
      <c r="M507" s="1" t="s">
        <v>5079</v>
      </c>
      <c r="N507" s="1">
        <v>200</v>
      </c>
    </row>
    <row r="508" spans="1:14" x14ac:dyDescent="0.25">
      <c r="A508" s="20" t="s">
        <v>518</v>
      </c>
      <c r="B508" s="1" t="s">
        <v>5080</v>
      </c>
      <c r="C508" s="1" t="s">
        <v>5081</v>
      </c>
      <c r="D508" s="1" t="s">
        <v>5082</v>
      </c>
      <c r="E508" s="1" t="s">
        <v>4029</v>
      </c>
      <c r="F508" s="1" t="s">
        <v>5083</v>
      </c>
      <c r="G508" s="1" t="s">
        <v>958</v>
      </c>
      <c r="H508" s="1" t="s">
        <v>5084</v>
      </c>
      <c r="I508" s="1" t="s">
        <v>3140</v>
      </c>
      <c r="K508" s="1" t="s">
        <v>914</v>
      </c>
      <c r="L508" s="1" t="s">
        <v>4035</v>
      </c>
      <c r="M508" s="1" t="s">
        <v>5085</v>
      </c>
      <c r="N508" s="1">
        <v>30</v>
      </c>
    </row>
    <row r="509" spans="1:14" x14ac:dyDescent="0.25">
      <c r="A509" s="20" t="s">
        <v>519</v>
      </c>
      <c r="B509" s="1" t="s">
        <v>5086</v>
      </c>
      <c r="C509" s="1" t="s">
        <v>5087</v>
      </c>
      <c r="D509" s="1" t="s">
        <v>5088</v>
      </c>
      <c r="E509" s="1" t="s">
        <v>5089</v>
      </c>
      <c r="F509" s="1" t="s">
        <v>5090</v>
      </c>
      <c r="G509" s="1" t="s">
        <v>958</v>
      </c>
      <c r="H509" s="1" t="s">
        <v>1707</v>
      </c>
      <c r="I509" s="1" t="s">
        <v>1707</v>
      </c>
      <c r="J509" s="1" t="s">
        <v>5091</v>
      </c>
      <c r="K509" s="1" t="s">
        <v>4482</v>
      </c>
      <c r="L509" s="1" t="s">
        <v>5092</v>
      </c>
      <c r="M509" s="1" t="s">
        <v>5093</v>
      </c>
      <c r="N509" s="1">
        <v>25</v>
      </c>
    </row>
    <row r="510" spans="1:14" x14ac:dyDescent="0.25">
      <c r="A510" s="20" t="s">
        <v>520</v>
      </c>
      <c r="B510" s="1" t="s">
        <v>5094</v>
      </c>
      <c r="C510" s="1" t="s">
        <v>5095</v>
      </c>
      <c r="D510" s="1" t="s">
        <v>5096</v>
      </c>
      <c r="E510" s="1" t="s">
        <v>5097</v>
      </c>
      <c r="F510" s="1" t="s">
        <v>5098</v>
      </c>
      <c r="G510" s="1" t="s">
        <v>958</v>
      </c>
      <c r="H510" s="1" t="s">
        <v>5099</v>
      </c>
      <c r="I510" s="1" t="s">
        <v>5100</v>
      </c>
      <c r="J510" s="1" t="s">
        <v>5101</v>
      </c>
      <c r="K510" s="1" t="s">
        <v>1</v>
      </c>
      <c r="L510" s="1" t="s">
        <v>5102</v>
      </c>
      <c r="M510" s="1" t="s">
        <v>5103</v>
      </c>
      <c r="N510" s="1">
        <v>500</v>
      </c>
    </row>
    <row r="511" spans="1:14" x14ac:dyDescent="0.25">
      <c r="A511" s="20" t="s">
        <v>521</v>
      </c>
      <c r="B511" s="1" t="s">
        <v>5104</v>
      </c>
      <c r="C511" s="1" t="s">
        <v>5105</v>
      </c>
      <c r="D511" s="1" t="s">
        <v>5106</v>
      </c>
      <c r="E511" s="1" t="s">
        <v>5107</v>
      </c>
      <c r="F511" s="1" t="s">
        <v>5108</v>
      </c>
      <c r="G511" s="1" t="s">
        <v>958</v>
      </c>
      <c r="H511" s="1" t="s">
        <v>5109</v>
      </c>
      <c r="I511" s="1" t="s">
        <v>2791</v>
      </c>
      <c r="J511" s="1" t="s">
        <v>5110</v>
      </c>
      <c r="K511" s="1" t="s">
        <v>10</v>
      </c>
      <c r="L511" s="1" t="s">
        <v>5111</v>
      </c>
      <c r="M511" s="1" t="s">
        <v>5112</v>
      </c>
      <c r="N511" s="1">
        <v>25</v>
      </c>
    </row>
    <row r="512" spans="1:14" x14ac:dyDescent="0.25">
      <c r="A512" s="20" t="s">
        <v>522</v>
      </c>
      <c r="B512" s="1" t="s">
        <v>5113</v>
      </c>
      <c r="C512" s="1" t="s">
        <v>5114</v>
      </c>
      <c r="D512" s="1" t="s">
        <v>5115</v>
      </c>
      <c r="E512" s="1" t="s">
        <v>5116</v>
      </c>
      <c r="F512" s="1" t="s">
        <v>5117</v>
      </c>
      <c r="G512" s="1" t="s">
        <v>958</v>
      </c>
      <c r="H512" s="1" t="s">
        <v>5118</v>
      </c>
      <c r="I512" s="1" t="s">
        <v>2405</v>
      </c>
      <c r="J512" s="1" t="s">
        <v>5119</v>
      </c>
      <c r="K512" s="1" t="s">
        <v>1871</v>
      </c>
      <c r="L512" s="1" t="s">
        <v>5120</v>
      </c>
      <c r="M512" s="1" t="s">
        <v>5121</v>
      </c>
      <c r="N512" s="1">
        <v>25</v>
      </c>
    </row>
    <row r="513" spans="1:14" x14ac:dyDescent="0.25">
      <c r="A513" s="20" t="s">
        <v>523</v>
      </c>
      <c r="B513" s="1" t="s">
        <v>5122</v>
      </c>
      <c r="C513" s="1" t="s">
        <v>5123</v>
      </c>
      <c r="D513" s="1" t="s">
        <v>5124</v>
      </c>
      <c r="E513" s="1" t="s">
        <v>5125</v>
      </c>
      <c r="F513" s="1" t="s">
        <v>5126</v>
      </c>
      <c r="G513" s="1" t="s">
        <v>958</v>
      </c>
      <c r="H513" s="1" t="s">
        <v>1879</v>
      </c>
      <c r="I513" s="1" t="s">
        <v>1760</v>
      </c>
      <c r="J513" s="1" t="s">
        <v>5127</v>
      </c>
      <c r="K513" s="1" t="s">
        <v>909</v>
      </c>
      <c r="L513" s="1" t="s">
        <v>1237</v>
      </c>
      <c r="M513" s="1" t="s">
        <v>5128</v>
      </c>
      <c r="N513" s="1">
        <v>50</v>
      </c>
    </row>
    <row r="514" spans="1:14" x14ac:dyDescent="0.25">
      <c r="A514" s="20" t="s">
        <v>524</v>
      </c>
      <c r="B514" s="1" t="s">
        <v>5129</v>
      </c>
      <c r="C514" s="1" t="s">
        <v>5130</v>
      </c>
      <c r="D514" s="1" t="s">
        <v>5131</v>
      </c>
      <c r="E514" s="1" t="s">
        <v>5132</v>
      </c>
      <c r="F514" s="1" t="s">
        <v>5133</v>
      </c>
      <c r="G514" s="1" t="s">
        <v>958</v>
      </c>
      <c r="H514" s="1" t="s">
        <v>1298</v>
      </c>
      <c r="I514" s="1" t="s">
        <v>1298</v>
      </c>
      <c r="J514" s="1" t="s">
        <v>5134</v>
      </c>
      <c r="K514" s="1" t="s">
        <v>5135</v>
      </c>
      <c r="L514" s="1" t="s">
        <v>5136</v>
      </c>
      <c r="M514" s="1" t="s">
        <v>5137</v>
      </c>
      <c r="N514" s="1">
        <v>25</v>
      </c>
    </row>
    <row r="515" spans="1:14" x14ac:dyDescent="0.25">
      <c r="A515" s="20" t="s">
        <v>525</v>
      </c>
      <c r="B515" s="1" t="s">
        <v>5138</v>
      </c>
      <c r="C515" s="1" t="s">
        <v>5139</v>
      </c>
      <c r="D515" s="1" t="s">
        <v>5140</v>
      </c>
      <c r="E515" s="1" t="s">
        <v>5141</v>
      </c>
      <c r="F515" s="1" t="s">
        <v>5142</v>
      </c>
      <c r="G515" s="1" t="s">
        <v>958</v>
      </c>
      <c r="H515" s="1" t="s">
        <v>1363</v>
      </c>
      <c r="I515" s="1" t="s">
        <v>1363</v>
      </c>
      <c r="J515" s="1" t="s">
        <v>5143</v>
      </c>
      <c r="K515" s="1" t="s">
        <v>1548</v>
      </c>
      <c r="L515" s="1" t="s">
        <v>5144</v>
      </c>
      <c r="M515" s="1" t="s">
        <v>5145</v>
      </c>
      <c r="N515" s="1">
        <v>50</v>
      </c>
    </row>
    <row r="516" spans="1:14" x14ac:dyDescent="0.25">
      <c r="A516" s="20" t="s">
        <v>526</v>
      </c>
      <c r="B516" s="1" t="s">
        <v>5146</v>
      </c>
      <c r="C516" s="1" t="s">
        <v>4624</v>
      </c>
      <c r="D516" s="1" t="s">
        <v>4625</v>
      </c>
      <c r="E516" s="1" t="s">
        <v>5147</v>
      </c>
      <c r="F516" s="1" t="s">
        <v>5148</v>
      </c>
      <c r="G516" s="1" t="s">
        <v>2902</v>
      </c>
      <c r="H516" s="1" t="s">
        <v>2903</v>
      </c>
      <c r="I516" s="1" t="s">
        <v>979</v>
      </c>
      <c r="J516" s="1" t="s">
        <v>4627</v>
      </c>
      <c r="K516" s="1" t="s">
        <v>1</v>
      </c>
      <c r="L516" s="1" t="s">
        <v>3916</v>
      </c>
      <c r="M516" s="1" t="s">
        <v>5149</v>
      </c>
      <c r="N516" s="1">
        <v>25</v>
      </c>
    </row>
    <row r="517" spans="1:14" x14ac:dyDescent="0.25">
      <c r="A517" s="20" t="s">
        <v>527</v>
      </c>
      <c r="B517" s="1" t="s">
        <v>5150</v>
      </c>
      <c r="C517" s="1" t="s">
        <v>5151</v>
      </c>
      <c r="D517" s="1" t="s">
        <v>5152</v>
      </c>
      <c r="E517" s="1" t="s">
        <v>5153</v>
      </c>
      <c r="F517" s="1" t="s">
        <v>5154</v>
      </c>
      <c r="G517" s="1" t="s">
        <v>958</v>
      </c>
      <c r="H517" s="1" t="s">
        <v>3211</v>
      </c>
      <c r="I517" s="1" t="s">
        <v>1287</v>
      </c>
      <c r="J517" s="1" t="s">
        <v>5155</v>
      </c>
      <c r="K517" s="1" t="s">
        <v>909</v>
      </c>
      <c r="L517" s="1" t="s">
        <v>5156</v>
      </c>
      <c r="M517" s="1" t="s">
        <v>5157</v>
      </c>
      <c r="N517" s="1">
        <v>25</v>
      </c>
    </row>
    <row r="518" spans="1:14" x14ac:dyDescent="0.25">
      <c r="A518" s="20" t="s">
        <v>528</v>
      </c>
      <c r="B518" s="1" t="s">
        <v>5158</v>
      </c>
      <c r="C518" s="1" t="s">
        <v>5159</v>
      </c>
      <c r="D518" s="1" t="s">
        <v>5160</v>
      </c>
      <c r="E518" s="1" t="s">
        <v>5161</v>
      </c>
      <c r="F518" s="1" t="s">
        <v>5162</v>
      </c>
      <c r="G518" s="1" t="s">
        <v>958</v>
      </c>
      <c r="H518" s="1" t="s">
        <v>5163</v>
      </c>
      <c r="I518" s="1" t="s">
        <v>1287</v>
      </c>
      <c r="J518" s="1" t="s">
        <v>5164</v>
      </c>
      <c r="K518" s="1" t="s">
        <v>1637</v>
      </c>
      <c r="L518" s="1" t="s">
        <v>4474</v>
      </c>
      <c r="M518" s="1" t="s">
        <v>5165</v>
      </c>
      <c r="N518" s="1">
        <v>25</v>
      </c>
    </row>
    <row r="519" spans="1:14" x14ac:dyDescent="0.25">
      <c r="A519" s="20" t="s">
        <v>529</v>
      </c>
      <c r="B519" s="1" t="s">
        <v>5166</v>
      </c>
      <c r="C519" s="1" t="s">
        <v>5167</v>
      </c>
      <c r="D519" s="1" t="s">
        <v>5168</v>
      </c>
      <c r="E519" s="1" t="s">
        <v>5169</v>
      </c>
      <c r="F519" s="1" t="s">
        <v>5170</v>
      </c>
      <c r="G519" s="1" t="s">
        <v>958</v>
      </c>
      <c r="H519" s="1" t="s">
        <v>5171</v>
      </c>
      <c r="I519" s="1" t="s">
        <v>979</v>
      </c>
      <c r="J519" s="1" t="s">
        <v>5172</v>
      </c>
      <c r="K519" s="1" t="s">
        <v>910</v>
      </c>
      <c r="L519" s="1" t="s">
        <v>3510</v>
      </c>
      <c r="M519" s="1" t="s">
        <v>5173</v>
      </c>
      <c r="N519" s="1">
        <v>50</v>
      </c>
    </row>
    <row r="520" spans="1:14" x14ac:dyDescent="0.25">
      <c r="A520" s="20" t="s">
        <v>530</v>
      </c>
      <c r="B520" s="1" t="s">
        <v>5174</v>
      </c>
      <c r="C520" s="1" t="s">
        <v>1653</v>
      </c>
      <c r="D520" s="1" t="s">
        <v>5175</v>
      </c>
      <c r="E520" s="1" t="s">
        <v>1651</v>
      </c>
      <c r="F520" s="1" t="s">
        <v>5176</v>
      </c>
      <c r="G520" s="1" t="s">
        <v>958</v>
      </c>
      <c r="H520" s="1" t="s">
        <v>1137</v>
      </c>
      <c r="I520" s="1" t="s">
        <v>979</v>
      </c>
      <c r="J520" s="1" t="s">
        <v>5177</v>
      </c>
      <c r="K520" s="1" t="s">
        <v>1089</v>
      </c>
      <c r="L520" s="1" t="s">
        <v>1656</v>
      </c>
      <c r="M520" s="1" t="s">
        <v>5178</v>
      </c>
      <c r="N520" s="1">
        <v>50</v>
      </c>
    </row>
    <row r="521" spans="1:14" x14ac:dyDescent="0.25">
      <c r="A521" s="20" t="s">
        <v>531</v>
      </c>
      <c r="B521" s="1" t="s">
        <v>5179</v>
      </c>
      <c r="C521" s="1" t="s">
        <v>5180</v>
      </c>
      <c r="D521" s="1" t="s">
        <v>5181</v>
      </c>
      <c r="E521" s="1" t="s">
        <v>5182</v>
      </c>
      <c r="F521" s="1" t="s">
        <v>5183</v>
      </c>
      <c r="G521" s="1" t="s">
        <v>958</v>
      </c>
      <c r="H521" s="1" t="s">
        <v>3882</v>
      </c>
      <c r="I521" s="1" t="s">
        <v>3882</v>
      </c>
      <c r="J521" s="1" t="s">
        <v>5184</v>
      </c>
      <c r="K521" s="1" t="s">
        <v>2165</v>
      </c>
      <c r="L521" s="1" t="s">
        <v>2166</v>
      </c>
      <c r="M521" s="1" t="s">
        <v>5185</v>
      </c>
      <c r="N521" s="1">
        <v>25</v>
      </c>
    </row>
    <row r="522" spans="1:14" x14ac:dyDescent="0.25">
      <c r="A522" s="20" t="s">
        <v>532</v>
      </c>
      <c r="B522" s="1" t="s">
        <v>5186</v>
      </c>
      <c r="C522" s="1" t="s">
        <v>5187</v>
      </c>
      <c r="D522" s="1" t="s">
        <v>5188</v>
      </c>
      <c r="E522" s="1" t="s">
        <v>5189</v>
      </c>
      <c r="F522" s="1" t="s">
        <v>5190</v>
      </c>
      <c r="G522" s="1" t="s">
        <v>958</v>
      </c>
      <c r="H522" s="1" t="s">
        <v>2990</v>
      </c>
      <c r="I522" s="1" t="s">
        <v>2990</v>
      </c>
      <c r="K522" s="1" t="s">
        <v>914</v>
      </c>
      <c r="L522" s="1" t="s">
        <v>5191</v>
      </c>
      <c r="M522" s="1" t="s">
        <v>5192</v>
      </c>
      <c r="N522" s="1">
        <v>25</v>
      </c>
    </row>
    <row r="523" spans="1:14" x14ac:dyDescent="0.25">
      <c r="A523" s="20" t="s">
        <v>533</v>
      </c>
      <c r="B523" s="1" t="s">
        <v>5193</v>
      </c>
      <c r="C523" s="1" t="s">
        <v>5194</v>
      </c>
      <c r="D523" s="1" t="s">
        <v>5195</v>
      </c>
      <c r="E523" s="1" t="s">
        <v>5196</v>
      </c>
      <c r="F523" s="1" t="s">
        <v>5197</v>
      </c>
      <c r="G523" s="1" t="s">
        <v>958</v>
      </c>
      <c r="H523" s="1" t="s">
        <v>3458</v>
      </c>
      <c r="I523" s="1" t="s">
        <v>1546</v>
      </c>
      <c r="J523" s="1" t="s">
        <v>5198</v>
      </c>
      <c r="K523" s="1" t="s">
        <v>1637</v>
      </c>
      <c r="L523" s="1" t="s">
        <v>2316</v>
      </c>
      <c r="M523" s="1" t="s">
        <v>5199</v>
      </c>
      <c r="N523" s="1">
        <v>25</v>
      </c>
    </row>
    <row r="524" spans="1:14" x14ac:dyDescent="0.25">
      <c r="A524" s="20" t="s">
        <v>534</v>
      </c>
      <c r="B524" s="1" t="s">
        <v>5200</v>
      </c>
      <c r="C524" s="1" t="s">
        <v>5201</v>
      </c>
      <c r="D524" s="1" t="s">
        <v>5202</v>
      </c>
      <c r="E524" s="1" t="s">
        <v>5203</v>
      </c>
      <c r="F524" s="1" t="s">
        <v>5204</v>
      </c>
      <c r="G524" s="1" t="s">
        <v>958</v>
      </c>
      <c r="H524" s="1" t="s">
        <v>2766</v>
      </c>
      <c r="I524" s="1" t="s">
        <v>2291</v>
      </c>
      <c r="J524" s="1" t="s">
        <v>5205</v>
      </c>
      <c r="K524" s="1" t="s">
        <v>8</v>
      </c>
      <c r="L524" s="1" t="s">
        <v>5206</v>
      </c>
      <c r="M524" s="1" t="s">
        <v>5207</v>
      </c>
      <c r="N524" s="1">
        <v>25</v>
      </c>
    </row>
    <row r="525" spans="1:14" x14ac:dyDescent="0.25">
      <c r="A525" s="20" t="s">
        <v>535</v>
      </c>
      <c r="B525" s="1" t="s">
        <v>5208</v>
      </c>
      <c r="C525" s="1" t="s">
        <v>5209</v>
      </c>
      <c r="D525" s="1" t="s">
        <v>5210</v>
      </c>
      <c r="E525" s="1" t="s">
        <v>5211</v>
      </c>
      <c r="F525" s="1" t="s">
        <v>5212</v>
      </c>
      <c r="G525" s="1" t="s">
        <v>958</v>
      </c>
      <c r="H525" s="1" t="s">
        <v>2291</v>
      </c>
      <c r="I525" s="1" t="s">
        <v>2266</v>
      </c>
      <c r="J525" s="1" t="s">
        <v>5213</v>
      </c>
      <c r="K525" s="1" t="s">
        <v>910</v>
      </c>
      <c r="L525" s="1" t="s">
        <v>3435</v>
      </c>
      <c r="M525" s="1" t="s">
        <v>5214</v>
      </c>
      <c r="N525" s="1">
        <v>25</v>
      </c>
    </row>
    <row r="526" spans="1:14" x14ac:dyDescent="0.25">
      <c r="A526" s="20" t="s">
        <v>536</v>
      </c>
      <c r="B526" s="1" t="s">
        <v>5215</v>
      </c>
      <c r="C526" s="1" t="s">
        <v>5216</v>
      </c>
      <c r="D526" s="1" t="s">
        <v>5217</v>
      </c>
      <c r="E526" s="1" t="s">
        <v>5218</v>
      </c>
      <c r="F526" s="1" t="s">
        <v>5219</v>
      </c>
      <c r="G526" s="1" t="s">
        <v>958</v>
      </c>
      <c r="H526" s="1" t="s">
        <v>4330</v>
      </c>
      <c r="I526" s="1" t="s">
        <v>1363</v>
      </c>
      <c r="J526" s="1" t="s">
        <v>5220</v>
      </c>
      <c r="K526" s="1" t="s">
        <v>919</v>
      </c>
      <c r="L526" s="1" t="s">
        <v>2301</v>
      </c>
      <c r="M526" s="1" t="s">
        <v>5221</v>
      </c>
      <c r="N526" s="1">
        <v>30</v>
      </c>
    </row>
    <row r="527" spans="1:14" x14ac:dyDescent="0.25">
      <c r="A527" s="20" t="s">
        <v>537</v>
      </c>
      <c r="B527" s="1" t="s">
        <v>5222</v>
      </c>
      <c r="C527" s="1" t="s">
        <v>5223</v>
      </c>
      <c r="D527" s="1" t="s">
        <v>5224</v>
      </c>
      <c r="E527" s="1" t="s">
        <v>5225</v>
      </c>
      <c r="F527" s="1" t="s">
        <v>5226</v>
      </c>
      <c r="G527" s="1" t="s">
        <v>958</v>
      </c>
      <c r="H527" s="1" t="s">
        <v>979</v>
      </c>
      <c r="I527" s="1" t="s">
        <v>979</v>
      </c>
      <c r="J527" s="1" t="s">
        <v>5227</v>
      </c>
      <c r="K527" s="1" t="s">
        <v>910</v>
      </c>
      <c r="L527" s="1" t="s">
        <v>981</v>
      </c>
      <c r="M527" s="1" t="s">
        <v>5228</v>
      </c>
      <c r="N527" s="1">
        <v>25</v>
      </c>
    </row>
    <row r="528" spans="1:14" x14ac:dyDescent="0.25">
      <c r="A528" s="20" t="s">
        <v>538</v>
      </c>
      <c r="B528" s="1" t="s">
        <v>5229</v>
      </c>
      <c r="C528" s="1" t="s">
        <v>5230</v>
      </c>
      <c r="D528" s="1" t="s">
        <v>5231</v>
      </c>
      <c r="E528" s="1" t="s">
        <v>5232</v>
      </c>
      <c r="F528" s="1" t="s">
        <v>5233</v>
      </c>
      <c r="G528" s="1" t="s">
        <v>958</v>
      </c>
      <c r="H528" s="1" t="s">
        <v>5234</v>
      </c>
      <c r="I528" s="1" t="s">
        <v>1236</v>
      </c>
      <c r="J528" s="1" t="s">
        <v>5235</v>
      </c>
      <c r="K528" s="1" t="s">
        <v>1548</v>
      </c>
      <c r="L528" s="1" t="s">
        <v>5236</v>
      </c>
      <c r="M528" s="1" t="s">
        <v>5237</v>
      </c>
      <c r="N528" s="1">
        <v>50</v>
      </c>
    </row>
    <row r="529" spans="1:14" x14ac:dyDescent="0.25">
      <c r="A529" s="20" t="s">
        <v>539</v>
      </c>
      <c r="B529" s="1" t="s">
        <v>5238</v>
      </c>
      <c r="C529" s="1" t="s">
        <v>5239</v>
      </c>
      <c r="D529" s="1" t="s">
        <v>5240</v>
      </c>
      <c r="E529" s="1" t="s">
        <v>5241</v>
      </c>
      <c r="F529" s="1" t="s">
        <v>5242</v>
      </c>
      <c r="G529" s="1" t="s">
        <v>958</v>
      </c>
      <c r="H529" s="1" t="s">
        <v>5243</v>
      </c>
      <c r="I529" s="1" t="s">
        <v>2744</v>
      </c>
      <c r="J529" s="1" t="s">
        <v>5244</v>
      </c>
      <c r="K529" s="1" t="s">
        <v>910</v>
      </c>
      <c r="L529" s="1" t="s">
        <v>5245</v>
      </c>
      <c r="M529" s="1" t="s">
        <v>5246</v>
      </c>
      <c r="N529" s="1">
        <v>25</v>
      </c>
    </row>
    <row r="530" spans="1:14" x14ac:dyDescent="0.25">
      <c r="A530" s="20" t="s">
        <v>540</v>
      </c>
      <c r="B530" s="1" t="s">
        <v>5247</v>
      </c>
      <c r="C530" s="1" t="s">
        <v>5248</v>
      </c>
      <c r="D530" s="1" t="s">
        <v>5249</v>
      </c>
      <c r="E530" s="1" t="s">
        <v>5250</v>
      </c>
      <c r="F530" s="1" t="s">
        <v>5251</v>
      </c>
      <c r="G530" s="1" t="s">
        <v>958</v>
      </c>
      <c r="H530" s="1" t="s">
        <v>979</v>
      </c>
      <c r="I530" s="1" t="s">
        <v>979</v>
      </c>
      <c r="J530" s="1" t="s">
        <v>2541</v>
      </c>
      <c r="K530" s="1" t="s">
        <v>2</v>
      </c>
      <c r="L530" s="1" t="s">
        <v>5252</v>
      </c>
      <c r="M530" s="1" t="s">
        <v>5253</v>
      </c>
      <c r="N530" s="1">
        <v>25</v>
      </c>
    </row>
    <row r="531" spans="1:14" x14ac:dyDescent="0.25">
      <c r="A531" s="20" t="s">
        <v>541</v>
      </c>
      <c r="B531" s="1" t="s">
        <v>5254</v>
      </c>
      <c r="C531" s="1" t="s">
        <v>5255</v>
      </c>
      <c r="D531" s="1" t="s">
        <v>5256</v>
      </c>
      <c r="E531" s="1" t="s">
        <v>5257</v>
      </c>
      <c r="F531" s="1" t="s">
        <v>5258</v>
      </c>
      <c r="G531" s="1" t="s">
        <v>958</v>
      </c>
      <c r="H531" s="1" t="s">
        <v>5259</v>
      </c>
      <c r="I531" s="1" t="s">
        <v>1672</v>
      </c>
      <c r="J531" s="1" t="s">
        <v>5260</v>
      </c>
      <c r="K531" s="1" t="s">
        <v>1637</v>
      </c>
      <c r="L531" s="1" t="s">
        <v>5261</v>
      </c>
      <c r="M531" s="1" t="s">
        <v>5262</v>
      </c>
      <c r="N531" s="1">
        <v>25</v>
      </c>
    </row>
    <row r="532" spans="1:14" x14ac:dyDescent="0.25">
      <c r="A532" s="20" t="s">
        <v>542</v>
      </c>
      <c r="B532" s="1" t="s">
        <v>5263</v>
      </c>
      <c r="C532" s="1" t="s">
        <v>5264</v>
      </c>
      <c r="D532" s="1" t="s">
        <v>5265</v>
      </c>
      <c r="E532" s="1" t="s">
        <v>5266</v>
      </c>
      <c r="F532" s="1" t="s">
        <v>5267</v>
      </c>
      <c r="G532" s="1" t="s">
        <v>5268</v>
      </c>
      <c r="H532" s="1" t="s">
        <v>3395</v>
      </c>
      <c r="I532" s="1" t="s">
        <v>1165</v>
      </c>
      <c r="K532" s="1" t="s">
        <v>1</v>
      </c>
      <c r="L532" s="1" t="s">
        <v>4561</v>
      </c>
      <c r="M532" s="1" t="s">
        <v>5269</v>
      </c>
      <c r="N532" s="1">
        <v>25</v>
      </c>
    </row>
    <row r="533" spans="1:14" x14ac:dyDescent="0.25">
      <c r="A533" s="20" t="s">
        <v>543</v>
      </c>
      <c r="B533" s="1" t="s">
        <v>5270</v>
      </c>
      <c r="C533" s="1" t="s">
        <v>5271</v>
      </c>
      <c r="D533" s="1" t="s">
        <v>5272</v>
      </c>
      <c r="E533" s="1" t="s">
        <v>5273</v>
      </c>
      <c r="F533" s="1" t="s">
        <v>5274</v>
      </c>
      <c r="G533" s="1" t="s">
        <v>958</v>
      </c>
      <c r="H533" s="1" t="s">
        <v>1116</v>
      </c>
      <c r="I533" s="1" t="s">
        <v>1116</v>
      </c>
      <c r="J533" s="1" t="s">
        <v>5275</v>
      </c>
      <c r="K533" s="1" t="s">
        <v>1478</v>
      </c>
      <c r="L533" s="1" t="s">
        <v>5276</v>
      </c>
      <c r="M533" s="1" t="s">
        <v>5277</v>
      </c>
      <c r="N533" s="1">
        <v>25</v>
      </c>
    </row>
    <row r="534" spans="1:14" x14ac:dyDescent="0.25">
      <c r="A534" s="20" t="s">
        <v>544</v>
      </c>
      <c r="B534" s="1" t="s">
        <v>5278</v>
      </c>
      <c r="C534" s="1" t="s">
        <v>5279</v>
      </c>
      <c r="D534" s="1" t="s">
        <v>5280</v>
      </c>
      <c r="E534" s="1" t="s">
        <v>5281</v>
      </c>
      <c r="F534" s="1" t="s">
        <v>5282</v>
      </c>
      <c r="G534" s="1" t="s">
        <v>958</v>
      </c>
      <c r="H534" s="1" t="s">
        <v>5283</v>
      </c>
      <c r="I534" s="1" t="s">
        <v>1070</v>
      </c>
      <c r="J534" s="1" t="s">
        <v>5284</v>
      </c>
      <c r="K534" s="1" t="s">
        <v>5285</v>
      </c>
      <c r="L534" s="1" t="s">
        <v>5286</v>
      </c>
      <c r="M534" s="1" t="s">
        <v>5287</v>
      </c>
      <c r="N534" s="1">
        <v>25</v>
      </c>
    </row>
    <row r="535" spans="1:14" x14ac:dyDescent="0.25">
      <c r="A535" s="20" t="s">
        <v>545</v>
      </c>
      <c r="B535" s="1" t="s">
        <v>5288</v>
      </c>
      <c r="C535" s="1" t="s">
        <v>5289</v>
      </c>
      <c r="D535" s="1" t="s">
        <v>3630</v>
      </c>
      <c r="E535" s="1" t="s">
        <v>5290</v>
      </c>
      <c r="F535" s="1" t="s">
        <v>5291</v>
      </c>
      <c r="G535" s="1" t="s">
        <v>958</v>
      </c>
      <c r="H535" s="1" t="s">
        <v>1879</v>
      </c>
      <c r="I535" s="1" t="s">
        <v>1026</v>
      </c>
      <c r="J535" s="1" t="s">
        <v>5292</v>
      </c>
      <c r="K535" s="1" t="s">
        <v>1478</v>
      </c>
      <c r="L535" s="1" t="s">
        <v>5293</v>
      </c>
      <c r="M535" s="1" t="s">
        <v>5294</v>
      </c>
      <c r="N535" s="1">
        <v>25</v>
      </c>
    </row>
    <row r="536" spans="1:14" x14ac:dyDescent="0.25">
      <c r="A536" s="20" t="s">
        <v>546</v>
      </c>
      <c r="B536" s="1" t="s">
        <v>5295</v>
      </c>
      <c r="C536" s="1" t="s">
        <v>5296</v>
      </c>
      <c r="D536" s="1" t="s">
        <v>5297</v>
      </c>
      <c r="E536" s="1" t="s">
        <v>5298</v>
      </c>
      <c r="F536" s="1" t="s">
        <v>5299</v>
      </c>
      <c r="G536" s="1" t="s">
        <v>958</v>
      </c>
      <c r="H536" s="1" t="s">
        <v>1635</v>
      </c>
      <c r="I536" s="1" t="s">
        <v>1353</v>
      </c>
      <c r="J536" s="1" t="s">
        <v>5300</v>
      </c>
      <c r="K536" s="1" t="s">
        <v>4</v>
      </c>
      <c r="L536" s="1" t="s">
        <v>5301</v>
      </c>
      <c r="M536" s="1" t="s">
        <v>5302</v>
      </c>
      <c r="N536" s="1">
        <v>100</v>
      </c>
    </row>
    <row r="537" spans="1:14" x14ac:dyDescent="0.25">
      <c r="A537" s="20" t="s">
        <v>547</v>
      </c>
      <c r="B537" s="1" t="s">
        <v>5303</v>
      </c>
      <c r="C537" s="1" t="s">
        <v>5304</v>
      </c>
      <c r="D537" s="1" t="s">
        <v>5305</v>
      </c>
      <c r="E537" s="1" t="s">
        <v>5306</v>
      </c>
      <c r="F537" s="1" t="s">
        <v>5307</v>
      </c>
      <c r="G537" s="1" t="s">
        <v>958</v>
      </c>
      <c r="H537" s="1" t="s">
        <v>2531</v>
      </c>
      <c r="I537" s="1" t="s">
        <v>1287</v>
      </c>
      <c r="J537" s="1" t="s">
        <v>5308</v>
      </c>
      <c r="K537" s="1" t="s">
        <v>915</v>
      </c>
      <c r="L537" s="1" t="s">
        <v>4078</v>
      </c>
      <c r="M537" s="1" t="s">
        <v>5309</v>
      </c>
      <c r="N537" s="1">
        <v>25</v>
      </c>
    </row>
    <row r="538" spans="1:14" x14ac:dyDescent="0.25">
      <c r="A538" s="20" t="s">
        <v>548</v>
      </c>
      <c r="B538" s="1" t="s">
        <v>5310</v>
      </c>
      <c r="C538" s="1" t="s">
        <v>5311</v>
      </c>
      <c r="D538" s="1" t="s">
        <v>5312</v>
      </c>
      <c r="E538" s="1" t="s">
        <v>5313</v>
      </c>
      <c r="F538" s="1" t="s">
        <v>5314</v>
      </c>
      <c r="G538" s="1" t="s">
        <v>958</v>
      </c>
      <c r="H538" s="1" t="s">
        <v>4196</v>
      </c>
      <c r="I538" s="1" t="s">
        <v>4196</v>
      </c>
      <c r="J538" s="1" t="s">
        <v>5315</v>
      </c>
      <c r="K538" s="1" t="s">
        <v>4</v>
      </c>
      <c r="L538" s="1" t="s">
        <v>5316</v>
      </c>
      <c r="M538" s="1" t="s">
        <v>5317</v>
      </c>
      <c r="N538" s="1">
        <v>75</v>
      </c>
    </row>
    <row r="539" spans="1:14" x14ac:dyDescent="0.25">
      <c r="A539" s="20" t="s">
        <v>549</v>
      </c>
      <c r="B539" s="1" t="s">
        <v>5318</v>
      </c>
      <c r="C539" s="1" t="s">
        <v>5319</v>
      </c>
      <c r="D539" s="1" t="s">
        <v>5320</v>
      </c>
      <c r="E539" s="1" t="s">
        <v>5321</v>
      </c>
      <c r="F539" s="1" t="s">
        <v>5322</v>
      </c>
      <c r="G539" s="1" t="s">
        <v>958</v>
      </c>
      <c r="H539" s="1" t="s">
        <v>2617</v>
      </c>
      <c r="I539" s="1" t="s">
        <v>2617</v>
      </c>
      <c r="J539" s="1" t="s">
        <v>5323</v>
      </c>
      <c r="K539" s="1" t="s">
        <v>1637</v>
      </c>
      <c r="L539" s="1" t="s">
        <v>2316</v>
      </c>
      <c r="M539" s="1" t="s">
        <v>5324</v>
      </c>
      <c r="N539" s="1">
        <v>75</v>
      </c>
    </row>
    <row r="540" spans="1:14" x14ac:dyDescent="0.25">
      <c r="A540" s="20" t="s">
        <v>550</v>
      </c>
      <c r="B540" s="1" t="s">
        <v>5325</v>
      </c>
      <c r="C540" s="1" t="s">
        <v>5326</v>
      </c>
      <c r="D540" s="1" t="s">
        <v>5327</v>
      </c>
      <c r="E540" s="1" t="s">
        <v>5328</v>
      </c>
      <c r="F540" s="1" t="s">
        <v>5329</v>
      </c>
      <c r="G540" s="1" t="s">
        <v>958</v>
      </c>
      <c r="H540" s="1" t="s">
        <v>1018</v>
      </c>
      <c r="I540" s="1" t="s">
        <v>1116</v>
      </c>
      <c r="J540" s="1" t="s">
        <v>5330</v>
      </c>
      <c r="K540" s="1" t="s">
        <v>1</v>
      </c>
      <c r="L540" s="1" t="s">
        <v>1734</v>
      </c>
      <c r="M540" s="1" t="s">
        <v>5331</v>
      </c>
      <c r="N540" s="1">
        <v>50</v>
      </c>
    </row>
    <row r="541" spans="1:14" x14ac:dyDescent="0.25">
      <c r="A541" s="20" t="s">
        <v>551</v>
      </c>
      <c r="B541" s="1" t="s">
        <v>5332</v>
      </c>
      <c r="C541" s="1" t="s">
        <v>5333</v>
      </c>
      <c r="D541" s="1" t="s">
        <v>5334</v>
      </c>
      <c r="E541" s="1" t="s">
        <v>5335</v>
      </c>
      <c r="F541" s="1" t="s">
        <v>5336</v>
      </c>
      <c r="G541" s="1" t="s">
        <v>958</v>
      </c>
      <c r="H541" s="1" t="s">
        <v>1018</v>
      </c>
      <c r="I541" s="1" t="s">
        <v>1116</v>
      </c>
      <c r="J541" s="1" t="s">
        <v>5337</v>
      </c>
      <c r="K541" s="1" t="s">
        <v>8</v>
      </c>
      <c r="L541" s="1" t="s">
        <v>1129</v>
      </c>
      <c r="M541" s="1" t="s">
        <v>5338</v>
      </c>
      <c r="N541" s="1">
        <v>100</v>
      </c>
    </row>
    <row r="542" spans="1:14" x14ac:dyDescent="0.25">
      <c r="A542" s="20" t="s">
        <v>552</v>
      </c>
      <c r="B542" s="1" t="s">
        <v>5339</v>
      </c>
      <c r="C542" s="1" t="s">
        <v>2754</v>
      </c>
      <c r="D542" s="1" t="s">
        <v>5340</v>
      </c>
      <c r="E542" s="1" t="s">
        <v>5341</v>
      </c>
      <c r="F542" s="1" t="s">
        <v>5342</v>
      </c>
      <c r="G542" s="1" t="s">
        <v>958</v>
      </c>
      <c r="H542" s="1" t="s">
        <v>5343</v>
      </c>
      <c r="I542" s="1" t="s">
        <v>2209</v>
      </c>
      <c r="J542" s="1" t="s">
        <v>5344</v>
      </c>
      <c r="K542" s="1" t="s">
        <v>13</v>
      </c>
      <c r="L542" s="1" t="s">
        <v>5345</v>
      </c>
      <c r="M542" s="1" t="s">
        <v>5346</v>
      </c>
      <c r="N542" s="1">
        <v>25</v>
      </c>
    </row>
    <row r="543" spans="1:14" x14ac:dyDescent="0.25">
      <c r="A543" s="20" t="s">
        <v>553</v>
      </c>
      <c r="B543" s="1" t="s">
        <v>5347</v>
      </c>
      <c r="C543" s="1" t="s">
        <v>5348</v>
      </c>
      <c r="D543" s="1" t="s">
        <v>5349</v>
      </c>
      <c r="E543" s="1" t="s">
        <v>5350</v>
      </c>
      <c r="F543" s="1" t="s">
        <v>5351</v>
      </c>
      <c r="G543" s="1" t="s">
        <v>958</v>
      </c>
      <c r="H543" s="1" t="s">
        <v>5352</v>
      </c>
      <c r="I543" s="1" t="s">
        <v>2266</v>
      </c>
      <c r="J543" s="1" t="s">
        <v>5353</v>
      </c>
      <c r="K543" s="1" t="s">
        <v>4</v>
      </c>
      <c r="L543" s="1" t="s">
        <v>924</v>
      </c>
      <c r="M543" s="1" t="s">
        <v>5354</v>
      </c>
      <c r="N543" s="1">
        <v>25</v>
      </c>
    </row>
    <row r="544" spans="1:14" x14ac:dyDescent="0.25">
      <c r="A544" s="20" t="s">
        <v>554</v>
      </c>
      <c r="B544" s="1" t="s">
        <v>5355</v>
      </c>
      <c r="C544" s="1" t="s">
        <v>5356</v>
      </c>
      <c r="D544" s="1" t="s">
        <v>5357</v>
      </c>
      <c r="E544" s="1" t="s">
        <v>5358</v>
      </c>
      <c r="F544" s="1" t="s">
        <v>5359</v>
      </c>
      <c r="G544" s="1" t="s">
        <v>958</v>
      </c>
      <c r="H544" s="1" t="s">
        <v>1051</v>
      </c>
      <c r="I544" s="1" t="s">
        <v>1018</v>
      </c>
      <c r="J544" s="1" t="s">
        <v>5360</v>
      </c>
      <c r="K544" s="1" t="s">
        <v>1</v>
      </c>
      <c r="L544" s="1" t="s">
        <v>5361</v>
      </c>
      <c r="M544" s="1" t="s">
        <v>5362</v>
      </c>
      <c r="N544" s="1">
        <v>25</v>
      </c>
    </row>
    <row r="545" spans="1:14" x14ac:dyDescent="0.25">
      <c r="A545" s="20" t="s">
        <v>555</v>
      </c>
      <c r="B545" s="1" t="s">
        <v>5363</v>
      </c>
      <c r="C545" s="1" t="s">
        <v>5364</v>
      </c>
      <c r="D545" s="1" t="s">
        <v>5365</v>
      </c>
      <c r="E545" s="1" t="s">
        <v>5366</v>
      </c>
      <c r="F545" s="1" t="s">
        <v>5367</v>
      </c>
      <c r="G545" s="1" t="s">
        <v>958</v>
      </c>
      <c r="H545" s="1" t="s">
        <v>5368</v>
      </c>
      <c r="I545" s="1" t="s">
        <v>1308</v>
      </c>
      <c r="J545" s="1" t="s">
        <v>5369</v>
      </c>
      <c r="K545" s="1" t="s">
        <v>1637</v>
      </c>
      <c r="L545" s="1" t="s">
        <v>2316</v>
      </c>
      <c r="M545" s="1" t="s">
        <v>5370</v>
      </c>
      <c r="N545" s="1">
        <v>25</v>
      </c>
    </row>
    <row r="546" spans="1:14" x14ac:dyDescent="0.25">
      <c r="A546" s="20" t="s">
        <v>556</v>
      </c>
      <c r="B546" s="1" t="s">
        <v>5371</v>
      </c>
      <c r="C546" s="1" t="s">
        <v>5372</v>
      </c>
      <c r="D546" s="1" t="s">
        <v>5373</v>
      </c>
      <c r="E546" s="1" t="s">
        <v>5374</v>
      </c>
      <c r="F546" s="1" t="s">
        <v>5375</v>
      </c>
      <c r="G546" s="1" t="s">
        <v>958</v>
      </c>
      <c r="H546" s="1" t="s">
        <v>1018</v>
      </c>
      <c r="I546" s="1" t="s">
        <v>1018</v>
      </c>
      <c r="J546" s="1" t="s">
        <v>5376</v>
      </c>
      <c r="K546" s="1" t="s">
        <v>1218</v>
      </c>
      <c r="L546" s="1" t="s">
        <v>1355</v>
      </c>
      <c r="M546" s="1" t="s">
        <v>5377</v>
      </c>
      <c r="N546" s="1">
        <v>30</v>
      </c>
    </row>
    <row r="547" spans="1:14" x14ac:dyDescent="0.25">
      <c r="A547" s="20" t="s">
        <v>557</v>
      </c>
      <c r="B547" s="1" t="s">
        <v>5378</v>
      </c>
      <c r="C547" s="1" t="s">
        <v>5379</v>
      </c>
      <c r="D547" s="1" t="s">
        <v>5380</v>
      </c>
      <c r="E547" s="1" t="s">
        <v>5381</v>
      </c>
      <c r="F547" s="1" t="s">
        <v>5382</v>
      </c>
      <c r="G547" s="1" t="s">
        <v>958</v>
      </c>
      <c r="H547" s="1" t="s">
        <v>5383</v>
      </c>
      <c r="I547" s="1" t="s">
        <v>979</v>
      </c>
      <c r="J547" s="1" t="s">
        <v>5384</v>
      </c>
      <c r="K547" s="1" t="s">
        <v>3</v>
      </c>
      <c r="L547" s="1" t="s">
        <v>3836</v>
      </c>
      <c r="M547" s="1" t="s">
        <v>5385</v>
      </c>
      <c r="N547" s="1">
        <v>50</v>
      </c>
    </row>
    <row r="548" spans="1:14" x14ac:dyDescent="0.25">
      <c r="A548" s="20" t="s">
        <v>558</v>
      </c>
      <c r="B548" s="1" t="s">
        <v>5386</v>
      </c>
      <c r="C548" s="1" t="s">
        <v>5387</v>
      </c>
      <c r="D548" s="1" t="s">
        <v>5388</v>
      </c>
      <c r="E548" s="1" t="s">
        <v>5389</v>
      </c>
      <c r="F548" s="1" t="s">
        <v>5390</v>
      </c>
      <c r="G548" s="1" t="s">
        <v>958</v>
      </c>
      <c r="H548" s="1" t="s">
        <v>2122</v>
      </c>
      <c r="I548" s="1" t="s">
        <v>1070</v>
      </c>
      <c r="J548" s="1" t="s">
        <v>5391</v>
      </c>
      <c r="K548" s="1" t="s">
        <v>910</v>
      </c>
      <c r="L548" s="1" t="s">
        <v>5392</v>
      </c>
      <c r="M548" s="1" t="s">
        <v>5393</v>
      </c>
      <c r="N548" s="1">
        <v>25</v>
      </c>
    </row>
    <row r="549" spans="1:14" x14ac:dyDescent="0.25">
      <c r="A549" s="20" t="s">
        <v>559</v>
      </c>
      <c r="B549" s="1" t="s">
        <v>5394</v>
      </c>
      <c r="C549" s="1" t="s">
        <v>5395</v>
      </c>
      <c r="D549" s="1" t="s">
        <v>5396</v>
      </c>
      <c r="E549" s="1" t="s">
        <v>5397</v>
      </c>
      <c r="F549" s="1" t="s">
        <v>5398</v>
      </c>
      <c r="G549" s="1" t="s">
        <v>958</v>
      </c>
      <c r="H549" s="1" t="s">
        <v>5399</v>
      </c>
      <c r="I549" s="1" t="s">
        <v>1070</v>
      </c>
      <c r="J549" s="1" t="s">
        <v>5400</v>
      </c>
      <c r="K549" s="1" t="s">
        <v>1</v>
      </c>
      <c r="L549" s="1" t="s">
        <v>5401</v>
      </c>
      <c r="M549" s="1" t="s">
        <v>5402</v>
      </c>
      <c r="N549" s="1">
        <v>40</v>
      </c>
    </row>
    <row r="550" spans="1:14" x14ac:dyDescent="0.25">
      <c r="A550" s="20" t="s">
        <v>560</v>
      </c>
      <c r="B550" s="1" t="s">
        <v>5403</v>
      </c>
      <c r="C550" s="1" t="s">
        <v>5404</v>
      </c>
      <c r="D550" s="1" t="s">
        <v>5405</v>
      </c>
      <c r="E550" s="1" t="s">
        <v>5406</v>
      </c>
      <c r="F550" s="1" t="s">
        <v>5407</v>
      </c>
      <c r="G550" s="1" t="s">
        <v>958</v>
      </c>
      <c r="H550" s="1" t="s">
        <v>2990</v>
      </c>
      <c r="I550" s="1" t="s">
        <v>1060</v>
      </c>
      <c r="J550" s="1" t="s">
        <v>5408</v>
      </c>
      <c r="K550" s="1" t="s">
        <v>1548</v>
      </c>
      <c r="L550" s="1" t="s">
        <v>5409</v>
      </c>
      <c r="M550" s="1" t="s">
        <v>5410</v>
      </c>
      <c r="N550" s="1">
        <v>100</v>
      </c>
    </row>
    <row r="551" spans="1:14" x14ac:dyDescent="0.25">
      <c r="A551" s="20" t="s">
        <v>561</v>
      </c>
      <c r="B551" s="1" t="s">
        <v>5411</v>
      </c>
      <c r="C551" s="1" t="s">
        <v>5412</v>
      </c>
      <c r="D551" s="1" t="s">
        <v>5413</v>
      </c>
      <c r="E551" s="1" t="s">
        <v>5414</v>
      </c>
      <c r="F551" s="1" t="s">
        <v>5415</v>
      </c>
      <c r="G551" s="1" t="s">
        <v>958</v>
      </c>
      <c r="H551" s="1" t="s">
        <v>1086</v>
      </c>
      <c r="I551" s="1" t="s">
        <v>1087</v>
      </c>
      <c r="J551" s="1" t="s">
        <v>5416</v>
      </c>
      <c r="K551" s="1" t="s">
        <v>1871</v>
      </c>
      <c r="L551" s="1" t="s">
        <v>5417</v>
      </c>
      <c r="M551" s="1" t="s">
        <v>5418</v>
      </c>
      <c r="N551" s="1">
        <v>25</v>
      </c>
    </row>
    <row r="552" spans="1:14" x14ac:dyDescent="0.25">
      <c r="A552" s="20" t="s">
        <v>562</v>
      </c>
      <c r="B552" s="1" t="s">
        <v>5419</v>
      </c>
      <c r="C552" s="1" t="s">
        <v>5420</v>
      </c>
      <c r="D552" s="1" t="s">
        <v>5421</v>
      </c>
      <c r="E552" s="1" t="s">
        <v>5422</v>
      </c>
      <c r="F552" s="1" t="s">
        <v>5423</v>
      </c>
      <c r="G552" s="1" t="s">
        <v>958</v>
      </c>
      <c r="H552" s="1" t="s">
        <v>5424</v>
      </c>
      <c r="I552" s="1" t="s">
        <v>3882</v>
      </c>
      <c r="J552" s="1" t="s">
        <v>5425</v>
      </c>
      <c r="K552" s="1" t="s">
        <v>910</v>
      </c>
      <c r="L552" s="1" t="s">
        <v>1752</v>
      </c>
      <c r="M552" s="1" t="s">
        <v>5426</v>
      </c>
      <c r="N552" s="1">
        <v>250</v>
      </c>
    </row>
    <row r="553" spans="1:14" x14ac:dyDescent="0.25">
      <c r="A553" s="20" t="s">
        <v>563</v>
      </c>
      <c r="B553" s="1" t="s">
        <v>5427</v>
      </c>
      <c r="C553" s="1" t="s">
        <v>5428</v>
      </c>
      <c r="D553" s="1" t="s">
        <v>5429</v>
      </c>
      <c r="E553" s="1" t="s">
        <v>5430</v>
      </c>
      <c r="F553" s="1" t="s">
        <v>5431</v>
      </c>
      <c r="G553" s="1" t="s">
        <v>958</v>
      </c>
      <c r="H553" s="1" t="s">
        <v>1545</v>
      </c>
      <c r="I553" s="1" t="s">
        <v>1546</v>
      </c>
      <c r="J553" s="1" t="s">
        <v>5432</v>
      </c>
      <c r="K553" s="1" t="s">
        <v>8</v>
      </c>
      <c r="L553" s="1" t="s">
        <v>5433</v>
      </c>
      <c r="M553" s="1" t="s">
        <v>5434</v>
      </c>
      <c r="N553" s="1">
        <v>50</v>
      </c>
    </row>
    <row r="554" spans="1:14" x14ac:dyDescent="0.25">
      <c r="A554" s="20" t="s">
        <v>564</v>
      </c>
      <c r="B554" s="1" t="s">
        <v>5435</v>
      </c>
      <c r="C554" s="1" t="s">
        <v>5436</v>
      </c>
      <c r="D554" s="1" t="s">
        <v>5437</v>
      </c>
      <c r="E554" s="1" t="s">
        <v>3193</v>
      </c>
      <c r="F554" s="1" t="s">
        <v>5438</v>
      </c>
      <c r="G554" s="1" t="s">
        <v>958</v>
      </c>
      <c r="H554" s="1" t="s">
        <v>5439</v>
      </c>
      <c r="I554" s="1" t="s">
        <v>1116</v>
      </c>
      <c r="J554" s="1" t="s">
        <v>3197</v>
      </c>
      <c r="K554" s="1" t="s">
        <v>13</v>
      </c>
      <c r="L554" s="1" t="s">
        <v>1346</v>
      </c>
      <c r="M554" s="1" t="s">
        <v>5440</v>
      </c>
      <c r="N554" s="1">
        <v>25</v>
      </c>
    </row>
    <row r="555" spans="1:14" x14ac:dyDescent="0.25">
      <c r="A555" s="20" t="s">
        <v>565</v>
      </c>
      <c r="B555" s="1" t="s">
        <v>5441</v>
      </c>
      <c r="C555" s="1" t="s">
        <v>5442</v>
      </c>
      <c r="D555" s="1" t="s">
        <v>5443</v>
      </c>
      <c r="E555" s="1" t="s">
        <v>5444</v>
      </c>
      <c r="F555" s="1" t="s">
        <v>5445</v>
      </c>
      <c r="G555" s="1" t="s">
        <v>958</v>
      </c>
      <c r="H555" s="1" t="s">
        <v>5446</v>
      </c>
      <c r="I555" s="1" t="s">
        <v>1308</v>
      </c>
      <c r="J555" s="1" t="s">
        <v>5447</v>
      </c>
      <c r="K555" s="1" t="s">
        <v>13</v>
      </c>
      <c r="L555" s="1" t="s">
        <v>5448</v>
      </c>
      <c r="M555" s="1" t="s">
        <v>5449</v>
      </c>
      <c r="N555" s="1">
        <v>25</v>
      </c>
    </row>
    <row r="556" spans="1:14" x14ac:dyDescent="0.25">
      <c r="A556" s="20" t="s">
        <v>566</v>
      </c>
      <c r="B556" s="1" t="s">
        <v>5450</v>
      </c>
      <c r="C556" s="1" t="s">
        <v>5451</v>
      </c>
      <c r="D556" s="1" t="s">
        <v>5452</v>
      </c>
      <c r="E556" s="1" t="s">
        <v>5453</v>
      </c>
      <c r="F556" s="1" t="s">
        <v>5454</v>
      </c>
      <c r="G556" s="1" t="s">
        <v>958</v>
      </c>
      <c r="H556" s="1" t="s">
        <v>1545</v>
      </c>
      <c r="I556" s="1" t="s">
        <v>1546</v>
      </c>
      <c r="J556" s="1" t="s">
        <v>5455</v>
      </c>
      <c r="K556" s="1" t="s">
        <v>1496</v>
      </c>
      <c r="L556" s="1" t="s">
        <v>5456</v>
      </c>
      <c r="M556" s="1" t="s">
        <v>5457</v>
      </c>
      <c r="N556" s="1">
        <v>50</v>
      </c>
    </row>
    <row r="557" spans="1:14" x14ac:dyDescent="0.25">
      <c r="A557" s="20" t="s">
        <v>567</v>
      </c>
      <c r="B557" s="1" t="s">
        <v>5458</v>
      </c>
      <c r="C557" s="1" t="s">
        <v>5459</v>
      </c>
      <c r="D557" s="1" t="s">
        <v>5460</v>
      </c>
      <c r="E557" s="1" t="s">
        <v>5461</v>
      </c>
      <c r="F557" s="1" t="s">
        <v>5462</v>
      </c>
      <c r="G557" s="1" t="s">
        <v>958</v>
      </c>
      <c r="H557" s="1" t="s">
        <v>5463</v>
      </c>
      <c r="I557" s="1" t="s">
        <v>2226</v>
      </c>
      <c r="J557" s="1" t="s">
        <v>5464</v>
      </c>
      <c r="K557" s="1" t="s">
        <v>910</v>
      </c>
      <c r="L557" s="1" t="s">
        <v>5465</v>
      </c>
      <c r="M557" s="1" t="s">
        <v>5466</v>
      </c>
      <c r="N557" s="1">
        <v>100</v>
      </c>
    </row>
    <row r="558" spans="1:14" x14ac:dyDescent="0.25">
      <c r="A558" s="20" t="s">
        <v>568</v>
      </c>
      <c r="B558" s="1" t="s">
        <v>5467</v>
      </c>
      <c r="C558" s="1" t="s">
        <v>5468</v>
      </c>
      <c r="D558" s="1" t="s">
        <v>5469</v>
      </c>
      <c r="E558" s="1" t="s">
        <v>5470</v>
      </c>
      <c r="F558" s="1" t="s">
        <v>5471</v>
      </c>
      <c r="G558" s="1" t="s">
        <v>958</v>
      </c>
      <c r="H558" s="1" t="s">
        <v>3797</v>
      </c>
      <c r="I558" s="1" t="s">
        <v>1236</v>
      </c>
      <c r="J558" s="1" t="s">
        <v>990</v>
      </c>
      <c r="K558" s="1" t="s">
        <v>1218</v>
      </c>
      <c r="L558" s="1" t="s">
        <v>1355</v>
      </c>
      <c r="M558" s="1" t="s">
        <v>5472</v>
      </c>
      <c r="N558" s="1">
        <v>15</v>
      </c>
    </row>
    <row r="559" spans="1:14" x14ac:dyDescent="0.25">
      <c r="A559" s="20" t="s">
        <v>569</v>
      </c>
      <c r="B559" s="1" t="s">
        <v>5473</v>
      </c>
      <c r="C559" s="1" t="s">
        <v>5474</v>
      </c>
      <c r="D559" s="1" t="s">
        <v>5475</v>
      </c>
      <c r="E559" s="1" t="s">
        <v>5476</v>
      </c>
      <c r="F559" s="1" t="s">
        <v>5477</v>
      </c>
      <c r="G559" s="1" t="s">
        <v>958</v>
      </c>
      <c r="H559" s="1" t="s">
        <v>1270</v>
      </c>
      <c r="I559" s="1" t="s">
        <v>1165</v>
      </c>
      <c r="J559" s="1" t="s">
        <v>990</v>
      </c>
      <c r="K559" s="1" t="s">
        <v>1218</v>
      </c>
      <c r="L559" s="1" t="s">
        <v>1355</v>
      </c>
      <c r="M559" s="1" t="s">
        <v>5478</v>
      </c>
      <c r="N559" s="1">
        <v>25</v>
      </c>
    </row>
    <row r="560" spans="1:14" x14ac:dyDescent="0.25">
      <c r="A560" s="20" t="s">
        <v>570</v>
      </c>
      <c r="B560" s="1" t="s">
        <v>5479</v>
      </c>
      <c r="C560" s="1" t="s">
        <v>5480</v>
      </c>
      <c r="D560" s="1" t="s">
        <v>5481</v>
      </c>
      <c r="E560" s="1" t="s">
        <v>5482</v>
      </c>
      <c r="F560" s="1" t="s">
        <v>5483</v>
      </c>
      <c r="G560" s="1" t="s">
        <v>958</v>
      </c>
      <c r="H560" s="1" t="s">
        <v>5484</v>
      </c>
      <c r="I560" s="1" t="s">
        <v>1165</v>
      </c>
      <c r="J560" s="1" t="s">
        <v>5485</v>
      </c>
      <c r="K560" s="1" t="s">
        <v>971</v>
      </c>
      <c r="L560" s="1" t="s">
        <v>1062</v>
      </c>
      <c r="M560" s="1" t="s">
        <v>5486</v>
      </c>
      <c r="N560" s="1">
        <v>50</v>
      </c>
    </row>
    <row r="561" spans="1:14" x14ac:dyDescent="0.25">
      <c r="A561" s="20" t="s">
        <v>571</v>
      </c>
      <c r="B561" s="1" t="s">
        <v>5487</v>
      </c>
      <c r="C561" s="1" t="s">
        <v>5488</v>
      </c>
      <c r="D561" s="1" t="s">
        <v>5489</v>
      </c>
      <c r="E561" s="1" t="s">
        <v>5490</v>
      </c>
      <c r="F561" s="1" t="s">
        <v>5491</v>
      </c>
      <c r="G561" s="1" t="s">
        <v>958</v>
      </c>
      <c r="H561" s="1" t="s">
        <v>5492</v>
      </c>
      <c r="I561" s="1" t="s">
        <v>979</v>
      </c>
      <c r="J561" s="1" t="s">
        <v>5493</v>
      </c>
      <c r="K561" s="1" t="s">
        <v>1089</v>
      </c>
      <c r="L561" s="1" t="s">
        <v>5494</v>
      </c>
      <c r="M561" s="1" t="s">
        <v>5495</v>
      </c>
      <c r="N561" s="1">
        <v>100</v>
      </c>
    </row>
    <row r="562" spans="1:14" x14ac:dyDescent="0.25">
      <c r="A562" s="20" t="s">
        <v>572</v>
      </c>
      <c r="B562" s="1" t="s">
        <v>5496</v>
      </c>
      <c r="C562" s="1" t="s">
        <v>5497</v>
      </c>
      <c r="D562" s="1" t="s">
        <v>3478</v>
      </c>
      <c r="E562" s="1" t="s">
        <v>3479</v>
      </c>
      <c r="F562" s="1" t="s">
        <v>5498</v>
      </c>
      <c r="G562" s="1" t="s">
        <v>958</v>
      </c>
      <c r="H562" s="1" t="s">
        <v>3482</v>
      </c>
      <c r="I562" s="1" t="s">
        <v>2226</v>
      </c>
      <c r="J562" s="1" t="s">
        <v>5499</v>
      </c>
      <c r="K562" s="1" t="s">
        <v>10</v>
      </c>
      <c r="L562" s="1" t="s">
        <v>5500</v>
      </c>
      <c r="M562" s="1" t="s">
        <v>5501</v>
      </c>
      <c r="N562" s="1">
        <v>25</v>
      </c>
    </row>
    <row r="563" spans="1:14" x14ac:dyDescent="0.25">
      <c r="A563" s="20" t="s">
        <v>573</v>
      </c>
      <c r="B563" s="1" t="s">
        <v>5502</v>
      </c>
      <c r="C563" s="1" t="s">
        <v>5503</v>
      </c>
      <c r="D563" s="1" t="s">
        <v>5504</v>
      </c>
      <c r="E563" s="1" t="s">
        <v>5505</v>
      </c>
      <c r="F563" s="1" t="s">
        <v>5506</v>
      </c>
      <c r="G563" s="1" t="s">
        <v>958</v>
      </c>
      <c r="H563" s="1" t="s">
        <v>5507</v>
      </c>
      <c r="I563" s="1" t="s">
        <v>979</v>
      </c>
      <c r="J563" s="1" t="s">
        <v>5508</v>
      </c>
      <c r="K563" s="1" t="s">
        <v>4</v>
      </c>
      <c r="L563" s="1" t="s">
        <v>924</v>
      </c>
      <c r="M563" s="1" t="s">
        <v>5509</v>
      </c>
      <c r="N563" s="1">
        <v>25</v>
      </c>
    </row>
    <row r="564" spans="1:14" x14ac:dyDescent="0.25">
      <c r="A564" s="20" t="s">
        <v>574</v>
      </c>
      <c r="B564" s="1" t="s">
        <v>5510</v>
      </c>
      <c r="C564" s="1" t="s">
        <v>5511</v>
      </c>
      <c r="D564" s="1" t="s">
        <v>5512</v>
      </c>
      <c r="E564" s="1" t="s">
        <v>5513</v>
      </c>
      <c r="F564" s="1" t="s">
        <v>5514</v>
      </c>
      <c r="G564" s="1" t="s">
        <v>958</v>
      </c>
      <c r="H564" s="1" t="s">
        <v>5515</v>
      </c>
      <c r="I564" s="1" t="s">
        <v>2617</v>
      </c>
      <c r="J564" s="1" t="s">
        <v>990</v>
      </c>
      <c r="K564" s="1" t="s">
        <v>909</v>
      </c>
      <c r="L564" s="1" t="s">
        <v>5516</v>
      </c>
      <c r="M564" s="1" t="s">
        <v>5517</v>
      </c>
      <c r="N564" s="1">
        <v>100</v>
      </c>
    </row>
    <row r="565" spans="1:14" x14ac:dyDescent="0.25">
      <c r="A565" s="20" t="s">
        <v>575</v>
      </c>
      <c r="B565" s="1" t="s">
        <v>5518</v>
      </c>
      <c r="C565" s="1" t="s">
        <v>5519</v>
      </c>
      <c r="D565" s="1" t="s">
        <v>5520</v>
      </c>
      <c r="E565" s="1" t="s">
        <v>5521</v>
      </c>
      <c r="F565" s="1" t="s">
        <v>5522</v>
      </c>
      <c r="G565" s="1" t="s">
        <v>958</v>
      </c>
      <c r="H565" s="1" t="s">
        <v>3140</v>
      </c>
      <c r="I565" s="1" t="s">
        <v>3140</v>
      </c>
      <c r="J565" s="1" t="s">
        <v>5523</v>
      </c>
      <c r="K565" s="1" t="s">
        <v>8</v>
      </c>
      <c r="L565" s="1" t="s">
        <v>1020</v>
      </c>
      <c r="M565" s="1" t="s">
        <v>5524</v>
      </c>
      <c r="N565" s="1">
        <v>25</v>
      </c>
    </row>
    <row r="566" spans="1:14" x14ac:dyDescent="0.25">
      <c r="A566" s="20" t="s">
        <v>576</v>
      </c>
      <c r="B566" s="1" t="s">
        <v>5525</v>
      </c>
      <c r="C566" s="1" t="s">
        <v>5526</v>
      </c>
      <c r="D566" s="1" t="s">
        <v>5527</v>
      </c>
      <c r="E566" s="1" t="s">
        <v>5528</v>
      </c>
      <c r="F566" s="1" t="s">
        <v>5529</v>
      </c>
      <c r="G566" s="1" t="s">
        <v>958</v>
      </c>
      <c r="H566" s="1" t="s">
        <v>5530</v>
      </c>
      <c r="I566" s="1" t="s">
        <v>2971</v>
      </c>
      <c r="J566" s="1" t="s">
        <v>5531</v>
      </c>
      <c r="K566" s="1" t="s">
        <v>915</v>
      </c>
      <c r="L566" s="1" t="s">
        <v>5532</v>
      </c>
      <c r="M566" s="1" t="s">
        <v>5533</v>
      </c>
      <c r="N566" s="1">
        <v>25</v>
      </c>
    </row>
    <row r="567" spans="1:14" x14ac:dyDescent="0.25">
      <c r="A567" s="20" t="s">
        <v>577</v>
      </c>
      <c r="B567" s="1" t="s">
        <v>5534</v>
      </c>
      <c r="C567" s="1" t="s">
        <v>5535</v>
      </c>
      <c r="D567" s="1" t="s">
        <v>5536</v>
      </c>
      <c r="E567" s="1" t="s">
        <v>5537</v>
      </c>
      <c r="F567" s="1" t="s">
        <v>5538</v>
      </c>
      <c r="G567" s="1" t="s">
        <v>958</v>
      </c>
      <c r="H567" s="1" t="s">
        <v>5539</v>
      </c>
      <c r="I567" s="1" t="s">
        <v>1087</v>
      </c>
      <c r="J567" s="1" t="s">
        <v>5540</v>
      </c>
      <c r="K567" s="1" t="s">
        <v>2</v>
      </c>
      <c r="L567" s="1" t="s">
        <v>5541</v>
      </c>
      <c r="M567" s="1" t="s">
        <v>5542</v>
      </c>
      <c r="N567" s="1">
        <v>50</v>
      </c>
    </row>
    <row r="568" spans="1:14" x14ac:dyDescent="0.25">
      <c r="A568" s="20" t="s">
        <v>578</v>
      </c>
      <c r="B568" s="1" t="s">
        <v>5543</v>
      </c>
      <c r="C568" s="1" t="s">
        <v>5544</v>
      </c>
      <c r="D568" s="1" t="s">
        <v>5545</v>
      </c>
      <c r="E568" s="1" t="s">
        <v>5546</v>
      </c>
      <c r="F568" s="1" t="s">
        <v>5547</v>
      </c>
      <c r="G568" s="1" t="s">
        <v>5548</v>
      </c>
      <c r="H568" s="1" t="s">
        <v>1051</v>
      </c>
      <c r="I568" s="1" t="s">
        <v>979</v>
      </c>
      <c r="J568" s="1" t="s">
        <v>5549</v>
      </c>
      <c r="K568" s="1" t="s">
        <v>1310</v>
      </c>
      <c r="L568" s="1" t="s">
        <v>5550</v>
      </c>
      <c r="M568" s="1" t="s">
        <v>5551</v>
      </c>
      <c r="N568" s="1">
        <v>25</v>
      </c>
    </row>
    <row r="569" spans="1:14" x14ac:dyDescent="0.25">
      <c r="A569" s="20" t="s">
        <v>579</v>
      </c>
      <c r="B569" s="1" t="s">
        <v>5552</v>
      </c>
      <c r="C569" s="1" t="s">
        <v>5553</v>
      </c>
      <c r="D569" s="1" t="s">
        <v>5554</v>
      </c>
      <c r="E569" s="1" t="s">
        <v>5555</v>
      </c>
      <c r="F569" s="1" t="s">
        <v>5556</v>
      </c>
      <c r="G569" s="1" t="s">
        <v>958</v>
      </c>
      <c r="H569" s="1" t="s">
        <v>5557</v>
      </c>
      <c r="I569" s="1" t="s">
        <v>1116</v>
      </c>
      <c r="J569" s="1" t="s">
        <v>5558</v>
      </c>
      <c r="K569" s="1" t="s">
        <v>1548</v>
      </c>
      <c r="L569" s="1" t="s">
        <v>5559</v>
      </c>
      <c r="M569" s="1" t="s">
        <v>5560</v>
      </c>
      <c r="N569" s="1">
        <v>25</v>
      </c>
    </row>
    <row r="570" spans="1:14" x14ac:dyDescent="0.25">
      <c r="A570" s="20" t="s">
        <v>580</v>
      </c>
      <c r="B570" s="1" t="s">
        <v>5561</v>
      </c>
      <c r="C570" s="1" t="s">
        <v>5562</v>
      </c>
      <c r="D570" s="1" t="s">
        <v>5563</v>
      </c>
      <c r="E570" s="1" t="s">
        <v>5564</v>
      </c>
      <c r="F570" s="1" t="s">
        <v>5565</v>
      </c>
      <c r="G570" s="1" t="s">
        <v>958</v>
      </c>
      <c r="H570" s="1" t="s">
        <v>1137</v>
      </c>
      <c r="I570" s="1" t="s">
        <v>979</v>
      </c>
      <c r="J570" s="1" t="s">
        <v>5566</v>
      </c>
      <c r="K570" s="1" t="s">
        <v>4</v>
      </c>
      <c r="L570" s="1" t="s">
        <v>5567</v>
      </c>
      <c r="M570" s="1" t="s">
        <v>5568</v>
      </c>
      <c r="N570" s="1">
        <v>400</v>
      </c>
    </row>
    <row r="571" spans="1:14" x14ac:dyDescent="0.25">
      <c r="A571" s="20" t="s">
        <v>581</v>
      </c>
      <c r="B571" s="1" t="s">
        <v>5569</v>
      </c>
      <c r="C571" s="1" t="s">
        <v>5570</v>
      </c>
      <c r="D571" s="1" t="s">
        <v>5571</v>
      </c>
      <c r="E571" s="1" t="s">
        <v>5572</v>
      </c>
      <c r="F571" s="1" t="s">
        <v>5573</v>
      </c>
      <c r="G571" s="1" t="s">
        <v>958</v>
      </c>
      <c r="H571" s="1" t="s">
        <v>5574</v>
      </c>
      <c r="I571" s="1" t="s">
        <v>1009</v>
      </c>
      <c r="J571" s="1" t="s">
        <v>5575</v>
      </c>
      <c r="K571" s="1" t="s">
        <v>910</v>
      </c>
      <c r="L571" s="1" t="s">
        <v>5576</v>
      </c>
      <c r="M571" s="1" t="s">
        <v>5577</v>
      </c>
      <c r="N571" s="1">
        <v>25</v>
      </c>
    </row>
    <row r="572" spans="1:14" x14ac:dyDescent="0.25">
      <c r="A572" s="20" t="s">
        <v>582</v>
      </c>
      <c r="B572" s="1" t="s">
        <v>5578</v>
      </c>
      <c r="C572" s="1" t="s">
        <v>5579</v>
      </c>
      <c r="D572" s="1" t="s">
        <v>5580</v>
      </c>
      <c r="E572" s="1" t="s">
        <v>5581</v>
      </c>
      <c r="F572" s="1" t="s">
        <v>5582</v>
      </c>
      <c r="G572" s="1" t="s">
        <v>958</v>
      </c>
      <c r="H572" s="1" t="s">
        <v>1018</v>
      </c>
      <c r="I572" s="1" t="s">
        <v>1018</v>
      </c>
      <c r="K572" s="1" t="s">
        <v>914</v>
      </c>
      <c r="L572" s="1" t="s">
        <v>1398</v>
      </c>
      <c r="M572" s="1" t="s">
        <v>5583</v>
      </c>
      <c r="N572" s="1">
        <v>50</v>
      </c>
    </row>
    <row r="573" spans="1:14" x14ac:dyDescent="0.25">
      <c r="A573" s="20" t="s">
        <v>583</v>
      </c>
      <c r="B573" s="1" t="s">
        <v>5584</v>
      </c>
      <c r="C573" s="1" t="s">
        <v>5585</v>
      </c>
      <c r="D573" s="1" t="s">
        <v>5586</v>
      </c>
      <c r="E573" s="1" t="s">
        <v>5587</v>
      </c>
      <c r="F573" s="1" t="s">
        <v>5588</v>
      </c>
      <c r="G573" s="1" t="s">
        <v>958</v>
      </c>
      <c r="H573" s="1" t="s">
        <v>1018</v>
      </c>
      <c r="I573" s="1" t="s">
        <v>1116</v>
      </c>
      <c r="J573" s="1" t="s">
        <v>5589</v>
      </c>
      <c r="K573" s="1" t="s">
        <v>4</v>
      </c>
      <c r="L573" s="1" t="s">
        <v>2800</v>
      </c>
      <c r="M573" s="1" t="s">
        <v>5590</v>
      </c>
      <c r="N573" s="1">
        <v>685</v>
      </c>
    </row>
    <row r="574" spans="1:14" x14ac:dyDescent="0.25">
      <c r="A574" s="20" t="s">
        <v>584</v>
      </c>
      <c r="B574" s="1" t="s">
        <v>5591</v>
      </c>
      <c r="C574" s="1" t="s">
        <v>5592</v>
      </c>
      <c r="D574" s="1" t="s">
        <v>5586</v>
      </c>
      <c r="E574" s="1" t="s">
        <v>5587</v>
      </c>
      <c r="F574" s="1" t="s">
        <v>5593</v>
      </c>
      <c r="G574" s="1" t="s">
        <v>958</v>
      </c>
      <c r="H574" s="1" t="s">
        <v>1018</v>
      </c>
      <c r="I574" s="1" t="s">
        <v>1116</v>
      </c>
      <c r="J574" s="1" t="s">
        <v>5594</v>
      </c>
      <c r="K574" s="1" t="s">
        <v>1089</v>
      </c>
      <c r="L574" s="1" t="s">
        <v>5595</v>
      </c>
      <c r="M574" s="1" t="s">
        <v>5596</v>
      </c>
      <c r="N574" s="1">
        <v>264</v>
      </c>
    </row>
    <row r="575" spans="1:14" x14ac:dyDescent="0.25">
      <c r="A575" s="20" t="s">
        <v>585</v>
      </c>
      <c r="B575" s="1" t="s">
        <v>5597</v>
      </c>
      <c r="C575" s="1" t="s">
        <v>5598</v>
      </c>
      <c r="D575" s="1" t="s">
        <v>5599</v>
      </c>
      <c r="E575" s="1" t="s">
        <v>5600</v>
      </c>
      <c r="F575" s="1" t="s">
        <v>5601</v>
      </c>
      <c r="G575" s="1" t="s">
        <v>958</v>
      </c>
      <c r="H575" s="1" t="s">
        <v>5602</v>
      </c>
      <c r="I575" s="1" t="s">
        <v>979</v>
      </c>
      <c r="J575" s="1" t="s">
        <v>5603</v>
      </c>
      <c r="K575" s="1" t="s">
        <v>915</v>
      </c>
      <c r="L575" s="1" t="s">
        <v>926</v>
      </c>
      <c r="M575" s="1" t="s">
        <v>5604</v>
      </c>
      <c r="N575" s="1">
        <v>126</v>
      </c>
    </row>
    <row r="576" spans="1:14" x14ac:dyDescent="0.25">
      <c r="A576" s="20" t="s">
        <v>586</v>
      </c>
      <c r="B576" s="1" t="s">
        <v>5605</v>
      </c>
      <c r="C576" s="1" t="s">
        <v>5606</v>
      </c>
      <c r="D576" s="1" t="s">
        <v>5607</v>
      </c>
      <c r="E576" s="1" t="s">
        <v>5608</v>
      </c>
      <c r="F576" s="1" t="s">
        <v>5609</v>
      </c>
      <c r="G576" s="1" t="s">
        <v>958</v>
      </c>
      <c r="H576" s="1" t="s">
        <v>2781</v>
      </c>
      <c r="I576" s="1" t="s">
        <v>1308</v>
      </c>
      <c r="J576" s="1" t="s">
        <v>5610</v>
      </c>
      <c r="K576" s="1" t="s">
        <v>915</v>
      </c>
      <c r="L576" s="1" t="s">
        <v>5611</v>
      </c>
      <c r="M576" s="1" t="s">
        <v>5612</v>
      </c>
      <c r="N576" s="1">
        <v>25</v>
      </c>
    </row>
    <row r="577" spans="1:14" x14ac:dyDescent="0.25">
      <c r="A577" s="20" t="s">
        <v>587</v>
      </c>
      <c r="B577" s="1" t="s">
        <v>5613</v>
      </c>
      <c r="C577" s="1" t="s">
        <v>5614</v>
      </c>
      <c r="D577" s="1" t="s">
        <v>5615</v>
      </c>
      <c r="E577" s="1" t="s">
        <v>5571</v>
      </c>
      <c r="F577" s="1" t="s">
        <v>5616</v>
      </c>
      <c r="G577" s="1" t="s">
        <v>958</v>
      </c>
      <c r="H577" s="1" t="s">
        <v>1137</v>
      </c>
      <c r="I577" s="1" t="s">
        <v>979</v>
      </c>
      <c r="J577" s="1" t="s">
        <v>5617</v>
      </c>
      <c r="K577" s="1" t="s">
        <v>971</v>
      </c>
      <c r="L577" s="1" t="s">
        <v>972</v>
      </c>
      <c r="M577" s="1" t="s">
        <v>5618</v>
      </c>
      <c r="N577" s="1">
        <v>25</v>
      </c>
    </row>
    <row r="578" spans="1:14" x14ac:dyDescent="0.25">
      <c r="A578" s="20" t="s">
        <v>588</v>
      </c>
      <c r="B578" s="1" t="s">
        <v>5619</v>
      </c>
      <c r="C578" s="1" t="s">
        <v>5620</v>
      </c>
      <c r="D578" s="1" t="s">
        <v>5621</v>
      </c>
      <c r="E578" s="1" t="s">
        <v>5622</v>
      </c>
      <c r="F578" s="1" t="s">
        <v>5623</v>
      </c>
      <c r="G578" s="1" t="s">
        <v>958</v>
      </c>
      <c r="H578" s="1" t="s">
        <v>1450</v>
      </c>
      <c r="I578" s="1" t="s">
        <v>1450</v>
      </c>
      <c r="J578" s="1" t="s">
        <v>5624</v>
      </c>
      <c r="K578" s="1" t="s">
        <v>13</v>
      </c>
      <c r="L578" s="1" t="s">
        <v>923</v>
      </c>
      <c r="M578" s="1" t="s">
        <v>5625</v>
      </c>
      <c r="N578" s="1">
        <v>25</v>
      </c>
    </row>
    <row r="579" spans="1:14" x14ac:dyDescent="0.25">
      <c r="A579" s="20" t="s">
        <v>589</v>
      </c>
      <c r="B579" s="1" t="s">
        <v>5626</v>
      </c>
      <c r="C579" s="1" t="s">
        <v>5627</v>
      </c>
      <c r="D579" s="1" t="s">
        <v>5628</v>
      </c>
      <c r="E579" s="1" t="s">
        <v>5629</v>
      </c>
      <c r="F579" s="1" t="s">
        <v>5630</v>
      </c>
      <c r="G579" s="1" t="s">
        <v>958</v>
      </c>
      <c r="H579" s="1" t="s">
        <v>979</v>
      </c>
      <c r="I579" s="1" t="s">
        <v>979</v>
      </c>
      <c r="J579" s="1" t="s">
        <v>5631</v>
      </c>
      <c r="K579" s="1" t="s">
        <v>5285</v>
      </c>
      <c r="L579" s="1" t="s">
        <v>5632</v>
      </c>
      <c r="M579" s="1" t="s">
        <v>5633</v>
      </c>
      <c r="N579" s="1">
        <v>25</v>
      </c>
    </row>
    <row r="580" spans="1:14" x14ac:dyDescent="0.25">
      <c r="A580" s="20" t="s">
        <v>590</v>
      </c>
      <c r="B580" s="1" t="s">
        <v>5634</v>
      </c>
      <c r="C580" s="1" t="s">
        <v>5635</v>
      </c>
      <c r="D580" s="1" t="s">
        <v>5636</v>
      </c>
      <c r="E580" s="1" t="s">
        <v>5637</v>
      </c>
      <c r="F580" s="1" t="s">
        <v>5638</v>
      </c>
      <c r="G580" s="1" t="s">
        <v>958</v>
      </c>
      <c r="H580" s="1" t="s">
        <v>5639</v>
      </c>
      <c r="I580" s="1" t="s">
        <v>1018</v>
      </c>
      <c r="J580" s="1" t="s">
        <v>5640</v>
      </c>
      <c r="K580" s="1" t="s">
        <v>8</v>
      </c>
      <c r="L580" s="1" t="s">
        <v>1129</v>
      </c>
      <c r="M580" s="1" t="s">
        <v>5641</v>
      </c>
      <c r="N580" s="1">
        <v>25</v>
      </c>
    </row>
    <row r="581" spans="1:14" x14ac:dyDescent="0.25">
      <c r="A581" s="20" t="s">
        <v>591</v>
      </c>
      <c r="B581" s="1" t="s">
        <v>5642</v>
      </c>
      <c r="C581" s="1" t="s">
        <v>5643</v>
      </c>
      <c r="D581" s="1" t="s">
        <v>5636</v>
      </c>
      <c r="E581" s="1" t="s">
        <v>5637</v>
      </c>
      <c r="F581" s="1" t="s">
        <v>5644</v>
      </c>
      <c r="G581" s="1" t="s">
        <v>958</v>
      </c>
      <c r="H581" s="1" t="s">
        <v>5639</v>
      </c>
      <c r="I581" s="1" t="s">
        <v>1018</v>
      </c>
      <c r="J581" s="1" t="s">
        <v>5640</v>
      </c>
      <c r="K581" s="1" t="s">
        <v>8</v>
      </c>
      <c r="L581" s="1" t="s">
        <v>1129</v>
      </c>
      <c r="M581" s="1" t="s">
        <v>5645</v>
      </c>
      <c r="N581" s="1">
        <v>25</v>
      </c>
    </row>
    <row r="582" spans="1:14" x14ac:dyDescent="0.25">
      <c r="A582" s="20" t="s">
        <v>592</v>
      </c>
      <c r="B582" s="1" t="s">
        <v>5646</v>
      </c>
      <c r="C582" s="1" t="s">
        <v>5647</v>
      </c>
      <c r="D582" s="1" t="s">
        <v>5648</v>
      </c>
      <c r="E582" s="1" t="s">
        <v>5649</v>
      </c>
      <c r="F582" s="1" t="s">
        <v>5650</v>
      </c>
      <c r="G582" s="1" t="s">
        <v>958</v>
      </c>
      <c r="H582" s="1" t="s">
        <v>5651</v>
      </c>
      <c r="I582" s="1" t="s">
        <v>1707</v>
      </c>
      <c r="J582" s="1" t="s">
        <v>5652</v>
      </c>
      <c r="K582" s="1" t="s">
        <v>8</v>
      </c>
      <c r="L582" s="1" t="s">
        <v>5653</v>
      </c>
      <c r="M582" s="1" t="s">
        <v>5654</v>
      </c>
      <c r="N582" s="1">
        <v>200</v>
      </c>
    </row>
    <row r="583" spans="1:14" x14ac:dyDescent="0.25">
      <c r="A583" s="20" t="s">
        <v>593</v>
      </c>
      <c r="B583" s="1" t="s">
        <v>5655</v>
      </c>
      <c r="C583" s="1" t="s">
        <v>5656</v>
      </c>
      <c r="D583" s="1" t="s">
        <v>5657</v>
      </c>
      <c r="E583" s="1" t="s">
        <v>5658</v>
      </c>
      <c r="F583" s="1" t="s">
        <v>5659</v>
      </c>
      <c r="G583" s="1" t="s">
        <v>958</v>
      </c>
      <c r="H583" s="1" t="s">
        <v>3541</v>
      </c>
      <c r="I583" s="1" t="s">
        <v>1725</v>
      </c>
      <c r="J583" s="1" t="s">
        <v>5660</v>
      </c>
      <c r="K583" s="1" t="s">
        <v>8</v>
      </c>
      <c r="L583" s="1" t="s">
        <v>5661</v>
      </c>
      <c r="M583" s="1" t="s">
        <v>5662</v>
      </c>
      <c r="N583" s="1">
        <v>25</v>
      </c>
    </row>
    <row r="584" spans="1:14" x14ac:dyDescent="0.25">
      <c r="A584" s="20" t="s">
        <v>594</v>
      </c>
      <c r="B584" s="1" t="s">
        <v>5663</v>
      </c>
      <c r="C584" s="1" t="s">
        <v>5664</v>
      </c>
      <c r="D584" s="1" t="s">
        <v>5665</v>
      </c>
      <c r="E584" s="1" t="s">
        <v>5666</v>
      </c>
      <c r="F584" s="1" t="s">
        <v>5667</v>
      </c>
      <c r="G584" s="1" t="s">
        <v>958</v>
      </c>
      <c r="H584" s="1" t="s">
        <v>5668</v>
      </c>
      <c r="I584" s="1" t="s">
        <v>1626</v>
      </c>
      <c r="J584" s="1" t="s">
        <v>5669</v>
      </c>
      <c r="L584" s="1" t="s">
        <v>958</v>
      </c>
      <c r="M584" s="1" t="s">
        <v>958</v>
      </c>
      <c r="N584" s="1">
        <v>25</v>
      </c>
    </row>
    <row r="585" spans="1:14" x14ac:dyDescent="0.25">
      <c r="A585" s="20" t="s">
        <v>595</v>
      </c>
      <c r="B585" s="1" t="s">
        <v>5670</v>
      </c>
      <c r="C585" s="1" t="s">
        <v>5671</v>
      </c>
      <c r="D585" s="1" t="s">
        <v>5672</v>
      </c>
      <c r="E585" s="1" t="s">
        <v>5673</v>
      </c>
      <c r="F585" s="1" t="s">
        <v>5674</v>
      </c>
      <c r="G585" s="1" t="s">
        <v>958</v>
      </c>
      <c r="H585" s="1" t="s">
        <v>5675</v>
      </c>
      <c r="I585" s="1" t="s">
        <v>2515</v>
      </c>
      <c r="J585" s="1" t="s">
        <v>5676</v>
      </c>
      <c r="K585" s="1" t="s">
        <v>1</v>
      </c>
      <c r="L585" s="1" t="s">
        <v>5677</v>
      </c>
      <c r="M585" s="1" t="s">
        <v>5678</v>
      </c>
      <c r="N585" s="1">
        <v>25</v>
      </c>
    </row>
    <row r="586" spans="1:14" x14ac:dyDescent="0.25">
      <c r="A586" s="20" t="s">
        <v>596</v>
      </c>
      <c r="B586" s="1" t="s">
        <v>5679</v>
      </c>
      <c r="C586" s="1" t="s">
        <v>5680</v>
      </c>
      <c r="D586" s="1" t="s">
        <v>5681</v>
      </c>
      <c r="E586" s="1" t="s">
        <v>5682</v>
      </c>
      <c r="F586" s="1" t="s">
        <v>5683</v>
      </c>
      <c r="G586" s="1" t="s">
        <v>958</v>
      </c>
      <c r="H586" s="1" t="s">
        <v>2234</v>
      </c>
      <c r="I586" s="1" t="s">
        <v>2234</v>
      </c>
      <c r="J586" s="1" t="s">
        <v>5684</v>
      </c>
      <c r="K586" s="1" t="s">
        <v>3</v>
      </c>
      <c r="L586" s="1" t="s">
        <v>5685</v>
      </c>
      <c r="M586" s="1" t="s">
        <v>5686</v>
      </c>
      <c r="N586" s="1">
        <v>25</v>
      </c>
    </row>
    <row r="587" spans="1:14" x14ac:dyDescent="0.25">
      <c r="A587" s="20" t="s">
        <v>597</v>
      </c>
      <c r="B587" s="1" t="s">
        <v>5687</v>
      </c>
      <c r="C587" s="1" t="s">
        <v>5688</v>
      </c>
      <c r="D587" s="1" t="s">
        <v>5689</v>
      </c>
      <c r="E587" s="1" t="s">
        <v>5690</v>
      </c>
      <c r="F587" s="1" t="s">
        <v>5691</v>
      </c>
      <c r="G587" s="1" t="s">
        <v>958</v>
      </c>
      <c r="H587" s="1" t="s">
        <v>1034</v>
      </c>
      <c r="I587" s="1" t="s">
        <v>1035</v>
      </c>
      <c r="J587" s="1" t="s">
        <v>5692</v>
      </c>
      <c r="K587" s="1" t="s">
        <v>4</v>
      </c>
      <c r="L587" s="1" t="s">
        <v>5693</v>
      </c>
      <c r="M587" s="1" t="s">
        <v>5694</v>
      </c>
      <c r="N587" s="1">
        <v>25</v>
      </c>
    </row>
    <row r="588" spans="1:14" x14ac:dyDescent="0.25">
      <c r="A588" s="20" t="s">
        <v>598</v>
      </c>
      <c r="B588" s="1" t="s">
        <v>5695</v>
      </c>
      <c r="C588" s="1" t="s">
        <v>5696</v>
      </c>
      <c r="D588" s="1" t="s">
        <v>5697</v>
      </c>
      <c r="E588" s="1" t="s">
        <v>5698</v>
      </c>
      <c r="F588" s="1" t="s">
        <v>5699</v>
      </c>
      <c r="G588" s="1" t="s">
        <v>958</v>
      </c>
      <c r="H588" s="1" t="s">
        <v>5700</v>
      </c>
      <c r="I588" s="1" t="s">
        <v>1308</v>
      </c>
      <c r="J588" s="1" t="s">
        <v>5701</v>
      </c>
      <c r="K588" s="1" t="s">
        <v>914</v>
      </c>
      <c r="L588" s="1" t="s">
        <v>913</v>
      </c>
      <c r="M588" s="1" t="s">
        <v>5702</v>
      </c>
      <c r="N588" s="1">
        <v>30</v>
      </c>
    </row>
    <row r="589" spans="1:14" x14ac:dyDescent="0.25">
      <c r="A589" s="20" t="s">
        <v>599</v>
      </c>
      <c r="B589" s="1" t="s">
        <v>5703</v>
      </c>
      <c r="C589" s="1" t="s">
        <v>5704</v>
      </c>
      <c r="D589" s="1" t="s">
        <v>5705</v>
      </c>
      <c r="E589" s="1" t="s">
        <v>5706</v>
      </c>
      <c r="F589" s="1" t="s">
        <v>5707</v>
      </c>
      <c r="G589" s="1" t="s">
        <v>958</v>
      </c>
      <c r="H589" s="1" t="s">
        <v>2122</v>
      </c>
      <c r="I589" s="1" t="s">
        <v>1070</v>
      </c>
      <c r="J589" s="1" t="s">
        <v>5708</v>
      </c>
      <c r="K589" s="1" t="s">
        <v>3089</v>
      </c>
      <c r="L589" s="1" t="s">
        <v>5709</v>
      </c>
      <c r="M589" s="1" t="s">
        <v>5710</v>
      </c>
      <c r="N589" s="1">
        <v>25</v>
      </c>
    </row>
    <row r="590" spans="1:14" x14ac:dyDescent="0.25">
      <c r="A590" s="20" t="s">
        <v>600</v>
      </c>
      <c r="B590" s="1" t="s">
        <v>5711</v>
      </c>
      <c r="C590" s="1" t="s">
        <v>5712</v>
      </c>
      <c r="D590" s="1" t="s">
        <v>5713</v>
      </c>
      <c r="E590" s="1" t="s">
        <v>5714</v>
      </c>
      <c r="F590" s="1" t="s">
        <v>5715</v>
      </c>
      <c r="G590" s="1" t="s">
        <v>958</v>
      </c>
      <c r="H590" s="1" t="s">
        <v>979</v>
      </c>
      <c r="I590" s="1" t="s">
        <v>979</v>
      </c>
      <c r="J590" s="1" t="s">
        <v>990</v>
      </c>
      <c r="K590" s="1" t="s">
        <v>1089</v>
      </c>
      <c r="L590" s="1" t="s">
        <v>1090</v>
      </c>
      <c r="M590" s="1" t="s">
        <v>5716</v>
      </c>
      <c r="N590" s="1">
        <v>25</v>
      </c>
    </row>
    <row r="591" spans="1:14" x14ac:dyDescent="0.25">
      <c r="A591" s="20" t="s">
        <v>601</v>
      </c>
      <c r="B591" s="1" t="s">
        <v>5717</v>
      </c>
      <c r="C591" s="1" t="s">
        <v>5718</v>
      </c>
      <c r="D591" s="1" t="s">
        <v>5719</v>
      </c>
      <c r="E591" s="1" t="s">
        <v>5720</v>
      </c>
      <c r="F591" s="1" t="s">
        <v>5721</v>
      </c>
      <c r="G591" s="1" t="s">
        <v>958</v>
      </c>
      <c r="H591" s="1" t="s">
        <v>5722</v>
      </c>
      <c r="I591" s="1" t="s">
        <v>1308</v>
      </c>
      <c r="J591" s="1" t="s">
        <v>5723</v>
      </c>
      <c r="K591" s="1" t="s">
        <v>971</v>
      </c>
      <c r="L591" s="1" t="s">
        <v>972</v>
      </c>
      <c r="M591" s="1" t="s">
        <v>5724</v>
      </c>
      <c r="N591" s="1">
        <v>25</v>
      </c>
    </row>
    <row r="592" spans="1:14" x14ac:dyDescent="0.25">
      <c r="A592" s="20" t="s">
        <v>602</v>
      </c>
      <c r="B592" s="1" t="s">
        <v>5725</v>
      </c>
      <c r="C592" s="1" t="s">
        <v>5726</v>
      </c>
      <c r="D592" s="1" t="s">
        <v>5727</v>
      </c>
      <c r="E592" s="1" t="s">
        <v>5728</v>
      </c>
      <c r="F592" s="1" t="s">
        <v>5729</v>
      </c>
      <c r="G592" s="1" t="s">
        <v>958</v>
      </c>
      <c r="H592" s="1" t="s">
        <v>5730</v>
      </c>
      <c r="I592" s="1" t="s">
        <v>1060</v>
      </c>
      <c r="J592" s="1" t="s">
        <v>5731</v>
      </c>
      <c r="K592" s="1" t="s">
        <v>1218</v>
      </c>
      <c r="L592" s="1" t="s">
        <v>5732</v>
      </c>
      <c r="M592" s="1" t="s">
        <v>5733</v>
      </c>
      <c r="N592" s="1">
        <v>25</v>
      </c>
    </row>
    <row r="593" spans="1:14" x14ac:dyDescent="0.25">
      <c r="A593" s="20" t="s">
        <v>603</v>
      </c>
      <c r="B593" s="1" t="s">
        <v>5734</v>
      </c>
      <c r="C593" s="1" t="s">
        <v>5735</v>
      </c>
      <c r="D593" s="1" t="s">
        <v>5736</v>
      </c>
      <c r="E593" s="1" t="s">
        <v>5737</v>
      </c>
      <c r="F593" s="1" t="s">
        <v>5738</v>
      </c>
      <c r="G593" s="1" t="s">
        <v>958</v>
      </c>
      <c r="H593" s="1" t="s">
        <v>5739</v>
      </c>
      <c r="I593" s="1" t="s">
        <v>1450</v>
      </c>
      <c r="K593" s="1" t="s">
        <v>8</v>
      </c>
      <c r="L593" s="1" t="s">
        <v>3677</v>
      </c>
      <c r="M593" s="1" t="s">
        <v>5740</v>
      </c>
      <c r="N593" s="1">
        <v>50</v>
      </c>
    </row>
    <row r="594" spans="1:14" x14ac:dyDescent="0.25">
      <c r="A594" s="20" t="s">
        <v>604</v>
      </c>
      <c r="B594" s="1" t="s">
        <v>5741</v>
      </c>
      <c r="C594" s="1" t="s">
        <v>5742</v>
      </c>
      <c r="D594" s="1" t="s">
        <v>5743</v>
      </c>
      <c r="E594" s="1" t="s">
        <v>5744</v>
      </c>
      <c r="F594" s="1" t="s">
        <v>5745</v>
      </c>
      <c r="G594" s="1" t="s">
        <v>958</v>
      </c>
      <c r="H594" s="1" t="s">
        <v>5746</v>
      </c>
      <c r="I594" s="1" t="s">
        <v>979</v>
      </c>
      <c r="J594" s="1" t="s">
        <v>5747</v>
      </c>
      <c r="K594" s="1" t="s">
        <v>915</v>
      </c>
      <c r="L594" s="1" t="s">
        <v>4935</v>
      </c>
      <c r="M594" s="1" t="s">
        <v>5748</v>
      </c>
      <c r="N594" s="1">
        <v>100</v>
      </c>
    </row>
    <row r="595" spans="1:14" x14ac:dyDescent="0.25">
      <c r="A595" s="20" t="s">
        <v>605</v>
      </c>
      <c r="B595" s="1" t="s">
        <v>5749</v>
      </c>
      <c r="C595" s="1" t="s">
        <v>5750</v>
      </c>
      <c r="D595" s="1" t="s">
        <v>5751</v>
      </c>
      <c r="E595" s="1" t="s">
        <v>5752</v>
      </c>
      <c r="F595" s="1" t="s">
        <v>5753</v>
      </c>
      <c r="G595" s="1" t="s">
        <v>958</v>
      </c>
      <c r="H595" s="1" t="s">
        <v>5754</v>
      </c>
      <c r="I595" s="1" t="s">
        <v>1298</v>
      </c>
      <c r="J595" s="1" t="s">
        <v>5755</v>
      </c>
      <c r="K595" s="1" t="s">
        <v>910</v>
      </c>
      <c r="L595" s="1" t="s">
        <v>4220</v>
      </c>
      <c r="M595" s="1" t="s">
        <v>5756</v>
      </c>
      <c r="N595" s="1">
        <v>25</v>
      </c>
    </row>
    <row r="596" spans="1:14" x14ac:dyDescent="0.25">
      <c r="A596" s="20" t="s">
        <v>606</v>
      </c>
      <c r="B596" s="1" t="s">
        <v>5757</v>
      </c>
      <c r="C596" s="1" t="s">
        <v>5758</v>
      </c>
      <c r="D596" s="1" t="s">
        <v>5759</v>
      </c>
      <c r="E596" s="1" t="s">
        <v>5760</v>
      </c>
      <c r="F596" s="1" t="s">
        <v>5761</v>
      </c>
      <c r="G596" s="1" t="s">
        <v>958</v>
      </c>
      <c r="H596" s="1" t="s">
        <v>5762</v>
      </c>
      <c r="I596" s="1" t="s">
        <v>1137</v>
      </c>
      <c r="J596" s="1" t="s">
        <v>5763</v>
      </c>
      <c r="K596" s="1" t="s">
        <v>8</v>
      </c>
      <c r="L596" s="1" t="s">
        <v>1941</v>
      </c>
      <c r="M596" s="1" t="s">
        <v>5764</v>
      </c>
      <c r="N596" s="1">
        <v>100</v>
      </c>
    </row>
    <row r="597" spans="1:14" x14ac:dyDescent="0.25">
      <c r="A597" s="20" t="s">
        <v>607</v>
      </c>
      <c r="B597" s="1" t="s">
        <v>5765</v>
      </c>
      <c r="C597" s="1" t="s">
        <v>5766</v>
      </c>
      <c r="D597" s="1" t="s">
        <v>5767</v>
      </c>
      <c r="E597" s="1" t="s">
        <v>5768</v>
      </c>
      <c r="F597" s="1" t="s">
        <v>5769</v>
      </c>
      <c r="G597" s="1" t="s">
        <v>958</v>
      </c>
      <c r="H597" s="1" t="s">
        <v>1018</v>
      </c>
      <c r="I597" s="1" t="s">
        <v>1116</v>
      </c>
      <c r="J597" s="1" t="s">
        <v>5770</v>
      </c>
      <c r="K597" s="1" t="s">
        <v>915</v>
      </c>
      <c r="L597" s="1" t="s">
        <v>4078</v>
      </c>
      <c r="M597" s="1" t="s">
        <v>5771</v>
      </c>
      <c r="N597" s="1">
        <v>25</v>
      </c>
    </row>
    <row r="598" spans="1:14" x14ac:dyDescent="0.25">
      <c r="A598" s="20" t="s">
        <v>608</v>
      </c>
      <c r="B598" s="1" t="s">
        <v>5772</v>
      </c>
      <c r="C598" s="1" t="s">
        <v>5773</v>
      </c>
      <c r="D598" s="1" t="s">
        <v>5774</v>
      </c>
      <c r="E598" s="1" t="s">
        <v>5775</v>
      </c>
      <c r="F598" s="1" t="s">
        <v>5776</v>
      </c>
      <c r="G598" s="1" t="s">
        <v>958</v>
      </c>
      <c r="H598" s="1" t="s">
        <v>5777</v>
      </c>
      <c r="I598" s="1" t="s">
        <v>1236</v>
      </c>
      <c r="J598" s="1" t="s">
        <v>5778</v>
      </c>
      <c r="K598" s="1" t="s">
        <v>915</v>
      </c>
      <c r="L598" s="1" t="s">
        <v>926</v>
      </c>
      <c r="M598" s="1" t="s">
        <v>5779</v>
      </c>
      <c r="N598" s="1">
        <v>30</v>
      </c>
    </row>
    <row r="599" spans="1:14" x14ac:dyDescent="0.25">
      <c r="A599" s="20" t="s">
        <v>609</v>
      </c>
      <c r="B599" s="1" t="s">
        <v>5780</v>
      </c>
      <c r="C599" s="1" t="s">
        <v>5781</v>
      </c>
      <c r="D599" s="1" t="s">
        <v>5782</v>
      </c>
      <c r="E599" s="1" t="s">
        <v>5783</v>
      </c>
      <c r="F599" s="1" t="s">
        <v>5784</v>
      </c>
      <c r="G599" s="1" t="s">
        <v>958</v>
      </c>
      <c r="H599" s="1" t="s">
        <v>1116</v>
      </c>
      <c r="I599" s="1" t="s">
        <v>1116</v>
      </c>
      <c r="J599" s="1" t="s">
        <v>5785</v>
      </c>
      <c r="K599" s="1" t="s">
        <v>3</v>
      </c>
      <c r="L599" s="1" t="s">
        <v>5786</v>
      </c>
      <c r="M599" s="1" t="s">
        <v>5787</v>
      </c>
      <c r="N599" s="1">
        <v>25</v>
      </c>
    </row>
    <row r="600" spans="1:14" x14ac:dyDescent="0.25">
      <c r="A600" s="20" t="s">
        <v>610</v>
      </c>
      <c r="B600" s="1" t="s">
        <v>5788</v>
      </c>
      <c r="C600" s="1" t="s">
        <v>5789</v>
      </c>
      <c r="D600" s="1" t="s">
        <v>5790</v>
      </c>
      <c r="E600" s="1" t="s">
        <v>5791</v>
      </c>
      <c r="F600" s="1" t="s">
        <v>5792</v>
      </c>
      <c r="G600" s="1" t="s">
        <v>958</v>
      </c>
      <c r="H600" s="1" t="s">
        <v>3211</v>
      </c>
      <c r="I600" s="1" t="s">
        <v>1287</v>
      </c>
      <c r="J600" s="1" t="s">
        <v>5793</v>
      </c>
      <c r="K600" s="1" t="s">
        <v>1</v>
      </c>
      <c r="L600" s="1" t="s">
        <v>5794</v>
      </c>
      <c r="M600" s="1" t="s">
        <v>5795</v>
      </c>
      <c r="N600" s="1">
        <v>15</v>
      </c>
    </row>
    <row r="601" spans="1:14" x14ac:dyDescent="0.25">
      <c r="A601" s="20" t="s">
        <v>611</v>
      </c>
      <c r="B601" s="1" t="s">
        <v>5796</v>
      </c>
      <c r="C601" s="1" t="s">
        <v>5797</v>
      </c>
      <c r="D601" s="1" t="s">
        <v>5798</v>
      </c>
      <c r="E601" s="1" t="s">
        <v>5799</v>
      </c>
      <c r="F601" s="1" t="s">
        <v>5800</v>
      </c>
      <c r="G601" s="1" t="s">
        <v>958</v>
      </c>
      <c r="H601" s="1" t="s">
        <v>1279</v>
      </c>
      <c r="I601" s="1" t="s">
        <v>979</v>
      </c>
      <c r="J601" s="1" t="s">
        <v>1217</v>
      </c>
      <c r="K601" s="1" t="s">
        <v>1478</v>
      </c>
      <c r="L601" s="1" t="s">
        <v>3404</v>
      </c>
      <c r="M601" s="1" t="s">
        <v>5801</v>
      </c>
      <c r="N601" s="1">
        <v>500</v>
      </c>
    </row>
    <row r="602" spans="1:14" x14ac:dyDescent="0.25">
      <c r="A602" s="20" t="s">
        <v>5</v>
      </c>
      <c r="B602" s="1" t="s">
        <v>5802</v>
      </c>
      <c r="C602" s="1" t="s">
        <v>5803</v>
      </c>
      <c r="D602" s="1" t="s">
        <v>5804</v>
      </c>
      <c r="E602" s="1" t="s">
        <v>5805</v>
      </c>
      <c r="F602" s="1" t="s">
        <v>5806</v>
      </c>
      <c r="G602" s="1" t="s">
        <v>958</v>
      </c>
      <c r="H602" s="1" t="s">
        <v>1137</v>
      </c>
      <c r="I602" s="1" t="s">
        <v>979</v>
      </c>
      <c r="J602" s="1" t="s">
        <v>5807</v>
      </c>
      <c r="K602" s="1" t="s">
        <v>1218</v>
      </c>
      <c r="L602" s="1" t="s">
        <v>5808</v>
      </c>
      <c r="M602" s="1" t="s">
        <v>5809</v>
      </c>
      <c r="N602" s="1">
        <v>100</v>
      </c>
    </row>
    <row r="603" spans="1:14" x14ac:dyDescent="0.25">
      <c r="A603" s="20" t="s">
        <v>612</v>
      </c>
      <c r="B603" s="1" t="s">
        <v>5810</v>
      </c>
      <c r="C603" s="1" t="s">
        <v>5811</v>
      </c>
      <c r="D603" s="1" t="s">
        <v>5812</v>
      </c>
      <c r="E603" s="1" t="s">
        <v>5813</v>
      </c>
      <c r="F603" s="1" t="s">
        <v>5814</v>
      </c>
      <c r="G603" s="1" t="s">
        <v>958</v>
      </c>
      <c r="H603" s="1" t="s">
        <v>1279</v>
      </c>
      <c r="I603" s="1" t="s">
        <v>979</v>
      </c>
      <c r="J603" s="1" t="s">
        <v>5815</v>
      </c>
      <c r="K603" s="1" t="s">
        <v>1478</v>
      </c>
      <c r="L603" s="1" t="s">
        <v>3404</v>
      </c>
      <c r="M603" s="1" t="s">
        <v>5816</v>
      </c>
      <c r="N603" s="1">
        <v>500</v>
      </c>
    </row>
    <row r="604" spans="1:14" x14ac:dyDescent="0.25">
      <c r="A604" s="20" t="s">
        <v>613</v>
      </c>
      <c r="B604" s="1" t="s">
        <v>5817</v>
      </c>
      <c r="C604" s="1" t="s">
        <v>5818</v>
      </c>
      <c r="D604" s="1" t="s">
        <v>5819</v>
      </c>
      <c r="E604" s="1" t="s">
        <v>5820</v>
      </c>
      <c r="F604" s="1" t="s">
        <v>5821</v>
      </c>
      <c r="G604" s="1" t="s">
        <v>958</v>
      </c>
      <c r="H604" s="1" t="s">
        <v>5822</v>
      </c>
      <c r="I604" s="1" t="s">
        <v>1260</v>
      </c>
      <c r="J604" s="1" t="s">
        <v>5823</v>
      </c>
      <c r="K604" s="1" t="s">
        <v>1637</v>
      </c>
      <c r="L604" s="1" t="s">
        <v>2316</v>
      </c>
      <c r="M604" s="1" t="s">
        <v>5824</v>
      </c>
      <c r="N604" s="1">
        <v>100</v>
      </c>
    </row>
    <row r="605" spans="1:14" x14ac:dyDescent="0.25">
      <c r="A605" s="20" t="s">
        <v>614</v>
      </c>
      <c r="B605" s="1" t="s">
        <v>5825</v>
      </c>
      <c r="C605" s="1" t="s">
        <v>5826</v>
      </c>
      <c r="D605" s="1" t="s">
        <v>5827</v>
      </c>
      <c r="E605" s="1" t="s">
        <v>5828</v>
      </c>
      <c r="F605" s="1" t="s">
        <v>5829</v>
      </c>
      <c r="G605" s="1" t="s">
        <v>958</v>
      </c>
      <c r="H605" s="1" t="s">
        <v>5830</v>
      </c>
      <c r="I605" s="1" t="s">
        <v>5830</v>
      </c>
      <c r="J605" s="1" t="s">
        <v>5831</v>
      </c>
      <c r="K605" s="1" t="s">
        <v>914</v>
      </c>
      <c r="L605" s="1" t="s">
        <v>5832</v>
      </c>
      <c r="M605" s="1" t="s">
        <v>5833</v>
      </c>
      <c r="N605" s="1">
        <v>50</v>
      </c>
    </row>
    <row r="606" spans="1:14" x14ac:dyDescent="0.25">
      <c r="A606" s="20" t="s">
        <v>615</v>
      </c>
      <c r="B606" s="1" t="s">
        <v>5834</v>
      </c>
      <c r="C606" s="1" t="s">
        <v>5835</v>
      </c>
      <c r="D606" s="1" t="s">
        <v>5836</v>
      </c>
      <c r="E606" s="1" t="s">
        <v>5837</v>
      </c>
      <c r="F606" s="1" t="s">
        <v>5838</v>
      </c>
      <c r="G606" s="1" t="s">
        <v>5839</v>
      </c>
      <c r="H606" s="1" t="s">
        <v>979</v>
      </c>
      <c r="I606" s="1" t="s">
        <v>979</v>
      </c>
      <c r="J606" s="1" t="s">
        <v>3700</v>
      </c>
      <c r="K606" s="1" t="s">
        <v>2</v>
      </c>
      <c r="L606" s="1" t="s">
        <v>5840</v>
      </c>
      <c r="M606" s="1" t="s">
        <v>5841</v>
      </c>
      <c r="N606" s="1">
        <v>25</v>
      </c>
    </row>
    <row r="607" spans="1:14" x14ac:dyDescent="0.25">
      <c r="A607" s="20" t="s">
        <v>616</v>
      </c>
      <c r="B607" s="1" t="s">
        <v>5842</v>
      </c>
      <c r="C607" s="1" t="s">
        <v>5843</v>
      </c>
      <c r="D607" s="1" t="s">
        <v>5844</v>
      </c>
      <c r="E607" s="1" t="s">
        <v>5845</v>
      </c>
      <c r="F607" s="1" t="s">
        <v>5846</v>
      </c>
      <c r="G607" s="1" t="s">
        <v>958</v>
      </c>
      <c r="H607" s="1" t="s">
        <v>1715</v>
      </c>
      <c r="I607" s="1" t="s">
        <v>1308</v>
      </c>
      <c r="J607" s="1" t="s">
        <v>5847</v>
      </c>
      <c r="K607" s="1" t="s">
        <v>909</v>
      </c>
      <c r="L607" s="1" t="s">
        <v>1237</v>
      </c>
      <c r="M607" s="1" t="s">
        <v>5848</v>
      </c>
      <c r="N607" s="1">
        <v>30</v>
      </c>
    </row>
    <row r="608" spans="1:14" x14ac:dyDescent="0.25">
      <c r="A608" s="20" t="s">
        <v>617</v>
      </c>
      <c r="B608" s="1" t="s">
        <v>5849</v>
      </c>
      <c r="C608" s="1" t="s">
        <v>5850</v>
      </c>
      <c r="D608" s="1" t="s">
        <v>5851</v>
      </c>
      <c r="E608" s="1" t="s">
        <v>5852</v>
      </c>
      <c r="F608" s="1" t="s">
        <v>5853</v>
      </c>
      <c r="G608" s="1" t="s">
        <v>958</v>
      </c>
      <c r="H608" s="1" t="s">
        <v>979</v>
      </c>
      <c r="I608" s="1" t="s">
        <v>979</v>
      </c>
      <c r="J608" s="1" t="s">
        <v>5854</v>
      </c>
      <c r="K608" s="1" t="s">
        <v>1548</v>
      </c>
      <c r="L608" s="1" t="s">
        <v>1549</v>
      </c>
      <c r="M608" s="1" t="s">
        <v>5855</v>
      </c>
      <c r="N608" s="1">
        <v>30</v>
      </c>
    </row>
    <row r="609" spans="1:14" x14ac:dyDescent="0.25">
      <c r="A609" s="20" t="s">
        <v>618</v>
      </c>
      <c r="B609" s="1" t="s">
        <v>5856</v>
      </c>
      <c r="C609" s="1" t="s">
        <v>5857</v>
      </c>
      <c r="D609" s="1" t="s">
        <v>5858</v>
      </c>
      <c r="E609" s="1" t="s">
        <v>5859</v>
      </c>
      <c r="F609" s="1" t="s">
        <v>5860</v>
      </c>
      <c r="G609" s="1" t="s">
        <v>5861</v>
      </c>
      <c r="H609" s="1" t="s">
        <v>2807</v>
      </c>
      <c r="I609" s="1" t="s">
        <v>3140</v>
      </c>
      <c r="J609" s="1" t="s">
        <v>5862</v>
      </c>
      <c r="K609" s="1" t="s">
        <v>8</v>
      </c>
      <c r="L609" s="1" t="s">
        <v>5863</v>
      </c>
      <c r="M609" s="1" t="s">
        <v>5864</v>
      </c>
      <c r="N609" s="1">
        <v>25</v>
      </c>
    </row>
    <row r="610" spans="1:14" x14ac:dyDescent="0.25">
      <c r="A610" s="20" t="s">
        <v>619</v>
      </c>
      <c r="B610" s="1" t="s">
        <v>5865</v>
      </c>
      <c r="C610" s="1" t="s">
        <v>5866</v>
      </c>
      <c r="D610" s="1" t="s">
        <v>5867</v>
      </c>
      <c r="E610" s="1" t="s">
        <v>5868</v>
      </c>
      <c r="F610" s="1" t="s">
        <v>5869</v>
      </c>
      <c r="G610" s="1" t="s">
        <v>958</v>
      </c>
      <c r="H610" s="1" t="s">
        <v>979</v>
      </c>
      <c r="I610" s="1" t="s">
        <v>979</v>
      </c>
      <c r="J610" s="1" t="s">
        <v>3733</v>
      </c>
      <c r="K610" s="1" t="s">
        <v>1871</v>
      </c>
      <c r="L610" s="1" t="s">
        <v>5870</v>
      </c>
      <c r="M610" s="1" t="s">
        <v>5871</v>
      </c>
      <c r="N610" s="1">
        <v>25</v>
      </c>
    </row>
    <row r="611" spans="1:14" x14ac:dyDescent="0.25">
      <c r="A611" s="20" t="s">
        <v>620</v>
      </c>
      <c r="B611" s="1" t="s">
        <v>5872</v>
      </c>
      <c r="C611" s="1" t="s">
        <v>5873</v>
      </c>
      <c r="D611" s="1" t="s">
        <v>5874</v>
      </c>
      <c r="E611" s="1" t="s">
        <v>5875</v>
      </c>
      <c r="F611" s="1" t="s">
        <v>5876</v>
      </c>
      <c r="G611" s="1" t="s">
        <v>958</v>
      </c>
      <c r="H611" s="1" t="s">
        <v>5877</v>
      </c>
      <c r="I611" s="1" t="s">
        <v>1236</v>
      </c>
      <c r="J611" s="1" t="s">
        <v>5878</v>
      </c>
      <c r="K611" s="1" t="s">
        <v>910</v>
      </c>
      <c r="L611" s="1" t="s">
        <v>5879</v>
      </c>
      <c r="M611" s="1" t="s">
        <v>5880</v>
      </c>
      <c r="N611" s="1">
        <v>25</v>
      </c>
    </row>
    <row r="612" spans="1:14" x14ac:dyDescent="0.25">
      <c r="A612" s="20" t="s">
        <v>621</v>
      </c>
      <c r="B612" s="1" t="s">
        <v>5881</v>
      </c>
      <c r="C612" s="1" t="s">
        <v>5882</v>
      </c>
      <c r="D612" s="1" t="s">
        <v>5883</v>
      </c>
      <c r="E612" s="1" t="s">
        <v>5884</v>
      </c>
      <c r="F612" s="1" t="s">
        <v>5885</v>
      </c>
      <c r="G612" s="1" t="s">
        <v>958</v>
      </c>
      <c r="H612" s="1" t="s">
        <v>3812</v>
      </c>
      <c r="I612" s="1" t="s">
        <v>2323</v>
      </c>
      <c r="J612" s="1" t="s">
        <v>5886</v>
      </c>
      <c r="K612" s="1" t="s">
        <v>4</v>
      </c>
      <c r="L612" s="1" t="s">
        <v>924</v>
      </c>
      <c r="M612" s="1" t="s">
        <v>5887</v>
      </c>
      <c r="N612" s="1">
        <v>500</v>
      </c>
    </row>
    <row r="613" spans="1:14" x14ac:dyDescent="0.25">
      <c r="A613" s="20" t="s">
        <v>622</v>
      </c>
      <c r="B613" s="1" t="s">
        <v>5888</v>
      </c>
      <c r="C613" s="1" t="s">
        <v>5889</v>
      </c>
      <c r="D613" s="1" t="s">
        <v>5890</v>
      </c>
      <c r="E613" s="1" t="s">
        <v>5891</v>
      </c>
      <c r="F613" s="1" t="s">
        <v>5892</v>
      </c>
      <c r="G613" s="1" t="s">
        <v>958</v>
      </c>
      <c r="H613" s="1" t="s">
        <v>5893</v>
      </c>
      <c r="I613" s="1" t="s">
        <v>1432</v>
      </c>
      <c r="J613" s="1" t="s">
        <v>5894</v>
      </c>
      <c r="K613" s="1" t="s">
        <v>1478</v>
      </c>
      <c r="L613" s="1" t="s">
        <v>3404</v>
      </c>
      <c r="M613" s="1" t="s">
        <v>5895</v>
      </c>
      <c r="N613" s="1">
        <v>660</v>
      </c>
    </row>
    <row r="614" spans="1:14" x14ac:dyDescent="0.25">
      <c r="A614" s="20" t="s">
        <v>623</v>
      </c>
      <c r="B614" s="1" t="s">
        <v>5896</v>
      </c>
      <c r="C614" s="1" t="s">
        <v>5897</v>
      </c>
      <c r="D614" s="1" t="s">
        <v>5898</v>
      </c>
      <c r="E614" s="1" t="s">
        <v>5899</v>
      </c>
      <c r="F614" s="1" t="s">
        <v>5900</v>
      </c>
      <c r="G614" s="1" t="s">
        <v>958</v>
      </c>
      <c r="H614" s="1" t="s">
        <v>1608</v>
      </c>
      <c r="I614" s="1" t="s">
        <v>1476</v>
      </c>
      <c r="J614" s="1" t="s">
        <v>5901</v>
      </c>
      <c r="K614" s="1" t="s">
        <v>4</v>
      </c>
      <c r="L614" s="1" t="s">
        <v>924</v>
      </c>
      <c r="M614" s="1" t="s">
        <v>5902</v>
      </c>
      <c r="N614" s="1">
        <v>25</v>
      </c>
    </row>
    <row r="615" spans="1:14" x14ac:dyDescent="0.25">
      <c r="A615" s="20" t="s">
        <v>624</v>
      </c>
      <c r="B615" s="1" t="s">
        <v>5903</v>
      </c>
      <c r="C615" s="1" t="s">
        <v>5904</v>
      </c>
      <c r="D615" s="1" t="s">
        <v>5905</v>
      </c>
      <c r="E615" s="1" t="s">
        <v>5906</v>
      </c>
      <c r="F615" s="1" t="s">
        <v>5907</v>
      </c>
      <c r="G615" s="1" t="s">
        <v>958</v>
      </c>
      <c r="H615" s="1" t="s">
        <v>1270</v>
      </c>
      <c r="I615" s="1" t="s">
        <v>1165</v>
      </c>
      <c r="K615" s="1" t="s">
        <v>910</v>
      </c>
      <c r="L615" s="1" t="s">
        <v>4220</v>
      </c>
      <c r="M615" s="1" t="s">
        <v>5908</v>
      </c>
      <c r="N615" s="1">
        <v>25</v>
      </c>
    </row>
    <row r="616" spans="1:14" x14ac:dyDescent="0.25">
      <c r="A616" s="20" t="s">
        <v>625</v>
      </c>
      <c r="B616" s="1" t="s">
        <v>5909</v>
      </c>
      <c r="C616" s="1" t="s">
        <v>5910</v>
      </c>
      <c r="D616" s="1" t="s">
        <v>5911</v>
      </c>
      <c r="E616" s="1" t="s">
        <v>5912</v>
      </c>
      <c r="F616" s="1" t="s">
        <v>5913</v>
      </c>
      <c r="G616" s="1" t="s">
        <v>958</v>
      </c>
      <c r="H616" s="1" t="s">
        <v>1165</v>
      </c>
      <c r="I616" s="1" t="s">
        <v>1165</v>
      </c>
      <c r="J616" s="1" t="s">
        <v>5914</v>
      </c>
      <c r="K616" s="1" t="s">
        <v>1478</v>
      </c>
      <c r="L616" s="1" t="s">
        <v>1479</v>
      </c>
      <c r="M616" s="1" t="s">
        <v>5915</v>
      </c>
      <c r="N616" s="1">
        <v>25</v>
      </c>
    </row>
    <row r="617" spans="1:14" x14ac:dyDescent="0.25">
      <c r="A617" s="20" t="s">
        <v>626</v>
      </c>
      <c r="B617" s="1" t="s">
        <v>5916</v>
      </c>
      <c r="C617" s="1" t="s">
        <v>5917</v>
      </c>
      <c r="D617" s="1" t="s">
        <v>5918</v>
      </c>
      <c r="E617" s="1" t="s">
        <v>5919</v>
      </c>
      <c r="F617" s="1" t="s">
        <v>5920</v>
      </c>
      <c r="G617" s="1" t="s">
        <v>958</v>
      </c>
      <c r="H617" s="1" t="s">
        <v>5921</v>
      </c>
      <c r="I617" s="1" t="s">
        <v>1432</v>
      </c>
      <c r="J617" s="1" t="s">
        <v>5922</v>
      </c>
      <c r="K617" s="1" t="s">
        <v>1</v>
      </c>
      <c r="L617" s="1" t="s">
        <v>5923</v>
      </c>
      <c r="M617" s="1" t="s">
        <v>5924</v>
      </c>
      <c r="N617" s="1">
        <v>25</v>
      </c>
    </row>
    <row r="618" spans="1:14" x14ac:dyDescent="0.25">
      <c r="A618" s="20" t="s">
        <v>627</v>
      </c>
      <c r="B618" s="1" t="s">
        <v>5925</v>
      </c>
      <c r="C618" s="1" t="s">
        <v>5926</v>
      </c>
      <c r="D618" s="1" t="s">
        <v>5927</v>
      </c>
      <c r="E618" s="1" t="s">
        <v>5928</v>
      </c>
      <c r="F618" s="1" t="s">
        <v>5929</v>
      </c>
      <c r="G618" s="1" t="s">
        <v>958</v>
      </c>
      <c r="H618" s="1" t="s">
        <v>1018</v>
      </c>
      <c r="I618" s="1" t="s">
        <v>1116</v>
      </c>
      <c r="J618" s="1" t="s">
        <v>5930</v>
      </c>
      <c r="K618" s="1" t="s">
        <v>1</v>
      </c>
      <c r="L618" s="1" t="s">
        <v>3916</v>
      </c>
      <c r="M618" s="1" t="s">
        <v>5931</v>
      </c>
      <c r="N618" s="1">
        <v>25</v>
      </c>
    </row>
    <row r="619" spans="1:14" x14ac:dyDescent="0.25">
      <c r="A619" s="20" t="s">
        <v>628</v>
      </c>
      <c r="B619" s="1" t="s">
        <v>5932</v>
      </c>
      <c r="C619" s="1" t="s">
        <v>5933</v>
      </c>
      <c r="D619" s="1" t="s">
        <v>5934</v>
      </c>
      <c r="E619" s="1" t="s">
        <v>5935</v>
      </c>
      <c r="F619" s="1" t="s">
        <v>5936</v>
      </c>
      <c r="G619" s="1" t="s">
        <v>958</v>
      </c>
      <c r="H619" s="1" t="s">
        <v>3797</v>
      </c>
      <c r="I619" s="1" t="s">
        <v>1236</v>
      </c>
      <c r="J619" s="1" t="s">
        <v>5937</v>
      </c>
      <c r="K619" s="1" t="s">
        <v>4</v>
      </c>
      <c r="L619" s="1" t="s">
        <v>924</v>
      </c>
      <c r="M619" s="1" t="s">
        <v>5938</v>
      </c>
      <c r="N619" s="1">
        <v>50</v>
      </c>
    </row>
    <row r="620" spans="1:14" x14ac:dyDescent="0.25">
      <c r="A620" s="20" t="s">
        <v>629</v>
      </c>
      <c r="B620" s="1" t="s">
        <v>5939</v>
      </c>
      <c r="C620" s="1" t="s">
        <v>5940</v>
      </c>
      <c r="D620" s="1" t="s">
        <v>5941</v>
      </c>
      <c r="E620" s="1" t="s">
        <v>5942</v>
      </c>
      <c r="F620" s="1" t="s">
        <v>5943</v>
      </c>
      <c r="G620" s="1" t="s">
        <v>958</v>
      </c>
      <c r="H620" s="1" t="s">
        <v>1018</v>
      </c>
      <c r="I620" s="1" t="s">
        <v>1116</v>
      </c>
      <c r="J620" s="1" t="s">
        <v>5944</v>
      </c>
      <c r="K620" s="1" t="s">
        <v>1218</v>
      </c>
      <c r="L620" s="1" t="s">
        <v>5945</v>
      </c>
      <c r="M620" s="1" t="s">
        <v>5946</v>
      </c>
      <c r="N620" s="1">
        <v>25</v>
      </c>
    </row>
    <row r="621" spans="1:14" x14ac:dyDescent="0.25">
      <c r="A621" s="20" t="s">
        <v>630</v>
      </c>
      <c r="B621" s="1" t="s">
        <v>5947</v>
      </c>
      <c r="C621" s="1" t="s">
        <v>5948</v>
      </c>
      <c r="D621" s="1" t="s">
        <v>5949</v>
      </c>
      <c r="E621" s="1" t="s">
        <v>5950</v>
      </c>
      <c r="F621" s="1" t="s">
        <v>5951</v>
      </c>
      <c r="G621" s="1" t="s">
        <v>958</v>
      </c>
      <c r="H621" s="1" t="s">
        <v>3165</v>
      </c>
      <c r="I621" s="1" t="s">
        <v>1707</v>
      </c>
      <c r="J621" s="1" t="s">
        <v>5952</v>
      </c>
      <c r="K621" s="1" t="s">
        <v>1637</v>
      </c>
      <c r="L621" s="1" t="s">
        <v>4474</v>
      </c>
      <c r="M621" s="1" t="s">
        <v>5953</v>
      </c>
      <c r="N621" s="1">
        <v>30</v>
      </c>
    </row>
    <row r="622" spans="1:14" x14ac:dyDescent="0.25">
      <c r="A622" s="20" t="s">
        <v>631</v>
      </c>
      <c r="B622" s="1" t="s">
        <v>5954</v>
      </c>
      <c r="C622" s="1" t="s">
        <v>5955</v>
      </c>
      <c r="D622" s="1" t="s">
        <v>5956</v>
      </c>
      <c r="E622" s="1" t="s">
        <v>5957</v>
      </c>
      <c r="F622" s="1" t="s">
        <v>5958</v>
      </c>
      <c r="G622" s="1" t="s">
        <v>958</v>
      </c>
      <c r="H622" s="1" t="s">
        <v>1018</v>
      </c>
      <c r="I622" s="1" t="s">
        <v>1116</v>
      </c>
      <c r="J622" s="1" t="s">
        <v>5959</v>
      </c>
      <c r="K622" s="1" t="s">
        <v>971</v>
      </c>
      <c r="L622" s="1" t="s">
        <v>972</v>
      </c>
      <c r="M622" s="1" t="s">
        <v>5960</v>
      </c>
      <c r="N622" s="1">
        <v>500</v>
      </c>
    </row>
    <row r="623" spans="1:14" x14ac:dyDescent="0.25">
      <c r="A623" s="20" t="s">
        <v>632</v>
      </c>
      <c r="B623" s="1" t="s">
        <v>5961</v>
      </c>
      <c r="C623" s="1" t="s">
        <v>5962</v>
      </c>
      <c r="D623" s="1" t="s">
        <v>5956</v>
      </c>
      <c r="E623" s="1" t="s">
        <v>5957</v>
      </c>
      <c r="F623" s="1" t="s">
        <v>5963</v>
      </c>
      <c r="G623" s="1" t="s">
        <v>958</v>
      </c>
      <c r="H623" s="1" t="s">
        <v>1018</v>
      </c>
      <c r="I623" s="1" t="s">
        <v>1116</v>
      </c>
      <c r="J623" s="1" t="s">
        <v>5959</v>
      </c>
      <c r="K623" s="1" t="s">
        <v>971</v>
      </c>
      <c r="L623" s="1" t="s">
        <v>972</v>
      </c>
      <c r="M623" s="1" t="s">
        <v>5964</v>
      </c>
      <c r="N623" s="1">
        <v>500</v>
      </c>
    </row>
    <row r="624" spans="1:14" x14ac:dyDescent="0.25">
      <c r="A624" s="20" t="s">
        <v>633</v>
      </c>
      <c r="B624" s="1" t="s">
        <v>5965</v>
      </c>
      <c r="C624" s="1" t="s">
        <v>5966</v>
      </c>
      <c r="D624" s="1" t="s">
        <v>5967</v>
      </c>
      <c r="E624" s="1" t="s">
        <v>5968</v>
      </c>
      <c r="F624" s="1" t="s">
        <v>5969</v>
      </c>
      <c r="G624" s="1" t="s">
        <v>958</v>
      </c>
      <c r="H624" s="1" t="s">
        <v>1897</v>
      </c>
      <c r="I624" s="1" t="s">
        <v>1432</v>
      </c>
      <c r="J624" s="1" t="s">
        <v>5970</v>
      </c>
      <c r="K624" s="1" t="s">
        <v>1496</v>
      </c>
      <c r="L624" s="1" t="s">
        <v>5971</v>
      </c>
      <c r="M624" s="1" t="s">
        <v>5972</v>
      </c>
      <c r="N624" s="1">
        <v>50</v>
      </c>
    </row>
    <row r="625" spans="1:14" x14ac:dyDescent="0.25">
      <c r="A625" s="20" t="s">
        <v>634</v>
      </c>
      <c r="B625" s="1" t="s">
        <v>5973</v>
      </c>
      <c r="C625" s="1" t="s">
        <v>5974</v>
      </c>
      <c r="D625" s="1" t="s">
        <v>5975</v>
      </c>
      <c r="E625" s="1" t="s">
        <v>5976</v>
      </c>
      <c r="F625" s="1" t="s">
        <v>5977</v>
      </c>
      <c r="G625" s="1" t="s">
        <v>958</v>
      </c>
      <c r="H625" s="1" t="s">
        <v>1051</v>
      </c>
      <c r="I625" s="1" t="s">
        <v>1432</v>
      </c>
      <c r="J625" s="1" t="s">
        <v>5978</v>
      </c>
      <c r="K625" s="1" t="s">
        <v>1637</v>
      </c>
      <c r="L625" s="1" t="s">
        <v>5979</v>
      </c>
      <c r="M625" s="1" t="s">
        <v>5980</v>
      </c>
      <c r="N625" s="1">
        <v>50</v>
      </c>
    </row>
    <row r="626" spans="1:14" x14ac:dyDescent="0.25">
      <c r="A626" s="20" t="s">
        <v>635</v>
      </c>
      <c r="B626" s="1" t="s">
        <v>5981</v>
      </c>
      <c r="C626" s="1" t="s">
        <v>5982</v>
      </c>
      <c r="D626" s="1" t="s">
        <v>5983</v>
      </c>
      <c r="E626" s="1" t="s">
        <v>5984</v>
      </c>
      <c r="F626" s="1" t="s">
        <v>5985</v>
      </c>
      <c r="G626" s="1" t="s">
        <v>958</v>
      </c>
      <c r="H626" s="1" t="s">
        <v>1051</v>
      </c>
      <c r="I626" s="1" t="s">
        <v>979</v>
      </c>
      <c r="J626" s="1" t="s">
        <v>5986</v>
      </c>
      <c r="K626" s="1" t="s">
        <v>971</v>
      </c>
      <c r="L626" s="1" t="s">
        <v>5987</v>
      </c>
      <c r="M626" s="1" t="s">
        <v>5988</v>
      </c>
      <c r="N626" s="1">
        <v>25</v>
      </c>
    </row>
    <row r="627" spans="1:14" x14ac:dyDescent="0.25">
      <c r="A627" s="20" t="s">
        <v>636</v>
      </c>
      <c r="B627" s="1" t="s">
        <v>5989</v>
      </c>
      <c r="C627" s="1" t="s">
        <v>5990</v>
      </c>
      <c r="D627" s="1" t="s">
        <v>5991</v>
      </c>
      <c r="E627" s="1" t="s">
        <v>5992</v>
      </c>
      <c r="F627" s="1" t="s">
        <v>5993</v>
      </c>
      <c r="G627" s="1" t="s">
        <v>958</v>
      </c>
      <c r="H627" s="1" t="s">
        <v>2087</v>
      </c>
      <c r="I627" s="1" t="s">
        <v>1308</v>
      </c>
      <c r="J627" s="1" t="s">
        <v>5994</v>
      </c>
      <c r="K627" s="1" t="s">
        <v>5995</v>
      </c>
      <c r="L627" s="1" t="s">
        <v>5996</v>
      </c>
      <c r="M627" s="1" t="s">
        <v>5997</v>
      </c>
      <c r="N627" s="1">
        <v>553</v>
      </c>
    </row>
    <row r="628" spans="1:14" x14ac:dyDescent="0.25">
      <c r="A628" s="20" t="s">
        <v>637</v>
      </c>
      <c r="B628" s="1" t="s">
        <v>5998</v>
      </c>
      <c r="C628" s="1" t="s">
        <v>5999</v>
      </c>
      <c r="D628" s="1" t="s">
        <v>6000</v>
      </c>
      <c r="E628" s="1" t="s">
        <v>6001</v>
      </c>
      <c r="F628" s="1" t="s">
        <v>6002</v>
      </c>
      <c r="G628" s="1" t="s">
        <v>958</v>
      </c>
      <c r="H628" s="1" t="s">
        <v>6003</v>
      </c>
      <c r="I628" s="1" t="s">
        <v>1897</v>
      </c>
      <c r="J628" s="1" t="s">
        <v>6004</v>
      </c>
      <c r="K628" s="1" t="s">
        <v>8</v>
      </c>
      <c r="L628" s="1" t="s">
        <v>6005</v>
      </c>
      <c r="M628" s="1" t="s">
        <v>6006</v>
      </c>
      <c r="N628" s="1">
        <v>25</v>
      </c>
    </row>
    <row r="629" spans="1:14" x14ac:dyDescent="0.25">
      <c r="A629" s="20" t="s">
        <v>638</v>
      </c>
      <c r="B629" s="1" t="s">
        <v>6007</v>
      </c>
      <c r="C629" s="1" t="s">
        <v>6008</v>
      </c>
      <c r="D629" s="1" t="s">
        <v>6009</v>
      </c>
      <c r="E629" s="1" t="s">
        <v>6010</v>
      </c>
      <c r="F629" s="1" t="s">
        <v>6011</v>
      </c>
      <c r="G629" s="1" t="s">
        <v>958</v>
      </c>
      <c r="H629" s="1" t="s">
        <v>6012</v>
      </c>
      <c r="I629" s="1" t="s">
        <v>1116</v>
      </c>
      <c r="J629" s="1" t="s">
        <v>6013</v>
      </c>
      <c r="K629" s="1" t="s">
        <v>1478</v>
      </c>
      <c r="L629" s="1" t="s">
        <v>1479</v>
      </c>
      <c r="M629" s="1" t="s">
        <v>6014</v>
      </c>
      <c r="N629" s="1">
        <v>100</v>
      </c>
    </row>
    <row r="630" spans="1:14" x14ac:dyDescent="0.25">
      <c r="A630" s="20" t="s">
        <v>639</v>
      </c>
      <c r="B630" s="1" t="s">
        <v>6015</v>
      </c>
      <c r="C630" s="1" t="s">
        <v>6016</v>
      </c>
      <c r="D630" s="1" t="s">
        <v>6017</v>
      </c>
      <c r="E630" s="1" t="s">
        <v>6018</v>
      </c>
      <c r="F630" s="1" t="s">
        <v>6019</v>
      </c>
      <c r="G630" s="1" t="s">
        <v>958</v>
      </c>
      <c r="H630" s="1" t="s">
        <v>6020</v>
      </c>
      <c r="I630" s="1" t="s">
        <v>6021</v>
      </c>
      <c r="J630" s="1" t="s">
        <v>6022</v>
      </c>
      <c r="K630" s="1" t="s">
        <v>910</v>
      </c>
      <c r="L630" s="1" t="s">
        <v>981</v>
      </c>
      <c r="M630" s="1" t="s">
        <v>6023</v>
      </c>
      <c r="N630" s="1">
        <v>25</v>
      </c>
    </row>
    <row r="631" spans="1:14" x14ac:dyDescent="0.25">
      <c r="A631" s="20" t="s">
        <v>640</v>
      </c>
      <c r="B631" s="1" t="s">
        <v>6024</v>
      </c>
      <c r="C631" s="1" t="s">
        <v>6025</v>
      </c>
      <c r="D631" s="1" t="s">
        <v>6026</v>
      </c>
      <c r="E631" s="1" t="s">
        <v>6027</v>
      </c>
      <c r="F631" s="1" t="s">
        <v>6028</v>
      </c>
      <c r="G631" s="1" t="s">
        <v>958</v>
      </c>
      <c r="H631" s="1" t="s">
        <v>960</v>
      </c>
      <c r="I631" s="1" t="s">
        <v>960</v>
      </c>
      <c r="J631" s="1" t="s">
        <v>6029</v>
      </c>
      <c r="K631" s="1" t="s">
        <v>929</v>
      </c>
      <c r="L631" s="1" t="s">
        <v>6030</v>
      </c>
      <c r="M631" s="1" t="s">
        <v>6031</v>
      </c>
      <c r="N631" s="1">
        <v>25</v>
      </c>
    </row>
    <row r="632" spans="1:14" x14ac:dyDescent="0.25">
      <c r="A632" s="20" t="s">
        <v>641</v>
      </c>
      <c r="B632" s="1" t="s">
        <v>6032</v>
      </c>
      <c r="C632" s="1" t="s">
        <v>6033</v>
      </c>
      <c r="D632" s="1" t="s">
        <v>6034</v>
      </c>
      <c r="E632" s="1" t="s">
        <v>6035</v>
      </c>
      <c r="F632" s="1" t="s">
        <v>6036</v>
      </c>
      <c r="G632" s="1" t="s">
        <v>958</v>
      </c>
      <c r="H632" s="1" t="s">
        <v>6037</v>
      </c>
      <c r="I632" s="1" t="s">
        <v>1363</v>
      </c>
      <c r="J632" s="1" t="s">
        <v>6038</v>
      </c>
      <c r="K632" s="1" t="s">
        <v>1637</v>
      </c>
      <c r="L632" s="1" t="s">
        <v>2316</v>
      </c>
      <c r="M632" s="1" t="s">
        <v>6039</v>
      </c>
      <c r="N632" s="1">
        <v>25</v>
      </c>
    </row>
    <row r="633" spans="1:14" x14ac:dyDescent="0.25">
      <c r="A633" s="20" t="s">
        <v>642</v>
      </c>
      <c r="B633" s="1" t="s">
        <v>6040</v>
      </c>
      <c r="C633" s="1" t="s">
        <v>6041</v>
      </c>
      <c r="D633" s="1" t="s">
        <v>6042</v>
      </c>
      <c r="E633" s="1" t="s">
        <v>6043</v>
      </c>
      <c r="F633" s="1" t="s">
        <v>6044</v>
      </c>
      <c r="G633" s="1" t="s">
        <v>958</v>
      </c>
      <c r="H633" s="1" t="s">
        <v>1897</v>
      </c>
      <c r="I633" s="1" t="s">
        <v>1432</v>
      </c>
      <c r="J633" s="1" t="s">
        <v>6045</v>
      </c>
      <c r="K633" s="1" t="s">
        <v>1218</v>
      </c>
      <c r="L633" s="1" t="s">
        <v>1355</v>
      </c>
      <c r="M633" s="1" t="s">
        <v>6046</v>
      </c>
      <c r="N633" s="1">
        <v>25</v>
      </c>
    </row>
    <row r="634" spans="1:14" x14ac:dyDescent="0.25">
      <c r="A634" s="20" t="s">
        <v>643</v>
      </c>
      <c r="B634" s="1" t="s">
        <v>6047</v>
      </c>
      <c r="C634" s="1" t="s">
        <v>6048</v>
      </c>
      <c r="D634" s="1" t="s">
        <v>6049</v>
      </c>
      <c r="E634" s="1" t="s">
        <v>6050</v>
      </c>
      <c r="F634" s="1" t="s">
        <v>6051</v>
      </c>
      <c r="G634" s="1" t="s">
        <v>958</v>
      </c>
      <c r="H634" s="1" t="s">
        <v>979</v>
      </c>
      <c r="I634" s="1" t="s">
        <v>979</v>
      </c>
      <c r="J634" s="1" t="s">
        <v>6052</v>
      </c>
      <c r="K634" s="1" t="s">
        <v>4482</v>
      </c>
      <c r="L634" s="1" t="s">
        <v>6053</v>
      </c>
      <c r="M634" s="1" t="s">
        <v>6054</v>
      </c>
      <c r="N634" s="1">
        <v>140</v>
      </c>
    </row>
    <row r="635" spans="1:14" x14ac:dyDescent="0.25">
      <c r="A635" s="20" t="s">
        <v>644</v>
      </c>
      <c r="B635" s="1" t="s">
        <v>6055</v>
      </c>
      <c r="C635" s="1" t="s">
        <v>6056</v>
      </c>
      <c r="D635" s="1" t="s">
        <v>6057</v>
      </c>
      <c r="E635" s="1" t="s">
        <v>6058</v>
      </c>
      <c r="F635" s="1" t="s">
        <v>6059</v>
      </c>
      <c r="G635" s="1" t="s">
        <v>958</v>
      </c>
      <c r="H635" s="1" t="s">
        <v>6060</v>
      </c>
      <c r="I635" s="1" t="s">
        <v>1026</v>
      </c>
      <c r="J635" s="1" t="s">
        <v>6061</v>
      </c>
      <c r="K635" s="1" t="s">
        <v>915</v>
      </c>
      <c r="L635" s="1" t="s">
        <v>6062</v>
      </c>
      <c r="M635" s="1" t="s">
        <v>6063</v>
      </c>
      <c r="N635" s="1">
        <v>25</v>
      </c>
    </row>
    <row r="636" spans="1:14" x14ac:dyDescent="0.25">
      <c r="A636" s="20" t="s">
        <v>645</v>
      </c>
      <c r="B636" s="1" t="s">
        <v>6064</v>
      </c>
      <c r="C636" s="1" t="s">
        <v>6065</v>
      </c>
      <c r="D636" s="1" t="s">
        <v>6066</v>
      </c>
      <c r="E636" s="1" t="s">
        <v>6067</v>
      </c>
      <c r="F636" s="1" t="s">
        <v>6068</v>
      </c>
      <c r="G636" s="1" t="s">
        <v>958</v>
      </c>
      <c r="H636" s="1" t="s">
        <v>6069</v>
      </c>
      <c r="I636" s="1" t="s">
        <v>979</v>
      </c>
      <c r="J636" s="1" t="s">
        <v>6070</v>
      </c>
      <c r="K636" s="1" t="s">
        <v>915</v>
      </c>
      <c r="L636" s="1" t="s">
        <v>1228</v>
      </c>
      <c r="M636" s="1" t="s">
        <v>6071</v>
      </c>
      <c r="N636" s="1">
        <v>25</v>
      </c>
    </row>
    <row r="637" spans="1:14" x14ac:dyDescent="0.25">
      <c r="A637" s="20" t="s">
        <v>646</v>
      </c>
      <c r="B637" s="1" t="s">
        <v>6072</v>
      </c>
      <c r="C637" s="1" t="s">
        <v>6073</v>
      </c>
      <c r="D637" s="1" t="s">
        <v>6074</v>
      </c>
      <c r="E637" s="1" t="s">
        <v>6075</v>
      </c>
      <c r="F637" s="1" t="s">
        <v>6076</v>
      </c>
      <c r="G637" s="1" t="s">
        <v>958</v>
      </c>
      <c r="H637" s="1" t="s">
        <v>1259</v>
      </c>
      <c r="I637" s="1" t="s">
        <v>1260</v>
      </c>
      <c r="J637" s="1" t="s">
        <v>6077</v>
      </c>
      <c r="K637" s="1" t="s">
        <v>1</v>
      </c>
      <c r="L637" s="1" t="s">
        <v>6078</v>
      </c>
      <c r="M637" s="1" t="s">
        <v>6079</v>
      </c>
      <c r="N637" s="1">
        <v>100</v>
      </c>
    </row>
    <row r="638" spans="1:14" x14ac:dyDescent="0.25">
      <c r="A638" s="20" t="s">
        <v>647</v>
      </c>
      <c r="B638" s="1" t="s">
        <v>6080</v>
      </c>
      <c r="C638" s="1" t="s">
        <v>6081</v>
      </c>
      <c r="D638" s="1" t="s">
        <v>6082</v>
      </c>
      <c r="E638" s="1" t="s">
        <v>6082</v>
      </c>
      <c r="F638" s="1" t="s">
        <v>6083</v>
      </c>
      <c r="G638" s="1" t="s">
        <v>958</v>
      </c>
      <c r="H638" s="1" t="s">
        <v>1059</v>
      </c>
      <c r="I638" s="1" t="s">
        <v>1236</v>
      </c>
      <c r="J638" s="1" t="s">
        <v>2541</v>
      </c>
      <c r="K638" s="1" t="s">
        <v>1637</v>
      </c>
      <c r="L638" s="1" t="s">
        <v>6084</v>
      </c>
      <c r="M638" s="1" t="s">
        <v>6085</v>
      </c>
      <c r="N638" s="1">
        <v>25</v>
      </c>
    </row>
    <row r="639" spans="1:14" x14ac:dyDescent="0.25">
      <c r="A639" s="20" t="s">
        <v>648</v>
      </c>
      <c r="B639" s="1" t="s">
        <v>6086</v>
      </c>
      <c r="C639" s="1" t="s">
        <v>6087</v>
      </c>
      <c r="D639" s="1" t="s">
        <v>6088</v>
      </c>
      <c r="E639" s="1" t="s">
        <v>6089</v>
      </c>
      <c r="F639" s="1" t="s">
        <v>6090</v>
      </c>
      <c r="G639" s="1" t="s">
        <v>958</v>
      </c>
      <c r="H639" s="1" t="s">
        <v>1897</v>
      </c>
      <c r="I639" s="1" t="s">
        <v>1432</v>
      </c>
      <c r="J639" s="1" t="s">
        <v>6091</v>
      </c>
      <c r="K639" s="1" t="s">
        <v>1218</v>
      </c>
      <c r="L639" s="1" t="s">
        <v>1434</v>
      </c>
      <c r="M639" s="1" t="s">
        <v>6092</v>
      </c>
      <c r="N639" s="1">
        <v>100</v>
      </c>
    </row>
    <row r="640" spans="1:14" x14ac:dyDescent="0.25">
      <c r="A640" s="20" t="s">
        <v>649</v>
      </c>
      <c r="B640" s="1" t="s">
        <v>6093</v>
      </c>
      <c r="C640" s="1" t="s">
        <v>6094</v>
      </c>
      <c r="D640" s="1" t="s">
        <v>6095</v>
      </c>
      <c r="E640" s="1" t="s">
        <v>6096</v>
      </c>
      <c r="F640" s="1" t="s">
        <v>6097</v>
      </c>
      <c r="G640" s="1" t="s">
        <v>958</v>
      </c>
      <c r="H640" s="1" t="s">
        <v>6098</v>
      </c>
      <c r="I640" s="1" t="s">
        <v>1362</v>
      </c>
      <c r="J640" s="1" t="s">
        <v>6099</v>
      </c>
      <c r="K640" s="1" t="s">
        <v>1871</v>
      </c>
      <c r="L640" s="1" t="s">
        <v>6100</v>
      </c>
      <c r="M640" s="1" t="s">
        <v>6101</v>
      </c>
      <c r="N640" s="1">
        <v>25</v>
      </c>
    </row>
    <row r="641" spans="1:14" x14ac:dyDescent="0.25">
      <c r="A641" s="20" t="s">
        <v>650</v>
      </c>
      <c r="B641" s="1" t="s">
        <v>6102</v>
      </c>
      <c r="C641" s="1" t="s">
        <v>4311</v>
      </c>
      <c r="D641" s="1" t="s">
        <v>4312</v>
      </c>
      <c r="E641" s="1" t="s">
        <v>6103</v>
      </c>
      <c r="F641" s="1" t="s">
        <v>6104</v>
      </c>
      <c r="G641" s="1" t="s">
        <v>958</v>
      </c>
      <c r="H641" s="1" t="s">
        <v>1018</v>
      </c>
      <c r="I641" s="1" t="s">
        <v>1116</v>
      </c>
      <c r="J641" s="1" t="s">
        <v>6105</v>
      </c>
      <c r="K641" s="1" t="s">
        <v>914</v>
      </c>
      <c r="L641" s="1" t="s">
        <v>4315</v>
      </c>
      <c r="M641" s="1" t="s">
        <v>6106</v>
      </c>
      <c r="N641" s="1">
        <v>25</v>
      </c>
    </row>
    <row r="642" spans="1:14" x14ac:dyDescent="0.25">
      <c r="A642" s="20" t="s">
        <v>651</v>
      </c>
      <c r="B642" s="1" t="s">
        <v>6107</v>
      </c>
      <c r="C642" s="1" t="s">
        <v>6108</v>
      </c>
      <c r="D642" s="1" t="s">
        <v>6109</v>
      </c>
      <c r="E642" s="1" t="s">
        <v>6110</v>
      </c>
      <c r="F642" s="1" t="s">
        <v>6111</v>
      </c>
      <c r="G642" s="1" t="s">
        <v>958</v>
      </c>
      <c r="H642" s="1" t="s">
        <v>6112</v>
      </c>
      <c r="I642" s="1" t="s">
        <v>979</v>
      </c>
      <c r="J642" s="1" t="s">
        <v>6113</v>
      </c>
      <c r="K642" s="1" t="s">
        <v>910</v>
      </c>
      <c r="L642" s="1" t="s">
        <v>3652</v>
      </c>
      <c r="M642" s="1" t="s">
        <v>6114</v>
      </c>
      <c r="N642" s="1">
        <v>100</v>
      </c>
    </row>
    <row r="643" spans="1:14" x14ac:dyDescent="0.25">
      <c r="A643" s="20" t="s">
        <v>652</v>
      </c>
      <c r="B643" s="1" t="s">
        <v>6115</v>
      </c>
      <c r="C643" s="1" t="s">
        <v>6116</v>
      </c>
      <c r="D643" s="1" t="s">
        <v>6117</v>
      </c>
      <c r="E643" s="1" t="s">
        <v>6118</v>
      </c>
      <c r="F643" s="1" t="s">
        <v>6119</v>
      </c>
      <c r="G643" s="1" t="s">
        <v>958</v>
      </c>
      <c r="H643" s="1" t="s">
        <v>6120</v>
      </c>
      <c r="I643" s="1" t="s">
        <v>1116</v>
      </c>
      <c r="J643" s="1" t="s">
        <v>6121</v>
      </c>
      <c r="K643" s="1" t="s">
        <v>2</v>
      </c>
      <c r="L643" s="1" t="s">
        <v>1327</v>
      </c>
      <c r="M643" s="1" t="s">
        <v>6122</v>
      </c>
      <c r="N643" s="1">
        <v>25</v>
      </c>
    </row>
    <row r="644" spans="1:14" x14ac:dyDescent="0.25">
      <c r="A644" s="20" t="s">
        <v>653</v>
      </c>
      <c r="B644" s="1" t="s">
        <v>6123</v>
      </c>
      <c r="C644" s="1" t="s">
        <v>6124</v>
      </c>
      <c r="D644" s="1" t="s">
        <v>6125</v>
      </c>
      <c r="E644" s="1" t="s">
        <v>6126</v>
      </c>
      <c r="F644" s="1" t="s">
        <v>6127</v>
      </c>
      <c r="G644" s="1" t="s">
        <v>958</v>
      </c>
      <c r="H644" s="1" t="s">
        <v>1097</v>
      </c>
      <c r="I644" s="1" t="s">
        <v>1591</v>
      </c>
      <c r="J644" s="1" t="s">
        <v>6128</v>
      </c>
      <c r="K644" s="1" t="s">
        <v>971</v>
      </c>
      <c r="L644" s="1" t="s">
        <v>972</v>
      </c>
      <c r="M644" s="1" t="s">
        <v>6129</v>
      </c>
      <c r="N644" s="1">
        <v>50</v>
      </c>
    </row>
    <row r="645" spans="1:14" x14ac:dyDescent="0.25">
      <c r="A645" s="20" t="s">
        <v>654</v>
      </c>
      <c r="B645" s="1" t="s">
        <v>6130</v>
      </c>
      <c r="C645" s="1" t="s">
        <v>6131</v>
      </c>
      <c r="D645" s="1" t="s">
        <v>6132</v>
      </c>
      <c r="E645" s="1" t="s">
        <v>6133</v>
      </c>
      <c r="F645" s="1" t="s">
        <v>6134</v>
      </c>
      <c r="G645" s="1" t="s">
        <v>958</v>
      </c>
      <c r="H645" s="1" t="s">
        <v>1778</v>
      </c>
      <c r="I645" s="1" t="s">
        <v>6135</v>
      </c>
      <c r="J645" s="1" t="s">
        <v>6136</v>
      </c>
      <c r="K645" s="1" t="s">
        <v>1673</v>
      </c>
      <c r="L645" s="1" t="s">
        <v>2343</v>
      </c>
      <c r="M645" s="1" t="s">
        <v>6137</v>
      </c>
      <c r="N645" s="1">
        <v>25</v>
      </c>
    </row>
    <row r="646" spans="1:14" x14ac:dyDescent="0.25">
      <c r="A646" s="20" t="s">
        <v>655</v>
      </c>
      <c r="B646" s="1" t="s">
        <v>6138</v>
      </c>
      <c r="C646" s="1" t="s">
        <v>6139</v>
      </c>
      <c r="D646" s="1" t="s">
        <v>6140</v>
      </c>
      <c r="E646" s="1" t="s">
        <v>6141</v>
      </c>
      <c r="F646" s="1" t="s">
        <v>6142</v>
      </c>
      <c r="G646" s="1" t="s">
        <v>958</v>
      </c>
      <c r="H646" s="1" t="s">
        <v>1137</v>
      </c>
      <c r="I646" s="1" t="s">
        <v>979</v>
      </c>
      <c r="J646" s="1" t="s">
        <v>6143</v>
      </c>
      <c r="K646" s="1" t="s">
        <v>910</v>
      </c>
      <c r="L646" s="1" t="s">
        <v>6144</v>
      </c>
      <c r="M646" s="1" t="s">
        <v>6145</v>
      </c>
      <c r="N646" s="1">
        <v>50</v>
      </c>
    </row>
    <row r="647" spans="1:14" x14ac:dyDescent="0.25">
      <c r="A647" s="20" t="s">
        <v>656</v>
      </c>
      <c r="B647" s="1" t="s">
        <v>6146</v>
      </c>
      <c r="C647" s="1" t="s">
        <v>6147</v>
      </c>
      <c r="D647" s="1" t="s">
        <v>6148</v>
      </c>
      <c r="E647" s="1" t="s">
        <v>6149</v>
      </c>
      <c r="F647" s="1" t="s">
        <v>6150</v>
      </c>
      <c r="G647" s="1" t="s">
        <v>958</v>
      </c>
      <c r="H647" s="1" t="s">
        <v>979</v>
      </c>
      <c r="I647" s="1" t="s">
        <v>979</v>
      </c>
      <c r="J647" s="1" t="s">
        <v>6151</v>
      </c>
      <c r="K647" s="1" t="s">
        <v>971</v>
      </c>
      <c r="L647" s="1" t="s">
        <v>972</v>
      </c>
      <c r="M647" s="1" t="s">
        <v>6152</v>
      </c>
      <c r="N647" s="1">
        <v>25</v>
      </c>
    </row>
    <row r="648" spans="1:14" x14ac:dyDescent="0.25">
      <c r="A648" s="20" t="s">
        <v>657</v>
      </c>
      <c r="B648" s="1" t="s">
        <v>6153</v>
      </c>
      <c r="C648" s="1" t="s">
        <v>6154</v>
      </c>
      <c r="D648" s="1" t="s">
        <v>6155</v>
      </c>
      <c r="E648" s="1" t="s">
        <v>6156</v>
      </c>
      <c r="F648" s="1" t="s">
        <v>6157</v>
      </c>
      <c r="G648" s="1" t="s">
        <v>958</v>
      </c>
      <c r="H648" s="1" t="s">
        <v>1879</v>
      </c>
      <c r="I648" s="1" t="s">
        <v>1760</v>
      </c>
      <c r="J648" s="1" t="s">
        <v>6158</v>
      </c>
      <c r="K648" s="1" t="s">
        <v>5285</v>
      </c>
      <c r="L648" s="1" t="s">
        <v>6159</v>
      </c>
      <c r="M648" s="1" t="s">
        <v>6160</v>
      </c>
      <c r="N648" s="1">
        <v>30</v>
      </c>
    </row>
    <row r="649" spans="1:14" x14ac:dyDescent="0.25">
      <c r="A649" s="20" t="s">
        <v>658</v>
      </c>
      <c r="B649" s="1" t="s">
        <v>6161</v>
      </c>
      <c r="C649" s="1" t="s">
        <v>6162</v>
      </c>
      <c r="D649" s="1" t="s">
        <v>6163</v>
      </c>
      <c r="E649" s="1" t="s">
        <v>6164</v>
      </c>
      <c r="F649" s="1" t="s">
        <v>6165</v>
      </c>
      <c r="G649" s="1" t="s">
        <v>958</v>
      </c>
      <c r="H649" s="1" t="s">
        <v>3165</v>
      </c>
      <c r="I649" s="1" t="s">
        <v>1707</v>
      </c>
      <c r="J649" s="1" t="s">
        <v>6166</v>
      </c>
      <c r="K649" s="1" t="s">
        <v>909</v>
      </c>
      <c r="L649" s="1" t="s">
        <v>6167</v>
      </c>
      <c r="M649" s="1" t="s">
        <v>6168</v>
      </c>
      <c r="N649" s="1">
        <v>25</v>
      </c>
    </row>
    <row r="650" spans="1:14" x14ac:dyDescent="0.25">
      <c r="A650" s="20" t="s">
        <v>659</v>
      </c>
      <c r="B650" s="1" t="s">
        <v>6169</v>
      </c>
      <c r="C650" s="1" t="s">
        <v>6170</v>
      </c>
      <c r="D650" s="1" t="s">
        <v>6171</v>
      </c>
      <c r="E650" s="1" t="s">
        <v>6172</v>
      </c>
      <c r="F650" s="1" t="s">
        <v>6173</v>
      </c>
      <c r="G650" s="1" t="s">
        <v>958</v>
      </c>
      <c r="H650" s="1" t="s">
        <v>6174</v>
      </c>
      <c r="I650" s="1" t="s">
        <v>1591</v>
      </c>
      <c r="J650" s="1" t="s">
        <v>6175</v>
      </c>
      <c r="K650" s="1" t="s">
        <v>1478</v>
      </c>
      <c r="L650" s="1" t="s">
        <v>6176</v>
      </c>
      <c r="M650" s="1" t="s">
        <v>6177</v>
      </c>
      <c r="N650" s="1">
        <v>25</v>
      </c>
    </row>
    <row r="651" spans="1:14" x14ac:dyDescent="0.25">
      <c r="A651" s="20" t="s">
        <v>660</v>
      </c>
      <c r="B651" s="1" t="s">
        <v>6178</v>
      </c>
      <c r="C651" s="1" t="s">
        <v>6179</v>
      </c>
      <c r="D651" s="1" t="s">
        <v>6180</v>
      </c>
      <c r="E651" s="1" t="s">
        <v>6181</v>
      </c>
      <c r="F651" s="1" t="s">
        <v>6182</v>
      </c>
      <c r="G651" s="1" t="s">
        <v>6183</v>
      </c>
      <c r="H651" s="1" t="s">
        <v>6184</v>
      </c>
      <c r="I651" s="1" t="s">
        <v>1287</v>
      </c>
      <c r="J651" s="1" t="s">
        <v>6185</v>
      </c>
      <c r="K651" s="1" t="s">
        <v>8</v>
      </c>
      <c r="L651" s="1" t="s">
        <v>1129</v>
      </c>
      <c r="M651" s="1" t="s">
        <v>6186</v>
      </c>
      <c r="N651" s="1">
        <v>100</v>
      </c>
    </row>
    <row r="652" spans="1:14" x14ac:dyDescent="0.25">
      <c r="A652" s="20" t="s">
        <v>661</v>
      </c>
      <c r="B652" s="1" t="s">
        <v>6187</v>
      </c>
      <c r="C652" s="1" t="s">
        <v>6188</v>
      </c>
      <c r="D652" s="1" t="s">
        <v>6189</v>
      </c>
      <c r="E652" s="1" t="s">
        <v>6190</v>
      </c>
      <c r="F652" s="1" t="s">
        <v>6191</v>
      </c>
      <c r="G652" s="1" t="s">
        <v>958</v>
      </c>
      <c r="H652" s="1" t="s">
        <v>6192</v>
      </c>
      <c r="I652" s="1" t="s">
        <v>1018</v>
      </c>
      <c r="J652" s="1" t="s">
        <v>6193</v>
      </c>
      <c r="K652" s="1" t="s">
        <v>1</v>
      </c>
      <c r="L652" s="1" t="s">
        <v>6194</v>
      </c>
      <c r="M652" s="1" t="s">
        <v>6195</v>
      </c>
      <c r="N652" s="1">
        <v>25</v>
      </c>
    </row>
    <row r="653" spans="1:14" x14ac:dyDescent="0.25">
      <c r="A653" s="20" t="s">
        <v>662</v>
      </c>
      <c r="B653" s="1" t="s">
        <v>6196</v>
      </c>
      <c r="C653" s="1" t="s">
        <v>5956</v>
      </c>
      <c r="D653" s="1" t="s">
        <v>6197</v>
      </c>
      <c r="E653" s="1" t="s">
        <v>6198</v>
      </c>
      <c r="F653" s="1" t="s">
        <v>6199</v>
      </c>
      <c r="G653" s="1" t="s">
        <v>958</v>
      </c>
      <c r="H653" s="1" t="s">
        <v>1051</v>
      </c>
      <c r="I653" s="1" t="s">
        <v>1116</v>
      </c>
      <c r="J653" s="1" t="s">
        <v>5959</v>
      </c>
      <c r="K653" s="1" t="s">
        <v>971</v>
      </c>
      <c r="L653" s="1" t="s">
        <v>972</v>
      </c>
      <c r="M653" s="1" t="s">
        <v>6200</v>
      </c>
      <c r="N653" s="1">
        <v>300</v>
      </c>
    </row>
    <row r="654" spans="1:14" x14ac:dyDescent="0.25">
      <c r="A654" s="20" t="s">
        <v>663</v>
      </c>
      <c r="B654" s="1" t="s">
        <v>6201</v>
      </c>
      <c r="C654" s="1" t="s">
        <v>6202</v>
      </c>
      <c r="D654" s="1" t="s">
        <v>6108</v>
      </c>
      <c r="E654" s="1" t="s">
        <v>2942</v>
      </c>
      <c r="F654" s="1" t="s">
        <v>6203</v>
      </c>
      <c r="G654" s="1" t="s">
        <v>958</v>
      </c>
      <c r="H654" s="1" t="s">
        <v>1137</v>
      </c>
      <c r="I654" s="1" t="s">
        <v>979</v>
      </c>
      <c r="J654" s="1" t="s">
        <v>6204</v>
      </c>
      <c r="K654" s="1" t="s">
        <v>1089</v>
      </c>
      <c r="L654" s="1" t="s">
        <v>4728</v>
      </c>
      <c r="M654" s="1" t="s">
        <v>6205</v>
      </c>
      <c r="N654" s="1">
        <v>200</v>
      </c>
    </row>
    <row r="655" spans="1:14" x14ac:dyDescent="0.25">
      <c r="A655" s="20" t="s">
        <v>664</v>
      </c>
      <c r="B655" s="1" t="s">
        <v>6206</v>
      </c>
      <c r="C655" s="1" t="s">
        <v>6207</v>
      </c>
      <c r="D655" s="1" t="s">
        <v>6208</v>
      </c>
      <c r="E655" s="1" t="s">
        <v>6209</v>
      </c>
      <c r="F655" s="1" t="s">
        <v>6210</v>
      </c>
      <c r="G655" s="1" t="s">
        <v>958</v>
      </c>
      <c r="H655" s="1" t="s">
        <v>6211</v>
      </c>
      <c r="I655" s="1" t="s">
        <v>979</v>
      </c>
      <c r="J655" s="1" t="s">
        <v>6113</v>
      </c>
      <c r="K655" s="1" t="s">
        <v>1218</v>
      </c>
      <c r="L655" s="1" t="s">
        <v>6212</v>
      </c>
      <c r="M655" s="1" t="s">
        <v>6213</v>
      </c>
      <c r="N655" s="1">
        <v>300</v>
      </c>
    </row>
    <row r="656" spans="1:14" x14ac:dyDescent="0.25">
      <c r="A656" s="20" t="s">
        <v>665</v>
      </c>
      <c r="B656" s="1" t="s">
        <v>6214</v>
      </c>
      <c r="C656" s="1" t="s">
        <v>6215</v>
      </c>
      <c r="D656" s="1" t="s">
        <v>6108</v>
      </c>
      <c r="E656" s="1" t="s">
        <v>6216</v>
      </c>
      <c r="F656" s="1" t="s">
        <v>6217</v>
      </c>
      <c r="G656" s="1" t="s">
        <v>6218</v>
      </c>
      <c r="H656" s="1" t="s">
        <v>1897</v>
      </c>
      <c r="I656" s="1" t="s">
        <v>1432</v>
      </c>
      <c r="J656" s="1" t="s">
        <v>6219</v>
      </c>
      <c r="K656" s="1" t="s">
        <v>1</v>
      </c>
      <c r="L656" s="1" t="s">
        <v>6220</v>
      </c>
      <c r="M656" s="1" t="s">
        <v>6221</v>
      </c>
      <c r="N656" s="1">
        <v>100</v>
      </c>
    </row>
    <row r="657" spans="1:14" x14ac:dyDescent="0.25">
      <c r="A657" s="20" t="s">
        <v>666</v>
      </c>
      <c r="B657" s="1" t="s">
        <v>6222</v>
      </c>
      <c r="C657" s="1" t="s">
        <v>6223</v>
      </c>
      <c r="D657" s="1" t="s">
        <v>6224</v>
      </c>
      <c r="E657" s="1" t="s">
        <v>6225</v>
      </c>
      <c r="F657" s="1" t="s">
        <v>6226</v>
      </c>
      <c r="G657" s="1" t="s">
        <v>958</v>
      </c>
      <c r="H657" s="1" t="s">
        <v>6227</v>
      </c>
      <c r="I657" s="1" t="s">
        <v>979</v>
      </c>
      <c r="J657" s="1" t="s">
        <v>6228</v>
      </c>
      <c r="K657" s="1" t="s">
        <v>919</v>
      </c>
      <c r="L657" s="1" t="s">
        <v>918</v>
      </c>
      <c r="M657" s="1" t="s">
        <v>6229</v>
      </c>
      <c r="N657" s="1">
        <v>25</v>
      </c>
    </row>
    <row r="658" spans="1:14" x14ac:dyDescent="0.25">
      <c r="A658" s="20" t="s">
        <v>667</v>
      </c>
      <c r="B658" s="1" t="s">
        <v>6230</v>
      </c>
      <c r="C658" s="1" t="s">
        <v>6231</v>
      </c>
      <c r="D658" s="1" t="s">
        <v>6232</v>
      </c>
      <c r="E658" s="1" t="s">
        <v>6233</v>
      </c>
      <c r="F658" s="1" t="s">
        <v>6234</v>
      </c>
      <c r="G658" s="1" t="s">
        <v>958</v>
      </c>
      <c r="H658" s="1" t="s">
        <v>1051</v>
      </c>
      <c r="I658" s="1" t="s">
        <v>1116</v>
      </c>
      <c r="J658" s="1" t="s">
        <v>6235</v>
      </c>
      <c r="K658" s="1" t="s">
        <v>915</v>
      </c>
      <c r="L658" s="1" t="s">
        <v>2424</v>
      </c>
      <c r="M658" s="1" t="s">
        <v>6236</v>
      </c>
      <c r="N658" s="1">
        <v>25</v>
      </c>
    </row>
    <row r="659" spans="1:14" x14ac:dyDescent="0.25">
      <c r="A659" s="20" t="s">
        <v>668</v>
      </c>
      <c r="B659" s="1" t="s">
        <v>6237</v>
      </c>
      <c r="C659" s="1" t="s">
        <v>6238</v>
      </c>
      <c r="D659" s="1" t="s">
        <v>6239</v>
      </c>
      <c r="E659" s="1" t="s">
        <v>6240</v>
      </c>
      <c r="F659" s="1" t="s">
        <v>6241</v>
      </c>
      <c r="G659" s="1" t="s">
        <v>6242</v>
      </c>
      <c r="H659" s="1" t="s">
        <v>6243</v>
      </c>
      <c r="I659" s="1" t="s">
        <v>1116</v>
      </c>
      <c r="J659" s="1" t="s">
        <v>6244</v>
      </c>
      <c r="K659" s="1" t="s">
        <v>919</v>
      </c>
      <c r="L659" s="1" t="s">
        <v>6245</v>
      </c>
      <c r="M659" s="1" t="s">
        <v>6246</v>
      </c>
      <c r="N659" s="1">
        <v>100</v>
      </c>
    </row>
    <row r="660" spans="1:14" x14ac:dyDescent="0.25">
      <c r="A660" s="20" t="s">
        <v>669</v>
      </c>
      <c r="B660" s="1" t="s">
        <v>6247</v>
      </c>
      <c r="C660" s="1" t="s">
        <v>6248</v>
      </c>
      <c r="D660" s="1" t="s">
        <v>2295</v>
      </c>
      <c r="E660" s="1" t="s">
        <v>2296</v>
      </c>
      <c r="F660" s="1" t="s">
        <v>6249</v>
      </c>
      <c r="G660" s="1" t="s">
        <v>958</v>
      </c>
      <c r="H660" s="1" t="s">
        <v>6250</v>
      </c>
      <c r="I660" s="1" t="s">
        <v>1362</v>
      </c>
      <c r="J660" s="1" t="s">
        <v>6251</v>
      </c>
      <c r="K660" s="1" t="s">
        <v>1871</v>
      </c>
      <c r="L660" s="1" t="s">
        <v>6252</v>
      </c>
      <c r="M660" s="1" t="s">
        <v>6253</v>
      </c>
      <c r="N660" s="1">
        <v>25</v>
      </c>
    </row>
    <row r="661" spans="1:14" x14ac:dyDescent="0.25">
      <c r="A661" s="20" t="s">
        <v>670</v>
      </c>
      <c r="B661" s="1" t="s">
        <v>6254</v>
      </c>
      <c r="C661" s="1" t="s">
        <v>6255</v>
      </c>
      <c r="D661" s="1" t="s">
        <v>6256</v>
      </c>
      <c r="E661" s="1" t="s">
        <v>6257</v>
      </c>
      <c r="F661" s="1" t="s">
        <v>6258</v>
      </c>
      <c r="G661" s="1" t="s">
        <v>958</v>
      </c>
      <c r="H661" s="1" t="s">
        <v>2766</v>
      </c>
      <c r="I661" s="1" t="s">
        <v>6259</v>
      </c>
      <c r="J661" s="1" t="s">
        <v>6260</v>
      </c>
      <c r="K661" s="1" t="s">
        <v>919</v>
      </c>
      <c r="L661" s="1" t="s">
        <v>1011</v>
      </c>
      <c r="M661" s="1" t="s">
        <v>6261</v>
      </c>
      <c r="N661" s="1">
        <v>25</v>
      </c>
    </row>
    <row r="662" spans="1:14" x14ac:dyDescent="0.25">
      <c r="A662" s="20" t="s">
        <v>671</v>
      </c>
      <c r="B662" s="1" t="s">
        <v>6262</v>
      </c>
      <c r="C662" s="1" t="s">
        <v>6263</v>
      </c>
      <c r="D662" s="1" t="s">
        <v>6264</v>
      </c>
      <c r="E662" s="1" t="s">
        <v>6264</v>
      </c>
      <c r="F662" s="1" t="s">
        <v>6265</v>
      </c>
      <c r="G662" s="1" t="s">
        <v>958</v>
      </c>
      <c r="H662" s="1" t="s">
        <v>1707</v>
      </c>
      <c r="I662" s="1" t="s">
        <v>1707</v>
      </c>
      <c r="J662" s="1" t="s">
        <v>6266</v>
      </c>
      <c r="K662" s="1" t="s">
        <v>8</v>
      </c>
      <c r="L662" s="1" t="s">
        <v>1020</v>
      </c>
      <c r="M662" s="1" t="s">
        <v>6267</v>
      </c>
      <c r="N662" s="1">
        <v>26</v>
      </c>
    </row>
    <row r="663" spans="1:14" x14ac:dyDescent="0.25">
      <c r="A663" s="20" t="s">
        <v>672</v>
      </c>
      <c r="B663" s="1" t="s">
        <v>6268</v>
      </c>
      <c r="C663" s="1" t="s">
        <v>6269</v>
      </c>
      <c r="D663" s="1" t="s">
        <v>6270</v>
      </c>
      <c r="E663" s="1" t="s">
        <v>6271</v>
      </c>
      <c r="F663" s="1" t="s">
        <v>6272</v>
      </c>
      <c r="G663" s="1" t="s">
        <v>958</v>
      </c>
      <c r="H663" s="1" t="s">
        <v>6273</v>
      </c>
      <c r="I663" s="1" t="s">
        <v>4292</v>
      </c>
      <c r="J663" s="1" t="s">
        <v>6274</v>
      </c>
      <c r="K663" s="1" t="s">
        <v>8</v>
      </c>
      <c r="L663" s="1" t="s">
        <v>3677</v>
      </c>
      <c r="M663" s="1" t="s">
        <v>6275</v>
      </c>
      <c r="N663" s="1">
        <v>25</v>
      </c>
    </row>
    <row r="664" spans="1:14" x14ac:dyDescent="0.25">
      <c r="A664" s="20" t="s">
        <v>673</v>
      </c>
      <c r="B664" s="1" t="s">
        <v>6276</v>
      </c>
      <c r="C664" s="1" t="s">
        <v>6277</v>
      </c>
      <c r="D664" s="1" t="s">
        <v>6278</v>
      </c>
      <c r="E664" s="1" t="s">
        <v>6279</v>
      </c>
      <c r="F664" s="1" t="s">
        <v>6280</v>
      </c>
      <c r="G664" s="1" t="s">
        <v>958</v>
      </c>
      <c r="H664" s="1" t="s">
        <v>2743</v>
      </c>
      <c r="I664" s="1" t="s">
        <v>2744</v>
      </c>
      <c r="J664" s="1" t="s">
        <v>6281</v>
      </c>
      <c r="K664" s="1" t="s">
        <v>910</v>
      </c>
      <c r="L664" s="1" t="s">
        <v>4220</v>
      </c>
      <c r="M664" s="1" t="s">
        <v>6282</v>
      </c>
      <c r="N664" s="1">
        <v>30</v>
      </c>
    </row>
    <row r="665" spans="1:14" x14ac:dyDescent="0.25">
      <c r="A665" s="20" t="s">
        <v>674</v>
      </c>
      <c r="B665" s="1" t="s">
        <v>6283</v>
      </c>
      <c r="C665" s="1" t="s">
        <v>6284</v>
      </c>
      <c r="D665" s="1" t="s">
        <v>6285</v>
      </c>
      <c r="E665" s="1" t="s">
        <v>6286</v>
      </c>
      <c r="F665" s="1" t="s">
        <v>6287</v>
      </c>
      <c r="G665" s="1" t="s">
        <v>958</v>
      </c>
      <c r="H665" s="1" t="s">
        <v>6288</v>
      </c>
      <c r="I665" s="1" t="s">
        <v>1165</v>
      </c>
      <c r="J665" s="1" t="s">
        <v>6289</v>
      </c>
      <c r="K665" s="1" t="s">
        <v>915</v>
      </c>
      <c r="L665" s="1" t="s">
        <v>926</v>
      </c>
      <c r="M665" s="1" t="s">
        <v>6290</v>
      </c>
      <c r="N665" s="1">
        <v>25</v>
      </c>
    </row>
    <row r="666" spans="1:14" x14ac:dyDescent="0.25">
      <c r="A666" s="20" t="s">
        <v>675</v>
      </c>
      <c r="B666" s="1" t="s">
        <v>6291</v>
      </c>
      <c r="C666" s="1" t="s">
        <v>6292</v>
      </c>
      <c r="D666" s="1" t="s">
        <v>6293</v>
      </c>
      <c r="E666" s="1" t="s">
        <v>6294</v>
      </c>
      <c r="F666" s="1" t="s">
        <v>6295</v>
      </c>
      <c r="G666" s="1" t="s">
        <v>958</v>
      </c>
      <c r="H666" s="1" t="s">
        <v>6135</v>
      </c>
      <c r="I666" s="1" t="s">
        <v>6135</v>
      </c>
      <c r="J666" s="1" t="s">
        <v>6296</v>
      </c>
      <c r="K666" s="1" t="s">
        <v>8</v>
      </c>
      <c r="L666" s="1" t="s">
        <v>1020</v>
      </c>
      <c r="M666" s="1" t="s">
        <v>6297</v>
      </c>
      <c r="N666" s="1">
        <v>30</v>
      </c>
    </row>
    <row r="667" spans="1:14" x14ac:dyDescent="0.25">
      <c r="A667" s="20" t="s">
        <v>676</v>
      </c>
      <c r="B667" s="1" t="s">
        <v>6298</v>
      </c>
      <c r="C667" s="1" t="s">
        <v>6198</v>
      </c>
      <c r="D667" s="1" t="s">
        <v>6299</v>
      </c>
      <c r="E667" s="1" t="s">
        <v>2033</v>
      </c>
      <c r="F667" s="1" t="s">
        <v>6300</v>
      </c>
      <c r="G667" s="1" t="s">
        <v>958</v>
      </c>
      <c r="H667" s="1" t="s">
        <v>1018</v>
      </c>
      <c r="I667" s="1" t="s">
        <v>1116</v>
      </c>
      <c r="J667" s="1" t="s">
        <v>5959</v>
      </c>
      <c r="K667" s="1" t="s">
        <v>971</v>
      </c>
      <c r="L667" s="1" t="s">
        <v>972</v>
      </c>
      <c r="M667" s="1" t="s">
        <v>6301</v>
      </c>
      <c r="N667" s="1">
        <v>300</v>
      </c>
    </row>
    <row r="668" spans="1:14" x14ac:dyDescent="0.25">
      <c r="A668" s="20" t="s">
        <v>677</v>
      </c>
      <c r="B668" s="1" t="s">
        <v>6302</v>
      </c>
      <c r="C668" s="1" t="s">
        <v>6303</v>
      </c>
      <c r="D668" s="1" t="s">
        <v>6304</v>
      </c>
      <c r="E668" s="1" t="s">
        <v>6305</v>
      </c>
      <c r="F668" s="1" t="s">
        <v>6306</v>
      </c>
      <c r="G668" s="1" t="s">
        <v>958</v>
      </c>
      <c r="H668" s="1" t="s">
        <v>2087</v>
      </c>
      <c r="I668" s="1" t="s">
        <v>1308</v>
      </c>
      <c r="J668" s="1" t="s">
        <v>6307</v>
      </c>
      <c r="K668" s="1" t="s">
        <v>1637</v>
      </c>
      <c r="L668" s="1" t="s">
        <v>6308</v>
      </c>
      <c r="M668" s="1" t="s">
        <v>6309</v>
      </c>
      <c r="N668" s="1">
        <v>25</v>
      </c>
    </row>
    <row r="669" spans="1:14" x14ac:dyDescent="0.25">
      <c r="A669" s="20" t="s">
        <v>678</v>
      </c>
      <c r="B669" s="1" t="s">
        <v>6310</v>
      </c>
      <c r="C669" s="1" t="s">
        <v>6311</v>
      </c>
      <c r="D669" s="1" t="s">
        <v>6312</v>
      </c>
      <c r="E669" s="1" t="s">
        <v>6313</v>
      </c>
      <c r="F669" s="1" t="s">
        <v>6314</v>
      </c>
      <c r="G669" s="1" t="s">
        <v>958</v>
      </c>
      <c r="H669" s="1" t="s">
        <v>6315</v>
      </c>
      <c r="I669" s="1" t="s">
        <v>2209</v>
      </c>
      <c r="J669" s="1" t="s">
        <v>6316</v>
      </c>
      <c r="K669" s="1" t="s">
        <v>915</v>
      </c>
      <c r="L669" s="1" t="s">
        <v>926</v>
      </c>
      <c r="M669" s="1" t="s">
        <v>6317</v>
      </c>
      <c r="N669" s="1">
        <v>25</v>
      </c>
    </row>
    <row r="670" spans="1:14" x14ac:dyDescent="0.25">
      <c r="A670" s="20" t="s">
        <v>679</v>
      </c>
      <c r="B670" s="1" t="s">
        <v>6318</v>
      </c>
      <c r="C670" s="1" t="s">
        <v>6319</v>
      </c>
      <c r="D670" s="1" t="s">
        <v>6320</v>
      </c>
      <c r="E670" s="1" t="s">
        <v>6321</v>
      </c>
      <c r="F670" s="1" t="s">
        <v>6322</v>
      </c>
      <c r="G670" s="1" t="s">
        <v>958</v>
      </c>
      <c r="H670" s="1" t="s">
        <v>1724</v>
      </c>
      <c r="I670" s="1" t="s">
        <v>1725</v>
      </c>
      <c r="J670" s="1" t="s">
        <v>6323</v>
      </c>
      <c r="K670" s="1" t="s">
        <v>1637</v>
      </c>
      <c r="L670" s="1" t="s">
        <v>2316</v>
      </c>
      <c r="M670" s="1" t="s">
        <v>6324</v>
      </c>
      <c r="N670" s="1">
        <v>25</v>
      </c>
    </row>
    <row r="671" spans="1:14" x14ac:dyDescent="0.25">
      <c r="A671" s="20" t="s">
        <v>680</v>
      </c>
      <c r="B671" s="1" t="s">
        <v>6325</v>
      </c>
      <c r="C671" s="1" t="s">
        <v>6326</v>
      </c>
      <c r="D671" s="1" t="s">
        <v>6327</v>
      </c>
      <c r="E671" s="1" t="s">
        <v>6328</v>
      </c>
      <c r="F671" s="1" t="s">
        <v>6329</v>
      </c>
      <c r="G671" s="1" t="s">
        <v>958</v>
      </c>
      <c r="H671" s="1" t="s">
        <v>979</v>
      </c>
      <c r="I671" s="1" t="s">
        <v>979</v>
      </c>
      <c r="J671" s="1" t="s">
        <v>6330</v>
      </c>
      <c r="K671" s="1" t="s">
        <v>4</v>
      </c>
      <c r="L671" s="1" t="s">
        <v>924</v>
      </c>
      <c r="M671" s="1" t="s">
        <v>6331</v>
      </c>
      <c r="N671" s="1">
        <v>25</v>
      </c>
    </row>
    <row r="672" spans="1:14" x14ac:dyDescent="0.25">
      <c r="A672" s="20" t="s">
        <v>681</v>
      </c>
      <c r="B672" s="1" t="s">
        <v>6332</v>
      </c>
      <c r="C672" s="1" t="s">
        <v>6333</v>
      </c>
      <c r="D672" s="1" t="s">
        <v>6334</v>
      </c>
      <c r="E672" s="1" t="s">
        <v>6335</v>
      </c>
      <c r="F672" s="1" t="s">
        <v>6336</v>
      </c>
      <c r="G672" s="1" t="s">
        <v>958</v>
      </c>
      <c r="H672" s="1" t="s">
        <v>6337</v>
      </c>
      <c r="I672" s="1" t="s">
        <v>2743</v>
      </c>
      <c r="J672" s="1" t="s">
        <v>6338</v>
      </c>
      <c r="K672" s="1" t="s">
        <v>915</v>
      </c>
      <c r="L672" s="1" t="s">
        <v>6339</v>
      </c>
      <c r="M672" s="1" t="s">
        <v>6340</v>
      </c>
      <c r="N672" s="1">
        <v>25</v>
      </c>
    </row>
    <row r="673" spans="1:14" x14ac:dyDescent="0.25">
      <c r="A673" s="20" t="s">
        <v>682</v>
      </c>
      <c r="B673" s="1" t="s">
        <v>6341</v>
      </c>
      <c r="C673" s="1" t="s">
        <v>6342</v>
      </c>
      <c r="D673" s="1" t="s">
        <v>6343</v>
      </c>
      <c r="E673" s="1" t="s">
        <v>6344</v>
      </c>
      <c r="F673" s="1" t="s">
        <v>6345</v>
      </c>
      <c r="G673" s="1" t="s">
        <v>958</v>
      </c>
      <c r="H673" s="1" t="s">
        <v>6346</v>
      </c>
      <c r="I673" s="1" t="s">
        <v>1308</v>
      </c>
      <c r="J673" s="1" t="s">
        <v>6347</v>
      </c>
      <c r="K673" s="1" t="s">
        <v>8</v>
      </c>
      <c r="L673" s="1" t="s">
        <v>1129</v>
      </c>
      <c r="M673" s="1" t="s">
        <v>6348</v>
      </c>
      <c r="N673" s="1">
        <v>100</v>
      </c>
    </row>
    <row r="674" spans="1:14" x14ac:dyDescent="0.25">
      <c r="A674" s="20" t="s">
        <v>683</v>
      </c>
      <c r="B674" s="1" t="s">
        <v>6349</v>
      </c>
      <c r="C674" s="1" t="s">
        <v>6350</v>
      </c>
      <c r="D674" s="1" t="s">
        <v>6351</v>
      </c>
      <c r="E674" s="1" t="s">
        <v>6352</v>
      </c>
      <c r="F674" s="1" t="s">
        <v>6353</v>
      </c>
      <c r="G674" s="1" t="s">
        <v>958</v>
      </c>
      <c r="H674" s="1" t="s">
        <v>6135</v>
      </c>
      <c r="I674" s="1" t="s">
        <v>6135</v>
      </c>
      <c r="J674" s="1" t="s">
        <v>6354</v>
      </c>
      <c r="K674" s="1" t="s">
        <v>8</v>
      </c>
      <c r="L674" s="1" t="s">
        <v>6355</v>
      </c>
      <c r="M674" s="1" t="s">
        <v>6356</v>
      </c>
      <c r="N674" s="1">
        <v>102</v>
      </c>
    </row>
    <row r="675" spans="1:14" x14ac:dyDescent="0.25">
      <c r="A675" s="20" t="s">
        <v>684</v>
      </c>
      <c r="B675" s="1" t="s">
        <v>6357</v>
      </c>
      <c r="C675" s="1" t="s">
        <v>6358</v>
      </c>
      <c r="D675" s="1" t="s">
        <v>6359</v>
      </c>
      <c r="E675" s="1" t="s">
        <v>6360</v>
      </c>
      <c r="F675" s="1" t="s">
        <v>6361</v>
      </c>
      <c r="G675" s="1" t="s">
        <v>958</v>
      </c>
      <c r="H675" s="1" t="s">
        <v>979</v>
      </c>
      <c r="I675" s="1" t="s">
        <v>979</v>
      </c>
      <c r="J675" s="1" t="s">
        <v>6362</v>
      </c>
      <c r="K675" s="1" t="s">
        <v>1478</v>
      </c>
      <c r="L675" s="1" t="s">
        <v>1479</v>
      </c>
      <c r="M675" s="1" t="s">
        <v>6363</v>
      </c>
      <c r="N675" s="1">
        <v>25</v>
      </c>
    </row>
    <row r="676" spans="1:14" x14ac:dyDescent="0.25">
      <c r="A676" s="20" t="s">
        <v>685</v>
      </c>
      <c r="B676" s="1" t="s">
        <v>6364</v>
      </c>
      <c r="C676" s="1" t="s">
        <v>6365</v>
      </c>
      <c r="D676" s="1" t="s">
        <v>6366</v>
      </c>
      <c r="E676" s="1" t="s">
        <v>6367</v>
      </c>
      <c r="F676" s="1" t="s">
        <v>6368</v>
      </c>
      <c r="G676" s="1" t="s">
        <v>958</v>
      </c>
      <c r="H676" s="1" t="s">
        <v>979</v>
      </c>
      <c r="I676" s="1" t="s">
        <v>979</v>
      </c>
      <c r="J676" s="1" t="s">
        <v>6369</v>
      </c>
      <c r="K676" s="1" t="s">
        <v>1</v>
      </c>
      <c r="L676" s="1" t="s">
        <v>6370</v>
      </c>
      <c r="M676" s="1" t="s">
        <v>6371</v>
      </c>
      <c r="N676" s="1">
        <v>25</v>
      </c>
    </row>
    <row r="677" spans="1:14" x14ac:dyDescent="0.25">
      <c r="A677" s="20" t="s">
        <v>686</v>
      </c>
      <c r="B677" s="1" t="s">
        <v>6372</v>
      </c>
      <c r="C677" s="1" t="s">
        <v>6373</v>
      </c>
      <c r="D677" s="1" t="s">
        <v>6374</v>
      </c>
      <c r="E677" s="1" t="s">
        <v>6375</v>
      </c>
      <c r="F677" s="1" t="s">
        <v>6376</v>
      </c>
      <c r="G677" s="1" t="s">
        <v>958</v>
      </c>
      <c r="H677" s="1" t="s">
        <v>6377</v>
      </c>
      <c r="I677" s="1" t="s">
        <v>6377</v>
      </c>
      <c r="J677" s="1" t="s">
        <v>6378</v>
      </c>
      <c r="K677" s="1" t="s">
        <v>8</v>
      </c>
      <c r="L677" s="1" t="s">
        <v>1020</v>
      </c>
      <c r="M677" s="1" t="s">
        <v>6379</v>
      </c>
      <c r="N677" s="1">
        <v>25</v>
      </c>
    </row>
    <row r="678" spans="1:14" x14ac:dyDescent="0.25">
      <c r="A678" s="20" t="s">
        <v>687</v>
      </c>
      <c r="B678" s="1" t="s">
        <v>6380</v>
      </c>
      <c r="C678" s="1" t="s">
        <v>6381</v>
      </c>
      <c r="D678" s="1" t="s">
        <v>6382</v>
      </c>
      <c r="E678" s="1" t="s">
        <v>6383</v>
      </c>
      <c r="F678" s="1" t="s">
        <v>6384</v>
      </c>
      <c r="G678" s="1" t="s">
        <v>958</v>
      </c>
      <c r="H678" s="1" t="s">
        <v>6385</v>
      </c>
      <c r="I678" s="1" t="s">
        <v>1165</v>
      </c>
      <c r="J678" s="1" t="s">
        <v>6386</v>
      </c>
      <c r="K678" s="1" t="s">
        <v>915</v>
      </c>
      <c r="L678" s="1" t="s">
        <v>6387</v>
      </c>
      <c r="M678" s="1" t="s">
        <v>6388</v>
      </c>
      <c r="N678" s="1">
        <v>25</v>
      </c>
    </row>
    <row r="679" spans="1:14" x14ac:dyDescent="0.25">
      <c r="A679" s="20" t="s">
        <v>688</v>
      </c>
      <c r="B679" s="1" t="s">
        <v>6389</v>
      </c>
      <c r="C679" s="1" t="s">
        <v>6390</v>
      </c>
      <c r="D679" s="1" t="s">
        <v>6391</v>
      </c>
      <c r="E679" s="1" t="s">
        <v>6392</v>
      </c>
      <c r="F679" s="1" t="s">
        <v>6393</v>
      </c>
      <c r="G679" s="1" t="s">
        <v>958</v>
      </c>
      <c r="H679" s="1" t="s">
        <v>6394</v>
      </c>
      <c r="I679" s="1" t="s">
        <v>1363</v>
      </c>
      <c r="J679" s="1" t="s">
        <v>990</v>
      </c>
      <c r="K679" s="1" t="s">
        <v>909</v>
      </c>
      <c r="L679" s="1" t="s">
        <v>1237</v>
      </c>
      <c r="M679" s="1" t="s">
        <v>6395</v>
      </c>
      <c r="N679" s="1">
        <v>100</v>
      </c>
    </row>
    <row r="680" spans="1:14" x14ac:dyDescent="0.25">
      <c r="A680" s="20" t="s">
        <v>689</v>
      </c>
      <c r="B680" s="1" t="s">
        <v>6396</v>
      </c>
      <c r="C680" s="1" t="s">
        <v>6397</v>
      </c>
      <c r="D680" s="1" t="s">
        <v>6398</v>
      </c>
      <c r="E680" s="1" t="s">
        <v>6399</v>
      </c>
      <c r="F680" s="1" t="s">
        <v>6400</v>
      </c>
      <c r="G680" s="1" t="s">
        <v>958</v>
      </c>
      <c r="H680" s="1" t="s">
        <v>6401</v>
      </c>
      <c r="I680" s="1" t="s">
        <v>1127</v>
      </c>
      <c r="J680" s="1" t="s">
        <v>6402</v>
      </c>
      <c r="K680" s="1" t="s">
        <v>4</v>
      </c>
      <c r="L680" s="1" t="s">
        <v>924</v>
      </c>
      <c r="M680" s="1" t="s">
        <v>6403</v>
      </c>
      <c r="N680" s="1">
        <v>25</v>
      </c>
    </row>
    <row r="681" spans="1:14" x14ac:dyDescent="0.25">
      <c r="A681" s="20" t="s">
        <v>690</v>
      </c>
      <c r="B681" s="1" t="s">
        <v>6404</v>
      </c>
      <c r="C681" s="1" t="s">
        <v>6405</v>
      </c>
      <c r="D681" s="1" t="s">
        <v>6406</v>
      </c>
      <c r="E681" s="1" t="s">
        <v>6407</v>
      </c>
      <c r="F681" s="1" t="s">
        <v>6408</v>
      </c>
      <c r="G681" s="1" t="s">
        <v>958</v>
      </c>
      <c r="H681" s="1" t="s">
        <v>4800</v>
      </c>
      <c r="I681" s="1" t="s">
        <v>4800</v>
      </c>
      <c r="J681" s="1" t="s">
        <v>6409</v>
      </c>
      <c r="K681" s="1" t="s">
        <v>1496</v>
      </c>
      <c r="L681" s="1" t="s">
        <v>6410</v>
      </c>
      <c r="M681" s="1" t="s">
        <v>6411</v>
      </c>
      <c r="N681" s="1">
        <v>25</v>
      </c>
    </row>
    <row r="682" spans="1:14" x14ac:dyDescent="0.25">
      <c r="A682" s="20" t="s">
        <v>691</v>
      </c>
      <c r="B682" s="1" t="s">
        <v>6412</v>
      </c>
      <c r="C682" s="1" t="s">
        <v>6413</v>
      </c>
      <c r="D682" s="1" t="s">
        <v>6414</v>
      </c>
      <c r="E682" s="1" t="s">
        <v>6415</v>
      </c>
      <c r="F682" s="1" t="s">
        <v>6416</v>
      </c>
      <c r="G682" s="1" t="s">
        <v>958</v>
      </c>
      <c r="H682" s="1" t="s">
        <v>6417</v>
      </c>
      <c r="I682" s="1" t="s">
        <v>1591</v>
      </c>
      <c r="J682" s="1" t="s">
        <v>6418</v>
      </c>
      <c r="K682" s="1" t="s">
        <v>915</v>
      </c>
      <c r="L682" s="1" t="s">
        <v>926</v>
      </c>
      <c r="M682" s="1" t="s">
        <v>6419</v>
      </c>
      <c r="N682" s="1">
        <v>30</v>
      </c>
    </row>
    <row r="683" spans="1:14" x14ac:dyDescent="0.25">
      <c r="A683" s="20" t="s">
        <v>692</v>
      </c>
      <c r="B683" s="1" t="s">
        <v>6420</v>
      </c>
      <c r="C683" s="1" t="s">
        <v>6421</v>
      </c>
      <c r="D683" s="1" t="s">
        <v>6422</v>
      </c>
      <c r="E683" s="1" t="s">
        <v>6423</v>
      </c>
      <c r="G683" s="1" t="s">
        <v>958</v>
      </c>
      <c r="H683" s="1" t="s">
        <v>6424</v>
      </c>
      <c r="I683" s="1" t="s">
        <v>3140</v>
      </c>
      <c r="J683" s="1" t="s">
        <v>6425</v>
      </c>
      <c r="K683" s="1" t="s">
        <v>8</v>
      </c>
      <c r="L683" s="1" t="s">
        <v>6426</v>
      </c>
      <c r="M683" s="1" t="s">
        <v>6427</v>
      </c>
      <c r="N683" s="1">
        <v>50</v>
      </c>
    </row>
    <row r="684" spans="1:14" x14ac:dyDescent="0.25">
      <c r="A684" s="20" t="s">
        <v>693</v>
      </c>
      <c r="B684" s="1" t="s">
        <v>6428</v>
      </c>
      <c r="C684" s="1" t="s">
        <v>6429</v>
      </c>
      <c r="D684" s="1" t="s">
        <v>6430</v>
      </c>
      <c r="E684" s="1" t="s">
        <v>6431</v>
      </c>
      <c r="F684" s="1" t="s">
        <v>6432</v>
      </c>
      <c r="G684" s="1" t="s">
        <v>958</v>
      </c>
      <c r="H684" s="1" t="s">
        <v>6433</v>
      </c>
      <c r="I684" s="1" t="s">
        <v>1060</v>
      </c>
      <c r="J684" s="1" t="s">
        <v>6434</v>
      </c>
      <c r="K684" s="1" t="s">
        <v>915</v>
      </c>
      <c r="L684" s="1" t="s">
        <v>6435</v>
      </c>
      <c r="M684" s="1" t="s">
        <v>6436</v>
      </c>
      <c r="N684" s="1">
        <v>25</v>
      </c>
    </row>
    <row r="685" spans="1:14" x14ac:dyDescent="0.25">
      <c r="A685" s="20" t="s">
        <v>694</v>
      </c>
      <c r="B685" s="1" t="s">
        <v>6437</v>
      </c>
      <c r="C685" s="1" t="s">
        <v>6438</v>
      </c>
      <c r="D685" s="1" t="s">
        <v>6439</v>
      </c>
      <c r="E685" s="1" t="s">
        <v>6440</v>
      </c>
      <c r="F685" s="1" t="s">
        <v>6441</v>
      </c>
      <c r="G685" s="1" t="s">
        <v>958</v>
      </c>
      <c r="H685" s="1" t="s">
        <v>6442</v>
      </c>
      <c r="I685" s="1" t="s">
        <v>1353</v>
      </c>
      <c r="J685" s="1" t="s">
        <v>6443</v>
      </c>
      <c r="K685" s="1" t="s">
        <v>915</v>
      </c>
      <c r="L685" s="1" t="s">
        <v>4420</v>
      </c>
      <c r="M685" s="1" t="s">
        <v>6444</v>
      </c>
      <c r="N685" s="1">
        <v>100</v>
      </c>
    </row>
    <row r="686" spans="1:14" x14ac:dyDescent="0.25">
      <c r="A686" s="20" t="s">
        <v>695</v>
      </c>
      <c r="B686" s="1" t="s">
        <v>6445</v>
      </c>
      <c r="C686" s="1" t="s">
        <v>6446</v>
      </c>
      <c r="D686" s="1" t="s">
        <v>6447</v>
      </c>
      <c r="E686" s="1" t="s">
        <v>6448</v>
      </c>
      <c r="F686" s="1" t="s">
        <v>6449</v>
      </c>
      <c r="G686" s="1" t="s">
        <v>958</v>
      </c>
      <c r="H686" s="1" t="s">
        <v>1137</v>
      </c>
      <c r="I686" s="1" t="s">
        <v>979</v>
      </c>
      <c r="J686" s="1" t="s">
        <v>6450</v>
      </c>
      <c r="K686" s="1" t="s">
        <v>1310</v>
      </c>
      <c r="L686" s="1" t="s">
        <v>4888</v>
      </c>
      <c r="M686" s="1" t="s">
        <v>6451</v>
      </c>
      <c r="N686" s="1">
        <v>30</v>
      </c>
    </row>
    <row r="687" spans="1:14" x14ac:dyDescent="0.25">
      <c r="A687" s="20" t="s">
        <v>696</v>
      </c>
      <c r="B687" s="1" t="s">
        <v>6452</v>
      </c>
      <c r="C687" s="1" t="s">
        <v>6453</v>
      </c>
      <c r="D687" s="1" t="s">
        <v>5942</v>
      </c>
      <c r="E687" s="1" t="s">
        <v>6454</v>
      </c>
      <c r="F687" s="1" t="s">
        <v>6455</v>
      </c>
      <c r="G687" s="1" t="s">
        <v>958</v>
      </c>
      <c r="H687" s="1" t="s">
        <v>1051</v>
      </c>
      <c r="I687" s="1" t="s">
        <v>1116</v>
      </c>
      <c r="J687" s="1" t="s">
        <v>6456</v>
      </c>
      <c r="K687" s="1" t="s">
        <v>1310</v>
      </c>
      <c r="L687" s="1" t="s">
        <v>6457</v>
      </c>
      <c r="M687" s="1" t="s">
        <v>6458</v>
      </c>
      <c r="N687" s="1">
        <v>25</v>
      </c>
    </row>
    <row r="688" spans="1:14" x14ac:dyDescent="0.25">
      <c r="A688" s="20" t="s">
        <v>697</v>
      </c>
      <c r="B688" s="1" t="s">
        <v>6459</v>
      </c>
      <c r="C688" s="1" t="s">
        <v>6460</v>
      </c>
      <c r="D688" s="1" t="s">
        <v>6461</v>
      </c>
      <c r="E688" s="1" t="s">
        <v>6462</v>
      </c>
      <c r="F688" s="1" t="s">
        <v>6463</v>
      </c>
      <c r="G688" s="1" t="s">
        <v>958</v>
      </c>
      <c r="H688" s="1" t="s">
        <v>6464</v>
      </c>
      <c r="I688" s="1" t="s">
        <v>979</v>
      </c>
      <c r="J688" s="1" t="s">
        <v>1575</v>
      </c>
      <c r="K688" s="1" t="s">
        <v>8</v>
      </c>
      <c r="L688" s="1" t="s">
        <v>1941</v>
      </c>
      <c r="M688" s="1" t="s">
        <v>6465</v>
      </c>
      <c r="N688" s="1">
        <v>1000</v>
      </c>
    </row>
    <row r="689" spans="1:14" x14ac:dyDescent="0.25">
      <c r="A689" s="20" t="s">
        <v>698</v>
      </c>
      <c r="B689" s="1" t="s">
        <v>6466</v>
      </c>
      <c r="C689" s="1" t="s">
        <v>6467</v>
      </c>
      <c r="D689" s="1" t="s">
        <v>6468</v>
      </c>
      <c r="E689" s="1" t="s">
        <v>5992</v>
      </c>
      <c r="F689" s="1" t="s">
        <v>6469</v>
      </c>
      <c r="G689" s="1" t="s">
        <v>958</v>
      </c>
      <c r="H689" s="1" t="s">
        <v>6470</v>
      </c>
      <c r="I689" s="1" t="s">
        <v>1363</v>
      </c>
      <c r="J689" s="1" t="s">
        <v>6471</v>
      </c>
      <c r="K689" s="1" t="s">
        <v>915</v>
      </c>
      <c r="L689" s="1" t="s">
        <v>6472</v>
      </c>
      <c r="M689" s="1" t="s">
        <v>6473</v>
      </c>
      <c r="N689" s="1">
        <v>25</v>
      </c>
    </row>
    <row r="690" spans="1:14" x14ac:dyDescent="0.25">
      <c r="A690" s="20" t="s">
        <v>699</v>
      </c>
      <c r="B690" s="1" t="s">
        <v>6474</v>
      </c>
      <c r="C690" s="1" t="s">
        <v>6475</v>
      </c>
      <c r="D690" s="1" t="s">
        <v>6476</v>
      </c>
      <c r="E690" s="1" t="s">
        <v>6477</v>
      </c>
      <c r="F690" s="1" t="s">
        <v>6478</v>
      </c>
      <c r="G690" s="1" t="s">
        <v>958</v>
      </c>
      <c r="H690" s="1" t="s">
        <v>6479</v>
      </c>
      <c r="I690" s="1" t="s">
        <v>1009</v>
      </c>
      <c r="J690" s="1" t="s">
        <v>6480</v>
      </c>
      <c r="K690" s="1" t="s">
        <v>915</v>
      </c>
      <c r="L690" s="1" t="s">
        <v>6481</v>
      </c>
      <c r="M690" s="1" t="s">
        <v>6482</v>
      </c>
      <c r="N690" s="1">
        <v>25</v>
      </c>
    </row>
    <row r="691" spans="1:14" x14ac:dyDescent="0.25">
      <c r="A691" s="20" t="s">
        <v>700</v>
      </c>
      <c r="B691" s="1" t="s">
        <v>6483</v>
      </c>
      <c r="C691" s="1" t="s">
        <v>6484</v>
      </c>
      <c r="D691" s="1" t="s">
        <v>6485</v>
      </c>
      <c r="E691" s="1" t="s">
        <v>6486</v>
      </c>
      <c r="F691" s="1" t="s">
        <v>6487</v>
      </c>
      <c r="G691" s="1" t="s">
        <v>958</v>
      </c>
      <c r="H691" s="1" t="s">
        <v>3812</v>
      </c>
      <c r="I691" s="1" t="s">
        <v>2323</v>
      </c>
      <c r="J691" s="1" t="s">
        <v>990</v>
      </c>
      <c r="K691" s="1" t="s">
        <v>919</v>
      </c>
      <c r="L691" s="1" t="s">
        <v>918</v>
      </c>
      <c r="M691" s="1" t="s">
        <v>6488</v>
      </c>
      <c r="N691" s="1">
        <v>500</v>
      </c>
    </row>
    <row r="692" spans="1:14" x14ac:dyDescent="0.25">
      <c r="A692" s="20" t="s">
        <v>701</v>
      </c>
      <c r="B692" s="1" t="s">
        <v>6489</v>
      </c>
      <c r="C692" s="1" t="s">
        <v>6490</v>
      </c>
      <c r="D692" s="1" t="s">
        <v>6491</v>
      </c>
      <c r="E692" s="1" t="s">
        <v>6492</v>
      </c>
      <c r="F692" s="1" t="s">
        <v>6493</v>
      </c>
      <c r="G692" s="1" t="s">
        <v>958</v>
      </c>
      <c r="H692" s="1" t="s">
        <v>6494</v>
      </c>
      <c r="I692" s="1" t="s">
        <v>1236</v>
      </c>
      <c r="J692" s="1" t="s">
        <v>6495</v>
      </c>
      <c r="K692" s="1" t="s">
        <v>910</v>
      </c>
      <c r="L692" s="1" t="s">
        <v>6496</v>
      </c>
      <c r="M692" s="1" t="s">
        <v>6497</v>
      </c>
      <c r="N692" s="1">
        <v>25</v>
      </c>
    </row>
    <row r="693" spans="1:14" x14ac:dyDescent="0.25">
      <c r="A693" s="20" t="s">
        <v>702</v>
      </c>
      <c r="B693" s="1" t="s">
        <v>6498</v>
      </c>
      <c r="C693" s="1" t="s">
        <v>6499</v>
      </c>
      <c r="D693" s="1" t="s">
        <v>6500</v>
      </c>
      <c r="E693" s="1" t="s">
        <v>6501</v>
      </c>
      <c r="F693" s="1" t="s">
        <v>6502</v>
      </c>
      <c r="G693" s="1" t="s">
        <v>958</v>
      </c>
      <c r="H693" s="1" t="s">
        <v>1270</v>
      </c>
      <c r="I693" s="1" t="s">
        <v>1270</v>
      </c>
      <c r="J693" s="1" t="s">
        <v>6503</v>
      </c>
      <c r="K693" s="1" t="s">
        <v>1</v>
      </c>
      <c r="L693" s="1" t="s">
        <v>1846</v>
      </c>
      <c r="M693" s="1" t="s">
        <v>6504</v>
      </c>
      <c r="N693" s="1">
        <v>25</v>
      </c>
    </row>
    <row r="694" spans="1:14" x14ac:dyDescent="0.25">
      <c r="A694" s="20" t="s">
        <v>703</v>
      </c>
      <c r="B694" s="1" t="s">
        <v>6505</v>
      </c>
      <c r="C694" s="1" t="s">
        <v>6506</v>
      </c>
      <c r="D694" s="1" t="s">
        <v>6507</v>
      </c>
      <c r="E694" s="1" t="s">
        <v>6508</v>
      </c>
      <c r="F694" s="1" t="s">
        <v>6509</v>
      </c>
      <c r="G694" s="1" t="s">
        <v>958</v>
      </c>
      <c r="H694" s="1" t="s">
        <v>2652</v>
      </c>
      <c r="I694" s="1" t="s">
        <v>1060</v>
      </c>
      <c r="J694" s="1" t="s">
        <v>6510</v>
      </c>
      <c r="K694" s="1" t="s">
        <v>10</v>
      </c>
      <c r="L694" s="1" t="s">
        <v>1665</v>
      </c>
      <c r="M694" s="1" t="s">
        <v>6511</v>
      </c>
      <c r="N694" s="1">
        <v>25</v>
      </c>
    </row>
    <row r="695" spans="1:14" x14ac:dyDescent="0.25">
      <c r="A695" s="20" t="s">
        <v>704</v>
      </c>
      <c r="B695" s="1" t="s">
        <v>6512</v>
      </c>
      <c r="C695" s="1" t="s">
        <v>6513</v>
      </c>
      <c r="D695" s="1" t="s">
        <v>6514</v>
      </c>
      <c r="E695" s="1" t="s">
        <v>6515</v>
      </c>
      <c r="F695" s="1" t="s">
        <v>6516</v>
      </c>
      <c r="G695" s="1" t="s">
        <v>958</v>
      </c>
      <c r="H695" s="1" t="s">
        <v>979</v>
      </c>
      <c r="I695" s="1" t="s">
        <v>979</v>
      </c>
      <c r="J695" s="1" t="s">
        <v>6517</v>
      </c>
      <c r="K695" s="1" t="s">
        <v>1</v>
      </c>
      <c r="L695" s="1" t="s">
        <v>6220</v>
      </c>
      <c r="M695" s="1" t="s">
        <v>6518</v>
      </c>
      <c r="N695" s="1">
        <v>300</v>
      </c>
    </row>
    <row r="696" spans="1:14" x14ac:dyDescent="0.25">
      <c r="A696" s="20" t="s">
        <v>705</v>
      </c>
      <c r="B696" s="1" t="s">
        <v>6519</v>
      </c>
      <c r="C696" s="1" t="s">
        <v>6520</v>
      </c>
      <c r="D696" s="1" t="s">
        <v>6521</v>
      </c>
      <c r="E696" s="1" t="s">
        <v>6522</v>
      </c>
      <c r="F696" s="1" t="s">
        <v>6523</v>
      </c>
      <c r="G696" s="1" t="s">
        <v>6524</v>
      </c>
      <c r="H696" s="1" t="s">
        <v>6525</v>
      </c>
      <c r="I696" s="1" t="s">
        <v>3882</v>
      </c>
      <c r="J696" s="1" t="s">
        <v>6526</v>
      </c>
      <c r="K696" s="1" t="s">
        <v>910</v>
      </c>
      <c r="L696" s="1" t="s">
        <v>981</v>
      </c>
      <c r="M696" s="1" t="s">
        <v>6527</v>
      </c>
      <c r="N696" s="1">
        <v>100</v>
      </c>
    </row>
    <row r="697" spans="1:14" x14ac:dyDescent="0.25">
      <c r="A697" s="20" t="s">
        <v>706</v>
      </c>
      <c r="B697" s="1" t="s">
        <v>6528</v>
      </c>
      <c r="C697" s="1" t="s">
        <v>6529</v>
      </c>
      <c r="D697" s="1" t="s">
        <v>6530</v>
      </c>
      <c r="E697" s="1" t="s">
        <v>6531</v>
      </c>
      <c r="F697" s="1" t="s">
        <v>6532</v>
      </c>
      <c r="G697" s="1" t="s">
        <v>958</v>
      </c>
      <c r="H697" s="1" t="s">
        <v>1879</v>
      </c>
      <c r="I697" s="1" t="s">
        <v>1026</v>
      </c>
      <c r="J697" s="1" t="s">
        <v>6533</v>
      </c>
      <c r="K697" s="1" t="s">
        <v>1478</v>
      </c>
      <c r="L697" s="1" t="s">
        <v>6534</v>
      </c>
      <c r="M697" s="1" t="s">
        <v>6535</v>
      </c>
      <c r="N697" s="1">
        <v>25</v>
      </c>
    </row>
    <row r="698" spans="1:14" x14ac:dyDescent="0.25">
      <c r="A698" s="20" t="s">
        <v>707</v>
      </c>
      <c r="B698" s="1" t="s">
        <v>6536</v>
      </c>
      <c r="C698" s="1" t="s">
        <v>6537</v>
      </c>
      <c r="D698" s="1" t="s">
        <v>6538</v>
      </c>
      <c r="E698" s="1" t="s">
        <v>6539</v>
      </c>
      <c r="F698" s="1" t="s">
        <v>6540</v>
      </c>
      <c r="G698" s="1" t="s">
        <v>958</v>
      </c>
      <c r="H698" s="1" t="s">
        <v>979</v>
      </c>
      <c r="I698" s="1" t="s">
        <v>979</v>
      </c>
      <c r="J698" s="1" t="s">
        <v>6541</v>
      </c>
      <c r="K698" s="1" t="s">
        <v>2165</v>
      </c>
      <c r="L698" s="1" t="s">
        <v>6542</v>
      </c>
      <c r="M698" s="1" t="s">
        <v>6543</v>
      </c>
      <c r="N698" s="1">
        <v>50</v>
      </c>
    </row>
    <row r="699" spans="1:14" x14ac:dyDescent="0.25">
      <c r="A699" s="20" t="s">
        <v>708</v>
      </c>
      <c r="B699" s="1" t="s">
        <v>6544</v>
      </c>
      <c r="C699" s="1" t="s">
        <v>6545</v>
      </c>
      <c r="D699" s="1" t="s">
        <v>6546</v>
      </c>
      <c r="E699" s="1" t="s">
        <v>6547</v>
      </c>
      <c r="F699" s="1" t="s">
        <v>6548</v>
      </c>
      <c r="G699" s="1" t="s">
        <v>958</v>
      </c>
      <c r="H699" s="1" t="s">
        <v>6549</v>
      </c>
      <c r="I699" s="1" t="s">
        <v>1353</v>
      </c>
      <c r="J699" s="1" t="s">
        <v>6550</v>
      </c>
      <c r="K699" s="1" t="s">
        <v>2549</v>
      </c>
      <c r="L699" s="1" t="s">
        <v>2550</v>
      </c>
      <c r="M699" s="1" t="s">
        <v>6551</v>
      </c>
      <c r="N699" s="1">
        <v>25</v>
      </c>
    </row>
    <row r="700" spans="1:14" x14ac:dyDescent="0.25">
      <c r="A700" s="20" t="s">
        <v>709</v>
      </c>
      <c r="B700" s="1" t="s">
        <v>6552</v>
      </c>
      <c r="C700" s="1" t="s">
        <v>6553</v>
      </c>
      <c r="D700" s="1" t="s">
        <v>6554</v>
      </c>
      <c r="E700" s="1" t="s">
        <v>6555</v>
      </c>
      <c r="F700" s="1" t="s">
        <v>6556</v>
      </c>
      <c r="G700" s="1" t="s">
        <v>958</v>
      </c>
      <c r="H700" s="1" t="s">
        <v>6557</v>
      </c>
      <c r="I700" s="1" t="s">
        <v>1897</v>
      </c>
      <c r="J700" s="1" t="s">
        <v>6558</v>
      </c>
      <c r="K700" s="1" t="s">
        <v>971</v>
      </c>
      <c r="L700" s="1" t="s">
        <v>972</v>
      </c>
      <c r="M700" s="1" t="s">
        <v>6559</v>
      </c>
      <c r="N700" s="1">
        <v>25</v>
      </c>
    </row>
    <row r="701" spans="1:14" x14ac:dyDescent="0.25">
      <c r="A701" s="20" t="s">
        <v>710</v>
      </c>
      <c r="B701" s="1" t="s">
        <v>6560</v>
      </c>
      <c r="C701" s="1" t="s">
        <v>6561</v>
      </c>
      <c r="D701" s="1" t="s">
        <v>6562</v>
      </c>
      <c r="E701" s="1" t="s">
        <v>6563</v>
      </c>
      <c r="F701" s="1" t="s">
        <v>6564</v>
      </c>
      <c r="G701" s="1" t="s">
        <v>958</v>
      </c>
      <c r="H701" s="1" t="s">
        <v>6565</v>
      </c>
      <c r="I701" s="1" t="s">
        <v>2405</v>
      </c>
      <c r="J701" s="1" t="s">
        <v>6566</v>
      </c>
      <c r="K701" s="1" t="s">
        <v>910</v>
      </c>
      <c r="L701" s="1" t="s">
        <v>6567</v>
      </c>
      <c r="M701" s="1" t="s">
        <v>6568</v>
      </c>
      <c r="N701" s="1">
        <v>50</v>
      </c>
    </row>
    <row r="702" spans="1:14" x14ac:dyDescent="0.25">
      <c r="A702" s="20" t="s">
        <v>2</v>
      </c>
      <c r="B702" s="1" t="s">
        <v>6569</v>
      </c>
      <c r="C702" s="1" t="s">
        <v>6570</v>
      </c>
      <c r="D702" s="1" t="s">
        <v>6571</v>
      </c>
      <c r="E702" s="1" t="s">
        <v>6572</v>
      </c>
      <c r="F702" s="1" t="s">
        <v>6573</v>
      </c>
      <c r="G702" s="1" t="s">
        <v>958</v>
      </c>
      <c r="H702" s="1" t="s">
        <v>6574</v>
      </c>
      <c r="I702" s="1" t="s">
        <v>979</v>
      </c>
      <c r="J702" s="1" t="s">
        <v>6575</v>
      </c>
      <c r="K702" s="1" t="s">
        <v>915</v>
      </c>
      <c r="L702" s="1" t="s">
        <v>6576</v>
      </c>
      <c r="M702" s="1" t="s">
        <v>6577</v>
      </c>
      <c r="N702" s="1">
        <v>25</v>
      </c>
    </row>
    <row r="703" spans="1:14" x14ac:dyDescent="0.25">
      <c r="A703" s="20" t="s">
        <v>711</v>
      </c>
      <c r="B703" s="1" t="s">
        <v>6578</v>
      </c>
      <c r="C703" s="1" t="s">
        <v>6579</v>
      </c>
      <c r="D703" s="1" t="s">
        <v>6580</v>
      </c>
      <c r="E703" s="1" t="s">
        <v>6581</v>
      </c>
      <c r="F703" s="1" t="s">
        <v>6582</v>
      </c>
      <c r="G703" s="1" t="s">
        <v>958</v>
      </c>
      <c r="H703" s="1" t="s">
        <v>1880</v>
      </c>
      <c r="I703" s="1" t="s">
        <v>1026</v>
      </c>
      <c r="J703" s="1" t="s">
        <v>6583</v>
      </c>
      <c r="K703" s="1" t="s">
        <v>1637</v>
      </c>
      <c r="L703" s="1" t="s">
        <v>6584</v>
      </c>
      <c r="M703" s="1" t="s">
        <v>6585</v>
      </c>
      <c r="N703" s="1">
        <v>25</v>
      </c>
    </row>
    <row r="704" spans="1:14" x14ac:dyDescent="0.25">
      <c r="A704" s="20" t="s">
        <v>712</v>
      </c>
      <c r="B704" s="1" t="s">
        <v>6586</v>
      </c>
      <c r="C704" s="1" t="s">
        <v>6587</v>
      </c>
      <c r="D704" s="1" t="s">
        <v>6588</v>
      </c>
      <c r="E704" s="1" t="s">
        <v>6589</v>
      </c>
      <c r="F704" s="1" t="s">
        <v>6590</v>
      </c>
      <c r="G704" s="1" t="s">
        <v>958</v>
      </c>
      <c r="H704" s="1" t="s">
        <v>1137</v>
      </c>
      <c r="I704" s="1" t="s">
        <v>979</v>
      </c>
      <c r="J704" s="1" t="s">
        <v>6591</v>
      </c>
      <c r="K704" s="1" t="s">
        <v>919</v>
      </c>
      <c r="L704" s="1" t="s">
        <v>918</v>
      </c>
      <c r="M704" s="1" t="s">
        <v>6592</v>
      </c>
      <c r="N704" s="1">
        <v>50</v>
      </c>
    </row>
    <row r="705" spans="1:14" x14ac:dyDescent="0.25">
      <c r="A705" s="20" t="s">
        <v>713</v>
      </c>
      <c r="B705" s="1" t="s">
        <v>6593</v>
      </c>
      <c r="C705" s="1" t="s">
        <v>6594</v>
      </c>
      <c r="D705" s="1" t="s">
        <v>6595</v>
      </c>
      <c r="E705" s="1" t="s">
        <v>6596</v>
      </c>
      <c r="F705" s="1" t="s">
        <v>6597</v>
      </c>
      <c r="G705" s="1" t="s">
        <v>958</v>
      </c>
      <c r="H705" s="1" t="s">
        <v>1137</v>
      </c>
      <c r="I705" s="1" t="s">
        <v>979</v>
      </c>
      <c r="J705" s="1" t="s">
        <v>6598</v>
      </c>
      <c r="K705" s="1" t="s">
        <v>1218</v>
      </c>
      <c r="L705" s="1" t="s">
        <v>6599</v>
      </c>
      <c r="M705" s="1" t="s">
        <v>6600</v>
      </c>
      <c r="N705" s="1">
        <v>25</v>
      </c>
    </row>
    <row r="706" spans="1:14" x14ac:dyDescent="0.25">
      <c r="A706" s="20" t="s">
        <v>714</v>
      </c>
      <c r="B706" s="1" t="s">
        <v>6601</v>
      </c>
      <c r="C706" s="1" t="s">
        <v>6602</v>
      </c>
      <c r="D706" s="1" t="s">
        <v>6603</v>
      </c>
      <c r="E706" s="1" t="s">
        <v>6604</v>
      </c>
      <c r="F706" s="1" t="s">
        <v>6605</v>
      </c>
      <c r="G706" s="1" t="s">
        <v>6606</v>
      </c>
      <c r="H706" s="1" t="s">
        <v>5118</v>
      </c>
      <c r="I706" s="1" t="s">
        <v>2405</v>
      </c>
      <c r="J706" s="1" t="s">
        <v>6607</v>
      </c>
      <c r="K706" s="1" t="s">
        <v>4</v>
      </c>
      <c r="L706" s="1" t="s">
        <v>6608</v>
      </c>
      <c r="M706" s="1" t="s">
        <v>6609</v>
      </c>
      <c r="N706" s="1">
        <v>25</v>
      </c>
    </row>
    <row r="707" spans="1:14" x14ac:dyDescent="0.25">
      <c r="A707" s="20" t="s">
        <v>715</v>
      </c>
      <c r="B707" s="1" t="s">
        <v>6610</v>
      </c>
      <c r="C707" s="1" t="s">
        <v>6611</v>
      </c>
      <c r="D707" s="1" t="s">
        <v>6612</v>
      </c>
      <c r="E707" s="1" t="s">
        <v>6613</v>
      </c>
      <c r="F707" s="1" t="s">
        <v>6614</v>
      </c>
      <c r="G707" s="1" t="s">
        <v>958</v>
      </c>
      <c r="H707" s="1" t="s">
        <v>1165</v>
      </c>
      <c r="I707" s="1" t="s">
        <v>1165</v>
      </c>
      <c r="J707" s="1" t="s">
        <v>6615</v>
      </c>
      <c r="K707" s="1" t="s">
        <v>1478</v>
      </c>
      <c r="L707" s="1" t="s">
        <v>1479</v>
      </c>
      <c r="M707" s="1" t="s">
        <v>6616</v>
      </c>
      <c r="N707" s="1">
        <v>50</v>
      </c>
    </row>
    <row r="708" spans="1:14" x14ac:dyDescent="0.25">
      <c r="A708" s="20" t="s">
        <v>716</v>
      </c>
      <c r="B708" s="1" t="s">
        <v>6617</v>
      </c>
      <c r="C708" s="1" t="s">
        <v>6618</v>
      </c>
      <c r="D708" s="1" t="s">
        <v>6619</v>
      </c>
      <c r="E708" s="1" t="s">
        <v>6620</v>
      </c>
      <c r="F708" s="1" t="s">
        <v>6621</v>
      </c>
      <c r="G708" s="1" t="s">
        <v>958</v>
      </c>
      <c r="H708" s="1" t="s">
        <v>990</v>
      </c>
      <c r="I708" s="1" t="s">
        <v>1287</v>
      </c>
      <c r="J708" s="1" t="s">
        <v>6622</v>
      </c>
      <c r="K708" s="1" t="s">
        <v>909</v>
      </c>
      <c r="L708" s="1" t="s">
        <v>1237</v>
      </c>
      <c r="M708" s="1" t="s">
        <v>6623</v>
      </c>
      <c r="N708" s="1">
        <v>25</v>
      </c>
    </row>
    <row r="709" spans="1:14" x14ac:dyDescent="0.25">
      <c r="A709" s="20" t="s">
        <v>717</v>
      </c>
      <c r="B709" s="1" t="s">
        <v>6624</v>
      </c>
      <c r="C709" s="1" t="s">
        <v>6625</v>
      </c>
      <c r="D709" s="1" t="s">
        <v>6626</v>
      </c>
      <c r="E709" s="1" t="s">
        <v>6627</v>
      </c>
      <c r="F709" s="1" t="s">
        <v>6628</v>
      </c>
      <c r="G709" s="1" t="s">
        <v>958</v>
      </c>
      <c r="H709" s="1" t="s">
        <v>6629</v>
      </c>
      <c r="I709" s="1" t="s">
        <v>1165</v>
      </c>
      <c r="J709" s="1" t="s">
        <v>6630</v>
      </c>
      <c r="K709" s="1" t="s">
        <v>8</v>
      </c>
      <c r="L709" s="1" t="s">
        <v>6631</v>
      </c>
      <c r="M709" s="1" t="s">
        <v>6632</v>
      </c>
      <c r="N709" s="1">
        <v>25</v>
      </c>
    </row>
    <row r="710" spans="1:14" x14ac:dyDescent="0.25">
      <c r="A710" s="20" t="s">
        <v>718</v>
      </c>
      <c r="B710" s="1" t="s">
        <v>6633</v>
      </c>
      <c r="C710" s="1" t="s">
        <v>6634</v>
      </c>
      <c r="D710" s="1" t="s">
        <v>6635</v>
      </c>
      <c r="E710" s="1" t="s">
        <v>6636</v>
      </c>
      <c r="F710" s="1" t="s">
        <v>6637</v>
      </c>
      <c r="G710" s="1" t="s">
        <v>958</v>
      </c>
      <c r="H710" s="1" t="s">
        <v>1018</v>
      </c>
      <c r="I710" s="1" t="s">
        <v>1116</v>
      </c>
      <c r="J710" s="1" t="s">
        <v>6638</v>
      </c>
      <c r="K710" s="1" t="s">
        <v>8</v>
      </c>
      <c r="L710" s="1" t="s">
        <v>1129</v>
      </c>
      <c r="M710" s="1" t="s">
        <v>6639</v>
      </c>
      <c r="N710" s="1">
        <v>250</v>
      </c>
    </row>
    <row r="711" spans="1:14" x14ac:dyDescent="0.25">
      <c r="A711" s="20" t="s">
        <v>719</v>
      </c>
      <c r="B711" s="1" t="s">
        <v>6640</v>
      </c>
      <c r="C711" s="1" t="s">
        <v>6641</v>
      </c>
      <c r="D711" s="1" t="s">
        <v>6642</v>
      </c>
      <c r="E711" s="1" t="s">
        <v>6643</v>
      </c>
      <c r="F711" s="1" t="s">
        <v>6644</v>
      </c>
      <c r="G711" s="1" t="s">
        <v>958</v>
      </c>
      <c r="H711" s="1" t="s">
        <v>979</v>
      </c>
      <c r="I711" s="1" t="s">
        <v>979</v>
      </c>
      <c r="J711" s="1" t="s">
        <v>2130</v>
      </c>
      <c r="K711" s="1" t="s">
        <v>4</v>
      </c>
      <c r="L711" s="1" t="s">
        <v>924</v>
      </c>
      <c r="M711" s="1" t="s">
        <v>6645</v>
      </c>
      <c r="N711" s="1">
        <v>200</v>
      </c>
    </row>
    <row r="712" spans="1:14" x14ac:dyDescent="0.25">
      <c r="A712" s="20" t="s">
        <v>720</v>
      </c>
      <c r="B712" s="1" t="s">
        <v>6646</v>
      </c>
      <c r="C712" s="1" t="s">
        <v>6647</v>
      </c>
      <c r="D712" s="1" t="s">
        <v>6648</v>
      </c>
      <c r="E712" s="1" t="s">
        <v>6649</v>
      </c>
      <c r="F712" s="1" t="s">
        <v>6650</v>
      </c>
      <c r="G712" s="1" t="s">
        <v>6651</v>
      </c>
      <c r="H712" s="1" t="s">
        <v>4800</v>
      </c>
      <c r="I712" s="1" t="s">
        <v>989</v>
      </c>
      <c r="J712" s="1" t="s">
        <v>6652</v>
      </c>
      <c r="K712" s="1" t="s">
        <v>8</v>
      </c>
      <c r="L712" s="1" t="s">
        <v>1129</v>
      </c>
      <c r="M712" s="1" t="s">
        <v>6653</v>
      </c>
      <c r="N712" s="1">
        <v>50</v>
      </c>
    </row>
    <row r="713" spans="1:14" x14ac:dyDescent="0.25">
      <c r="A713" s="20" t="s">
        <v>721</v>
      </c>
      <c r="B713" s="1" t="s">
        <v>6654</v>
      </c>
      <c r="C713" s="1" t="s">
        <v>6655</v>
      </c>
      <c r="D713" s="1" t="s">
        <v>6656</v>
      </c>
      <c r="E713" s="1" t="s">
        <v>6657</v>
      </c>
      <c r="F713" s="1" t="s">
        <v>6658</v>
      </c>
      <c r="G713" s="1" t="s">
        <v>958</v>
      </c>
      <c r="H713" s="1" t="s">
        <v>6659</v>
      </c>
      <c r="I713" s="1" t="s">
        <v>2266</v>
      </c>
      <c r="J713" s="1" t="s">
        <v>6660</v>
      </c>
      <c r="K713" s="1" t="s">
        <v>915</v>
      </c>
      <c r="L713" s="1" t="s">
        <v>4078</v>
      </c>
      <c r="M713" s="1" t="s">
        <v>6661</v>
      </c>
      <c r="N713" s="1">
        <v>25</v>
      </c>
    </row>
    <row r="714" spans="1:14" x14ac:dyDescent="0.25">
      <c r="A714" s="20" t="s">
        <v>722</v>
      </c>
      <c r="B714" s="1" t="s">
        <v>6662</v>
      </c>
      <c r="C714" s="1" t="s">
        <v>6663</v>
      </c>
      <c r="D714" s="1" t="s">
        <v>6664</v>
      </c>
      <c r="E714" s="1" t="s">
        <v>6665</v>
      </c>
      <c r="F714" s="1" t="s">
        <v>6666</v>
      </c>
      <c r="G714" s="1" t="s">
        <v>958</v>
      </c>
      <c r="H714" s="1" t="s">
        <v>6667</v>
      </c>
      <c r="I714" s="1" t="s">
        <v>979</v>
      </c>
      <c r="J714" s="1" t="s">
        <v>6668</v>
      </c>
      <c r="K714" s="1" t="s">
        <v>8</v>
      </c>
      <c r="L714" s="1" t="s">
        <v>1177</v>
      </c>
      <c r="M714" s="1" t="s">
        <v>6669</v>
      </c>
      <c r="N714" s="1">
        <v>1000</v>
      </c>
    </row>
    <row r="715" spans="1:14" x14ac:dyDescent="0.25">
      <c r="A715" s="20" t="s">
        <v>723</v>
      </c>
      <c r="B715" s="1" t="s">
        <v>6670</v>
      </c>
      <c r="C715" s="1" t="s">
        <v>6671</v>
      </c>
      <c r="D715" s="1" t="s">
        <v>6672</v>
      </c>
      <c r="E715" s="1" t="s">
        <v>6673</v>
      </c>
      <c r="F715" s="1" t="s">
        <v>6674</v>
      </c>
      <c r="G715" s="1" t="s">
        <v>958</v>
      </c>
      <c r="H715" s="1" t="s">
        <v>5073</v>
      </c>
      <c r="I715" s="1" t="s">
        <v>1750</v>
      </c>
      <c r="J715" s="1" t="s">
        <v>6675</v>
      </c>
      <c r="K715" s="1" t="s">
        <v>8</v>
      </c>
      <c r="L715" s="1" t="s">
        <v>6676</v>
      </c>
      <c r="M715" s="1" t="s">
        <v>6677</v>
      </c>
      <c r="N715" s="1">
        <v>25</v>
      </c>
    </row>
    <row r="716" spans="1:14" x14ac:dyDescent="0.25">
      <c r="A716" s="20" t="s">
        <v>724</v>
      </c>
      <c r="B716" s="1" t="s">
        <v>6678</v>
      </c>
      <c r="C716" s="1" t="s">
        <v>6679</v>
      </c>
      <c r="D716" s="1" t="s">
        <v>6680</v>
      </c>
      <c r="E716" s="1" t="s">
        <v>6681</v>
      </c>
      <c r="F716" s="1" t="s">
        <v>6682</v>
      </c>
      <c r="G716" s="1" t="s">
        <v>958</v>
      </c>
      <c r="H716" s="1" t="s">
        <v>979</v>
      </c>
      <c r="I716" s="1" t="s">
        <v>979</v>
      </c>
      <c r="J716" s="1" t="s">
        <v>6683</v>
      </c>
      <c r="K716" s="1" t="s">
        <v>971</v>
      </c>
      <c r="L716" s="1" t="s">
        <v>972</v>
      </c>
      <c r="M716" s="1" t="s">
        <v>6684</v>
      </c>
      <c r="N716" s="1">
        <v>50</v>
      </c>
    </row>
    <row r="717" spans="1:14" x14ac:dyDescent="0.25">
      <c r="A717" s="20" t="s">
        <v>725</v>
      </c>
      <c r="B717" s="1" t="s">
        <v>6685</v>
      </c>
      <c r="C717" s="1" t="s">
        <v>6686</v>
      </c>
      <c r="D717" s="1" t="s">
        <v>6687</v>
      </c>
      <c r="E717" s="1" t="s">
        <v>6688</v>
      </c>
      <c r="F717" s="1" t="s">
        <v>6689</v>
      </c>
      <c r="G717" s="1" t="s">
        <v>958</v>
      </c>
      <c r="H717" s="1" t="s">
        <v>1137</v>
      </c>
      <c r="I717" s="1" t="s">
        <v>979</v>
      </c>
      <c r="J717" s="1" t="s">
        <v>6690</v>
      </c>
      <c r="K717" s="1" t="s">
        <v>919</v>
      </c>
      <c r="L717" s="1" t="s">
        <v>918</v>
      </c>
      <c r="M717" s="1" t="s">
        <v>6691</v>
      </c>
      <c r="N717" s="1">
        <v>100</v>
      </c>
    </row>
    <row r="718" spans="1:14" x14ac:dyDescent="0.25">
      <c r="A718" s="20" t="s">
        <v>726</v>
      </c>
      <c r="B718" s="1" t="s">
        <v>6692</v>
      </c>
      <c r="C718" s="1" t="s">
        <v>6693</v>
      </c>
      <c r="D718" s="1" t="s">
        <v>6694</v>
      </c>
      <c r="E718" s="1" t="s">
        <v>6695</v>
      </c>
      <c r="F718" s="1" t="s">
        <v>6696</v>
      </c>
      <c r="G718" s="1" t="s">
        <v>958</v>
      </c>
      <c r="H718" s="1" t="s">
        <v>979</v>
      </c>
      <c r="I718" s="1" t="s">
        <v>979</v>
      </c>
      <c r="K718" s="1" t="s">
        <v>909</v>
      </c>
      <c r="L718" s="1" t="s">
        <v>1237</v>
      </c>
      <c r="M718" s="1" t="s">
        <v>6697</v>
      </c>
      <c r="N718" s="1">
        <v>50</v>
      </c>
    </row>
    <row r="719" spans="1:14" x14ac:dyDescent="0.25">
      <c r="A719" s="20" t="s">
        <v>727</v>
      </c>
      <c r="B719" s="1" t="s">
        <v>6698</v>
      </c>
      <c r="C719" s="1" t="s">
        <v>6699</v>
      </c>
      <c r="D719" s="1" t="s">
        <v>6700</v>
      </c>
      <c r="E719" s="1" t="s">
        <v>6701</v>
      </c>
      <c r="F719" s="1" t="s">
        <v>6702</v>
      </c>
      <c r="G719" s="1" t="s">
        <v>958</v>
      </c>
      <c r="H719" s="1" t="s">
        <v>4958</v>
      </c>
      <c r="I719" s="1" t="s">
        <v>1760</v>
      </c>
      <c r="J719" s="1" t="s">
        <v>6703</v>
      </c>
      <c r="K719" s="1" t="s">
        <v>915</v>
      </c>
      <c r="L719" s="1" t="s">
        <v>6704</v>
      </c>
      <c r="M719" s="1" t="s">
        <v>6705</v>
      </c>
      <c r="N719" s="1">
        <v>25</v>
      </c>
    </row>
    <row r="720" spans="1:14" x14ac:dyDescent="0.25">
      <c r="A720" s="20" t="s">
        <v>728</v>
      </c>
      <c r="B720" s="1" t="s">
        <v>6706</v>
      </c>
      <c r="C720" s="1" t="s">
        <v>6707</v>
      </c>
      <c r="D720" s="1" t="s">
        <v>6708</v>
      </c>
      <c r="E720" s="1" t="s">
        <v>6709</v>
      </c>
      <c r="F720" s="1" t="s">
        <v>6710</v>
      </c>
      <c r="G720" s="1" t="s">
        <v>958</v>
      </c>
      <c r="H720" s="1" t="s">
        <v>2018</v>
      </c>
      <c r="I720" s="1" t="s">
        <v>1616</v>
      </c>
      <c r="J720" s="1" t="s">
        <v>6711</v>
      </c>
      <c r="K720" s="1" t="s">
        <v>1871</v>
      </c>
      <c r="L720" s="1" t="s">
        <v>2131</v>
      </c>
      <c r="M720" s="1" t="s">
        <v>6712</v>
      </c>
      <c r="N720" s="1">
        <v>25</v>
      </c>
    </row>
    <row r="721" spans="1:14" x14ac:dyDescent="0.25">
      <c r="A721" s="20" t="s">
        <v>729</v>
      </c>
      <c r="B721" s="1" t="s">
        <v>6713</v>
      </c>
      <c r="C721" s="1" t="s">
        <v>6714</v>
      </c>
      <c r="D721" s="1" t="s">
        <v>6715</v>
      </c>
      <c r="E721" s="1" t="s">
        <v>6716</v>
      </c>
      <c r="F721" s="1" t="s">
        <v>6717</v>
      </c>
      <c r="G721" s="1" t="s">
        <v>958</v>
      </c>
      <c r="H721" s="1" t="s">
        <v>6718</v>
      </c>
      <c r="I721" s="1" t="s">
        <v>3882</v>
      </c>
      <c r="J721" s="1" t="s">
        <v>6719</v>
      </c>
      <c r="K721" s="1" t="s">
        <v>915</v>
      </c>
      <c r="L721" s="1" t="s">
        <v>926</v>
      </c>
      <c r="M721" s="1" t="s">
        <v>6720</v>
      </c>
      <c r="N721" s="1">
        <v>25</v>
      </c>
    </row>
    <row r="722" spans="1:14" x14ac:dyDescent="0.25">
      <c r="A722" s="20" t="s">
        <v>730</v>
      </c>
      <c r="B722" s="1" t="s">
        <v>6721</v>
      </c>
      <c r="C722" s="1" t="s">
        <v>6722</v>
      </c>
      <c r="D722" s="1" t="s">
        <v>6723</v>
      </c>
      <c r="E722" s="1" t="s">
        <v>6724</v>
      </c>
      <c r="F722" s="1" t="s">
        <v>6725</v>
      </c>
      <c r="G722" s="1" t="s">
        <v>958</v>
      </c>
      <c r="H722" s="1" t="s">
        <v>4186</v>
      </c>
      <c r="I722" s="1" t="s">
        <v>1070</v>
      </c>
      <c r="J722" s="1" t="s">
        <v>6726</v>
      </c>
      <c r="K722" s="1" t="s">
        <v>1637</v>
      </c>
      <c r="L722" s="1" t="s">
        <v>6727</v>
      </c>
      <c r="M722" s="1" t="s">
        <v>6728</v>
      </c>
      <c r="N722" s="1">
        <v>25</v>
      </c>
    </row>
    <row r="723" spans="1:14" x14ac:dyDescent="0.25">
      <c r="A723" s="20" t="s">
        <v>731</v>
      </c>
      <c r="B723" s="1" t="s">
        <v>6729</v>
      </c>
      <c r="C723" s="1" t="s">
        <v>6730</v>
      </c>
      <c r="D723" s="1" t="s">
        <v>6731</v>
      </c>
      <c r="E723" s="1" t="s">
        <v>2923</v>
      </c>
      <c r="F723" s="1" t="s">
        <v>6732</v>
      </c>
      <c r="G723" s="1" t="s">
        <v>958</v>
      </c>
      <c r="H723" s="1" t="s">
        <v>979</v>
      </c>
      <c r="I723" s="1" t="s">
        <v>979</v>
      </c>
      <c r="J723" s="1" t="s">
        <v>6733</v>
      </c>
      <c r="K723" s="1" t="s">
        <v>1218</v>
      </c>
      <c r="L723" s="1" t="s">
        <v>1355</v>
      </c>
      <c r="M723" s="1" t="s">
        <v>6734</v>
      </c>
      <c r="N723" s="1">
        <v>25</v>
      </c>
    </row>
    <row r="724" spans="1:14" x14ac:dyDescent="0.25">
      <c r="A724" s="20" t="s">
        <v>732</v>
      </c>
      <c r="B724" s="1" t="s">
        <v>6735</v>
      </c>
      <c r="C724" s="1" t="s">
        <v>6736</v>
      </c>
      <c r="D724" s="1" t="s">
        <v>6737</v>
      </c>
      <c r="E724" s="1" t="s">
        <v>6738</v>
      </c>
      <c r="F724" s="1" t="s">
        <v>6739</v>
      </c>
      <c r="G724" s="1" t="s">
        <v>958</v>
      </c>
      <c r="H724" s="1" t="s">
        <v>6740</v>
      </c>
      <c r="I724" s="1" t="s">
        <v>979</v>
      </c>
      <c r="J724" s="1" t="s">
        <v>6741</v>
      </c>
      <c r="K724" s="1" t="s">
        <v>1218</v>
      </c>
      <c r="L724" s="1" t="s">
        <v>3475</v>
      </c>
      <c r="M724" s="1" t="s">
        <v>6742</v>
      </c>
      <c r="N724" s="1">
        <v>25</v>
      </c>
    </row>
    <row r="725" spans="1:14" x14ac:dyDescent="0.25">
      <c r="A725" s="20" t="s">
        <v>733</v>
      </c>
      <c r="B725" s="1" t="s">
        <v>6743</v>
      </c>
      <c r="C725" s="1" t="s">
        <v>6744</v>
      </c>
      <c r="D725" s="1" t="s">
        <v>6745</v>
      </c>
      <c r="E725" s="1" t="s">
        <v>6746</v>
      </c>
      <c r="F725" s="1" t="s">
        <v>6747</v>
      </c>
      <c r="G725" s="1" t="s">
        <v>958</v>
      </c>
      <c r="H725" s="1" t="s">
        <v>979</v>
      </c>
      <c r="I725" s="1" t="s">
        <v>979</v>
      </c>
      <c r="J725" s="1" t="s">
        <v>6748</v>
      </c>
      <c r="K725" s="1" t="s">
        <v>1637</v>
      </c>
      <c r="L725" s="1" t="s">
        <v>6749</v>
      </c>
      <c r="M725" s="1" t="s">
        <v>6750</v>
      </c>
      <c r="N725" s="1">
        <v>25</v>
      </c>
    </row>
    <row r="726" spans="1:14" x14ac:dyDescent="0.25">
      <c r="A726" s="20" t="s">
        <v>734</v>
      </c>
      <c r="B726" s="1" t="s">
        <v>6751</v>
      </c>
      <c r="C726" s="1" t="s">
        <v>6752</v>
      </c>
      <c r="D726" s="1" t="s">
        <v>6753</v>
      </c>
      <c r="E726" s="1" t="s">
        <v>6754</v>
      </c>
      <c r="F726" s="1" t="s">
        <v>6755</v>
      </c>
      <c r="G726" s="1" t="s">
        <v>958</v>
      </c>
      <c r="H726" s="1" t="s">
        <v>979</v>
      </c>
      <c r="I726" s="1" t="s">
        <v>979</v>
      </c>
      <c r="J726" s="1" t="s">
        <v>1798</v>
      </c>
      <c r="K726" s="1" t="s">
        <v>1262</v>
      </c>
      <c r="L726" s="1" t="s">
        <v>6756</v>
      </c>
      <c r="M726" s="1" t="s">
        <v>6757</v>
      </c>
      <c r="N726" s="1">
        <v>25</v>
      </c>
    </row>
    <row r="727" spans="1:14" x14ac:dyDescent="0.25">
      <c r="A727" s="20" t="s">
        <v>735</v>
      </c>
      <c r="B727" s="1" t="s">
        <v>6758</v>
      </c>
      <c r="C727" s="1" t="s">
        <v>6759</v>
      </c>
      <c r="D727" s="1" t="s">
        <v>6760</v>
      </c>
      <c r="E727" s="1" t="s">
        <v>6761</v>
      </c>
      <c r="F727" s="1" t="s">
        <v>6762</v>
      </c>
      <c r="G727" s="1" t="s">
        <v>958</v>
      </c>
      <c r="H727" s="1" t="s">
        <v>979</v>
      </c>
      <c r="I727" s="1" t="s">
        <v>979</v>
      </c>
      <c r="J727" s="1" t="s">
        <v>6763</v>
      </c>
      <c r="K727" s="1" t="s">
        <v>915</v>
      </c>
      <c r="L727" s="1" t="s">
        <v>4078</v>
      </c>
      <c r="M727" s="1" t="s">
        <v>6764</v>
      </c>
      <c r="N727" s="1">
        <v>25</v>
      </c>
    </row>
    <row r="728" spans="1:14" x14ac:dyDescent="0.25">
      <c r="A728" s="20" t="s">
        <v>736</v>
      </c>
      <c r="B728" s="1" t="s">
        <v>6765</v>
      </c>
      <c r="C728" s="1" t="s">
        <v>6766</v>
      </c>
      <c r="D728" s="1" t="s">
        <v>6767</v>
      </c>
      <c r="E728" s="1" t="s">
        <v>6768</v>
      </c>
      <c r="F728" s="1" t="s">
        <v>6769</v>
      </c>
      <c r="G728" s="1" t="s">
        <v>958</v>
      </c>
      <c r="H728" s="1" t="s">
        <v>6770</v>
      </c>
      <c r="I728" s="1" t="s">
        <v>979</v>
      </c>
      <c r="J728" s="1" t="s">
        <v>6771</v>
      </c>
      <c r="K728" s="1" t="s">
        <v>1637</v>
      </c>
      <c r="L728" s="1" t="s">
        <v>2316</v>
      </c>
      <c r="M728" s="1" t="s">
        <v>6772</v>
      </c>
      <c r="N728" s="1">
        <v>30</v>
      </c>
    </row>
    <row r="729" spans="1:14" x14ac:dyDescent="0.25">
      <c r="A729" s="20" t="s">
        <v>737</v>
      </c>
      <c r="B729" s="1" t="s">
        <v>6773</v>
      </c>
      <c r="C729" s="1" t="s">
        <v>6774</v>
      </c>
      <c r="D729" s="1" t="s">
        <v>6775</v>
      </c>
      <c r="E729" s="1" t="s">
        <v>6776</v>
      </c>
      <c r="F729" s="1" t="s">
        <v>6777</v>
      </c>
      <c r="G729" s="1" t="s">
        <v>958</v>
      </c>
      <c r="H729" s="1" t="s">
        <v>1545</v>
      </c>
      <c r="I729" s="1" t="s">
        <v>1546</v>
      </c>
      <c r="J729" s="1" t="s">
        <v>6778</v>
      </c>
      <c r="K729" s="1" t="s">
        <v>6779</v>
      </c>
      <c r="L729" s="1" t="s">
        <v>6780</v>
      </c>
      <c r="M729" s="1" t="s">
        <v>6781</v>
      </c>
      <c r="N729" s="1">
        <v>100</v>
      </c>
    </row>
    <row r="730" spans="1:14" x14ac:dyDescent="0.25">
      <c r="A730" s="20" t="s">
        <v>738</v>
      </c>
      <c r="B730" s="1" t="s">
        <v>6782</v>
      </c>
      <c r="C730" s="1" t="s">
        <v>6783</v>
      </c>
      <c r="D730" s="1" t="s">
        <v>6784</v>
      </c>
      <c r="E730" s="1" t="s">
        <v>6785</v>
      </c>
      <c r="F730" s="1" t="s">
        <v>6786</v>
      </c>
      <c r="G730" s="1" t="s">
        <v>958</v>
      </c>
      <c r="H730" s="1" t="s">
        <v>6787</v>
      </c>
      <c r="I730" s="1" t="s">
        <v>1707</v>
      </c>
      <c r="J730" s="1" t="s">
        <v>6788</v>
      </c>
      <c r="K730" s="1" t="s">
        <v>1637</v>
      </c>
      <c r="L730" s="1" t="s">
        <v>4474</v>
      </c>
      <c r="M730" s="1" t="s">
        <v>6789</v>
      </c>
      <c r="N730" s="1">
        <v>50</v>
      </c>
    </row>
    <row r="731" spans="1:14" x14ac:dyDescent="0.25">
      <c r="A731" s="20" t="s">
        <v>739</v>
      </c>
      <c r="B731" s="1" t="s">
        <v>6790</v>
      </c>
      <c r="C731" s="1" t="s">
        <v>6791</v>
      </c>
      <c r="D731" s="1" t="s">
        <v>6792</v>
      </c>
      <c r="E731" s="1" t="s">
        <v>6793</v>
      </c>
      <c r="F731" s="1" t="s">
        <v>6794</v>
      </c>
      <c r="G731" s="1" t="s">
        <v>958</v>
      </c>
      <c r="H731" s="1" t="s">
        <v>1583</v>
      </c>
      <c r="I731" s="1" t="s">
        <v>1583</v>
      </c>
      <c r="J731" s="1" t="s">
        <v>6795</v>
      </c>
      <c r="K731" s="1" t="s">
        <v>8</v>
      </c>
      <c r="L731" s="1" t="s">
        <v>1020</v>
      </c>
      <c r="M731" s="1" t="s">
        <v>6796</v>
      </c>
      <c r="N731" s="1">
        <v>25</v>
      </c>
    </row>
    <row r="732" spans="1:14" x14ac:dyDescent="0.25">
      <c r="A732" s="20" t="s">
        <v>740</v>
      </c>
      <c r="B732" s="1" t="s">
        <v>6797</v>
      </c>
      <c r="C732" s="1" t="s">
        <v>6798</v>
      </c>
      <c r="D732" s="1" t="s">
        <v>6799</v>
      </c>
      <c r="E732" s="1" t="s">
        <v>6800</v>
      </c>
      <c r="F732" s="1" t="s">
        <v>6801</v>
      </c>
      <c r="G732" s="1" t="s">
        <v>958</v>
      </c>
      <c r="H732" s="1" t="s">
        <v>1137</v>
      </c>
      <c r="I732" s="1" t="s">
        <v>979</v>
      </c>
      <c r="J732" s="1" t="s">
        <v>6802</v>
      </c>
      <c r="K732" s="1" t="s">
        <v>1</v>
      </c>
      <c r="L732" s="1" t="s">
        <v>2645</v>
      </c>
      <c r="M732" s="1" t="s">
        <v>6803</v>
      </c>
      <c r="N732" s="1">
        <v>100</v>
      </c>
    </row>
    <row r="733" spans="1:14" x14ac:dyDescent="0.25">
      <c r="A733" s="20" t="s">
        <v>741</v>
      </c>
      <c r="B733" s="1" t="s">
        <v>6804</v>
      </c>
      <c r="C733" s="1" t="s">
        <v>6805</v>
      </c>
      <c r="D733" s="1" t="s">
        <v>6806</v>
      </c>
      <c r="E733" s="1" t="s">
        <v>6807</v>
      </c>
      <c r="F733" s="1" t="s">
        <v>6808</v>
      </c>
      <c r="G733" s="1" t="s">
        <v>958</v>
      </c>
      <c r="H733" s="1" t="s">
        <v>2332</v>
      </c>
      <c r="I733" s="1" t="s">
        <v>1035</v>
      </c>
      <c r="J733" s="1" t="s">
        <v>6809</v>
      </c>
      <c r="K733" s="1" t="s">
        <v>910</v>
      </c>
      <c r="L733" s="1" t="s">
        <v>4220</v>
      </c>
      <c r="M733" s="1" t="s">
        <v>6810</v>
      </c>
      <c r="N733" s="1">
        <v>25</v>
      </c>
    </row>
    <row r="734" spans="1:14" x14ac:dyDescent="0.25">
      <c r="A734" s="20" t="s">
        <v>742</v>
      </c>
      <c r="B734" s="1" t="s">
        <v>6811</v>
      </c>
      <c r="C734" s="1" t="s">
        <v>6812</v>
      </c>
      <c r="D734" s="1" t="s">
        <v>6806</v>
      </c>
      <c r="E734" s="1" t="s">
        <v>6813</v>
      </c>
      <c r="F734" s="1" t="s">
        <v>6814</v>
      </c>
      <c r="G734" s="1" t="s">
        <v>958</v>
      </c>
      <c r="H734" s="1" t="s">
        <v>2018</v>
      </c>
      <c r="I734" s="1" t="s">
        <v>1616</v>
      </c>
      <c r="J734" s="1" t="s">
        <v>6815</v>
      </c>
      <c r="K734" s="1" t="s">
        <v>909</v>
      </c>
      <c r="L734" s="1" t="s">
        <v>1237</v>
      </c>
      <c r="M734" s="1" t="s">
        <v>6816</v>
      </c>
      <c r="N734" s="1">
        <v>25</v>
      </c>
    </row>
    <row r="735" spans="1:14" x14ac:dyDescent="0.25">
      <c r="A735" s="20" t="s">
        <v>743</v>
      </c>
      <c r="B735" s="1" t="s">
        <v>6817</v>
      </c>
      <c r="C735" s="1" t="s">
        <v>6818</v>
      </c>
      <c r="D735" s="1" t="s">
        <v>6806</v>
      </c>
      <c r="E735" s="1" t="s">
        <v>6819</v>
      </c>
      <c r="F735" s="1" t="s">
        <v>6820</v>
      </c>
      <c r="G735" s="1" t="s">
        <v>958</v>
      </c>
      <c r="H735" s="1" t="s">
        <v>6821</v>
      </c>
      <c r="I735" s="1" t="s">
        <v>6821</v>
      </c>
      <c r="K735" s="1" t="s">
        <v>1089</v>
      </c>
      <c r="L735" s="1" t="s">
        <v>6822</v>
      </c>
      <c r="M735" s="1" t="s">
        <v>6823</v>
      </c>
      <c r="N735" s="1">
        <v>25</v>
      </c>
    </row>
    <row r="736" spans="1:14" x14ac:dyDescent="0.25">
      <c r="A736" s="20" t="s">
        <v>744</v>
      </c>
      <c r="B736" s="1" t="s">
        <v>6824</v>
      </c>
      <c r="C736" s="1" t="s">
        <v>6825</v>
      </c>
      <c r="D736" s="1" t="s">
        <v>6826</v>
      </c>
      <c r="E736" s="1" t="s">
        <v>6827</v>
      </c>
      <c r="F736" s="1" t="s">
        <v>6828</v>
      </c>
      <c r="G736" s="1" t="s">
        <v>958</v>
      </c>
      <c r="H736" s="1" t="s">
        <v>1127</v>
      </c>
      <c r="I736" s="1" t="s">
        <v>1127</v>
      </c>
      <c r="J736" s="1" t="s">
        <v>6829</v>
      </c>
      <c r="K736" s="1" t="s">
        <v>8</v>
      </c>
      <c r="L736" s="1" t="s">
        <v>6830</v>
      </c>
      <c r="M736" s="1" t="s">
        <v>6831</v>
      </c>
      <c r="N736" s="1">
        <v>25</v>
      </c>
    </row>
    <row r="737" spans="1:14" x14ac:dyDescent="0.25">
      <c r="A737" s="20" t="s">
        <v>745</v>
      </c>
      <c r="B737" s="1" t="s">
        <v>6832</v>
      </c>
      <c r="C737" s="1" t="s">
        <v>6833</v>
      </c>
      <c r="D737" s="1" t="s">
        <v>6834</v>
      </c>
      <c r="E737" s="1" t="s">
        <v>6835</v>
      </c>
      <c r="F737" s="1" t="s">
        <v>6836</v>
      </c>
      <c r="G737" s="1" t="s">
        <v>958</v>
      </c>
      <c r="H737" s="1" t="s">
        <v>1591</v>
      </c>
      <c r="I737" s="1" t="s">
        <v>1591</v>
      </c>
      <c r="J737" s="1" t="s">
        <v>6837</v>
      </c>
      <c r="K737" s="1" t="s">
        <v>915</v>
      </c>
      <c r="L737" s="1" t="s">
        <v>2424</v>
      </c>
      <c r="M737" s="1" t="s">
        <v>6838</v>
      </c>
      <c r="N737" s="1">
        <v>100</v>
      </c>
    </row>
    <row r="738" spans="1:14" x14ac:dyDescent="0.25">
      <c r="A738" s="20" t="s">
        <v>746</v>
      </c>
      <c r="B738" s="1" t="s">
        <v>6839</v>
      </c>
      <c r="C738" s="1" t="s">
        <v>6840</v>
      </c>
      <c r="D738" s="1" t="s">
        <v>6841</v>
      </c>
      <c r="E738" s="1" t="s">
        <v>6842</v>
      </c>
      <c r="F738" s="1" t="s">
        <v>6843</v>
      </c>
      <c r="G738" s="1" t="s">
        <v>958</v>
      </c>
      <c r="H738" s="1" t="s">
        <v>979</v>
      </c>
      <c r="I738" s="1" t="s">
        <v>979</v>
      </c>
      <c r="J738" s="1" t="s">
        <v>6844</v>
      </c>
      <c r="K738" s="1" t="s">
        <v>8</v>
      </c>
      <c r="L738" s="1" t="s">
        <v>1129</v>
      </c>
      <c r="M738" s="1" t="s">
        <v>6845</v>
      </c>
      <c r="N738" s="1">
        <v>500</v>
      </c>
    </row>
    <row r="739" spans="1:14" x14ac:dyDescent="0.25">
      <c r="A739" s="20" t="s">
        <v>747</v>
      </c>
      <c r="B739" s="1" t="s">
        <v>6846</v>
      </c>
      <c r="C739" s="1" t="s">
        <v>6847</v>
      </c>
      <c r="D739" s="1" t="s">
        <v>6848</v>
      </c>
      <c r="E739" s="1" t="s">
        <v>6849</v>
      </c>
      <c r="F739" s="1" t="s">
        <v>6850</v>
      </c>
      <c r="G739" s="1" t="s">
        <v>958</v>
      </c>
      <c r="H739" s="1" t="s">
        <v>6851</v>
      </c>
      <c r="I739" s="1" t="s">
        <v>1432</v>
      </c>
      <c r="J739" s="1" t="s">
        <v>6852</v>
      </c>
      <c r="K739" s="1" t="s">
        <v>1310</v>
      </c>
      <c r="L739" s="1" t="s">
        <v>1311</v>
      </c>
      <c r="M739" s="1" t="s">
        <v>6853</v>
      </c>
      <c r="N739" s="1">
        <v>150</v>
      </c>
    </row>
    <row r="740" spans="1:14" x14ac:dyDescent="0.25">
      <c r="A740" s="20" t="s">
        <v>748</v>
      </c>
      <c r="B740" s="1" t="s">
        <v>6854</v>
      </c>
      <c r="C740" s="1" t="s">
        <v>6855</v>
      </c>
      <c r="D740" s="1" t="s">
        <v>6856</v>
      </c>
      <c r="E740" s="1" t="s">
        <v>6857</v>
      </c>
      <c r="F740" s="1" t="s">
        <v>6858</v>
      </c>
      <c r="G740" s="1" t="s">
        <v>958</v>
      </c>
      <c r="H740" s="1" t="s">
        <v>6859</v>
      </c>
      <c r="I740" s="1" t="s">
        <v>1432</v>
      </c>
      <c r="J740" s="1" t="s">
        <v>6860</v>
      </c>
      <c r="K740" s="1" t="s">
        <v>1</v>
      </c>
      <c r="L740" s="1" t="s">
        <v>3916</v>
      </c>
      <c r="M740" s="1" t="s">
        <v>6861</v>
      </c>
      <c r="N740" s="1">
        <v>50</v>
      </c>
    </row>
    <row r="741" spans="1:14" x14ac:dyDescent="0.25">
      <c r="A741" s="20" t="s">
        <v>749</v>
      </c>
      <c r="B741" s="1" t="s">
        <v>6862</v>
      </c>
      <c r="C741" s="1" t="s">
        <v>6863</v>
      </c>
      <c r="D741" s="1" t="s">
        <v>6864</v>
      </c>
      <c r="E741" s="1" t="s">
        <v>6865</v>
      </c>
      <c r="F741" s="1" t="s">
        <v>6866</v>
      </c>
      <c r="G741" s="1" t="s">
        <v>6867</v>
      </c>
      <c r="H741" s="1" t="s">
        <v>6868</v>
      </c>
      <c r="I741" s="1" t="s">
        <v>1432</v>
      </c>
      <c r="J741" s="1" t="s">
        <v>6869</v>
      </c>
      <c r="K741" s="1" t="s">
        <v>909</v>
      </c>
      <c r="L741" s="1" t="s">
        <v>1237</v>
      </c>
      <c r="M741" s="1" t="s">
        <v>6870</v>
      </c>
      <c r="N741" s="1">
        <v>25</v>
      </c>
    </row>
    <row r="742" spans="1:14" x14ac:dyDescent="0.25">
      <c r="A742" s="20" t="s">
        <v>750</v>
      </c>
      <c r="B742" s="1" t="s">
        <v>6871</v>
      </c>
      <c r="C742" s="1" t="s">
        <v>6872</v>
      </c>
      <c r="D742" s="1" t="s">
        <v>6873</v>
      </c>
      <c r="E742" s="1" t="s">
        <v>6874</v>
      </c>
      <c r="F742" s="1" t="s">
        <v>6875</v>
      </c>
      <c r="G742" s="1" t="s">
        <v>958</v>
      </c>
      <c r="H742" s="1" t="s">
        <v>6876</v>
      </c>
      <c r="I742" s="1" t="s">
        <v>1363</v>
      </c>
      <c r="J742" s="1" t="s">
        <v>6877</v>
      </c>
      <c r="K742" s="1" t="s">
        <v>8</v>
      </c>
      <c r="L742" s="1" t="s">
        <v>4570</v>
      </c>
      <c r="M742" s="1" t="s">
        <v>6878</v>
      </c>
      <c r="N742" s="1">
        <v>25</v>
      </c>
    </row>
    <row r="743" spans="1:14" x14ac:dyDescent="0.25">
      <c r="A743" s="20" t="s">
        <v>751</v>
      </c>
      <c r="B743" s="1" t="s">
        <v>6879</v>
      </c>
      <c r="C743" s="1" t="s">
        <v>6880</v>
      </c>
      <c r="D743" s="1" t="s">
        <v>6881</v>
      </c>
      <c r="E743" s="1" t="s">
        <v>6882</v>
      </c>
      <c r="F743" s="1" t="s">
        <v>6883</v>
      </c>
      <c r="G743" s="1" t="s">
        <v>958</v>
      </c>
      <c r="H743" s="1" t="s">
        <v>6884</v>
      </c>
      <c r="I743" s="1" t="s">
        <v>6884</v>
      </c>
      <c r="J743" s="1" t="s">
        <v>6885</v>
      </c>
      <c r="K743" s="1" t="s">
        <v>1478</v>
      </c>
      <c r="L743" s="1" t="s">
        <v>1479</v>
      </c>
      <c r="M743" s="1" t="s">
        <v>6886</v>
      </c>
      <c r="N743" s="1">
        <v>25</v>
      </c>
    </row>
    <row r="744" spans="1:14" x14ac:dyDescent="0.25">
      <c r="A744" s="20" t="s">
        <v>752</v>
      </c>
      <c r="B744" s="1" t="s">
        <v>6887</v>
      </c>
      <c r="C744" s="1" t="s">
        <v>6888</v>
      </c>
      <c r="D744" s="1" t="s">
        <v>6889</v>
      </c>
      <c r="E744" s="1" t="s">
        <v>6890</v>
      </c>
      <c r="F744" s="1" t="s">
        <v>6891</v>
      </c>
      <c r="G744" s="1" t="s">
        <v>958</v>
      </c>
      <c r="H744" s="1" t="s">
        <v>6892</v>
      </c>
      <c r="I744" s="1" t="s">
        <v>4196</v>
      </c>
      <c r="J744" s="1" t="s">
        <v>6893</v>
      </c>
      <c r="K744" s="1" t="s">
        <v>915</v>
      </c>
      <c r="L744" s="1" t="s">
        <v>6894</v>
      </c>
      <c r="M744" s="1" t="s">
        <v>6895</v>
      </c>
      <c r="N744" s="1">
        <v>30</v>
      </c>
    </row>
    <row r="745" spans="1:14" x14ac:dyDescent="0.25">
      <c r="A745" s="20" t="s">
        <v>753</v>
      </c>
      <c r="B745" s="1" t="s">
        <v>6896</v>
      </c>
      <c r="C745" s="1" t="s">
        <v>6897</v>
      </c>
      <c r="D745" s="1" t="s">
        <v>6898</v>
      </c>
      <c r="E745" s="1" t="s">
        <v>6899</v>
      </c>
      <c r="F745" s="1" t="s">
        <v>6900</v>
      </c>
      <c r="G745" s="1" t="s">
        <v>958</v>
      </c>
      <c r="H745" s="1" t="s">
        <v>6211</v>
      </c>
      <c r="I745" s="1" t="s">
        <v>979</v>
      </c>
      <c r="J745" s="1" t="s">
        <v>6113</v>
      </c>
      <c r="K745" s="1" t="s">
        <v>929</v>
      </c>
      <c r="L745" s="1" t="s">
        <v>6901</v>
      </c>
      <c r="M745" s="1" t="s">
        <v>6902</v>
      </c>
      <c r="N745" s="1">
        <v>200</v>
      </c>
    </row>
    <row r="746" spans="1:14" x14ac:dyDescent="0.25">
      <c r="A746" s="20" t="s">
        <v>754</v>
      </c>
      <c r="B746" s="1" t="s">
        <v>6903</v>
      </c>
      <c r="C746" s="1" t="s">
        <v>6904</v>
      </c>
      <c r="D746" s="1" t="s">
        <v>6905</v>
      </c>
      <c r="E746" s="1" t="s">
        <v>6906</v>
      </c>
      <c r="F746" s="1" t="s">
        <v>6907</v>
      </c>
      <c r="G746" s="1" t="s">
        <v>958</v>
      </c>
      <c r="H746" s="1" t="s">
        <v>6908</v>
      </c>
      <c r="I746" s="1" t="s">
        <v>979</v>
      </c>
      <c r="J746" s="1" t="s">
        <v>6909</v>
      </c>
      <c r="K746" s="1" t="s">
        <v>8</v>
      </c>
      <c r="L746" s="1" t="s">
        <v>2211</v>
      </c>
      <c r="M746" s="1" t="s">
        <v>6910</v>
      </c>
      <c r="N746" s="1">
        <v>100</v>
      </c>
    </row>
    <row r="747" spans="1:14" x14ac:dyDescent="0.25">
      <c r="A747" s="20" t="s">
        <v>755</v>
      </c>
      <c r="B747" s="1" t="s">
        <v>6911</v>
      </c>
      <c r="C747" s="1" t="s">
        <v>6912</v>
      </c>
      <c r="D747" s="1" t="s">
        <v>6913</v>
      </c>
      <c r="E747" s="1" t="s">
        <v>6914</v>
      </c>
      <c r="F747" s="1" t="s">
        <v>6915</v>
      </c>
      <c r="G747" s="1" t="s">
        <v>958</v>
      </c>
      <c r="H747" s="1" t="s">
        <v>6916</v>
      </c>
      <c r="I747" s="1" t="s">
        <v>1707</v>
      </c>
      <c r="J747" s="1" t="s">
        <v>6917</v>
      </c>
      <c r="K747" s="1" t="s">
        <v>915</v>
      </c>
      <c r="L747" s="1" t="s">
        <v>6918</v>
      </c>
      <c r="M747" s="1" t="s">
        <v>6919</v>
      </c>
      <c r="N747" s="1">
        <v>50</v>
      </c>
    </row>
    <row r="748" spans="1:14" x14ac:dyDescent="0.25">
      <c r="A748" s="20" t="s">
        <v>756</v>
      </c>
      <c r="B748" s="1" t="s">
        <v>6920</v>
      </c>
      <c r="C748" s="1" t="s">
        <v>6921</v>
      </c>
      <c r="D748" s="1" t="s">
        <v>6922</v>
      </c>
      <c r="E748" s="1" t="s">
        <v>6923</v>
      </c>
      <c r="F748" s="1" t="s">
        <v>6924</v>
      </c>
      <c r="G748" s="1" t="s">
        <v>958</v>
      </c>
      <c r="H748" s="1" t="s">
        <v>1545</v>
      </c>
      <c r="I748" s="1" t="s">
        <v>1546</v>
      </c>
      <c r="J748" s="1" t="s">
        <v>6925</v>
      </c>
      <c r="K748" s="1" t="s">
        <v>971</v>
      </c>
      <c r="L748" s="1" t="s">
        <v>6926</v>
      </c>
      <c r="M748" s="1" t="s">
        <v>6927</v>
      </c>
      <c r="N748" s="1">
        <v>30</v>
      </c>
    </row>
    <row r="749" spans="1:14" x14ac:dyDescent="0.25">
      <c r="A749" s="20" t="s">
        <v>757</v>
      </c>
      <c r="B749" s="1" t="s">
        <v>6928</v>
      </c>
      <c r="C749" s="1" t="s">
        <v>6929</v>
      </c>
      <c r="D749" s="1" t="s">
        <v>6930</v>
      </c>
      <c r="E749" s="1" t="s">
        <v>6931</v>
      </c>
      <c r="F749" s="1" t="s">
        <v>6932</v>
      </c>
      <c r="G749" s="1" t="s">
        <v>958</v>
      </c>
      <c r="H749" s="1" t="s">
        <v>4958</v>
      </c>
      <c r="I749" s="1" t="s">
        <v>1760</v>
      </c>
      <c r="J749" s="1" t="s">
        <v>6933</v>
      </c>
      <c r="K749" s="1" t="s">
        <v>971</v>
      </c>
      <c r="L749" s="1" t="s">
        <v>972</v>
      </c>
      <c r="M749" s="1" t="s">
        <v>6934</v>
      </c>
      <c r="N749" s="1">
        <v>25</v>
      </c>
    </row>
    <row r="750" spans="1:14" x14ac:dyDescent="0.25">
      <c r="A750" s="20" t="s">
        <v>758</v>
      </c>
      <c r="B750" s="1" t="s">
        <v>6935</v>
      </c>
      <c r="C750" s="1" t="s">
        <v>6936</v>
      </c>
      <c r="D750" s="1" t="s">
        <v>6937</v>
      </c>
      <c r="E750" s="1" t="s">
        <v>6938</v>
      </c>
      <c r="F750" s="1" t="s">
        <v>6939</v>
      </c>
      <c r="G750" s="1" t="s">
        <v>958</v>
      </c>
      <c r="H750" s="1" t="s">
        <v>6940</v>
      </c>
      <c r="I750" s="1" t="s">
        <v>1026</v>
      </c>
      <c r="J750" s="1" t="s">
        <v>6941</v>
      </c>
      <c r="K750" s="1" t="s">
        <v>915</v>
      </c>
      <c r="L750" s="1" t="s">
        <v>926</v>
      </c>
      <c r="M750" s="1" t="s">
        <v>6942</v>
      </c>
      <c r="N750" s="1">
        <v>30</v>
      </c>
    </row>
    <row r="751" spans="1:14" x14ac:dyDescent="0.25">
      <c r="A751" s="20" t="s">
        <v>759</v>
      </c>
      <c r="B751" s="1" t="s">
        <v>6943</v>
      </c>
      <c r="C751" s="1" t="s">
        <v>6944</v>
      </c>
      <c r="D751" s="1" t="s">
        <v>6945</v>
      </c>
      <c r="E751" s="1" t="s">
        <v>4502</v>
      </c>
      <c r="F751" s="1" t="s">
        <v>6946</v>
      </c>
      <c r="G751" s="1" t="s">
        <v>958</v>
      </c>
      <c r="H751" s="1" t="s">
        <v>6947</v>
      </c>
      <c r="I751" s="1" t="s">
        <v>979</v>
      </c>
      <c r="J751" s="1" t="s">
        <v>6948</v>
      </c>
      <c r="K751" s="1" t="s">
        <v>3</v>
      </c>
      <c r="L751" s="1" t="s">
        <v>6949</v>
      </c>
      <c r="M751" s="1" t="s">
        <v>6950</v>
      </c>
      <c r="N751" s="1">
        <v>50</v>
      </c>
    </row>
    <row r="752" spans="1:14" x14ac:dyDescent="0.25">
      <c r="A752" s="20" t="s">
        <v>760</v>
      </c>
      <c r="B752" s="1" t="s">
        <v>6951</v>
      </c>
      <c r="C752" s="1" t="s">
        <v>6952</v>
      </c>
      <c r="D752" s="1" t="s">
        <v>6953</v>
      </c>
      <c r="E752" s="1" t="s">
        <v>6954</v>
      </c>
      <c r="F752" s="1" t="s">
        <v>6955</v>
      </c>
      <c r="G752" s="1" t="s">
        <v>958</v>
      </c>
      <c r="H752" s="1" t="s">
        <v>1018</v>
      </c>
      <c r="I752" s="1" t="s">
        <v>1116</v>
      </c>
      <c r="J752" s="1" t="s">
        <v>6956</v>
      </c>
      <c r="K752" s="1" t="s">
        <v>910</v>
      </c>
      <c r="L752" s="1" t="s">
        <v>6957</v>
      </c>
      <c r="M752" s="1" t="s">
        <v>6958</v>
      </c>
      <c r="N752" s="1">
        <v>25</v>
      </c>
    </row>
    <row r="753" spans="1:14" x14ac:dyDescent="0.25">
      <c r="A753" s="20" t="s">
        <v>761</v>
      </c>
      <c r="B753" s="1" t="s">
        <v>6959</v>
      </c>
      <c r="C753" s="1" t="s">
        <v>6960</v>
      </c>
      <c r="D753" s="1" t="s">
        <v>6961</v>
      </c>
      <c r="E753" s="1" t="s">
        <v>6962</v>
      </c>
      <c r="F753" s="1" t="s">
        <v>6963</v>
      </c>
      <c r="G753" s="1" t="s">
        <v>958</v>
      </c>
      <c r="H753" s="1" t="s">
        <v>1137</v>
      </c>
      <c r="I753" s="1" t="s">
        <v>979</v>
      </c>
      <c r="J753" s="1" t="s">
        <v>6964</v>
      </c>
      <c r="K753" s="1" t="s">
        <v>8</v>
      </c>
      <c r="L753" s="1" t="s">
        <v>1177</v>
      </c>
      <c r="M753" s="1" t="s">
        <v>6965</v>
      </c>
      <c r="N753" s="1">
        <v>1000</v>
      </c>
    </row>
    <row r="754" spans="1:14" x14ac:dyDescent="0.25">
      <c r="A754" s="20" t="s">
        <v>762</v>
      </c>
      <c r="B754" s="1" t="s">
        <v>6966</v>
      </c>
      <c r="C754" s="1" t="s">
        <v>6967</v>
      </c>
      <c r="D754" s="1" t="s">
        <v>6968</v>
      </c>
      <c r="E754" s="1" t="s">
        <v>6969</v>
      </c>
      <c r="F754" s="1" t="s">
        <v>6970</v>
      </c>
      <c r="G754" s="1" t="s">
        <v>958</v>
      </c>
      <c r="H754" s="1" t="s">
        <v>979</v>
      </c>
      <c r="I754" s="1" t="s">
        <v>979</v>
      </c>
      <c r="J754" s="1" t="s">
        <v>6971</v>
      </c>
      <c r="K754" s="1" t="s">
        <v>1478</v>
      </c>
      <c r="L754" s="1" t="s">
        <v>3404</v>
      </c>
      <c r="M754" s="1" t="s">
        <v>6972</v>
      </c>
      <c r="N754" s="1">
        <v>500</v>
      </c>
    </row>
    <row r="755" spans="1:14" x14ac:dyDescent="0.25">
      <c r="A755" s="20" t="s">
        <v>763</v>
      </c>
      <c r="B755" s="1" t="s">
        <v>6973</v>
      </c>
      <c r="C755" s="1" t="s">
        <v>6974</v>
      </c>
      <c r="D755" s="1" t="s">
        <v>6961</v>
      </c>
      <c r="E755" s="1" t="s">
        <v>6975</v>
      </c>
      <c r="F755" s="1" t="s">
        <v>6976</v>
      </c>
      <c r="G755" s="1" t="s">
        <v>958</v>
      </c>
      <c r="H755" s="1" t="s">
        <v>2035</v>
      </c>
      <c r="I755" s="1" t="s">
        <v>1971</v>
      </c>
      <c r="J755" s="1" t="s">
        <v>1217</v>
      </c>
      <c r="K755" s="1" t="s">
        <v>1218</v>
      </c>
      <c r="L755" s="1" t="s">
        <v>1219</v>
      </c>
      <c r="M755" s="1" t="s">
        <v>6977</v>
      </c>
      <c r="N755" s="1">
        <v>200</v>
      </c>
    </row>
    <row r="756" spans="1:14" x14ac:dyDescent="0.25">
      <c r="A756" s="20" t="s">
        <v>764</v>
      </c>
      <c r="B756" s="1" t="s">
        <v>6978</v>
      </c>
      <c r="C756" s="1" t="s">
        <v>6979</v>
      </c>
      <c r="D756" s="1" t="s">
        <v>6980</v>
      </c>
      <c r="E756" s="1" t="s">
        <v>6981</v>
      </c>
      <c r="F756" s="1" t="s">
        <v>6982</v>
      </c>
      <c r="G756" s="1" t="s">
        <v>958</v>
      </c>
      <c r="H756" s="1" t="s">
        <v>6983</v>
      </c>
      <c r="I756" s="1" t="s">
        <v>1116</v>
      </c>
      <c r="J756" s="1" t="s">
        <v>6984</v>
      </c>
      <c r="K756" s="1" t="s">
        <v>1</v>
      </c>
      <c r="L756" s="1" t="s">
        <v>5677</v>
      </c>
      <c r="M756" s="1" t="s">
        <v>6985</v>
      </c>
      <c r="N756" s="1">
        <v>100</v>
      </c>
    </row>
    <row r="757" spans="1:14" x14ac:dyDescent="0.25">
      <c r="A757" s="20" t="s">
        <v>765</v>
      </c>
      <c r="B757" s="1" t="s">
        <v>6986</v>
      </c>
      <c r="C757" s="1" t="s">
        <v>6987</v>
      </c>
      <c r="D757" s="1" t="s">
        <v>6988</v>
      </c>
      <c r="E757" s="1" t="s">
        <v>6989</v>
      </c>
      <c r="F757" s="1" t="s">
        <v>6990</v>
      </c>
      <c r="G757" s="1" t="s">
        <v>958</v>
      </c>
      <c r="H757" s="1" t="s">
        <v>1137</v>
      </c>
      <c r="I757" s="1" t="s">
        <v>979</v>
      </c>
      <c r="K757" s="1" t="s">
        <v>1637</v>
      </c>
      <c r="L757" s="1" t="s">
        <v>2316</v>
      </c>
      <c r="M757" s="1" t="s">
        <v>6991</v>
      </c>
      <c r="N757" s="1">
        <v>50</v>
      </c>
    </row>
    <row r="758" spans="1:14" x14ac:dyDescent="0.25">
      <c r="A758" s="20" t="s">
        <v>766</v>
      </c>
      <c r="B758" s="1" t="s">
        <v>6992</v>
      </c>
      <c r="C758" s="1" t="s">
        <v>1930</v>
      </c>
      <c r="D758" s="1" t="s">
        <v>6993</v>
      </c>
      <c r="E758" s="1" t="s">
        <v>6994</v>
      </c>
      <c r="F758" s="1" t="s">
        <v>6995</v>
      </c>
      <c r="G758" s="1" t="s">
        <v>958</v>
      </c>
      <c r="H758" s="1" t="s">
        <v>1051</v>
      </c>
      <c r="I758" s="1" t="s">
        <v>1432</v>
      </c>
      <c r="J758" s="1" t="s">
        <v>6996</v>
      </c>
      <c r="K758" s="1" t="s">
        <v>910</v>
      </c>
      <c r="L758" s="1" t="s">
        <v>931</v>
      </c>
      <c r="M758" s="1" t="s">
        <v>6997</v>
      </c>
      <c r="N758" s="1">
        <v>500</v>
      </c>
    </row>
    <row r="759" spans="1:14" x14ac:dyDescent="0.25">
      <c r="A759" s="20" t="s">
        <v>767</v>
      </c>
      <c r="B759" s="1" t="s">
        <v>6998</v>
      </c>
      <c r="C759" s="1" t="s">
        <v>6999</v>
      </c>
      <c r="D759" s="1" t="s">
        <v>7000</v>
      </c>
      <c r="E759" s="1" t="s">
        <v>6626</v>
      </c>
      <c r="F759" s="1" t="s">
        <v>7001</v>
      </c>
      <c r="G759" s="1" t="s">
        <v>958</v>
      </c>
      <c r="H759" s="1" t="s">
        <v>1059</v>
      </c>
      <c r="I759" s="1" t="s">
        <v>1060</v>
      </c>
      <c r="J759" s="1" t="s">
        <v>7002</v>
      </c>
      <c r="K759" s="1" t="s">
        <v>909</v>
      </c>
      <c r="L759" s="1" t="s">
        <v>1237</v>
      </c>
      <c r="M759" s="1" t="s">
        <v>7003</v>
      </c>
      <c r="N759" s="1">
        <v>100</v>
      </c>
    </row>
    <row r="760" spans="1:14" x14ac:dyDescent="0.25">
      <c r="A760" s="20" t="s">
        <v>768</v>
      </c>
      <c r="B760" s="1" t="s">
        <v>7004</v>
      </c>
      <c r="C760" s="1" t="s">
        <v>7005</v>
      </c>
      <c r="D760" s="1" t="s">
        <v>7006</v>
      </c>
      <c r="E760" s="1" t="s">
        <v>7007</v>
      </c>
      <c r="F760" s="1" t="s">
        <v>7008</v>
      </c>
      <c r="G760" s="1" t="s">
        <v>7009</v>
      </c>
      <c r="H760" s="1" t="s">
        <v>990</v>
      </c>
      <c r="I760" s="1" t="s">
        <v>1725</v>
      </c>
      <c r="J760" s="1" t="s">
        <v>7010</v>
      </c>
      <c r="K760" s="1" t="s">
        <v>1478</v>
      </c>
      <c r="L760" s="1" t="s">
        <v>7011</v>
      </c>
      <c r="M760" s="1" t="s">
        <v>7012</v>
      </c>
      <c r="N760" s="1">
        <v>50</v>
      </c>
    </row>
    <row r="761" spans="1:14" x14ac:dyDescent="0.25">
      <c r="A761" s="20" t="s">
        <v>769</v>
      </c>
      <c r="B761" s="1" t="s">
        <v>7013</v>
      </c>
      <c r="C761" s="1" t="s">
        <v>7014</v>
      </c>
      <c r="D761" s="1" t="s">
        <v>7015</v>
      </c>
      <c r="E761" s="1" t="s">
        <v>7016</v>
      </c>
      <c r="F761" s="1" t="s">
        <v>7017</v>
      </c>
      <c r="G761" s="1" t="s">
        <v>958</v>
      </c>
      <c r="H761" s="1" t="s">
        <v>1137</v>
      </c>
      <c r="I761" s="1" t="s">
        <v>979</v>
      </c>
      <c r="J761" s="1" t="s">
        <v>7018</v>
      </c>
      <c r="K761" s="1" t="s">
        <v>3</v>
      </c>
      <c r="L761" s="1" t="s">
        <v>7019</v>
      </c>
      <c r="M761" s="1" t="s">
        <v>7020</v>
      </c>
      <c r="N761" s="1">
        <v>150</v>
      </c>
    </row>
    <row r="762" spans="1:14" x14ac:dyDescent="0.25">
      <c r="A762" s="20" t="s">
        <v>770</v>
      </c>
      <c r="B762" s="1" t="s">
        <v>7021</v>
      </c>
      <c r="C762" s="1" t="s">
        <v>7022</v>
      </c>
      <c r="D762" s="1" t="s">
        <v>7023</v>
      </c>
      <c r="E762" s="1" t="s">
        <v>7024</v>
      </c>
      <c r="F762" s="1" t="s">
        <v>7025</v>
      </c>
      <c r="G762" s="1" t="s">
        <v>958</v>
      </c>
      <c r="H762" s="1" t="s">
        <v>7026</v>
      </c>
      <c r="I762" s="1" t="s">
        <v>7027</v>
      </c>
      <c r="J762" s="1" t="s">
        <v>7028</v>
      </c>
      <c r="K762" s="1" t="s">
        <v>909</v>
      </c>
      <c r="L762" s="1" t="s">
        <v>1237</v>
      </c>
      <c r="M762" s="1" t="s">
        <v>7029</v>
      </c>
      <c r="N762" s="1">
        <v>25</v>
      </c>
    </row>
    <row r="763" spans="1:14" x14ac:dyDescent="0.25">
      <c r="A763" s="20" t="s">
        <v>771</v>
      </c>
      <c r="B763" s="1" t="s">
        <v>7030</v>
      </c>
      <c r="C763" s="1" t="s">
        <v>1886</v>
      </c>
      <c r="D763" s="1" t="s">
        <v>1887</v>
      </c>
      <c r="E763" s="1" t="s">
        <v>7031</v>
      </c>
      <c r="F763" s="1" t="s">
        <v>7032</v>
      </c>
      <c r="G763" s="1" t="s">
        <v>7033</v>
      </c>
      <c r="H763" s="1" t="s">
        <v>1363</v>
      </c>
      <c r="I763" s="1" t="s">
        <v>1363</v>
      </c>
      <c r="J763" s="1" t="s">
        <v>1889</v>
      </c>
      <c r="K763" s="1" t="s">
        <v>4</v>
      </c>
      <c r="L763" s="1" t="s">
        <v>1890</v>
      </c>
      <c r="M763" s="1" t="s">
        <v>7034</v>
      </c>
      <c r="N763" s="1">
        <v>25</v>
      </c>
    </row>
    <row r="764" spans="1:14" x14ac:dyDescent="0.25">
      <c r="A764" s="20" t="s">
        <v>772</v>
      </c>
      <c r="B764" s="1" t="s">
        <v>7035</v>
      </c>
      <c r="C764" s="1" t="s">
        <v>7036</v>
      </c>
      <c r="D764" s="1" t="s">
        <v>7037</v>
      </c>
      <c r="E764" s="1" t="s">
        <v>7038</v>
      </c>
      <c r="F764" s="1" t="s">
        <v>7039</v>
      </c>
      <c r="G764" s="1" t="s">
        <v>7040</v>
      </c>
      <c r="H764" s="1" t="s">
        <v>7041</v>
      </c>
      <c r="I764" s="1" t="s">
        <v>1591</v>
      </c>
      <c r="J764" s="1" t="s">
        <v>7042</v>
      </c>
      <c r="K764" s="1" t="s">
        <v>4</v>
      </c>
      <c r="L764" s="1" t="s">
        <v>1618</v>
      </c>
      <c r="M764" s="1" t="s">
        <v>7043</v>
      </c>
      <c r="N764" s="1">
        <v>25</v>
      </c>
    </row>
    <row r="765" spans="1:14" x14ac:dyDescent="0.25">
      <c r="A765" s="20" t="s">
        <v>773</v>
      </c>
      <c r="B765" s="1" t="s">
        <v>7044</v>
      </c>
      <c r="C765" s="1" t="s">
        <v>7045</v>
      </c>
      <c r="D765" s="1" t="s">
        <v>7046</v>
      </c>
      <c r="E765" s="1" t="s">
        <v>7047</v>
      </c>
      <c r="F765" s="1" t="s">
        <v>7048</v>
      </c>
      <c r="G765" s="1" t="s">
        <v>958</v>
      </c>
      <c r="H765" s="1" t="s">
        <v>3458</v>
      </c>
      <c r="I765" s="1" t="s">
        <v>1546</v>
      </c>
      <c r="J765" s="1" t="s">
        <v>7049</v>
      </c>
      <c r="K765" s="1" t="s">
        <v>1468</v>
      </c>
      <c r="L765" s="1" t="s">
        <v>7050</v>
      </c>
      <c r="M765" s="1" t="s">
        <v>7051</v>
      </c>
      <c r="N765" s="1">
        <v>50</v>
      </c>
    </row>
    <row r="766" spans="1:14" x14ac:dyDescent="0.25">
      <c r="A766" s="20" t="s">
        <v>774</v>
      </c>
      <c r="B766" s="1" t="s">
        <v>7052</v>
      </c>
      <c r="C766" s="1" t="s">
        <v>7053</v>
      </c>
      <c r="D766" s="1" t="s">
        <v>7054</v>
      </c>
      <c r="E766" s="1" t="s">
        <v>7055</v>
      </c>
      <c r="F766" s="1" t="s">
        <v>7056</v>
      </c>
      <c r="G766" s="1" t="s">
        <v>958</v>
      </c>
      <c r="H766" s="1" t="s">
        <v>7057</v>
      </c>
      <c r="I766" s="1" t="s">
        <v>2634</v>
      </c>
      <c r="J766" s="1" t="s">
        <v>7058</v>
      </c>
      <c r="K766" s="1" t="s">
        <v>915</v>
      </c>
      <c r="L766" s="1" t="s">
        <v>926</v>
      </c>
      <c r="M766" s="1" t="s">
        <v>7059</v>
      </c>
      <c r="N766" s="1">
        <v>25</v>
      </c>
    </row>
    <row r="767" spans="1:14" x14ac:dyDescent="0.25">
      <c r="A767" s="20" t="s">
        <v>775</v>
      </c>
      <c r="B767" s="1" t="s">
        <v>7060</v>
      </c>
      <c r="C767" s="1" t="s">
        <v>7061</v>
      </c>
      <c r="D767" s="1" t="s">
        <v>7062</v>
      </c>
      <c r="E767" s="1" t="s">
        <v>7063</v>
      </c>
      <c r="F767" s="1" t="s">
        <v>7064</v>
      </c>
      <c r="G767" s="1" t="s">
        <v>958</v>
      </c>
      <c r="H767" s="1" t="s">
        <v>1035</v>
      </c>
      <c r="I767" s="1" t="s">
        <v>1035</v>
      </c>
      <c r="J767" s="1" t="s">
        <v>7065</v>
      </c>
      <c r="K767" s="1" t="s">
        <v>1089</v>
      </c>
      <c r="L767" s="1" t="s">
        <v>7066</v>
      </c>
      <c r="M767" s="1" t="s">
        <v>7067</v>
      </c>
      <c r="N767" s="1">
        <v>50</v>
      </c>
    </row>
    <row r="768" spans="1:14" x14ac:dyDescent="0.25">
      <c r="A768" s="20" t="s">
        <v>776</v>
      </c>
      <c r="B768" s="1" t="s">
        <v>7068</v>
      </c>
      <c r="C768" s="1" t="s">
        <v>7069</v>
      </c>
      <c r="D768" s="1" t="s">
        <v>7070</v>
      </c>
      <c r="E768" s="1" t="s">
        <v>7071</v>
      </c>
      <c r="F768" s="1" t="s">
        <v>7072</v>
      </c>
      <c r="G768" s="1" t="s">
        <v>7073</v>
      </c>
      <c r="H768" s="1" t="s">
        <v>7074</v>
      </c>
      <c r="I768" s="1" t="s">
        <v>979</v>
      </c>
      <c r="J768" s="1" t="s">
        <v>7075</v>
      </c>
      <c r="K768" s="1" t="s">
        <v>2</v>
      </c>
      <c r="L768" s="1" t="s">
        <v>1882</v>
      </c>
      <c r="M768" s="1" t="s">
        <v>7076</v>
      </c>
      <c r="N768" s="1">
        <v>200</v>
      </c>
    </row>
    <row r="769" spans="1:14" x14ac:dyDescent="0.25">
      <c r="A769" s="20" t="s">
        <v>777</v>
      </c>
      <c r="B769" s="1" t="s">
        <v>7077</v>
      </c>
      <c r="C769" s="1" t="s">
        <v>7078</v>
      </c>
      <c r="D769" s="1" t="s">
        <v>7079</v>
      </c>
      <c r="E769" s="1" t="s">
        <v>7080</v>
      </c>
      <c r="F769" s="1" t="s">
        <v>7081</v>
      </c>
      <c r="G769" s="1" t="s">
        <v>958</v>
      </c>
      <c r="H769" s="1" t="s">
        <v>1297</v>
      </c>
      <c r="I769" s="1" t="s">
        <v>1298</v>
      </c>
      <c r="J769" s="1" t="s">
        <v>1185</v>
      </c>
      <c r="K769" s="1" t="s">
        <v>914</v>
      </c>
      <c r="L769" s="1" t="s">
        <v>7082</v>
      </c>
      <c r="M769" s="1" t="s">
        <v>7083</v>
      </c>
      <c r="N769" s="1">
        <v>110</v>
      </c>
    </row>
    <row r="770" spans="1:14" x14ac:dyDescent="0.25">
      <c r="A770" s="20" t="s">
        <v>778</v>
      </c>
      <c r="B770" s="1" t="s">
        <v>7084</v>
      </c>
      <c r="C770" s="1" t="s">
        <v>7085</v>
      </c>
      <c r="D770" s="1" t="s">
        <v>7086</v>
      </c>
      <c r="E770" s="1" t="s">
        <v>7087</v>
      </c>
      <c r="F770" s="1" t="s">
        <v>7088</v>
      </c>
      <c r="G770" s="1" t="s">
        <v>958</v>
      </c>
      <c r="H770" s="1" t="s">
        <v>2514</v>
      </c>
      <c r="I770" s="1" t="s">
        <v>2515</v>
      </c>
      <c r="J770" s="1" t="s">
        <v>7089</v>
      </c>
      <c r="K770" s="1" t="s">
        <v>1496</v>
      </c>
      <c r="L770" s="1" t="s">
        <v>7090</v>
      </c>
      <c r="M770" s="1" t="s">
        <v>7091</v>
      </c>
      <c r="N770" s="1">
        <v>25</v>
      </c>
    </row>
    <row r="771" spans="1:14" x14ac:dyDescent="0.25">
      <c r="A771" s="20" t="s">
        <v>779</v>
      </c>
      <c r="B771" s="1" t="s">
        <v>7092</v>
      </c>
      <c r="C771" s="1" t="s">
        <v>7093</v>
      </c>
      <c r="D771" s="1" t="s">
        <v>7094</v>
      </c>
      <c r="E771" s="1" t="s">
        <v>7095</v>
      </c>
      <c r="F771" s="1" t="s">
        <v>7096</v>
      </c>
      <c r="G771" s="1" t="s">
        <v>958</v>
      </c>
      <c r="H771" s="1" t="s">
        <v>979</v>
      </c>
      <c r="I771" s="1" t="s">
        <v>979</v>
      </c>
      <c r="J771" s="1" t="s">
        <v>7097</v>
      </c>
      <c r="K771" s="1" t="s">
        <v>1637</v>
      </c>
      <c r="L771" s="1" t="s">
        <v>7098</v>
      </c>
      <c r="M771" s="1" t="s">
        <v>7099</v>
      </c>
      <c r="N771" s="1">
        <v>30</v>
      </c>
    </row>
    <row r="772" spans="1:14" x14ac:dyDescent="0.25">
      <c r="A772" s="20" t="s">
        <v>780</v>
      </c>
      <c r="B772" s="1" t="s">
        <v>7100</v>
      </c>
      <c r="C772" s="1" t="s">
        <v>7101</v>
      </c>
      <c r="D772" s="1" t="s">
        <v>7102</v>
      </c>
      <c r="E772" s="1" t="s">
        <v>7103</v>
      </c>
      <c r="F772" s="1" t="s">
        <v>7104</v>
      </c>
      <c r="G772" s="1" t="s">
        <v>958</v>
      </c>
      <c r="H772" s="1" t="s">
        <v>7105</v>
      </c>
      <c r="I772" s="1" t="s">
        <v>1476</v>
      </c>
      <c r="J772" s="1" t="s">
        <v>7106</v>
      </c>
      <c r="K772" s="1" t="s">
        <v>1089</v>
      </c>
      <c r="L772" s="1" t="s">
        <v>7107</v>
      </c>
      <c r="M772" s="1" t="s">
        <v>7108</v>
      </c>
      <c r="N772" s="1">
        <v>25</v>
      </c>
    </row>
    <row r="773" spans="1:14" x14ac:dyDescent="0.25">
      <c r="A773" s="20" t="s">
        <v>781</v>
      </c>
      <c r="B773" s="1" t="s">
        <v>7109</v>
      </c>
      <c r="C773" s="1" t="s">
        <v>7110</v>
      </c>
      <c r="D773" s="1" t="s">
        <v>7111</v>
      </c>
      <c r="E773" s="1" t="s">
        <v>7112</v>
      </c>
      <c r="F773" s="1" t="s">
        <v>7113</v>
      </c>
      <c r="G773" s="1" t="s">
        <v>958</v>
      </c>
      <c r="H773" s="1" t="s">
        <v>1216</v>
      </c>
      <c r="I773" s="1" t="s">
        <v>1060</v>
      </c>
      <c r="J773" s="1" t="s">
        <v>7114</v>
      </c>
      <c r="K773" s="1" t="s">
        <v>1496</v>
      </c>
      <c r="L773" s="1" t="s">
        <v>4411</v>
      </c>
      <c r="M773" s="1" t="s">
        <v>7115</v>
      </c>
      <c r="N773" s="1">
        <v>25</v>
      </c>
    </row>
    <row r="774" spans="1:14" x14ac:dyDescent="0.25">
      <c r="A774" s="20" t="s">
        <v>782</v>
      </c>
      <c r="B774" s="1" t="s">
        <v>7116</v>
      </c>
      <c r="C774" s="1" t="s">
        <v>7117</v>
      </c>
      <c r="D774" s="1" t="s">
        <v>7118</v>
      </c>
      <c r="E774" s="1" t="s">
        <v>7119</v>
      </c>
      <c r="F774" s="1" t="s">
        <v>7120</v>
      </c>
      <c r="G774" s="1" t="s">
        <v>958</v>
      </c>
      <c r="H774" s="1" t="s">
        <v>7121</v>
      </c>
      <c r="I774" s="1" t="s">
        <v>6135</v>
      </c>
      <c r="J774" s="1" t="s">
        <v>7122</v>
      </c>
      <c r="K774" s="1" t="s">
        <v>915</v>
      </c>
      <c r="L774" s="1" t="s">
        <v>926</v>
      </c>
      <c r="M774" s="1" t="s">
        <v>7123</v>
      </c>
      <c r="N774" s="1">
        <v>25</v>
      </c>
    </row>
    <row r="775" spans="1:14" x14ac:dyDescent="0.25">
      <c r="A775" s="20" t="s">
        <v>783</v>
      </c>
      <c r="B775" s="1" t="s">
        <v>7124</v>
      </c>
      <c r="C775" s="1" t="s">
        <v>7125</v>
      </c>
      <c r="D775" s="1" t="s">
        <v>7126</v>
      </c>
      <c r="E775" s="1" t="s">
        <v>7127</v>
      </c>
      <c r="F775" s="1" t="s">
        <v>7128</v>
      </c>
      <c r="G775" s="1" t="s">
        <v>958</v>
      </c>
      <c r="H775" s="1" t="s">
        <v>1051</v>
      </c>
      <c r="I775" s="1" t="s">
        <v>979</v>
      </c>
      <c r="J775" s="1" t="s">
        <v>7129</v>
      </c>
      <c r="K775" s="1" t="s">
        <v>5</v>
      </c>
      <c r="L775" s="1" t="s">
        <v>7130</v>
      </c>
      <c r="M775" s="1" t="s">
        <v>7131</v>
      </c>
      <c r="N775" s="1">
        <v>25</v>
      </c>
    </row>
    <row r="776" spans="1:14" x14ac:dyDescent="0.25">
      <c r="A776" s="20" t="s">
        <v>784</v>
      </c>
      <c r="B776" s="1" t="s">
        <v>7132</v>
      </c>
      <c r="C776" s="1" t="s">
        <v>7133</v>
      </c>
      <c r="D776" s="1" t="s">
        <v>7134</v>
      </c>
      <c r="E776" s="1" t="s">
        <v>7135</v>
      </c>
      <c r="F776" s="1" t="s">
        <v>7136</v>
      </c>
      <c r="G776" s="1" t="s">
        <v>958</v>
      </c>
      <c r="H776" s="1" t="s">
        <v>7137</v>
      </c>
      <c r="I776" s="1" t="s">
        <v>1087</v>
      </c>
      <c r="J776" s="1" t="s">
        <v>7138</v>
      </c>
      <c r="K776" s="1" t="s">
        <v>1478</v>
      </c>
      <c r="L776" s="1" t="s">
        <v>7139</v>
      </c>
      <c r="M776" s="1" t="s">
        <v>7140</v>
      </c>
      <c r="N776" s="1">
        <v>25</v>
      </c>
    </row>
    <row r="777" spans="1:14" x14ac:dyDescent="0.25">
      <c r="A777" s="20" t="s">
        <v>785</v>
      </c>
      <c r="B777" s="1" t="s">
        <v>7141</v>
      </c>
      <c r="C777" s="1" t="s">
        <v>6476</v>
      </c>
      <c r="D777" s="1" t="s">
        <v>6477</v>
      </c>
      <c r="E777" s="1" t="s">
        <v>7142</v>
      </c>
      <c r="F777" s="1" t="s">
        <v>7143</v>
      </c>
      <c r="G777" s="1" t="s">
        <v>958</v>
      </c>
      <c r="H777" s="1" t="s">
        <v>1009</v>
      </c>
      <c r="I777" s="1" t="s">
        <v>1009</v>
      </c>
      <c r="J777" s="1" t="s">
        <v>7144</v>
      </c>
      <c r="K777" s="1" t="s">
        <v>915</v>
      </c>
      <c r="L777" s="1" t="s">
        <v>6481</v>
      </c>
      <c r="M777" s="1" t="s">
        <v>7145</v>
      </c>
      <c r="N777" s="1">
        <v>25</v>
      </c>
    </row>
    <row r="778" spans="1:14" x14ac:dyDescent="0.25">
      <c r="A778" s="20" t="s">
        <v>786</v>
      </c>
      <c r="B778" s="1" t="s">
        <v>7146</v>
      </c>
      <c r="C778" s="1" t="s">
        <v>7147</v>
      </c>
      <c r="D778" s="1" t="s">
        <v>7148</v>
      </c>
      <c r="E778" s="1" t="s">
        <v>7149</v>
      </c>
      <c r="F778" s="1" t="s">
        <v>7150</v>
      </c>
      <c r="G778" s="1" t="s">
        <v>958</v>
      </c>
      <c r="H778" s="1" t="s">
        <v>7151</v>
      </c>
      <c r="I778" s="1" t="s">
        <v>1287</v>
      </c>
      <c r="J778" s="1" t="s">
        <v>7152</v>
      </c>
      <c r="K778" s="1" t="s">
        <v>2</v>
      </c>
      <c r="L778" s="1" t="s">
        <v>4162</v>
      </c>
      <c r="M778" s="1" t="s">
        <v>7153</v>
      </c>
      <c r="N778" s="1">
        <v>100</v>
      </c>
    </row>
    <row r="779" spans="1:14" x14ac:dyDescent="0.25">
      <c r="A779" s="20" t="s">
        <v>787</v>
      </c>
      <c r="B779" s="1" t="s">
        <v>7154</v>
      </c>
      <c r="C779" s="1" t="s">
        <v>7155</v>
      </c>
      <c r="D779" s="1" t="s">
        <v>7156</v>
      </c>
      <c r="E779" s="1" t="s">
        <v>7157</v>
      </c>
      <c r="F779" s="1" t="s">
        <v>7158</v>
      </c>
      <c r="G779" s="1" t="s">
        <v>958</v>
      </c>
      <c r="H779" s="1" t="s">
        <v>1545</v>
      </c>
      <c r="I779" s="1" t="s">
        <v>1546</v>
      </c>
      <c r="J779" s="1" t="s">
        <v>7159</v>
      </c>
      <c r="K779" s="1" t="s">
        <v>910</v>
      </c>
      <c r="L779" s="1" t="s">
        <v>7160</v>
      </c>
      <c r="M779" s="1" t="s">
        <v>7161</v>
      </c>
      <c r="N779" s="1">
        <v>100</v>
      </c>
    </row>
    <row r="780" spans="1:14" x14ac:dyDescent="0.25">
      <c r="A780" s="20" t="s">
        <v>788</v>
      </c>
      <c r="B780" s="1" t="s">
        <v>7162</v>
      </c>
      <c r="C780" s="1" t="s">
        <v>7163</v>
      </c>
      <c r="D780" s="1" t="s">
        <v>7164</v>
      </c>
      <c r="E780" s="1" t="s">
        <v>7165</v>
      </c>
      <c r="F780" s="1" t="s">
        <v>7166</v>
      </c>
      <c r="G780" s="1" t="s">
        <v>958</v>
      </c>
      <c r="H780" s="1" t="s">
        <v>1591</v>
      </c>
      <c r="I780" s="1" t="s">
        <v>1591</v>
      </c>
      <c r="J780" s="1" t="s">
        <v>7167</v>
      </c>
      <c r="K780" s="1" t="s">
        <v>2</v>
      </c>
      <c r="L780" s="1" t="s">
        <v>7168</v>
      </c>
      <c r="M780" s="1" t="s">
        <v>7169</v>
      </c>
      <c r="N780" s="1">
        <v>100</v>
      </c>
    </row>
    <row r="781" spans="1:14" x14ac:dyDescent="0.25">
      <c r="A781" s="20" t="s">
        <v>789</v>
      </c>
      <c r="B781" s="1" t="s">
        <v>7170</v>
      </c>
      <c r="C781" s="1" t="s">
        <v>7171</v>
      </c>
      <c r="D781" s="1" t="s">
        <v>7172</v>
      </c>
      <c r="E781" s="1" t="s">
        <v>7173</v>
      </c>
      <c r="F781" s="1" t="s">
        <v>7174</v>
      </c>
      <c r="G781" s="1" t="s">
        <v>958</v>
      </c>
      <c r="H781" s="1" t="s">
        <v>7175</v>
      </c>
      <c r="I781" s="1" t="s">
        <v>4292</v>
      </c>
      <c r="J781" s="1" t="s">
        <v>7176</v>
      </c>
      <c r="K781" s="1" t="s">
        <v>915</v>
      </c>
      <c r="L781" s="1" t="s">
        <v>7177</v>
      </c>
      <c r="M781" s="1" t="s">
        <v>7178</v>
      </c>
      <c r="N781" s="1">
        <v>30</v>
      </c>
    </row>
    <row r="782" spans="1:14" x14ac:dyDescent="0.25">
      <c r="A782" s="20" t="s">
        <v>790</v>
      </c>
      <c r="B782" s="1" t="s">
        <v>7179</v>
      </c>
      <c r="C782" s="1" t="s">
        <v>7180</v>
      </c>
      <c r="D782" s="1" t="s">
        <v>7181</v>
      </c>
      <c r="E782" s="1" t="s">
        <v>7182</v>
      </c>
      <c r="F782" s="1" t="s">
        <v>7183</v>
      </c>
      <c r="G782" s="1" t="s">
        <v>958</v>
      </c>
      <c r="H782" s="1" t="s">
        <v>979</v>
      </c>
      <c r="I782" s="1" t="s">
        <v>979</v>
      </c>
      <c r="J782" s="1" t="s">
        <v>7184</v>
      </c>
      <c r="K782" s="1" t="s">
        <v>971</v>
      </c>
      <c r="L782" s="1" t="s">
        <v>7185</v>
      </c>
      <c r="M782" s="1" t="s">
        <v>7186</v>
      </c>
      <c r="N782" s="1">
        <v>25</v>
      </c>
    </row>
    <row r="783" spans="1:14" x14ac:dyDescent="0.25">
      <c r="A783" s="20" t="s">
        <v>791</v>
      </c>
      <c r="B783" s="1" t="s">
        <v>7187</v>
      </c>
      <c r="C783" s="1" t="s">
        <v>7188</v>
      </c>
      <c r="D783" s="1" t="s">
        <v>7189</v>
      </c>
      <c r="E783" s="1" t="s">
        <v>7190</v>
      </c>
      <c r="F783" s="1" t="s">
        <v>7191</v>
      </c>
      <c r="G783" s="1" t="s">
        <v>958</v>
      </c>
      <c r="H783" s="1" t="s">
        <v>1362</v>
      </c>
      <c r="I783" s="1" t="s">
        <v>1363</v>
      </c>
      <c r="J783" s="1" t="s">
        <v>7192</v>
      </c>
      <c r="K783" s="1" t="s">
        <v>4</v>
      </c>
      <c r="L783" s="1" t="s">
        <v>924</v>
      </c>
      <c r="M783" s="1" t="s">
        <v>7193</v>
      </c>
      <c r="N783" s="1">
        <v>25</v>
      </c>
    </row>
    <row r="784" spans="1:14" x14ac:dyDescent="0.25">
      <c r="A784" s="20" t="s">
        <v>792</v>
      </c>
      <c r="B784" s="1" t="s">
        <v>7194</v>
      </c>
      <c r="C784" s="1" t="s">
        <v>7195</v>
      </c>
      <c r="D784" s="1" t="s">
        <v>7196</v>
      </c>
      <c r="E784" s="1" t="s">
        <v>7197</v>
      </c>
      <c r="F784" s="1" t="s">
        <v>7198</v>
      </c>
      <c r="G784" s="1" t="s">
        <v>958</v>
      </c>
      <c r="H784" s="1" t="s">
        <v>7199</v>
      </c>
      <c r="I784" s="1" t="s">
        <v>1583</v>
      </c>
      <c r="J784" s="1" t="s">
        <v>7200</v>
      </c>
      <c r="K784" s="1" t="s">
        <v>915</v>
      </c>
      <c r="L784" s="1" t="s">
        <v>6576</v>
      </c>
      <c r="M784" s="1" t="s">
        <v>7201</v>
      </c>
      <c r="N784" s="1">
        <v>25</v>
      </c>
    </row>
    <row r="785" spans="1:14" x14ac:dyDescent="0.25">
      <c r="A785" s="20" t="s">
        <v>793</v>
      </c>
      <c r="B785" s="1" t="s">
        <v>7202</v>
      </c>
      <c r="C785" s="1" t="s">
        <v>7203</v>
      </c>
      <c r="D785" s="1" t="s">
        <v>7204</v>
      </c>
      <c r="E785" s="1" t="s">
        <v>7205</v>
      </c>
      <c r="F785" s="1" t="s">
        <v>7206</v>
      </c>
      <c r="G785" s="1" t="s">
        <v>7207</v>
      </c>
      <c r="H785" s="1" t="s">
        <v>1137</v>
      </c>
      <c r="I785" s="1" t="s">
        <v>979</v>
      </c>
      <c r="J785" s="1" t="s">
        <v>7208</v>
      </c>
      <c r="K785" s="1" t="s">
        <v>4</v>
      </c>
      <c r="L785" s="1" t="s">
        <v>7209</v>
      </c>
      <c r="M785" s="1" t="s">
        <v>7210</v>
      </c>
      <c r="N785" s="1">
        <v>200</v>
      </c>
    </row>
    <row r="786" spans="1:14" x14ac:dyDescent="0.25">
      <c r="A786" s="20" t="s">
        <v>794</v>
      </c>
      <c r="B786" s="1" t="s">
        <v>7211</v>
      </c>
      <c r="C786" s="1" t="s">
        <v>3953</v>
      </c>
      <c r="D786" s="1" t="s">
        <v>3954</v>
      </c>
      <c r="E786" s="1" t="s">
        <v>7212</v>
      </c>
      <c r="F786" s="1" t="s">
        <v>7213</v>
      </c>
      <c r="G786" s="1" t="s">
        <v>958</v>
      </c>
      <c r="H786" s="1" t="s">
        <v>7214</v>
      </c>
      <c r="I786" s="1" t="s">
        <v>2266</v>
      </c>
      <c r="J786" s="1" t="s">
        <v>2292</v>
      </c>
      <c r="K786" s="1" t="s">
        <v>909</v>
      </c>
      <c r="L786" s="1" t="s">
        <v>1237</v>
      </c>
      <c r="M786" s="1" t="s">
        <v>7215</v>
      </c>
      <c r="N786" s="1">
        <v>50</v>
      </c>
    </row>
    <row r="787" spans="1:14" x14ac:dyDescent="0.25">
      <c r="A787" s="20" t="s">
        <v>795</v>
      </c>
      <c r="B787" s="1" t="s">
        <v>7216</v>
      </c>
      <c r="C787" s="1" t="s">
        <v>7217</v>
      </c>
      <c r="D787" s="1" t="s">
        <v>7218</v>
      </c>
      <c r="E787" s="1" t="s">
        <v>7219</v>
      </c>
      <c r="F787" s="1" t="s">
        <v>7220</v>
      </c>
      <c r="G787" s="1" t="s">
        <v>958</v>
      </c>
      <c r="H787" s="1" t="s">
        <v>7221</v>
      </c>
      <c r="I787" s="1" t="s">
        <v>2044</v>
      </c>
      <c r="J787" s="1" t="s">
        <v>7222</v>
      </c>
      <c r="K787" s="1" t="s">
        <v>919</v>
      </c>
      <c r="L787" s="1" t="s">
        <v>3493</v>
      </c>
      <c r="M787" s="1" t="s">
        <v>7223</v>
      </c>
      <c r="N787" s="1">
        <v>25</v>
      </c>
    </row>
    <row r="788" spans="1:14" x14ac:dyDescent="0.25">
      <c r="A788" s="20" t="s">
        <v>796</v>
      </c>
      <c r="B788" s="1" t="s">
        <v>7224</v>
      </c>
      <c r="C788" s="1" t="s">
        <v>7225</v>
      </c>
      <c r="D788" s="1" t="s">
        <v>7226</v>
      </c>
      <c r="E788" s="1" t="s">
        <v>7227</v>
      </c>
      <c r="F788" s="1" t="s">
        <v>7228</v>
      </c>
      <c r="G788" s="1" t="s">
        <v>958</v>
      </c>
      <c r="H788" s="1" t="s">
        <v>7229</v>
      </c>
      <c r="I788" s="1" t="s">
        <v>4196</v>
      </c>
      <c r="J788" s="1" t="s">
        <v>7230</v>
      </c>
      <c r="K788" s="1" t="s">
        <v>971</v>
      </c>
      <c r="L788" s="1" t="s">
        <v>972</v>
      </c>
      <c r="M788" s="1" t="s">
        <v>7231</v>
      </c>
      <c r="N788" s="1">
        <v>25</v>
      </c>
    </row>
    <row r="789" spans="1:14" x14ac:dyDescent="0.25">
      <c r="A789" s="20" t="s">
        <v>797</v>
      </c>
      <c r="B789" s="1" t="s">
        <v>7232</v>
      </c>
      <c r="C789" s="1" t="s">
        <v>7233</v>
      </c>
      <c r="D789" s="1" t="s">
        <v>7234</v>
      </c>
      <c r="E789" s="1" t="s">
        <v>7235</v>
      </c>
      <c r="F789" s="1" t="s">
        <v>7236</v>
      </c>
      <c r="G789" s="1" t="s">
        <v>958</v>
      </c>
      <c r="H789" s="1" t="s">
        <v>1270</v>
      </c>
      <c r="I789" s="1" t="s">
        <v>1270</v>
      </c>
      <c r="J789" s="1" t="s">
        <v>7237</v>
      </c>
      <c r="K789" s="1" t="s">
        <v>1</v>
      </c>
      <c r="L789" s="1" t="s">
        <v>1846</v>
      </c>
      <c r="M789" s="1" t="s">
        <v>7238</v>
      </c>
      <c r="N789" s="1">
        <v>25</v>
      </c>
    </row>
    <row r="790" spans="1:14" x14ac:dyDescent="0.25">
      <c r="A790" s="20" t="s">
        <v>798</v>
      </c>
      <c r="B790" s="1" t="s">
        <v>7239</v>
      </c>
      <c r="C790" s="1" t="s">
        <v>7240</v>
      </c>
      <c r="D790" s="1" t="s">
        <v>7241</v>
      </c>
      <c r="E790" s="1" t="s">
        <v>7242</v>
      </c>
      <c r="F790" s="1" t="s">
        <v>7243</v>
      </c>
      <c r="G790" s="1" t="s">
        <v>958</v>
      </c>
      <c r="H790" s="1" t="s">
        <v>7244</v>
      </c>
      <c r="I790" s="1" t="s">
        <v>979</v>
      </c>
      <c r="J790" s="1" t="s">
        <v>7245</v>
      </c>
      <c r="K790" s="1" t="s">
        <v>915</v>
      </c>
      <c r="L790" s="1" t="s">
        <v>4935</v>
      </c>
      <c r="M790" s="1" t="s">
        <v>7246</v>
      </c>
      <c r="N790" s="1">
        <v>100</v>
      </c>
    </row>
    <row r="791" spans="1:14" x14ac:dyDescent="0.25">
      <c r="A791" s="20" t="s">
        <v>799</v>
      </c>
      <c r="B791" s="1" t="s">
        <v>7247</v>
      </c>
      <c r="C791" s="1" t="s">
        <v>7248</v>
      </c>
      <c r="D791" s="1" t="s">
        <v>7249</v>
      </c>
      <c r="E791" s="1" t="s">
        <v>7250</v>
      </c>
      <c r="F791" s="1" t="s">
        <v>7251</v>
      </c>
      <c r="G791" s="1" t="s">
        <v>958</v>
      </c>
      <c r="H791" s="1" t="s">
        <v>7252</v>
      </c>
      <c r="I791" s="1" t="s">
        <v>1116</v>
      </c>
      <c r="J791" s="1" t="s">
        <v>7253</v>
      </c>
      <c r="K791" s="1" t="s">
        <v>919</v>
      </c>
      <c r="L791" s="1" t="s">
        <v>1011</v>
      </c>
      <c r="M791" s="1" t="s">
        <v>7254</v>
      </c>
      <c r="N791" s="1">
        <v>500</v>
      </c>
    </row>
    <row r="792" spans="1:14" x14ac:dyDescent="0.25">
      <c r="A792" s="20" t="s">
        <v>800</v>
      </c>
      <c r="B792" s="1" t="s">
        <v>7255</v>
      </c>
      <c r="C792" s="1" t="s">
        <v>7256</v>
      </c>
      <c r="D792" s="1" t="s">
        <v>7257</v>
      </c>
      <c r="E792" s="1" t="s">
        <v>7258</v>
      </c>
      <c r="F792" s="1" t="s">
        <v>7259</v>
      </c>
      <c r="G792" s="1" t="s">
        <v>958</v>
      </c>
      <c r="H792" s="1" t="s">
        <v>7260</v>
      </c>
      <c r="I792" s="1" t="s">
        <v>1432</v>
      </c>
      <c r="J792" s="1" t="s">
        <v>7261</v>
      </c>
      <c r="K792" s="1" t="s">
        <v>915</v>
      </c>
      <c r="L792" s="1" t="s">
        <v>7262</v>
      </c>
      <c r="M792" s="1" t="s">
        <v>7263</v>
      </c>
      <c r="N792" s="1">
        <v>25</v>
      </c>
    </row>
    <row r="793" spans="1:14" x14ac:dyDescent="0.25">
      <c r="A793" s="20" t="s">
        <v>801</v>
      </c>
      <c r="B793" s="1" t="s">
        <v>7264</v>
      </c>
      <c r="C793" s="1" t="s">
        <v>7265</v>
      </c>
      <c r="D793" s="1" t="s">
        <v>7266</v>
      </c>
      <c r="E793" s="1" t="s">
        <v>7267</v>
      </c>
      <c r="F793" s="1" t="s">
        <v>7268</v>
      </c>
      <c r="G793" s="1" t="s">
        <v>958</v>
      </c>
      <c r="H793" s="1" t="s">
        <v>2243</v>
      </c>
      <c r="I793" s="1" t="s">
        <v>2243</v>
      </c>
      <c r="J793" s="1" t="s">
        <v>7269</v>
      </c>
      <c r="K793" s="1" t="s">
        <v>3</v>
      </c>
      <c r="L793" s="1" t="s">
        <v>7270</v>
      </c>
      <c r="M793" s="1" t="s">
        <v>7271</v>
      </c>
      <c r="N793" s="1">
        <v>25</v>
      </c>
    </row>
    <row r="794" spans="1:14" x14ac:dyDescent="0.25">
      <c r="A794" s="20" t="s">
        <v>802</v>
      </c>
      <c r="B794" s="1" t="s">
        <v>7272</v>
      </c>
      <c r="C794" s="1" t="s">
        <v>7273</v>
      </c>
      <c r="D794" s="1" t="s">
        <v>7274</v>
      </c>
      <c r="E794" s="1" t="s">
        <v>7275</v>
      </c>
      <c r="F794" s="1" t="s">
        <v>7276</v>
      </c>
      <c r="G794" s="1" t="s">
        <v>958</v>
      </c>
      <c r="H794" s="1" t="s">
        <v>7277</v>
      </c>
      <c r="I794" s="1" t="s">
        <v>1035</v>
      </c>
      <c r="J794" s="1" t="s">
        <v>7278</v>
      </c>
      <c r="K794" s="1" t="s">
        <v>915</v>
      </c>
      <c r="L794" s="1" t="s">
        <v>7279</v>
      </c>
      <c r="M794" s="1" t="s">
        <v>7280</v>
      </c>
      <c r="N794" s="1">
        <v>25</v>
      </c>
    </row>
    <row r="795" spans="1:14" x14ac:dyDescent="0.25">
      <c r="A795" s="20" t="s">
        <v>803</v>
      </c>
      <c r="B795" s="1" t="s">
        <v>7281</v>
      </c>
      <c r="C795" s="1" t="s">
        <v>7282</v>
      </c>
      <c r="D795" s="1" t="s">
        <v>7283</v>
      </c>
      <c r="E795" s="1" t="s">
        <v>7284</v>
      </c>
      <c r="F795" s="1" t="s">
        <v>7285</v>
      </c>
      <c r="G795" s="1" t="s">
        <v>958</v>
      </c>
      <c r="H795" s="1" t="s">
        <v>7286</v>
      </c>
      <c r="I795" s="1" t="s">
        <v>1353</v>
      </c>
      <c r="J795" s="1" t="s">
        <v>7287</v>
      </c>
      <c r="K795" s="1" t="s">
        <v>8</v>
      </c>
      <c r="L795" s="1" t="s">
        <v>1129</v>
      </c>
      <c r="M795" s="1" t="s">
        <v>7288</v>
      </c>
      <c r="N795" s="1">
        <v>1000</v>
      </c>
    </row>
    <row r="796" spans="1:14" x14ac:dyDescent="0.25">
      <c r="A796" s="20" t="s">
        <v>804</v>
      </c>
      <c r="B796" s="1" t="s">
        <v>7289</v>
      </c>
      <c r="C796" s="1" t="s">
        <v>7290</v>
      </c>
      <c r="D796" s="1" t="s">
        <v>7291</v>
      </c>
      <c r="E796" s="1" t="s">
        <v>7292</v>
      </c>
      <c r="F796" s="1" t="s">
        <v>7293</v>
      </c>
      <c r="G796" s="1" t="s">
        <v>958</v>
      </c>
      <c r="H796" s="1" t="s">
        <v>3387</v>
      </c>
      <c r="I796" s="1" t="s">
        <v>2405</v>
      </c>
      <c r="J796" s="1" t="s">
        <v>7294</v>
      </c>
      <c r="K796" s="1" t="s">
        <v>1218</v>
      </c>
      <c r="L796" s="1" t="s">
        <v>7295</v>
      </c>
      <c r="M796" s="1" t="s">
        <v>7296</v>
      </c>
      <c r="N796" s="1">
        <v>25</v>
      </c>
    </row>
    <row r="797" spans="1:14" x14ac:dyDescent="0.25">
      <c r="A797" s="20" t="s">
        <v>805</v>
      </c>
      <c r="B797" s="1" t="s">
        <v>7297</v>
      </c>
      <c r="C797" s="1" t="s">
        <v>7298</v>
      </c>
      <c r="D797" s="1" t="s">
        <v>7299</v>
      </c>
      <c r="E797" s="1" t="s">
        <v>7300</v>
      </c>
      <c r="F797" s="1" t="s">
        <v>7301</v>
      </c>
      <c r="G797" s="1" t="s">
        <v>7302</v>
      </c>
      <c r="H797" s="1" t="s">
        <v>979</v>
      </c>
      <c r="I797" s="1" t="s">
        <v>1287</v>
      </c>
      <c r="J797" s="1" t="s">
        <v>7303</v>
      </c>
      <c r="K797" s="1" t="s">
        <v>971</v>
      </c>
      <c r="L797" s="1" t="s">
        <v>7304</v>
      </c>
      <c r="M797" s="1" t="s">
        <v>7305</v>
      </c>
      <c r="N797" s="1">
        <v>25</v>
      </c>
    </row>
    <row r="798" spans="1:14" x14ac:dyDescent="0.25">
      <c r="A798" s="20" t="s">
        <v>806</v>
      </c>
      <c r="B798" s="1" t="s">
        <v>7306</v>
      </c>
      <c r="C798" s="1" t="s">
        <v>7307</v>
      </c>
      <c r="D798" s="1" t="s">
        <v>7308</v>
      </c>
      <c r="E798" s="1" t="s">
        <v>1214</v>
      </c>
      <c r="F798" s="1" t="s">
        <v>7309</v>
      </c>
      <c r="G798" s="1" t="s">
        <v>958</v>
      </c>
      <c r="H798" s="1" t="s">
        <v>3812</v>
      </c>
      <c r="I798" s="1" t="s">
        <v>2323</v>
      </c>
      <c r="J798" s="1" t="s">
        <v>7310</v>
      </c>
      <c r="K798" s="1" t="s">
        <v>1478</v>
      </c>
      <c r="L798" s="1" t="s">
        <v>7311</v>
      </c>
      <c r="M798" s="1" t="s">
        <v>7312</v>
      </c>
      <c r="N798" s="1">
        <v>50</v>
      </c>
    </row>
    <row r="799" spans="1:14" x14ac:dyDescent="0.25">
      <c r="A799" s="20" t="s">
        <v>807</v>
      </c>
      <c r="B799" s="1" t="s">
        <v>7313</v>
      </c>
      <c r="C799" s="1" t="s">
        <v>7314</v>
      </c>
      <c r="D799" s="1" t="s">
        <v>7315</v>
      </c>
      <c r="E799" s="1" t="s">
        <v>7316</v>
      </c>
      <c r="F799" s="1" t="s">
        <v>7317</v>
      </c>
      <c r="G799" s="1" t="s">
        <v>958</v>
      </c>
      <c r="H799" s="1" t="s">
        <v>7318</v>
      </c>
      <c r="I799" s="1" t="s">
        <v>1616</v>
      </c>
      <c r="J799" s="1" t="s">
        <v>7319</v>
      </c>
      <c r="K799" s="1" t="s">
        <v>1871</v>
      </c>
      <c r="L799" s="1" t="s">
        <v>7320</v>
      </c>
      <c r="M799" s="1" t="s">
        <v>7321</v>
      </c>
      <c r="N799" s="1">
        <v>25</v>
      </c>
    </row>
    <row r="800" spans="1:14" x14ac:dyDescent="0.25">
      <c r="A800" s="20" t="s">
        <v>808</v>
      </c>
      <c r="B800" s="1" t="s">
        <v>7322</v>
      </c>
      <c r="C800" s="1" t="s">
        <v>7323</v>
      </c>
      <c r="D800" s="1" t="s">
        <v>7324</v>
      </c>
      <c r="E800" s="1" t="s">
        <v>7325</v>
      </c>
      <c r="F800" s="1" t="s">
        <v>7326</v>
      </c>
      <c r="G800" s="1" t="s">
        <v>958</v>
      </c>
      <c r="H800" s="1" t="s">
        <v>7327</v>
      </c>
      <c r="I800" s="1" t="s">
        <v>2971</v>
      </c>
      <c r="J800" s="1" t="s">
        <v>7328</v>
      </c>
      <c r="K800" s="1" t="s">
        <v>4</v>
      </c>
      <c r="L800" s="1" t="s">
        <v>924</v>
      </c>
      <c r="M800" s="1" t="s">
        <v>7329</v>
      </c>
      <c r="N800" s="1">
        <v>50</v>
      </c>
    </row>
    <row r="801" spans="1:14" x14ac:dyDescent="0.25">
      <c r="A801" s="20" t="s">
        <v>809</v>
      </c>
      <c r="B801" s="1" t="s">
        <v>7330</v>
      </c>
      <c r="C801" s="1" t="s">
        <v>7331</v>
      </c>
      <c r="D801" s="1" t="s">
        <v>7332</v>
      </c>
      <c r="E801" s="1" t="s">
        <v>7333</v>
      </c>
      <c r="F801" s="1" t="s">
        <v>7334</v>
      </c>
      <c r="G801" s="1" t="s">
        <v>958</v>
      </c>
      <c r="H801" s="1" t="s">
        <v>7335</v>
      </c>
      <c r="I801" s="1" t="s">
        <v>1137</v>
      </c>
      <c r="J801" s="1" t="s">
        <v>7336</v>
      </c>
      <c r="K801" s="1" t="s">
        <v>8</v>
      </c>
      <c r="L801" s="1" t="s">
        <v>1941</v>
      </c>
      <c r="M801" s="1" t="s">
        <v>7337</v>
      </c>
      <c r="N801" s="1">
        <v>50</v>
      </c>
    </row>
    <row r="802" spans="1:14" x14ac:dyDescent="0.25">
      <c r="A802" s="20" t="s">
        <v>10</v>
      </c>
      <c r="B802" s="1" t="s">
        <v>7338</v>
      </c>
      <c r="C802" s="1" t="s">
        <v>6657</v>
      </c>
      <c r="D802" s="1" t="s">
        <v>7339</v>
      </c>
      <c r="E802" s="1" t="s">
        <v>7340</v>
      </c>
      <c r="F802" s="1" t="s">
        <v>7341</v>
      </c>
      <c r="G802" s="1" t="s">
        <v>958</v>
      </c>
      <c r="H802" s="1" t="s">
        <v>7342</v>
      </c>
      <c r="I802" s="1" t="s">
        <v>2266</v>
      </c>
      <c r="J802" s="1" t="s">
        <v>7343</v>
      </c>
      <c r="K802" s="1" t="s">
        <v>915</v>
      </c>
      <c r="L802" s="1" t="s">
        <v>4078</v>
      </c>
      <c r="M802" s="1" t="s">
        <v>7344</v>
      </c>
      <c r="N802" s="1">
        <v>100</v>
      </c>
    </row>
    <row r="803" spans="1:14" x14ac:dyDescent="0.25">
      <c r="A803" s="20" t="s">
        <v>810</v>
      </c>
      <c r="B803" s="1" t="s">
        <v>7345</v>
      </c>
      <c r="C803" s="1" t="s">
        <v>7346</v>
      </c>
      <c r="D803" s="1" t="s">
        <v>7347</v>
      </c>
      <c r="E803" s="1" t="s">
        <v>7348</v>
      </c>
      <c r="F803" s="1" t="s">
        <v>7349</v>
      </c>
      <c r="G803" s="1" t="s">
        <v>958</v>
      </c>
      <c r="H803" s="1" t="s">
        <v>7350</v>
      </c>
      <c r="I803" s="1" t="s">
        <v>1353</v>
      </c>
      <c r="J803" s="1" t="s">
        <v>7351</v>
      </c>
      <c r="K803" s="1" t="s">
        <v>919</v>
      </c>
      <c r="L803" s="1" t="s">
        <v>918</v>
      </c>
      <c r="M803" s="1" t="s">
        <v>7352</v>
      </c>
      <c r="N803" s="1">
        <v>100</v>
      </c>
    </row>
    <row r="804" spans="1:14" x14ac:dyDescent="0.25">
      <c r="A804" s="20" t="s">
        <v>811</v>
      </c>
      <c r="B804" s="1" t="s">
        <v>7353</v>
      </c>
      <c r="C804" s="1" t="s">
        <v>7354</v>
      </c>
      <c r="D804" s="1" t="s">
        <v>7355</v>
      </c>
      <c r="E804" s="1" t="s">
        <v>7356</v>
      </c>
      <c r="F804" s="1" t="s">
        <v>7357</v>
      </c>
      <c r="G804" s="1" t="s">
        <v>958</v>
      </c>
      <c r="H804" s="1" t="s">
        <v>7358</v>
      </c>
      <c r="I804" s="1" t="s">
        <v>1546</v>
      </c>
      <c r="J804" s="1" t="s">
        <v>2541</v>
      </c>
      <c r="K804" s="1" t="s">
        <v>910</v>
      </c>
      <c r="L804" s="1" t="s">
        <v>1194</v>
      </c>
      <c r="M804" s="1" t="s">
        <v>7359</v>
      </c>
      <c r="N804" s="1">
        <v>25</v>
      </c>
    </row>
    <row r="805" spans="1:14" x14ac:dyDescent="0.25">
      <c r="A805" s="20" t="s">
        <v>812</v>
      </c>
      <c r="B805" s="1" t="s">
        <v>7360</v>
      </c>
      <c r="C805" s="1" t="s">
        <v>7361</v>
      </c>
      <c r="D805" s="1" t="s">
        <v>7362</v>
      </c>
      <c r="E805" s="1" t="s">
        <v>7363</v>
      </c>
      <c r="F805" s="1" t="s">
        <v>7364</v>
      </c>
      <c r="G805" s="1" t="s">
        <v>958</v>
      </c>
      <c r="H805" s="1" t="s">
        <v>4426</v>
      </c>
      <c r="I805" s="1" t="s">
        <v>979</v>
      </c>
      <c r="J805" s="1" t="s">
        <v>7365</v>
      </c>
      <c r="K805" s="1" t="s">
        <v>915</v>
      </c>
      <c r="L805" s="1" t="s">
        <v>4532</v>
      </c>
      <c r="M805" s="1" t="s">
        <v>7366</v>
      </c>
      <c r="N805" s="1">
        <v>25</v>
      </c>
    </row>
    <row r="806" spans="1:14" x14ac:dyDescent="0.25">
      <c r="A806" s="20" t="s">
        <v>813</v>
      </c>
      <c r="B806" s="1" t="s">
        <v>7367</v>
      </c>
      <c r="C806" s="1" t="s">
        <v>7368</v>
      </c>
      <c r="D806" s="1" t="s">
        <v>5167</v>
      </c>
      <c r="E806" s="1" t="s">
        <v>7369</v>
      </c>
      <c r="F806" s="1" t="s">
        <v>7370</v>
      </c>
      <c r="G806" s="1" t="s">
        <v>958</v>
      </c>
      <c r="H806" s="1" t="s">
        <v>1137</v>
      </c>
      <c r="I806" s="1" t="s">
        <v>979</v>
      </c>
      <c r="J806" s="1" t="s">
        <v>7371</v>
      </c>
      <c r="K806" s="1" t="s">
        <v>910</v>
      </c>
      <c r="L806" s="1" t="s">
        <v>3510</v>
      </c>
      <c r="M806" s="1" t="s">
        <v>7372</v>
      </c>
      <c r="N806" s="1">
        <v>50</v>
      </c>
    </row>
    <row r="807" spans="1:14" x14ac:dyDescent="0.25">
      <c r="A807" s="20" t="s">
        <v>814</v>
      </c>
      <c r="B807" s="1" t="s">
        <v>7373</v>
      </c>
      <c r="C807" s="1" t="s">
        <v>7374</v>
      </c>
      <c r="D807" s="1" t="s">
        <v>7375</v>
      </c>
      <c r="E807" s="1" t="s">
        <v>7376</v>
      </c>
      <c r="F807" s="1" t="s">
        <v>7377</v>
      </c>
      <c r="G807" s="1" t="s">
        <v>958</v>
      </c>
      <c r="H807" s="1" t="s">
        <v>7378</v>
      </c>
      <c r="I807" s="1" t="s">
        <v>6135</v>
      </c>
      <c r="J807" s="1" t="s">
        <v>1185</v>
      </c>
      <c r="K807" s="1" t="s">
        <v>909</v>
      </c>
      <c r="L807" s="1" t="s">
        <v>1237</v>
      </c>
      <c r="M807" s="1" t="s">
        <v>7379</v>
      </c>
      <c r="N807" s="1">
        <v>25</v>
      </c>
    </row>
    <row r="808" spans="1:14" x14ac:dyDescent="0.25">
      <c r="A808" s="20" t="s">
        <v>815</v>
      </c>
      <c r="B808" s="1" t="s">
        <v>7380</v>
      </c>
      <c r="C808" s="1" t="s">
        <v>7381</v>
      </c>
      <c r="D808" s="1" t="s">
        <v>7382</v>
      </c>
      <c r="E808" s="1" t="s">
        <v>7383</v>
      </c>
      <c r="F808" s="1" t="s">
        <v>7384</v>
      </c>
      <c r="G808" s="1" t="s">
        <v>958</v>
      </c>
      <c r="H808" s="1" t="s">
        <v>1725</v>
      </c>
      <c r="I808" s="1" t="s">
        <v>1725</v>
      </c>
      <c r="J808" s="1" t="s">
        <v>7385</v>
      </c>
      <c r="K808" s="1" t="s">
        <v>8</v>
      </c>
      <c r="L808" s="1" t="s">
        <v>1020</v>
      </c>
      <c r="M808" s="1" t="s">
        <v>7386</v>
      </c>
      <c r="N808" s="1">
        <v>50</v>
      </c>
    </row>
    <row r="809" spans="1:14" x14ac:dyDescent="0.25">
      <c r="A809" s="20" t="s">
        <v>816</v>
      </c>
      <c r="B809" s="1" t="s">
        <v>7387</v>
      </c>
      <c r="C809" s="1" t="s">
        <v>7388</v>
      </c>
      <c r="D809" s="1" t="s">
        <v>7389</v>
      </c>
      <c r="E809" s="1" t="s">
        <v>7390</v>
      </c>
      <c r="F809" s="1" t="s">
        <v>7391</v>
      </c>
      <c r="G809" s="1" t="s">
        <v>958</v>
      </c>
      <c r="H809" s="1" t="s">
        <v>2234</v>
      </c>
      <c r="I809" s="1" t="s">
        <v>2848</v>
      </c>
      <c r="J809" s="1" t="s">
        <v>7392</v>
      </c>
      <c r="K809" s="1" t="s">
        <v>1637</v>
      </c>
      <c r="L809" s="1" t="s">
        <v>2316</v>
      </c>
      <c r="M809" s="1" t="s">
        <v>7393</v>
      </c>
      <c r="N809" s="1">
        <v>200</v>
      </c>
    </row>
    <row r="810" spans="1:14" x14ac:dyDescent="0.25">
      <c r="A810" s="20" t="s">
        <v>817</v>
      </c>
      <c r="B810" s="1" t="s">
        <v>7394</v>
      </c>
      <c r="C810" s="1" t="s">
        <v>7395</v>
      </c>
      <c r="D810" s="1" t="s">
        <v>7396</v>
      </c>
      <c r="E810" s="1" t="s">
        <v>7397</v>
      </c>
      <c r="F810" s="1" t="s">
        <v>7398</v>
      </c>
      <c r="G810" s="1" t="s">
        <v>958</v>
      </c>
      <c r="H810" s="1" t="s">
        <v>1136</v>
      </c>
      <c r="I810" s="1" t="s">
        <v>979</v>
      </c>
      <c r="J810" s="1" t="s">
        <v>7399</v>
      </c>
      <c r="K810" s="1" t="s">
        <v>4</v>
      </c>
      <c r="L810" s="1" t="s">
        <v>924</v>
      </c>
      <c r="M810" s="1" t="s">
        <v>7400</v>
      </c>
      <c r="N810" s="1">
        <v>25</v>
      </c>
    </row>
    <row r="811" spans="1:14" x14ac:dyDescent="0.25">
      <c r="A811" s="20" t="s">
        <v>818</v>
      </c>
      <c r="B811" s="1" t="s">
        <v>7401</v>
      </c>
      <c r="C811" s="1" t="s">
        <v>7402</v>
      </c>
      <c r="D811" s="1" t="s">
        <v>7403</v>
      </c>
      <c r="E811" s="1" t="s">
        <v>7404</v>
      </c>
      <c r="F811" s="1" t="s">
        <v>7405</v>
      </c>
      <c r="G811" s="1" t="s">
        <v>7406</v>
      </c>
      <c r="H811" s="1" t="s">
        <v>7407</v>
      </c>
      <c r="I811" s="1" t="s">
        <v>1298</v>
      </c>
      <c r="J811" s="1" t="s">
        <v>7408</v>
      </c>
      <c r="K811" s="1" t="s">
        <v>909</v>
      </c>
      <c r="L811" s="1" t="s">
        <v>1237</v>
      </c>
      <c r="M811" s="1" t="s">
        <v>7409</v>
      </c>
      <c r="N811" s="1">
        <v>25</v>
      </c>
    </row>
    <row r="812" spans="1:14" x14ac:dyDescent="0.25">
      <c r="A812" s="20" t="s">
        <v>819</v>
      </c>
      <c r="B812" s="1" t="s">
        <v>7410</v>
      </c>
      <c r="C812" s="1" t="s">
        <v>7411</v>
      </c>
      <c r="D812" s="1" t="s">
        <v>7412</v>
      </c>
      <c r="E812" s="1" t="s">
        <v>7413</v>
      </c>
      <c r="F812" s="1" t="s">
        <v>7414</v>
      </c>
      <c r="G812" s="1" t="s">
        <v>958</v>
      </c>
      <c r="H812" s="1" t="s">
        <v>1715</v>
      </c>
      <c r="I812" s="1" t="s">
        <v>2087</v>
      </c>
      <c r="K812" s="1" t="s">
        <v>1673</v>
      </c>
      <c r="L812" s="1" t="s">
        <v>7415</v>
      </c>
      <c r="M812" s="1" t="s">
        <v>7416</v>
      </c>
      <c r="N812" s="1">
        <v>25</v>
      </c>
    </row>
    <row r="813" spans="1:14" x14ac:dyDescent="0.25">
      <c r="A813" s="20" t="s">
        <v>820</v>
      </c>
      <c r="B813" s="1" t="s">
        <v>7417</v>
      </c>
      <c r="C813" s="1" t="s">
        <v>7418</v>
      </c>
      <c r="D813" s="1" t="s">
        <v>7419</v>
      </c>
      <c r="E813" s="1" t="s">
        <v>7420</v>
      </c>
      <c r="F813" s="1" t="s">
        <v>7421</v>
      </c>
      <c r="G813" s="1" t="s">
        <v>958</v>
      </c>
      <c r="H813" s="1" t="s">
        <v>979</v>
      </c>
      <c r="I813" s="1" t="s">
        <v>979</v>
      </c>
      <c r="J813" s="1" t="s">
        <v>7422</v>
      </c>
      <c r="K813" s="1" t="s">
        <v>4</v>
      </c>
      <c r="L813" s="1" t="s">
        <v>1949</v>
      </c>
      <c r="M813" s="1" t="s">
        <v>7423</v>
      </c>
      <c r="N813" s="1">
        <v>25</v>
      </c>
    </row>
    <row r="814" spans="1:14" x14ac:dyDescent="0.25">
      <c r="A814" s="20" t="s">
        <v>821</v>
      </c>
      <c r="B814" s="1" t="s">
        <v>7424</v>
      </c>
      <c r="C814" s="1" t="s">
        <v>7425</v>
      </c>
      <c r="D814" s="1" t="s">
        <v>7426</v>
      </c>
      <c r="E814" s="1" t="s">
        <v>7427</v>
      </c>
      <c r="F814" s="1" t="s">
        <v>7428</v>
      </c>
      <c r="G814" s="1" t="s">
        <v>958</v>
      </c>
      <c r="H814" s="1" t="s">
        <v>7429</v>
      </c>
      <c r="I814" s="1" t="s">
        <v>3882</v>
      </c>
      <c r="J814" s="1" t="s">
        <v>7430</v>
      </c>
      <c r="K814" s="1" t="s">
        <v>1478</v>
      </c>
      <c r="L814" s="1" t="s">
        <v>7431</v>
      </c>
      <c r="M814" s="1" t="s">
        <v>7432</v>
      </c>
      <c r="N814" s="1">
        <v>25</v>
      </c>
    </row>
    <row r="815" spans="1:14" x14ac:dyDescent="0.25">
      <c r="A815" s="20" t="s">
        <v>822</v>
      </c>
      <c r="B815" s="1" t="s">
        <v>7433</v>
      </c>
      <c r="C815" s="1" t="s">
        <v>7434</v>
      </c>
      <c r="D815" s="1" t="s">
        <v>7435</v>
      </c>
      <c r="E815" s="1" t="s">
        <v>7436</v>
      </c>
      <c r="F815" s="1" t="s">
        <v>7437</v>
      </c>
      <c r="G815" s="1" t="s">
        <v>958</v>
      </c>
      <c r="H815" s="1" t="s">
        <v>3797</v>
      </c>
      <c r="I815" s="1" t="s">
        <v>1236</v>
      </c>
      <c r="J815" s="1" t="s">
        <v>7438</v>
      </c>
      <c r="K815" s="1" t="s">
        <v>915</v>
      </c>
      <c r="L815" s="1" t="s">
        <v>7439</v>
      </c>
      <c r="M815" s="1" t="s">
        <v>7440</v>
      </c>
      <c r="N815" s="1">
        <v>300</v>
      </c>
    </row>
    <row r="816" spans="1:14" x14ac:dyDescent="0.25">
      <c r="A816" s="20" t="s">
        <v>823</v>
      </c>
      <c r="B816" s="1" t="s">
        <v>7441</v>
      </c>
      <c r="C816" s="1" t="s">
        <v>7442</v>
      </c>
      <c r="D816" s="1" t="s">
        <v>7443</v>
      </c>
      <c r="E816" s="1" t="s">
        <v>7444</v>
      </c>
      <c r="F816" s="1" t="s">
        <v>7445</v>
      </c>
      <c r="G816" s="1" t="s">
        <v>958</v>
      </c>
      <c r="H816" s="1" t="s">
        <v>7446</v>
      </c>
      <c r="I816" s="1" t="s">
        <v>1116</v>
      </c>
      <c r="J816" s="1" t="s">
        <v>7447</v>
      </c>
      <c r="K816" s="1" t="s">
        <v>1478</v>
      </c>
      <c r="L816" s="1" t="s">
        <v>7448</v>
      </c>
      <c r="M816" s="1" t="s">
        <v>7449</v>
      </c>
      <c r="N816" s="1">
        <v>25</v>
      </c>
    </row>
    <row r="817" spans="1:14" x14ac:dyDescent="0.25">
      <c r="A817" s="20" t="s">
        <v>824</v>
      </c>
      <c r="B817" s="1" t="s">
        <v>7450</v>
      </c>
      <c r="C817" s="1" t="s">
        <v>7451</v>
      </c>
      <c r="D817" s="1" t="s">
        <v>7452</v>
      </c>
      <c r="E817" s="1" t="s">
        <v>7453</v>
      </c>
      <c r="F817" s="1" t="s">
        <v>7454</v>
      </c>
      <c r="G817" s="1" t="s">
        <v>958</v>
      </c>
      <c r="H817" s="1" t="s">
        <v>979</v>
      </c>
      <c r="I817" s="1" t="s">
        <v>979</v>
      </c>
      <c r="J817" s="1" t="s">
        <v>7455</v>
      </c>
      <c r="K817" s="1" t="s">
        <v>4</v>
      </c>
      <c r="L817" s="1" t="s">
        <v>924</v>
      </c>
      <c r="M817" s="1" t="s">
        <v>7456</v>
      </c>
      <c r="N817" s="1">
        <v>25</v>
      </c>
    </row>
    <row r="818" spans="1:14" x14ac:dyDescent="0.25">
      <c r="A818" s="20" t="s">
        <v>825</v>
      </c>
      <c r="B818" s="1" t="s">
        <v>7457</v>
      </c>
      <c r="C818" s="1" t="s">
        <v>7458</v>
      </c>
      <c r="D818" s="1" t="s">
        <v>7459</v>
      </c>
      <c r="E818" s="1" t="s">
        <v>7460</v>
      </c>
      <c r="F818" s="1" t="s">
        <v>7461</v>
      </c>
      <c r="G818" s="1" t="s">
        <v>958</v>
      </c>
      <c r="H818" s="1" t="s">
        <v>1018</v>
      </c>
      <c r="I818" s="1" t="s">
        <v>1116</v>
      </c>
      <c r="J818" s="1" t="s">
        <v>7462</v>
      </c>
      <c r="K818" s="1" t="s">
        <v>1637</v>
      </c>
      <c r="L818" s="1" t="s">
        <v>7463</v>
      </c>
      <c r="M818" s="1" t="s">
        <v>7464</v>
      </c>
      <c r="N818" s="1">
        <v>25</v>
      </c>
    </row>
    <row r="819" spans="1:14" x14ac:dyDescent="0.25">
      <c r="A819" s="20" t="s">
        <v>826</v>
      </c>
      <c r="B819" s="1" t="s">
        <v>7465</v>
      </c>
      <c r="C819" s="1" t="s">
        <v>7466</v>
      </c>
      <c r="D819" s="1" t="s">
        <v>7467</v>
      </c>
      <c r="E819" s="1" t="s">
        <v>7468</v>
      </c>
      <c r="F819" s="1" t="s">
        <v>7469</v>
      </c>
      <c r="G819" s="1" t="s">
        <v>958</v>
      </c>
      <c r="H819" s="1" t="s">
        <v>1018</v>
      </c>
      <c r="I819" s="1" t="s">
        <v>1116</v>
      </c>
      <c r="J819" s="1" t="s">
        <v>7470</v>
      </c>
      <c r="K819" s="1" t="s">
        <v>4</v>
      </c>
      <c r="L819" s="1" t="s">
        <v>2700</v>
      </c>
      <c r="M819" s="1" t="s">
        <v>7471</v>
      </c>
      <c r="N819" s="1">
        <v>200</v>
      </c>
    </row>
    <row r="820" spans="1:14" x14ac:dyDescent="0.25">
      <c r="A820" s="20" t="s">
        <v>827</v>
      </c>
      <c r="B820" s="1" t="s">
        <v>7472</v>
      </c>
      <c r="C820" s="1" t="s">
        <v>7473</v>
      </c>
      <c r="D820" s="1" t="s">
        <v>7474</v>
      </c>
      <c r="E820" s="1" t="s">
        <v>7475</v>
      </c>
      <c r="F820" s="1" t="s">
        <v>7476</v>
      </c>
      <c r="G820" s="1" t="s">
        <v>958</v>
      </c>
      <c r="H820" s="1" t="s">
        <v>1059</v>
      </c>
      <c r="I820" s="1" t="s">
        <v>1060</v>
      </c>
      <c r="J820" s="1" t="s">
        <v>7477</v>
      </c>
      <c r="K820" s="1" t="s">
        <v>971</v>
      </c>
      <c r="L820" s="1" t="s">
        <v>972</v>
      </c>
      <c r="M820" s="1" t="s">
        <v>7478</v>
      </c>
      <c r="N820" s="1">
        <v>25</v>
      </c>
    </row>
    <row r="821" spans="1:14" x14ac:dyDescent="0.25">
      <c r="A821" s="20" t="s">
        <v>828</v>
      </c>
      <c r="B821" s="1" t="s">
        <v>7479</v>
      </c>
      <c r="C821" s="1" t="s">
        <v>7480</v>
      </c>
      <c r="D821" s="1" t="s">
        <v>7481</v>
      </c>
      <c r="E821" s="1" t="s">
        <v>7482</v>
      </c>
      <c r="F821" s="1" t="s">
        <v>7483</v>
      </c>
      <c r="G821" s="1" t="s">
        <v>958</v>
      </c>
      <c r="H821" s="1" t="s">
        <v>2413</v>
      </c>
      <c r="I821" s="1" t="s">
        <v>2209</v>
      </c>
      <c r="J821" s="1" t="s">
        <v>7484</v>
      </c>
      <c r="K821" s="1" t="s">
        <v>8</v>
      </c>
      <c r="L821" s="1" t="s">
        <v>7485</v>
      </c>
      <c r="M821" s="1" t="s">
        <v>7486</v>
      </c>
      <c r="N821" s="1">
        <v>25</v>
      </c>
    </row>
    <row r="822" spans="1:14" x14ac:dyDescent="0.25">
      <c r="A822" s="20" t="s">
        <v>829</v>
      </c>
      <c r="B822" s="1" t="s">
        <v>7487</v>
      </c>
      <c r="C822" s="1" t="s">
        <v>7488</v>
      </c>
      <c r="D822" s="1" t="s">
        <v>7489</v>
      </c>
      <c r="E822" s="1" t="s">
        <v>7490</v>
      </c>
      <c r="F822" s="1" t="s">
        <v>7491</v>
      </c>
      <c r="G822" s="1" t="s">
        <v>958</v>
      </c>
      <c r="H822" s="1" t="s">
        <v>3182</v>
      </c>
      <c r="I822" s="1" t="s">
        <v>2515</v>
      </c>
      <c r="J822" s="1" t="s">
        <v>7492</v>
      </c>
      <c r="K822" s="1" t="s">
        <v>909</v>
      </c>
      <c r="L822" s="1" t="s">
        <v>1237</v>
      </c>
      <c r="M822" s="1" t="s">
        <v>7493</v>
      </c>
      <c r="N822" s="1">
        <v>40</v>
      </c>
    </row>
    <row r="823" spans="1:14" x14ac:dyDescent="0.25">
      <c r="A823" s="20" t="s">
        <v>830</v>
      </c>
      <c r="B823" s="1" t="s">
        <v>7494</v>
      </c>
      <c r="C823" s="1" t="s">
        <v>7495</v>
      </c>
      <c r="D823" s="1" t="s">
        <v>7489</v>
      </c>
      <c r="E823" s="1" t="s">
        <v>7490</v>
      </c>
      <c r="F823" s="1" t="s">
        <v>7496</v>
      </c>
      <c r="G823" s="1" t="s">
        <v>958</v>
      </c>
      <c r="H823" s="1" t="s">
        <v>3182</v>
      </c>
      <c r="I823" s="1" t="s">
        <v>2515</v>
      </c>
      <c r="J823" s="1" t="s">
        <v>3183</v>
      </c>
      <c r="K823" s="1" t="s">
        <v>909</v>
      </c>
      <c r="L823" s="1" t="s">
        <v>1237</v>
      </c>
      <c r="M823" s="1" t="s">
        <v>7497</v>
      </c>
      <c r="N823" s="1">
        <v>120</v>
      </c>
    </row>
    <row r="824" spans="1:14" x14ac:dyDescent="0.25">
      <c r="A824" s="20" t="s">
        <v>831</v>
      </c>
      <c r="B824" s="1" t="s">
        <v>7498</v>
      </c>
      <c r="C824" s="1" t="s">
        <v>7499</v>
      </c>
      <c r="D824" s="1" t="s">
        <v>7500</v>
      </c>
      <c r="E824" s="1" t="s">
        <v>7501</v>
      </c>
      <c r="F824" s="1" t="s">
        <v>7502</v>
      </c>
      <c r="G824" s="1" t="s">
        <v>958</v>
      </c>
      <c r="H824" s="1" t="s">
        <v>7229</v>
      </c>
      <c r="I824" s="1" t="s">
        <v>4196</v>
      </c>
      <c r="J824" s="1" t="s">
        <v>7503</v>
      </c>
      <c r="K824" s="1" t="s">
        <v>4</v>
      </c>
      <c r="L824" s="1" t="s">
        <v>4261</v>
      </c>
      <c r="M824" s="1" t="s">
        <v>7504</v>
      </c>
      <c r="N824" s="1">
        <v>50</v>
      </c>
    </row>
    <row r="825" spans="1:14" x14ac:dyDescent="0.25">
      <c r="A825" s="20" t="s">
        <v>832</v>
      </c>
      <c r="B825" s="1" t="s">
        <v>7505</v>
      </c>
      <c r="C825" s="1" t="s">
        <v>7506</v>
      </c>
      <c r="D825" s="1" t="s">
        <v>7507</v>
      </c>
      <c r="E825" s="1" t="s">
        <v>7508</v>
      </c>
      <c r="F825" s="1" t="s">
        <v>7509</v>
      </c>
      <c r="G825" s="1" t="s">
        <v>958</v>
      </c>
      <c r="H825" s="1" t="s">
        <v>968</v>
      </c>
      <c r="I825" s="1" t="s">
        <v>2617</v>
      </c>
      <c r="J825" s="1" t="s">
        <v>7510</v>
      </c>
      <c r="K825" s="1" t="s">
        <v>919</v>
      </c>
      <c r="L825" s="1" t="s">
        <v>918</v>
      </c>
      <c r="M825" s="1" t="s">
        <v>7511</v>
      </c>
      <c r="N825" s="1">
        <v>25</v>
      </c>
    </row>
    <row r="826" spans="1:14" x14ac:dyDescent="0.25">
      <c r="A826" s="20" t="s">
        <v>833</v>
      </c>
      <c r="B826" s="1" t="s">
        <v>7512</v>
      </c>
      <c r="C826" s="1" t="s">
        <v>7513</v>
      </c>
      <c r="D826" s="1" t="s">
        <v>7514</v>
      </c>
      <c r="E826" s="1" t="s">
        <v>7515</v>
      </c>
      <c r="F826" s="1" t="s">
        <v>7516</v>
      </c>
      <c r="G826" s="1" t="s">
        <v>958</v>
      </c>
      <c r="H826" s="1" t="s">
        <v>7517</v>
      </c>
      <c r="I826" s="1" t="s">
        <v>979</v>
      </c>
      <c r="J826" s="1" t="s">
        <v>7518</v>
      </c>
      <c r="K826" s="1" t="s">
        <v>2506</v>
      </c>
      <c r="L826" s="1" t="s">
        <v>7519</v>
      </c>
      <c r="M826" s="1" t="s">
        <v>7520</v>
      </c>
      <c r="N826" s="1">
        <v>25</v>
      </c>
    </row>
    <row r="827" spans="1:14" x14ac:dyDescent="0.25">
      <c r="A827" s="20" t="s">
        <v>834</v>
      </c>
      <c r="B827" s="1" t="s">
        <v>7521</v>
      </c>
      <c r="C827" s="1" t="s">
        <v>7522</v>
      </c>
      <c r="D827" s="1" t="s">
        <v>7514</v>
      </c>
      <c r="E827" s="1" t="s">
        <v>7515</v>
      </c>
      <c r="F827" s="1" t="s">
        <v>7523</v>
      </c>
      <c r="G827" s="1" t="s">
        <v>7524</v>
      </c>
      <c r="H827" s="1" t="s">
        <v>7517</v>
      </c>
      <c r="I827" s="1" t="s">
        <v>979</v>
      </c>
      <c r="J827" s="1" t="s">
        <v>2505</v>
      </c>
      <c r="K827" s="1" t="s">
        <v>7525</v>
      </c>
      <c r="L827" s="1" t="s">
        <v>7526</v>
      </c>
      <c r="M827" s="1" t="s">
        <v>7527</v>
      </c>
      <c r="N827" s="1">
        <v>25</v>
      </c>
    </row>
    <row r="828" spans="1:14" x14ac:dyDescent="0.25">
      <c r="A828" s="20" t="s">
        <v>835</v>
      </c>
      <c r="B828" s="1" t="s">
        <v>7528</v>
      </c>
      <c r="C828" s="1" t="s">
        <v>7529</v>
      </c>
      <c r="D828" s="1" t="s">
        <v>7530</v>
      </c>
      <c r="E828" s="1" t="s">
        <v>7531</v>
      </c>
      <c r="F828" s="1" t="s">
        <v>7532</v>
      </c>
      <c r="G828" s="1" t="s">
        <v>958</v>
      </c>
      <c r="H828" s="1" t="s">
        <v>7533</v>
      </c>
      <c r="I828" s="1" t="s">
        <v>1476</v>
      </c>
      <c r="J828" s="1" t="s">
        <v>7534</v>
      </c>
      <c r="K828" s="1" t="s">
        <v>971</v>
      </c>
      <c r="L828" s="1" t="s">
        <v>7185</v>
      </c>
      <c r="M828" s="1" t="s">
        <v>7535</v>
      </c>
      <c r="N828" s="1">
        <v>25</v>
      </c>
    </row>
    <row r="829" spans="1:14" x14ac:dyDescent="0.25">
      <c r="A829" s="20" t="s">
        <v>836</v>
      </c>
      <c r="B829" s="1" t="s">
        <v>7536</v>
      </c>
      <c r="C829" s="1" t="s">
        <v>7537</v>
      </c>
      <c r="D829" s="1" t="s">
        <v>7538</v>
      </c>
      <c r="E829" s="1" t="s">
        <v>7539</v>
      </c>
      <c r="F829" s="1" t="s">
        <v>7540</v>
      </c>
      <c r="G829" s="1" t="s">
        <v>958</v>
      </c>
      <c r="H829" s="1" t="s">
        <v>7541</v>
      </c>
      <c r="I829" s="1" t="s">
        <v>2209</v>
      </c>
      <c r="J829" s="1" t="s">
        <v>7542</v>
      </c>
      <c r="K829" s="1" t="s">
        <v>915</v>
      </c>
      <c r="L829" s="1" t="s">
        <v>4532</v>
      </c>
      <c r="M829" s="1" t="s">
        <v>7543</v>
      </c>
      <c r="N829" s="1">
        <v>30</v>
      </c>
    </row>
    <row r="830" spans="1:14" x14ac:dyDescent="0.25">
      <c r="A830" s="20" t="s">
        <v>837</v>
      </c>
      <c r="B830" s="1" t="s">
        <v>7544</v>
      </c>
      <c r="C830" s="1" t="s">
        <v>7545</v>
      </c>
      <c r="D830" s="1" t="s">
        <v>7546</v>
      </c>
      <c r="E830" s="1" t="s">
        <v>964</v>
      </c>
      <c r="F830" s="1" t="s">
        <v>7547</v>
      </c>
      <c r="G830" s="1" t="s">
        <v>958</v>
      </c>
      <c r="H830" s="1" t="s">
        <v>968</v>
      </c>
      <c r="I830" s="1" t="s">
        <v>969</v>
      </c>
      <c r="J830" s="1" t="s">
        <v>5023</v>
      </c>
      <c r="K830" s="1" t="s">
        <v>971</v>
      </c>
      <c r="L830" s="1" t="s">
        <v>972</v>
      </c>
      <c r="M830" s="1" t="s">
        <v>7548</v>
      </c>
      <c r="N830" s="1">
        <v>25</v>
      </c>
    </row>
    <row r="831" spans="1:14" x14ac:dyDescent="0.25">
      <c r="A831" s="20" t="s">
        <v>838</v>
      </c>
      <c r="B831" s="1" t="s">
        <v>7549</v>
      </c>
      <c r="C831" s="1" t="s">
        <v>7550</v>
      </c>
      <c r="D831" s="1" t="s">
        <v>7551</v>
      </c>
      <c r="E831" s="1" t="s">
        <v>7552</v>
      </c>
      <c r="F831" s="1" t="s">
        <v>7553</v>
      </c>
      <c r="G831" s="1" t="s">
        <v>958</v>
      </c>
      <c r="H831" s="1" t="s">
        <v>2243</v>
      </c>
      <c r="I831" s="1" t="s">
        <v>1070</v>
      </c>
      <c r="J831" s="1" t="s">
        <v>7554</v>
      </c>
      <c r="K831" s="1" t="s">
        <v>3089</v>
      </c>
      <c r="L831" s="1" t="s">
        <v>5709</v>
      </c>
      <c r="M831" s="1" t="s">
        <v>7555</v>
      </c>
      <c r="N831" s="1">
        <v>25</v>
      </c>
    </row>
    <row r="832" spans="1:14" x14ac:dyDescent="0.25">
      <c r="A832" s="20" t="s">
        <v>839</v>
      </c>
      <c r="B832" s="1" t="s">
        <v>7556</v>
      </c>
      <c r="C832" s="1" t="s">
        <v>7557</v>
      </c>
      <c r="D832" s="1" t="s">
        <v>7558</v>
      </c>
      <c r="E832" s="1" t="s">
        <v>7559</v>
      </c>
      <c r="F832" s="1" t="s">
        <v>7560</v>
      </c>
      <c r="G832" s="1" t="s">
        <v>958</v>
      </c>
      <c r="H832" s="1" t="s">
        <v>7561</v>
      </c>
      <c r="I832" s="1" t="s">
        <v>2405</v>
      </c>
      <c r="J832" s="1" t="s">
        <v>7562</v>
      </c>
      <c r="K832" s="1" t="s">
        <v>8</v>
      </c>
      <c r="L832" s="1" t="s">
        <v>7563</v>
      </c>
      <c r="M832" s="1" t="s">
        <v>7564</v>
      </c>
      <c r="N832" s="1">
        <v>25</v>
      </c>
    </row>
    <row r="833" spans="1:14" x14ac:dyDescent="0.25">
      <c r="A833" s="20" t="s">
        <v>840</v>
      </c>
      <c r="B833" s="1" t="s">
        <v>7565</v>
      </c>
      <c r="C833" s="1" t="s">
        <v>2940</v>
      </c>
      <c r="D833" s="1" t="s">
        <v>7566</v>
      </c>
      <c r="E833" s="1" t="s">
        <v>7567</v>
      </c>
      <c r="F833" s="1" t="s">
        <v>7568</v>
      </c>
      <c r="G833" s="1" t="s">
        <v>958</v>
      </c>
      <c r="H833" s="1" t="s">
        <v>979</v>
      </c>
      <c r="I833" s="1" t="s">
        <v>979</v>
      </c>
      <c r="J833" s="1" t="s">
        <v>1185</v>
      </c>
      <c r="K833" s="1" t="s">
        <v>4</v>
      </c>
      <c r="L833" s="1" t="s">
        <v>924</v>
      </c>
      <c r="M833" s="1" t="s">
        <v>7569</v>
      </c>
      <c r="N833" s="1">
        <v>30</v>
      </c>
    </row>
    <row r="834" spans="1:14" x14ac:dyDescent="0.25">
      <c r="A834" s="20" t="s">
        <v>841</v>
      </c>
      <c r="B834" s="1" t="s">
        <v>7570</v>
      </c>
      <c r="C834" s="1" t="s">
        <v>7571</v>
      </c>
      <c r="G834" s="1" t="s">
        <v>7572</v>
      </c>
      <c r="H834" s="1" t="s">
        <v>7573</v>
      </c>
      <c r="I834" s="1" t="s">
        <v>979</v>
      </c>
      <c r="J834" s="1" t="s">
        <v>7574</v>
      </c>
      <c r="K834" s="1" t="s">
        <v>915</v>
      </c>
      <c r="L834" s="1" t="s">
        <v>7575</v>
      </c>
      <c r="M834" s="1" t="s">
        <v>7576</v>
      </c>
      <c r="N834" s="1">
        <v>384327</v>
      </c>
    </row>
    <row r="835" spans="1:14" x14ac:dyDescent="0.25">
      <c r="A835" s="20" t="s">
        <v>842</v>
      </c>
      <c r="B835" s="1" t="s">
        <v>7577</v>
      </c>
      <c r="C835" s="1" t="s">
        <v>7578</v>
      </c>
      <c r="G835" s="1" t="s">
        <v>7579</v>
      </c>
      <c r="H835" s="1" t="s">
        <v>1137</v>
      </c>
      <c r="I835" s="1" t="s">
        <v>979</v>
      </c>
      <c r="J835" s="1" t="s">
        <v>7580</v>
      </c>
      <c r="K835" s="1" t="s">
        <v>1218</v>
      </c>
      <c r="L835" s="1" t="s">
        <v>7581</v>
      </c>
      <c r="M835" s="1" t="s">
        <v>7582</v>
      </c>
      <c r="N835" s="1">
        <v>218540</v>
      </c>
    </row>
    <row r="836" spans="1:14" x14ac:dyDescent="0.25">
      <c r="A836" s="20" t="s">
        <v>843</v>
      </c>
      <c r="B836" s="1" t="s">
        <v>7583</v>
      </c>
      <c r="C836" s="1" t="s">
        <v>7584</v>
      </c>
      <c r="G836" s="1" t="s">
        <v>7585</v>
      </c>
      <c r="H836" s="1" t="s">
        <v>7586</v>
      </c>
      <c r="I836" s="1" t="s">
        <v>979</v>
      </c>
      <c r="J836" s="1" t="s">
        <v>7587</v>
      </c>
      <c r="K836" s="1" t="s">
        <v>910</v>
      </c>
      <c r="L836" s="1" t="s">
        <v>3510</v>
      </c>
      <c r="M836" s="1" t="s">
        <v>7588</v>
      </c>
      <c r="N836" s="1">
        <v>72847</v>
      </c>
    </row>
    <row r="837" spans="1:14" x14ac:dyDescent="0.25">
      <c r="A837" s="20" t="s">
        <v>844</v>
      </c>
      <c r="B837" s="1" t="s">
        <v>7589</v>
      </c>
      <c r="C837" s="1" t="s">
        <v>7590</v>
      </c>
      <c r="G837" s="1" t="s">
        <v>7591</v>
      </c>
      <c r="H837" s="1" t="s">
        <v>979</v>
      </c>
      <c r="I837" s="1" t="s">
        <v>979</v>
      </c>
      <c r="J837" s="1" t="s">
        <v>7592</v>
      </c>
      <c r="K837" s="1" t="s">
        <v>8</v>
      </c>
      <c r="L837" s="1" t="s">
        <v>1129</v>
      </c>
      <c r="M837" s="1" t="s">
        <v>7593</v>
      </c>
      <c r="N837" s="1">
        <v>109270</v>
      </c>
    </row>
    <row r="838" spans="1:14" x14ac:dyDescent="0.25">
      <c r="A838" s="20" t="s">
        <v>845</v>
      </c>
      <c r="B838" s="1" t="s">
        <v>7594</v>
      </c>
      <c r="C838" s="1" t="s">
        <v>7595</v>
      </c>
      <c r="G838" s="1" t="s">
        <v>7596</v>
      </c>
      <c r="H838" s="1" t="s">
        <v>979</v>
      </c>
      <c r="I838" s="1" t="s">
        <v>979</v>
      </c>
      <c r="J838" s="1" t="s">
        <v>7597</v>
      </c>
      <c r="K838" s="1" t="s">
        <v>4</v>
      </c>
      <c r="L838" s="1" t="s">
        <v>924</v>
      </c>
      <c r="M838" s="1" t="s">
        <v>7598</v>
      </c>
      <c r="N838" s="1">
        <v>30116</v>
      </c>
    </row>
    <row r="839" spans="1:14" x14ac:dyDescent="0.25">
      <c r="A839" s="20" t="s">
        <v>846</v>
      </c>
      <c r="B839" s="1" t="s">
        <v>7599</v>
      </c>
      <c r="C839" s="1" t="s">
        <v>7600</v>
      </c>
      <c r="G839" s="1" t="s">
        <v>7601</v>
      </c>
      <c r="H839" s="1" t="s">
        <v>979</v>
      </c>
      <c r="I839" s="1" t="s">
        <v>979</v>
      </c>
      <c r="J839" s="1" t="s">
        <v>7602</v>
      </c>
      <c r="K839" s="1" t="s">
        <v>910</v>
      </c>
      <c r="L839" s="1" t="s">
        <v>3510</v>
      </c>
      <c r="M839" s="1" t="s">
        <v>7603</v>
      </c>
      <c r="N839" s="1">
        <v>43708</v>
      </c>
    </row>
    <row r="840" spans="1:14" x14ac:dyDescent="0.25">
      <c r="A840" s="20" t="s">
        <v>847</v>
      </c>
      <c r="B840" s="1" t="s">
        <v>7604</v>
      </c>
      <c r="C840" s="1" t="s">
        <v>7605</v>
      </c>
      <c r="G840" s="1" t="s">
        <v>7606</v>
      </c>
      <c r="H840" s="1" t="s">
        <v>979</v>
      </c>
      <c r="I840" s="1" t="s">
        <v>979</v>
      </c>
      <c r="J840" s="1" t="s">
        <v>7607</v>
      </c>
      <c r="K840" s="1" t="s">
        <v>4</v>
      </c>
      <c r="L840" s="1" t="s">
        <v>924</v>
      </c>
      <c r="M840" s="1" t="s">
        <v>938</v>
      </c>
      <c r="N840" s="1">
        <v>14570</v>
      </c>
    </row>
    <row r="841" spans="1:14" x14ac:dyDescent="0.25">
      <c r="A841" s="20" t="s">
        <v>848</v>
      </c>
      <c r="B841" s="1" t="s">
        <v>7608</v>
      </c>
      <c r="C841" s="1" t="s">
        <v>7609</v>
      </c>
      <c r="G841" s="1" t="s">
        <v>7610</v>
      </c>
      <c r="H841" s="1" t="s">
        <v>7611</v>
      </c>
      <c r="I841" s="1" t="s">
        <v>979</v>
      </c>
      <c r="J841" s="1" t="s">
        <v>7612</v>
      </c>
      <c r="K841" s="1" t="s">
        <v>1089</v>
      </c>
      <c r="L841" s="1" t="s">
        <v>7613</v>
      </c>
      <c r="M841" s="1" t="s">
        <v>7614</v>
      </c>
      <c r="N841" s="1">
        <v>7285</v>
      </c>
    </row>
    <row r="842" spans="1:14" x14ac:dyDescent="0.25">
      <c r="A842" s="20" t="s">
        <v>849</v>
      </c>
      <c r="B842" s="1" t="s">
        <v>7615</v>
      </c>
      <c r="C842" s="1" t="s">
        <v>7616</v>
      </c>
      <c r="G842" s="1" t="s">
        <v>7617</v>
      </c>
      <c r="H842" s="1" t="s">
        <v>7618</v>
      </c>
      <c r="I842" s="1" t="s">
        <v>979</v>
      </c>
      <c r="K842" s="1" t="s">
        <v>971</v>
      </c>
      <c r="L842" s="1" t="s">
        <v>972</v>
      </c>
      <c r="M842" s="1" t="s">
        <v>7619</v>
      </c>
      <c r="N842" s="1">
        <v>364234</v>
      </c>
    </row>
    <row r="843" spans="1:14" x14ac:dyDescent="0.25">
      <c r="A843" s="20" t="s">
        <v>850</v>
      </c>
      <c r="B843" s="1" t="s">
        <v>7620</v>
      </c>
      <c r="C843" s="1" t="s">
        <v>7621</v>
      </c>
      <c r="G843" s="1" t="s">
        <v>7622</v>
      </c>
      <c r="H843" s="1" t="s">
        <v>7623</v>
      </c>
      <c r="I843" s="1" t="s">
        <v>979</v>
      </c>
      <c r="K843" s="1" t="s">
        <v>2</v>
      </c>
      <c r="L843" s="1" t="s">
        <v>937</v>
      </c>
      <c r="M843" s="1" t="s">
        <v>936</v>
      </c>
      <c r="N843" s="1">
        <v>245858</v>
      </c>
    </row>
    <row r="844" spans="1:14" x14ac:dyDescent="0.25">
      <c r="A844" s="20" t="s">
        <v>851</v>
      </c>
      <c r="B844" s="1" t="s">
        <v>7624</v>
      </c>
      <c r="C844" s="1" t="s">
        <v>7625</v>
      </c>
      <c r="G844" s="1" t="s">
        <v>7626</v>
      </c>
      <c r="H844" s="1" t="s">
        <v>979</v>
      </c>
      <c r="I844" s="1" t="s">
        <v>979</v>
      </c>
      <c r="J844" s="1" t="s">
        <v>7627</v>
      </c>
      <c r="K844" s="1" t="s">
        <v>971</v>
      </c>
      <c r="L844" s="1" t="s">
        <v>972</v>
      </c>
      <c r="M844" s="1" t="s">
        <v>7628</v>
      </c>
      <c r="N844" s="1">
        <v>10927</v>
      </c>
    </row>
    <row r="845" spans="1:14" x14ac:dyDescent="0.25">
      <c r="A845" s="20" t="s">
        <v>852</v>
      </c>
      <c r="B845" s="1" t="s">
        <v>7629</v>
      </c>
      <c r="C845" s="1" t="s">
        <v>7630</v>
      </c>
      <c r="G845" s="1" t="s">
        <v>7631</v>
      </c>
      <c r="H845" s="1" t="s">
        <v>7632</v>
      </c>
      <c r="I845" s="1" t="s">
        <v>979</v>
      </c>
      <c r="K845" s="1" t="s">
        <v>910</v>
      </c>
      <c r="L845" s="1" t="s">
        <v>7633</v>
      </c>
      <c r="M845" s="1" t="s">
        <v>7634</v>
      </c>
      <c r="N845" s="1">
        <v>14570</v>
      </c>
    </row>
    <row r="846" spans="1:14" x14ac:dyDescent="0.25">
      <c r="A846" s="20" t="s">
        <v>853</v>
      </c>
      <c r="B846" s="1" t="s">
        <v>7635</v>
      </c>
      <c r="C846" s="1" t="s">
        <v>7636</v>
      </c>
      <c r="G846" s="1" t="s">
        <v>7637</v>
      </c>
      <c r="H846" s="1" t="s">
        <v>7638</v>
      </c>
      <c r="I846" s="1" t="s">
        <v>979</v>
      </c>
      <c r="J846" s="1" t="s">
        <v>7639</v>
      </c>
      <c r="K846" s="1" t="s">
        <v>914</v>
      </c>
      <c r="L846" s="1" t="s">
        <v>3126</v>
      </c>
      <c r="M846" s="1" t="s">
        <v>7640</v>
      </c>
      <c r="N846" s="1">
        <v>3912</v>
      </c>
    </row>
    <row r="847" spans="1:14" x14ac:dyDescent="0.25">
      <c r="A847" s="20" t="s">
        <v>854</v>
      </c>
      <c r="B847" s="1" t="s">
        <v>7641</v>
      </c>
      <c r="C847" s="1" t="s">
        <v>7642</v>
      </c>
      <c r="G847" s="1" t="s">
        <v>7643</v>
      </c>
      <c r="H847" s="1" t="s">
        <v>7644</v>
      </c>
      <c r="I847" s="1" t="s">
        <v>979</v>
      </c>
      <c r="J847" s="1" t="s">
        <v>7645</v>
      </c>
      <c r="K847" s="1" t="s">
        <v>971</v>
      </c>
      <c r="L847" s="1" t="s">
        <v>972</v>
      </c>
      <c r="M847" s="1" t="s">
        <v>7646</v>
      </c>
      <c r="N847" s="1">
        <v>20000</v>
      </c>
    </row>
    <row r="848" spans="1:14" x14ac:dyDescent="0.25">
      <c r="A848" s="20" t="s">
        <v>855</v>
      </c>
      <c r="B848" s="1" t="s">
        <v>7647</v>
      </c>
      <c r="C848" s="1" t="s">
        <v>7648</v>
      </c>
      <c r="G848" s="1" t="s">
        <v>7649</v>
      </c>
      <c r="H848" s="1" t="s">
        <v>979</v>
      </c>
      <c r="I848" s="1" t="s">
        <v>979</v>
      </c>
      <c r="J848" s="1" t="s">
        <v>7650</v>
      </c>
      <c r="K848" s="1" t="s">
        <v>1637</v>
      </c>
      <c r="L848" s="1" t="s">
        <v>2316</v>
      </c>
      <c r="M848" s="1" t="s">
        <v>7651</v>
      </c>
      <c r="N848" s="1">
        <v>182117</v>
      </c>
    </row>
    <row r="849" spans="1:14" x14ac:dyDescent="0.25">
      <c r="A849" s="20" t="s">
        <v>856</v>
      </c>
      <c r="B849" s="1" t="s">
        <v>7652</v>
      </c>
      <c r="C849" s="1" t="s">
        <v>7653</v>
      </c>
      <c r="G849" s="1" t="s">
        <v>7654</v>
      </c>
      <c r="H849" s="1" t="s">
        <v>979</v>
      </c>
      <c r="I849" s="1" t="s">
        <v>979</v>
      </c>
      <c r="J849" s="1" t="s">
        <v>7655</v>
      </c>
      <c r="K849" s="1" t="s">
        <v>912</v>
      </c>
      <c r="L849" s="1" t="s">
        <v>932</v>
      </c>
      <c r="M849" s="1" t="s">
        <v>935</v>
      </c>
      <c r="N849" s="1">
        <v>3643</v>
      </c>
    </row>
    <row r="850" spans="1:14" x14ac:dyDescent="0.25">
      <c r="A850" s="20" t="s">
        <v>857</v>
      </c>
      <c r="B850" s="1" t="s">
        <v>7656</v>
      </c>
      <c r="C850" s="1" t="s">
        <v>7657</v>
      </c>
      <c r="G850" s="1" t="s">
        <v>7658</v>
      </c>
      <c r="H850" s="1" t="s">
        <v>979</v>
      </c>
      <c r="I850" s="1" t="s">
        <v>979</v>
      </c>
      <c r="J850" s="1" t="s">
        <v>7655</v>
      </c>
      <c r="K850" s="1" t="s">
        <v>1637</v>
      </c>
      <c r="L850" s="1" t="s">
        <v>2316</v>
      </c>
      <c r="M850" s="1" t="s">
        <v>7659</v>
      </c>
      <c r="N850" s="1">
        <v>12445</v>
      </c>
    </row>
    <row r="851" spans="1:14" x14ac:dyDescent="0.25">
      <c r="A851" s="20" t="s">
        <v>858</v>
      </c>
      <c r="B851" s="1" t="s">
        <v>7660</v>
      </c>
      <c r="C851" s="1" t="s">
        <v>7661</v>
      </c>
      <c r="G851" s="1" t="s">
        <v>7662</v>
      </c>
      <c r="H851" s="1" t="s">
        <v>7663</v>
      </c>
      <c r="I851" s="1" t="s">
        <v>7663</v>
      </c>
      <c r="J851" s="1" t="s">
        <v>7664</v>
      </c>
      <c r="K851" s="1" t="s">
        <v>929</v>
      </c>
      <c r="L851" s="1" t="s">
        <v>934</v>
      </c>
      <c r="M851" s="1" t="s">
        <v>933</v>
      </c>
      <c r="N851" s="1">
        <v>5141</v>
      </c>
    </row>
    <row r="852" spans="1:14" x14ac:dyDescent="0.25">
      <c r="A852" s="20" t="s">
        <v>859</v>
      </c>
      <c r="B852" s="1" t="s">
        <v>7665</v>
      </c>
      <c r="C852" s="1" t="s">
        <v>7666</v>
      </c>
      <c r="G852" s="1" t="s">
        <v>7667</v>
      </c>
      <c r="H852" s="1" t="s">
        <v>7668</v>
      </c>
      <c r="I852" s="1" t="s">
        <v>979</v>
      </c>
      <c r="J852" s="1" t="s">
        <v>7669</v>
      </c>
      <c r="K852" s="1" t="s">
        <v>910</v>
      </c>
      <c r="L852" s="1" t="s">
        <v>7670</v>
      </c>
      <c r="M852" s="1" t="s">
        <v>7671</v>
      </c>
      <c r="N852" s="1">
        <v>21854</v>
      </c>
    </row>
    <row r="853" spans="1:14" x14ac:dyDescent="0.25">
      <c r="A853" s="20" t="s">
        <v>860</v>
      </c>
      <c r="B853" s="1" t="s">
        <v>7672</v>
      </c>
      <c r="C853" s="1" t="s">
        <v>7673</v>
      </c>
      <c r="G853" s="1" t="s">
        <v>7674</v>
      </c>
      <c r="H853" s="1" t="s">
        <v>7675</v>
      </c>
      <c r="I853" s="1" t="s">
        <v>5100</v>
      </c>
      <c r="J853" s="1" t="s">
        <v>7676</v>
      </c>
      <c r="K853" s="1" t="s">
        <v>912</v>
      </c>
      <c r="L853" s="1" t="s">
        <v>932</v>
      </c>
      <c r="M853" s="1" t="s">
        <v>7677</v>
      </c>
      <c r="N853" s="1">
        <v>29139</v>
      </c>
    </row>
    <row r="854" spans="1:14" x14ac:dyDescent="0.25">
      <c r="A854" s="20" t="s">
        <v>861</v>
      </c>
      <c r="B854" s="1" t="s">
        <v>7678</v>
      </c>
      <c r="C854" s="1" t="s">
        <v>7679</v>
      </c>
      <c r="G854" s="1" t="s">
        <v>7680</v>
      </c>
      <c r="H854" s="1" t="s">
        <v>979</v>
      </c>
      <c r="I854" s="1" t="s">
        <v>979</v>
      </c>
      <c r="J854" s="1" t="s">
        <v>7681</v>
      </c>
      <c r="K854" s="1" t="s">
        <v>910</v>
      </c>
      <c r="L854" s="1" t="s">
        <v>3510</v>
      </c>
      <c r="M854" s="1" t="s">
        <v>7682</v>
      </c>
      <c r="N854" s="1">
        <v>9400</v>
      </c>
    </row>
    <row r="855" spans="1:14" x14ac:dyDescent="0.25">
      <c r="A855" s="20" t="s">
        <v>862</v>
      </c>
      <c r="B855" s="1" t="s">
        <v>7683</v>
      </c>
      <c r="C855" s="1" t="s">
        <v>7684</v>
      </c>
      <c r="G855" s="1" t="s">
        <v>7572</v>
      </c>
      <c r="H855" s="1" t="s">
        <v>7685</v>
      </c>
      <c r="I855" s="1" t="s">
        <v>979</v>
      </c>
      <c r="J855" s="1" t="s">
        <v>7686</v>
      </c>
      <c r="K855" s="1" t="s">
        <v>915</v>
      </c>
      <c r="L855" s="1" t="s">
        <v>7575</v>
      </c>
      <c r="M855" s="1" t="s">
        <v>7687</v>
      </c>
      <c r="N855" s="1">
        <v>200000</v>
      </c>
    </row>
    <row r="856" spans="1:14" x14ac:dyDescent="0.25">
      <c r="A856" s="20" t="s">
        <v>863</v>
      </c>
      <c r="B856" s="1" t="s">
        <v>7688</v>
      </c>
      <c r="C856" s="1" t="s">
        <v>7689</v>
      </c>
      <c r="G856" s="1" t="s">
        <v>958</v>
      </c>
      <c r="H856" s="1" t="s">
        <v>979</v>
      </c>
      <c r="I856" s="1" t="s">
        <v>979</v>
      </c>
      <c r="J856" s="1" t="s">
        <v>7690</v>
      </c>
      <c r="K856" s="1" t="s">
        <v>915</v>
      </c>
      <c r="L856" s="1" t="s">
        <v>1139</v>
      </c>
      <c r="M856" s="1" t="s">
        <v>7691</v>
      </c>
      <c r="N856" s="1">
        <v>50993</v>
      </c>
    </row>
    <row r="857" spans="1:14" x14ac:dyDescent="0.25">
      <c r="A857" s="20" t="s">
        <v>864</v>
      </c>
      <c r="B857" s="1" t="s">
        <v>7692</v>
      </c>
      <c r="C857" s="1" t="s">
        <v>7693</v>
      </c>
      <c r="G857" s="1" t="s">
        <v>7694</v>
      </c>
      <c r="H857" s="1" t="s">
        <v>979</v>
      </c>
      <c r="I857" s="1" t="s">
        <v>979</v>
      </c>
      <c r="J857" s="1" t="s">
        <v>7695</v>
      </c>
      <c r="K857" s="1" t="s">
        <v>915</v>
      </c>
      <c r="L857" s="1" t="s">
        <v>928</v>
      </c>
      <c r="M857" s="1" t="s">
        <v>925</v>
      </c>
      <c r="N857" s="1">
        <v>247</v>
      </c>
    </row>
    <row r="858" spans="1:14" x14ac:dyDescent="0.25">
      <c r="A858" s="20" t="s">
        <v>865</v>
      </c>
      <c r="B858" s="1" t="s">
        <v>7696</v>
      </c>
      <c r="C858" s="1" t="s">
        <v>7697</v>
      </c>
      <c r="G858" s="1" t="s">
        <v>7698</v>
      </c>
      <c r="H858" s="1" t="s">
        <v>979</v>
      </c>
      <c r="I858" s="1" t="s">
        <v>979</v>
      </c>
      <c r="J858" s="1" t="s">
        <v>7699</v>
      </c>
      <c r="K858" s="1" t="s">
        <v>915</v>
      </c>
      <c r="L858" s="1" t="s">
        <v>926</v>
      </c>
      <c r="M858" s="1" t="s">
        <v>927</v>
      </c>
      <c r="N858" s="1">
        <v>10927</v>
      </c>
    </row>
    <row r="859" spans="1:14" x14ac:dyDescent="0.25">
      <c r="A859" s="20" t="s">
        <v>866</v>
      </c>
      <c r="B859" s="1" t="s">
        <v>7700</v>
      </c>
      <c r="C859" s="1" t="s">
        <v>7701</v>
      </c>
      <c r="G859" s="1" t="s">
        <v>7702</v>
      </c>
      <c r="H859" s="1" t="s">
        <v>979</v>
      </c>
      <c r="I859" s="1" t="s">
        <v>979</v>
      </c>
      <c r="J859" s="1" t="s">
        <v>7699</v>
      </c>
      <c r="K859" s="1" t="s">
        <v>915</v>
      </c>
      <c r="L859" s="1" t="s">
        <v>926</v>
      </c>
      <c r="M859" s="1" t="s">
        <v>925</v>
      </c>
      <c r="N859" s="1">
        <v>18212</v>
      </c>
    </row>
    <row r="860" spans="1:14" x14ac:dyDescent="0.25">
      <c r="A860" s="20" t="s">
        <v>867</v>
      </c>
      <c r="B860" s="1" t="s">
        <v>7703</v>
      </c>
      <c r="C860" s="1" t="s">
        <v>7704</v>
      </c>
      <c r="G860" s="1" t="s">
        <v>7705</v>
      </c>
      <c r="H860" s="1" t="s">
        <v>7706</v>
      </c>
      <c r="I860" s="1" t="s">
        <v>979</v>
      </c>
      <c r="J860" s="1" t="s">
        <v>7707</v>
      </c>
      <c r="K860" s="1" t="s">
        <v>1478</v>
      </c>
      <c r="L860" s="1" t="s">
        <v>7708</v>
      </c>
      <c r="M860" s="1" t="s">
        <v>7709</v>
      </c>
      <c r="N860" s="1">
        <v>7736</v>
      </c>
    </row>
    <row r="861" spans="1:14" x14ac:dyDescent="0.25">
      <c r="A861" s="20" t="s">
        <v>868</v>
      </c>
      <c r="B861" s="1" t="s">
        <v>7710</v>
      </c>
      <c r="C861" s="1" t="s">
        <v>7711</v>
      </c>
      <c r="G861" s="1" t="s">
        <v>7712</v>
      </c>
      <c r="H861" s="1" t="s">
        <v>1137</v>
      </c>
      <c r="I861" s="1" t="s">
        <v>979</v>
      </c>
      <c r="J861" s="1" t="s">
        <v>7713</v>
      </c>
      <c r="K861" s="1" t="s">
        <v>910</v>
      </c>
      <c r="L861" s="1" t="s">
        <v>7714</v>
      </c>
      <c r="M861" s="1" t="s">
        <v>7715</v>
      </c>
      <c r="N861" s="1">
        <v>550</v>
      </c>
    </row>
    <row r="862" spans="1:14" x14ac:dyDescent="0.25">
      <c r="A862" s="20" t="s">
        <v>869</v>
      </c>
      <c r="B862" s="1" t="s">
        <v>7716</v>
      </c>
      <c r="C862" s="1" t="s">
        <v>7717</v>
      </c>
      <c r="G862" s="1" t="s">
        <v>7718</v>
      </c>
      <c r="H862" s="1" t="s">
        <v>9</v>
      </c>
      <c r="I862" s="1" t="s">
        <v>979</v>
      </c>
      <c r="J862" s="1" t="s">
        <v>7719</v>
      </c>
      <c r="K862" s="1" t="s">
        <v>919</v>
      </c>
      <c r="L862" s="1" t="s">
        <v>918</v>
      </c>
      <c r="M862" s="1" t="s">
        <v>7720</v>
      </c>
      <c r="N862" s="1">
        <v>8730</v>
      </c>
    </row>
    <row r="863" spans="1:14" x14ac:dyDescent="0.25">
      <c r="A863" s="20" t="s">
        <v>870</v>
      </c>
      <c r="B863" s="1" t="s">
        <v>7721</v>
      </c>
      <c r="C863" s="1" t="s">
        <v>7722</v>
      </c>
      <c r="G863" s="1" t="s">
        <v>7723</v>
      </c>
      <c r="H863" s="1" t="s">
        <v>6</v>
      </c>
      <c r="I863" s="1" t="s">
        <v>1137</v>
      </c>
      <c r="J863" s="1" t="s">
        <v>7724</v>
      </c>
      <c r="K863" s="1" t="s">
        <v>919</v>
      </c>
      <c r="L863" s="1" t="s">
        <v>918</v>
      </c>
      <c r="M863" s="1" t="s">
        <v>922</v>
      </c>
      <c r="N863" s="1">
        <v>72847</v>
      </c>
    </row>
    <row r="864" spans="1:14" x14ac:dyDescent="0.25">
      <c r="A864" s="20" t="s">
        <v>871</v>
      </c>
      <c r="B864" s="1" t="s">
        <v>7725</v>
      </c>
      <c r="C864" s="1" t="s">
        <v>7726</v>
      </c>
      <c r="G864" s="1" t="s">
        <v>7727</v>
      </c>
      <c r="H864" s="1" t="s">
        <v>11</v>
      </c>
      <c r="I864" s="1" t="s">
        <v>1137</v>
      </c>
      <c r="J864" s="1" t="s">
        <v>7728</v>
      </c>
      <c r="K864" s="1" t="s">
        <v>919</v>
      </c>
      <c r="L864" s="1" t="s">
        <v>921</v>
      </c>
      <c r="M864" s="1" t="s">
        <v>920</v>
      </c>
      <c r="N864" s="1">
        <v>3643</v>
      </c>
    </row>
    <row r="865" spans="1:14" x14ac:dyDescent="0.25">
      <c r="A865" s="20" t="s">
        <v>872</v>
      </c>
      <c r="B865" s="1" t="s">
        <v>7729</v>
      </c>
      <c r="C865" s="1" t="s">
        <v>7730</v>
      </c>
      <c r="G865" s="1" t="s">
        <v>7731</v>
      </c>
      <c r="H865" s="1" t="s">
        <v>7732</v>
      </c>
      <c r="I865" s="1" t="s">
        <v>1116</v>
      </c>
      <c r="J865" s="1" t="s">
        <v>7733</v>
      </c>
      <c r="K865" s="1" t="s">
        <v>909</v>
      </c>
      <c r="L865" s="1" t="s">
        <v>917</v>
      </c>
      <c r="M865" s="1" t="s">
        <v>916</v>
      </c>
      <c r="N865" s="1">
        <v>145694</v>
      </c>
    </row>
    <row r="866" spans="1:14" x14ac:dyDescent="0.25">
      <c r="A866" s="20" t="s">
        <v>873</v>
      </c>
      <c r="B866" s="1" t="s">
        <v>7734</v>
      </c>
      <c r="C866" s="1" t="s">
        <v>7735</v>
      </c>
      <c r="G866" s="1" t="s">
        <v>7736</v>
      </c>
      <c r="H866" s="1" t="s">
        <v>7737</v>
      </c>
      <c r="I866" s="1" t="s">
        <v>7663</v>
      </c>
      <c r="J866" s="1" t="s">
        <v>7738</v>
      </c>
      <c r="K866" s="1" t="s">
        <v>1089</v>
      </c>
      <c r="L866" s="1" t="s">
        <v>1442</v>
      </c>
      <c r="M866" s="1" t="s">
        <v>7614</v>
      </c>
      <c r="N866" s="1">
        <v>100000</v>
      </c>
    </row>
    <row r="867" spans="1:14" x14ac:dyDescent="0.25">
      <c r="A867" s="20" t="s">
        <v>874</v>
      </c>
      <c r="B867" s="1" t="s">
        <v>7739</v>
      </c>
      <c r="C867" s="1" t="s">
        <v>7740</v>
      </c>
      <c r="G867" s="1" t="s">
        <v>7741</v>
      </c>
      <c r="H867" s="1" t="s">
        <v>7742</v>
      </c>
      <c r="I867" s="1" t="s">
        <v>5100</v>
      </c>
      <c r="J867" s="1" t="s">
        <v>7743</v>
      </c>
      <c r="K867" s="1" t="s">
        <v>7744</v>
      </c>
      <c r="L867" s="1" t="s">
        <v>7745</v>
      </c>
      <c r="M867" s="1" t="s">
        <v>7746</v>
      </c>
      <c r="N867" s="1">
        <v>600</v>
      </c>
    </row>
    <row r="868" spans="1:14" x14ac:dyDescent="0.25">
      <c r="A868" s="20" t="s">
        <v>875</v>
      </c>
      <c r="B868" s="1" t="s">
        <v>7747</v>
      </c>
      <c r="C868" s="1" t="s">
        <v>7748</v>
      </c>
      <c r="G868" s="1" t="s">
        <v>7596</v>
      </c>
      <c r="H868" s="1" t="s">
        <v>7663</v>
      </c>
      <c r="I868" s="1" t="s">
        <v>7663</v>
      </c>
      <c r="J868" s="1" t="s">
        <v>7749</v>
      </c>
      <c r="K868" s="1" t="s">
        <v>1218</v>
      </c>
      <c r="L868" s="1" t="s">
        <v>2396</v>
      </c>
      <c r="M868" s="1" t="s">
        <v>7750</v>
      </c>
      <c r="N868" s="1">
        <v>3643</v>
      </c>
    </row>
    <row r="869" spans="1:14" x14ac:dyDescent="0.25">
      <c r="A869" s="1" t="s">
        <v>873</v>
      </c>
      <c r="B869" s="18"/>
      <c r="C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 t="s">
        <v>874</v>
      </c>
      <c r="B870" s="18"/>
      <c r="C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 t="s">
        <v>875</v>
      </c>
      <c r="B871" s="18"/>
      <c r="C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 t="s">
        <v>876</v>
      </c>
      <c r="B872" s="18"/>
      <c r="C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 t="s">
        <v>877</v>
      </c>
      <c r="B873" s="18"/>
      <c r="C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 t="s">
        <v>878</v>
      </c>
      <c r="B874" s="18"/>
      <c r="C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 t="s">
        <v>879</v>
      </c>
      <c r="B875" s="18"/>
      <c r="C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 t="s">
        <v>880</v>
      </c>
      <c r="B876" s="18"/>
      <c r="C876" s="1"/>
      <c r="G876" s="1"/>
      <c r="H876" s="1"/>
      <c r="I876" s="1"/>
      <c r="J876" s="1"/>
      <c r="K876" s="1"/>
      <c r="L876" s="1"/>
      <c r="M876" s="1"/>
      <c r="N876" s="1"/>
    </row>
    <row r="878" spans="1:14" x14ac:dyDescent="0.25">
      <c r="A878" s="1" t="s">
        <v>881</v>
      </c>
      <c r="B878" s="1"/>
      <c r="C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 t="s">
        <v>882</v>
      </c>
      <c r="B879" s="1"/>
      <c r="C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 t="s">
        <v>883</v>
      </c>
      <c r="B880" s="1"/>
      <c r="C880" s="1"/>
      <c r="G880" s="1"/>
      <c r="H880" s="1"/>
      <c r="I880" s="1"/>
      <c r="K880" s="1"/>
      <c r="L880" s="1"/>
      <c r="M880" s="1"/>
      <c r="N880" s="1"/>
    </row>
    <row r="881" spans="1:14" x14ac:dyDescent="0.25">
      <c r="A881" s="1" t="s">
        <v>884</v>
      </c>
      <c r="B881" s="1"/>
      <c r="C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 t="s">
        <v>885</v>
      </c>
      <c r="B882" s="1"/>
      <c r="C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 t="s">
        <v>886</v>
      </c>
      <c r="B883" s="1"/>
      <c r="C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 t="s">
        <v>887</v>
      </c>
      <c r="B884" s="1"/>
      <c r="C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 t="s">
        <v>888</v>
      </c>
      <c r="B885" s="1"/>
      <c r="C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 t="s">
        <v>939</v>
      </c>
      <c r="B886" s="1"/>
      <c r="C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 t="s">
        <v>940</v>
      </c>
      <c r="B887" s="1"/>
      <c r="C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 t="s">
        <v>941</v>
      </c>
      <c r="B888" s="1"/>
      <c r="C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 t="s">
        <v>942</v>
      </c>
      <c r="B889" s="1"/>
      <c r="C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 t="s">
        <v>943</v>
      </c>
      <c r="B890" s="1"/>
      <c r="C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 t="s">
        <v>944</v>
      </c>
      <c r="B891" s="1"/>
      <c r="C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 t="s">
        <v>945</v>
      </c>
      <c r="B892" s="1"/>
      <c r="C892" s="1"/>
      <c r="G892" s="1"/>
      <c r="H892" s="1"/>
      <c r="I892" s="1"/>
      <c r="J892" s="1"/>
      <c r="K892" s="1"/>
      <c r="L892" s="1"/>
      <c r="M892" s="1"/>
      <c r="N892" s="1"/>
    </row>
  </sheetData>
  <sortState xmlns:xlrd2="http://schemas.microsoft.com/office/spreadsheetml/2017/richdata2" ref="B859:N892">
    <sortCondition sortBy="cellColor" ref="B859:B892" dxfId="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F808-BA4C-4850-ADFA-C2F57B6D2593}">
  <dimension ref="A1:N842"/>
  <sheetViews>
    <sheetView workbookViewId="0">
      <pane ySplit="6" topLeftCell="A818" activePane="bottomLeft" state="frozen"/>
      <selection pane="bottomLeft" activeCell="D839" sqref="D839:J839"/>
    </sheetView>
  </sheetViews>
  <sheetFormatPr defaultRowHeight="15" x14ac:dyDescent="0.25"/>
  <cols>
    <col min="1" max="1" width="8" customWidth="1"/>
    <col min="2" max="2" width="17.28515625" bestFit="1" customWidth="1"/>
    <col min="3" max="3" width="32" customWidth="1"/>
    <col min="4" max="4" width="14.5703125" bestFit="1" customWidth="1"/>
    <col min="5" max="5" width="19.7109375" bestFit="1" customWidth="1"/>
    <col min="6" max="6" width="18.28515625" bestFit="1" customWidth="1"/>
    <col min="7" max="7" width="15.85546875" bestFit="1" customWidth="1"/>
    <col min="8" max="8" width="18.28515625" bestFit="1" customWidth="1"/>
    <col min="9" max="9" width="16" bestFit="1" customWidth="1"/>
    <col min="10" max="10" width="18.28515625" bestFit="1" customWidth="1"/>
    <col min="12" max="12" width="10.28515625" customWidth="1"/>
    <col min="13" max="13" width="47.85546875" customWidth="1"/>
    <col min="14" max="14" width="21.85546875" customWidth="1"/>
  </cols>
  <sheetData>
    <row r="1" spans="1:14" ht="15.75" x14ac:dyDescent="0.25">
      <c r="C1" s="21" t="s">
        <v>895</v>
      </c>
      <c r="D1" s="21"/>
      <c r="E1" s="21"/>
      <c r="F1" s="21"/>
      <c r="G1" s="4"/>
      <c r="H1" s="4"/>
    </row>
    <row r="2" spans="1:14" x14ac:dyDescent="0.25">
      <c r="C2" s="22" t="s">
        <v>896</v>
      </c>
      <c r="D2" s="22"/>
      <c r="E2" s="22"/>
      <c r="F2" s="22"/>
      <c r="G2" s="14" t="s">
        <v>907</v>
      </c>
      <c r="H2" s="15">
        <v>46037</v>
      </c>
    </row>
    <row r="3" spans="1:14" x14ac:dyDescent="0.25">
      <c r="C3" s="22" t="s">
        <v>897</v>
      </c>
      <c r="D3" s="22"/>
      <c r="E3" s="22"/>
      <c r="F3" s="22"/>
      <c r="G3" s="14" t="s">
        <v>908</v>
      </c>
      <c r="H3" s="15">
        <v>46219</v>
      </c>
      <c r="J3" s="1"/>
    </row>
    <row r="4" spans="1:14" x14ac:dyDescent="0.25">
      <c r="C4" s="23" t="s">
        <v>7751</v>
      </c>
      <c r="D4" s="23"/>
      <c r="E4" s="23"/>
      <c r="F4" s="23"/>
      <c r="G4" s="16" t="s">
        <v>898</v>
      </c>
      <c r="H4" s="16">
        <v>183</v>
      </c>
    </row>
    <row r="6" spans="1:14" ht="45" x14ac:dyDescent="0.25">
      <c r="A6" s="3" t="s">
        <v>14</v>
      </c>
      <c r="B6" s="3" t="s">
        <v>15</v>
      </c>
      <c r="C6" s="3" t="s">
        <v>16</v>
      </c>
      <c r="D6" s="3" t="s">
        <v>22</v>
      </c>
      <c r="E6" s="3" t="s">
        <v>889</v>
      </c>
      <c r="F6" s="3" t="s">
        <v>890</v>
      </c>
      <c r="G6" s="3" t="s">
        <v>891</v>
      </c>
      <c r="H6" s="3" t="s">
        <v>892</v>
      </c>
      <c r="I6" s="3" t="s">
        <v>893</v>
      </c>
      <c r="J6" s="3" t="s">
        <v>894</v>
      </c>
      <c r="L6" s="3" t="s">
        <v>19</v>
      </c>
      <c r="M6" s="3" t="s">
        <v>20</v>
      </c>
      <c r="N6" s="3" t="s">
        <v>21</v>
      </c>
    </row>
    <row r="7" spans="1:14" x14ac:dyDescent="0.25">
      <c r="A7" s="6" t="s">
        <v>23</v>
      </c>
      <c r="B7" s="6" t="s">
        <v>953</v>
      </c>
      <c r="C7" s="6" t="s">
        <v>954</v>
      </c>
      <c r="D7" s="6">
        <v>25</v>
      </c>
      <c r="E7" s="5">
        <f>+D7*1000</f>
        <v>25000</v>
      </c>
      <c r="F7" s="5">
        <f>+E7*8.5%</f>
        <v>2125</v>
      </c>
      <c r="G7" s="5">
        <f>+F7/365</f>
        <v>5.8219178082191778</v>
      </c>
      <c r="H7" s="5">
        <f>G7*$H$4</f>
        <v>1065.4109589041095</v>
      </c>
      <c r="I7" s="5">
        <f>+H7*6%</f>
        <v>63.92465753424657</v>
      </c>
      <c r="J7" s="5">
        <f>+H7-I7</f>
        <v>1001.486301369863</v>
      </c>
      <c r="K7" s="1"/>
      <c r="L7" s="6" t="s">
        <v>915</v>
      </c>
      <c r="M7" s="6" t="s">
        <v>926</v>
      </c>
      <c r="N7" s="6" t="s">
        <v>962</v>
      </c>
    </row>
    <row r="8" spans="1:14" x14ac:dyDescent="0.25">
      <c r="A8" s="6" t="s">
        <v>24</v>
      </c>
      <c r="B8" s="6" t="s">
        <v>963</v>
      </c>
      <c r="C8" s="6" t="s">
        <v>964</v>
      </c>
      <c r="D8" s="6">
        <v>25</v>
      </c>
      <c r="E8" s="5">
        <f t="shared" ref="E8:E71" si="0">+D8*1000</f>
        <v>25000</v>
      </c>
      <c r="F8" s="5">
        <f t="shared" ref="F8:F71" si="1">+E8*8.5%</f>
        <v>2125</v>
      </c>
      <c r="G8" s="5">
        <f t="shared" ref="G8:G71" si="2">+F8/365</f>
        <v>5.8219178082191778</v>
      </c>
      <c r="H8" s="5">
        <f t="shared" ref="H8:H71" si="3">G8*$H$4</f>
        <v>1065.4109589041095</v>
      </c>
      <c r="I8" s="5">
        <f t="shared" ref="I8:I71" si="4">+H8*6%</f>
        <v>63.92465753424657</v>
      </c>
      <c r="J8" s="5">
        <f t="shared" ref="J8:J71" si="5">+H8-I8</f>
        <v>1001.486301369863</v>
      </c>
      <c r="K8" s="1"/>
      <c r="L8" s="6" t="s">
        <v>971</v>
      </c>
      <c r="M8" s="6" t="s">
        <v>972</v>
      </c>
      <c r="N8" s="6" t="s">
        <v>973</v>
      </c>
    </row>
    <row r="9" spans="1:14" x14ac:dyDescent="0.25">
      <c r="A9" s="6" t="s">
        <v>25</v>
      </c>
      <c r="B9" s="6" t="s">
        <v>974</v>
      </c>
      <c r="C9" s="6" t="s">
        <v>975</v>
      </c>
      <c r="D9" s="6">
        <v>25</v>
      </c>
      <c r="E9" s="5">
        <f t="shared" si="0"/>
        <v>25000</v>
      </c>
      <c r="F9" s="5">
        <f t="shared" si="1"/>
        <v>2125</v>
      </c>
      <c r="G9" s="5">
        <f t="shared" si="2"/>
        <v>5.8219178082191778</v>
      </c>
      <c r="H9" s="5">
        <f t="shared" si="3"/>
        <v>1065.4109589041095</v>
      </c>
      <c r="I9" s="5">
        <f t="shared" si="4"/>
        <v>63.92465753424657</v>
      </c>
      <c r="J9" s="5">
        <f t="shared" si="5"/>
        <v>1001.486301369863</v>
      </c>
      <c r="K9" s="1"/>
      <c r="L9" s="6" t="s">
        <v>910</v>
      </c>
      <c r="M9" s="6" t="s">
        <v>981</v>
      </c>
      <c r="N9" s="6" t="s">
        <v>982</v>
      </c>
    </row>
    <row r="10" spans="1:14" x14ac:dyDescent="0.25">
      <c r="A10" s="6" t="s">
        <v>26</v>
      </c>
      <c r="B10" s="6" t="s">
        <v>983</v>
      </c>
      <c r="C10" s="6" t="s">
        <v>984</v>
      </c>
      <c r="D10" s="6">
        <v>35</v>
      </c>
      <c r="E10" s="5">
        <f t="shared" si="0"/>
        <v>35000</v>
      </c>
      <c r="F10" s="5">
        <f t="shared" si="1"/>
        <v>2975</v>
      </c>
      <c r="G10" s="5">
        <f t="shared" si="2"/>
        <v>8.1506849315068486</v>
      </c>
      <c r="H10" s="5">
        <f t="shared" si="3"/>
        <v>1491.5753424657532</v>
      </c>
      <c r="I10" s="5">
        <f t="shared" si="4"/>
        <v>89.494520547945186</v>
      </c>
      <c r="J10" s="5">
        <f t="shared" si="5"/>
        <v>1402.080821917808</v>
      </c>
      <c r="K10" s="1"/>
      <c r="L10" s="6" t="s">
        <v>919</v>
      </c>
      <c r="M10" s="6" t="s">
        <v>918</v>
      </c>
      <c r="N10" s="6" t="s">
        <v>991</v>
      </c>
    </row>
    <row r="11" spans="1:14" x14ac:dyDescent="0.25">
      <c r="A11" s="6" t="s">
        <v>27</v>
      </c>
      <c r="B11" s="6" t="s">
        <v>992</v>
      </c>
      <c r="C11" s="6" t="s">
        <v>993</v>
      </c>
      <c r="D11" s="6">
        <v>150</v>
      </c>
      <c r="E11" s="5">
        <f t="shared" si="0"/>
        <v>150000</v>
      </c>
      <c r="F11" s="5">
        <f t="shared" si="1"/>
        <v>12750.000000000002</v>
      </c>
      <c r="G11" s="5">
        <f t="shared" si="2"/>
        <v>34.93150684931507</v>
      </c>
      <c r="H11" s="5">
        <f t="shared" si="3"/>
        <v>6392.465753424658</v>
      </c>
      <c r="I11" s="5">
        <f t="shared" si="4"/>
        <v>383.54794520547949</v>
      </c>
      <c r="J11" s="5">
        <f t="shared" si="5"/>
        <v>6008.9178082191784</v>
      </c>
      <c r="K11" s="1"/>
      <c r="L11" s="6" t="s">
        <v>971</v>
      </c>
      <c r="M11" s="6" t="s">
        <v>1000</v>
      </c>
      <c r="N11" s="6" t="s">
        <v>1001</v>
      </c>
    </row>
    <row r="12" spans="1:14" x14ac:dyDescent="0.25">
      <c r="A12" s="6" t="s">
        <v>28</v>
      </c>
      <c r="B12" s="6" t="s">
        <v>1002</v>
      </c>
      <c r="C12" s="6" t="s">
        <v>1003</v>
      </c>
      <c r="D12" s="6">
        <v>25</v>
      </c>
      <c r="E12" s="5">
        <f t="shared" si="0"/>
        <v>25000</v>
      </c>
      <c r="F12" s="5">
        <f t="shared" si="1"/>
        <v>2125</v>
      </c>
      <c r="G12" s="5">
        <f t="shared" si="2"/>
        <v>5.8219178082191778</v>
      </c>
      <c r="H12" s="5">
        <f t="shared" si="3"/>
        <v>1065.4109589041095</v>
      </c>
      <c r="I12" s="5">
        <f t="shared" si="4"/>
        <v>63.92465753424657</v>
      </c>
      <c r="J12" s="5">
        <f t="shared" si="5"/>
        <v>1001.486301369863</v>
      </c>
      <c r="K12" s="1"/>
      <c r="L12" s="6" t="s">
        <v>919</v>
      </c>
      <c r="M12" s="6" t="s">
        <v>1011</v>
      </c>
      <c r="N12" s="6" t="s">
        <v>1012</v>
      </c>
    </row>
    <row r="13" spans="1:14" x14ac:dyDescent="0.25">
      <c r="A13" s="6" t="s">
        <v>0</v>
      </c>
      <c r="B13" s="6" t="s">
        <v>1013</v>
      </c>
      <c r="C13" s="6" t="s">
        <v>1014</v>
      </c>
      <c r="D13" s="6">
        <v>25</v>
      </c>
      <c r="E13" s="5">
        <f t="shared" si="0"/>
        <v>25000</v>
      </c>
      <c r="F13" s="5">
        <f t="shared" si="1"/>
        <v>2125</v>
      </c>
      <c r="G13" s="5">
        <f t="shared" si="2"/>
        <v>5.8219178082191778</v>
      </c>
      <c r="H13" s="5">
        <f t="shared" si="3"/>
        <v>1065.4109589041095</v>
      </c>
      <c r="I13" s="5">
        <f t="shared" si="4"/>
        <v>63.92465753424657</v>
      </c>
      <c r="J13" s="5">
        <f t="shared" si="5"/>
        <v>1001.486301369863</v>
      </c>
      <c r="K13" s="1"/>
      <c r="L13" s="6" t="s">
        <v>8</v>
      </c>
      <c r="M13" s="6" t="s">
        <v>1020</v>
      </c>
      <c r="N13" s="6" t="s">
        <v>1021</v>
      </c>
    </row>
    <row r="14" spans="1:14" x14ac:dyDescent="0.25">
      <c r="A14" s="6" t="s">
        <v>29</v>
      </c>
      <c r="B14" s="6" t="s">
        <v>1022</v>
      </c>
      <c r="C14" s="6" t="s">
        <v>1023</v>
      </c>
      <c r="D14" s="6">
        <v>100</v>
      </c>
      <c r="E14" s="5">
        <f t="shared" si="0"/>
        <v>100000</v>
      </c>
      <c r="F14" s="5">
        <f t="shared" si="1"/>
        <v>8500</v>
      </c>
      <c r="G14" s="5">
        <f t="shared" si="2"/>
        <v>23.287671232876711</v>
      </c>
      <c r="H14" s="5">
        <f t="shared" si="3"/>
        <v>4261.6438356164381</v>
      </c>
      <c r="I14" s="5">
        <f t="shared" si="4"/>
        <v>255.69863013698628</v>
      </c>
      <c r="J14" s="5">
        <f t="shared" si="5"/>
        <v>4005.9452054794519</v>
      </c>
      <c r="K14" s="1"/>
      <c r="L14" s="6" t="s">
        <v>8</v>
      </c>
      <c r="M14" s="6" t="s">
        <v>1020</v>
      </c>
      <c r="N14" s="6" t="s">
        <v>1028</v>
      </c>
    </row>
    <row r="15" spans="1:14" x14ac:dyDescent="0.25">
      <c r="A15" s="6" t="s">
        <v>30</v>
      </c>
      <c r="B15" s="6" t="s">
        <v>1029</v>
      </c>
      <c r="C15" s="6" t="s">
        <v>1030</v>
      </c>
      <c r="D15" s="6">
        <v>25</v>
      </c>
      <c r="E15" s="5">
        <f t="shared" si="0"/>
        <v>25000</v>
      </c>
      <c r="F15" s="5">
        <f t="shared" si="1"/>
        <v>2125</v>
      </c>
      <c r="G15" s="5">
        <f t="shared" si="2"/>
        <v>5.8219178082191778</v>
      </c>
      <c r="H15" s="5">
        <f t="shared" si="3"/>
        <v>1065.4109589041095</v>
      </c>
      <c r="I15" s="5">
        <f t="shared" si="4"/>
        <v>63.92465753424657</v>
      </c>
      <c r="J15" s="5">
        <f t="shared" si="5"/>
        <v>1001.486301369863</v>
      </c>
      <c r="K15" s="1"/>
      <c r="L15" s="6" t="s">
        <v>4</v>
      </c>
      <c r="M15" s="6" t="s">
        <v>1037</v>
      </c>
      <c r="N15" s="6" t="s">
        <v>1038</v>
      </c>
    </row>
    <row r="16" spans="1:14" x14ac:dyDescent="0.25">
      <c r="A16" s="6" t="s">
        <v>31</v>
      </c>
      <c r="B16" s="6" t="s">
        <v>1039</v>
      </c>
      <c r="C16" s="6" t="s">
        <v>1040</v>
      </c>
      <c r="D16" s="6">
        <v>25</v>
      </c>
      <c r="E16" s="5">
        <f t="shared" si="0"/>
        <v>25000</v>
      </c>
      <c r="F16" s="5">
        <f t="shared" si="1"/>
        <v>2125</v>
      </c>
      <c r="G16" s="5">
        <f t="shared" si="2"/>
        <v>5.8219178082191778</v>
      </c>
      <c r="H16" s="5">
        <f t="shared" si="3"/>
        <v>1065.4109589041095</v>
      </c>
      <c r="I16" s="5">
        <f t="shared" si="4"/>
        <v>63.92465753424657</v>
      </c>
      <c r="J16" s="5">
        <f t="shared" si="5"/>
        <v>1001.486301369863</v>
      </c>
      <c r="K16" s="1"/>
      <c r="L16" s="6" t="s">
        <v>971</v>
      </c>
      <c r="M16" s="6" t="s">
        <v>972</v>
      </c>
      <c r="N16" s="6" t="s">
        <v>1045</v>
      </c>
    </row>
    <row r="17" spans="1:14" x14ac:dyDescent="0.25">
      <c r="A17" s="6" t="s">
        <v>32</v>
      </c>
      <c r="B17" s="6" t="s">
        <v>1046</v>
      </c>
      <c r="C17" s="6" t="s">
        <v>1047</v>
      </c>
      <c r="D17" s="6">
        <v>25</v>
      </c>
      <c r="E17" s="5">
        <f t="shared" si="0"/>
        <v>25000</v>
      </c>
      <c r="F17" s="5">
        <f t="shared" si="1"/>
        <v>2125</v>
      </c>
      <c r="G17" s="5">
        <f t="shared" si="2"/>
        <v>5.8219178082191778</v>
      </c>
      <c r="H17" s="5">
        <f t="shared" si="3"/>
        <v>1065.4109589041095</v>
      </c>
      <c r="I17" s="5">
        <f t="shared" si="4"/>
        <v>63.92465753424657</v>
      </c>
      <c r="J17" s="5">
        <f t="shared" si="5"/>
        <v>1001.486301369863</v>
      </c>
      <c r="K17" s="1"/>
      <c r="L17" s="6" t="s">
        <v>1</v>
      </c>
      <c r="M17" s="6" t="s">
        <v>1052</v>
      </c>
      <c r="N17" s="6" t="s">
        <v>1053</v>
      </c>
    </row>
    <row r="18" spans="1:14" x14ac:dyDescent="0.25">
      <c r="A18" s="6" t="s">
        <v>33</v>
      </c>
      <c r="B18" s="6" t="s">
        <v>1054</v>
      </c>
      <c r="C18" s="6" t="s">
        <v>1055</v>
      </c>
      <c r="D18" s="6">
        <v>25</v>
      </c>
      <c r="E18" s="5">
        <f t="shared" si="0"/>
        <v>25000</v>
      </c>
      <c r="F18" s="5">
        <f t="shared" si="1"/>
        <v>2125</v>
      </c>
      <c r="G18" s="5">
        <f t="shared" si="2"/>
        <v>5.8219178082191778</v>
      </c>
      <c r="H18" s="5">
        <f t="shared" si="3"/>
        <v>1065.4109589041095</v>
      </c>
      <c r="I18" s="5">
        <f t="shared" si="4"/>
        <v>63.92465753424657</v>
      </c>
      <c r="J18" s="5">
        <f t="shared" si="5"/>
        <v>1001.486301369863</v>
      </c>
      <c r="K18" s="1"/>
      <c r="L18" s="6" t="s">
        <v>971</v>
      </c>
      <c r="M18" s="6" t="s">
        <v>1062</v>
      </c>
      <c r="N18" s="6" t="s">
        <v>1063</v>
      </c>
    </row>
    <row r="19" spans="1:14" x14ac:dyDescent="0.25">
      <c r="A19" s="6" t="s">
        <v>7</v>
      </c>
      <c r="B19" s="6" t="s">
        <v>1064</v>
      </c>
      <c r="C19" s="6" t="s">
        <v>1065</v>
      </c>
      <c r="D19" s="6">
        <v>25</v>
      </c>
      <c r="E19" s="5">
        <f t="shared" si="0"/>
        <v>25000</v>
      </c>
      <c r="F19" s="5">
        <f t="shared" si="1"/>
        <v>2125</v>
      </c>
      <c r="G19" s="5">
        <f t="shared" si="2"/>
        <v>5.8219178082191778</v>
      </c>
      <c r="H19" s="5">
        <f t="shared" si="3"/>
        <v>1065.4109589041095</v>
      </c>
      <c r="I19" s="5">
        <f t="shared" si="4"/>
        <v>63.92465753424657</v>
      </c>
      <c r="J19" s="5">
        <f t="shared" si="5"/>
        <v>1001.486301369863</v>
      </c>
      <c r="K19" s="1"/>
      <c r="L19" s="6" t="s">
        <v>3</v>
      </c>
      <c r="M19" s="6" t="s">
        <v>1072</v>
      </c>
      <c r="N19" s="6" t="s">
        <v>1073</v>
      </c>
    </row>
    <row r="20" spans="1:14" x14ac:dyDescent="0.25">
      <c r="A20" s="6" t="s">
        <v>34</v>
      </c>
      <c r="B20" s="6" t="s">
        <v>1074</v>
      </c>
      <c r="C20" s="6" t="s">
        <v>1075</v>
      </c>
      <c r="D20" s="6">
        <v>25</v>
      </c>
      <c r="E20" s="5">
        <f t="shared" si="0"/>
        <v>25000</v>
      </c>
      <c r="F20" s="5">
        <f t="shared" si="1"/>
        <v>2125</v>
      </c>
      <c r="G20" s="5">
        <f t="shared" si="2"/>
        <v>5.8219178082191778</v>
      </c>
      <c r="H20" s="5">
        <f t="shared" si="3"/>
        <v>1065.4109589041095</v>
      </c>
      <c r="I20" s="5">
        <f t="shared" si="4"/>
        <v>63.92465753424657</v>
      </c>
      <c r="J20" s="5">
        <f t="shared" si="5"/>
        <v>1001.486301369863</v>
      </c>
      <c r="K20" s="1"/>
      <c r="L20" s="6" t="s">
        <v>971</v>
      </c>
      <c r="M20" s="6" t="s">
        <v>972</v>
      </c>
      <c r="N20" s="6" t="s">
        <v>1080</v>
      </c>
    </row>
    <row r="21" spans="1:14" x14ac:dyDescent="0.25">
      <c r="A21" s="6" t="s">
        <v>12</v>
      </c>
      <c r="B21" s="6" t="s">
        <v>1081</v>
      </c>
      <c r="C21" s="6" t="s">
        <v>1082</v>
      </c>
      <c r="D21" s="6">
        <v>90</v>
      </c>
      <c r="E21" s="5">
        <f t="shared" si="0"/>
        <v>90000</v>
      </c>
      <c r="F21" s="5">
        <f t="shared" si="1"/>
        <v>7650.0000000000009</v>
      </c>
      <c r="G21" s="5">
        <f t="shared" si="2"/>
        <v>20.958904109589042</v>
      </c>
      <c r="H21" s="5">
        <f t="shared" si="3"/>
        <v>3835.4794520547948</v>
      </c>
      <c r="I21" s="5">
        <f t="shared" si="4"/>
        <v>230.12876712328767</v>
      </c>
      <c r="J21" s="5">
        <f t="shared" si="5"/>
        <v>3605.3506849315072</v>
      </c>
      <c r="K21" s="1"/>
      <c r="L21" s="6" t="s">
        <v>1089</v>
      </c>
      <c r="M21" s="6" t="s">
        <v>1090</v>
      </c>
      <c r="N21" s="6" t="s">
        <v>1091</v>
      </c>
    </row>
    <row r="22" spans="1:14" x14ac:dyDescent="0.25">
      <c r="A22" s="6" t="s">
        <v>35</v>
      </c>
      <c r="B22" s="6" t="s">
        <v>1092</v>
      </c>
      <c r="C22" s="6" t="s">
        <v>1093</v>
      </c>
      <c r="D22" s="6">
        <v>25</v>
      </c>
      <c r="E22" s="5">
        <f t="shared" si="0"/>
        <v>25000</v>
      </c>
      <c r="F22" s="5">
        <f t="shared" si="1"/>
        <v>2125</v>
      </c>
      <c r="G22" s="5">
        <f t="shared" si="2"/>
        <v>5.8219178082191778</v>
      </c>
      <c r="H22" s="5">
        <f t="shared" si="3"/>
        <v>1065.4109589041095</v>
      </c>
      <c r="I22" s="5">
        <f t="shared" si="4"/>
        <v>63.92465753424657</v>
      </c>
      <c r="J22" s="5">
        <f t="shared" si="5"/>
        <v>1001.486301369863</v>
      </c>
      <c r="K22" s="1"/>
      <c r="L22" s="6" t="s">
        <v>910</v>
      </c>
      <c r="M22" s="6" t="s">
        <v>1099</v>
      </c>
      <c r="N22" s="6" t="s">
        <v>1100</v>
      </c>
    </row>
    <row r="23" spans="1:14" x14ac:dyDescent="0.25">
      <c r="A23" s="6" t="s">
        <v>36</v>
      </c>
      <c r="B23" s="6" t="s">
        <v>1101</v>
      </c>
      <c r="C23" s="6" t="s">
        <v>1102</v>
      </c>
      <c r="D23" s="6">
        <v>50</v>
      </c>
      <c r="E23" s="5">
        <f t="shared" si="0"/>
        <v>50000</v>
      </c>
      <c r="F23" s="5">
        <f t="shared" si="1"/>
        <v>4250</v>
      </c>
      <c r="G23" s="5">
        <f t="shared" si="2"/>
        <v>11.643835616438356</v>
      </c>
      <c r="H23" s="5">
        <f t="shared" si="3"/>
        <v>2130.821917808219</v>
      </c>
      <c r="I23" s="5">
        <f t="shared" si="4"/>
        <v>127.84931506849314</v>
      </c>
      <c r="J23" s="5">
        <f t="shared" si="5"/>
        <v>2002.972602739726</v>
      </c>
      <c r="K23" s="1"/>
      <c r="L23" s="6" t="s">
        <v>909</v>
      </c>
      <c r="M23" s="6" t="s">
        <v>1108</v>
      </c>
      <c r="N23" s="6" t="s">
        <v>1109</v>
      </c>
    </row>
    <row r="24" spans="1:14" x14ac:dyDescent="0.25">
      <c r="A24" s="6" t="s">
        <v>37</v>
      </c>
      <c r="B24" s="6" t="s">
        <v>1110</v>
      </c>
      <c r="C24" s="6" t="s">
        <v>1111</v>
      </c>
      <c r="D24" s="6">
        <v>25</v>
      </c>
      <c r="E24" s="5">
        <f t="shared" si="0"/>
        <v>25000</v>
      </c>
      <c r="F24" s="5">
        <f t="shared" si="1"/>
        <v>2125</v>
      </c>
      <c r="G24" s="5">
        <f t="shared" si="2"/>
        <v>5.8219178082191778</v>
      </c>
      <c r="H24" s="5">
        <f t="shared" si="3"/>
        <v>1065.4109589041095</v>
      </c>
      <c r="I24" s="5">
        <f t="shared" si="4"/>
        <v>63.92465753424657</v>
      </c>
      <c r="J24" s="5">
        <f t="shared" si="5"/>
        <v>1001.486301369863</v>
      </c>
      <c r="K24" s="1"/>
      <c r="L24" s="6" t="s">
        <v>1118</v>
      </c>
      <c r="M24" s="6" t="s">
        <v>1119</v>
      </c>
      <c r="N24" s="6" t="s">
        <v>1120</v>
      </c>
    </row>
    <row r="25" spans="1:14" x14ac:dyDescent="0.25">
      <c r="A25" s="6" t="s">
        <v>38</v>
      </c>
      <c r="B25" s="6" t="s">
        <v>1121</v>
      </c>
      <c r="C25" s="6" t="s">
        <v>1122</v>
      </c>
      <c r="D25" s="6">
        <v>190</v>
      </c>
      <c r="E25" s="5">
        <f t="shared" si="0"/>
        <v>190000</v>
      </c>
      <c r="F25" s="5">
        <f t="shared" si="1"/>
        <v>16150.000000000002</v>
      </c>
      <c r="G25" s="5">
        <f t="shared" si="2"/>
        <v>44.246575342465761</v>
      </c>
      <c r="H25" s="5">
        <f t="shared" si="3"/>
        <v>8097.1232876712338</v>
      </c>
      <c r="I25" s="5">
        <f t="shared" si="4"/>
        <v>485.82739726027398</v>
      </c>
      <c r="J25" s="5">
        <f t="shared" si="5"/>
        <v>7611.2958904109601</v>
      </c>
      <c r="K25" s="1"/>
      <c r="L25" s="6" t="s">
        <v>8</v>
      </c>
      <c r="M25" s="6" t="s">
        <v>1129</v>
      </c>
      <c r="N25" s="6" t="s">
        <v>1130</v>
      </c>
    </row>
    <row r="26" spans="1:14" x14ac:dyDescent="0.25">
      <c r="A26" s="6" t="s">
        <v>39</v>
      </c>
      <c r="B26" s="6" t="s">
        <v>1131</v>
      </c>
      <c r="C26" s="6" t="s">
        <v>1132</v>
      </c>
      <c r="D26" s="6">
        <v>25</v>
      </c>
      <c r="E26" s="5">
        <f t="shared" si="0"/>
        <v>25000</v>
      </c>
      <c r="F26" s="5">
        <f t="shared" si="1"/>
        <v>2125</v>
      </c>
      <c r="G26" s="5">
        <f t="shared" si="2"/>
        <v>5.8219178082191778</v>
      </c>
      <c r="H26" s="5">
        <f t="shared" si="3"/>
        <v>1065.4109589041095</v>
      </c>
      <c r="I26" s="5">
        <f t="shared" si="4"/>
        <v>63.92465753424657</v>
      </c>
      <c r="J26" s="5">
        <f t="shared" si="5"/>
        <v>1001.486301369863</v>
      </c>
      <c r="K26" s="1"/>
      <c r="L26" s="6" t="s">
        <v>915</v>
      </c>
      <c r="M26" s="6" t="s">
        <v>1139</v>
      </c>
      <c r="N26" s="6" t="s">
        <v>1140</v>
      </c>
    </row>
    <row r="27" spans="1:14" x14ac:dyDescent="0.25">
      <c r="A27" s="6" t="s">
        <v>40</v>
      </c>
      <c r="B27" s="6" t="s">
        <v>1141</v>
      </c>
      <c r="C27" s="6" t="s">
        <v>1142</v>
      </c>
      <c r="D27" s="6">
        <v>25</v>
      </c>
      <c r="E27" s="5">
        <f t="shared" si="0"/>
        <v>25000</v>
      </c>
      <c r="F27" s="5">
        <f t="shared" si="1"/>
        <v>2125</v>
      </c>
      <c r="G27" s="5">
        <f t="shared" si="2"/>
        <v>5.8219178082191778</v>
      </c>
      <c r="H27" s="5">
        <f t="shared" si="3"/>
        <v>1065.4109589041095</v>
      </c>
      <c r="I27" s="5">
        <f t="shared" si="4"/>
        <v>63.92465753424657</v>
      </c>
      <c r="J27" s="5">
        <f t="shared" si="5"/>
        <v>1001.486301369863</v>
      </c>
      <c r="K27" s="1"/>
      <c r="L27" s="6" t="s">
        <v>13</v>
      </c>
      <c r="M27" s="6" t="s">
        <v>1147</v>
      </c>
      <c r="N27" s="6" t="s">
        <v>1148</v>
      </c>
    </row>
    <row r="28" spans="1:14" x14ac:dyDescent="0.25">
      <c r="A28" s="6" t="s">
        <v>41</v>
      </c>
      <c r="B28" s="6" t="s">
        <v>1149</v>
      </c>
      <c r="C28" s="6" t="s">
        <v>1150</v>
      </c>
      <c r="D28" s="6">
        <v>525</v>
      </c>
      <c r="E28" s="5">
        <f t="shared" si="0"/>
        <v>525000</v>
      </c>
      <c r="F28" s="5">
        <f t="shared" si="1"/>
        <v>44625</v>
      </c>
      <c r="G28" s="5">
        <f t="shared" si="2"/>
        <v>122.26027397260275</v>
      </c>
      <c r="H28" s="5">
        <f t="shared" si="3"/>
        <v>22373.630136986303</v>
      </c>
      <c r="I28" s="5">
        <f t="shared" si="4"/>
        <v>1342.4178082191781</v>
      </c>
      <c r="J28" s="5">
        <f t="shared" si="5"/>
        <v>21031.212328767124</v>
      </c>
      <c r="K28" s="1"/>
      <c r="L28" s="6" t="s">
        <v>915</v>
      </c>
      <c r="M28" s="6" t="s">
        <v>1157</v>
      </c>
      <c r="N28" s="6" t="s">
        <v>1158</v>
      </c>
    </row>
    <row r="29" spans="1:14" x14ac:dyDescent="0.25">
      <c r="A29" s="6" t="s">
        <v>42</v>
      </c>
      <c r="B29" s="6" t="s">
        <v>1159</v>
      </c>
      <c r="C29" s="6" t="s">
        <v>1160</v>
      </c>
      <c r="D29" s="6">
        <v>25</v>
      </c>
      <c r="E29" s="5">
        <f t="shared" si="0"/>
        <v>25000</v>
      </c>
      <c r="F29" s="5">
        <f t="shared" si="1"/>
        <v>2125</v>
      </c>
      <c r="G29" s="5">
        <f t="shared" si="2"/>
        <v>5.8219178082191778</v>
      </c>
      <c r="H29" s="5">
        <f t="shared" si="3"/>
        <v>1065.4109589041095</v>
      </c>
      <c r="I29" s="5">
        <f t="shared" si="4"/>
        <v>63.92465753424657</v>
      </c>
      <c r="J29" s="5">
        <f t="shared" si="5"/>
        <v>1001.486301369863</v>
      </c>
      <c r="K29" s="1"/>
      <c r="L29" s="6" t="s">
        <v>10</v>
      </c>
      <c r="M29" s="6" t="s">
        <v>1167</v>
      </c>
      <c r="N29" s="6" t="s">
        <v>1168</v>
      </c>
    </row>
    <row r="30" spans="1:14" x14ac:dyDescent="0.25">
      <c r="A30" s="6" t="s">
        <v>43</v>
      </c>
      <c r="B30" s="6" t="s">
        <v>1169</v>
      </c>
      <c r="C30" s="6" t="s">
        <v>1170</v>
      </c>
      <c r="D30" s="6">
        <v>3500</v>
      </c>
      <c r="E30" s="5">
        <f t="shared" si="0"/>
        <v>3500000</v>
      </c>
      <c r="F30" s="5">
        <f t="shared" si="1"/>
        <v>297500</v>
      </c>
      <c r="G30" s="5">
        <f t="shared" si="2"/>
        <v>815.06849315068496</v>
      </c>
      <c r="H30" s="5">
        <f t="shared" si="3"/>
        <v>149157.53424657535</v>
      </c>
      <c r="I30" s="5">
        <f t="shared" si="4"/>
        <v>8949.4520547945212</v>
      </c>
      <c r="J30" s="5">
        <f t="shared" si="5"/>
        <v>140208.08219178082</v>
      </c>
      <c r="K30" s="1"/>
      <c r="L30" s="6" t="s">
        <v>8</v>
      </c>
      <c r="M30" s="6" t="s">
        <v>1177</v>
      </c>
      <c r="N30" s="6" t="s">
        <v>1178</v>
      </c>
    </row>
    <row r="31" spans="1:14" x14ac:dyDescent="0.25">
      <c r="A31" s="6" t="s">
        <v>44</v>
      </c>
      <c r="B31" s="6" t="s">
        <v>1179</v>
      </c>
      <c r="C31" s="6" t="s">
        <v>1180</v>
      </c>
      <c r="D31" s="6">
        <v>25</v>
      </c>
      <c r="E31" s="5">
        <f t="shared" si="0"/>
        <v>25000</v>
      </c>
      <c r="F31" s="5">
        <f t="shared" si="1"/>
        <v>2125</v>
      </c>
      <c r="G31" s="5">
        <f t="shared" si="2"/>
        <v>5.8219178082191778</v>
      </c>
      <c r="H31" s="5">
        <f t="shared" si="3"/>
        <v>1065.4109589041095</v>
      </c>
      <c r="I31" s="5">
        <f t="shared" si="4"/>
        <v>63.92465753424657</v>
      </c>
      <c r="J31" s="5">
        <f t="shared" si="5"/>
        <v>1001.486301369863</v>
      </c>
      <c r="K31" s="1"/>
      <c r="L31" s="6" t="s">
        <v>4</v>
      </c>
      <c r="M31" s="6" t="s">
        <v>924</v>
      </c>
      <c r="N31" s="6" t="s">
        <v>1186</v>
      </c>
    </row>
    <row r="32" spans="1:14" x14ac:dyDescent="0.25">
      <c r="A32" s="6" t="s">
        <v>45</v>
      </c>
      <c r="B32" s="6" t="s">
        <v>1187</v>
      </c>
      <c r="C32" s="6" t="s">
        <v>1188</v>
      </c>
      <c r="D32" s="6">
        <v>25</v>
      </c>
      <c r="E32" s="5">
        <f t="shared" si="0"/>
        <v>25000</v>
      </c>
      <c r="F32" s="5">
        <f t="shared" si="1"/>
        <v>2125</v>
      </c>
      <c r="G32" s="5">
        <f t="shared" si="2"/>
        <v>5.8219178082191778</v>
      </c>
      <c r="H32" s="5">
        <f t="shared" si="3"/>
        <v>1065.4109589041095</v>
      </c>
      <c r="I32" s="5">
        <f t="shared" si="4"/>
        <v>63.92465753424657</v>
      </c>
      <c r="J32" s="5">
        <f t="shared" si="5"/>
        <v>1001.486301369863</v>
      </c>
      <c r="K32" s="1"/>
      <c r="L32" s="6" t="s">
        <v>910</v>
      </c>
      <c r="M32" s="6" t="s">
        <v>1194</v>
      </c>
      <c r="N32" s="6" t="s">
        <v>1195</v>
      </c>
    </row>
    <row r="33" spans="1:14" x14ac:dyDescent="0.25">
      <c r="A33" s="6" t="s">
        <v>46</v>
      </c>
      <c r="B33" s="6" t="s">
        <v>1196</v>
      </c>
      <c r="C33" s="6" t="s">
        <v>1197</v>
      </c>
      <c r="D33" s="6">
        <v>25</v>
      </c>
      <c r="E33" s="5">
        <f t="shared" si="0"/>
        <v>25000</v>
      </c>
      <c r="F33" s="5">
        <f t="shared" si="1"/>
        <v>2125</v>
      </c>
      <c r="G33" s="5">
        <f t="shared" si="2"/>
        <v>5.8219178082191778</v>
      </c>
      <c r="H33" s="5">
        <f t="shared" si="3"/>
        <v>1065.4109589041095</v>
      </c>
      <c r="I33" s="5">
        <f t="shared" si="4"/>
        <v>63.92465753424657</v>
      </c>
      <c r="J33" s="5">
        <f t="shared" si="5"/>
        <v>1001.486301369863</v>
      </c>
      <c r="K33" s="1"/>
      <c r="L33" s="6" t="s">
        <v>915</v>
      </c>
      <c r="M33" s="6" t="s">
        <v>926</v>
      </c>
      <c r="N33" s="6" t="s">
        <v>1203</v>
      </c>
    </row>
    <row r="34" spans="1:14" x14ac:dyDescent="0.25">
      <c r="A34" s="6" t="s">
        <v>9</v>
      </c>
      <c r="B34" s="6" t="s">
        <v>1204</v>
      </c>
      <c r="C34" s="6" t="s">
        <v>1205</v>
      </c>
      <c r="D34" s="6">
        <v>25</v>
      </c>
      <c r="E34" s="5">
        <f t="shared" si="0"/>
        <v>25000</v>
      </c>
      <c r="F34" s="5">
        <f t="shared" si="1"/>
        <v>2125</v>
      </c>
      <c r="G34" s="5">
        <f t="shared" si="2"/>
        <v>5.8219178082191778</v>
      </c>
      <c r="H34" s="5">
        <f t="shared" si="3"/>
        <v>1065.4109589041095</v>
      </c>
      <c r="I34" s="5">
        <f t="shared" si="4"/>
        <v>63.92465753424657</v>
      </c>
      <c r="J34" s="5">
        <f t="shared" si="5"/>
        <v>1001.486301369863</v>
      </c>
      <c r="K34" s="1"/>
      <c r="L34" s="6" t="s">
        <v>910</v>
      </c>
      <c r="M34" s="6" t="s">
        <v>981</v>
      </c>
      <c r="N34" s="6" t="s">
        <v>1210</v>
      </c>
    </row>
    <row r="35" spans="1:14" x14ac:dyDescent="0.25">
      <c r="A35" s="6" t="s">
        <v>6</v>
      </c>
      <c r="B35" s="6" t="s">
        <v>1211</v>
      </c>
      <c r="C35" s="6" t="s">
        <v>1212</v>
      </c>
      <c r="D35" s="6">
        <v>100</v>
      </c>
      <c r="E35" s="5">
        <f t="shared" si="0"/>
        <v>100000</v>
      </c>
      <c r="F35" s="5">
        <f t="shared" si="1"/>
        <v>8500</v>
      </c>
      <c r="G35" s="5">
        <f t="shared" si="2"/>
        <v>23.287671232876711</v>
      </c>
      <c r="H35" s="5">
        <f t="shared" si="3"/>
        <v>4261.6438356164381</v>
      </c>
      <c r="I35" s="5">
        <f t="shared" si="4"/>
        <v>255.69863013698628</v>
      </c>
      <c r="J35" s="5">
        <f t="shared" si="5"/>
        <v>4005.9452054794519</v>
      </c>
      <c r="K35" s="1"/>
      <c r="L35" s="6" t="s">
        <v>1218</v>
      </c>
      <c r="M35" s="6" t="s">
        <v>1219</v>
      </c>
      <c r="N35" s="6" t="s">
        <v>1220</v>
      </c>
    </row>
    <row r="36" spans="1:14" x14ac:dyDescent="0.25">
      <c r="A36" s="6" t="s">
        <v>47</v>
      </c>
      <c r="B36" s="6" t="s">
        <v>1221</v>
      </c>
      <c r="C36" s="6" t="s">
        <v>1222</v>
      </c>
      <c r="D36" s="6">
        <v>100</v>
      </c>
      <c r="E36" s="5">
        <f t="shared" si="0"/>
        <v>100000</v>
      </c>
      <c r="F36" s="5">
        <f t="shared" si="1"/>
        <v>8500</v>
      </c>
      <c r="G36" s="5">
        <f t="shared" si="2"/>
        <v>23.287671232876711</v>
      </c>
      <c r="H36" s="5">
        <f t="shared" si="3"/>
        <v>4261.6438356164381</v>
      </c>
      <c r="I36" s="5">
        <f t="shared" si="4"/>
        <v>255.69863013698628</v>
      </c>
      <c r="J36" s="5">
        <f t="shared" si="5"/>
        <v>4005.9452054794519</v>
      </c>
      <c r="K36" s="1"/>
      <c r="L36" s="6" t="s">
        <v>915</v>
      </c>
      <c r="M36" s="6" t="s">
        <v>1228</v>
      </c>
      <c r="N36" s="6" t="s">
        <v>1229</v>
      </c>
    </row>
    <row r="37" spans="1:14" x14ac:dyDescent="0.25">
      <c r="A37" s="6" t="s">
        <v>11</v>
      </c>
      <c r="B37" s="6" t="s">
        <v>1230</v>
      </c>
      <c r="C37" s="6" t="s">
        <v>1231</v>
      </c>
      <c r="D37" s="6">
        <v>30</v>
      </c>
      <c r="E37" s="5">
        <f t="shared" si="0"/>
        <v>30000</v>
      </c>
      <c r="F37" s="5">
        <f t="shared" si="1"/>
        <v>2550</v>
      </c>
      <c r="G37" s="5">
        <f t="shared" si="2"/>
        <v>6.9863013698630141</v>
      </c>
      <c r="H37" s="5">
        <f t="shared" si="3"/>
        <v>1278.4931506849316</v>
      </c>
      <c r="I37" s="5">
        <f t="shared" si="4"/>
        <v>76.709589041095896</v>
      </c>
      <c r="J37" s="5">
        <f t="shared" si="5"/>
        <v>1201.7835616438358</v>
      </c>
      <c r="K37" s="1"/>
      <c r="L37" s="6" t="s">
        <v>909</v>
      </c>
      <c r="M37" s="6" t="s">
        <v>1237</v>
      </c>
      <c r="N37" s="6" t="s">
        <v>1238</v>
      </c>
    </row>
    <row r="38" spans="1:14" x14ac:dyDescent="0.25">
      <c r="A38" s="6" t="s">
        <v>48</v>
      </c>
      <c r="B38" s="6" t="s">
        <v>1239</v>
      </c>
      <c r="C38" s="6" t="s">
        <v>1240</v>
      </c>
      <c r="D38" s="6">
        <v>25</v>
      </c>
      <c r="E38" s="5">
        <f t="shared" si="0"/>
        <v>25000</v>
      </c>
      <c r="F38" s="5">
        <f t="shared" si="1"/>
        <v>2125</v>
      </c>
      <c r="G38" s="5">
        <f t="shared" si="2"/>
        <v>5.8219178082191778</v>
      </c>
      <c r="H38" s="5">
        <f t="shared" si="3"/>
        <v>1065.4109589041095</v>
      </c>
      <c r="I38" s="5">
        <f t="shared" si="4"/>
        <v>63.92465753424657</v>
      </c>
      <c r="J38" s="5">
        <f t="shared" si="5"/>
        <v>1001.486301369863</v>
      </c>
      <c r="K38" s="1"/>
      <c r="L38" s="6" t="s">
        <v>915</v>
      </c>
      <c r="M38" s="6" t="s">
        <v>1228</v>
      </c>
      <c r="N38" s="6" t="s">
        <v>1245</v>
      </c>
    </row>
    <row r="39" spans="1:14" x14ac:dyDescent="0.25">
      <c r="A39" s="6" t="s">
        <v>49</v>
      </c>
      <c r="B39" s="6" t="s">
        <v>1246</v>
      </c>
      <c r="C39" s="6" t="s">
        <v>1247</v>
      </c>
      <c r="D39" s="6">
        <v>203</v>
      </c>
      <c r="E39" s="5">
        <f t="shared" si="0"/>
        <v>203000</v>
      </c>
      <c r="F39" s="5">
        <f t="shared" si="1"/>
        <v>17255</v>
      </c>
      <c r="G39" s="5">
        <f t="shared" si="2"/>
        <v>47.273972602739725</v>
      </c>
      <c r="H39" s="5">
        <f t="shared" si="3"/>
        <v>8651.1369863013697</v>
      </c>
      <c r="I39" s="5">
        <f t="shared" si="4"/>
        <v>519.06821917808213</v>
      </c>
      <c r="J39" s="5">
        <f t="shared" si="5"/>
        <v>8132.0687671232872</v>
      </c>
      <c r="K39" s="1"/>
      <c r="L39" s="6" t="s">
        <v>4</v>
      </c>
      <c r="M39" s="6" t="s">
        <v>924</v>
      </c>
      <c r="N39" s="6" t="s">
        <v>1252</v>
      </c>
    </row>
    <row r="40" spans="1:14" x14ac:dyDescent="0.25">
      <c r="A40" s="6" t="s">
        <v>50</v>
      </c>
      <c r="B40" s="6" t="s">
        <v>1253</v>
      </c>
      <c r="C40" s="6" t="s">
        <v>1254</v>
      </c>
      <c r="D40" s="6">
        <v>25</v>
      </c>
      <c r="E40" s="5">
        <f t="shared" si="0"/>
        <v>25000</v>
      </c>
      <c r="F40" s="5">
        <f t="shared" si="1"/>
        <v>2125</v>
      </c>
      <c r="G40" s="5">
        <f t="shared" si="2"/>
        <v>5.8219178082191778</v>
      </c>
      <c r="H40" s="5">
        <f t="shared" si="3"/>
        <v>1065.4109589041095</v>
      </c>
      <c r="I40" s="5">
        <f t="shared" si="4"/>
        <v>63.92465753424657</v>
      </c>
      <c r="J40" s="5">
        <f t="shared" si="5"/>
        <v>1001.486301369863</v>
      </c>
      <c r="K40" s="1"/>
      <c r="L40" s="6" t="s">
        <v>1262</v>
      </c>
      <c r="M40" s="6" t="s">
        <v>1263</v>
      </c>
      <c r="N40" s="6" t="s">
        <v>1264</v>
      </c>
    </row>
    <row r="41" spans="1:14" x14ac:dyDescent="0.25">
      <c r="A41" s="6" t="s">
        <v>51</v>
      </c>
      <c r="B41" s="6" t="s">
        <v>1265</v>
      </c>
      <c r="C41" s="6" t="s">
        <v>1266</v>
      </c>
      <c r="D41" s="6">
        <v>25</v>
      </c>
      <c r="E41" s="5">
        <f t="shared" si="0"/>
        <v>25000</v>
      </c>
      <c r="F41" s="5">
        <f t="shared" si="1"/>
        <v>2125</v>
      </c>
      <c r="G41" s="5">
        <f t="shared" si="2"/>
        <v>5.8219178082191778</v>
      </c>
      <c r="H41" s="5">
        <f t="shared" si="3"/>
        <v>1065.4109589041095</v>
      </c>
      <c r="I41" s="5">
        <f t="shared" si="4"/>
        <v>63.92465753424657</v>
      </c>
      <c r="J41" s="5">
        <f t="shared" si="5"/>
        <v>1001.486301369863</v>
      </c>
      <c r="K41" s="1"/>
      <c r="L41" s="6" t="s">
        <v>971</v>
      </c>
      <c r="M41" s="6" t="s">
        <v>1272</v>
      </c>
      <c r="N41" s="6" t="s">
        <v>1273</v>
      </c>
    </row>
    <row r="42" spans="1:14" x14ac:dyDescent="0.25">
      <c r="A42" s="6" t="s">
        <v>52</v>
      </c>
      <c r="B42" s="6" t="s">
        <v>1274</v>
      </c>
      <c r="C42" s="6" t="s">
        <v>1275</v>
      </c>
      <c r="D42" s="6">
        <v>25</v>
      </c>
      <c r="E42" s="5">
        <f t="shared" si="0"/>
        <v>25000</v>
      </c>
      <c r="F42" s="5">
        <f t="shared" si="1"/>
        <v>2125</v>
      </c>
      <c r="G42" s="5">
        <f t="shared" si="2"/>
        <v>5.8219178082191778</v>
      </c>
      <c r="H42" s="5">
        <f t="shared" si="3"/>
        <v>1065.4109589041095</v>
      </c>
      <c r="I42" s="5">
        <f t="shared" si="4"/>
        <v>63.92465753424657</v>
      </c>
      <c r="J42" s="5">
        <f t="shared" si="5"/>
        <v>1001.486301369863</v>
      </c>
      <c r="K42" s="1"/>
      <c r="L42" s="6" t="s">
        <v>909</v>
      </c>
      <c r="M42" s="6" t="s">
        <v>1237</v>
      </c>
      <c r="N42" s="6" t="s">
        <v>1280</v>
      </c>
    </row>
    <row r="43" spans="1:14" x14ac:dyDescent="0.25">
      <c r="A43" s="6" t="s">
        <v>53</v>
      </c>
      <c r="B43" s="6" t="s">
        <v>1281</v>
      </c>
      <c r="C43" s="6" t="s">
        <v>1282</v>
      </c>
      <c r="D43" s="6">
        <v>25</v>
      </c>
      <c r="E43" s="5">
        <f t="shared" si="0"/>
        <v>25000</v>
      </c>
      <c r="F43" s="5">
        <f t="shared" si="1"/>
        <v>2125</v>
      </c>
      <c r="G43" s="5">
        <f t="shared" si="2"/>
        <v>5.8219178082191778</v>
      </c>
      <c r="H43" s="5">
        <f t="shared" si="3"/>
        <v>1065.4109589041095</v>
      </c>
      <c r="I43" s="5">
        <f t="shared" si="4"/>
        <v>63.92465753424657</v>
      </c>
      <c r="J43" s="5">
        <f t="shared" si="5"/>
        <v>1001.486301369863</v>
      </c>
      <c r="K43" s="1"/>
      <c r="L43" s="6" t="s">
        <v>1289</v>
      </c>
      <c r="M43" s="6" t="s">
        <v>1290</v>
      </c>
      <c r="N43" s="6" t="s">
        <v>1291</v>
      </c>
    </row>
    <row r="44" spans="1:14" x14ac:dyDescent="0.25">
      <c r="A44" s="6" t="s">
        <v>54</v>
      </c>
      <c r="B44" s="6" t="s">
        <v>1292</v>
      </c>
      <c r="C44" s="6" t="s">
        <v>1293</v>
      </c>
      <c r="D44" s="6">
        <v>25</v>
      </c>
      <c r="E44" s="5">
        <f t="shared" si="0"/>
        <v>25000</v>
      </c>
      <c r="F44" s="5">
        <f t="shared" si="1"/>
        <v>2125</v>
      </c>
      <c r="G44" s="5">
        <f t="shared" si="2"/>
        <v>5.8219178082191778</v>
      </c>
      <c r="H44" s="5">
        <f t="shared" si="3"/>
        <v>1065.4109589041095</v>
      </c>
      <c r="I44" s="5">
        <f t="shared" si="4"/>
        <v>63.92465753424657</v>
      </c>
      <c r="J44" s="5">
        <f t="shared" si="5"/>
        <v>1001.486301369863</v>
      </c>
      <c r="K44" s="1"/>
      <c r="L44" s="6" t="s">
        <v>912</v>
      </c>
      <c r="M44" s="6" t="s">
        <v>1300</v>
      </c>
      <c r="N44" s="6" t="s">
        <v>1301</v>
      </c>
    </row>
    <row r="45" spans="1:14" x14ac:dyDescent="0.25">
      <c r="A45" s="6" t="s">
        <v>55</v>
      </c>
      <c r="B45" s="6" t="s">
        <v>1302</v>
      </c>
      <c r="C45" s="6" t="s">
        <v>1303</v>
      </c>
      <c r="D45" s="6">
        <v>25</v>
      </c>
      <c r="E45" s="5">
        <f t="shared" si="0"/>
        <v>25000</v>
      </c>
      <c r="F45" s="5">
        <f t="shared" si="1"/>
        <v>2125</v>
      </c>
      <c r="G45" s="5">
        <f t="shared" si="2"/>
        <v>5.8219178082191778</v>
      </c>
      <c r="H45" s="5">
        <f t="shared" si="3"/>
        <v>1065.4109589041095</v>
      </c>
      <c r="I45" s="5">
        <f t="shared" si="4"/>
        <v>63.92465753424657</v>
      </c>
      <c r="J45" s="5">
        <f t="shared" si="5"/>
        <v>1001.486301369863</v>
      </c>
      <c r="K45" s="1"/>
      <c r="L45" s="6" t="s">
        <v>1310</v>
      </c>
      <c r="M45" s="6" t="s">
        <v>1311</v>
      </c>
      <c r="N45" s="6" t="s">
        <v>1312</v>
      </c>
    </row>
    <row r="46" spans="1:14" x14ac:dyDescent="0.25">
      <c r="A46" s="6" t="s">
        <v>56</v>
      </c>
      <c r="B46" s="6" t="s">
        <v>1313</v>
      </c>
      <c r="C46" s="6" t="s">
        <v>1314</v>
      </c>
      <c r="D46" s="6">
        <v>100</v>
      </c>
      <c r="E46" s="5">
        <f t="shared" si="0"/>
        <v>100000</v>
      </c>
      <c r="F46" s="5">
        <f t="shared" si="1"/>
        <v>8500</v>
      </c>
      <c r="G46" s="5">
        <f t="shared" si="2"/>
        <v>23.287671232876711</v>
      </c>
      <c r="H46" s="5">
        <f t="shared" si="3"/>
        <v>4261.6438356164381</v>
      </c>
      <c r="I46" s="5">
        <f t="shared" si="4"/>
        <v>255.69863013698628</v>
      </c>
      <c r="J46" s="5">
        <f t="shared" si="5"/>
        <v>4005.9452054794519</v>
      </c>
      <c r="K46" s="1"/>
      <c r="L46" s="6" t="s">
        <v>1089</v>
      </c>
      <c r="M46" s="6" t="s">
        <v>1319</v>
      </c>
      <c r="N46" s="6" t="s">
        <v>1320</v>
      </c>
    </row>
    <row r="47" spans="1:14" x14ac:dyDescent="0.25">
      <c r="A47" s="6" t="s">
        <v>57</v>
      </c>
      <c r="B47" s="6" t="s">
        <v>1321</v>
      </c>
      <c r="C47" s="6" t="s">
        <v>1322</v>
      </c>
      <c r="D47" s="6">
        <v>100</v>
      </c>
      <c r="E47" s="5">
        <f t="shared" si="0"/>
        <v>100000</v>
      </c>
      <c r="F47" s="5">
        <f t="shared" si="1"/>
        <v>8500</v>
      </c>
      <c r="G47" s="5">
        <f t="shared" si="2"/>
        <v>23.287671232876711</v>
      </c>
      <c r="H47" s="5">
        <f t="shared" si="3"/>
        <v>4261.6438356164381</v>
      </c>
      <c r="I47" s="5">
        <f t="shared" si="4"/>
        <v>255.69863013698628</v>
      </c>
      <c r="J47" s="5">
        <f t="shared" si="5"/>
        <v>4005.9452054794519</v>
      </c>
      <c r="K47" s="1"/>
      <c r="L47" s="6" t="s">
        <v>2</v>
      </c>
      <c r="M47" s="6" t="s">
        <v>1327</v>
      </c>
      <c r="N47" s="6" t="s">
        <v>1328</v>
      </c>
    </row>
    <row r="48" spans="1:14" x14ac:dyDescent="0.25">
      <c r="A48" s="6" t="s">
        <v>58</v>
      </c>
      <c r="B48" s="6" t="s">
        <v>1329</v>
      </c>
      <c r="C48" s="6" t="s">
        <v>1330</v>
      </c>
      <c r="D48" s="6">
        <v>25</v>
      </c>
      <c r="E48" s="5">
        <f t="shared" si="0"/>
        <v>25000</v>
      </c>
      <c r="F48" s="5">
        <f t="shared" si="1"/>
        <v>2125</v>
      </c>
      <c r="G48" s="5">
        <f t="shared" si="2"/>
        <v>5.8219178082191778</v>
      </c>
      <c r="H48" s="5">
        <f t="shared" si="3"/>
        <v>1065.4109589041095</v>
      </c>
      <c r="I48" s="5">
        <f t="shared" si="4"/>
        <v>63.92465753424657</v>
      </c>
      <c r="J48" s="5">
        <f t="shared" si="5"/>
        <v>1001.486301369863</v>
      </c>
      <c r="K48" s="1"/>
      <c r="L48" s="6" t="s">
        <v>1335</v>
      </c>
      <c r="M48" s="6" t="s">
        <v>1336</v>
      </c>
      <c r="N48" s="6" t="s">
        <v>1337</v>
      </c>
    </row>
    <row r="49" spans="1:14" x14ac:dyDescent="0.25">
      <c r="A49" s="6" t="s">
        <v>59</v>
      </c>
      <c r="B49" s="6" t="s">
        <v>1338</v>
      </c>
      <c r="C49" s="6" t="s">
        <v>1339</v>
      </c>
      <c r="D49" s="6">
        <v>1000</v>
      </c>
      <c r="E49" s="5">
        <f t="shared" si="0"/>
        <v>1000000</v>
      </c>
      <c r="F49" s="5">
        <f t="shared" si="1"/>
        <v>85000</v>
      </c>
      <c r="G49" s="5">
        <f t="shared" si="2"/>
        <v>232.87671232876713</v>
      </c>
      <c r="H49" s="5">
        <f t="shared" si="3"/>
        <v>42616.438356164384</v>
      </c>
      <c r="I49" s="5">
        <f t="shared" si="4"/>
        <v>2556.9863013698628</v>
      </c>
      <c r="J49" s="5">
        <f t="shared" si="5"/>
        <v>40059.452054794521</v>
      </c>
      <c r="K49" s="1"/>
      <c r="L49" s="6" t="s">
        <v>13</v>
      </c>
      <c r="M49" s="6" t="s">
        <v>1346</v>
      </c>
      <c r="N49" s="6" t="s">
        <v>1347</v>
      </c>
    </row>
    <row r="50" spans="1:14" x14ac:dyDescent="0.25">
      <c r="A50" s="6" t="s">
        <v>60</v>
      </c>
      <c r="B50" s="6" t="s">
        <v>1348</v>
      </c>
      <c r="C50" s="6" t="s">
        <v>1349</v>
      </c>
      <c r="D50" s="6">
        <v>25</v>
      </c>
      <c r="E50" s="5">
        <f t="shared" si="0"/>
        <v>25000</v>
      </c>
      <c r="F50" s="5">
        <f t="shared" si="1"/>
        <v>2125</v>
      </c>
      <c r="G50" s="5">
        <f t="shared" si="2"/>
        <v>5.8219178082191778</v>
      </c>
      <c r="H50" s="5">
        <f t="shared" si="3"/>
        <v>1065.4109589041095</v>
      </c>
      <c r="I50" s="5">
        <f t="shared" si="4"/>
        <v>63.92465753424657</v>
      </c>
      <c r="J50" s="5">
        <f t="shared" si="5"/>
        <v>1001.486301369863</v>
      </c>
      <c r="K50" s="1"/>
      <c r="L50" s="6" t="s">
        <v>1218</v>
      </c>
      <c r="M50" s="6" t="s">
        <v>1355</v>
      </c>
      <c r="N50" s="6" t="s">
        <v>1356</v>
      </c>
    </row>
    <row r="51" spans="1:14" x14ac:dyDescent="0.25">
      <c r="A51" s="6" t="s">
        <v>61</v>
      </c>
      <c r="B51" s="6" t="s">
        <v>1357</v>
      </c>
      <c r="C51" s="6" t="s">
        <v>1358</v>
      </c>
      <c r="D51" s="6">
        <v>25</v>
      </c>
      <c r="E51" s="5">
        <f t="shared" si="0"/>
        <v>25000</v>
      </c>
      <c r="F51" s="5">
        <f t="shared" si="1"/>
        <v>2125</v>
      </c>
      <c r="G51" s="5">
        <f t="shared" si="2"/>
        <v>5.8219178082191778</v>
      </c>
      <c r="H51" s="5">
        <f t="shared" si="3"/>
        <v>1065.4109589041095</v>
      </c>
      <c r="I51" s="5">
        <f t="shared" si="4"/>
        <v>63.92465753424657</v>
      </c>
      <c r="J51" s="5">
        <f t="shared" si="5"/>
        <v>1001.486301369863</v>
      </c>
      <c r="K51" s="1"/>
      <c r="L51" s="6" t="s">
        <v>971</v>
      </c>
      <c r="M51" s="6" t="s">
        <v>1365</v>
      </c>
      <c r="N51" s="6" t="s">
        <v>1366</v>
      </c>
    </row>
    <row r="52" spans="1:14" x14ac:dyDescent="0.25">
      <c r="A52" s="6" t="s">
        <v>62</v>
      </c>
      <c r="B52" s="6" t="s">
        <v>1367</v>
      </c>
      <c r="C52" s="6" t="s">
        <v>1368</v>
      </c>
      <c r="D52" s="6">
        <v>40</v>
      </c>
      <c r="E52" s="5">
        <f t="shared" si="0"/>
        <v>40000</v>
      </c>
      <c r="F52" s="5">
        <f t="shared" si="1"/>
        <v>3400.0000000000005</v>
      </c>
      <c r="G52" s="5">
        <f t="shared" si="2"/>
        <v>9.3150684931506866</v>
      </c>
      <c r="H52" s="5">
        <f t="shared" si="3"/>
        <v>1704.6575342465756</v>
      </c>
      <c r="I52" s="5">
        <f t="shared" si="4"/>
        <v>102.27945205479453</v>
      </c>
      <c r="J52" s="5">
        <f t="shared" si="5"/>
        <v>1602.378082191781</v>
      </c>
      <c r="K52" s="1"/>
      <c r="L52" s="6" t="s">
        <v>8</v>
      </c>
      <c r="M52" s="6" t="s">
        <v>1374</v>
      </c>
      <c r="N52" s="6" t="s">
        <v>1375</v>
      </c>
    </row>
    <row r="53" spans="1:14" x14ac:dyDescent="0.25">
      <c r="A53" s="6" t="s">
        <v>63</v>
      </c>
      <c r="B53" s="6" t="s">
        <v>1376</v>
      </c>
      <c r="C53" s="6" t="s">
        <v>1377</v>
      </c>
      <c r="D53" s="6">
        <v>25</v>
      </c>
      <c r="E53" s="5">
        <f t="shared" si="0"/>
        <v>25000</v>
      </c>
      <c r="F53" s="5">
        <f t="shared" si="1"/>
        <v>2125</v>
      </c>
      <c r="G53" s="5">
        <f t="shared" si="2"/>
        <v>5.8219178082191778</v>
      </c>
      <c r="H53" s="5">
        <f t="shared" si="3"/>
        <v>1065.4109589041095</v>
      </c>
      <c r="I53" s="5">
        <f t="shared" si="4"/>
        <v>63.92465753424657</v>
      </c>
      <c r="J53" s="5">
        <f t="shared" si="5"/>
        <v>1001.486301369863</v>
      </c>
      <c r="K53" s="1"/>
      <c r="L53" s="6" t="s">
        <v>1089</v>
      </c>
      <c r="M53" s="6" t="s">
        <v>1090</v>
      </c>
      <c r="N53" s="6" t="s">
        <v>1382</v>
      </c>
    </row>
    <row r="54" spans="1:14" x14ac:dyDescent="0.25">
      <c r="A54" s="6" t="s">
        <v>64</v>
      </c>
      <c r="B54" s="6" t="s">
        <v>1383</v>
      </c>
      <c r="C54" s="6" t="s">
        <v>1384</v>
      </c>
      <c r="D54" s="6">
        <v>25</v>
      </c>
      <c r="E54" s="5">
        <f t="shared" si="0"/>
        <v>25000</v>
      </c>
      <c r="F54" s="5">
        <f t="shared" si="1"/>
        <v>2125</v>
      </c>
      <c r="G54" s="5">
        <f t="shared" si="2"/>
        <v>5.8219178082191778</v>
      </c>
      <c r="H54" s="5">
        <f t="shared" si="3"/>
        <v>1065.4109589041095</v>
      </c>
      <c r="I54" s="5">
        <f t="shared" si="4"/>
        <v>63.92465753424657</v>
      </c>
      <c r="J54" s="5">
        <f t="shared" si="5"/>
        <v>1001.486301369863</v>
      </c>
      <c r="K54" s="1"/>
      <c r="L54" s="6" t="s">
        <v>1</v>
      </c>
      <c r="M54" s="6" t="s">
        <v>1390</v>
      </c>
      <c r="N54" s="6" t="s">
        <v>1391</v>
      </c>
    </row>
    <row r="55" spans="1:14" x14ac:dyDescent="0.25">
      <c r="A55" s="6" t="s">
        <v>65</v>
      </c>
      <c r="B55" s="6" t="s">
        <v>1392</v>
      </c>
      <c r="C55" s="6" t="s">
        <v>1393</v>
      </c>
      <c r="D55" s="6">
        <v>25</v>
      </c>
      <c r="E55" s="5">
        <f t="shared" si="0"/>
        <v>25000</v>
      </c>
      <c r="F55" s="5">
        <f t="shared" si="1"/>
        <v>2125</v>
      </c>
      <c r="G55" s="5">
        <f t="shared" si="2"/>
        <v>5.8219178082191778</v>
      </c>
      <c r="H55" s="5">
        <f t="shared" si="3"/>
        <v>1065.4109589041095</v>
      </c>
      <c r="I55" s="5">
        <f t="shared" si="4"/>
        <v>63.92465753424657</v>
      </c>
      <c r="J55" s="5">
        <f t="shared" si="5"/>
        <v>1001.486301369863</v>
      </c>
      <c r="K55" s="1"/>
      <c r="L55" s="6" t="s">
        <v>914</v>
      </c>
      <c r="M55" s="6" t="s">
        <v>1398</v>
      </c>
      <c r="N55" s="6" t="s">
        <v>1399</v>
      </c>
    </row>
    <row r="56" spans="1:14" x14ac:dyDescent="0.25">
      <c r="A56" s="6" t="s">
        <v>66</v>
      </c>
      <c r="B56" s="6" t="s">
        <v>1400</v>
      </c>
      <c r="C56" s="6" t="s">
        <v>1401</v>
      </c>
      <c r="D56" s="6">
        <v>250</v>
      </c>
      <c r="E56" s="5">
        <f t="shared" si="0"/>
        <v>250000</v>
      </c>
      <c r="F56" s="5">
        <f t="shared" si="1"/>
        <v>21250</v>
      </c>
      <c r="G56" s="5">
        <f t="shared" si="2"/>
        <v>58.219178082191782</v>
      </c>
      <c r="H56" s="5">
        <f t="shared" si="3"/>
        <v>10654.109589041096</v>
      </c>
      <c r="I56" s="5">
        <f t="shared" si="4"/>
        <v>639.24657534246569</v>
      </c>
      <c r="J56" s="5">
        <f t="shared" si="5"/>
        <v>10014.86301369863</v>
      </c>
      <c r="K56" s="1"/>
      <c r="L56" s="6" t="s">
        <v>3</v>
      </c>
      <c r="M56" s="6" t="s">
        <v>1407</v>
      </c>
      <c r="N56" s="6" t="s">
        <v>1408</v>
      </c>
    </row>
    <row r="57" spans="1:14" x14ac:dyDescent="0.25">
      <c r="A57" s="6" t="s">
        <v>67</v>
      </c>
      <c r="B57" s="6" t="s">
        <v>1409</v>
      </c>
      <c r="C57" s="6" t="s">
        <v>1410</v>
      </c>
      <c r="D57" s="6">
        <v>366</v>
      </c>
      <c r="E57" s="5">
        <f t="shared" si="0"/>
        <v>366000</v>
      </c>
      <c r="F57" s="5">
        <f t="shared" si="1"/>
        <v>31110.000000000004</v>
      </c>
      <c r="G57" s="5">
        <f t="shared" si="2"/>
        <v>85.232876712328775</v>
      </c>
      <c r="H57" s="5">
        <f t="shared" si="3"/>
        <v>15597.616438356166</v>
      </c>
      <c r="I57" s="5">
        <f t="shared" si="4"/>
        <v>935.85698630136994</v>
      </c>
      <c r="J57" s="5">
        <f t="shared" si="5"/>
        <v>14661.759452054797</v>
      </c>
      <c r="K57" s="1"/>
      <c r="L57" s="6" t="s">
        <v>910</v>
      </c>
      <c r="M57" s="6" t="s">
        <v>1416</v>
      </c>
      <c r="N57" s="6" t="s">
        <v>1417</v>
      </c>
    </row>
    <row r="58" spans="1:14" x14ac:dyDescent="0.25">
      <c r="A58" s="6" t="s">
        <v>68</v>
      </c>
      <c r="B58" s="6" t="s">
        <v>1418</v>
      </c>
      <c r="C58" s="6" t="s">
        <v>1419</v>
      </c>
      <c r="D58" s="6">
        <v>25</v>
      </c>
      <c r="E58" s="5">
        <f t="shared" si="0"/>
        <v>25000</v>
      </c>
      <c r="F58" s="5">
        <f t="shared" si="1"/>
        <v>2125</v>
      </c>
      <c r="G58" s="5">
        <f t="shared" si="2"/>
        <v>5.8219178082191778</v>
      </c>
      <c r="H58" s="5">
        <f t="shared" si="3"/>
        <v>1065.4109589041095</v>
      </c>
      <c r="I58" s="5">
        <f t="shared" si="4"/>
        <v>63.92465753424657</v>
      </c>
      <c r="J58" s="5">
        <f t="shared" si="5"/>
        <v>1001.486301369863</v>
      </c>
      <c r="K58" s="1"/>
      <c r="L58" s="6" t="s">
        <v>1</v>
      </c>
      <c r="M58" s="6" t="s">
        <v>1425</v>
      </c>
      <c r="N58" s="6" t="s">
        <v>1426</v>
      </c>
    </row>
    <row r="59" spans="1:14" x14ac:dyDescent="0.25">
      <c r="A59" s="6" t="s">
        <v>69</v>
      </c>
      <c r="B59" s="6" t="s">
        <v>1427</v>
      </c>
      <c r="C59" s="6" t="s">
        <v>1428</v>
      </c>
      <c r="D59" s="6">
        <v>25</v>
      </c>
      <c r="E59" s="5">
        <f t="shared" si="0"/>
        <v>25000</v>
      </c>
      <c r="F59" s="5">
        <f t="shared" si="1"/>
        <v>2125</v>
      </c>
      <c r="G59" s="5">
        <f t="shared" si="2"/>
        <v>5.8219178082191778</v>
      </c>
      <c r="H59" s="5">
        <f t="shared" si="3"/>
        <v>1065.4109589041095</v>
      </c>
      <c r="I59" s="5">
        <f t="shared" si="4"/>
        <v>63.92465753424657</v>
      </c>
      <c r="J59" s="5">
        <f t="shared" si="5"/>
        <v>1001.486301369863</v>
      </c>
      <c r="K59" s="1"/>
      <c r="L59" s="6" t="s">
        <v>1218</v>
      </c>
      <c r="M59" s="6" t="s">
        <v>1434</v>
      </c>
      <c r="N59" s="6" t="s">
        <v>1435</v>
      </c>
    </row>
    <row r="60" spans="1:14" x14ac:dyDescent="0.25">
      <c r="A60" s="6" t="s">
        <v>70</v>
      </c>
      <c r="B60" s="6" t="s">
        <v>1436</v>
      </c>
      <c r="C60" s="6" t="s">
        <v>1437</v>
      </c>
      <c r="D60" s="6">
        <v>25</v>
      </c>
      <c r="E60" s="5">
        <f t="shared" si="0"/>
        <v>25000</v>
      </c>
      <c r="F60" s="5">
        <f t="shared" si="1"/>
        <v>2125</v>
      </c>
      <c r="G60" s="5">
        <f t="shared" si="2"/>
        <v>5.8219178082191778</v>
      </c>
      <c r="H60" s="5">
        <f t="shared" si="3"/>
        <v>1065.4109589041095</v>
      </c>
      <c r="I60" s="5">
        <f t="shared" si="4"/>
        <v>63.92465753424657</v>
      </c>
      <c r="J60" s="5">
        <f t="shared" si="5"/>
        <v>1001.486301369863</v>
      </c>
      <c r="K60" s="1"/>
      <c r="L60" s="6" t="s">
        <v>1089</v>
      </c>
      <c r="M60" s="6" t="s">
        <v>1442</v>
      </c>
      <c r="N60" s="6" t="s">
        <v>1443</v>
      </c>
    </row>
    <row r="61" spans="1:14" x14ac:dyDescent="0.25">
      <c r="A61" s="6" t="s">
        <v>71</v>
      </c>
      <c r="B61" s="6" t="s">
        <v>1444</v>
      </c>
      <c r="C61" s="6" t="s">
        <v>1445</v>
      </c>
      <c r="D61" s="6">
        <v>50</v>
      </c>
      <c r="E61" s="5">
        <f t="shared" si="0"/>
        <v>50000</v>
      </c>
      <c r="F61" s="5">
        <f t="shared" si="1"/>
        <v>4250</v>
      </c>
      <c r="G61" s="5">
        <f t="shared" si="2"/>
        <v>11.643835616438356</v>
      </c>
      <c r="H61" s="5">
        <f t="shared" si="3"/>
        <v>2130.821917808219</v>
      </c>
      <c r="I61" s="5">
        <f t="shared" si="4"/>
        <v>127.84931506849314</v>
      </c>
      <c r="J61" s="5">
        <f t="shared" si="5"/>
        <v>2002.972602739726</v>
      </c>
      <c r="K61" s="1"/>
      <c r="L61" s="6" t="s">
        <v>971</v>
      </c>
      <c r="M61" s="6" t="s">
        <v>972</v>
      </c>
      <c r="N61" s="6" t="s">
        <v>1452</v>
      </c>
    </row>
    <row r="62" spans="1:14" x14ac:dyDescent="0.25">
      <c r="A62" s="6" t="s">
        <v>72</v>
      </c>
      <c r="B62" s="6" t="s">
        <v>1453</v>
      </c>
      <c r="C62" s="6" t="s">
        <v>1454</v>
      </c>
      <c r="D62" s="6">
        <v>500</v>
      </c>
      <c r="E62" s="5">
        <f t="shared" si="0"/>
        <v>500000</v>
      </c>
      <c r="F62" s="5">
        <f t="shared" si="1"/>
        <v>42500</v>
      </c>
      <c r="G62" s="5">
        <f t="shared" si="2"/>
        <v>116.43835616438356</v>
      </c>
      <c r="H62" s="5">
        <f t="shared" si="3"/>
        <v>21308.219178082192</v>
      </c>
      <c r="I62" s="5">
        <f t="shared" si="4"/>
        <v>1278.4931506849314</v>
      </c>
      <c r="J62" s="5">
        <f t="shared" si="5"/>
        <v>20029.726027397261</v>
      </c>
      <c r="K62" s="1"/>
      <c r="L62" s="6" t="s">
        <v>919</v>
      </c>
      <c r="M62" s="6" t="s">
        <v>1460</v>
      </c>
      <c r="N62" s="6" t="s">
        <v>1461</v>
      </c>
    </row>
    <row r="63" spans="1:14" x14ac:dyDescent="0.25">
      <c r="A63" s="6" t="s">
        <v>73</v>
      </c>
      <c r="B63" s="6" t="s">
        <v>1462</v>
      </c>
      <c r="C63" s="6" t="s">
        <v>1463</v>
      </c>
      <c r="D63" s="6">
        <v>300</v>
      </c>
      <c r="E63" s="5">
        <f t="shared" si="0"/>
        <v>300000</v>
      </c>
      <c r="F63" s="5">
        <f t="shared" si="1"/>
        <v>25500.000000000004</v>
      </c>
      <c r="G63" s="5">
        <f t="shared" si="2"/>
        <v>69.863013698630141</v>
      </c>
      <c r="H63" s="5">
        <f t="shared" si="3"/>
        <v>12784.931506849316</v>
      </c>
      <c r="I63" s="5">
        <f t="shared" si="4"/>
        <v>767.09589041095899</v>
      </c>
      <c r="J63" s="5">
        <f t="shared" si="5"/>
        <v>12017.835616438357</v>
      </c>
      <c r="K63" s="1"/>
      <c r="L63" s="6" t="s">
        <v>1468</v>
      </c>
      <c r="M63" s="6" t="s">
        <v>1469</v>
      </c>
      <c r="N63" s="6" t="s">
        <v>1470</v>
      </c>
    </row>
    <row r="64" spans="1:14" x14ac:dyDescent="0.25">
      <c r="A64" s="6" t="s">
        <v>74</v>
      </c>
      <c r="B64" s="6" t="s">
        <v>1471</v>
      </c>
      <c r="C64" s="6" t="s">
        <v>1472</v>
      </c>
      <c r="D64" s="6">
        <v>25</v>
      </c>
      <c r="E64" s="5">
        <f t="shared" si="0"/>
        <v>25000</v>
      </c>
      <c r="F64" s="5">
        <f t="shared" si="1"/>
        <v>2125</v>
      </c>
      <c r="G64" s="5">
        <f t="shared" si="2"/>
        <v>5.8219178082191778</v>
      </c>
      <c r="H64" s="5">
        <f t="shared" si="3"/>
        <v>1065.4109589041095</v>
      </c>
      <c r="I64" s="5">
        <f t="shared" si="4"/>
        <v>63.92465753424657</v>
      </c>
      <c r="J64" s="5">
        <f t="shared" si="5"/>
        <v>1001.486301369863</v>
      </c>
      <c r="K64" s="1"/>
      <c r="L64" s="6" t="s">
        <v>1478</v>
      </c>
      <c r="M64" s="6" t="s">
        <v>1479</v>
      </c>
      <c r="N64" s="6" t="s">
        <v>1480</v>
      </c>
    </row>
    <row r="65" spans="1:14" x14ac:dyDescent="0.25">
      <c r="A65" s="6" t="s">
        <v>75</v>
      </c>
      <c r="B65" s="6" t="s">
        <v>1481</v>
      </c>
      <c r="C65" s="6" t="s">
        <v>1482</v>
      </c>
      <c r="D65" s="6">
        <v>25</v>
      </c>
      <c r="E65" s="5">
        <f t="shared" si="0"/>
        <v>25000</v>
      </c>
      <c r="F65" s="5">
        <f t="shared" si="1"/>
        <v>2125</v>
      </c>
      <c r="G65" s="5">
        <f t="shared" si="2"/>
        <v>5.8219178082191778</v>
      </c>
      <c r="H65" s="5">
        <f t="shared" si="3"/>
        <v>1065.4109589041095</v>
      </c>
      <c r="I65" s="5">
        <f t="shared" si="4"/>
        <v>63.92465753424657</v>
      </c>
      <c r="J65" s="5">
        <f t="shared" si="5"/>
        <v>1001.486301369863</v>
      </c>
      <c r="K65" s="1"/>
      <c r="L65" s="6" t="s">
        <v>1</v>
      </c>
      <c r="M65" s="6" t="s">
        <v>930</v>
      </c>
      <c r="N65" s="6" t="s">
        <v>1487</v>
      </c>
    </row>
    <row r="66" spans="1:14" x14ac:dyDescent="0.25">
      <c r="A66" s="6" t="s">
        <v>76</v>
      </c>
      <c r="B66" s="6" t="s">
        <v>1488</v>
      </c>
      <c r="C66" s="6" t="s">
        <v>1489</v>
      </c>
      <c r="D66" s="6">
        <v>50</v>
      </c>
      <c r="E66" s="5">
        <f t="shared" si="0"/>
        <v>50000</v>
      </c>
      <c r="F66" s="5">
        <f t="shared" si="1"/>
        <v>4250</v>
      </c>
      <c r="G66" s="5">
        <f t="shared" si="2"/>
        <v>11.643835616438356</v>
      </c>
      <c r="H66" s="5">
        <f t="shared" si="3"/>
        <v>2130.821917808219</v>
      </c>
      <c r="I66" s="5">
        <f t="shared" si="4"/>
        <v>127.84931506849314</v>
      </c>
      <c r="J66" s="5">
        <f t="shared" si="5"/>
        <v>2002.972602739726</v>
      </c>
      <c r="K66" s="1"/>
      <c r="L66" s="6" t="s">
        <v>1496</v>
      </c>
      <c r="M66" s="6" t="s">
        <v>1497</v>
      </c>
      <c r="N66" s="6" t="s">
        <v>1498</v>
      </c>
    </row>
    <row r="67" spans="1:14" x14ac:dyDescent="0.25">
      <c r="A67" s="6" t="s">
        <v>77</v>
      </c>
      <c r="B67" s="6" t="s">
        <v>1499</v>
      </c>
      <c r="C67" s="6" t="s">
        <v>1500</v>
      </c>
      <c r="D67" s="6">
        <v>25</v>
      </c>
      <c r="E67" s="5">
        <f t="shared" si="0"/>
        <v>25000</v>
      </c>
      <c r="F67" s="5">
        <f t="shared" si="1"/>
        <v>2125</v>
      </c>
      <c r="G67" s="5">
        <f t="shared" si="2"/>
        <v>5.8219178082191778</v>
      </c>
      <c r="H67" s="5">
        <f t="shared" si="3"/>
        <v>1065.4109589041095</v>
      </c>
      <c r="I67" s="5">
        <f t="shared" si="4"/>
        <v>63.92465753424657</v>
      </c>
      <c r="J67" s="5">
        <f t="shared" si="5"/>
        <v>1001.486301369863</v>
      </c>
      <c r="K67" s="1"/>
      <c r="L67" s="6" t="s">
        <v>2</v>
      </c>
      <c r="M67" s="6" t="s">
        <v>1505</v>
      </c>
      <c r="N67" s="6" t="s">
        <v>1506</v>
      </c>
    </row>
    <row r="68" spans="1:14" x14ac:dyDescent="0.25">
      <c r="A68" s="6" t="s">
        <v>78</v>
      </c>
      <c r="B68" s="6" t="s">
        <v>1507</v>
      </c>
      <c r="C68" s="6" t="s">
        <v>1508</v>
      </c>
      <c r="D68" s="6">
        <v>25</v>
      </c>
      <c r="E68" s="5">
        <f t="shared" si="0"/>
        <v>25000</v>
      </c>
      <c r="F68" s="5">
        <f t="shared" si="1"/>
        <v>2125</v>
      </c>
      <c r="G68" s="5">
        <f t="shared" si="2"/>
        <v>5.8219178082191778</v>
      </c>
      <c r="H68" s="5">
        <f t="shared" si="3"/>
        <v>1065.4109589041095</v>
      </c>
      <c r="I68" s="5">
        <f t="shared" si="4"/>
        <v>63.92465753424657</v>
      </c>
      <c r="J68" s="5">
        <f t="shared" si="5"/>
        <v>1001.486301369863</v>
      </c>
      <c r="K68" s="1"/>
      <c r="L68" s="6" t="s">
        <v>919</v>
      </c>
      <c r="M68" s="6" t="s">
        <v>1460</v>
      </c>
      <c r="N68" s="6" t="s">
        <v>1513</v>
      </c>
    </row>
    <row r="69" spans="1:14" x14ac:dyDescent="0.25">
      <c r="A69" s="6" t="s">
        <v>79</v>
      </c>
      <c r="B69" s="6" t="s">
        <v>1514</v>
      </c>
      <c r="C69" s="6" t="s">
        <v>1515</v>
      </c>
      <c r="D69" s="6">
        <v>150</v>
      </c>
      <c r="E69" s="5">
        <f t="shared" si="0"/>
        <v>150000</v>
      </c>
      <c r="F69" s="5">
        <f t="shared" si="1"/>
        <v>12750.000000000002</v>
      </c>
      <c r="G69" s="5">
        <f t="shared" si="2"/>
        <v>34.93150684931507</v>
      </c>
      <c r="H69" s="5">
        <f t="shared" si="3"/>
        <v>6392.465753424658</v>
      </c>
      <c r="I69" s="5">
        <f t="shared" si="4"/>
        <v>383.54794520547949</v>
      </c>
      <c r="J69" s="5">
        <f t="shared" si="5"/>
        <v>6008.9178082191784</v>
      </c>
      <c r="K69" s="1"/>
      <c r="L69" s="6" t="s">
        <v>910</v>
      </c>
      <c r="M69" s="6" t="s">
        <v>1520</v>
      </c>
      <c r="N69" s="6" t="s">
        <v>1521</v>
      </c>
    </row>
    <row r="70" spans="1:14" x14ac:dyDescent="0.25">
      <c r="A70" s="6" t="s">
        <v>80</v>
      </c>
      <c r="B70" s="6" t="s">
        <v>1522</v>
      </c>
      <c r="C70" s="6" t="s">
        <v>1523</v>
      </c>
      <c r="D70" s="6">
        <v>47</v>
      </c>
      <c r="E70" s="5">
        <f t="shared" si="0"/>
        <v>47000</v>
      </c>
      <c r="F70" s="5">
        <f t="shared" si="1"/>
        <v>3995.0000000000005</v>
      </c>
      <c r="G70" s="5">
        <f t="shared" si="2"/>
        <v>10.945205479452056</v>
      </c>
      <c r="H70" s="5">
        <f t="shared" si="3"/>
        <v>2002.9726027397264</v>
      </c>
      <c r="I70" s="5">
        <f t="shared" si="4"/>
        <v>120.17835616438359</v>
      </c>
      <c r="J70" s="5">
        <f t="shared" si="5"/>
        <v>1882.7942465753429</v>
      </c>
      <c r="K70" s="1"/>
      <c r="L70" s="6" t="s">
        <v>1310</v>
      </c>
      <c r="M70" s="6" t="s">
        <v>1529</v>
      </c>
      <c r="N70" s="6" t="s">
        <v>1530</v>
      </c>
    </row>
    <row r="71" spans="1:14" x14ac:dyDescent="0.25">
      <c r="A71" s="6" t="s">
        <v>81</v>
      </c>
      <c r="B71" s="6" t="s">
        <v>1531</v>
      </c>
      <c r="C71" s="6" t="s">
        <v>1532</v>
      </c>
      <c r="D71" s="6">
        <v>25</v>
      </c>
      <c r="E71" s="5">
        <f t="shared" si="0"/>
        <v>25000</v>
      </c>
      <c r="F71" s="5">
        <f t="shared" si="1"/>
        <v>2125</v>
      </c>
      <c r="G71" s="5">
        <f t="shared" si="2"/>
        <v>5.8219178082191778</v>
      </c>
      <c r="H71" s="5">
        <f t="shared" si="3"/>
        <v>1065.4109589041095</v>
      </c>
      <c r="I71" s="5">
        <f t="shared" si="4"/>
        <v>63.92465753424657</v>
      </c>
      <c r="J71" s="5">
        <f t="shared" si="5"/>
        <v>1001.486301369863</v>
      </c>
      <c r="K71" s="1"/>
      <c r="L71" s="6" t="s">
        <v>1</v>
      </c>
      <c r="M71" s="6" t="s">
        <v>1538</v>
      </c>
      <c r="N71" s="6" t="s">
        <v>1539</v>
      </c>
    </row>
    <row r="72" spans="1:14" x14ac:dyDescent="0.25">
      <c r="A72" s="6" t="s">
        <v>82</v>
      </c>
      <c r="B72" s="6" t="s">
        <v>1540</v>
      </c>
      <c r="C72" s="6" t="s">
        <v>1541</v>
      </c>
      <c r="D72" s="6">
        <v>50</v>
      </c>
      <c r="E72" s="5">
        <f t="shared" ref="E72:E135" si="6">+D72*1000</f>
        <v>50000</v>
      </c>
      <c r="F72" s="5">
        <f t="shared" ref="F72:F135" si="7">+E72*8.5%</f>
        <v>4250</v>
      </c>
      <c r="G72" s="5">
        <f t="shared" ref="G72:G135" si="8">+F72/365</f>
        <v>11.643835616438356</v>
      </c>
      <c r="H72" s="5">
        <f t="shared" ref="H72:H135" si="9">G72*$H$4</f>
        <v>2130.821917808219</v>
      </c>
      <c r="I72" s="5">
        <f t="shared" ref="I72:I135" si="10">+H72*6%</f>
        <v>127.84931506849314</v>
      </c>
      <c r="J72" s="5">
        <f t="shared" ref="J72:J135" si="11">+H72-I72</f>
        <v>2002.972602739726</v>
      </c>
      <c r="K72" s="1"/>
      <c r="L72" s="6" t="s">
        <v>1548</v>
      </c>
      <c r="M72" s="6" t="s">
        <v>1549</v>
      </c>
      <c r="N72" s="6" t="s">
        <v>1550</v>
      </c>
    </row>
    <row r="73" spans="1:14" x14ac:dyDescent="0.25">
      <c r="A73" s="6" t="s">
        <v>83</v>
      </c>
      <c r="B73" s="6" t="s">
        <v>1551</v>
      </c>
      <c r="C73" s="6" t="s">
        <v>1552</v>
      </c>
      <c r="D73" s="6">
        <v>25</v>
      </c>
      <c r="E73" s="5">
        <f t="shared" si="6"/>
        <v>25000</v>
      </c>
      <c r="F73" s="5">
        <f t="shared" si="7"/>
        <v>2125</v>
      </c>
      <c r="G73" s="5">
        <f t="shared" si="8"/>
        <v>5.8219178082191778</v>
      </c>
      <c r="H73" s="5">
        <f t="shared" si="9"/>
        <v>1065.4109589041095</v>
      </c>
      <c r="I73" s="5">
        <f t="shared" si="10"/>
        <v>63.92465753424657</v>
      </c>
      <c r="J73" s="5">
        <f t="shared" si="11"/>
        <v>1001.486301369863</v>
      </c>
      <c r="K73" s="1"/>
      <c r="L73" s="6" t="s">
        <v>13</v>
      </c>
      <c r="M73" s="6" t="s">
        <v>1559</v>
      </c>
      <c r="N73" s="6" t="s">
        <v>1560</v>
      </c>
    </row>
    <row r="74" spans="1:14" x14ac:dyDescent="0.25">
      <c r="A74" s="6" t="s">
        <v>84</v>
      </c>
      <c r="B74" s="6" t="s">
        <v>1561</v>
      </c>
      <c r="C74" s="6" t="s">
        <v>1562</v>
      </c>
      <c r="D74" s="6">
        <v>200</v>
      </c>
      <c r="E74" s="5">
        <f t="shared" si="6"/>
        <v>200000</v>
      </c>
      <c r="F74" s="5">
        <f t="shared" si="7"/>
        <v>17000</v>
      </c>
      <c r="G74" s="5">
        <f t="shared" si="8"/>
        <v>46.575342465753423</v>
      </c>
      <c r="H74" s="5">
        <f t="shared" si="9"/>
        <v>8523.2876712328762</v>
      </c>
      <c r="I74" s="5">
        <f t="shared" si="10"/>
        <v>511.39726027397256</v>
      </c>
      <c r="J74" s="5">
        <f t="shared" si="11"/>
        <v>8011.8904109589039</v>
      </c>
      <c r="K74" s="1"/>
      <c r="L74" s="6" t="s">
        <v>971</v>
      </c>
      <c r="M74" s="6" t="s">
        <v>1567</v>
      </c>
      <c r="N74" s="6" t="s">
        <v>1568</v>
      </c>
    </row>
    <row r="75" spans="1:14" x14ac:dyDescent="0.25">
      <c r="A75" s="6" t="s">
        <v>85</v>
      </c>
      <c r="B75" s="6" t="s">
        <v>1569</v>
      </c>
      <c r="C75" s="6" t="s">
        <v>1570</v>
      </c>
      <c r="D75" s="6">
        <v>800</v>
      </c>
      <c r="E75" s="5">
        <f t="shared" si="6"/>
        <v>800000</v>
      </c>
      <c r="F75" s="5">
        <f t="shared" si="7"/>
        <v>68000</v>
      </c>
      <c r="G75" s="5">
        <f t="shared" si="8"/>
        <v>186.30136986301369</v>
      </c>
      <c r="H75" s="5">
        <f t="shared" si="9"/>
        <v>34093.150684931505</v>
      </c>
      <c r="I75" s="5">
        <f t="shared" si="10"/>
        <v>2045.5890410958903</v>
      </c>
      <c r="J75" s="5">
        <f t="shared" si="11"/>
        <v>32047.561643835616</v>
      </c>
      <c r="K75" s="1"/>
      <c r="L75" s="6" t="s">
        <v>8</v>
      </c>
      <c r="M75" s="6" t="s">
        <v>1129</v>
      </c>
      <c r="N75" s="6" t="s">
        <v>1576</v>
      </c>
    </row>
    <row r="76" spans="1:14" x14ac:dyDescent="0.25">
      <c r="A76" s="6" t="s">
        <v>86</v>
      </c>
      <c r="B76" s="6" t="s">
        <v>1577</v>
      </c>
      <c r="C76" s="6" t="s">
        <v>1578</v>
      </c>
      <c r="D76" s="6">
        <v>25</v>
      </c>
      <c r="E76" s="5">
        <f t="shared" si="6"/>
        <v>25000</v>
      </c>
      <c r="F76" s="5">
        <f t="shared" si="7"/>
        <v>2125</v>
      </c>
      <c r="G76" s="5">
        <f t="shared" si="8"/>
        <v>5.8219178082191778</v>
      </c>
      <c r="H76" s="5">
        <f t="shared" si="9"/>
        <v>1065.4109589041095</v>
      </c>
      <c r="I76" s="5">
        <f t="shared" si="10"/>
        <v>63.92465753424657</v>
      </c>
      <c r="J76" s="5">
        <f t="shared" si="11"/>
        <v>1001.486301369863</v>
      </c>
      <c r="K76" s="1"/>
      <c r="L76" s="6" t="s">
        <v>1310</v>
      </c>
      <c r="M76" s="6" t="s">
        <v>1311</v>
      </c>
      <c r="N76" s="6" t="s">
        <v>1585</v>
      </c>
    </row>
    <row r="77" spans="1:14" x14ac:dyDescent="0.25">
      <c r="A77" s="6" t="s">
        <v>87</v>
      </c>
      <c r="B77" s="6" t="s">
        <v>1586</v>
      </c>
      <c r="C77" s="6" t="s">
        <v>1587</v>
      </c>
      <c r="D77" s="6">
        <v>50</v>
      </c>
      <c r="E77" s="5">
        <f t="shared" si="6"/>
        <v>50000</v>
      </c>
      <c r="F77" s="5">
        <f t="shared" si="7"/>
        <v>4250</v>
      </c>
      <c r="G77" s="5">
        <f t="shared" si="8"/>
        <v>11.643835616438356</v>
      </c>
      <c r="H77" s="5">
        <f t="shared" si="9"/>
        <v>2130.821917808219</v>
      </c>
      <c r="I77" s="5">
        <f t="shared" si="10"/>
        <v>127.84931506849314</v>
      </c>
      <c r="J77" s="5">
        <f t="shared" si="11"/>
        <v>2002.972602739726</v>
      </c>
      <c r="K77" s="1"/>
      <c r="L77" s="6" t="s">
        <v>1478</v>
      </c>
      <c r="M77" s="6" t="s">
        <v>1479</v>
      </c>
      <c r="N77" s="6" t="s">
        <v>1593</v>
      </c>
    </row>
    <row r="78" spans="1:14" x14ac:dyDescent="0.25">
      <c r="A78" s="6" t="s">
        <v>88</v>
      </c>
      <c r="B78" s="6" t="s">
        <v>1594</v>
      </c>
      <c r="C78" s="6" t="s">
        <v>1595</v>
      </c>
      <c r="D78" s="6">
        <v>50</v>
      </c>
      <c r="E78" s="5">
        <f t="shared" si="6"/>
        <v>50000</v>
      </c>
      <c r="F78" s="5">
        <f t="shared" si="7"/>
        <v>4250</v>
      </c>
      <c r="G78" s="5">
        <f t="shared" si="8"/>
        <v>11.643835616438356</v>
      </c>
      <c r="H78" s="5">
        <f t="shared" si="9"/>
        <v>2130.821917808219</v>
      </c>
      <c r="I78" s="5">
        <f t="shared" si="10"/>
        <v>127.84931506849314</v>
      </c>
      <c r="J78" s="5">
        <f t="shared" si="11"/>
        <v>2002.972602739726</v>
      </c>
      <c r="K78" s="1"/>
      <c r="L78" s="6" t="s">
        <v>13</v>
      </c>
      <c r="M78" s="6" t="s">
        <v>1601</v>
      </c>
      <c r="N78" s="6" t="s">
        <v>1602</v>
      </c>
    </row>
    <row r="79" spans="1:14" x14ac:dyDescent="0.25">
      <c r="A79" s="6" t="s">
        <v>89</v>
      </c>
      <c r="B79" s="6" t="s">
        <v>1603</v>
      </c>
      <c r="C79" s="6" t="s">
        <v>1604</v>
      </c>
      <c r="D79" s="6">
        <v>25</v>
      </c>
      <c r="E79" s="5">
        <f t="shared" si="6"/>
        <v>25000</v>
      </c>
      <c r="F79" s="5">
        <f t="shared" si="7"/>
        <v>2125</v>
      </c>
      <c r="G79" s="5">
        <f t="shared" si="8"/>
        <v>5.8219178082191778</v>
      </c>
      <c r="H79" s="5">
        <f t="shared" si="9"/>
        <v>1065.4109589041095</v>
      </c>
      <c r="I79" s="5">
        <f t="shared" si="10"/>
        <v>63.92465753424657</v>
      </c>
      <c r="J79" s="5">
        <f t="shared" si="11"/>
        <v>1001.486301369863</v>
      </c>
      <c r="K79" s="1"/>
      <c r="L79" s="6" t="s">
        <v>1218</v>
      </c>
      <c r="M79" s="6" t="s">
        <v>1355</v>
      </c>
      <c r="N79" s="6" t="s">
        <v>1610</v>
      </c>
    </row>
    <row r="80" spans="1:14" x14ac:dyDescent="0.25">
      <c r="A80" s="6" t="s">
        <v>90</v>
      </c>
      <c r="B80" s="6" t="s">
        <v>1611</v>
      </c>
      <c r="C80" s="6" t="s">
        <v>1612</v>
      </c>
      <c r="D80" s="6">
        <v>50</v>
      </c>
      <c r="E80" s="5">
        <f t="shared" si="6"/>
        <v>50000</v>
      </c>
      <c r="F80" s="5">
        <f t="shared" si="7"/>
        <v>4250</v>
      </c>
      <c r="G80" s="5">
        <f t="shared" si="8"/>
        <v>11.643835616438356</v>
      </c>
      <c r="H80" s="5">
        <f t="shared" si="9"/>
        <v>2130.821917808219</v>
      </c>
      <c r="I80" s="5">
        <f t="shared" si="10"/>
        <v>127.84931506849314</v>
      </c>
      <c r="J80" s="5">
        <f t="shared" si="11"/>
        <v>2002.972602739726</v>
      </c>
      <c r="K80" s="1"/>
      <c r="L80" s="6" t="s">
        <v>4</v>
      </c>
      <c r="M80" s="6" t="s">
        <v>1618</v>
      </c>
      <c r="N80" s="6" t="s">
        <v>1619</v>
      </c>
    </row>
    <row r="81" spans="1:14" x14ac:dyDescent="0.25">
      <c r="A81" s="6" t="s">
        <v>91</v>
      </c>
      <c r="B81" s="6" t="s">
        <v>1620</v>
      </c>
      <c r="C81" s="6" t="s">
        <v>1621</v>
      </c>
      <c r="D81" s="6">
        <v>25</v>
      </c>
      <c r="E81" s="5">
        <f t="shared" si="6"/>
        <v>25000</v>
      </c>
      <c r="F81" s="5">
        <f t="shared" si="7"/>
        <v>2125</v>
      </c>
      <c r="G81" s="5">
        <f t="shared" si="8"/>
        <v>5.8219178082191778</v>
      </c>
      <c r="H81" s="5">
        <f t="shared" si="9"/>
        <v>1065.4109589041095</v>
      </c>
      <c r="I81" s="5">
        <f t="shared" si="10"/>
        <v>63.92465753424657</v>
      </c>
      <c r="J81" s="5">
        <f t="shared" si="11"/>
        <v>1001.486301369863</v>
      </c>
      <c r="K81" s="1"/>
      <c r="L81" s="6" t="s">
        <v>8</v>
      </c>
      <c r="M81" s="6" t="s">
        <v>1628</v>
      </c>
      <c r="N81" s="6" t="s">
        <v>1629</v>
      </c>
    </row>
    <row r="82" spans="1:14" x14ac:dyDescent="0.25">
      <c r="A82" s="6" t="s">
        <v>92</v>
      </c>
      <c r="B82" s="6" t="s">
        <v>1630</v>
      </c>
      <c r="C82" s="6" t="s">
        <v>1631</v>
      </c>
      <c r="D82" s="6">
        <v>25</v>
      </c>
      <c r="E82" s="5">
        <f t="shared" si="6"/>
        <v>25000</v>
      </c>
      <c r="F82" s="5">
        <f t="shared" si="7"/>
        <v>2125</v>
      </c>
      <c r="G82" s="5">
        <f t="shared" si="8"/>
        <v>5.8219178082191778</v>
      </c>
      <c r="H82" s="5">
        <f t="shared" si="9"/>
        <v>1065.4109589041095</v>
      </c>
      <c r="I82" s="5">
        <f t="shared" si="10"/>
        <v>63.92465753424657</v>
      </c>
      <c r="J82" s="5">
        <f t="shared" si="11"/>
        <v>1001.486301369863</v>
      </c>
      <c r="K82" s="1"/>
      <c r="L82" s="6" t="s">
        <v>1637</v>
      </c>
      <c r="M82" s="6" t="s">
        <v>1638</v>
      </c>
      <c r="N82" s="6" t="s">
        <v>1639</v>
      </c>
    </row>
    <row r="83" spans="1:14" x14ac:dyDescent="0.25">
      <c r="A83" s="6" t="s">
        <v>93</v>
      </c>
      <c r="B83" s="6" t="s">
        <v>1640</v>
      </c>
      <c r="C83" s="6" t="s">
        <v>1641</v>
      </c>
      <c r="D83" s="6">
        <v>25</v>
      </c>
      <c r="E83" s="5">
        <f t="shared" si="6"/>
        <v>25000</v>
      </c>
      <c r="F83" s="5">
        <f t="shared" si="7"/>
        <v>2125</v>
      </c>
      <c r="G83" s="5">
        <f t="shared" si="8"/>
        <v>5.8219178082191778</v>
      </c>
      <c r="H83" s="5">
        <f t="shared" si="9"/>
        <v>1065.4109589041095</v>
      </c>
      <c r="I83" s="5">
        <f t="shared" si="10"/>
        <v>63.92465753424657</v>
      </c>
      <c r="J83" s="5">
        <f t="shared" si="11"/>
        <v>1001.486301369863</v>
      </c>
      <c r="K83" s="1"/>
      <c r="L83" s="6" t="s">
        <v>1647</v>
      </c>
      <c r="M83" s="6" t="s">
        <v>1648</v>
      </c>
      <c r="N83" s="6" t="s">
        <v>1649</v>
      </c>
    </row>
    <row r="84" spans="1:14" x14ac:dyDescent="0.25">
      <c r="A84" s="6" t="s">
        <v>94</v>
      </c>
      <c r="B84" s="6" t="s">
        <v>1650</v>
      </c>
      <c r="C84" s="6" t="s">
        <v>1651</v>
      </c>
      <c r="D84" s="6">
        <v>100</v>
      </c>
      <c r="E84" s="5">
        <f t="shared" si="6"/>
        <v>100000</v>
      </c>
      <c r="F84" s="5">
        <f t="shared" si="7"/>
        <v>8500</v>
      </c>
      <c r="G84" s="5">
        <f t="shared" si="8"/>
        <v>23.287671232876711</v>
      </c>
      <c r="H84" s="5">
        <f t="shared" si="9"/>
        <v>4261.6438356164381</v>
      </c>
      <c r="I84" s="5">
        <f t="shared" si="10"/>
        <v>255.69863013698628</v>
      </c>
      <c r="J84" s="5">
        <f t="shared" si="11"/>
        <v>4005.9452054794519</v>
      </c>
      <c r="K84" s="1"/>
      <c r="L84" s="6" t="s">
        <v>1089</v>
      </c>
      <c r="M84" s="6" t="s">
        <v>1656</v>
      </c>
      <c r="N84" s="6" t="s">
        <v>1657</v>
      </c>
    </row>
    <row r="85" spans="1:14" x14ac:dyDescent="0.25">
      <c r="A85" s="6" t="s">
        <v>95</v>
      </c>
      <c r="B85" s="6" t="s">
        <v>1658</v>
      </c>
      <c r="C85" s="6" t="s">
        <v>1659</v>
      </c>
      <c r="D85" s="6">
        <v>200</v>
      </c>
      <c r="E85" s="5">
        <f t="shared" si="6"/>
        <v>200000</v>
      </c>
      <c r="F85" s="5">
        <f t="shared" si="7"/>
        <v>17000</v>
      </c>
      <c r="G85" s="5">
        <f t="shared" si="8"/>
        <v>46.575342465753423</v>
      </c>
      <c r="H85" s="5">
        <f t="shared" si="9"/>
        <v>8523.2876712328762</v>
      </c>
      <c r="I85" s="5">
        <f t="shared" si="10"/>
        <v>511.39726027397256</v>
      </c>
      <c r="J85" s="5">
        <f t="shared" si="11"/>
        <v>8011.8904109589039</v>
      </c>
      <c r="K85" s="1"/>
      <c r="L85" s="6" t="s">
        <v>10</v>
      </c>
      <c r="M85" s="6" t="s">
        <v>1665</v>
      </c>
      <c r="N85" s="6" t="s">
        <v>1666</v>
      </c>
    </row>
    <row r="86" spans="1:14" x14ac:dyDescent="0.25">
      <c r="A86" s="6" t="s">
        <v>96</v>
      </c>
      <c r="B86" s="6" t="s">
        <v>1667</v>
      </c>
      <c r="C86" s="6" t="s">
        <v>1668</v>
      </c>
      <c r="D86" s="6">
        <v>25</v>
      </c>
      <c r="E86" s="5">
        <f t="shared" si="6"/>
        <v>25000</v>
      </c>
      <c r="F86" s="5">
        <f t="shared" si="7"/>
        <v>2125</v>
      </c>
      <c r="G86" s="5">
        <f t="shared" si="8"/>
        <v>5.8219178082191778</v>
      </c>
      <c r="H86" s="5">
        <f t="shared" si="9"/>
        <v>1065.4109589041095</v>
      </c>
      <c r="I86" s="5">
        <f t="shared" si="10"/>
        <v>63.92465753424657</v>
      </c>
      <c r="J86" s="5">
        <f t="shared" si="11"/>
        <v>1001.486301369863</v>
      </c>
      <c r="K86" s="1"/>
      <c r="L86" s="6" t="s">
        <v>1673</v>
      </c>
      <c r="M86" s="6" t="s">
        <v>1674</v>
      </c>
      <c r="N86" s="6" t="s">
        <v>1675</v>
      </c>
    </row>
    <row r="87" spans="1:14" x14ac:dyDescent="0.25">
      <c r="A87" s="6" t="s">
        <v>97</v>
      </c>
      <c r="B87" s="6" t="s">
        <v>1676</v>
      </c>
      <c r="C87" s="6" t="s">
        <v>1677</v>
      </c>
      <c r="D87" s="6">
        <v>25</v>
      </c>
      <c r="E87" s="5">
        <f t="shared" si="6"/>
        <v>25000</v>
      </c>
      <c r="F87" s="5">
        <f t="shared" si="7"/>
        <v>2125</v>
      </c>
      <c r="G87" s="5">
        <f t="shared" si="8"/>
        <v>5.8219178082191778</v>
      </c>
      <c r="H87" s="5">
        <f t="shared" si="9"/>
        <v>1065.4109589041095</v>
      </c>
      <c r="I87" s="5">
        <f t="shared" si="10"/>
        <v>63.92465753424657</v>
      </c>
      <c r="J87" s="5">
        <f t="shared" si="11"/>
        <v>1001.486301369863</v>
      </c>
      <c r="K87" s="1"/>
      <c r="L87" s="6" t="s">
        <v>8</v>
      </c>
      <c r="M87" s="6" t="s">
        <v>1020</v>
      </c>
      <c r="N87" s="6" t="s">
        <v>1682</v>
      </c>
    </row>
    <row r="88" spans="1:14" x14ac:dyDescent="0.25">
      <c r="A88" s="6" t="s">
        <v>98</v>
      </c>
      <c r="B88" s="6" t="s">
        <v>1683</v>
      </c>
      <c r="C88" s="6" t="s">
        <v>1684</v>
      </c>
      <c r="D88" s="6">
        <v>25</v>
      </c>
      <c r="E88" s="5">
        <f t="shared" si="6"/>
        <v>25000</v>
      </c>
      <c r="F88" s="5">
        <f t="shared" si="7"/>
        <v>2125</v>
      </c>
      <c r="G88" s="5">
        <f t="shared" si="8"/>
        <v>5.8219178082191778</v>
      </c>
      <c r="H88" s="5">
        <f t="shared" si="9"/>
        <v>1065.4109589041095</v>
      </c>
      <c r="I88" s="5">
        <f t="shared" si="10"/>
        <v>63.92465753424657</v>
      </c>
      <c r="J88" s="5">
        <f t="shared" si="11"/>
        <v>1001.486301369863</v>
      </c>
      <c r="K88" s="1"/>
      <c r="L88" s="6" t="s">
        <v>8</v>
      </c>
      <c r="M88" s="6" t="s">
        <v>1690</v>
      </c>
      <c r="N88" s="6" t="s">
        <v>1691</v>
      </c>
    </row>
    <row r="89" spans="1:14" x14ac:dyDescent="0.25">
      <c r="A89" s="6" t="s">
        <v>99</v>
      </c>
      <c r="B89" s="6" t="s">
        <v>1692</v>
      </c>
      <c r="C89" s="6" t="s">
        <v>1693</v>
      </c>
      <c r="D89" s="6">
        <v>100</v>
      </c>
      <c r="E89" s="5">
        <f t="shared" si="6"/>
        <v>100000</v>
      </c>
      <c r="F89" s="5">
        <f t="shared" si="7"/>
        <v>8500</v>
      </c>
      <c r="G89" s="5">
        <f t="shared" si="8"/>
        <v>23.287671232876711</v>
      </c>
      <c r="H89" s="5">
        <f t="shared" si="9"/>
        <v>4261.6438356164381</v>
      </c>
      <c r="I89" s="5">
        <f t="shared" si="10"/>
        <v>255.69863013698628</v>
      </c>
      <c r="J89" s="5">
        <f t="shared" si="11"/>
        <v>4005.9452054794519</v>
      </c>
      <c r="K89" s="1"/>
      <c r="L89" s="6" t="s">
        <v>1548</v>
      </c>
      <c r="M89" s="6" t="s">
        <v>1549</v>
      </c>
      <c r="N89" s="6" t="s">
        <v>1700</v>
      </c>
    </row>
    <row r="90" spans="1:14" x14ac:dyDescent="0.25">
      <c r="A90" s="6" t="s">
        <v>100</v>
      </c>
      <c r="B90" s="6" t="s">
        <v>1701</v>
      </c>
      <c r="C90" s="6" t="s">
        <v>1702</v>
      </c>
      <c r="D90" s="6">
        <v>25</v>
      </c>
      <c r="E90" s="5">
        <f t="shared" si="6"/>
        <v>25000</v>
      </c>
      <c r="F90" s="5">
        <f t="shared" si="7"/>
        <v>2125</v>
      </c>
      <c r="G90" s="5">
        <f t="shared" si="8"/>
        <v>5.8219178082191778</v>
      </c>
      <c r="H90" s="5">
        <f t="shared" si="9"/>
        <v>1065.4109589041095</v>
      </c>
      <c r="I90" s="5">
        <f t="shared" si="10"/>
        <v>63.92465753424657</v>
      </c>
      <c r="J90" s="5">
        <f t="shared" si="11"/>
        <v>1001.486301369863</v>
      </c>
      <c r="K90" s="1"/>
      <c r="L90" s="6" t="s">
        <v>915</v>
      </c>
      <c r="M90" s="6" t="s">
        <v>926</v>
      </c>
      <c r="N90" s="6" t="s">
        <v>1709</v>
      </c>
    </row>
    <row r="91" spans="1:14" x14ac:dyDescent="0.25">
      <c r="A91" s="6" t="s">
        <v>101</v>
      </c>
      <c r="B91" s="6" t="s">
        <v>1710</v>
      </c>
      <c r="C91" s="6" t="s">
        <v>1711</v>
      </c>
      <c r="D91" s="6">
        <v>250</v>
      </c>
      <c r="E91" s="5">
        <f t="shared" si="6"/>
        <v>250000</v>
      </c>
      <c r="F91" s="5">
        <f t="shared" si="7"/>
        <v>21250</v>
      </c>
      <c r="G91" s="5">
        <f t="shared" si="8"/>
        <v>58.219178082191782</v>
      </c>
      <c r="H91" s="5">
        <f t="shared" si="9"/>
        <v>10654.109589041096</v>
      </c>
      <c r="I91" s="5">
        <f t="shared" si="10"/>
        <v>639.24657534246569</v>
      </c>
      <c r="J91" s="5">
        <f t="shared" si="11"/>
        <v>10014.86301369863</v>
      </c>
      <c r="K91" s="1"/>
      <c r="L91" s="6" t="s">
        <v>1</v>
      </c>
      <c r="M91" s="6" t="s">
        <v>1717</v>
      </c>
      <c r="N91" s="6" t="s">
        <v>1718</v>
      </c>
    </row>
    <row r="92" spans="1:14" x14ac:dyDescent="0.25">
      <c r="A92" s="6" t="s">
        <v>102</v>
      </c>
      <c r="B92" s="6" t="s">
        <v>1719</v>
      </c>
      <c r="C92" s="6" t="s">
        <v>1720</v>
      </c>
      <c r="D92" s="6">
        <v>50</v>
      </c>
      <c r="E92" s="5">
        <f t="shared" si="6"/>
        <v>50000</v>
      </c>
      <c r="F92" s="5">
        <f t="shared" si="7"/>
        <v>4250</v>
      </c>
      <c r="G92" s="5">
        <f t="shared" si="8"/>
        <v>11.643835616438356</v>
      </c>
      <c r="H92" s="5">
        <f t="shared" si="9"/>
        <v>2130.821917808219</v>
      </c>
      <c r="I92" s="5">
        <f t="shared" si="10"/>
        <v>127.84931506849314</v>
      </c>
      <c r="J92" s="5">
        <f t="shared" si="11"/>
        <v>2002.972602739726</v>
      </c>
      <c r="K92" s="1"/>
      <c r="L92" s="6" t="s">
        <v>910</v>
      </c>
      <c r="M92" s="6" t="s">
        <v>981</v>
      </c>
      <c r="N92" s="6" t="s">
        <v>1727</v>
      </c>
    </row>
    <row r="93" spans="1:14" x14ac:dyDescent="0.25">
      <c r="A93" s="6" t="s">
        <v>103</v>
      </c>
      <c r="B93" s="6" t="s">
        <v>1728</v>
      </c>
      <c r="C93" s="6" t="s">
        <v>1729</v>
      </c>
      <c r="D93" s="6">
        <v>100</v>
      </c>
      <c r="E93" s="5">
        <f t="shared" si="6"/>
        <v>100000</v>
      </c>
      <c r="F93" s="5">
        <f t="shared" si="7"/>
        <v>8500</v>
      </c>
      <c r="G93" s="5">
        <f t="shared" si="8"/>
        <v>23.287671232876711</v>
      </c>
      <c r="H93" s="5">
        <f t="shared" si="9"/>
        <v>4261.6438356164381</v>
      </c>
      <c r="I93" s="5">
        <f t="shared" si="10"/>
        <v>255.69863013698628</v>
      </c>
      <c r="J93" s="5">
        <f t="shared" si="11"/>
        <v>4005.9452054794519</v>
      </c>
      <c r="K93" s="1"/>
      <c r="L93" s="6" t="s">
        <v>1</v>
      </c>
      <c r="M93" s="6" t="s">
        <v>1734</v>
      </c>
      <c r="N93" s="6" t="s">
        <v>1735</v>
      </c>
    </row>
    <row r="94" spans="1:14" x14ac:dyDescent="0.25">
      <c r="A94" s="6" t="s">
        <v>104</v>
      </c>
      <c r="B94" s="6" t="s">
        <v>1736</v>
      </c>
      <c r="C94" s="6" t="s">
        <v>1737</v>
      </c>
      <c r="D94" s="6">
        <v>100</v>
      </c>
      <c r="E94" s="5">
        <f t="shared" si="6"/>
        <v>100000</v>
      </c>
      <c r="F94" s="5">
        <f t="shared" si="7"/>
        <v>8500</v>
      </c>
      <c r="G94" s="5">
        <f t="shared" si="8"/>
        <v>23.287671232876711</v>
      </c>
      <c r="H94" s="5">
        <f t="shared" si="9"/>
        <v>4261.6438356164381</v>
      </c>
      <c r="I94" s="5">
        <f t="shared" si="10"/>
        <v>255.69863013698628</v>
      </c>
      <c r="J94" s="5">
        <f t="shared" si="11"/>
        <v>4005.9452054794519</v>
      </c>
      <c r="K94" s="1"/>
      <c r="L94" s="6" t="s">
        <v>909</v>
      </c>
      <c r="M94" s="6" t="s">
        <v>1237</v>
      </c>
      <c r="N94" s="6" t="s">
        <v>1743</v>
      </c>
    </row>
    <row r="95" spans="1:14" x14ac:dyDescent="0.25">
      <c r="A95" s="6" t="s">
        <v>105</v>
      </c>
      <c r="B95" s="6" t="s">
        <v>1744</v>
      </c>
      <c r="C95" s="6" t="s">
        <v>1745</v>
      </c>
      <c r="D95" s="6">
        <v>25</v>
      </c>
      <c r="E95" s="5">
        <f t="shared" si="6"/>
        <v>25000</v>
      </c>
      <c r="F95" s="5">
        <f t="shared" si="7"/>
        <v>2125</v>
      </c>
      <c r="G95" s="5">
        <f t="shared" si="8"/>
        <v>5.8219178082191778</v>
      </c>
      <c r="H95" s="5">
        <f t="shared" si="9"/>
        <v>1065.4109589041095</v>
      </c>
      <c r="I95" s="5">
        <f t="shared" si="10"/>
        <v>63.92465753424657</v>
      </c>
      <c r="J95" s="5">
        <f t="shared" si="11"/>
        <v>1001.486301369863</v>
      </c>
      <c r="K95" s="1"/>
      <c r="L95" s="6" t="s">
        <v>910</v>
      </c>
      <c r="M95" s="6" t="s">
        <v>1752</v>
      </c>
      <c r="N95" s="6" t="s">
        <v>1753</v>
      </c>
    </row>
    <row r="96" spans="1:14" x14ac:dyDescent="0.25">
      <c r="A96" s="6" t="s">
        <v>106</v>
      </c>
      <c r="B96" s="6" t="s">
        <v>1754</v>
      </c>
      <c r="C96" s="6" t="s">
        <v>1755</v>
      </c>
      <c r="D96" s="6">
        <v>25</v>
      </c>
      <c r="E96" s="5">
        <f t="shared" si="6"/>
        <v>25000</v>
      </c>
      <c r="F96" s="5">
        <f t="shared" si="7"/>
        <v>2125</v>
      </c>
      <c r="G96" s="5">
        <f t="shared" si="8"/>
        <v>5.8219178082191778</v>
      </c>
      <c r="H96" s="5">
        <f t="shared" si="9"/>
        <v>1065.4109589041095</v>
      </c>
      <c r="I96" s="5">
        <f t="shared" si="10"/>
        <v>63.92465753424657</v>
      </c>
      <c r="J96" s="5">
        <f t="shared" si="11"/>
        <v>1001.486301369863</v>
      </c>
      <c r="K96" s="1"/>
      <c r="L96" s="6" t="s">
        <v>8</v>
      </c>
      <c r="M96" s="6" t="s">
        <v>1762</v>
      </c>
      <c r="N96" s="6" t="s">
        <v>1763</v>
      </c>
    </row>
    <row r="97" spans="1:14" x14ac:dyDescent="0.25">
      <c r="A97" s="6" t="s">
        <v>107</v>
      </c>
      <c r="B97" s="6" t="s">
        <v>1764</v>
      </c>
      <c r="C97" s="6" t="s">
        <v>1765</v>
      </c>
      <c r="D97" s="6">
        <v>90</v>
      </c>
      <c r="E97" s="5">
        <f t="shared" si="6"/>
        <v>90000</v>
      </c>
      <c r="F97" s="5">
        <f t="shared" si="7"/>
        <v>7650.0000000000009</v>
      </c>
      <c r="G97" s="5">
        <f t="shared" si="8"/>
        <v>20.958904109589042</v>
      </c>
      <c r="H97" s="5">
        <f t="shared" si="9"/>
        <v>3835.4794520547948</v>
      </c>
      <c r="I97" s="5">
        <f t="shared" si="10"/>
        <v>230.12876712328767</v>
      </c>
      <c r="J97" s="5">
        <f t="shared" si="11"/>
        <v>3605.3506849315072</v>
      </c>
      <c r="K97" s="1"/>
      <c r="L97" s="6" t="s">
        <v>914</v>
      </c>
      <c r="M97" s="6" t="s">
        <v>1771</v>
      </c>
      <c r="N97" s="6" t="s">
        <v>1772</v>
      </c>
    </row>
    <row r="98" spans="1:14" x14ac:dyDescent="0.25">
      <c r="A98" s="6" t="s">
        <v>108</v>
      </c>
      <c r="B98" s="6" t="s">
        <v>1773</v>
      </c>
      <c r="C98" s="6" t="s">
        <v>1774</v>
      </c>
      <c r="D98" s="6">
        <v>25</v>
      </c>
      <c r="E98" s="5">
        <f t="shared" si="6"/>
        <v>25000</v>
      </c>
      <c r="F98" s="5">
        <f t="shared" si="7"/>
        <v>2125</v>
      </c>
      <c r="G98" s="5">
        <f t="shared" si="8"/>
        <v>5.8219178082191778</v>
      </c>
      <c r="H98" s="5">
        <f t="shared" si="9"/>
        <v>1065.4109589041095</v>
      </c>
      <c r="I98" s="5">
        <f t="shared" si="10"/>
        <v>63.92465753424657</v>
      </c>
      <c r="J98" s="5">
        <f t="shared" si="11"/>
        <v>1001.486301369863</v>
      </c>
      <c r="K98" s="1"/>
      <c r="L98" s="6" t="s">
        <v>2</v>
      </c>
      <c r="M98" s="6" t="s">
        <v>1780</v>
      </c>
      <c r="N98" s="6" t="s">
        <v>1781</v>
      </c>
    </row>
    <row r="99" spans="1:14" x14ac:dyDescent="0.25">
      <c r="A99" s="6" t="s">
        <v>109</v>
      </c>
      <c r="B99" s="6" t="s">
        <v>1782</v>
      </c>
      <c r="C99" s="6" t="s">
        <v>1783</v>
      </c>
      <c r="D99" s="6">
        <v>25</v>
      </c>
      <c r="E99" s="5">
        <f t="shared" si="6"/>
        <v>25000</v>
      </c>
      <c r="F99" s="5">
        <f t="shared" si="7"/>
        <v>2125</v>
      </c>
      <c r="G99" s="5">
        <f t="shared" si="8"/>
        <v>5.8219178082191778</v>
      </c>
      <c r="H99" s="5">
        <f t="shared" si="9"/>
        <v>1065.4109589041095</v>
      </c>
      <c r="I99" s="5">
        <f t="shared" si="10"/>
        <v>63.92465753424657</v>
      </c>
      <c r="J99" s="5">
        <f t="shared" si="11"/>
        <v>1001.486301369863</v>
      </c>
      <c r="K99" s="1"/>
      <c r="L99" s="6" t="s">
        <v>8</v>
      </c>
      <c r="M99" s="6" t="s">
        <v>1020</v>
      </c>
      <c r="N99" s="6" t="s">
        <v>1788</v>
      </c>
    </row>
    <row r="100" spans="1:14" x14ac:dyDescent="0.25">
      <c r="A100" s="6" t="s">
        <v>110</v>
      </c>
      <c r="B100" s="6" t="s">
        <v>1789</v>
      </c>
      <c r="C100" s="6" t="s">
        <v>1790</v>
      </c>
      <c r="D100" s="6">
        <v>25</v>
      </c>
      <c r="E100" s="5">
        <f t="shared" si="6"/>
        <v>25000</v>
      </c>
      <c r="F100" s="5">
        <f t="shared" si="7"/>
        <v>2125</v>
      </c>
      <c r="G100" s="5">
        <f t="shared" si="8"/>
        <v>5.8219178082191778</v>
      </c>
      <c r="H100" s="5">
        <f t="shared" si="9"/>
        <v>1065.4109589041095</v>
      </c>
      <c r="I100" s="5">
        <f t="shared" si="10"/>
        <v>63.92465753424657</v>
      </c>
      <c r="J100" s="5">
        <f t="shared" si="11"/>
        <v>1001.486301369863</v>
      </c>
      <c r="K100" s="1"/>
      <c r="L100" s="6" t="s">
        <v>8</v>
      </c>
      <c r="M100" s="6" t="s">
        <v>1020</v>
      </c>
      <c r="N100" s="6" t="s">
        <v>1792</v>
      </c>
    </row>
    <row r="101" spans="1:14" x14ac:dyDescent="0.25">
      <c r="A101" s="6" t="s">
        <v>111</v>
      </c>
      <c r="B101" s="6" t="s">
        <v>1793</v>
      </c>
      <c r="C101" s="6" t="s">
        <v>1794</v>
      </c>
      <c r="D101" s="6">
        <v>25</v>
      </c>
      <c r="E101" s="5">
        <f t="shared" si="6"/>
        <v>25000</v>
      </c>
      <c r="F101" s="5">
        <f t="shared" si="7"/>
        <v>2125</v>
      </c>
      <c r="G101" s="5">
        <f t="shared" si="8"/>
        <v>5.8219178082191778</v>
      </c>
      <c r="H101" s="5">
        <f t="shared" si="9"/>
        <v>1065.4109589041095</v>
      </c>
      <c r="I101" s="5">
        <f t="shared" si="10"/>
        <v>63.92465753424657</v>
      </c>
      <c r="J101" s="5">
        <f t="shared" si="11"/>
        <v>1001.486301369863</v>
      </c>
      <c r="K101" s="1"/>
      <c r="L101" s="6" t="s">
        <v>4</v>
      </c>
      <c r="M101" s="6" t="s">
        <v>924</v>
      </c>
      <c r="N101" s="6" t="s">
        <v>1799</v>
      </c>
    </row>
    <row r="102" spans="1:14" x14ac:dyDescent="0.25">
      <c r="A102" s="6" t="s">
        <v>112</v>
      </c>
      <c r="B102" s="6" t="s">
        <v>1800</v>
      </c>
      <c r="C102" s="6" t="s">
        <v>1801</v>
      </c>
      <c r="D102" s="6">
        <v>25</v>
      </c>
      <c r="E102" s="5">
        <f t="shared" si="6"/>
        <v>25000</v>
      </c>
      <c r="F102" s="5">
        <f t="shared" si="7"/>
        <v>2125</v>
      </c>
      <c r="G102" s="5">
        <f t="shared" si="8"/>
        <v>5.8219178082191778</v>
      </c>
      <c r="H102" s="5">
        <f t="shared" si="9"/>
        <v>1065.4109589041095</v>
      </c>
      <c r="I102" s="5">
        <f t="shared" si="10"/>
        <v>63.92465753424657</v>
      </c>
      <c r="J102" s="5">
        <f t="shared" si="11"/>
        <v>1001.486301369863</v>
      </c>
      <c r="K102" s="1"/>
      <c r="L102" s="6" t="s">
        <v>1</v>
      </c>
      <c r="M102" s="6" t="s">
        <v>1806</v>
      </c>
      <c r="N102" s="6" t="s">
        <v>1807</v>
      </c>
    </row>
    <row r="103" spans="1:14" x14ac:dyDescent="0.25">
      <c r="A103" s="6" t="s">
        <v>113</v>
      </c>
      <c r="B103" s="6" t="s">
        <v>1808</v>
      </c>
      <c r="C103" s="6" t="s">
        <v>1809</v>
      </c>
      <c r="D103" s="6">
        <v>25</v>
      </c>
      <c r="E103" s="5">
        <f t="shared" si="6"/>
        <v>25000</v>
      </c>
      <c r="F103" s="5">
        <f t="shared" si="7"/>
        <v>2125</v>
      </c>
      <c r="G103" s="5">
        <f t="shared" si="8"/>
        <v>5.8219178082191778</v>
      </c>
      <c r="H103" s="5">
        <f t="shared" si="9"/>
        <v>1065.4109589041095</v>
      </c>
      <c r="I103" s="5">
        <f t="shared" si="10"/>
        <v>63.92465753424657</v>
      </c>
      <c r="J103" s="5">
        <f t="shared" si="11"/>
        <v>1001.486301369863</v>
      </c>
      <c r="K103" s="1"/>
      <c r="L103" s="6" t="s">
        <v>1637</v>
      </c>
      <c r="M103" s="6" t="s">
        <v>1814</v>
      </c>
      <c r="N103" s="6" t="s">
        <v>1815</v>
      </c>
    </row>
    <row r="104" spans="1:14" x14ac:dyDescent="0.25">
      <c r="A104" s="6" t="s">
        <v>114</v>
      </c>
      <c r="B104" s="6" t="s">
        <v>1816</v>
      </c>
      <c r="C104" s="6" t="s">
        <v>1817</v>
      </c>
      <c r="D104" s="6">
        <v>25</v>
      </c>
      <c r="E104" s="5">
        <f t="shared" si="6"/>
        <v>25000</v>
      </c>
      <c r="F104" s="5">
        <f t="shared" si="7"/>
        <v>2125</v>
      </c>
      <c r="G104" s="5">
        <f t="shared" si="8"/>
        <v>5.8219178082191778</v>
      </c>
      <c r="H104" s="5">
        <f t="shared" si="9"/>
        <v>1065.4109589041095</v>
      </c>
      <c r="I104" s="5">
        <f t="shared" si="10"/>
        <v>63.92465753424657</v>
      </c>
      <c r="J104" s="5">
        <f t="shared" si="11"/>
        <v>1001.486301369863</v>
      </c>
      <c r="K104" s="1"/>
      <c r="L104" s="6" t="s">
        <v>1478</v>
      </c>
      <c r="M104" s="6" t="s">
        <v>1479</v>
      </c>
      <c r="N104" s="6" t="s">
        <v>1822</v>
      </c>
    </row>
    <row r="105" spans="1:14" x14ac:dyDescent="0.25">
      <c r="A105" s="6" t="s">
        <v>115</v>
      </c>
      <c r="B105" s="6" t="s">
        <v>1823</v>
      </c>
      <c r="C105" s="6" t="s">
        <v>1824</v>
      </c>
      <c r="D105" s="6">
        <v>25</v>
      </c>
      <c r="E105" s="5">
        <f t="shared" si="6"/>
        <v>25000</v>
      </c>
      <c r="F105" s="5">
        <f t="shared" si="7"/>
        <v>2125</v>
      </c>
      <c r="G105" s="5">
        <f t="shared" si="8"/>
        <v>5.8219178082191778</v>
      </c>
      <c r="H105" s="5">
        <f t="shared" si="9"/>
        <v>1065.4109589041095</v>
      </c>
      <c r="I105" s="5">
        <f t="shared" si="10"/>
        <v>63.92465753424657</v>
      </c>
      <c r="J105" s="5">
        <f t="shared" si="11"/>
        <v>1001.486301369863</v>
      </c>
      <c r="K105" s="1"/>
      <c r="L105" s="6" t="s">
        <v>971</v>
      </c>
      <c r="M105" s="6" t="s">
        <v>1829</v>
      </c>
      <c r="N105" s="6" t="s">
        <v>1830</v>
      </c>
    </row>
    <row r="106" spans="1:14" x14ac:dyDescent="0.25">
      <c r="A106" s="6" t="s">
        <v>116</v>
      </c>
      <c r="B106" s="6" t="s">
        <v>1831</v>
      </c>
      <c r="C106" s="6" t="s">
        <v>1832</v>
      </c>
      <c r="D106" s="6">
        <v>25</v>
      </c>
      <c r="E106" s="5">
        <f t="shared" si="6"/>
        <v>25000</v>
      </c>
      <c r="F106" s="5">
        <f t="shared" si="7"/>
        <v>2125</v>
      </c>
      <c r="G106" s="5">
        <f t="shared" si="8"/>
        <v>5.8219178082191778</v>
      </c>
      <c r="H106" s="5">
        <f t="shared" si="9"/>
        <v>1065.4109589041095</v>
      </c>
      <c r="I106" s="5">
        <f t="shared" si="10"/>
        <v>63.92465753424657</v>
      </c>
      <c r="J106" s="5">
        <f t="shared" si="11"/>
        <v>1001.486301369863</v>
      </c>
      <c r="K106" s="1"/>
      <c r="L106" s="6" t="s">
        <v>1</v>
      </c>
      <c r="M106" s="6" t="s">
        <v>1838</v>
      </c>
      <c r="N106" s="6" t="s">
        <v>1839</v>
      </c>
    </row>
    <row r="107" spans="1:14" x14ac:dyDescent="0.25">
      <c r="A107" s="6" t="s">
        <v>13</v>
      </c>
      <c r="B107" s="6" t="s">
        <v>1840</v>
      </c>
      <c r="C107" s="6" t="s">
        <v>1841</v>
      </c>
      <c r="D107" s="6">
        <v>25</v>
      </c>
      <c r="E107" s="5">
        <f t="shared" si="6"/>
        <v>25000</v>
      </c>
      <c r="F107" s="5">
        <f t="shared" si="7"/>
        <v>2125</v>
      </c>
      <c r="G107" s="5">
        <f t="shared" si="8"/>
        <v>5.8219178082191778</v>
      </c>
      <c r="H107" s="5">
        <f t="shared" si="9"/>
        <v>1065.4109589041095</v>
      </c>
      <c r="I107" s="5">
        <f t="shared" si="10"/>
        <v>63.92465753424657</v>
      </c>
      <c r="J107" s="5">
        <f t="shared" si="11"/>
        <v>1001.486301369863</v>
      </c>
      <c r="K107" s="1"/>
      <c r="L107" s="6" t="s">
        <v>1</v>
      </c>
      <c r="M107" s="6" t="s">
        <v>1846</v>
      </c>
      <c r="N107" s="6" t="s">
        <v>1847</v>
      </c>
    </row>
    <row r="108" spans="1:14" x14ac:dyDescent="0.25">
      <c r="A108" s="6" t="s">
        <v>117</v>
      </c>
      <c r="B108" s="6" t="s">
        <v>1848</v>
      </c>
      <c r="C108" s="6" t="s">
        <v>1849</v>
      </c>
      <c r="D108" s="6">
        <v>100</v>
      </c>
      <c r="E108" s="5">
        <f t="shared" si="6"/>
        <v>100000</v>
      </c>
      <c r="F108" s="5">
        <f t="shared" si="7"/>
        <v>8500</v>
      </c>
      <c r="G108" s="5">
        <f t="shared" si="8"/>
        <v>23.287671232876711</v>
      </c>
      <c r="H108" s="5">
        <f t="shared" si="9"/>
        <v>4261.6438356164381</v>
      </c>
      <c r="I108" s="5">
        <f t="shared" si="10"/>
        <v>255.69863013698628</v>
      </c>
      <c r="J108" s="5">
        <f t="shared" si="11"/>
        <v>4005.9452054794519</v>
      </c>
      <c r="K108" s="1"/>
      <c r="L108" s="6" t="s">
        <v>1</v>
      </c>
      <c r="M108" s="6" t="s">
        <v>1846</v>
      </c>
      <c r="N108" s="6" t="s">
        <v>1855</v>
      </c>
    </row>
    <row r="109" spans="1:14" x14ac:dyDescent="0.25">
      <c r="A109" s="6" t="s">
        <v>118</v>
      </c>
      <c r="B109" s="6" t="s">
        <v>1856</v>
      </c>
      <c r="C109" s="6" t="s">
        <v>1857</v>
      </c>
      <c r="D109" s="6">
        <v>200</v>
      </c>
      <c r="E109" s="5">
        <f t="shared" si="6"/>
        <v>200000</v>
      </c>
      <c r="F109" s="5">
        <f t="shared" si="7"/>
        <v>17000</v>
      </c>
      <c r="G109" s="5">
        <f t="shared" si="8"/>
        <v>46.575342465753423</v>
      </c>
      <c r="H109" s="5">
        <f t="shared" si="9"/>
        <v>8523.2876712328762</v>
      </c>
      <c r="I109" s="5">
        <f t="shared" si="10"/>
        <v>511.39726027397256</v>
      </c>
      <c r="J109" s="5">
        <f t="shared" si="11"/>
        <v>8011.8904109589039</v>
      </c>
      <c r="K109" s="1"/>
      <c r="L109" s="6" t="s">
        <v>8</v>
      </c>
      <c r="M109" s="6" t="s">
        <v>1862</v>
      </c>
      <c r="N109" s="6" t="s">
        <v>1863</v>
      </c>
    </row>
    <row r="110" spans="1:14" x14ac:dyDescent="0.25">
      <c r="A110" s="6" t="s">
        <v>119</v>
      </c>
      <c r="B110" s="6" t="s">
        <v>1864</v>
      </c>
      <c r="C110" s="6" t="s">
        <v>1865</v>
      </c>
      <c r="D110" s="6">
        <v>200</v>
      </c>
      <c r="E110" s="5">
        <f t="shared" si="6"/>
        <v>200000</v>
      </c>
      <c r="F110" s="5">
        <f t="shared" si="7"/>
        <v>17000</v>
      </c>
      <c r="G110" s="5">
        <f t="shared" si="8"/>
        <v>46.575342465753423</v>
      </c>
      <c r="H110" s="5">
        <f t="shared" si="9"/>
        <v>8523.2876712328762</v>
      </c>
      <c r="I110" s="5">
        <f t="shared" si="10"/>
        <v>511.39726027397256</v>
      </c>
      <c r="J110" s="5">
        <f t="shared" si="11"/>
        <v>8011.8904109589039</v>
      </c>
      <c r="K110" s="1"/>
      <c r="L110" s="6" t="s">
        <v>1871</v>
      </c>
      <c r="M110" s="6" t="s">
        <v>1872</v>
      </c>
      <c r="N110" s="6" t="s">
        <v>1873</v>
      </c>
    </row>
    <row r="111" spans="1:14" x14ac:dyDescent="0.25">
      <c r="A111" s="6" t="s">
        <v>120</v>
      </c>
      <c r="B111" s="6" t="s">
        <v>1874</v>
      </c>
      <c r="C111" s="6" t="s">
        <v>1875</v>
      </c>
      <c r="D111" s="6">
        <v>25</v>
      </c>
      <c r="E111" s="5">
        <f t="shared" si="6"/>
        <v>25000</v>
      </c>
      <c r="F111" s="5">
        <f t="shared" si="7"/>
        <v>2125</v>
      </c>
      <c r="G111" s="5">
        <f t="shared" si="8"/>
        <v>5.8219178082191778</v>
      </c>
      <c r="H111" s="5">
        <f t="shared" si="9"/>
        <v>1065.4109589041095</v>
      </c>
      <c r="I111" s="5">
        <f t="shared" si="10"/>
        <v>63.92465753424657</v>
      </c>
      <c r="J111" s="5">
        <f t="shared" si="11"/>
        <v>1001.486301369863</v>
      </c>
      <c r="K111" s="1"/>
      <c r="L111" s="6" t="s">
        <v>2</v>
      </c>
      <c r="M111" s="6" t="s">
        <v>1882</v>
      </c>
      <c r="N111" s="6" t="s">
        <v>1883</v>
      </c>
    </row>
    <row r="112" spans="1:14" x14ac:dyDescent="0.25">
      <c r="A112" s="6" t="s">
        <v>121</v>
      </c>
      <c r="B112" s="6" t="s">
        <v>1884</v>
      </c>
      <c r="C112" s="6" t="s">
        <v>1885</v>
      </c>
      <c r="D112" s="6">
        <v>25</v>
      </c>
      <c r="E112" s="5">
        <f t="shared" si="6"/>
        <v>25000</v>
      </c>
      <c r="F112" s="5">
        <f t="shared" si="7"/>
        <v>2125</v>
      </c>
      <c r="G112" s="5">
        <f t="shared" si="8"/>
        <v>5.8219178082191778</v>
      </c>
      <c r="H112" s="5">
        <f t="shared" si="9"/>
        <v>1065.4109589041095</v>
      </c>
      <c r="I112" s="5">
        <f t="shared" si="10"/>
        <v>63.92465753424657</v>
      </c>
      <c r="J112" s="5">
        <f t="shared" si="11"/>
        <v>1001.486301369863</v>
      </c>
      <c r="K112" s="1"/>
      <c r="L112" s="6" t="s">
        <v>4</v>
      </c>
      <c r="M112" s="6" t="s">
        <v>1890</v>
      </c>
      <c r="N112" s="6" t="s">
        <v>1891</v>
      </c>
    </row>
    <row r="113" spans="1:14" x14ac:dyDescent="0.25">
      <c r="A113" s="6" t="s">
        <v>122</v>
      </c>
      <c r="B113" s="6" t="s">
        <v>1892</v>
      </c>
      <c r="C113" s="6" t="s">
        <v>1893</v>
      </c>
      <c r="D113" s="6">
        <v>25</v>
      </c>
      <c r="E113" s="5">
        <f t="shared" si="6"/>
        <v>25000</v>
      </c>
      <c r="F113" s="5">
        <f t="shared" si="7"/>
        <v>2125</v>
      </c>
      <c r="G113" s="5">
        <f t="shared" si="8"/>
        <v>5.8219178082191778</v>
      </c>
      <c r="H113" s="5">
        <f t="shared" si="9"/>
        <v>1065.4109589041095</v>
      </c>
      <c r="I113" s="5">
        <f t="shared" si="10"/>
        <v>63.92465753424657</v>
      </c>
      <c r="J113" s="5">
        <f t="shared" si="11"/>
        <v>1001.486301369863</v>
      </c>
      <c r="K113" s="1"/>
      <c r="L113" s="6" t="s">
        <v>1</v>
      </c>
      <c r="M113" s="6" t="s">
        <v>1899</v>
      </c>
      <c r="N113" s="6" t="s">
        <v>1900</v>
      </c>
    </row>
    <row r="114" spans="1:14" x14ac:dyDescent="0.25">
      <c r="A114" s="6" t="s">
        <v>123</v>
      </c>
      <c r="B114" s="6" t="s">
        <v>1901</v>
      </c>
      <c r="C114" s="6" t="s">
        <v>1902</v>
      </c>
      <c r="D114" s="6">
        <v>25</v>
      </c>
      <c r="E114" s="5">
        <f t="shared" si="6"/>
        <v>25000</v>
      </c>
      <c r="F114" s="5">
        <f t="shared" si="7"/>
        <v>2125</v>
      </c>
      <c r="G114" s="5">
        <f t="shared" si="8"/>
        <v>5.8219178082191778</v>
      </c>
      <c r="H114" s="5">
        <f t="shared" si="9"/>
        <v>1065.4109589041095</v>
      </c>
      <c r="I114" s="5">
        <f t="shared" si="10"/>
        <v>63.92465753424657</v>
      </c>
      <c r="J114" s="5">
        <f t="shared" si="11"/>
        <v>1001.486301369863</v>
      </c>
      <c r="K114" s="1"/>
      <c r="L114" s="6" t="s">
        <v>3</v>
      </c>
      <c r="M114" s="6" t="s">
        <v>1908</v>
      </c>
      <c r="N114" s="6" t="s">
        <v>1909</v>
      </c>
    </row>
    <row r="115" spans="1:14" x14ac:dyDescent="0.25">
      <c r="A115" s="6" t="s">
        <v>124</v>
      </c>
      <c r="B115" s="6" t="s">
        <v>1910</v>
      </c>
      <c r="C115" s="6" t="s">
        <v>1911</v>
      </c>
      <c r="D115" s="6">
        <v>25</v>
      </c>
      <c r="E115" s="5">
        <f t="shared" si="6"/>
        <v>25000</v>
      </c>
      <c r="F115" s="5">
        <f t="shared" si="7"/>
        <v>2125</v>
      </c>
      <c r="G115" s="5">
        <f t="shared" si="8"/>
        <v>5.8219178082191778</v>
      </c>
      <c r="H115" s="5">
        <f t="shared" si="9"/>
        <v>1065.4109589041095</v>
      </c>
      <c r="I115" s="5">
        <f t="shared" si="10"/>
        <v>63.92465753424657</v>
      </c>
      <c r="J115" s="5">
        <f t="shared" si="11"/>
        <v>1001.486301369863</v>
      </c>
      <c r="K115" s="1"/>
      <c r="L115" s="6" t="s">
        <v>910</v>
      </c>
      <c r="M115" s="6" t="s">
        <v>1918</v>
      </c>
      <c r="N115" s="6" t="s">
        <v>1919</v>
      </c>
    </row>
    <row r="116" spans="1:14" x14ac:dyDescent="0.25">
      <c r="A116" s="6" t="s">
        <v>125</v>
      </c>
      <c r="B116" s="6" t="s">
        <v>1920</v>
      </c>
      <c r="C116" s="6" t="s">
        <v>1921</v>
      </c>
      <c r="D116" s="6">
        <v>25</v>
      </c>
      <c r="E116" s="5">
        <f t="shared" si="6"/>
        <v>25000</v>
      </c>
      <c r="F116" s="5">
        <f t="shared" si="7"/>
        <v>2125</v>
      </c>
      <c r="G116" s="5">
        <f t="shared" si="8"/>
        <v>5.8219178082191778</v>
      </c>
      <c r="H116" s="5">
        <f t="shared" si="9"/>
        <v>1065.4109589041095</v>
      </c>
      <c r="I116" s="5">
        <f t="shared" si="10"/>
        <v>63.92465753424657</v>
      </c>
      <c r="J116" s="5">
        <f t="shared" si="11"/>
        <v>1001.486301369863</v>
      </c>
      <c r="K116" s="1"/>
      <c r="L116" s="6" t="s">
        <v>8</v>
      </c>
      <c r="M116" s="6" t="s">
        <v>1020</v>
      </c>
      <c r="N116" s="6" t="s">
        <v>1926</v>
      </c>
    </row>
    <row r="117" spans="1:14" x14ac:dyDescent="0.25">
      <c r="A117" s="6" t="s">
        <v>126</v>
      </c>
      <c r="B117" s="6" t="s">
        <v>1927</v>
      </c>
      <c r="C117" s="6" t="s">
        <v>1928</v>
      </c>
      <c r="D117" s="6">
        <v>300</v>
      </c>
      <c r="E117" s="5">
        <f t="shared" si="6"/>
        <v>300000</v>
      </c>
      <c r="F117" s="5">
        <f t="shared" si="7"/>
        <v>25500.000000000004</v>
      </c>
      <c r="G117" s="5">
        <f t="shared" si="8"/>
        <v>69.863013698630141</v>
      </c>
      <c r="H117" s="5">
        <f t="shared" si="9"/>
        <v>12784.931506849316</v>
      </c>
      <c r="I117" s="5">
        <f t="shared" si="10"/>
        <v>767.09589041095899</v>
      </c>
      <c r="J117" s="5">
        <f t="shared" si="11"/>
        <v>12017.835616438357</v>
      </c>
      <c r="K117" s="1"/>
      <c r="L117" s="6" t="s">
        <v>910</v>
      </c>
      <c r="M117" s="6" t="s">
        <v>1520</v>
      </c>
      <c r="N117" s="6" t="s">
        <v>1933</v>
      </c>
    </row>
    <row r="118" spans="1:14" x14ac:dyDescent="0.25">
      <c r="A118" s="6" t="s">
        <v>127</v>
      </c>
      <c r="B118" s="6" t="s">
        <v>1934</v>
      </c>
      <c r="C118" s="6" t="s">
        <v>1935</v>
      </c>
      <c r="D118" s="6">
        <v>25</v>
      </c>
      <c r="E118" s="5">
        <f t="shared" si="6"/>
        <v>25000</v>
      </c>
      <c r="F118" s="5">
        <f t="shared" si="7"/>
        <v>2125</v>
      </c>
      <c r="G118" s="5">
        <f t="shared" si="8"/>
        <v>5.8219178082191778</v>
      </c>
      <c r="H118" s="5">
        <f t="shared" si="9"/>
        <v>1065.4109589041095</v>
      </c>
      <c r="I118" s="5">
        <f t="shared" si="10"/>
        <v>63.92465753424657</v>
      </c>
      <c r="J118" s="5">
        <f t="shared" si="11"/>
        <v>1001.486301369863</v>
      </c>
      <c r="K118" s="1"/>
      <c r="L118" s="6" t="s">
        <v>8</v>
      </c>
      <c r="M118" s="6" t="s">
        <v>1941</v>
      </c>
      <c r="N118" s="6" t="s">
        <v>1942</v>
      </c>
    </row>
    <row r="119" spans="1:14" x14ac:dyDescent="0.25">
      <c r="A119" s="6" t="s">
        <v>128</v>
      </c>
      <c r="B119" s="6" t="s">
        <v>1943</v>
      </c>
      <c r="C119" s="6" t="s">
        <v>1944</v>
      </c>
      <c r="D119" s="6">
        <v>25</v>
      </c>
      <c r="E119" s="5">
        <f t="shared" si="6"/>
        <v>25000</v>
      </c>
      <c r="F119" s="5">
        <f t="shared" si="7"/>
        <v>2125</v>
      </c>
      <c r="G119" s="5">
        <f t="shared" si="8"/>
        <v>5.8219178082191778</v>
      </c>
      <c r="H119" s="5">
        <f t="shared" si="9"/>
        <v>1065.4109589041095</v>
      </c>
      <c r="I119" s="5">
        <f t="shared" si="10"/>
        <v>63.92465753424657</v>
      </c>
      <c r="J119" s="5">
        <f t="shared" si="11"/>
        <v>1001.486301369863</v>
      </c>
      <c r="K119" s="1"/>
      <c r="L119" s="6" t="s">
        <v>4</v>
      </c>
      <c r="M119" s="6" t="s">
        <v>1949</v>
      </c>
      <c r="N119" s="6" t="s">
        <v>1950</v>
      </c>
    </row>
    <row r="120" spans="1:14" x14ac:dyDescent="0.25">
      <c r="A120" s="6" t="s">
        <v>129</v>
      </c>
      <c r="B120" s="6" t="s">
        <v>1951</v>
      </c>
      <c r="C120" s="6" t="s">
        <v>1952</v>
      </c>
      <c r="D120" s="6">
        <v>25</v>
      </c>
      <c r="E120" s="5">
        <f t="shared" si="6"/>
        <v>25000</v>
      </c>
      <c r="F120" s="5">
        <f t="shared" si="7"/>
        <v>2125</v>
      </c>
      <c r="G120" s="5">
        <f t="shared" si="8"/>
        <v>5.8219178082191778</v>
      </c>
      <c r="H120" s="5">
        <f t="shared" si="9"/>
        <v>1065.4109589041095</v>
      </c>
      <c r="I120" s="5">
        <f t="shared" si="10"/>
        <v>63.92465753424657</v>
      </c>
      <c r="J120" s="5">
        <f t="shared" si="11"/>
        <v>1001.486301369863</v>
      </c>
      <c r="K120" s="1"/>
      <c r="L120" s="6" t="s">
        <v>914</v>
      </c>
      <c r="M120" s="6" t="s">
        <v>1398</v>
      </c>
      <c r="N120" s="6" t="s">
        <v>1956</v>
      </c>
    </row>
    <row r="121" spans="1:14" x14ac:dyDescent="0.25">
      <c r="A121" s="6" t="s">
        <v>130</v>
      </c>
      <c r="B121" s="6" t="s">
        <v>1957</v>
      </c>
      <c r="C121" s="6" t="s">
        <v>1958</v>
      </c>
      <c r="D121" s="6">
        <v>50</v>
      </c>
      <c r="E121" s="5">
        <f t="shared" si="6"/>
        <v>50000</v>
      </c>
      <c r="F121" s="5">
        <f t="shared" si="7"/>
        <v>4250</v>
      </c>
      <c r="G121" s="5">
        <f t="shared" si="8"/>
        <v>11.643835616438356</v>
      </c>
      <c r="H121" s="5">
        <f t="shared" si="9"/>
        <v>2130.821917808219</v>
      </c>
      <c r="I121" s="5">
        <f t="shared" si="10"/>
        <v>127.84931506849314</v>
      </c>
      <c r="J121" s="5">
        <f t="shared" si="11"/>
        <v>2002.972602739726</v>
      </c>
      <c r="K121" s="1"/>
      <c r="L121" s="6" t="s">
        <v>971</v>
      </c>
      <c r="M121" s="6" t="s">
        <v>972</v>
      </c>
      <c r="N121" s="6" t="s">
        <v>1964</v>
      </c>
    </row>
    <row r="122" spans="1:14" x14ac:dyDescent="0.25">
      <c r="A122" s="6" t="s">
        <v>131</v>
      </c>
      <c r="B122" s="6" t="s">
        <v>1965</v>
      </c>
      <c r="C122" s="6" t="s">
        <v>1966</v>
      </c>
      <c r="D122" s="6">
        <v>25</v>
      </c>
      <c r="E122" s="5">
        <f t="shared" si="6"/>
        <v>25000</v>
      </c>
      <c r="F122" s="5">
        <f t="shared" si="7"/>
        <v>2125</v>
      </c>
      <c r="G122" s="5">
        <f t="shared" si="8"/>
        <v>5.8219178082191778</v>
      </c>
      <c r="H122" s="5">
        <f t="shared" si="9"/>
        <v>1065.4109589041095</v>
      </c>
      <c r="I122" s="5">
        <f t="shared" si="10"/>
        <v>63.92465753424657</v>
      </c>
      <c r="J122" s="5">
        <f t="shared" si="11"/>
        <v>1001.486301369863</v>
      </c>
      <c r="K122" s="1"/>
      <c r="L122" s="6" t="s">
        <v>10</v>
      </c>
      <c r="M122" s="6" t="s">
        <v>1973</v>
      </c>
      <c r="N122" s="6" t="s">
        <v>1974</v>
      </c>
    </row>
    <row r="123" spans="1:14" x14ac:dyDescent="0.25">
      <c r="A123" s="6" t="s">
        <v>132</v>
      </c>
      <c r="B123" s="6" t="s">
        <v>1975</v>
      </c>
      <c r="C123" s="6" t="s">
        <v>1976</v>
      </c>
      <c r="D123" s="6">
        <v>25</v>
      </c>
      <c r="E123" s="5">
        <f t="shared" si="6"/>
        <v>25000</v>
      </c>
      <c r="F123" s="5">
        <f t="shared" si="7"/>
        <v>2125</v>
      </c>
      <c r="G123" s="5">
        <f t="shared" si="8"/>
        <v>5.8219178082191778</v>
      </c>
      <c r="H123" s="5">
        <f t="shared" si="9"/>
        <v>1065.4109589041095</v>
      </c>
      <c r="I123" s="5">
        <f t="shared" si="10"/>
        <v>63.92465753424657</v>
      </c>
      <c r="J123" s="5">
        <f t="shared" si="11"/>
        <v>1001.486301369863</v>
      </c>
      <c r="K123" s="1"/>
      <c r="L123" s="6" t="s">
        <v>1</v>
      </c>
      <c r="M123" s="6" t="s">
        <v>1846</v>
      </c>
      <c r="N123" s="6" t="s">
        <v>1981</v>
      </c>
    </row>
    <row r="124" spans="1:14" x14ac:dyDescent="0.25">
      <c r="A124" s="6" t="s">
        <v>133</v>
      </c>
      <c r="B124" s="6" t="s">
        <v>1982</v>
      </c>
      <c r="C124" s="6" t="s">
        <v>1983</v>
      </c>
      <c r="D124" s="6">
        <v>25</v>
      </c>
      <c r="E124" s="5">
        <f t="shared" si="6"/>
        <v>25000</v>
      </c>
      <c r="F124" s="5">
        <f t="shared" si="7"/>
        <v>2125</v>
      </c>
      <c r="G124" s="5">
        <f t="shared" si="8"/>
        <v>5.8219178082191778</v>
      </c>
      <c r="H124" s="5">
        <f t="shared" si="9"/>
        <v>1065.4109589041095</v>
      </c>
      <c r="I124" s="5">
        <f t="shared" si="10"/>
        <v>63.92465753424657</v>
      </c>
      <c r="J124" s="5">
        <f t="shared" si="11"/>
        <v>1001.486301369863</v>
      </c>
      <c r="K124" s="1"/>
      <c r="L124" s="6" t="s">
        <v>910</v>
      </c>
      <c r="M124" s="6" t="s">
        <v>981</v>
      </c>
      <c r="N124" s="6" t="s">
        <v>1989</v>
      </c>
    </row>
    <row r="125" spans="1:14" x14ac:dyDescent="0.25">
      <c r="A125" s="6" t="s">
        <v>134</v>
      </c>
      <c r="B125" s="6" t="s">
        <v>1990</v>
      </c>
      <c r="C125" s="6" t="s">
        <v>1991</v>
      </c>
      <c r="D125" s="6">
        <v>25</v>
      </c>
      <c r="E125" s="5">
        <f t="shared" si="6"/>
        <v>25000</v>
      </c>
      <c r="F125" s="5">
        <f t="shared" si="7"/>
        <v>2125</v>
      </c>
      <c r="G125" s="5">
        <f t="shared" si="8"/>
        <v>5.8219178082191778</v>
      </c>
      <c r="H125" s="5">
        <f t="shared" si="9"/>
        <v>1065.4109589041095</v>
      </c>
      <c r="I125" s="5">
        <f t="shared" si="10"/>
        <v>63.92465753424657</v>
      </c>
      <c r="J125" s="5">
        <f t="shared" si="11"/>
        <v>1001.486301369863</v>
      </c>
      <c r="K125" s="1"/>
      <c r="L125" s="6" t="s">
        <v>5</v>
      </c>
      <c r="M125" s="6" t="s">
        <v>1997</v>
      </c>
      <c r="N125" s="6" t="s">
        <v>1998</v>
      </c>
    </row>
    <row r="126" spans="1:14" x14ac:dyDescent="0.25">
      <c r="A126" s="6" t="s">
        <v>135</v>
      </c>
      <c r="B126" s="6" t="s">
        <v>1999</v>
      </c>
      <c r="C126" s="6" t="s">
        <v>1795</v>
      </c>
      <c r="D126" s="6">
        <v>25</v>
      </c>
      <c r="E126" s="5">
        <f t="shared" si="6"/>
        <v>25000</v>
      </c>
      <c r="F126" s="5">
        <f t="shared" si="7"/>
        <v>2125</v>
      </c>
      <c r="G126" s="5">
        <f t="shared" si="8"/>
        <v>5.8219178082191778</v>
      </c>
      <c r="H126" s="5">
        <f t="shared" si="9"/>
        <v>1065.4109589041095</v>
      </c>
      <c r="I126" s="5">
        <f t="shared" si="10"/>
        <v>63.92465753424657</v>
      </c>
      <c r="J126" s="5">
        <f t="shared" si="11"/>
        <v>1001.486301369863</v>
      </c>
      <c r="K126" s="1"/>
      <c r="L126" s="6" t="s">
        <v>4</v>
      </c>
      <c r="M126" s="6" t="s">
        <v>2002</v>
      </c>
      <c r="N126" s="6" t="s">
        <v>2003</v>
      </c>
    </row>
    <row r="127" spans="1:14" x14ac:dyDescent="0.25">
      <c r="A127" s="6" t="s">
        <v>136</v>
      </c>
      <c r="B127" s="6" t="s">
        <v>2004</v>
      </c>
      <c r="C127" s="6" t="s">
        <v>2005</v>
      </c>
      <c r="D127" s="6">
        <v>50</v>
      </c>
      <c r="E127" s="5">
        <f t="shared" si="6"/>
        <v>50000</v>
      </c>
      <c r="F127" s="5">
        <f t="shared" si="7"/>
        <v>4250</v>
      </c>
      <c r="G127" s="5">
        <f t="shared" si="8"/>
        <v>11.643835616438356</v>
      </c>
      <c r="H127" s="5">
        <f t="shared" si="9"/>
        <v>2130.821917808219</v>
      </c>
      <c r="I127" s="5">
        <f t="shared" si="10"/>
        <v>127.84931506849314</v>
      </c>
      <c r="J127" s="5">
        <f t="shared" si="11"/>
        <v>2002.972602739726</v>
      </c>
      <c r="K127" s="1"/>
      <c r="L127" s="6" t="s">
        <v>915</v>
      </c>
      <c r="M127" s="6" t="s">
        <v>2011</v>
      </c>
      <c r="N127" s="6" t="s">
        <v>2012</v>
      </c>
    </row>
    <row r="128" spans="1:14" x14ac:dyDescent="0.25">
      <c r="A128" s="6" t="s">
        <v>137</v>
      </c>
      <c r="B128" s="6" t="s">
        <v>2013</v>
      </c>
      <c r="C128" s="6" t="s">
        <v>2014</v>
      </c>
      <c r="D128" s="6">
        <v>25</v>
      </c>
      <c r="E128" s="5">
        <f t="shared" si="6"/>
        <v>25000</v>
      </c>
      <c r="F128" s="5">
        <f t="shared" si="7"/>
        <v>2125</v>
      </c>
      <c r="G128" s="5">
        <f t="shared" si="8"/>
        <v>5.8219178082191778</v>
      </c>
      <c r="H128" s="5">
        <f t="shared" si="9"/>
        <v>1065.4109589041095</v>
      </c>
      <c r="I128" s="5">
        <f t="shared" si="10"/>
        <v>63.92465753424657</v>
      </c>
      <c r="J128" s="5">
        <f t="shared" si="11"/>
        <v>1001.486301369863</v>
      </c>
      <c r="K128" s="1"/>
      <c r="L128" s="6" t="s">
        <v>1548</v>
      </c>
      <c r="M128" s="6" t="s">
        <v>2020</v>
      </c>
      <c r="N128" s="6" t="s">
        <v>2021</v>
      </c>
    </row>
    <row r="129" spans="1:14" x14ac:dyDescent="0.25">
      <c r="A129" s="6" t="s">
        <v>138</v>
      </c>
      <c r="B129" s="6" t="s">
        <v>2022</v>
      </c>
      <c r="C129" s="6" t="s">
        <v>2023</v>
      </c>
      <c r="D129" s="6">
        <v>50</v>
      </c>
      <c r="E129" s="5">
        <f t="shared" si="6"/>
        <v>50000</v>
      </c>
      <c r="F129" s="5">
        <f t="shared" si="7"/>
        <v>4250</v>
      </c>
      <c r="G129" s="5">
        <f t="shared" si="8"/>
        <v>11.643835616438356</v>
      </c>
      <c r="H129" s="5">
        <f t="shared" si="9"/>
        <v>2130.821917808219</v>
      </c>
      <c r="I129" s="5">
        <f t="shared" si="10"/>
        <v>127.84931506849314</v>
      </c>
      <c r="J129" s="5">
        <f t="shared" si="11"/>
        <v>2002.972602739726</v>
      </c>
      <c r="K129" s="1"/>
      <c r="L129" s="6" t="s">
        <v>1</v>
      </c>
      <c r="M129" s="6" t="s">
        <v>2029</v>
      </c>
      <c r="N129" s="6" t="s">
        <v>2030</v>
      </c>
    </row>
    <row r="130" spans="1:14" x14ac:dyDescent="0.25">
      <c r="A130" s="6" t="s">
        <v>139</v>
      </c>
      <c r="B130" s="6" t="s">
        <v>2031</v>
      </c>
      <c r="C130" s="6" t="s">
        <v>2032</v>
      </c>
      <c r="D130" s="6">
        <v>25</v>
      </c>
      <c r="E130" s="5">
        <f t="shared" si="6"/>
        <v>25000</v>
      </c>
      <c r="F130" s="5">
        <f t="shared" si="7"/>
        <v>2125</v>
      </c>
      <c r="G130" s="5">
        <f t="shared" si="8"/>
        <v>5.8219178082191778</v>
      </c>
      <c r="H130" s="5">
        <f t="shared" si="9"/>
        <v>1065.4109589041095</v>
      </c>
      <c r="I130" s="5">
        <f t="shared" si="10"/>
        <v>63.92465753424657</v>
      </c>
      <c r="J130" s="5">
        <f t="shared" si="11"/>
        <v>1001.486301369863</v>
      </c>
      <c r="K130" s="1"/>
      <c r="L130" s="6" t="s">
        <v>13</v>
      </c>
      <c r="M130" s="6" t="s">
        <v>923</v>
      </c>
      <c r="N130" s="6" t="s">
        <v>2037</v>
      </c>
    </row>
    <row r="131" spans="1:14" x14ac:dyDescent="0.25">
      <c r="A131" s="6" t="s">
        <v>140</v>
      </c>
      <c r="B131" s="6" t="s">
        <v>2038</v>
      </c>
      <c r="C131" s="6" t="s">
        <v>2039</v>
      </c>
      <c r="D131" s="6">
        <v>25</v>
      </c>
      <c r="E131" s="5">
        <f t="shared" si="6"/>
        <v>25000</v>
      </c>
      <c r="F131" s="5">
        <f t="shared" si="7"/>
        <v>2125</v>
      </c>
      <c r="G131" s="5">
        <f t="shared" si="8"/>
        <v>5.8219178082191778</v>
      </c>
      <c r="H131" s="5">
        <f t="shared" si="9"/>
        <v>1065.4109589041095</v>
      </c>
      <c r="I131" s="5">
        <f t="shared" si="10"/>
        <v>63.92465753424657</v>
      </c>
      <c r="J131" s="5">
        <f t="shared" si="11"/>
        <v>1001.486301369863</v>
      </c>
      <c r="K131" s="1"/>
      <c r="L131" s="6" t="s">
        <v>8</v>
      </c>
      <c r="M131" s="6" t="s">
        <v>2046</v>
      </c>
      <c r="N131" s="6" t="s">
        <v>2047</v>
      </c>
    </row>
    <row r="132" spans="1:14" x14ac:dyDescent="0.25">
      <c r="A132" s="6" t="s">
        <v>141</v>
      </c>
      <c r="B132" s="6" t="s">
        <v>2048</v>
      </c>
      <c r="C132" s="6" t="s">
        <v>2049</v>
      </c>
      <c r="D132" s="6">
        <v>25</v>
      </c>
      <c r="E132" s="5">
        <f t="shared" si="6"/>
        <v>25000</v>
      </c>
      <c r="F132" s="5">
        <f t="shared" si="7"/>
        <v>2125</v>
      </c>
      <c r="G132" s="5">
        <f t="shared" si="8"/>
        <v>5.8219178082191778</v>
      </c>
      <c r="H132" s="5">
        <f t="shared" si="9"/>
        <v>1065.4109589041095</v>
      </c>
      <c r="I132" s="5">
        <f t="shared" si="10"/>
        <v>63.92465753424657</v>
      </c>
      <c r="J132" s="5">
        <f t="shared" si="11"/>
        <v>1001.486301369863</v>
      </c>
      <c r="K132" s="1"/>
      <c r="L132" s="6" t="s">
        <v>1</v>
      </c>
      <c r="M132" s="6" t="s">
        <v>2055</v>
      </c>
      <c r="N132" s="6" t="s">
        <v>2056</v>
      </c>
    </row>
    <row r="133" spans="1:14" x14ac:dyDescent="0.25">
      <c r="A133" s="6" t="s">
        <v>142</v>
      </c>
      <c r="B133" s="6" t="s">
        <v>2057</v>
      </c>
      <c r="C133" s="6" t="s">
        <v>2058</v>
      </c>
      <c r="D133" s="6">
        <v>25</v>
      </c>
      <c r="E133" s="5">
        <f t="shared" si="6"/>
        <v>25000</v>
      </c>
      <c r="F133" s="5">
        <f t="shared" si="7"/>
        <v>2125</v>
      </c>
      <c r="G133" s="5">
        <f t="shared" si="8"/>
        <v>5.8219178082191778</v>
      </c>
      <c r="H133" s="5">
        <f t="shared" si="9"/>
        <v>1065.4109589041095</v>
      </c>
      <c r="I133" s="5">
        <f t="shared" si="10"/>
        <v>63.92465753424657</v>
      </c>
      <c r="J133" s="5">
        <f t="shared" si="11"/>
        <v>1001.486301369863</v>
      </c>
      <c r="K133" s="1"/>
      <c r="L133" s="6" t="s">
        <v>2</v>
      </c>
      <c r="M133" s="6" t="s">
        <v>2062</v>
      </c>
      <c r="N133" s="6" t="s">
        <v>2063</v>
      </c>
    </row>
    <row r="134" spans="1:14" x14ac:dyDescent="0.25">
      <c r="A134" s="6" t="s">
        <v>143</v>
      </c>
      <c r="B134" s="6" t="s">
        <v>2064</v>
      </c>
      <c r="C134" s="6" t="s">
        <v>2065</v>
      </c>
      <c r="D134" s="6">
        <v>25</v>
      </c>
      <c r="E134" s="5">
        <f t="shared" si="6"/>
        <v>25000</v>
      </c>
      <c r="F134" s="5">
        <f t="shared" si="7"/>
        <v>2125</v>
      </c>
      <c r="G134" s="5">
        <f t="shared" si="8"/>
        <v>5.8219178082191778</v>
      </c>
      <c r="H134" s="5">
        <f t="shared" si="9"/>
        <v>1065.4109589041095</v>
      </c>
      <c r="I134" s="5">
        <f t="shared" si="10"/>
        <v>63.92465753424657</v>
      </c>
      <c r="J134" s="5">
        <f t="shared" si="11"/>
        <v>1001.486301369863</v>
      </c>
      <c r="K134" s="1"/>
      <c r="L134" s="6" t="s">
        <v>10</v>
      </c>
      <c r="M134" s="6" t="s">
        <v>2070</v>
      </c>
      <c r="N134" s="6" t="s">
        <v>2071</v>
      </c>
    </row>
    <row r="135" spans="1:14" x14ac:dyDescent="0.25">
      <c r="A135" s="6" t="s">
        <v>144</v>
      </c>
      <c r="B135" s="6" t="s">
        <v>2072</v>
      </c>
      <c r="C135" s="6" t="s">
        <v>2073</v>
      </c>
      <c r="D135" s="6">
        <v>25</v>
      </c>
      <c r="E135" s="5">
        <f t="shared" si="6"/>
        <v>25000</v>
      </c>
      <c r="F135" s="5">
        <f t="shared" si="7"/>
        <v>2125</v>
      </c>
      <c r="G135" s="5">
        <f t="shared" si="8"/>
        <v>5.8219178082191778</v>
      </c>
      <c r="H135" s="5">
        <f t="shared" si="9"/>
        <v>1065.4109589041095</v>
      </c>
      <c r="I135" s="5">
        <f t="shared" si="10"/>
        <v>63.92465753424657</v>
      </c>
      <c r="J135" s="5">
        <f t="shared" si="11"/>
        <v>1001.486301369863</v>
      </c>
      <c r="K135" s="1"/>
      <c r="L135" s="6" t="s">
        <v>1262</v>
      </c>
      <c r="M135" s="6" t="s">
        <v>2080</v>
      </c>
      <c r="N135" s="6" t="s">
        <v>2081</v>
      </c>
    </row>
    <row r="136" spans="1:14" x14ac:dyDescent="0.25">
      <c r="A136" s="6" t="s">
        <v>145</v>
      </c>
      <c r="B136" s="6" t="s">
        <v>2082</v>
      </c>
      <c r="C136" s="6" t="s">
        <v>2083</v>
      </c>
      <c r="D136" s="6">
        <v>25</v>
      </c>
      <c r="E136" s="5">
        <f t="shared" ref="E136:E199" si="12">+D136*1000</f>
        <v>25000</v>
      </c>
      <c r="F136" s="5">
        <f t="shared" ref="F136:F199" si="13">+E136*8.5%</f>
        <v>2125</v>
      </c>
      <c r="G136" s="5">
        <f t="shared" ref="G136:G199" si="14">+F136/365</f>
        <v>5.8219178082191778</v>
      </c>
      <c r="H136" s="5">
        <f t="shared" ref="H136:H199" si="15">G136*$H$4</f>
        <v>1065.4109589041095</v>
      </c>
      <c r="I136" s="5">
        <f t="shared" ref="I136:I199" si="16">+H136*6%</f>
        <v>63.92465753424657</v>
      </c>
      <c r="J136" s="5">
        <f t="shared" ref="J136:J199" si="17">+H136-I136</f>
        <v>1001.486301369863</v>
      </c>
      <c r="K136" s="1"/>
      <c r="L136" s="6" t="s">
        <v>910</v>
      </c>
      <c r="M136" s="6" t="s">
        <v>981</v>
      </c>
      <c r="N136" s="6" t="s">
        <v>2089</v>
      </c>
    </row>
    <row r="137" spans="1:14" x14ac:dyDescent="0.25">
      <c r="A137" s="6" t="s">
        <v>146</v>
      </c>
      <c r="B137" s="6" t="s">
        <v>2090</v>
      </c>
      <c r="C137" s="6" t="s">
        <v>2091</v>
      </c>
      <c r="D137" s="6">
        <v>2000</v>
      </c>
      <c r="E137" s="5">
        <f t="shared" si="12"/>
        <v>2000000</v>
      </c>
      <c r="F137" s="5">
        <f t="shared" si="13"/>
        <v>170000</v>
      </c>
      <c r="G137" s="5">
        <f t="shared" si="14"/>
        <v>465.75342465753425</v>
      </c>
      <c r="H137" s="5">
        <f t="shared" si="15"/>
        <v>85232.876712328769</v>
      </c>
      <c r="I137" s="5">
        <f t="shared" si="16"/>
        <v>5113.9726027397255</v>
      </c>
      <c r="J137" s="5">
        <f t="shared" si="17"/>
        <v>80118.904109589042</v>
      </c>
      <c r="K137" s="1"/>
      <c r="L137" s="6" t="s">
        <v>1218</v>
      </c>
      <c r="M137" s="6" t="s">
        <v>2098</v>
      </c>
      <c r="N137" s="6" t="s">
        <v>2099</v>
      </c>
    </row>
    <row r="138" spans="1:14" x14ac:dyDescent="0.25">
      <c r="A138" s="6" t="s">
        <v>147</v>
      </c>
      <c r="B138" s="6" t="s">
        <v>2100</v>
      </c>
      <c r="C138" s="6" t="s">
        <v>2101</v>
      </c>
      <c r="D138" s="6">
        <v>500</v>
      </c>
      <c r="E138" s="5">
        <f t="shared" si="12"/>
        <v>500000</v>
      </c>
      <c r="F138" s="5">
        <f t="shared" si="13"/>
        <v>42500</v>
      </c>
      <c r="G138" s="5">
        <f t="shared" si="14"/>
        <v>116.43835616438356</v>
      </c>
      <c r="H138" s="5">
        <f t="shared" si="15"/>
        <v>21308.219178082192</v>
      </c>
      <c r="I138" s="5">
        <f t="shared" si="16"/>
        <v>1278.4931506849314</v>
      </c>
      <c r="J138" s="5">
        <f t="shared" si="17"/>
        <v>20029.726027397261</v>
      </c>
      <c r="K138" s="1"/>
      <c r="L138" s="6" t="s">
        <v>915</v>
      </c>
      <c r="M138" s="6" t="s">
        <v>2107</v>
      </c>
      <c r="N138" s="6" t="s">
        <v>2108</v>
      </c>
    </row>
    <row r="139" spans="1:14" x14ac:dyDescent="0.25">
      <c r="A139" s="6" t="s">
        <v>148</v>
      </c>
      <c r="B139" s="6" t="s">
        <v>2109</v>
      </c>
      <c r="C139" s="6" t="s">
        <v>2110</v>
      </c>
      <c r="D139" s="6">
        <v>25</v>
      </c>
      <c r="E139" s="5">
        <f t="shared" si="12"/>
        <v>25000</v>
      </c>
      <c r="F139" s="5">
        <f t="shared" si="13"/>
        <v>2125</v>
      </c>
      <c r="G139" s="5">
        <f t="shared" si="14"/>
        <v>5.8219178082191778</v>
      </c>
      <c r="H139" s="5">
        <f t="shared" si="15"/>
        <v>1065.4109589041095</v>
      </c>
      <c r="I139" s="5">
        <f t="shared" si="16"/>
        <v>63.92465753424657</v>
      </c>
      <c r="J139" s="5">
        <f t="shared" si="17"/>
        <v>1001.486301369863</v>
      </c>
      <c r="K139" s="1"/>
      <c r="L139" s="6" t="s">
        <v>1</v>
      </c>
      <c r="M139" s="6" t="s">
        <v>2116</v>
      </c>
      <c r="N139" s="6" t="s">
        <v>2117</v>
      </c>
    </row>
    <row r="140" spans="1:14" x14ac:dyDescent="0.25">
      <c r="A140" s="6" t="s">
        <v>149</v>
      </c>
      <c r="B140" s="6" t="s">
        <v>2118</v>
      </c>
      <c r="C140" s="6" t="s">
        <v>2119</v>
      </c>
      <c r="D140" s="6">
        <v>25</v>
      </c>
      <c r="E140" s="5">
        <f t="shared" si="12"/>
        <v>25000</v>
      </c>
      <c r="F140" s="5">
        <f t="shared" si="13"/>
        <v>2125</v>
      </c>
      <c r="G140" s="5">
        <f t="shared" si="14"/>
        <v>5.8219178082191778</v>
      </c>
      <c r="H140" s="5">
        <f t="shared" si="15"/>
        <v>1065.4109589041095</v>
      </c>
      <c r="I140" s="5">
        <f t="shared" si="16"/>
        <v>63.92465753424657</v>
      </c>
      <c r="J140" s="5">
        <f t="shared" si="17"/>
        <v>1001.486301369863</v>
      </c>
      <c r="K140" s="1"/>
      <c r="L140" s="6" t="s">
        <v>971</v>
      </c>
      <c r="M140" s="6" t="s">
        <v>972</v>
      </c>
      <c r="N140" s="6" t="s">
        <v>2124</v>
      </c>
    </row>
    <row r="141" spans="1:14" x14ac:dyDescent="0.25">
      <c r="A141" s="6" t="s">
        <v>150</v>
      </c>
      <c r="B141" s="6" t="s">
        <v>2125</v>
      </c>
      <c r="C141" s="6" t="s">
        <v>2126</v>
      </c>
      <c r="D141" s="6">
        <v>100</v>
      </c>
      <c r="E141" s="5">
        <f t="shared" si="12"/>
        <v>100000</v>
      </c>
      <c r="F141" s="5">
        <f t="shared" si="13"/>
        <v>8500</v>
      </c>
      <c r="G141" s="5">
        <f t="shared" si="14"/>
        <v>23.287671232876711</v>
      </c>
      <c r="H141" s="5">
        <f t="shared" si="15"/>
        <v>4261.6438356164381</v>
      </c>
      <c r="I141" s="5">
        <f t="shared" si="16"/>
        <v>255.69863013698628</v>
      </c>
      <c r="J141" s="5">
        <f t="shared" si="17"/>
        <v>4005.9452054794519</v>
      </c>
      <c r="K141" s="1"/>
      <c r="L141" s="6" t="s">
        <v>1871</v>
      </c>
      <c r="M141" s="6" t="s">
        <v>2131</v>
      </c>
      <c r="N141" s="6" t="s">
        <v>2132</v>
      </c>
    </row>
    <row r="142" spans="1:14" x14ac:dyDescent="0.25">
      <c r="A142" s="6" t="s">
        <v>151</v>
      </c>
      <c r="B142" s="6" t="s">
        <v>2133</v>
      </c>
      <c r="C142" s="6" t="s">
        <v>2134</v>
      </c>
      <c r="D142" s="6">
        <v>100</v>
      </c>
      <c r="E142" s="5">
        <f t="shared" si="12"/>
        <v>100000</v>
      </c>
      <c r="F142" s="5">
        <f t="shared" si="13"/>
        <v>8500</v>
      </c>
      <c r="G142" s="5">
        <f t="shared" si="14"/>
        <v>23.287671232876711</v>
      </c>
      <c r="H142" s="5">
        <f t="shared" si="15"/>
        <v>4261.6438356164381</v>
      </c>
      <c r="I142" s="5">
        <f t="shared" si="16"/>
        <v>255.69863013698628</v>
      </c>
      <c r="J142" s="5">
        <f t="shared" si="17"/>
        <v>4005.9452054794519</v>
      </c>
      <c r="K142" s="1"/>
      <c r="L142" s="6" t="s">
        <v>915</v>
      </c>
      <c r="M142" s="6" t="s">
        <v>2140</v>
      </c>
      <c r="N142" s="6" t="s">
        <v>2141</v>
      </c>
    </row>
    <row r="143" spans="1:14" x14ac:dyDescent="0.25">
      <c r="A143" s="6" t="s">
        <v>152</v>
      </c>
      <c r="B143" s="6" t="s">
        <v>2142</v>
      </c>
      <c r="C143" s="6" t="s">
        <v>2143</v>
      </c>
      <c r="D143" s="6">
        <v>25</v>
      </c>
      <c r="E143" s="5">
        <f t="shared" si="12"/>
        <v>25000</v>
      </c>
      <c r="F143" s="5">
        <f t="shared" si="13"/>
        <v>2125</v>
      </c>
      <c r="G143" s="5">
        <f t="shared" si="14"/>
        <v>5.8219178082191778</v>
      </c>
      <c r="H143" s="5">
        <f t="shared" si="15"/>
        <v>1065.4109589041095</v>
      </c>
      <c r="I143" s="5">
        <f t="shared" si="16"/>
        <v>63.92465753424657</v>
      </c>
      <c r="J143" s="5">
        <f t="shared" si="17"/>
        <v>1001.486301369863</v>
      </c>
      <c r="K143" s="1"/>
      <c r="L143" s="6" t="s">
        <v>910</v>
      </c>
      <c r="M143" s="6" t="s">
        <v>2149</v>
      </c>
      <c r="N143" s="6" t="s">
        <v>2150</v>
      </c>
    </row>
    <row r="144" spans="1:14" x14ac:dyDescent="0.25">
      <c r="A144" s="6" t="s">
        <v>153</v>
      </c>
      <c r="B144" s="6" t="s">
        <v>2151</v>
      </c>
      <c r="C144" s="6" t="s">
        <v>2152</v>
      </c>
      <c r="D144" s="6">
        <v>949</v>
      </c>
      <c r="E144" s="5">
        <f t="shared" si="12"/>
        <v>949000</v>
      </c>
      <c r="F144" s="5">
        <f t="shared" si="13"/>
        <v>80665</v>
      </c>
      <c r="G144" s="5">
        <f t="shared" si="14"/>
        <v>221</v>
      </c>
      <c r="H144" s="5">
        <f t="shared" si="15"/>
        <v>40443</v>
      </c>
      <c r="I144" s="5">
        <f t="shared" si="16"/>
        <v>2426.58</v>
      </c>
      <c r="J144" s="5">
        <f t="shared" si="17"/>
        <v>38016.42</v>
      </c>
      <c r="K144" s="1"/>
      <c r="L144" s="6" t="s">
        <v>910</v>
      </c>
      <c r="M144" s="6" t="s">
        <v>2157</v>
      </c>
      <c r="N144" s="6" t="s">
        <v>2158</v>
      </c>
    </row>
    <row r="145" spans="1:14" x14ac:dyDescent="0.25">
      <c r="A145" s="6" t="s">
        <v>154</v>
      </c>
      <c r="B145" s="6" t="s">
        <v>2159</v>
      </c>
      <c r="C145" s="6" t="s">
        <v>2160</v>
      </c>
      <c r="D145" s="6">
        <v>25</v>
      </c>
      <c r="E145" s="5">
        <f t="shared" si="12"/>
        <v>25000</v>
      </c>
      <c r="F145" s="5">
        <f t="shared" si="13"/>
        <v>2125</v>
      </c>
      <c r="G145" s="5">
        <f t="shared" si="14"/>
        <v>5.8219178082191778</v>
      </c>
      <c r="H145" s="5">
        <f t="shared" si="15"/>
        <v>1065.4109589041095</v>
      </c>
      <c r="I145" s="5">
        <f t="shared" si="16"/>
        <v>63.92465753424657</v>
      </c>
      <c r="J145" s="5">
        <f t="shared" si="17"/>
        <v>1001.486301369863</v>
      </c>
      <c r="K145" s="1"/>
      <c r="L145" s="6" t="s">
        <v>2165</v>
      </c>
      <c r="M145" s="6" t="s">
        <v>2166</v>
      </c>
      <c r="N145" s="6" t="s">
        <v>2167</v>
      </c>
    </row>
    <row r="146" spans="1:14" x14ac:dyDescent="0.25">
      <c r="A146" s="6" t="s">
        <v>155</v>
      </c>
      <c r="B146" s="6" t="s">
        <v>2168</v>
      </c>
      <c r="C146" s="6" t="s">
        <v>2169</v>
      </c>
      <c r="D146" s="6">
        <v>725</v>
      </c>
      <c r="E146" s="5">
        <f t="shared" si="12"/>
        <v>725000</v>
      </c>
      <c r="F146" s="5">
        <f t="shared" si="13"/>
        <v>61625.000000000007</v>
      </c>
      <c r="G146" s="5">
        <f t="shared" si="14"/>
        <v>168.8356164383562</v>
      </c>
      <c r="H146" s="5">
        <f t="shared" si="15"/>
        <v>30896.917808219183</v>
      </c>
      <c r="I146" s="5">
        <f t="shared" si="16"/>
        <v>1853.8150684931509</v>
      </c>
      <c r="J146" s="5">
        <f t="shared" si="17"/>
        <v>29043.102739726033</v>
      </c>
      <c r="K146" s="1"/>
      <c r="L146" s="6" t="s">
        <v>910</v>
      </c>
      <c r="M146" s="6" t="s">
        <v>2174</v>
      </c>
      <c r="N146" s="6" t="s">
        <v>2175</v>
      </c>
    </row>
    <row r="147" spans="1:14" x14ac:dyDescent="0.25">
      <c r="A147" s="6" t="s">
        <v>156</v>
      </c>
      <c r="B147" s="6" t="s">
        <v>2176</v>
      </c>
      <c r="C147" s="6" t="s">
        <v>2177</v>
      </c>
      <c r="D147" s="6">
        <v>25</v>
      </c>
      <c r="E147" s="5">
        <f t="shared" si="12"/>
        <v>25000</v>
      </c>
      <c r="F147" s="5">
        <f t="shared" si="13"/>
        <v>2125</v>
      </c>
      <c r="G147" s="5">
        <f t="shared" si="14"/>
        <v>5.8219178082191778</v>
      </c>
      <c r="H147" s="5">
        <f t="shared" si="15"/>
        <v>1065.4109589041095</v>
      </c>
      <c r="I147" s="5">
        <f t="shared" si="16"/>
        <v>63.92465753424657</v>
      </c>
      <c r="J147" s="5">
        <f t="shared" si="17"/>
        <v>1001.486301369863</v>
      </c>
      <c r="K147" s="1"/>
      <c r="L147" s="6" t="s">
        <v>2</v>
      </c>
      <c r="M147" s="6" t="s">
        <v>1327</v>
      </c>
      <c r="N147" s="6" t="s">
        <v>2183</v>
      </c>
    </row>
    <row r="148" spans="1:14" x14ac:dyDescent="0.25">
      <c r="A148" s="6" t="s">
        <v>157</v>
      </c>
      <c r="B148" s="6" t="s">
        <v>2184</v>
      </c>
      <c r="C148" s="6" t="s">
        <v>2185</v>
      </c>
      <c r="D148" s="6">
        <v>50</v>
      </c>
      <c r="E148" s="5">
        <f t="shared" si="12"/>
        <v>50000</v>
      </c>
      <c r="F148" s="5">
        <f t="shared" si="13"/>
        <v>4250</v>
      </c>
      <c r="G148" s="5">
        <f t="shared" si="14"/>
        <v>11.643835616438356</v>
      </c>
      <c r="H148" s="5">
        <f t="shared" si="15"/>
        <v>2130.821917808219</v>
      </c>
      <c r="I148" s="5">
        <f t="shared" si="16"/>
        <v>127.84931506849314</v>
      </c>
      <c r="J148" s="5">
        <f t="shared" si="17"/>
        <v>2002.972602739726</v>
      </c>
      <c r="K148" s="1"/>
      <c r="L148" s="6" t="s">
        <v>909</v>
      </c>
      <c r="M148" s="6" t="s">
        <v>2192</v>
      </c>
      <c r="N148" s="6" t="s">
        <v>2193</v>
      </c>
    </row>
    <row r="149" spans="1:14" x14ac:dyDescent="0.25">
      <c r="A149" s="6" t="s">
        <v>158</v>
      </c>
      <c r="B149" s="6" t="s">
        <v>2194</v>
      </c>
      <c r="C149" s="6" t="s">
        <v>2195</v>
      </c>
      <c r="D149" s="6">
        <v>25</v>
      </c>
      <c r="E149" s="5">
        <f t="shared" si="12"/>
        <v>25000</v>
      </c>
      <c r="F149" s="5">
        <f t="shared" si="13"/>
        <v>2125</v>
      </c>
      <c r="G149" s="5">
        <f t="shared" si="14"/>
        <v>5.8219178082191778</v>
      </c>
      <c r="H149" s="5">
        <f t="shared" si="15"/>
        <v>1065.4109589041095</v>
      </c>
      <c r="I149" s="5">
        <f t="shared" si="16"/>
        <v>63.92465753424657</v>
      </c>
      <c r="J149" s="5">
        <f t="shared" si="17"/>
        <v>1001.486301369863</v>
      </c>
      <c r="K149" s="1"/>
      <c r="L149" s="6" t="s">
        <v>909</v>
      </c>
      <c r="M149" s="6" t="s">
        <v>2201</v>
      </c>
      <c r="N149" s="6" t="s">
        <v>2202</v>
      </c>
    </row>
    <row r="150" spans="1:14" x14ac:dyDescent="0.25">
      <c r="A150" s="6" t="s">
        <v>159</v>
      </c>
      <c r="B150" s="6" t="s">
        <v>2203</v>
      </c>
      <c r="C150" s="6" t="s">
        <v>2204</v>
      </c>
      <c r="D150" s="6">
        <v>25</v>
      </c>
      <c r="E150" s="5">
        <f t="shared" si="12"/>
        <v>25000</v>
      </c>
      <c r="F150" s="5">
        <f t="shared" si="13"/>
        <v>2125</v>
      </c>
      <c r="G150" s="5">
        <f t="shared" si="14"/>
        <v>5.8219178082191778</v>
      </c>
      <c r="H150" s="5">
        <f t="shared" si="15"/>
        <v>1065.4109589041095</v>
      </c>
      <c r="I150" s="5">
        <f t="shared" si="16"/>
        <v>63.92465753424657</v>
      </c>
      <c r="J150" s="5">
        <f t="shared" si="17"/>
        <v>1001.486301369863</v>
      </c>
      <c r="K150" s="1"/>
      <c r="L150" s="6" t="s">
        <v>8</v>
      </c>
      <c r="M150" s="6" t="s">
        <v>2211</v>
      </c>
      <c r="N150" s="6" t="s">
        <v>2212</v>
      </c>
    </row>
    <row r="151" spans="1:14" x14ac:dyDescent="0.25">
      <c r="A151" s="6" t="s">
        <v>160</v>
      </c>
      <c r="B151" s="6" t="s">
        <v>2213</v>
      </c>
      <c r="C151" s="6" t="s">
        <v>2214</v>
      </c>
      <c r="D151" s="6">
        <v>25</v>
      </c>
      <c r="E151" s="5">
        <f t="shared" si="12"/>
        <v>25000</v>
      </c>
      <c r="F151" s="5">
        <f t="shared" si="13"/>
        <v>2125</v>
      </c>
      <c r="G151" s="5">
        <f t="shared" si="14"/>
        <v>5.8219178082191778</v>
      </c>
      <c r="H151" s="5">
        <f t="shared" si="15"/>
        <v>1065.4109589041095</v>
      </c>
      <c r="I151" s="5">
        <f t="shared" si="16"/>
        <v>63.92465753424657</v>
      </c>
      <c r="J151" s="5">
        <f t="shared" si="17"/>
        <v>1001.486301369863</v>
      </c>
      <c r="K151" s="1"/>
      <c r="L151" s="6" t="s">
        <v>909</v>
      </c>
      <c r="M151" s="6" t="s">
        <v>1237</v>
      </c>
      <c r="N151" s="6" t="s">
        <v>2219</v>
      </c>
    </row>
    <row r="152" spans="1:14" x14ac:dyDescent="0.25">
      <c r="A152" s="6" t="s">
        <v>161</v>
      </c>
      <c r="B152" s="6" t="s">
        <v>2220</v>
      </c>
      <c r="C152" s="6" t="s">
        <v>2221</v>
      </c>
      <c r="D152" s="6">
        <v>500</v>
      </c>
      <c r="E152" s="5">
        <f t="shared" si="12"/>
        <v>500000</v>
      </c>
      <c r="F152" s="5">
        <f t="shared" si="13"/>
        <v>42500</v>
      </c>
      <c r="G152" s="5">
        <f t="shared" si="14"/>
        <v>116.43835616438356</v>
      </c>
      <c r="H152" s="5">
        <f t="shared" si="15"/>
        <v>21308.219178082192</v>
      </c>
      <c r="I152" s="5">
        <f t="shared" si="16"/>
        <v>1278.4931506849314</v>
      </c>
      <c r="J152" s="5">
        <f t="shared" si="17"/>
        <v>20029.726027397261</v>
      </c>
      <c r="K152" s="1"/>
      <c r="L152" s="6" t="s">
        <v>1</v>
      </c>
      <c r="M152" s="6" t="s">
        <v>1390</v>
      </c>
      <c r="N152" s="6" t="s">
        <v>2228</v>
      </c>
    </row>
    <row r="153" spans="1:14" x14ac:dyDescent="0.25">
      <c r="A153" s="6" t="s">
        <v>162</v>
      </c>
      <c r="B153" s="6" t="s">
        <v>2229</v>
      </c>
      <c r="C153" s="6" t="s">
        <v>2230</v>
      </c>
      <c r="D153" s="6">
        <v>25</v>
      </c>
      <c r="E153" s="5">
        <f t="shared" si="12"/>
        <v>25000</v>
      </c>
      <c r="F153" s="5">
        <f t="shared" si="13"/>
        <v>2125</v>
      </c>
      <c r="G153" s="5">
        <f t="shared" si="14"/>
        <v>5.8219178082191778</v>
      </c>
      <c r="H153" s="5">
        <f t="shared" si="15"/>
        <v>1065.4109589041095</v>
      </c>
      <c r="I153" s="5">
        <f t="shared" si="16"/>
        <v>63.92465753424657</v>
      </c>
      <c r="J153" s="5">
        <f t="shared" si="17"/>
        <v>1001.486301369863</v>
      </c>
      <c r="K153" s="1"/>
      <c r="L153" s="6" t="s">
        <v>1496</v>
      </c>
      <c r="M153" s="6" t="s">
        <v>2236</v>
      </c>
      <c r="N153" s="6" t="s">
        <v>2237</v>
      </c>
    </row>
    <row r="154" spans="1:14" x14ac:dyDescent="0.25">
      <c r="A154" s="6" t="s">
        <v>163</v>
      </c>
      <c r="B154" s="6" t="s">
        <v>2238</v>
      </c>
      <c r="C154" s="6" t="s">
        <v>2239</v>
      </c>
      <c r="D154" s="6">
        <v>25</v>
      </c>
      <c r="E154" s="5">
        <f t="shared" si="12"/>
        <v>25000</v>
      </c>
      <c r="F154" s="5">
        <f t="shared" si="13"/>
        <v>2125</v>
      </c>
      <c r="G154" s="5">
        <f t="shared" si="14"/>
        <v>5.8219178082191778</v>
      </c>
      <c r="H154" s="5">
        <f t="shared" si="15"/>
        <v>1065.4109589041095</v>
      </c>
      <c r="I154" s="5">
        <f t="shared" si="16"/>
        <v>63.92465753424657</v>
      </c>
      <c r="J154" s="5">
        <f t="shared" si="17"/>
        <v>1001.486301369863</v>
      </c>
      <c r="K154" s="1"/>
      <c r="L154" s="6" t="s">
        <v>1</v>
      </c>
      <c r="M154" s="6" t="s">
        <v>1846</v>
      </c>
      <c r="N154" s="6" t="s">
        <v>2245</v>
      </c>
    </row>
    <row r="155" spans="1:14" x14ac:dyDescent="0.25">
      <c r="A155" s="6" t="s">
        <v>164</v>
      </c>
      <c r="B155" s="6" t="s">
        <v>2246</v>
      </c>
      <c r="C155" s="6" t="s">
        <v>2247</v>
      </c>
      <c r="D155" s="6">
        <v>300</v>
      </c>
      <c r="E155" s="5">
        <f t="shared" si="12"/>
        <v>300000</v>
      </c>
      <c r="F155" s="5">
        <f t="shared" si="13"/>
        <v>25500.000000000004</v>
      </c>
      <c r="G155" s="5">
        <f t="shared" si="14"/>
        <v>69.863013698630141</v>
      </c>
      <c r="H155" s="5">
        <f t="shared" si="15"/>
        <v>12784.931506849316</v>
      </c>
      <c r="I155" s="5">
        <f t="shared" si="16"/>
        <v>767.09589041095899</v>
      </c>
      <c r="J155" s="5">
        <f t="shared" si="17"/>
        <v>12017.835616438357</v>
      </c>
      <c r="K155" s="1"/>
      <c r="L155" s="6" t="s">
        <v>4</v>
      </c>
      <c r="M155" s="6" t="s">
        <v>1949</v>
      </c>
      <c r="N155" s="6" t="s">
        <v>2252</v>
      </c>
    </row>
    <row r="156" spans="1:14" x14ac:dyDescent="0.25">
      <c r="A156" s="6" t="s">
        <v>165</v>
      </c>
      <c r="B156" s="6" t="s">
        <v>2253</v>
      </c>
      <c r="C156" s="6" t="s">
        <v>2254</v>
      </c>
      <c r="D156" s="6">
        <v>50</v>
      </c>
      <c r="E156" s="5">
        <f t="shared" si="12"/>
        <v>50000</v>
      </c>
      <c r="F156" s="5">
        <f t="shared" si="13"/>
        <v>4250</v>
      </c>
      <c r="G156" s="5">
        <f t="shared" si="14"/>
        <v>11.643835616438356</v>
      </c>
      <c r="H156" s="5">
        <f t="shared" si="15"/>
        <v>2130.821917808219</v>
      </c>
      <c r="I156" s="5">
        <f t="shared" si="16"/>
        <v>127.84931506849314</v>
      </c>
      <c r="J156" s="5">
        <f t="shared" si="17"/>
        <v>2002.972602739726</v>
      </c>
      <c r="K156" s="1"/>
      <c r="L156" s="6" t="s">
        <v>1478</v>
      </c>
      <c r="M156" s="6" t="s">
        <v>1479</v>
      </c>
      <c r="N156" s="6" t="s">
        <v>2259</v>
      </c>
    </row>
    <row r="157" spans="1:14" x14ac:dyDescent="0.25">
      <c r="A157" s="6" t="s">
        <v>166</v>
      </c>
      <c r="B157" s="6" t="s">
        <v>2260</v>
      </c>
      <c r="C157" s="6" t="s">
        <v>2261</v>
      </c>
      <c r="D157" s="6">
        <v>50</v>
      </c>
      <c r="E157" s="5">
        <f t="shared" si="12"/>
        <v>50000</v>
      </c>
      <c r="F157" s="5">
        <f t="shared" si="13"/>
        <v>4250</v>
      </c>
      <c r="G157" s="5">
        <f t="shared" si="14"/>
        <v>11.643835616438356</v>
      </c>
      <c r="H157" s="5">
        <f t="shared" si="15"/>
        <v>2130.821917808219</v>
      </c>
      <c r="I157" s="5">
        <f t="shared" si="16"/>
        <v>127.84931506849314</v>
      </c>
      <c r="J157" s="5">
        <f t="shared" si="17"/>
        <v>2002.972602739726</v>
      </c>
      <c r="K157" s="1"/>
      <c r="L157" s="6" t="s">
        <v>910</v>
      </c>
      <c r="M157" s="6" t="s">
        <v>981</v>
      </c>
      <c r="N157" s="6" t="s">
        <v>2268</v>
      </c>
    </row>
    <row r="158" spans="1:14" x14ac:dyDescent="0.25">
      <c r="A158" s="6" t="s">
        <v>167</v>
      </c>
      <c r="B158" s="6" t="s">
        <v>2269</v>
      </c>
      <c r="C158" s="6" t="s">
        <v>2270</v>
      </c>
      <c r="D158" s="6">
        <v>25</v>
      </c>
      <c r="E158" s="5">
        <f t="shared" si="12"/>
        <v>25000</v>
      </c>
      <c r="F158" s="5">
        <f t="shared" si="13"/>
        <v>2125</v>
      </c>
      <c r="G158" s="5">
        <f t="shared" si="14"/>
        <v>5.8219178082191778</v>
      </c>
      <c r="H158" s="5">
        <f t="shared" si="15"/>
        <v>1065.4109589041095</v>
      </c>
      <c r="I158" s="5">
        <f t="shared" si="16"/>
        <v>63.92465753424657</v>
      </c>
      <c r="J158" s="5">
        <f t="shared" si="17"/>
        <v>1001.486301369863</v>
      </c>
      <c r="K158" s="1"/>
      <c r="L158" s="6" t="s">
        <v>13</v>
      </c>
      <c r="M158" s="6" t="s">
        <v>1147</v>
      </c>
      <c r="N158" s="6" t="s">
        <v>2276</v>
      </c>
    </row>
    <row r="159" spans="1:14" x14ac:dyDescent="0.25">
      <c r="A159" s="6" t="s">
        <v>168</v>
      </c>
      <c r="B159" s="6" t="s">
        <v>2277</v>
      </c>
      <c r="C159" s="6" t="s">
        <v>2278</v>
      </c>
      <c r="D159" s="6">
        <v>50</v>
      </c>
      <c r="E159" s="5">
        <f t="shared" si="12"/>
        <v>50000</v>
      </c>
      <c r="F159" s="5">
        <f t="shared" si="13"/>
        <v>4250</v>
      </c>
      <c r="G159" s="5">
        <f t="shared" si="14"/>
        <v>11.643835616438356</v>
      </c>
      <c r="H159" s="5">
        <f t="shared" si="15"/>
        <v>2130.821917808219</v>
      </c>
      <c r="I159" s="5">
        <f t="shared" si="16"/>
        <v>127.84931506849314</v>
      </c>
      <c r="J159" s="5">
        <f t="shared" si="17"/>
        <v>2002.972602739726</v>
      </c>
      <c r="K159" s="1"/>
      <c r="L159" s="6" t="s">
        <v>1335</v>
      </c>
      <c r="M159" s="6" t="s">
        <v>2284</v>
      </c>
      <c r="N159" s="6" t="s">
        <v>2285</v>
      </c>
    </row>
    <row r="160" spans="1:14" x14ac:dyDescent="0.25">
      <c r="A160" s="6" t="s">
        <v>169</v>
      </c>
      <c r="B160" s="6" t="s">
        <v>2286</v>
      </c>
      <c r="C160" s="6" t="s">
        <v>2287</v>
      </c>
      <c r="D160" s="6">
        <v>200</v>
      </c>
      <c r="E160" s="5">
        <f t="shared" si="12"/>
        <v>200000</v>
      </c>
      <c r="F160" s="5">
        <f t="shared" si="13"/>
        <v>17000</v>
      </c>
      <c r="G160" s="5">
        <f t="shared" si="14"/>
        <v>46.575342465753423</v>
      </c>
      <c r="H160" s="5">
        <f t="shared" si="15"/>
        <v>8523.2876712328762</v>
      </c>
      <c r="I160" s="5">
        <f t="shared" si="16"/>
        <v>511.39726027397256</v>
      </c>
      <c r="J160" s="5">
        <f t="shared" si="17"/>
        <v>8011.8904109589039</v>
      </c>
      <c r="K160" s="1"/>
      <c r="L160" s="6" t="s">
        <v>3</v>
      </c>
      <c r="M160" s="6" t="s">
        <v>911</v>
      </c>
      <c r="N160" s="6" t="s">
        <v>2293</v>
      </c>
    </row>
    <row r="161" spans="1:14" x14ac:dyDescent="0.25">
      <c r="A161" s="6" t="s">
        <v>170</v>
      </c>
      <c r="B161" s="6" t="s">
        <v>2294</v>
      </c>
      <c r="C161" s="6" t="s">
        <v>2295</v>
      </c>
      <c r="D161" s="6">
        <v>25</v>
      </c>
      <c r="E161" s="5">
        <f t="shared" si="12"/>
        <v>25000</v>
      </c>
      <c r="F161" s="5">
        <f t="shared" si="13"/>
        <v>2125</v>
      </c>
      <c r="G161" s="5">
        <f t="shared" si="14"/>
        <v>5.8219178082191778</v>
      </c>
      <c r="H161" s="5">
        <f t="shared" si="15"/>
        <v>1065.4109589041095</v>
      </c>
      <c r="I161" s="5">
        <f t="shared" si="16"/>
        <v>63.92465753424657</v>
      </c>
      <c r="J161" s="5">
        <f t="shared" si="17"/>
        <v>1001.486301369863</v>
      </c>
      <c r="K161" s="1"/>
      <c r="L161" s="6" t="s">
        <v>919</v>
      </c>
      <c r="M161" s="6" t="s">
        <v>2301</v>
      </c>
      <c r="N161" s="6" t="s">
        <v>2302</v>
      </c>
    </row>
    <row r="162" spans="1:14" x14ac:dyDescent="0.25">
      <c r="A162" s="6" t="s">
        <v>171</v>
      </c>
      <c r="B162" s="6" t="s">
        <v>2303</v>
      </c>
      <c r="C162" s="6" t="s">
        <v>2304</v>
      </c>
      <c r="D162" s="6">
        <v>300</v>
      </c>
      <c r="E162" s="5">
        <f t="shared" si="12"/>
        <v>300000</v>
      </c>
      <c r="F162" s="5">
        <f t="shared" si="13"/>
        <v>25500.000000000004</v>
      </c>
      <c r="G162" s="5">
        <f t="shared" si="14"/>
        <v>69.863013698630141</v>
      </c>
      <c r="H162" s="5">
        <f t="shared" si="15"/>
        <v>12784.931506849316</v>
      </c>
      <c r="I162" s="5">
        <f t="shared" si="16"/>
        <v>767.09589041095899</v>
      </c>
      <c r="J162" s="5">
        <f t="shared" si="17"/>
        <v>12017.835616438357</v>
      </c>
      <c r="K162" s="1"/>
      <c r="L162" s="6" t="s">
        <v>909</v>
      </c>
      <c r="M162" s="6" t="s">
        <v>1237</v>
      </c>
      <c r="N162" s="6" t="s">
        <v>2309</v>
      </c>
    </row>
    <row r="163" spans="1:14" x14ac:dyDescent="0.25">
      <c r="A163" s="6" t="s">
        <v>172</v>
      </c>
      <c r="B163" s="6" t="s">
        <v>2310</v>
      </c>
      <c r="C163" s="6" t="s">
        <v>2311</v>
      </c>
      <c r="D163" s="6">
        <v>25</v>
      </c>
      <c r="E163" s="5">
        <f t="shared" si="12"/>
        <v>25000</v>
      </c>
      <c r="F163" s="5">
        <f t="shared" si="13"/>
        <v>2125</v>
      </c>
      <c r="G163" s="5">
        <f t="shared" si="14"/>
        <v>5.8219178082191778</v>
      </c>
      <c r="H163" s="5">
        <f t="shared" si="15"/>
        <v>1065.4109589041095</v>
      </c>
      <c r="I163" s="5">
        <f t="shared" si="16"/>
        <v>63.92465753424657</v>
      </c>
      <c r="J163" s="5">
        <f t="shared" si="17"/>
        <v>1001.486301369863</v>
      </c>
      <c r="K163" s="1"/>
      <c r="L163" s="6" t="s">
        <v>1637</v>
      </c>
      <c r="M163" s="6" t="s">
        <v>2316</v>
      </c>
      <c r="N163" s="6" t="s">
        <v>2317</v>
      </c>
    </row>
    <row r="164" spans="1:14" x14ac:dyDescent="0.25">
      <c r="A164" s="6" t="s">
        <v>173</v>
      </c>
      <c r="B164" s="6" t="s">
        <v>2318</v>
      </c>
      <c r="C164" s="6" t="s">
        <v>2319</v>
      </c>
      <c r="D164" s="6">
        <v>25</v>
      </c>
      <c r="E164" s="5">
        <f t="shared" si="12"/>
        <v>25000</v>
      </c>
      <c r="F164" s="5">
        <f t="shared" si="13"/>
        <v>2125</v>
      </c>
      <c r="G164" s="5">
        <f t="shared" si="14"/>
        <v>5.8219178082191778</v>
      </c>
      <c r="H164" s="5">
        <f t="shared" si="15"/>
        <v>1065.4109589041095</v>
      </c>
      <c r="I164" s="5">
        <f t="shared" si="16"/>
        <v>63.92465753424657</v>
      </c>
      <c r="J164" s="5">
        <f t="shared" si="17"/>
        <v>1001.486301369863</v>
      </c>
      <c r="K164" s="1"/>
      <c r="L164" s="6" t="s">
        <v>13</v>
      </c>
      <c r="M164" s="6" t="s">
        <v>2325</v>
      </c>
      <c r="N164" s="6" t="s">
        <v>2326</v>
      </c>
    </row>
    <row r="165" spans="1:14" x14ac:dyDescent="0.25">
      <c r="A165" s="6" t="s">
        <v>174</v>
      </c>
      <c r="B165" s="6" t="s">
        <v>2327</v>
      </c>
      <c r="C165" s="6" t="s">
        <v>2328</v>
      </c>
      <c r="D165" s="6">
        <v>30</v>
      </c>
      <c r="E165" s="5">
        <f t="shared" si="12"/>
        <v>30000</v>
      </c>
      <c r="F165" s="5">
        <f t="shared" si="13"/>
        <v>2550</v>
      </c>
      <c r="G165" s="5">
        <f t="shared" si="14"/>
        <v>6.9863013698630141</v>
      </c>
      <c r="H165" s="5">
        <f t="shared" si="15"/>
        <v>1278.4931506849316</v>
      </c>
      <c r="I165" s="5">
        <f t="shared" si="16"/>
        <v>76.709589041095896</v>
      </c>
      <c r="J165" s="5">
        <f t="shared" si="17"/>
        <v>1201.7835616438358</v>
      </c>
      <c r="K165" s="1"/>
      <c r="L165" s="6" t="s">
        <v>971</v>
      </c>
      <c r="M165" s="6" t="s">
        <v>972</v>
      </c>
      <c r="N165" s="6" t="s">
        <v>2334</v>
      </c>
    </row>
    <row r="166" spans="1:14" x14ac:dyDescent="0.25">
      <c r="A166" s="6" t="s">
        <v>175</v>
      </c>
      <c r="B166" s="6" t="s">
        <v>2335</v>
      </c>
      <c r="C166" s="6" t="s">
        <v>2336</v>
      </c>
      <c r="D166" s="6">
        <v>25</v>
      </c>
      <c r="E166" s="5">
        <f t="shared" si="12"/>
        <v>25000</v>
      </c>
      <c r="F166" s="5">
        <f t="shared" si="13"/>
        <v>2125</v>
      </c>
      <c r="G166" s="5">
        <f t="shared" si="14"/>
        <v>5.8219178082191778</v>
      </c>
      <c r="H166" s="5">
        <f t="shared" si="15"/>
        <v>1065.4109589041095</v>
      </c>
      <c r="I166" s="5">
        <f t="shared" si="16"/>
        <v>63.92465753424657</v>
      </c>
      <c r="J166" s="5">
        <f t="shared" si="17"/>
        <v>1001.486301369863</v>
      </c>
      <c r="K166" s="1"/>
      <c r="L166" s="6" t="s">
        <v>1673</v>
      </c>
      <c r="M166" s="6" t="s">
        <v>2343</v>
      </c>
      <c r="N166" s="6" t="s">
        <v>2344</v>
      </c>
    </row>
    <row r="167" spans="1:14" x14ac:dyDescent="0.25">
      <c r="A167" s="6" t="s">
        <v>176</v>
      </c>
      <c r="B167" s="6" t="s">
        <v>2345</v>
      </c>
      <c r="C167" s="6" t="s">
        <v>2346</v>
      </c>
      <c r="D167" s="6">
        <v>25</v>
      </c>
      <c r="E167" s="5">
        <f t="shared" si="12"/>
        <v>25000</v>
      </c>
      <c r="F167" s="5">
        <f t="shared" si="13"/>
        <v>2125</v>
      </c>
      <c r="G167" s="5">
        <f t="shared" si="14"/>
        <v>5.8219178082191778</v>
      </c>
      <c r="H167" s="5">
        <f t="shared" si="15"/>
        <v>1065.4109589041095</v>
      </c>
      <c r="I167" s="5">
        <f t="shared" si="16"/>
        <v>63.92465753424657</v>
      </c>
      <c r="J167" s="5">
        <f t="shared" si="17"/>
        <v>1001.486301369863</v>
      </c>
      <c r="K167" s="1"/>
      <c r="L167" s="6" t="s">
        <v>915</v>
      </c>
      <c r="M167" s="6" t="s">
        <v>926</v>
      </c>
      <c r="N167" s="6" t="s">
        <v>2351</v>
      </c>
    </row>
    <row r="168" spans="1:14" x14ac:dyDescent="0.25">
      <c r="A168" s="6" t="s">
        <v>177</v>
      </c>
      <c r="B168" s="6" t="s">
        <v>2352</v>
      </c>
      <c r="C168" s="6" t="s">
        <v>2353</v>
      </c>
      <c r="D168" s="6">
        <v>50</v>
      </c>
      <c r="E168" s="5">
        <f t="shared" si="12"/>
        <v>50000</v>
      </c>
      <c r="F168" s="5">
        <f t="shared" si="13"/>
        <v>4250</v>
      </c>
      <c r="G168" s="5">
        <f t="shared" si="14"/>
        <v>11.643835616438356</v>
      </c>
      <c r="H168" s="5">
        <f t="shared" si="15"/>
        <v>2130.821917808219</v>
      </c>
      <c r="I168" s="5">
        <f t="shared" si="16"/>
        <v>127.84931506849314</v>
      </c>
      <c r="J168" s="5">
        <f t="shared" si="17"/>
        <v>2002.972602739726</v>
      </c>
      <c r="K168" s="1"/>
      <c r="L168" s="6" t="s">
        <v>1637</v>
      </c>
      <c r="M168" s="6" t="s">
        <v>2316</v>
      </c>
      <c r="N168" s="6" t="s">
        <v>2360</v>
      </c>
    </row>
    <row r="169" spans="1:14" x14ac:dyDescent="0.25">
      <c r="A169" s="6" t="s">
        <v>178</v>
      </c>
      <c r="B169" s="6" t="s">
        <v>2361</v>
      </c>
      <c r="C169" s="6" t="s">
        <v>2362</v>
      </c>
      <c r="D169" s="6">
        <v>25</v>
      </c>
      <c r="E169" s="5">
        <f t="shared" si="12"/>
        <v>25000</v>
      </c>
      <c r="F169" s="5">
        <f t="shared" si="13"/>
        <v>2125</v>
      </c>
      <c r="G169" s="5">
        <f t="shared" si="14"/>
        <v>5.8219178082191778</v>
      </c>
      <c r="H169" s="5">
        <f t="shared" si="15"/>
        <v>1065.4109589041095</v>
      </c>
      <c r="I169" s="5">
        <f t="shared" si="16"/>
        <v>63.92465753424657</v>
      </c>
      <c r="J169" s="5">
        <f t="shared" si="17"/>
        <v>1001.486301369863</v>
      </c>
      <c r="K169" s="1"/>
      <c r="L169" s="7"/>
      <c r="M169" s="6" t="s">
        <v>958</v>
      </c>
      <c r="N169" s="6" t="s">
        <v>958</v>
      </c>
    </row>
    <row r="170" spans="1:14" x14ac:dyDescent="0.25">
      <c r="A170" s="6" t="s">
        <v>179</v>
      </c>
      <c r="B170" s="6" t="s">
        <v>2366</v>
      </c>
      <c r="C170" s="6" t="s">
        <v>2367</v>
      </c>
      <c r="D170" s="6">
        <v>100</v>
      </c>
      <c r="E170" s="5">
        <f t="shared" si="12"/>
        <v>100000</v>
      </c>
      <c r="F170" s="5">
        <f t="shared" si="13"/>
        <v>8500</v>
      </c>
      <c r="G170" s="5">
        <f t="shared" si="14"/>
        <v>23.287671232876711</v>
      </c>
      <c r="H170" s="5">
        <f t="shared" si="15"/>
        <v>4261.6438356164381</v>
      </c>
      <c r="I170" s="5">
        <f t="shared" si="16"/>
        <v>255.69863013698628</v>
      </c>
      <c r="J170" s="5">
        <f t="shared" si="17"/>
        <v>4005.9452054794519</v>
      </c>
      <c r="K170" s="1"/>
      <c r="L170" s="6" t="s">
        <v>915</v>
      </c>
      <c r="M170" s="6" t="s">
        <v>926</v>
      </c>
      <c r="N170" s="6" t="s">
        <v>2373</v>
      </c>
    </row>
    <row r="171" spans="1:14" x14ac:dyDescent="0.25">
      <c r="A171" s="6" t="s">
        <v>180</v>
      </c>
      <c r="B171" s="6" t="s">
        <v>2374</v>
      </c>
      <c r="C171" s="6" t="s">
        <v>2375</v>
      </c>
      <c r="D171" s="6">
        <v>25</v>
      </c>
      <c r="E171" s="5">
        <f t="shared" si="12"/>
        <v>25000</v>
      </c>
      <c r="F171" s="5">
        <f t="shared" si="13"/>
        <v>2125</v>
      </c>
      <c r="G171" s="5">
        <f t="shared" si="14"/>
        <v>5.8219178082191778</v>
      </c>
      <c r="H171" s="5">
        <f t="shared" si="15"/>
        <v>1065.4109589041095</v>
      </c>
      <c r="I171" s="5">
        <f t="shared" si="16"/>
        <v>63.92465753424657</v>
      </c>
      <c r="J171" s="5">
        <f t="shared" si="17"/>
        <v>1001.486301369863</v>
      </c>
      <c r="K171" s="1"/>
      <c r="L171" s="6" t="s">
        <v>1089</v>
      </c>
      <c r="M171" s="6" t="s">
        <v>1090</v>
      </c>
      <c r="N171" s="6" t="s">
        <v>2381</v>
      </c>
    </row>
    <row r="172" spans="1:14" x14ac:dyDescent="0.25">
      <c r="A172" s="6" t="s">
        <v>181</v>
      </c>
      <c r="B172" s="6" t="s">
        <v>2382</v>
      </c>
      <c r="C172" s="6" t="s">
        <v>2383</v>
      </c>
      <c r="D172" s="6">
        <v>25</v>
      </c>
      <c r="E172" s="5">
        <f t="shared" si="12"/>
        <v>25000</v>
      </c>
      <c r="F172" s="5">
        <f t="shared" si="13"/>
        <v>2125</v>
      </c>
      <c r="G172" s="5">
        <f t="shared" si="14"/>
        <v>5.8219178082191778</v>
      </c>
      <c r="H172" s="5">
        <f t="shared" si="15"/>
        <v>1065.4109589041095</v>
      </c>
      <c r="I172" s="5">
        <f t="shared" si="16"/>
        <v>63.92465753424657</v>
      </c>
      <c r="J172" s="5">
        <f t="shared" si="17"/>
        <v>1001.486301369863</v>
      </c>
      <c r="K172" s="1"/>
      <c r="L172" s="6" t="s">
        <v>1637</v>
      </c>
      <c r="M172" s="6" t="s">
        <v>2316</v>
      </c>
      <c r="N172" s="6" t="s">
        <v>2388</v>
      </c>
    </row>
    <row r="173" spans="1:14" x14ac:dyDescent="0.25">
      <c r="A173" s="6" t="s">
        <v>182</v>
      </c>
      <c r="B173" s="6" t="s">
        <v>2389</v>
      </c>
      <c r="C173" s="6" t="s">
        <v>2390</v>
      </c>
      <c r="D173" s="6">
        <v>50</v>
      </c>
      <c r="E173" s="5">
        <f t="shared" si="12"/>
        <v>50000</v>
      </c>
      <c r="F173" s="5">
        <f t="shared" si="13"/>
        <v>4250</v>
      </c>
      <c r="G173" s="5">
        <f t="shared" si="14"/>
        <v>11.643835616438356</v>
      </c>
      <c r="H173" s="5">
        <f t="shared" si="15"/>
        <v>2130.821917808219</v>
      </c>
      <c r="I173" s="5">
        <f t="shared" si="16"/>
        <v>127.84931506849314</v>
      </c>
      <c r="J173" s="5">
        <f t="shared" si="17"/>
        <v>2002.972602739726</v>
      </c>
      <c r="K173" s="1"/>
      <c r="L173" s="6" t="s">
        <v>1218</v>
      </c>
      <c r="M173" s="6" t="s">
        <v>2396</v>
      </c>
      <c r="N173" s="6" t="s">
        <v>2397</v>
      </c>
    </row>
    <row r="174" spans="1:14" x14ac:dyDescent="0.25">
      <c r="A174" s="6" t="s">
        <v>183</v>
      </c>
      <c r="B174" s="6" t="s">
        <v>2398</v>
      </c>
      <c r="C174" s="6" t="s">
        <v>2399</v>
      </c>
      <c r="D174" s="6">
        <v>25</v>
      </c>
      <c r="E174" s="5">
        <f t="shared" si="12"/>
        <v>25000</v>
      </c>
      <c r="F174" s="5">
        <f t="shared" si="13"/>
        <v>2125</v>
      </c>
      <c r="G174" s="5">
        <f t="shared" si="14"/>
        <v>5.8219178082191778</v>
      </c>
      <c r="H174" s="5">
        <f t="shared" si="15"/>
        <v>1065.4109589041095</v>
      </c>
      <c r="I174" s="5">
        <f t="shared" si="16"/>
        <v>63.92465753424657</v>
      </c>
      <c r="J174" s="5">
        <f t="shared" si="17"/>
        <v>1001.486301369863</v>
      </c>
      <c r="K174" s="1"/>
      <c r="L174" s="6" t="s">
        <v>909</v>
      </c>
      <c r="M174" s="6" t="s">
        <v>1237</v>
      </c>
      <c r="N174" s="6" t="s">
        <v>2407</v>
      </c>
    </row>
    <row r="175" spans="1:14" x14ac:dyDescent="0.25">
      <c r="A175" s="6" t="s">
        <v>184</v>
      </c>
      <c r="B175" s="6" t="s">
        <v>2408</v>
      </c>
      <c r="C175" s="6" t="s">
        <v>2409</v>
      </c>
      <c r="D175" s="6">
        <v>50</v>
      </c>
      <c r="E175" s="5">
        <f t="shared" si="12"/>
        <v>50000</v>
      </c>
      <c r="F175" s="5">
        <f t="shared" si="13"/>
        <v>4250</v>
      </c>
      <c r="G175" s="5">
        <f t="shared" si="14"/>
        <v>11.643835616438356</v>
      </c>
      <c r="H175" s="5">
        <f t="shared" si="15"/>
        <v>2130.821917808219</v>
      </c>
      <c r="I175" s="5">
        <f t="shared" si="16"/>
        <v>127.84931506849314</v>
      </c>
      <c r="J175" s="5">
        <f t="shared" si="17"/>
        <v>2002.972602739726</v>
      </c>
      <c r="K175" s="1"/>
      <c r="L175" s="6" t="s">
        <v>1496</v>
      </c>
      <c r="M175" s="6" t="s">
        <v>2415</v>
      </c>
      <c r="N175" s="6" t="s">
        <v>2416</v>
      </c>
    </row>
    <row r="176" spans="1:14" x14ac:dyDescent="0.25">
      <c r="A176" s="6" t="s">
        <v>185</v>
      </c>
      <c r="B176" s="6" t="s">
        <v>2417</v>
      </c>
      <c r="C176" s="6" t="s">
        <v>2418</v>
      </c>
      <c r="D176" s="6">
        <v>25</v>
      </c>
      <c r="E176" s="5">
        <f t="shared" si="12"/>
        <v>25000</v>
      </c>
      <c r="F176" s="5">
        <f t="shared" si="13"/>
        <v>2125</v>
      </c>
      <c r="G176" s="5">
        <f t="shared" si="14"/>
        <v>5.8219178082191778</v>
      </c>
      <c r="H176" s="5">
        <f t="shared" si="15"/>
        <v>1065.4109589041095</v>
      </c>
      <c r="I176" s="5">
        <f t="shared" si="16"/>
        <v>63.92465753424657</v>
      </c>
      <c r="J176" s="5">
        <f t="shared" si="17"/>
        <v>1001.486301369863</v>
      </c>
      <c r="K176" s="1"/>
      <c r="L176" s="6" t="s">
        <v>915</v>
      </c>
      <c r="M176" s="6" t="s">
        <v>2424</v>
      </c>
      <c r="N176" s="6" t="s">
        <v>2425</v>
      </c>
    </row>
    <row r="177" spans="1:14" x14ac:dyDescent="0.25">
      <c r="A177" s="6" t="s">
        <v>186</v>
      </c>
      <c r="B177" s="6" t="s">
        <v>2426</v>
      </c>
      <c r="C177" s="6" t="s">
        <v>2427</v>
      </c>
      <c r="D177" s="6">
        <v>25</v>
      </c>
      <c r="E177" s="5">
        <f t="shared" si="12"/>
        <v>25000</v>
      </c>
      <c r="F177" s="5">
        <f t="shared" si="13"/>
        <v>2125</v>
      </c>
      <c r="G177" s="5">
        <f t="shared" si="14"/>
        <v>5.8219178082191778</v>
      </c>
      <c r="H177" s="5">
        <f t="shared" si="15"/>
        <v>1065.4109589041095</v>
      </c>
      <c r="I177" s="5">
        <f t="shared" si="16"/>
        <v>63.92465753424657</v>
      </c>
      <c r="J177" s="5">
        <f t="shared" si="17"/>
        <v>1001.486301369863</v>
      </c>
      <c r="K177" s="1"/>
      <c r="L177" s="6" t="s">
        <v>1871</v>
      </c>
      <c r="M177" s="6" t="s">
        <v>2433</v>
      </c>
      <c r="N177" s="6" t="s">
        <v>2434</v>
      </c>
    </row>
    <row r="178" spans="1:14" x14ac:dyDescent="0.25">
      <c r="A178" s="6" t="s">
        <v>187</v>
      </c>
      <c r="B178" s="6" t="s">
        <v>2435</v>
      </c>
      <c r="C178" s="6" t="s">
        <v>2436</v>
      </c>
      <c r="D178" s="6">
        <v>25</v>
      </c>
      <c r="E178" s="5">
        <f t="shared" si="12"/>
        <v>25000</v>
      </c>
      <c r="F178" s="5">
        <f t="shared" si="13"/>
        <v>2125</v>
      </c>
      <c r="G178" s="5">
        <f t="shared" si="14"/>
        <v>5.8219178082191778</v>
      </c>
      <c r="H178" s="5">
        <f t="shared" si="15"/>
        <v>1065.4109589041095</v>
      </c>
      <c r="I178" s="5">
        <f t="shared" si="16"/>
        <v>63.92465753424657</v>
      </c>
      <c r="J178" s="5">
        <f t="shared" si="17"/>
        <v>1001.486301369863</v>
      </c>
      <c r="K178" s="1"/>
      <c r="L178" s="6" t="s">
        <v>4</v>
      </c>
      <c r="M178" s="6" t="s">
        <v>2442</v>
      </c>
      <c r="N178" s="6" t="s">
        <v>2443</v>
      </c>
    </row>
    <row r="179" spans="1:14" x14ac:dyDescent="0.25">
      <c r="A179" s="6" t="s">
        <v>188</v>
      </c>
      <c r="B179" s="6" t="s">
        <v>2444</v>
      </c>
      <c r="C179" s="6" t="s">
        <v>2445</v>
      </c>
      <c r="D179" s="6">
        <v>25</v>
      </c>
      <c r="E179" s="5">
        <f t="shared" si="12"/>
        <v>25000</v>
      </c>
      <c r="F179" s="5">
        <f t="shared" si="13"/>
        <v>2125</v>
      </c>
      <c r="G179" s="5">
        <f t="shared" si="14"/>
        <v>5.8219178082191778</v>
      </c>
      <c r="H179" s="5">
        <f t="shared" si="15"/>
        <v>1065.4109589041095</v>
      </c>
      <c r="I179" s="5">
        <f t="shared" si="16"/>
        <v>63.92465753424657</v>
      </c>
      <c r="J179" s="5">
        <f t="shared" si="17"/>
        <v>1001.486301369863</v>
      </c>
      <c r="K179" s="1"/>
      <c r="L179" s="7"/>
      <c r="M179" s="6" t="s">
        <v>958</v>
      </c>
      <c r="N179" s="6" t="s">
        <v>958</v>
      </c>
    </row>
    <row r="180" spans="1:14" x14ac:dyDescent="0.25">
      <c r="A180" s="6" t="s">
        <v>189</v>
      </c>
      <c r="B180" s="6" t="s">
        <v>2450</v>
      </c>
      <c r="C180" s="6" t="s">
        <v>2451</v>
      </c>
      <c r="D180" s="6">
        <v>25</v>
      </c>
      <c r="E180" s="5">
        <f t="shared" si="12"/>
        <v>25000</v>
      </c>
      <c r="F180" s="5">
        <f t="shared" si="13"/>
        <v>2125</v>
      </c>
      <c r="G180" s="5">
        <f t="shared" si="14"/>
        <v>5.8219178082191778</v>
      </c>
      <c r="H180" s="5">
        <f t="shared" si="15"/>
        <v>1065.4109589041095</v>
      </c>
      <c r="I180" s="5">
        <f t="shared" si="16"/>
        <v>63.92465753424657</v>
      </c>
      <c r="J180" s="5">
        <f t="shared" si="17"/>
        <v>1001.486301369863</v>
      </c>
      <c r="K180" s="1"/>
      <c r="L180" s="6" t="s">
        <v>1548</v>
      </c>
      <c r="M180" s="6" t="s">
        <v>2457</v>
      </c>
      <c r="N180" s="6" t="s">
        <v>2458</v>
      </c>
    </row>
    <row r="181" spans="1:14" x14ac:dyDescent="0.25">
      <c r="A181" s="6" t="s">
        <v>190</v>
      </c>
      <c r="B181" s="6" t="s">
        <v>2459</v>
      </c>
      <c r="C181" s="6" t="s">
        <v>2460</v>
      </c>
      <c r="D181" s="6">
        <v>25</v>
      </c>
      <c r="E181" s="5">
        <f t="shared" si="12"/>
        <v>25000</v>
      </c>
      <c r="F181" s="5">
        <f t="shared" si="13"/>
        <v>2125</v>
      </c>
      <c r="G181" s="5">
        <f t="shared" si="14"/>
        <v>5.8219178082191778</v>
      </c>
      <c r="H181" s="5">
        <f t="shared" si="15"/>
        <v>1065.4109589041095</v>
      </c>
      <c r="I181" s="5">
        <f t="shared" si="16"/>
        <v>63.92465753424657</v>
      </c>
      <c r="J181" s="5">
        <f t="shared" si="17"/>
        <v>1001.486301369863</v>
      </c>
      <c r="K181" s="1"/>
      <c r="L181" s="6" t="s">
        <v>919</v>
      </c>
      <c r="M181" s="6" t="s">
        <v>2466</v>
      </c>
      <c r="N181" s="6" t="s">
        <v>2467</v>
      </c>
    </row>
    <row r="182" spans="1:14" x14ac:dyDescent="0.25">
      <c r="A182" s="6" t="s">
        <v>191</v>
      </c>
      <c r="B182" s="6" t="s">
        <v>2468</v>
      </c>
      <c r="C182" s="6" t="s">
        <v>2469</v>
      </c>
      <c r="D182" s="6">
        <v>25</v>
      </c>
      <c r="E182" s="5">
        <f t="shared" si="12"/>
        <v>25000</v>
      </c>
      <c r="F182" s="5">
        <f t="shared" si="13"/>
        <v>2125</v>
      </c>
      <c r="G182" s="5">
        <f t="shared" si="14"/>
        <v>5.8219178082191778</v>
      </c>
      <c r="H182" s="5">
        <f t="shared" si="15"/>
        <v>1065.4109589041095</v>
      </c>
      <c r="I182" s="5">
        <f t="shared" si="16"/>
        <v>63.92465753424657</v>
      </c>
      <c r="J182" s="5">
        <f t="shared" si="17"/>
        <v>1001.486301369863</v>
      </c>
      <c r="K182" s="1"/>
      <c r="L182" s="6" t="s">
        <v>909</v>
      </c>
      <c r="M182" s="6" t="s">
        <v>1237</v>
      </c>
      <c r="N182" s="6" t="s">
        <v>2475</v>
      </c>
    </row>
    <row r="183" spans="1:14" x14ac:dyDescent="0.25">
      <c r="A183" s="6" t="s">
        <v>192</v>
      </c>
      <c r="B183" s="6" t="s">
        <v>2476</v>
      </c>
      <c r="C183" s="6" t="s">
        <v>2477</v>
      </c>
      <c r="D183" s="6">
        <v>100</v>
      </c>
      <c r="E183" s="5">
        <f t="shared" si="12"/>
        <v>100000</v>
      </c>
      <c r="F183" s="5">
        <f t="shared" si="13"/>
        <v>8500</v>
      </c>
      <c r="G183" s="5">
        <f t="shared" si="14"/>
        <v>23.287671232876711</v>
      </c>
      <c r="H183" s="5">
        <f t="shared" si="15"/>
        <v>4261.6438356164381</v>
      </c>
      <c r="I183" s="5">
        <f t="shared" si="16"/>
        <v>255.69863013698628</v>
      </c>
      <c r="J183" s="5">
        <f t="shared" si="17"/>
        <v>4005.9452054794519</v>
      </c>
      <c r="K183" s="1"/>
      <c r="L183" s="6" t="s">
        <v>971</v>
      </c>
      <c r="M183" s="6" t="s">
        <v>2483</v>
      </c>
      <c r="N183" s="6" t="s">
        <v>2484</v>
      </c>
    </row>
    <row r="184" spans="1:14" x14ac:dyDescent="0.25">
      <c r="A184" s="6" t="s">
        <v>193</v>
      </c>
      <c r="B184" s="6" t="s">
        <v>2485</v>
      </c>
      <c r="C184" s="6" t="s">
        <v>2486</v>
      </c>
      <c r="D184" s="6">
        <v>25</v>
      </c>
      <c r="E184" s="5">
        <f t="shared" si="12"/>
        <v>25000</v>
      </c>
      <c r="F184" s="5">
        <f t="shared" si="13"/>
        <v>2125</v>
      </c>
      <c r="G184" s="5">
        <f t="shared" si="14"/>
        <v>5.8219178082191778</v>
      </c>
      <c r="H184" s="5">
        <f t="shared" si="15"/>
        <v>1065.4109589041095</v>
      </c>
      <c r="I184" s="5">
        <f t="shared" si="16"/>
        <v>63.92465753424657</v>
      </c>
      <c r="J184" s="5">
        <f t="shared" si="17"/>
        <v>1001.486301369863</v>
      </c>
      <c r="K184" s="1"/>
      <c r="L184" s="6" t="s">
        <v>1548</v>
      </c>
      <c r="M184" s="6" t="s">
        <v>1549</v>
      </c>
      <c r="N184" s="6" t="s">
        <v>2491</v>
      </c>
    </row>
    <row r="185" spans="1:14" x14ac:dyDescent="0.25">
      <c r="A185" s="6" t="s">
        <v>194</v>
      </c>
      <c r="B185" s="6" t="s">
        <v>2492</v>
      </c>
      <c r="C185" s="6" t="s">
        <v>2493</v>
      </c>
      <c r="D185" s="6">
        <v>700</v>
      </c>
      <c r="E185" s="5">
        <f t="shared" si="12"/>
        <v>700000</v>
      </c>
      <c r="F185" s="5">
        <f t="shared" si="13"/>
        <v>59500.000000000007</v>
      </c>
      <c r="G185" s="5">
        <f t="shared" si="14"/>
        <v>163.01369863013701</v>
      </c>
      <c r="H185" s="5">
        <f t="shared" si="15"/>
        <v>29831.506849315072</v>
      </c>
      <c r="I185" s="5">
        <f t="shared" si="16"/>
        <v>1789.8904109589043</v>
      </c>
      <c r="J185" s="5">
        <f t="shared" si="17"/>
        <v>28041.616438356166</v>
      </c>
      <c r="K185" s="1"/>
      <c r="L185" s="6" t="s">
        <v>1089</v>
      </c>
      <c r="M185" s="6" t="s">
        <v>2497</v>
      </c>
      <c r="N185" s="6" t="s">
        <v>2498</v>
      </c>
    </row>
    <row r="186" spans="1:14" x14ac:dyDescent="0.25">
      <c r="A186" s="6" t="s">
        <v>195</v>
      </c>
      <c r="B186" s="6" t="s">
        <v>2499</v>
      </c>
      <c r="C186" s="6" t="s">
        <v>2500</v>
      </c>
      <c r="D186" s="6">
        <v>25</v>
      </c>
      <c r="E186" s="5">
        <f t="shared" si="12"/>
        <v>25000</v>
      </c>
      <c r="F186" s="5">
        <f t="shared" si="13"/>
        <v>2125</v>
      </c>
      <c r="G186" s="5">
        <f t="shared" si="14"/>
        <v>5.8219178082191778</v>
      </c>
      <c r="H186" s="5">
        <f t="shared" si="15"/>
        <v>1065.4109589041095</v>
      </c>
      <c r="I186" s="5">
        <f t="shared" si="16"/>
        <v>63.92465753424657</v>
      </c>
      <c r="J186" s="5">
        <f t="shared" si="17"/>
        <v>1001.486301369863</v>
      </c>
      <c r="K186" s="1"/>
      <c r="L186" s="6" t="s">
        <v>2506</v>
      </c>
      <c r="M186" s="6" t="s">
        <v>2507</v>
      </c>
      <c r="N186" s="6" t="s">
        <v>2508</v>
      </c>
    </row>
    <row r="187" spans="1:14" x14ac:dyDescent="0.25">
      <c r="A187" s="6" t="s">
        <v>196</v>
      </c>
      <c r="B187" s="6" t="s">
        <v>2509</v>
      </c>
      <c r="C187" s="6" t="s">
        <v>2510</v>
      </c>
      <c r="D187" s="6">
        <v>25</v>
      </c>
      <c r="E187" s="5">
        <f t="shared" si="12"/>
        <v>25000</v>
      </c>
      <c r="F187" s="5">
        <f t="shared" si="13"/>
        <v>2125</v>
      </c>
      <c r="G187" s="5">
        <f t="shared" si="14"/>
        <v>5.8219178082191778</v>
      </c>
      <c r="H187" s="5">
        <f t="shared" si="15"/>
        <v>1065.4109589041095</v>
      </c>
      <c r="I187" s="5">
        <f t="shared" si="16"/>
        <v>63.92465753424657</v>
      </c>
      <c r="J187" s="5">
        <f t="shared" si="17"/>
        <v>1001.486301369863</v>
      </c>
      <c r="K187" s="1"/>
      <c r="L187" s="6" t="s">
        <v>1262</v>
      </c>
      <c r="M187" s="6" t="s">
        <v>2517</v>
      </c>
      <c r="N187" s="6" t="s">
        <v>2518</v>
      </c>
    </row>
    <row r="188" spans="1:14" x14ac:dyDescent="0.25">
      <c r="A188" s="6" t="s">
        <v>197</v>
      </c>
      <c r="B188" s="6" t="s">
        <v>2519</v>
      </c>
      <c r="C188" s="6" t="s">
        <v>2520</v>
      </c>
      <c r="D188" s="6">
        <v>100</v>
      </c>
      <c r="E188" s="5">
        <f t="shared" si="12"/>
        <v>100000</v>
      </c>
      <c r="F188" s="5">
        <f t="shared" si="13"/>
        <v>8500</v>
      </c>
      <c r="G188" s="5">
        <f t="shared" si="14"/>
        <v>23.287671232876711</v>
      </c>
      <c r="H188" s="5">
        <f t="shared" si="15"/>
        <v>4261.6438356164381</v>
      </c>
      <c r="I188" s="5">
        <f t="shared" si="16"/>
        <v>255.69863013698628</v>
      </c>
      <c r="J188" s="5">
        <f t="shared" si="17"/>
        <v>4005.9452054794519</v>
      </c>
      <c r="K188" s="1"/>
      <c r="L188" s="6" t="s">
        <v>1</v>
      </c>
      <c r="M188" s="6" t="s">
        <v>1734</v>
      </c>
      <c r="N188" s="6" t="s">
        <v>2525</v>
      </c>
    </row>
    <row r="189" spans="1:14" x14ac:dyDescent="0.25">
      <c r="A189" s="6" t="s">
        <v>198</v>
      </c>
      <c r="B189" s="6" t="s">
        <v>2526</v>
      </c>
      <c r="C189" s="6" t="s">
        <v>2527</v>
      </c>
      <c r="D189" s="6">
        <v>25</v>
      </c>
      <c r="E189" s="5">
        <f t="shared" si="12"/>
        <v>25000</v>
      </c>
      <c r="F189" s="5">
        <f t="shared" si="13"/>
        <v>2125</v>
      </c>
      <c r="G189" s="5">
        <f t="shared" si="14"/>
        <v>5.8219178082191778</v>
      </c>
      <c r="H189" s="5">
        <f t="shared" si="15"/>
        <v>1065.4109589041095</v>
      </c>
      <c r="I189" s="5">
        <f t="shared" si="16"/>
        <v>63.92465753424657</v>
      </c>
      <c r="J189" s="5">
        <f t="shared" si="17"/>
        <v>1001.486301369863</v>
      </c>
      <c r="K189" s="1"/>
      <c r="L189" s="6" t="s">
        <v>915</v>
      </c>
      <c r="M189" s="6" t="s">
        <v>2533</v>
      </c>
      <c r="N189" s="6" t="s">
        <v>2534</v>
      </c>
    </row>
    <row r="190" spans="1:14" x14ac:dyDescent="0.25">
      <c r="A190" s="6" t="s">
        <v>199</v>
      </c>
      <c r="B190" s="6" t="s">
        <v>2535</v>
      </c>
      <c r="C190" s="6" t="s">
        <v>2536</v>
      </c>
      <c r="D190" s="6">
        <v>25</v>
      </c>
      <c r="E190" s="5">
        <f t="shared" si="12"/>
        <v>25000</v>
      </c>
      <c r="F190" s="5">
        <f t="shared" si="13"/>
        <v>2125</v>
      </c>
      <c r="G190" s="5">
        <f t="shared" si="14"/>
        <v>5.8219178082191778</v>
      </c>
      <c r="H190" s="5">
        <f t="shared" si="15"/>
        <v>1065.4109589041095</v>
      </c>
      <c r="I190" s="5">
        <f t="shared" si="16"/>
        <v>63.92465753424657</v>
      </c>
      <c r="J190" s="5">
        <f t="shared" si="17"/>
        <v>1001.486301369863</v>
      </c>
      <c r="K190" s="1"/>
      <c r="L190" s="6" t="s">
        <v>910</v>
      </c>
      <c r="M190" s="6" t="s">
        <v>981</v>
      </c>
      <c r="N190" s="6" t="s">
        <v>2542</v>
      </c>
    </row>
    <row r="191" spans="1:14" x14ac:dyDescent="0.25">
      <c r="A191" s="6" t="s">
        <v>200</v>
      </c>
      <c r="B191" s="6" t="s">
        <v>2543</v>
      </c>
      <c r="C191" s="6" t="s">
        <v>2544</v>
      </c>
      <c r="D191" s="6">
        <v>25</v>
      </c>
      <c r="E191" s="5">
        <f t="shared" si="12"/>
        <v>25000</v>
      </c>
      <c r="F191" s="5">
        <f t="shared" si="13"/>
        <v>2125</v>
      </c>
      <c r="G191" s="5">
        <f t="shared" si="14"/>
        <v>5.8219178082191778</v>
      </c>
      <c r="H191" s="5">
        <f t="shared" si="15"/>
        <v>1065.4109589041095</v>
      </c>
      <c r="I191" s="5">
        <f t="shared" si="16"/>
        <v>63.92465753424657</v>
      </c>
      <c r="J191" s="5">
        <f t="shared" si="17"/>
        <v>1001.486301369863</v>
      </c>
      <c r="K191" s="1"/>
      <c r="L191" s="6" t="s">
        <v>2549</v>
      </c>
      <c r="M191" s="6" t="s">
        <v>2550</v>
      </c>
      <c r="N191" s="6" t="s">
        <v>2551</v>
      </c>
    </row>
    <row r="192" spans="1:14" x14ac:dyDescent="0.25">
      <c r="A192" s="6" t="s">
        <v>201</v>
      </c>
      <c r="B192" s="6" t="s">
        <v>2552</v>
      </c>
      <c r="C192" s="6" t="s">
        <v>2553</v>
      </c>
      <c r="D192" s="6">
        <v>25</v>
      </c>
      <c r="E192" s="5">
        <f t="shared" si="12"/>
        <v>25000</v>
      </c>
      <c r="F192" s="5">
        <f t="shared" si="13"/>
        <v>2125</v>
      </c>
      <c r="G192" s="5">
        <f t="shared" si="14"/>
        <v>5.8219178082191778</v>
      </c>
      <c r="H192" s="5">
        <f t="shared" si="15"/>
        <v>1065.4109589041095</v>
      </c>
      <c r="I192" s="5">
        <f t="shared" si="16"/>
        <v>63.92465753424657</v>
      </c>
      <c r="J192" s="5">
        <f t="shared" si="17"/>
        <v>1001.486301369863</v>
      </c>
      <c r="K192" s="1"/>
      <c r="L192" s="6" t="s">
        <v>1647</v>
      </c>
      <c r="M192" s="6" t="s">
        <v>2558</v>
      </c>
      <c r="N192" s="6" t="s">
        <v>2559</v>
      </c>
    </row>
    <row r="193" spans="1:14" x14ac:dyDescent="0.25">
      <c r="A193" s="6" t="s">
        <v>202</v>
      </c>
      <c r="B193" s="6" t="s">
        <v>2560</v>
      </c>
      <c r="C193" s="6" t="s">
        <v>2561</v>
      </c>
      <c r="D193" s="6">
        <v>310</v>
      </c>
      <c r="E193" s="5">
        <f t="shared" si="12"/>
        <v>310000</v>
      </c>
      <c r="F193" s="5">
        <f t="shared" si="13"/>
        <v>26350.000000000004</v>
      </c>
      <c r="G193" s="5">
        <f t="shared" si="14"/>
        <v>72.191780821917817</v>
      </c>
      <c r="H193" s="5">
        <f t="shared" si="15"/>
        <v>13211.095890410961</v>
      </c>
      <c r="I193" s="5">
        <f t="shared" si="16"/>
        <v>792.66575342465762</v>
      </c>
      <c r="J193" s="5">
        <f t="shared" si="17"/>
        <v>12418.430136986304</v>
      </c>
      <c r="K193" s="1"/>
      <c r="L193" s="6" t="s">
        <v>1</v>
      </c>
      <c r="M193" s="6" t="s">
        <v>930</v>
      </c>
      <c r="N193" s="6" t="s">
        <v>2566</v>
      </c>
    </row>
    <row r="194" spans="1:14" x14ac:dyDescent="0.25">
      <c r="A194" s="6" t="s">
        <v>203</v>
      </c>
      <c r="B194" s="6" t="s">
        <v>2567</v>
      </c>
      <c r="C194" s="6" t="s">
        <v>2568</v>
      </c>
      <c r="D194" s="6">
        <v>25</v>
      </c>
      <c r="E194" s="5">
        <f t="shared" si="12"/>
        <v>25000</v>
      </c>
      <c r="F194" s="5">
        <f t="shared" si="13"/>
        <v>2125</v>
      </c>
      <c r="G194" s="5">
        <f t="shared" si="14"/>
        <v>5.8219178082191778</v>
      </c>
      <c r="H194" s="5">
        <f t="shared" si="15"/>
        <v>1065.4109589041095</v>
      </c>
      <c r="I194" s="5">
        <f t="shared" si="16"/>
        <v>63.92465753424657</v>
      </c>
      <c r="J194" s="5">
        <f t="shared" si="17"/>
        <v>1001.486301369863</v>
      </c>
      <c r="K194" s="1"/>
      <c r="L194" s="6" t="s">
        <v>919</v>
      </c>
      <c r="M194" s="6" t="s">
        <v>918</v>
      </c>
      <c r="N194" s="6" t="s">
        <v>2572</v>
      </c>
    </row>
    <row r="195" spans="1:14" x14ac:dyDescent="0.25">
      <c r="A195" s="6" t="s">
        <v>204</v>
      </c>
      <c r="B195" s="6" t="s">
        <v>2573</v>
      </c>
      <c r="C195" s="6" t="s">
        <v>2574</v>
      </c>
      <c r="D195" s="6">
        <v>70</v>
      </c>
      <c r="E195" s="5">
        <f t="shared" si="12"/>
        <v>70000</v>
      </c>
      <c r="F195" s="5">
        <f t="shared" si="13"/>
        <v>5950</v>
      </c>
      <c r="G195" s="5">
        <f t="shared" si="14"/>
        <v>16.301369863013697</v>
      </c>
      <c r="H195" s="5">
        <f t="shared" si="15"/>
        <v>2983.1506849315065</v>
      </c>
      <c r="I195" s="5">
        <f t="shared" si="16"/>
        <v>178.98904109589037</v>
      </c>
      <c r="J195" s="5">
        <f t="shared" si="17"/>
        <v>2804.1616438356159</v>
      </c>
      <c r="K195" s="1"/>
      <c r="L195" s="6" t="s">
        <v>919</v>
      </c>
      <c r="M195" s="6" t="s">
        <v>918</v>
      </c>
      <c r="N195" s="6" t="s">
        <v>2581</v>
      </c>
    </row>
    <row r="196" spans="1:14" x14ac:dyDescent="0.25">
      <c r="A196" s="6" t="s">
        <v>205</v>
      </c>
      <c r="B196" s="6" t="s">
        <v>2582</v>
      </c>
      <c r="C196" s="6" t="s">
        <v>2583</v>
      </c>
      <c r="D196" s="6">
        <v>25</v>
      </c>
      <c r="E196" s="5">
        <f t="shared" si="12"/>
        <v>25000</v>
      </c>
      <c r="F196" s="5">
        <f t="shared" si="13"/>
        <v>2125</v>
      </c>
      <c r="G196" s="5">
        <f t="shared" si="14"/>
        <v>5.8219178082191778</v>
      </c>
      <c r="H196" s="5">
        <f t="shared" si="15"/>
        <v>1065.4109589041095</v>
      </c>
      <c r="I196" s="5">
        <f t="shared" si="16"/>
        <v>63.92465753424657</v>
      </c>
      <c r="J196" s="5">
        <f t="shared" si="17"/>
        <v>1001.486301369863</v>
      </c>
      <c r="K196" s="1"/>
      <c r="L196" s="6" t="s">
        <v>1478</v>
      </c>
      <c r="M196" s="6" t="s">
        <v>2589</v>
      </c>
      <c r="N196" s="6" t="s">
        <v>2590</v>
      </c>
    </row>
    <row r="197" spans="1:14" x14ac:dyDescent="0.25">
      <c r="A197" s="6" t="s">
        <v>206</v>
      </c>
      <c r="B197" s="6" t="s">
        <v>2591</v>
      </c>
      <c r="C197" s="6" t="s">
        <v>2592</v>
      </c>
      <c r="D197" s="6">
        <v>100</v>
      </c>
      <c r="E197" s="5">
        <f t="shared" si="12"/>
        <v>100000</v>
      </c>
      <c r="F197" s="5">
        <f t="shared" si="13"/>
        <v>8500</v>
      </c>
      <c r="G197" s="5">
        <f t="shared" si="14"/>
        <v>23.287671232876711</v>
      </c>
      <c r="H197" s="5">
        <f t="shared" si="15"/>
        <v>4261.6438356164381</v>
      </c>
      <c r="I197" s="5">
        <f t="shared" si="16"/>
        <v>255.69863013698628</v>
      </c>
      <c r="J197" s="5">
        <f t="shared" si="17"/>
        <v>4005.9452054794519</v>
      </c>
      <c r="K197" s="1"/>
      <c r="L197" s="6" t="s">
        <v>1468</v>
      </c>
      <c r="M197" s="6" t="s">
        <v>2595</v>
      </c>
      <c r="N197" s="6" t="s">
        <v>2596</v>
      </c>
    </row>
    <row r="198" spans="1:14" x14ac:dyDescent="0.25">
      <c r="A198" s="6" t="s">
        <v>207</v>
      </c>
      <c r="B198" s="6" t="s">
        <v>2597</v>
      </c>
      <c r="C198" s="6" t="s">
        <v>2598</v>
      </c>
      <c r="D198" s="6">
        <v>50</v>
      </c>
      <c r="E198" s="5">
        <f t="shared" si="12"/>
        <v>50000</v>
      </c>
      <c r="F198" s="5">
        <f t="shared" si="13"/>
        <v>4250</v>
      </c>
      <c r="G198" s="5">
        <f t="shared" si="14"/>
        <v>11.643835616438356</v>
      </c>
      <c r="H198" s="5">
        <f t="shared" si="15"/>
        <v>2130.821917808219</v>
      </c>
      <c r="I198" s="5">
        <f t="shared" si="16"/>
        <v>127.84931506849314</v>
      </c>
      <c r="J198" s="5">
        <f t="shared" si="17"/>
        <v>2002.972602739726</v>
      </c>
      <c r="K198" s="1"/>
      <c r="L198" s="6" t="s">
        <v>4</v>
      </c>
      <c r="M198" s="6" t="s">
        <v>924</v>
      </c>
      <c r="N198" s="6" t="s">
        <v>2603</v>
      </c>
    </row>
    <row r="199" spans="1:14" x14ac:dyDescent="0.25">
      <c r="A199" s="6" t="s">
        <v>208</v>
      </c>
      <c r="B199" s="6" t="s">
        <v>2604</v>
      </c>
      <c r="C199" s="6" t="s">
        <v>2605</v>
      </c>
      <c r="D199" s="6">
        <v>25</v>
      </c>
      <c r="E199" s="5">
        <f t="shared" si="12"/>
        <v>25000</v>
      </c>
      <c r="F199" s="5">
        <f t="shared" si="13"/>
        <v>2125</v>
      </c>
      <c r="G199" s="5">
        <f t="shared" si="14"/>
        <v>5.8219178082191778</v>
      </c>
      <c r="H199" s="5">
        <f t="shared" si="15"/>
        <v>1065.4109589041095</v>
      </c>
      <c r="I199" s="5">
        <f t="shared" si="16"/>
        <v>63.92465753424657</v>
      </c>
      <c r="J199" s="5">
        <f t="shared" si="17"/>
        <v>1001.486301369863</v>
      </c>
      <c r="K199" s="1"/>
      <c r="L199" s="6" t="s">
        <v>3</v>
      </c>
      <c r="M199" s="6" t="s">
        <v>2611</v>
      </c>
      <c r="N199" s="6" t="s">
        <v>2612</v>
      </c>
    </row>
    <row r="200" spans="1:14" x14ac:dyDescent="0.25">
      <c r="A200" s="6" t="s">
        <v>209</v>
      </c>
      <c r="B200" s="6" t="s">
        <v>2613</v>
      </c>
      <c r="C200" s="6" t="s">
        <v>2304</v>
      </c>
      <c r="D200" s="6">
        <v>25</v>
      </c>
      <c r="E200" s="5">
        <f t="shared" ref="E200:E263" si="18">+D200*1000</f>
        <v>25000</v>
      </c>
      <c r="F200" s="5">
        <f t="shared" ref="F200:F263" si="19">+E200*8.5%</f>
        <v>2125</v>
      </c>
      <c r="G200" s="5">
        <f t="shared" ref="G200:G263" si="20">+F200/365</f>
        <v>5.8219178082191778</v>
      </c>
      <c r="H200" s="5">
        <f t="shared" ref="H200:H263" si="21">G200*$H$4</f>
        <v>1065.4109589041095</v>
      </c>
      <c r="I200" s="5">
        <f t="shared" ref="I200:I263" si="22">+H200*6%</f>
        <v>63.92465753424657</v>
      </c>
      <c r="J200" s="5">
        <f t="shared" ref="J200:J263" si="23">+H200-I200</f>
        <v>1001.486301369863</v>
      </c>
      <c r="K200" s="1"/>
      <c r="L200" s="6" t="s">
        <v>915</v>
      </c>
      <c r="M200" s="6" t="s">
        <v>1228</v>
      </c>
      <c r="N200" s="6" t="s">
        <v>2619</v>
      </c>
    </row>
    <row r="201" spans="1:14" x14ac:dyDescent="0.25">
      <c r="A201" s="6" t="s">
        <v>210</v>
      </c>
      <c r="B201" s="6" t="s">
        <v>2620</v>
      </c>
      <c r="C201" s="6" t="s">
        <v>2621</v>
      </c>
      <c r="D201" s="6">
        <v>25</v>
      </c>
      <c r="E201" s="5">
        <f t="shared" si="18"/>
        <v>25000</v>
      </c>
      <c r="F201" s="5">
        <f t="shared" si="19"/>
        <v>2125</v>
      </c>
      <c r="G201" s="5">
        <f t="shared" si="20"/>
        <v>5.8219178082191778</v>
      </c>
      <c r="H201" s="5">
        <f t="shared" si="21"/>
        <v>1065.4109589041095</v>
      </c>
      <c r="I201" s="5">
        <f t="shared" si="22"/>
        <v>63.92465753424657</v>
      </c>
      <c r="J201" s="5">
        <f t="shared" si="23"/>
        <v>1001.486301369863</v>
      </c>
      <c r="K201" s="1"/>
      <c r="L201" s="6" t="s">
        <v>1637</v>
      </c>
      <c r="M201" s="6" t="s">
        <v>2627</v>
      </c>
      <c r="N201" s="6" t="s">
        <v>2628</v>
      </c>
    </row>
    <row r="202" spans="1:14" x14ac:dyDescent="0.25">
      <c r="A202" s="6" t="s">
        <v>211</v>
      </c>
      <c r="B202" s="6" t="s">
        <v>2629</v>
      </c>
      <c r="C202" s="6" t="s">
        <v>2630</v>
      </c>
      <c r="D202" s="6">
        <v>50</v>
      </c>
      <c r="E202" s="5">
        <f t="shared" si="18"/>
        <v>50000</v>
      </c>
      <c r="F202" s="5">
        <f t="shared" si="19"/>
        <v>4250</v>
      </c>
      <c r="G202" s="5">
        <f t="shared" si="20"/>
        <v>11.643835616438356</v>
      </c>
      <c r="H202" s="5">
        <f t="shared" si="21"/>
        <v>2130.821917808219</v>
      </c>
      <c r="I202" s="5">
        <f t="shared" si="22"/>
        <v>127.84931506849314</v>
      </c>
      <c r="J202" s="5">
        <f t="shared" si="23"/>
        <v>2002.972602739726</v>
      </c>
      <c r="K202" s="1"/>
      <c r="L202" s="6" t="s">
        <v>1478</v>
      </c>
      <c r="M202" s="6" t="s">
        <v>2636</v>
      </c>
      <c r="N202" s="6" t="s">
        <v>2637</v>
      </c>
    </row>
    <row r="203" spans="1:14" x14ac:dyDescent="0.25">
      <c r="A203" s="6" t="s">
        <v>212</v>
      </c>
      <c r="B203" s="6" t="s">
        <v>2638</v>
      </c>
      <c r="C203" s="6" t="s">
        <v>2639</v>
      </c>
      <c r="D203" s="6">
        <v>50</v>
      </c>
      <c r="E203" s="5">
        <f t="shared" si="18"/>
        <v>50000</v>
      </c>
      <c r="F203" s="5">
        <f t="shared" si="19"/>
        <v>4250</v>
      </c>
      <c r="G203" s="5">
        <f t="shared" si="20"/>
        <v>11.643835616438356</v>
      </c>
      <c r="H203" s="5">
        <f t="shared" si="21"/>
        <v>2130.821917808219</v>
      </c>
      <c r="I203" s="5">
        <f t="shared" si="22"/>
        <v>127.84931506849314</v>
      </c>
      <c r="J203" s="5">
        <f t="shared" si="23"/>
        <v>2002.972602739726</v>
      </c>
      <c r="K203" s="1"/>
      <c r="L203" s="6" t="s">
        <v>1</v>
      </c>
      <c r="M203" s="6" t="s">
        <v>2645</v>
      </c>
      <c r="N203" s="6" t="s">
        <v>2646</v>
      </c>
    </row>
    <row r="204" spans="1:14" x14ac:dyDescent="0.25">
      <c r="A204" s="6" t="s">
        <v>213</v>
      </c>
      <c r="B204" s="6" t="s">
        <v>2647</v>
      </c>
      <c r="C204" s="6" t="s">
        <v>2648</v>
      </c>
      <c r="D204" s="6">
        <v>25</v>
      </c>
      <c r="E204" s="5">
        <f t="shared" si="18"/>
        <v>25000</v>
      </c>
      <c r="F204" s="5">
        <f t="shared" si="19"/>
        <v>2125</v>
      </c>
      <c r="G204" s="5">
        <f t="shared" si="20"/>
        <v>5.8219178082191778</v>
      </c>
      <c r="H204" s="5">
        <f t="shared" si="21"/>
        <v>1065.4109589041095</v>
      </c>
      <c r="I204" s="5">
        <f t="shared" si="22"/>
        <v>63.92465753424657</v>
      </c>
      <c r="J204" s="5">
        <f t="shared" si="23"/>
        <v>1001.486301369863</v>
      </c>
      <c r="K204" s="1"/>
      <c r="L204" s="6" t="s">
        <v>915</v>
      </c>
      <c r="M204" s="6" t="s">
        <v>926</v>
      </c>
      <c r="N204" s="6" t="s">
        <v>2654</v>
      </c>
    </row>
    <row r="205" spans="1:14" x14ac:dyDescent="0.25">
      <c r="A205" s="6" t="s">
        <v>214</v>
      </c>
      <c r="B205" s="6" t="s">
        <v>2655</v>
      </c>
      <c r="C205" s="6" t="s">
        <v>2656</v>
      </c>
      <c r="D205" s="6">
        <v>25</v>
      </c>
      <c r="E205" s="5">
        <f t="shared" si="18"/>
        <v>25000</v>
      </c>
      <c r="F205" s="5">
        <f t="shared" si="19"/>
        <v>2125</v>
      </c>
      <c r="G205" s="5">
        <f t="shared" si="20"/>
        <v>5.8219178082191778</v>
      </c>
      <c r="H205" s="5">
        <f t="shared" si="21"/>
        <v>1065.4109589041095</v>
      </c>
      <c r="I205" s="5">
        <f t="shared" si="22"/>
        <v>63.92465753424657</v>
      </c>
      <c r="J205" s="5">
        <f t="shared" si="23"/>
        <v>1001.486301369863</v>
      </c>
      <c r="K205" s="1"/>
      <c r="L205" s="6" t="s">
        <v>1478</v>
      </c>
      <c r="M205" s="6" t="s">
        <v>2662</v>
      </c>
      <c r="N205" s="6" t="s">
        <v>2663</v>
      </c>
    </row>
    <row r="206" spans="1:14" x14ac:dyDescent="0.25">
      <c r="A206" s="6" t="s">
        <v>215</v>
      </c>
      <c r="B206" s="6" t="s">
        <v>2664</v>
      </c>
      <c r="C206" s="6" t="s">
        <v>2665</v>
      </c>
      <c r="D206" s="6">
        <v>25</v>
      </c>
      <c r="E206" s="5">
        <f t="shared" si="18"/>
        <v>25000</v>
      </c>
      <c r="F206" s="5">
        <f t="shared" si="19"/>
        <v>2125</v>
      </c>
      <c r="G206" s="5">
        <f t="shared" si="20"/>
        <v>5.8219178082191778</v>
      </c>
      <c r="H206" s="5">
        <f t="shared" si="21"/>
        <v>1065.4109589041095</v>
      </c>
      <c r="I206" s="5">
        <f t="shared" si="22"/>
        <v>63.92465753424657</v>
      </c>
      <c r="J206" s="5">
        <f t="shared" si="23"/>
        <v>1001.486301369863</v>
      </c>
      <c r="K206" s="1"/>
      <c r="L206" s="6" t="s">
        <v>919</v>
      </c>
      <c r="M206" s="6" t="s">
        <v>918</v>
      </c>
      <c r="N206" s="6" t="s">
        <v>2670</v>
      </c>
    </row>
    <row r="207" spans="1:14" x14ac:dyDescent="0.25">
      <c r="A207" s="6" t="s">
        <v>8</v>
      </c>
      <c r="B207" s="6" t="s">
        <v>2671</v>
      </c>
      <c r="C207" s="6" t="s">
        <v>2672</v>
      </c>
      <c r="D207" s="6">
        <v>25</v>
      </c>
      <c r="E207" s="5">
        <f t="shared" si="18"/>
        <v>25000</v>
      </c>
      <c r="F207" s="5">
        <f t="shared" si="19"/>
        <v>2125</v>
      </c>
      <c r="G207" s="5">
        <f t="shared" si="20"/>
        <v>5.8219178082191778</v>
      </c>
      <c r="H207" s="5">
        <f t="shared" si="21"/>
        <v>1065.4109589041095</v>
      </c>
      <c r="I207" s="5">
        <f t="shared" si="22"/>
        <v>63.92465753424657</v>
      </c>
      <c r="J207" s="5">
        <f t="shared" si="23"/>
        <v>1001.486301369863</v>
      </c>
      <c r="K207" s="1"/>
      <c r="L207" s="6" t="s">
        <v>1310</v>
      </c>
      <c r="M207" s="6" t="s">
        <v>1311</v>
      </c>
      <c r="N207" s="6" t="s">
        <v>2677</v>
      </c>
    </row>
    <row r="208" spans="1:14" x14ac:dyDescent="0.25">
      <c r="A208" s="6" t="s">
        <v>216</v>
      </c>
      <c r="B208" s="6" t="s">
        <v>2678</v>
      </c>
      <c r="C208" s="6" t="s">
        <v>2679</v>
      </c>
      <c r="D208" s="6">
        <v>25</v>
      </c>
      <c r="E208" s="5">
        <f t="shared" si="18"/>
        <v>25000</v>
      </c>
      <c r="F208" s="5">
        <f t="shared" si="19"/>
        <v>2125</v>
      </c>
      <c r="G208" s="5">
        <f t="shared" si="20"/>
        <v>5.8219178082191778</v>
      </c>
      <c r="H208" s="5">
        <f t="shared" si="21"/>
        <v>1065.4109589041095</v>
      </c>
      <c r="I208" s="5">
        <f t="shared" si="22"/>
        <v>63.92465753424657</v>
      </c>
      <c r="J208" s="5">
        <f t="shared" si="23"/>
        <v>1001.486301369863</v>
      </c>
      <c r="K208" s="1"/>
      <c r="L208" s="6" t="s">
        <v>1496</v>
      </c>
      <c r="M208" s="6" t="s">
        <v>2684</v>
      </c>
      <c r="N208" s="6" t="s">
        <v>2685</v>
      </c>
    </row>
    <row r="209" spans="1:14" x14ac:dyDescent="0.25">
      <c r="A209" s="6" t="s">
        <v>217</v>
      </c>
      <c r="B209" s="6" t="s">
        <v>2686</v>
      </c>
      <c r="C209" s="6" t="s">
        <v>2687</v>
      </c>
      <c r="D209" s="6">
        <v>25</v>
      </c>
      <c r="E209" s="5">
        <f t="shared" si="18"/>
        <v>25000</v>
      </c>
      <c r="F209" s="5">
        <f t="shared" si="19"/>
        <v>2125</v>
      </c>
      <c r="G209" s="5">
        <f t="shared" si="20"/>
        <v>5.8219178082191778</v>
      </c>
      <c r="H209" s="5">
        <f t="shared" si="21"/>
        <v>1065.4109589041095</v>
      </c>
      <c r="I209" s="5">
        <f t="shared" si="22"/>
        <v>63.92465753424657</v>
      </c>
      <c r="J209" s="5">
        <f t="shared" si="23"/>
        <v>1001.486301369863</v>
      </c>
      <c r="K209" s="1"/>
      <c r="L209" s="6" t="s">
        <v>929</v>
      </c>
      <c r="M209" s="6" t="s">
        <v>2692</v>
      </c>
      <c r="N209" s="6" t="s">
        <v>2693</v>
      </c>
    </row>
    <row r="210" spans="1:14" x14ac:dyDescent="0.25">
      <c r="A210" s="6" t="s">
        <v>218</v>
      </c>
      <c r="B210" s="6" t="s">
        <v>2694</v>
      </c>
      <c r="C210" s="6" t="s">
        <v>2695</v>
      </c>
      <c r="D210" s="6">
        <v>25</v>
      </c>
      <c r="E210" s="5">
        <f t="shared" si="18"/>
        <v>25000</v>
      </c>
      <c r="F210" s="5">
        <f t="shared" si="19"/>
        <v>2125</v>
      </c>
      <c r="G210" s="5">
        <f t="shared" si="20"/>
        <v>5.8219178082191778</v>
      </c>
      <c r="H210" s="5">
        <f t="shared" si="21"/>
        <v>1065.4109589041095</v>
      </c>
      <c r="I210" s="5">
        <f t="shared" si="22"/>
        <v>63.92465753424657</v>
      </c>
      <c r="J210" s="5">
        <f t="shared" si="23"/>
        <v>1001.486301369863</v>
      </c>
      <c r="K210" s="1"/>
      <c r="L210" s="6" t="s">
        <v>4</v>
      </c>
      <c r="M210" s="6" t="s">
        <v>2700</v>
      </c>
      <c r="N210" s="6" t="s">
        <v>2701</v>
      </c>
    </row>
    <row r="211" spans="1:14" x14ac:dyDescent="0.25">
      <c r="A211" s="6" t="s">
        <v>219</v>
      </c>
      <c r="B211" s="6" t="s">
        <v>2702</v>
      </c>
      <c r="C211" s="6" t="s">
        <v>2703</v>
      </c>
      <c r="D211" s="6">
        <v>25</v>
      </c>
      <c r="E211" s="5">
        <f t="shared" si="18"/>
        <v>25000</v>
      </c>
      <c r="F211" s="5">
        <f t="shared" si="19"/>
        <v>2125</v>
      </c>
      <c r="G211" s="5">
        <f t="shared" si="20"/>
        <v>5.8219178082191778</v>
      </c>
      <c r="H211" s="5">
        <f t="shared" si="21"/>
        <v>1065.4109589041095</v>
      </c>
      <c r="I211" s="5">
        <f t="shared" si="22"/>
        <v>63.92465753424657</v>
      </c>
      <c r="J211" s="5">
        <f t="shared" si="23"/>
        <v>1001.486301369863</v>
      </c>
      <c r="K211" s="1"/>
      <c r="L211" s="6" t="s">
        <v>2</v>
      </c>
      <c r="M211" s="6" t="s">
        <v>1327</v>
      </c>
      <c r="N211" s="6" t="s">
        <v>2708</v>
      </c>
    </row>
    <row r="212" spans="1:14" x14ac:dyDescent="0.25">
      <c r="A212" s="6" t="s">
        <v>220</v>
      </c>
      <c r="B212" s="6" t="s">
        <v>2709</v>
      </c>
      <c r="C212" s="6" t="s">
        <v>2710</v>
      </c>
      <c r="D212" s="6">
        <v>25</v>
      </c>
      <c r="E212" s="5">
        <f t="shared" si="18"/>
        <v>25000</v>
      </c>
      <c r="F212" s="5">
        <f t="shared" si="19"/>
        <v>2125</v>
      </c>
      <c r="G212" s="5">
        <f t="shared" si="20"/>
        <v>5.8219178082191778</v>
      </c>
      <c r="H212" s="5">
        <f t="shared" si="21"/>
        <v>1065.4109589041095</v>
      </c>
      <c r="I212" s="5">
        <f t="shared" si="22"/>
        <v>63.92465753424657</v>
      </c>
      <c r="J212" s="5">
        <f t="shared" si="23"/>
        <v>1001.486301369863</v>
      </c>
      <c r="K212" s="1"/>
      <c r="L212" s="6" t="s">
        <v>1871</v>
      </c>
      <c r="M212" s="6" t="s">
        <v>2716</v>
      </c>
      <c r="N212" s="6" t="s">
        <v>2717</v>
      </c>
    </row>
    <row r="213" spans="1:14" x14ac:dyDescent="0.25">
      <c r="A213" s="6" t="s">
        <v>221</v>
      </c>
      <c r="B213" s="6" t="s">
        <v>2718</v>
      </c>
      <c r="C213" s="6" t="s">
        <v>2719</v>
      </c>
      <c r="D213" s="6">
        <v>35</v>
      </c>
      <c r="E213" s="5">
        <f t="shared" si="18"/>
        <v>35000</v>
      </c>
      <c r="F213" s="5">
        <f t="shared" si="19"/>
        <v>2975</v>
      </c>
      <c r="G213" s="5">
        <f t="shared" si="20"/>
        <v>8.1506849315068486</v>
      </c>
      <c r="H213" s="5">
        <f t="shared" si="21"/>
        <v>1491.5753424657532</v>
      </c>
      <c r="I213" s="5">
        <f t="shared" si="22"/>
        <v>89.494520547945186</v>
      </c>
      <c r="J213" s="5">
        <f t="shared" si="23"/>
        <v>1402.080821917808</v>
      </c>
      <c r="K213" s="1"/>
      <c r="L213" s="6" t="s">
        <v>1548</v>
      </c>
      <c r="M213" s="6" t="s">
        <v>1549</v>
      </c>
      <c r="N213" s="6" t="s">
        <v>2724</v>
      </c>
    </row>
    <row r="214" spans="1:14" x14ac:dyDescent="0.25">
      <c r="A214" s="6" t="s">
        <v>222</v>
      </c>
      <c r="B214" s="6" t="s">
        <v>2725</v>
      </c>
      <c r="C214" s="6" t="s">
        <v>2726</v>
      </c>
      <c r="D214" s="6">
        <v>25</v>
      </c>
      <c r="E214" s="5">
        <f t="shared" si="18"/>
        <v>25000</v>
      </c>
      <c r="F214" s="5">
        <f t="shared" si="19"/>
        <v>2125</v>
      </c>
      <c r="G214" s="5">
        <f t="shared" si="20"/>
        <v>5.8219178082191778</v>
      </c>
      <c r="H214" s="5">
        <f t="shared" si="21"/>
        <v>1065.4109589041095</v>
      </c>
      <c r="I214" s="5">
        <f t="shared" si="22"/>
        <v>63.92465753424657</v>
      </c>
      <c r="J214" s="5">
        <f t="shared" si="23"/>
        <v>1001.486301369863</v>
      </c>
      <c r="K214" s="1"/>
      <c r="L214" s="6" t="s">
        <v>971</v>
      </c>
      <c r="M214" s="6" t="s">
        <v>972</v>
      </c>
      <c r="N214" s="6" t="s">
        <v>2730</v>
      </c>
    </row>
    <row r="215" spans="1:14" x14ac:dyDescent="0.25">
      <c r="A215" s="6" t="s">
        <v>223</v>
      </c>
      <c r="B215" s="6" t="s">
        <v>2731</v>
      </c>
      <c r="C215" s="6" t="s">
        <v>2732</v>
      </c>
      <c r="D215" s="6">
        <v>25</v>
      </c>
      <c r="E215" s="5">
        <f t="shared" si="18"/>
        <v>25000</v>
      </c>
      <c r="F215" s="5">
        <f t="shared" si="19"/>
        <v>2125</v>
      </c>
      <c r="G215" s="5">
        <f t="shared" si="20"/>
        <v>5.8219178082191778</v>
      </c>
      <c r="H215" s="5">
        <f t="shared" si="21"/>
        <v>1065.4109589041095</v>
      </c>
      <c r="I215" s="5">
        <f t="shared" si="22"/>
        <v>63.92465753424657</v>
      </c>
      <c r="J215" s="5">
        <f t="shared" si="23"/>
        <v>1001.486301369863</v>
      </c>
      <c r="K215" s="1"/>
      <c r="L215" s="6" t="s">
        <v>1478</v>
      </c>
      <c r="M215" s="6" t="s">
        <v>1479</v>
      </c>
      <c r="N215" s="6" t="s">
        <v>2737</v>
      </c>
    </row>
    <row r="216" spans="1:14" x14ac:dyDescent="0.25">
      <c r="A216" s="6" t="s">
        <v>224</v>
      </c>
      <c r="B216" s="6" t="s">
        <v>2738</v>
      </c>
      <c r="C216" s="6" t="s">
        <v>2739</v>
      </c>
      <c r="D216" s="6">
        <v>25</v>
      </c>
      <c r="E216" s="5">
        <f t="shared" si="18"/>
        <v>25000</v>
      </c>
      <c r="F216" s="5">
        <f t="shared" si="19"/>
        <v>2125</v>
      </c>
      <c r="G216" s="5">
        <f t="shared" si="20"/>
        <v>5.8219178082191778</v>
      </c>
      <c r="H216" s="5">
        <f t="shared" si="21"/>
        <v>1065.4109589041095</v>
      </c>
      <c r="I216" s="5">
        <f t="shared" si="22"/>
        <v>63.92465753424657</v>
      </c>
      <c r="J216" s="5">
        <f t="shared" si="23"/>
        <v>1001.486301369863</v>
      </c>
      <c r="K216" s="1"/>
      <c r="L216" s="6" t="s">
        <v>971</v>
      </c>
      <c r="M216" s="6" t="s">
        <v>972</v>
      </c>
      <c r="N216" s="6" t="s">
        <v>2746</v>
      </c>
    </row>
    <row r="217" spans="1:14" x14ac:dyDescent="0.25">
      <c r="A217" s="6" t="s">
        <v>225</v>
      </c>
      <c r="B217" s="6" t="s">
        <v>2747</v>
      </c>
      <c r="C217" s="6" t="s">
        <v>2748</v>
      </c>
      <c r="D217" s="6">
        <v>25</v>
      </c>
      <c r="E217" s="5">
        <f t="shared" si="18"/>
        <v>25000</v>
      </c>
      <c r="F217" s="5">
        <f t="shared" si="19"/>
        <v>2125</v>
      </c>
      <c r="G217" s="5">
        <f t="shared" si="20"/>
        <v>5.8219178082191778</v>
      </c>
      <c r="H217" s="5">
        <f t="shared" si="21"/>
        <v>1065.4109589041095</v>
      </c>
      <c r="I217" s="5">
        <f t="shared" si="22"/>
        <v>63.92465753424657</v>
      </c>
      <c r="J217" s="5">
        <f t="shared" si="23"/>
        <v>1001.486301369863</v>
      </c>
      <c r="K217" s="1"/>
      <c r="L217" s="6" t="s">
        <v>914</v>
      </c>
      <c r="M217" s="6" t="s">
        <v>1398</v>
      </c>
      <c r="N217" s="6" t="s">
        <v>2752</v>
      </c>
    </row>
    <row r="218" spans="1:14" x14ac:dyDescent="0.25">
      <c r="A218" s="6" t="s">
        <v>226</v>
      </c>
      <c r="B218" s="6" t="s">
        <v>2753</v>
      </c>
      <c r="C218" s="6" t="s">
        <v>2754</v>
      </c>
      <c r="D218" s="6">
        <v>100</v>
      </c>
      <c r="E218" s="5">
        <f t="shared" si="18"/>
        <v>100000</v>
      </c>
      <c r="F218" s="5">
        <f t="shared" si="19"/>
        <v>8500</v>
      </c>
      <c r="G218" s="5">
        <f t="shared" si="20"/>
        <v>23.287671232876711</v>
      </c>
      <c r="H218" s="5">
        <f t="shared" si="21"/>
        <v>4261.6438356164381</v>
      </c>
      <c r="I218" s="5">
        <f t="shared" si="22"/>
        <v>255.69863013698628</v>
      </c>
      <c r="J218" s="5">
        <f t="shared" si="23"/>
        <v>4005.9452054794519</v>
      </c>
      <c r="K218" s="1"/>
      <c r="L218" s="6" t="s">
        <v>915</v>
      </c>
      <c r="M218" s="6" t="s">
        <v>926</v>
      </c>
      <c r="N218" s="6" t="s">
        <v>2760</v>
      </c>
    </row>
    <row r="219" spans="1:14" x14ac:dyDescent="0.25">
      <c r="A219" s="6" t="s">
        <v>227</v>
      </c>
      <c r="B219" s="6" t="s">
        <v>2761</v>
      </c>
      <c r="C219" s="6" t="s">
        <v>2762</v>
      </c>
      <c r="D219" s="6">
        <v>25</v>
      </c>
      <c r="E219" s="5">
        <f t="shared" si="18"/>
        <v>25000</v>
      </c>
      <c r="F219" s="5">
        <f t="shared" si="19"/>
        <v>2125</v>
      </c>
      <c r="G219" s="5">
        <f t="shared" si="20"/>
        <v>5.8219178082191778</v>
      </c>
      <c r="H219" s="5">
        <f t="shared" si="21"/>
        <v>1065.4109589041095</v>
      </c>
      <c r="I219" s="5">
        <f t="shared" si="22"/>
        <v>63.92465753424657</v>
      </c>
      <c r="J219" s="5">
        <f t="shared" si="23"/>
        <v>1001.486301369863</v>
      </c>
      <c r="K219" s="1"/>
      <c r="L219" s="6" t="s">
        <v>910</v>
      </c>
      <c r="M219" s="6" t="s">
        <v>981</v>
      </c>
      <c r="N219" s="6" t="s">
        <v>2767</v>
      </c>
    </row>
    <row r="220" spans="1:14" x14ac:dyDescent="0.25">
      <c r="A220" s="6" t="s">
        <v>228</v>
      </c>
      <c r="B220" s="6" t="s">
        <v>2768</v>
      </c>
      <c r="C220" s="6" t="s">
        <v>2769</v>
      </c>
      <c r="D220" s="6">
        <v>250</v>
      </c>
      <c r="E220" s="5">
        <f t="shared" si="18"/>
        <v>250000</v>
      </c>
      <c r="F220" s="5">
        <f t="shared" si="19"/>
        <v>21250</v>
      </c>
      <c r="G220" s="5">
        <f t="shared" si="20"/>
        <v>58.219178082191782</v>
      </c>
      <c r="H220" s="5">
        <f t="shared" si="21"/>
        <v>10654.109589041096</v>
      </c>
      <c r="I220" s="5">
        <f t="shared" si="22"/>
        <v>639.24657534246569</v>
      </c>
      <c r="J220" s="5">
        <f t="shared" si="23"/>
        <v>10014.86301369863</v>
      </c>
      <c r="K220" s="1"/>
      <c r="L220" s="6" t="s">
        <v>1478</v>
      </c>
      <c r="M220" s="6" t="s">
        <v>2774</v>
      </c>
      <c r="N220" s="6" t="s">
        <v>2775</v>
      </c>
    </row>
    <row r="221" spans="1:14" x14ac:dyDescent="0.25">
      <c r="A221" s="6" t="s">
        <v>229</v>
      </c>
      <c r="B221" s="6" t="s">
        <v>2776</v>
      </c>
      <c r="C221" s="6" t="s">
        <v>2777</v>
      </c>
      <c r="D221" s="6">
        <v>25</v>
      </c>
      <c r="E221" s="5">
        <f t="shared" si="18"/>
        <v>25000</v>
      </c>
      <c r="F221" s="5">
        <f t="shared" si="19"/>
        <v>2125</v>
      </c>
      <c r="G221" s="5">
        <f t="shared" si="20"/>
        <v>5.8219178082191778</v>
      </c>
      <c r="H221" s="5">
        <f t="shared" si="21"/>
        <v>1065.4109589041095</v>
      </c>
      <c r="I221" s="5">
        <f t="shared" si="22"/>
        <v>63.92465753424657</v>
      </c>
      <c r="J221" s="5">
        <f t="shared" si="23"/>
        <v>1001.486301369863</v>
      </c>
      <c r="K221" s="1"/>
      <c r="L221" s="6" t="s">
        <v>1637</v>
      </c>
      <c r="M221" s="6" t="s">
        <v>2783</v>
      </c>
      <c r="N221" s="6" t="s">
        <v>2784</v>
      </c>
    </row>
    <row r="222" spans="1:14" x14ac:dyDescent="0.25">
      <c r="A222" s="6" t="s">
        <v>230</v>
      </c>
      <c r="B222" s="6" t="s">
        <v>2785</v>
      </c>
      <c r="C222" s="6" t="s">
        <v>2786</v>
      </c>
      <c r="D222" s="6">
        <v>25</v>
      </c>
      <c r="E222" s="5">
        <f t="shared" si="18"/>
        <v>25000</v>
      </c>
      <c r="F222" s="5">
        <f t="shared" si="19"/>
        <v>2125</v>
      </c>
      <c r="G222" s="5">
        <f t="shared" si="20"/>
        <v>5.8219178082191778</v>
      </c>
      <c r="H222" s="5">
        <f t="shared" si="21"/>
        <v>1065.4109589041095</v>
      </c>
      <c r="I222" s="5">
        <f t="shared" si="22"/>
        <v>63.92465753424657</v>
      </c>
      <c r="J222" s="5">
        <f t="shared" si="23"/>
        <v>1001.486301369863</v>
      </c>
      <c r="K222" s="1"/>
      <c r="L222" s="6" t="s">
        <v>919</v>
      </c>
      <c r="M222" s="6" t="s">
        <v>918</v>
      </c>
      <c r="N222" s="6" t="s">
        <v>2792</v>
      </c>
    </row>
    <row r="223" spans="1:14" x14ac:dyDescent="0.25">
      <c r="A223" s="6" t="s">
        <v>231</v>
      </c>
      <c r="B223" s="6" t="s">
        <v>2793</v>
      </c>
      <c r="C223" s="6" t="s">
        <v>2794</v>
      </c>
      <c r="D223" s="6">
        <v>25</v>
      </c>
      <c r="E223" s="5">
        <f t="shared" si="18"/>
        <v>25000</v>
      </c>
      <c r="F223" s="5">
        <f t="shared" si="19"/>
        <v>2125</v>
      </c>
      <c r="G223" s="5">
        <f t="shared" si="20"/>
        <v>5.8219178082191778</v>
      </c>
      <c r="H223" s="5">
        <f t="shared" si="21"/>
        <v>1065.4109589041095</v>
      </c>
      <c r="I223" s="5">
        <f t="shared" si="22"/>
        <v>63.92465753424657</v>
      </c>
      <c r="J223" s="5">
        <f t="shared" si="23"/>
        <v>1001.486301369863</v>
      </c>
      <c r="K223" s="1"/>
      <c r="L223" s="6" t="s">
        <v>4</v>
      </c>
      <c r="M223" s="6" t="s">
        <v>2800</v>
      </c>
      <c r="N223" s="6" t="s">
        <v>2801</v>
      </c>
    </row>
    <row r="224" spans="1:14" x14ac:dyDescent="0.25">
      <c r="A224" s="6" t="s">
        <v>232</v>
      </c>
      <c r="B224" s="6" t="s">
        <v>2802</v>
      </c>
      <c r="C224" s="6" t="s">
        <v>2803</v>
      </c>
      <c r="D224" s="6">
        <v>25</v>
      </c>
      <c r="E224" s="5">
        <f t="shared" si="18"/>
        <v>25000</v>
      </c>
      <c r="F224" s="5">
        <f t="shared" si="19"/>
        <v>2125</v>
      </c>
      <c r="G224" s="5">
        <f t="shared" si="20"/>
        <v>5.8219178082191778</v>
      </c>
      <c r="H224" s="5">
        <f t="shared" si="21"/>
        <v>1065.4109589041095</v>
      </c>
      <c r="I224" s="5">
        <f t="shared" si="22"/>
        <v>63.92465753424657</v>
      </c>
      <c r="J224" s="5">
        <f t="shared" si="23"/>
        <v>1001.486301369863</v>
      </c>
      <c r="K224" s="1"/>
      <c r="L224" s="6" t="s">
        <v>8</v>
      </c>
      <c r="M224" s="6" t="s">
        <v>1129</v>
      </c>
      <c r="N224" s="6" t="s">
        <v>2810</v>
      </c>
    </row>
    <row r="225" spans="1:14" x14ac:dyDescent="0.25">
      <c r="A225" s="6" t="s">
        <v>233</v>
      </c>
      <c r="B225" s="6" t="s">
        <v>2811</v>
      </c>
      <c r="C225" s="6" t="s">
        <v>2812</v>
      </c>
      <c r="D225" s="6">
        <v>25</v>
      </c>
      <c r="E225" s="5">
        <f t="shared" si="18"/>
        <v>25000</v>
      </c>
      <c r="F225" s="5">
        <f t="shared" si="19"/>
        <v>2125</v>
      </c>
      <c r="G225" s="5">
        <f t="shared" si="20"/>
        <v>5.8219178082191778</v>
      </c>
      <c r="H225" s="5">
        <f t="shared" si="21"/>
        <v>1065.4109589041095</v>
      </c>
      <c r="I225" s="5">
        <f t="shared" si="22"/>
        <v>63.92465753424657</v>
      </c>
      <c r="J225" s="5">
        <f t="shared" si="23"/>
        <v>1001.486301369863</v>
      </c>
      <c r="K225" s="1"/>
      <c r="L225" s="6" t="s">
        <v>910</v>
      </c>
      <c r="M225" s="6" t="s">
        <v>1752</v>
      </c>
      <c r="N225" s="6" t="s">
        <v>2817</v>
      </c>
    </row>
    <row r="226" spans="1:14" x14ac:dyDescent="0.25">
      <c r="A226" s="6" t="s">
        <v>234</v>
      </c>
      <c r="B226" s="6" t="s">
        <v>2818</v>
      </c>
      <c r="C226" s="6" t="s">
        <v>2819</v>
      </c>
      <c r="D226" s="6">
        <v>25</v>
      </c>
      <c r="E226" s="5">
        <f t="shared" si="18"/>
        <v>25000</v>
      </c>
      <c r="F226" s="5">
        <f t="shared" si="19"/>
        <v>2125</v>
      </c>
      <c r="G226" s="5">
        <f t="shared" si="20"/>
        <v>5.8219178082191778</v>
      </c>
      <c r="H226" s="5">
        <f t="shared" si="21"/>
        <v>1065.4109589041095</v>
      </c>
      <c r="I226" s="5">
        <f t="shared" si="22"/>
        <v>63.92465753424657</v>
      </c>
      <c r="J226" s="5">
        <f t="shared" si="23"/>
        <v>1001.486301369863</v>
      </c>
      <c r="K226" s="1"/>
      <c r="L226" s="6" t="s">
        <v>4</v>
      </c>
      <c r="M226" s="6" t="s">
        <v>2824</v>
      </c>
      <c r="N226" s="6" t="s">
        <v>2825</v>
      </c>
    </row>
    <row r="227" spans="1:14" x14ac:dyDescent="0.25">
      <c r="A227" s="6" t="s">
        <v>235</v>
      </c>
      <c r="B227" s="6" t="s">
        <v>2826</v>
      </c>
      <c r="C227" s="6" t="s">
        <v>2827</v>
      </c>
      <c r="D227" s="6">
        <v>50</v>
      </c>
      <c r="E227" s="5">
        <f t="shared" si="18"/>
        <v>50000</v>
      </c>
      <c r="F227" s="5">
        <f t="shared" si="19"/>
        <v>4250</v>
      </c>
      <c r="G227" s="5">
        <f t="shared" si="20"/>
        <v>11.643835616438356</v>
      </c>
      <c r="H227" s="5">
        <f t="shared" si="21"/>
        <v>2130.821917808219</v>
      </c>
      <c r="I227" s="5">
        <f t="shared" si="22"/>
        <v>127.84931506849314</v>
      </c>
      <c r="J227" s="5">
        <f t="shared" si="23"/>
        <v>2002.972602739726</v>
      </c>
      <c r="K227" s="1"/>
      <c r="L227" s="6" t="s">
        <v>4</v>
      </c>
      <c r="M227" s="6" t="s">
        <v>2831</v>
      </c>
      <c r="N227" s="6" t="s">
        <v>2832</v>
      </c>
    </row>
    <row r="228" spans="1:14" x14ac:dyDescent="0.25">
      <c r="A228" s="6" t="s">
        <v>236</v>
      </c>
      <c r="B228" s="6" t="s">
        <v>2833</v>
      </c>
      <c r="C228" s="6" t="s">
        <v>2834</v>
      </c>
      <c r="D228" s="6">
        <v>25</v>
      </c>
      <c r="E228" s="5">
        <f t="shared" si="18"/>
        <v>25000</v>
      </c>
      <c r="F228" s="5">
        <f t="shared" si="19"/>
        <v>2125</v>
      </c>
      <c r="G228" s="5">
        <f t="shared" si="20"/>
        <v>5.8219178082191778</v>
      </c>
      <c r="H228" s="5">
        <f t="shared" si="21"/>
        <v>1065.4109589041095</v>
      </c>
      <c r="I228" s="5">
        <f t="shared" si="22"/>
        <v>63.92465753424657</v>
      </c>
      <c r="J228" s="5">
        <f t="shared" si="23"/>
        <v>1001.486301369863</v>
      </c>
      <c r="K228" s="1"/>
      <c r="L228" s="6" t="s">
        <v>1548</v>
      </c>
      <c r="M228" s="6" t="s">
        <v>2840</v>
      </c>
      <c r="N228" s="6" t="s">
        <v>2841</v>
      </c>
    </row>
    <row r="229" spans="1:14" x14ac:dyDescent="0.25">
      <c r="A229" s="6" t="s">
        <v>237</v>
      </c>
      <c r="B229" s="6" t="s">
        <v>2842</v>
      </c>
      <c r="C229" s="6" t="s">
        <v>2843</v>
      </c>
      <c r="D229" s="6">
        <v>25</v>
      </c>
      <c r="E229" s="5">
        <f t="shared" si="18"/>
        <v>25000</v>
      </c>
      <c r="F229" s="5">
        <f t="shared" si="19"/>
        <v>2125</v>
      </c>
      <c r="G229" s="5">
        <f t="shared" si="20"/>
        <v>5.8219178082191778</v>
      </c>
      <c r="H229" s="5">
        <f t="shared" si="21"/>
        <v>1065.4109589041095</v>
      </c>
      <c r="I229" s="5">
        <f t="shared" si="22"/>
        <v>63.92465753424657</v>
      </c>
      <c r="J229" s="5">
        <f t="shared" si="23"/>
        <v>1001.486301369863</v>
      </c>
      <c r="K229" s="1"/>
      <c r="L229" s="6" t="s">
        <v>8</v>
      </c>
      <c r="M229" s="6" t="s">
        <v>2850</v>
      </c>
      <c r="N229" s="6" t="s">
        <v>2851</v>
      </c>
    </row>
    <row r="230" spans="1:14" x14ac:dyDescent="0.25">
      <c r="A230" s="6" t="s">
        <v>238</v>
      </c>
      <c r="B230" s="6" t="s">
        <v>2852</v>
      </c>
      <c r="C230" s="6" t="s">
        <v>2853</v>
      </c>
      <c r="D230" s="6">
        <v>25</v>
      </c>
      <c r="E230" s="5">
        <f t="shared" si="18"/>
        <v>25000</v>
      </c>
      <c r="F230" s="5">
        <f t="shared" si="19"/>
        <v>2125</v>
      </c>
      <c r="G230" s="5">
        <f t="shared" si="20"/>
        <v>5.8219178082191778</v>
      </c>
      <c r="H230" s="5">
        <f t="shared" si="21"/>
        <v>1065.4109589041095</v>
      </c>
      <c r="I230" s="5">
        <f t="shared" si="22"/>
        <v>63.92465753424657</v>
      </c>
      <c r="J230" s="5">
        <f t="shared" si="23"/>
        <v>1001.486301369863</v>
      </c>
      <c r="K230" s="1"/>
      <c r="L230" s="6" t="s">
        <v>910</v>
      </c>
      <c r="M230" s="6" t="s">
        <v>981</v>
      </c>
      <c r="N230" s="6" t="s">
        <v>2859</v>
      </c>
    </row>
    <row r="231" spans="1:14" x14ac:dyDescent="0.25">
      <c r="A231" s="6" t="s">
        <v>239</v>
      </c>
      <c r="B231" s="6" t="s">
        <v>2860</v>
      </c>
      <c r="C231" s="6" t="s">
        <v>2861</v>
      </c>
      <c r="D231" s="6">
        <v>25</v>
      </c>
      <c r="E231" s="5">
        <f t="shared" si="18"/>
        <v>25000</v>
      </c>
      <c r="F231" s="5">
        <f t="shared" si="19"/>
        <v>2125</v>
      </c>
      <c r="G231" s="5">
        <f t="shared" si="20"/>
        <v>5.8219178082191778</v>
      </c>
      <c r="H231" s="5">
        <f t="shared" si="21"/>
        <v>1065.4109589041095</v>
      </c>
      <c r="I231" s="5">
        <f t="shared" si="22"/>
        <v>63.92465753424657</v>
      </c>
      <c r="J231" s="5">
        <f t="shared" si="23"/>
        <v>1001.486301369863</v>
      </c>
      <c r="K231" s="1"/>
      <c r="L231" s="6" t="s">
        <v>915</v>
      </c>
      <c r="M231" s="6" t="s">
        <v>926</v>
      </c>
      <c r="N231" s="6" t="s">
        <v>2867</v>
      </c>
    </row>
    <row r="232" spans="1:14" x14ac:dyDescent="0.25">
      <c r="A232" s="6" t="s">
        <v>240</v>
      </c>
      <c r="B232" s="6" t="s">
        <v>2868</v>
      </c>
      <c r="C232" s="6" t="s">
        <v>2869</v>
      </c>
      <c r="D232" s="6">
        <v>25</v>
      </c>
      <c r="E232" s="5">
        <f t="shared" si="18"/>
        <v>25000</v>
      </c>
      <c r="F232" s="5">
        <f t="shared" si="19"/>
        <v>2125</v>
      </c>
      <c r="G232" s="5">
        <f t="shared" si="20"/>
        <v>5.8219178082191778</v>
      </c>
      <c r="H232" s="5">
        <f t="shared" si="21"/>
        <v>1065.4109589041095</v>
      </c>
      <c r="I232" s="5">
        <f t="shared" si="22"/>
        <v>63.92465753424657</v>
      </c>
      <c r="J232" s="5">
        <f t="shared" si="23"/>
        <v>1001.486301369863</v>
      </c>
      <c r="K232" s="1"/>
      <c r="L232" s="6" t="s">
        <v>13</v>
      </c>
      <c r="M232" s="6" t="s">
        <v>2874</v>
      </c>
      <c r="N232" s="6" t="s">
        <v>2875</v>
      </c>
    </row>
    <row r="233" spans="1:14" x14ac:dyDescent="0.25">
      <c r="A233" s="6" t="s">
        <v>241</v>
      </c>
      <c r="B233" s="6" t="s">
        <v>2876</v>
      </c>
      <c r="C233" s="6" t="s">
        <v>2877</v>
      </c>
      <c r="D233" s="6">
        <v>100</v>
      </c>
      <c r="E233" s="5">
        <f t="shared" si="18"/>
        <v>100000</v>
      </c>
      <c r="F233" s="5">
        <f t="shared" si="19"/>
        <v>8500</v>
      </c>
      <c r="G233" s="5">
        <f t="shared" si="20"/>
        <v>23.287671232876711</v>
      </c>
      <c r="H233" s="5">
        <f t="shared" si="21"/>
        <v>4261.6438356164381</v>
      </c>
      <c r="I233" s="5">
        <f t="shared" si="22"/>
        <v>255.69863013698628</v>
      </c>
      <c r="J233" s="5">
        <f t="shared" si="23"/>
        <v>4005.9452054794519</v>
      </c>
      <c r="K233" s="1"/>
      <c r="L233" s="6" t="s">
        <v>1637</v>
      </c>
      <c r="M233" s="6" t="s">
        <v>2882</v>
      </c>
      <c r="N233" s="6" t="s">
        <v>2883</v>
      </c>
    </row>
    <row r="234" spans="1:14" x14ac:dyDescent="0.25">
      <c r="A234" s="6" t="s">
        <v>242</v>
      </c>
      <c r="B234" s="6" t="s">
        <v>2884</v>
      </c>
      <c r="C234" s="6" t="s">
        <v>1249</v>
      </c>
      <c r="D234" s="6">
        <v>120</v>
      </c>
      <c r="E234" s="5">
        <f t="shared" si="18"/>
        <v>120000</v>
      </c>
      <c r="F234" s="5">
        <f t="shared" si="19"/>
        <v>10200</v>
      </c>
      <c r="G234" s="5">
        <f t="shared" si="20"/>
        <v>27.945205479452056</v>
      </c>
      <c r="H234" s="5">
        <f t="shared" si="21"/>
        <v>5113.9726027397264</v>
      </c>
      <c r="I234" s="5">
        <f t="shared" si="22"/>
        <v>306.83835616438358</v>
      </c>
      <c r="J234" s="5">
        <f t="shared" si="23"/>
        <v>4807.1342465753432</v>
      </c>
      <c r="K234" s="1"/>
      <c r="L234" s="6" t="s">
        <v>4</v>
      </c>
      <c r="M234" s="6" t="s">
        <v>924</v>
      </c>
      <c r="N234" s="6" t="s">
        <v>2887</v>
      </c>
    </row>
    <row r="235" spans="1:14" x14ac:dyDescent="0.25">
      <c r="A235" s="6" t="s">
        <v>243</v>
      </c>
      <c r="B235" s="6" t="s">
        <v>2888</v>
      </c>
      <c r="C235" s="6" t="s">
        <v>2889</v>
      </c>
      <c r="D235" s="6">
        <v>25</v>
      </c>
      <c r="E235" s="5">
        <f t="shared" si="18"/>
        <v>25000</v>
      </c>
      <c r="F235" s="5">
        <f t="shared" si="19"/>
        <v>2125</v>
      </c>
      <c r="G235" s="5">
        <f t="shared" si="20"/>
        <v>5.8219178082191778</v>
      </c>
      <c r="H235" s="5">
        <f t="shared" si="21"/>
        <v>1065.4109589041095</v>
      </c>
      <c r="I235" s="5">
        <f t="shared" si="22"/>
        <v>63.92465753424657</v>
      </c>
      <c r="J235" s="5">
        <f t="shared" si="23"/>
        <v>1001.486301369863</v>
      </c>
      <c r="K235" s="1"/>
      <c r="L235" s="6" t="s">
        <v>910</v>
      </c>
      <c r="M235" s="6" t="s">
        <v>2895</v>
      </c>
      <c r="N235" s="6" t="s">
        <v>2896</v>
      </c>
    </row>
    <row r="236" spans="1:14" x14ac:dyDescent="0.25">
      <c r="A236" s="6" t="s">
        <v>244</v>
      </c>
      <c r="B236" s="6" t="s">
        <v>2897</v>
      </c>
      <c r="C236" s="6" t="s">
        <v>2898</v>
      </c>
      <c r="D236" s="6">
        <v>25</v>
      </c>
      <c r="E236" s="5">
        <f t="shared" si="18"/>
        <v>25000</v>
      </c>
      <c r="F236" s="5">
        <f t="shared" si="19"/>
        <v>2125</v>
      </c>
      <c r="G236" s="5">
        <f t="shared" si="20"/>
        <v>5.8219178082191778</v>
      </c>
      <c r="H236" s="5">
        <f t="shared" si="21"/>
        <v>1065.4109589041095</v>
      </c>
      <c r="I236" s="5">
        <f t="shared" si="22"/>
        <v>63.92465753424657</v>
      </c>
      <c r="J236" s="5">
        <f t="shared" si="23"/>
        <v>1001.486301369863</v>
      </c>
      <c r="K236" s="1"/>
      <c r="L236" s="6" t="s">
        <v>8</v>
      </c>
      <c r="M236" s="6" t="s">
        <v>2905</v>
      </c>
      <c r="N236" s="6" t="s">
        <v>2906</v>
      </c>
    </row>
    <row r="237" spans="1:14" x14ac:dyDescent="0.25">
      <c r="A237" s="6" t="s">
        <v>245</v>
      </c>
      <c r="B237" s="6" t="s">
        <v>2907</v>
      </c>
      <c r="C237" s="6" t="s">
        <v>2908</v>
      </c>
      <c r="D237" s="6">
        <v>30</v>
      </c>
      <c r="E237" s="5">
        <f t="shared" si="18"/>
        <v>30000</v>
      </c>
      <c r="F237" s="5">
        <f t="shared" si="19"/>
        <v>2550</v>
      </c>
      <c r="G237" s="5">
        <f t="shared" si="20"/>
        <v>6.9863013698630141</v>
      </c>
      <c r="H237" s="5">
        <f t="shared" si="21"/>
        <v>1278.4931506849316</v>
      </c>
      <c r="I237" s="5">
        <f t="shared" si="22"/>
        <v>76.709589041095896</v>
      </c>
      <c r="J237" s="5">
        <f t="shared" si="23"/>
        <v>1201.7835616438358</v>
      </c>
      <c r="K237" s="1"/>
      <c r="L237" s="6" t="s">
        <v>915</v>
      </c>
      <c r="M237" s="6" t="s">
        <v>926</v>
      </c>
      <c r="N237" s="6" t="s">
        <v>2913</v>
      </c>
    </row>
    <row r="238" spans="1:14" x14ac:dyDescent="0.25">
      <c r="A238" s="6" t="s">
        <v>246</v>
      </c>
      <c r="B238" s="6" t="s">
        <v>2914</v>
      </c>
      <c r="C238" s="6" t="s">
        <v>2915</v>
      </c>
      <c r="D238" s="6">
        <v>25</v>
      </c>
      <c r="E238" s="5">
        <f t="shared" si="18"/>
        <v>25000</v>
      </c>
      <c r="F238" s="5">
        <f t="shared" si="19"/>
        <v>2125</v>
      </c>
      <c r="G238" s="5">
        <f t="shared" si="20"/>
        <v>5.8219178082191778</v>
      </c>
      <c r="H238" s="5">
        <f t="shared" si="21"/>
        <v>1065.4109589041095</v>
      </c>
      <c r="I238" s="5">
        <f t="shared" si="22"/>
        <v>63.92465753424657</v>
      </c>
      <c r="J238" s="5">
        <f t="shared" si="23"/>
        <v>1001.486301369863</v>
      </c>
      <c r="K238" s="1"/>
      <c r="L238" s="6" t="s">
        <v>1637</v>
      </c>
      <c r="M238" s="6" t="s">
        <v>2316</v>
      </c>
      <c r="N238" s="6" t="s">
        <v>2920</v>
      </c>
    </row>
    <row r="239" spans="1:14" x14ac:dyDescent="0.25">
      <c r="A239" s="6" t="s">
        <v>247</v>
      </c>
      <c r="B239" s="6" t="s">
        <v>2921</v>
      </c>
      <c r="C239" s="6" t="s">
        <v>2922</v>
      </c>
      <c r="D239" s="6">
        <v>25</v>
      </c>
      <c r="E239" s="5">
        <f t="shared" si="18"/>
        <v>25000</v>
      </c>
      <c r="F239" s="5">
        <f t="shared" si="19"/>
        <v>2125</v>
      </c>
      <c r="G239" s="5">
        <f t="shared" si="20"/>
        <v>5.8219178082191778</v>
      </c>
      <c r="H239" s="5">
        <f t="shared" si="21"/>
        <v>1065.4109589041095</v>
      </c>
      <c r="I239" s="5">
        <f t="shared" si="22"/>
        <v>63.92465753424657</v>
      </c>
      <c r="J239" s="5">
        <f t="shared" si="23"/>
        <v>1001.486301369863</v>
      </c>
      <c r="K239" s="1"/>
      <c r="L239" s="6" t="s">
        <v>1637</v>
      </c>
      <c r="M239" s="6" t="s">
        <v>2928</v>
      </c>
      <c r="N239" s="6" t="s">
        <v>2929</v>
      </c>
    </row>
    <row r="240" spans="1:14" x14ac:dyDescent="0.25">
      <c r="A240" s="6" t="s">
        <v>248</v>
      </c>
      <c r="B240" s="6" t="s">
        <v>2930</v>
      </c>
      <c r="C240" s="6" t="s">
        <v>2931</v>
      </c>
      <c r="D240" s="6">
        <v>25</v>
      </c>
      <c r="E240" s="5">
        <f t="shared" si="18"/>
        <v>25000</v>
      </c>
      <c r="F240" s="5">
        <f t="shared" si="19"/>
        <v>2125</v>
      </c>
      <c r="G240" s="5">
        <f t="shared" si="20"/>
        <v>5.8219178082191778</v>
      </c>
      <c r="H240" s="5">
        <f t="shared" si="21"/>
        <v>1065.4109589041095</v>
      </c>
      <c r="I240" s="5">
        <f t="shared" si="22"/>
        <v>63.92465753424657</v>
      </c>
      <c r="J240" s="5">
        <f t="shared" si="23"/>
        <v>1001.486301369863</v>
      </c>
      <c r="K240" s="1"/>
      <c r="L240" s="6" t="s">
        <v>8</v>
      </c>
      <c r="M240" s="6" t="s">
        <v>2937</v>
      </c>
      <c r="N240" s="6" t="s">
        <v>2938</v>
      </c>
    </row>
    <row r="241" spans="1:14" x14ac:dyDescent="0.25">
      <c r="A241" s="6" t="s">
        <v>249</v>
      </c>
      <c r="B241" s="6" t="s">
        <v>2939</v>
      </c>
      <c r="C241" s="6" t="s">
        <v>2940</v>
      </c>
      <c r="D241" s="6">
        <v>150</v>
      </c>
      <c r="E241" s="5">
        <f t="shared" si="18"/>
        <v>150000</v>
      </c>
      <c r="F241" s="5">
        <f t="shared" si="19"/>
        <v>12750.000000000002</v>
      </c>
      <c r="G241" s="5">
        <f t="shared" si="20"/>
        <v>34.93150684931507</v>
      </c>
      <c r="H241" s="5">
        <f t="shared" si="21"/>
        <v>6392.465753424658</v>
      </c>
      <c r="I241" s="5">
        <f t="shared" si="22"/>
        <v>383.54794520547949</v>
      </c>
      <c r="J241" s="5">
        <f t="shared" si="23"/>
        <v>6008.9178082191784</v>
      </c>
      <c r="K241" s="1"/>
      <c r="L241" s="6" t="s">
        <v>915</v>
      </c>
      <c r="M241" s="6" t="s">
        <v>2945</v>
      </c>
      <c r="N241" s="6" t="s">
        <v>2946</v>
      </c>
    </row>
    <row r="242" spans="1:14" x14ac:dyDescent="0.25">
      <c r="A242" s="6" t="s">
        <v>250</v>
      </c>
      <c r="B242" s="6" t="s">
        <v>2947</v>
      </c>
      <c r="C242" s="6" t="s">
        <v>2948</v>
      </c>
      <c r="D242" s="6">
        <v>10</v>
      </c>
      <c r="E242" s="5">
        <f t="shared" si="18"/>
        <v>10000</v>
      </c>
      <c r="F242" s="5">
        <f t="shared" si="19"/>
        <v>850.00000000000011</v>
      </c>
      <c r="G242" s="5">
        <f t="shared" si="20"/>
        <v>2.3287671232876717</v>
      </c>
      <c r="H242" s="5">
        <f t="shared" si="21"/>
        <v>426.16438356164389</v>
      </c>
      <c r="I242" s="5">
        <f t="shared" si="22"/>
        <v>25.569863013698633</v>
      </c>
      <c r="J242" s="5">
        <f t="shared" si="23"/>
        <v>400.59452054794525</v>
      </c>
      <c r="K242" s="1"/>
      <c r="L242" s="6" t="s">
        <v>909</v>
      </c>
      <c r="M242" s="6" t="s">
        <v>2954</v>
      </c>
      <c r="N242" s="6" t="s">
        <v>2955</v>
      </c>
    </row>
    <row r="243" spans="1:14" x14ac:dyDescent="0.25">
      <c r="A243" s="6" t="s">
        <v>251</v>
      </c>
      <c r="B243" s="6" t="s">
        <v>2956</v>
      </c>
      <c r="C243" s="6" t="s">
        <v>2957</v>
      </c>
      <c r="D243" s="6">
        <v>700</v>
      </c>
      <c r="E243" s="5">
        <f t="shared" si="18"/>
        <v>700000</v>
      </c>
      <c r="F243" s="5">
        <f t="shared" si="19"/>
        <v>59500.000000000007</v>
      </c>
      <c r="G243" s="5">
        <f t="shared" si="20"/>
        <v>163.01369863013701</v>
      </c>
      <c r="H243" s="5">
        <f t="shared" si="21"/>
        <v>29831.506849315072</v>
      </c>
      <c r="I243" s="5">
        <f t="shared" si="22"/>
        <v>1789.8904109589043</v>
      </c>
      <c r="J243" s="5">
        <f t="shared" si="23"/>
        <v>28041.616438356166</v>
      </c>
      <c r="K243" s="1"/>
      <c r="L243" s="6" t="s">
        <v>4</v>
      </c>
      <c r="M243" s="6" t="s">
        <v>2962</v>
      </c>
      <c r="N243" s="6" t="s">
        <v>2963</v>
      </c>
    </row>
    <row r="244" spans="1:14" x14ac:dyDescent="0.25">
      <c r="A244" s="6" t="s">
        <v>252</v>
      </c>
      <c r="B244" s="6" t="s">
        <v>2964</v>
      </c>
      <c r="C244" s="6" t="s">
        <v>2965</v>
      </c>
      <c r="D244" s="6">
        <v>25</v>
      </c>
      <c r="E244" s="5">
        <f t="shared" si="18"/>
        <v>25000</v>
      </c>
      <c r="F244" s="5">
        <f t="shared" si="19"/>
        <v>2125</v>
      </c>
      <c r="G244" s="5">
        <f t="shared" si="20"/>
        <v>5.8219178082191778</v>
      </c>
      <c r="H244" s="5">
        <f t="shared" si="21"/>
        <v>1065.4109589041095</v>
      </c>
      <c r="I244" s="5">
        <f t="shared" si="22"/>
        <v>63.92465753424657</v>
      </c>
      <c r="J244" s="5">
        <f t="shared" si="23"/>
        <v>1001.486301369863</v>
      </c>
      <c r="K244" s="1"/>
      <c r="L244" s="6" t="s">
        <v>910</v>
      </c>
      <c r="M244" s="6" t="s">
        <v>2973</v>
      </c>
      <c r="N244" s="6" t="s">
        <v>2974</v>
      </c>
    </row>
    <row r="245" spans="1:14" x14ac:dyDescent="0.25">
      <c r="A245" s="6" t="s">
        <v>253</v>
      </c>
      <c r="B245" s="6" t="s">
        <v>2975</v>
      </c>
      <c r="C245" s="6" t="s">
        <v>2976</v>
      </c>
      <c r="D245" s="6">
        <v>50</v>
      </c>
      <c r="E245" s="5">
        <f t="shared" si="18"/>
        <v>50000</v>
      </c>
      <c r="F245" s="5">
        <f t="shared" si="19"/>
        <v>4250</v>
      </c>
      <c r="G245" s="5">
        <f t="shared" si="20"/>
        <v>11.643835616438356</v>
      </c>
      <c r="H245" s="5">
        <f t="shared" si="21"/>
        <v>2130.821917808219</v>
      </c>
      <c r="I245" s="5">
        <f t="shared" si="22"/>
        <v>127.84931506849314</v>
      </c>
      <c r="J245" s="5">
        <f t="shared" si="23"/>
        <v>2002.972602739726</v>
      </c>
      <c r="K245" s="1"/>
      <c r="L245" s="6" t="s">
        <v>10</v>
      </c>
      <c r="M245" s="6" t="s">
        <v>2983</v>
      </c>
      <c r="N245" s="6" t="s">
        <v>2984</v>
      </c>
    </row>
    <row r="246" spans="1:14" x14ac:dyDescent="0.25">
      <c r="A246" s="6" t="s">
        <v>254</v>
      </c>
      <c r="B246" s="6" t="s">
        <v>2985</v>
      </c>
      <c r="C246" s="6" t="s">
        <v>2986</v>
      </c>
      <c r="D246" s="6">
        <v>25</v>
      </c>
      <c r="E246" s="5">
        <f t="shared" si="18"/>
        <v>25000</v>
      </c>
      <c r="F246" s="5">
        <f t="shared" si="19"/>
        <v>2125</v>
      </c>
      <c r="G246" s="5">
        <f t="shared" si="20"/>
        <v>5.8219178082191778</v>
      </c>
      <c r="H246" s="5">
        <f t="shared" si="21"/>
        <v>1065.4109589041095</v>
      </c>
      <c r="I246" s="5">
        <f t="shared" si="22"/>
        <v>63.92465753424657</v>
      </c>
      <c r="J246" s="5">
        <f t="shared" si="23"/>
        <v>1001.486301369863</v>
      </c>
      <c r="K246" s="1"/>
      <c r="L246" s="6" t="s">
        <v>1478</v>
      </c>
      <c r="M246" s="6" t="s">
        <v>2992</v>
      </c>
      <c r="N246" s="6" t="s">
        <v>2993</v>
      </c>
    </row>
    <row r="247" spans="1:14" x14ac:dyDescent="0.25">
      <c r="A247" s="6" t="s">
        <v>255</v>
      </c>
      <c r="B247" s="6" t="s">
        <v>2994</v>
      </c>
      <c r="C247" s="6" t="s">
        <v>2995</v>
      </c>
      <c r="D247" s="6">
        <v>25</v>
      </c>
      <c r="E247" s="5">
        <f t="shared" si="18"/>
        <v>25000</v>
      </c>
      <c r="F247" s="5">
        <f t="shared" si="19"/>
        <v>2125</v>
      </c>
      <c r="G247" s="5">
        <f t="shared" si="20"/>
        <v>5.8219178082191778</v>
      </c>
      <c r="H247" s="5">
        <f t="shared" si="21"/>
        <v>1065.4109589041095</v>
      </c>
      <c r="I247" s="5">
        <f t="shared" si="22"/>
        <v>63.92465753424657</v>
      </c>
      <c r="J247" s="5">
        <f t="shared" si="23"/>
        <v>1001.486301369863</v>
      </c>
      <c r="K247" s="1"/>
      <c r="L247" s="6" t="s">
        <v>915</v>
      </c>
      <c r="M247" s="6" t="s">
        <v>926</v>
      </c>
      <c r="N247" s="6" t="s">
        <v>3002</v>
      </c>
    </row>
    <row r="248" spans="1:14" x14ac:dyDescent="0.25">
      <c r="A248" s="6" t="s">
        <v>256</v>
      </c>
      <c r="B248" s="6" t="s">
        <v>3003</v>
      </c>
      <c r="C248" s="6" t="s">
        <v>3004</v>
      </c>
      <c r="D248" s="6">
        <v>50</v>
      </c>
      <c r="E248" s="5">
        <f t="shared" si="18"/>
        <v>50000</v>
      </c>
      <c r="F248" s="5">
        <f t="shared" si="19"/>
        <v>4250</v>
      </c>
      <c r="G248" s="5">
        <f t="shared" si="20"/>
        <v>11.643835616438356</v>
      </c>
      <c r="H248" s="5">
        <f t="shared" si="21"/>
        <v>2130.821917808219</v>
      </c>
      <c r="I248" s="5">
        <f t="shared" si="22"/>
        <v>127.84931506849314</v>
      </c>
      <c r="J248" s="5">
        <f t="shared" si="23"/>
        <v>2002.972602739726</v>
      </c>
      <c r="K248" s="1"/>
      <c r="L248" s="6" t="s">
        <v>1478</v>
      </c>
      <c r="M248" s="6" t="s">
        <v>3010</v>
      </c>
      <c r="N248" s="6" t="s">
        <v>3011</v>
      </c>
    </row>
    <row r="249" spans="1:14" x14ac:dyDescent="0.25">
      <c r="A249" s="6" t="s">
        <v>257</v>
      </c>
      <c r="B249" s="6" t="s">
        <v>3012</v>
      </c>
      <c r="C249" s="6" t="s">
        <v>3013</v>
      </c>
      <c r="D249" s="6">
        <v>50</v>
      </c>
      <c r="E249" s="5">
        <f t="shared" si="18"/>
        <v>50000</v>
      </c>
      <c r="F249" s="5">
        <f t="shared" si="19"/>
        <v>4250</v>
      </c>
      <c r="G249" s="5">
        <f t="shared" si="20"/>
        <v>11.643835616438356</v>
      </c>
      <c r="H249" s="5">
        <f t="shared" si="21"/>
        <v>2130.821917808219</v>
      </c>
      <c r="I249" s="5">
        <f t="shared" si="22"/>
        <v>127.84931506849314</v>
      </c>
      <c r="J249" s="5">
        <f t="shared" si="23"/>
        <v>2002.972602739726</v>
      </c>
      <c r="K249" s="1"/>
      <c r="L249" s="6" t="s">
        <v>1496</v>
      </c>
      <c r="M249" s="6" t="s">
        <v>3018</v>
      </c>
      <c r="N249" s="6" t="s">
        <v>3019</v>
      </c>
    </row>
    <row r="250" spans="1:14" x14ac:dyDescent="0.25">
      <c r="A250" s="6" t="s">
        <v>258</v>
      </c>
      <c r="B250" s="6" t="s">
        <v>3020</v>
      </c>
      <c r="C250" s="6" t="s">
        <v>3021</v>
      </c>
      <c r="D250" s="6">
        <v>50</v>
      </c>
      <c r="E250" s="5">
        <f t="shared" si="18"/>
        <v>50000</v>
      </c>
      <c r="F250" s="5">
        <f t="shared" si="19"/>
        <v>4250</v>
      </c>
      <c r="G250" s="5">
        <f t="shared" si="20"/>
        <v>11.643835616438356</v>
      </c>
      <c r="H250" s="5">
        <f t="shared" si="21"/>
        <v>2130.821917808219</v>
      </c>
      <c r="I250" s="5">
        <f t="shared" si="22"/>
        <v>127.84931506849314</v>
      </c>
      <c r="J250" s="5">
        <f t="shared" si="23"/>
        <v>2002.972602739726</v>
      </c>
      <c r="K250" s="1"/>
      <c r="L250" s="6" t="s">
        <v>919</v>
      </c>
      <c r="M250" s="6" t="s">
        <v>3026</v>
      </c>
      <c r="N250" s="6" t="s">
        <v>3027</v>
      </c>
    </row>
    <row r="251" spans="1:14" x14ac:dyDescent="0.25">
      <c r="A251" s="6" t="s">
        <v>259</v>
      </c>
      <c r="B251" s="6" t="s">
        <v>3028</v>
      </c>
      <c r="C251" s="6" t="s">
        <v>3029</v>
      </c>
      <c r="D251" s="6">
        <v>25</v>
      </c>
      <c r="E251" s="5">
        <f t="shared" si="18"/>
        <v>25000</v>
      </c>
      <c r="F251" s="5">
        <f t="shared" si="19"/>
        <v>2125</v>
      </c>
      <c r="G251" s="5">
        <f t="shared" si="20"/>
        <v>5.8219178082191778</v>
      </c>
      <c r="H251" s="5">
        <f t="shared" si="21"/>
        <v>1065.4109589041095</v>
      </c>
      <c r="I251" s="5">
        <f t="shared" si="22"/>
        <v>63.92465753424657</v>
      </c>
      <c r="J251" s="5">
        <f t="shared" si="23"/>
        <v>1001.486301369863</v>
      </c>
      <c r="K251" s="1"/>
      <c r="L251" s="6" t="s">
        <v>1548</v>
      </c>
      <c r="M251" s="6" t="s">
        <v>1549</v>
      </c>
      <c r="N251" s="6" t="s">
        <v>3034</v>
      </c>
    </row>
    <row r="252" spans="1:14" x14ac:dyDescent="0.25">
      <c r="A252" s="6" t="s">
        <v>260</v>
      </c>
      <c r="B252" s="6" t="s">
        <v>3035</v>
      </c>
      <c r="C252" s="6" t="s">
        <v>3036</v>
      </c>
      <c r="D252" s="6">
        <v>25</v>
      </c>
      <c r="E252" s="5">
        <f t="shared" si="18"/>
        <v>25000</v>
      </c>
      <c r="F252" s="5">
        <f t="shared" si="19"/>
        <v>2125</v>
      </c>
      <c r="G252" s="5">
        <f t="shared" si="20"/>
        <v>5.8219178082191778</v>
      </c>
      <c r="H252" s="5">
        <f t="shared" si="21"/>
        <v>1065.4109589041095</v>
      </c>
      <c r="I252" s="5">
        <f t="shared" si="22"/>
        <v>63.92465753424657</v>
      </c>
      <c r="J252" s="5">
        <f t="shared" si="23"/>
        <v>1001.486301369863</v>
      </c>
      <c r="K252" s="1"/>
      <c r="L252" s="6" t="s">
        <v>971</v>
      </c>
      <c r="M252" s="6" t="s">
        <v>3041</v>
      </c>
      <c r="N252" s="6" t="s">
        <v>3042</v>
      </c>
    </row>
    <row r="253" spans="1:14" x14ac:dyDescent="0.25">
      <c r="A253" s="6" t="s">
        <v>261</v>
      </c>
      <c r="B253" s="6" t="s">
        <v>3043</v>
      </c>
      <c r="C253" s="6" t="s">
        <v>3044</v>
      </c>
      <c r="D253" s="6">
        <v>25</v>
      </c>
      <c r="E253" s="5">
        <f t="shared" si="18"/>
        <v>25000</v>
      </c>
      <c r="F253" s="5">
        <f t="shared" si="19"/>
        <v>2125</v>
      </c>
      <c r="G253" s="5">
        <f t="shared" si="20"/>
        <v>5.8219178082191778</v>
      </c>
      <c r="H253" s="5">
        <f t="shared" si="21"/>
        <v>1065.4109589041095</v>
      </c>
      <c r="I253" s="5">
        <f t="shared" si="22"/>
        <v>63.92465753424657</v>
      </c>
      <c r="J253" s="5">
        <f t="shared" si="23"/>
        <v>1001.486301369863</v>
      </c>
      <c r="K253" s="1"/>
      <c r="L253" s="6" t="s">
        <v>971</v>
      </c>
      <c r="M253" s="6" t="s">
        <v>3049</v>
      </c>
      <c r="N253" s="6" t="s">
        <v>3050</v>
      </c>
    </row>
    <row r="254" spans="1:14" x14ac:dyDescent="0.25">
      <c r="A254" s="6" t="s">
        <v>262</v>
      </c>
      <c r="B254" s="6" t="s">
        <v>3051</v>
      </c>
      <c r="C254" s="6" t="s">
        <v>3052</v>
      </c>
      <c r="D254" s="6">
        <v>100</v>
      </c>
      <c r="E254" s="5">
        <f t="shared" si="18"/>
        <v>100000</v>
      </c>
      <c r="F254" s="5">
        <f t="shared" si="19"/>
        <v>8500</v>
      </c>
      <c r="G254" s="5">
        <f t="shared" si="20"/>
        <v>23.287671232876711</v>
      </c>
      <c r="H254" s="5">
        <f t="shared" si="21"/>
        <v>4261.6438356164381</v>
      </c>
      <c r="I254" s="5">
        <f t="shared" si="22"/>
        <v>255.69863013698628</v>
      </c>
      <c r="J254" s="5">
        <f t="shared" si="23"/>
        <v>4005.9452054794519</v>
      </c>
      <c r="K254" s="1"/>
      <c r="L254" s="6" t="s">
        <v>1637</v>
      </c>
      <c r="M254" s="6" t="s">
        <v>2316</v>
      </c>
      <c r="N254" s="6" t="s">
        <v>3057</v>
      </c>
    </row>
    <row r="255" spans="1:14" x14ac:dyDescent="0.25">
      <c r="A255" s="6" t="s">
        <v>263</v>
      </c>
      <c r="B255" s="6" t="s">
        <v>3058</v>
      </c>
      <c r="C255" s="6" t="s">
        <v>3059</v>
      </c>
      <c r="D255" s="6">
        <v>50</v>
      </c>
      <c r="E255" s="5">
        <f t="shared" si="18"/>
        <v>50000</v>
      </c>
      <c r="F255" s="5">
        <f t="shared" si="19"/>
        <v>4250</v>
      </c>
      <c r="G255" s="5">
        <f t="shared" si="20"/>
        <v>11.643835616438356</v>
      </c>
      <c r="H255" s="5">
        <f t="shared" si="21"/>
        <v>2130.821917808219</v>
      </c>
      <c r="I255" s="5">
        <f t="shared" si="22"/>
        <v>127.84931506849314</v>
      </c>
      <c r="J255" s="5">
        <f t="shared" si="23"/>
        <v>2002.972602739726</v>
      </c>
      <c r="K255" s="1"/>
      <c r="L255" s="6" t="s">
        <v>1871</v>
      </c>
      <c r="M255" s="6" t="s">
        <v>2433</v>
      </c>
      <c r="N255" s="6" t="s">
        <v>3065</v>
      </c>
    </row>
    <row r="256" spans="1:14" x14ac:dyDescent="0.25">
      <c r="A256" s="6" t="s">
        <v>264</v>
      </c>
      <c r="B256" s="6" t="s">
        <v>3066</v>
      </c>
      <c r="C256" s="6" t="s">
        <v>3067</v>
      </c>
      <c r="D256" s="6">
        <v>100</v>
      </c>
      <c r="E256" s="5">
        <f t="shared" si="18"/>
        <v>100000</v>
      </c>
      <c r="F256" s="5">
        <f t="shared" si="19"/>
        <v>8500</v>
      </c>
      <c r="G256" s="5">
        <f t="shared" si="20"/>
        <v>23.287671232876711</v>
      </c>
      <c r="H256" s="5">
        <f t="shared" si="21"/>
        <v>4261.6438356164381</v>
      </c>
      <c r="I256" s="5">
        <f t="shared" si="22"/>
        <v>255.69863013698628</v>
      </c>
      <c r="J256" s="5">
        <f t="shared" si="23"/>
        <v>4005.9452054794519</v>
      </c>
      <c r="K256" s="1"/>
      <c r="L256" s="6" t="s">
        <v>10</v>
      </c>
      <c r="M256" s="6" t="s">
        <v>3073</v>
      </c>
      <c r="N256" s="6" t="s">
        <v>3074</v>
      </c>
    </row>
    <row r="257" spans="1:14" x14ac:dyDescent="0.25">
      <c r="A257" s="6" t="s">
        <v>265</v>
      </c>
      <c r="B257" s="6" t="s">
        <v>3075</v>
      </c>
      <c r="C257" s="6" t="s">
        <v>3076</v>
      </c>
      <c r="D257" s="6">
        <v>25</v>
      </c>
      <c r="E257" s="5">
        <f t="shared" si="18"/>
        <v>25000</v>
      </c>
      <c r="F257" s="5">
        <f t="shared" si="19"/>
        <v>2125</v>
      </c>
      <c r="G257" s="5">
        <f t="shared" si="20"/>
        <v>5.8219178082191778</v>
      </c>
      <c r="H257" s="5">
        <f t="shared" si="21"/>
        <v>1065.4109589041095</v>
      </c>
      <c r="I257" s="5">
        <f t="shared" si="22"/>
        <v>63.92465753424657</v>
      </c>
      <c r="J257" s="5">
        <f t="shared" si="23"/>
        <v>1001.486301369863</v>
      </c>
      <c r="K257" s="1"/>
      <c r="L257" s="6" t="s">
        <v>909</v>
      </c>
      <c r="M257" s="6" t="s">
        <v>1237</v>
      </c>
      <c r="N257" s="6" t="s">
        <v>3081</v>
      </c>
    </row>
    <row r="258" spans="1:14" x14ac:dyDescent="0.25">
      <c r="A258" s="6" t="s">
        <v>266</v>
      </c>
      <c r="B258" s="6" t="s">
        <v>3082</v>
      </c>
      <c r="C258" s="6" t="s">
        <v>3083</v>
      </c>
      <c r="D258" s="6">
        <v>25</v>
      </c>
      <c r="E258" s="5">
        <f t="shared" si="18"/>
        <v>25000</v>
      </c>
      <c r="F258" s="5">
        <f t="shared" si="19"/>
        <v>2125</v>
      </c>
      <c r="G258" s="5">
        <f t="shared" si="20"/>
        <v>5.8219178082191778</v>
      </c>
      <c r="H258" s="5">
        <f t="shared" si="21"/>
        <v>1065.4109589041095</v>
      </c>
      <c r="I258" s="5">
        <f t="shared" si="22"/>
        <v>63.92465753424657</v>
      </c>
      <c r="J258" s="5">
        <f t="shared" si="23"/>
        <v>1001.486301369863</v>
      </c>
      <c r="K258" s="1"/>
      <c r="L258" s="6" t="s">
        <v>3089</v>
      </c>
      <c r="M258" s="6" t="s">
        <v>3090</v>
      </c>
      <c r="N258" s="6" t="s">
        <v>3091</v>
      </c>
    </row>
    <row r="259" spans="1:14" x14ac:dyDescent="0.25">
      <c r="A259" s="6" t="s">
        <v>267</v>
      </c>
      <c r="B259" s="6" t="s">
        <v>3092</v>
      </c>
      <c r="C259" s="6" t="s">
        <v>3093</v>
      </c>
      <c r="D259" s="6">
        <v>25</v>
      </c>
      <c r="E259" s="5">
        <f t="shared" si="18"/>
        <v>25000</v>
      </c>
      <c r="F259" s="5">
        <f t="shared" si="19"/>
        <v>2125</v>
      </c>
      <c r="G259" s="5">
        <f t="shared" si="20"/>
        <v>5.8219178082191778</v>
      </c>
      <c r="H259" s="5">
        <f t="shared" si="21"/>
        <v>1065.4109589041095</v>
      </c>
      <c r="I259" s="5">
        <f t="shared" si="22"/>
        <v>63.92465753424657</v>
      </c>
      <c r="J259" s="5">
        <f t="shared" si="23"/>
        <v>1001.486301369863</v>
      </c>
      <c r="K259" s="1"/>
      <c r="L259" s="6" t="s">
        <v>3098</v>
      </c>
      <c r="M259" s="6" t="s">
        <v>3099</v>
      </c>
      <c r="N259" s="6" t="s">
        <v>3100</v>
      </c>
    </row>
    <row r="260" spans="1:14" x14ac:dyDescent="0.25">
      <c r="A260" s="6" t="s">
        <v>268</v>
      </c>
      <c r="B260" s="6" t="s">
        <v>3101</v>
      </c>
      <c r="C260" s="6" t="s">
        <v>3102</v>
      </c>
      <c r="D260" s="6">
        <v>25</v>
      </c>
      <c r="E260" s="5">
        <f t="shared" si="18"/>
        <v>25000</v>
      </c>
      <c r="F260" s="5">
        <f t="shared" si="19"/>
        <v>2125</v>
      </c>
      <c r="G260" s="5">
        <f t="shared" si="20"/>
        <v>5.8219178082191778</v>
      </c>
      <c r="H260" s="5">
        <f t="shared" si="21"/>
        <v>1065.4109589041095</v>
      </c>
      <c r="I260" s="5">
        <f t="shared" si="22"/>
        <v>63.92465753424657</v>
      </c>
      <c r="J260" s="5">
        <f t="shared" si="23"/>
        <v>1001.486301369863</v>
      </c>
      <c r="K260" s="1"/>
      <c r="L260" s="6" t="s">
        <v>1478</v>
      </c>
      <c r="M260" s="6" t="s">
        <v>3108</v>
      </c>
      <c r="N260" s="6" t="s">
        <v>3109</v>
      </c>
    </row>
    <row r="261" spans="1:14" x14ac:dyDescent="0.25">
      <c r="A261" s="6" t="s">
        <v>269</v>
      </c>
      <c r="B261" s="6" t="s">
        <v>3110</v>
      </c>
      <c r="C261" s="6" t="s">
        <v>3111</v>
      </c>
      <c r="D261" s="6">
        <v>25</v>
      </c>
      <c r="E261" s="5">
        <f t="shared" si="18"/>
        <v>25000</v>
      </c>
      <c r="F261" s="5">
        <f t="shared" si="19"/>
        <v>2125</v>
      </c>
      <c r="G261" s="5">
        <f t="shared" si="20"/>
        <v>5.8219178082191778</v>
      </c>
      <c r="H261" s="5">
        <f t="shared" si="21"/>
        <v>1065.4109589041095</v>
      </c>
      <c r="I261" s="5">
        <f t="shared" si="22"/>
        <v>63.92465753424657</v>
      </c>
      <c r="J261" s="5">
        <f t="shared" si="23"/>
        <v>1001.486301369863</v>
      </c>
      <c r="K261" s="1"/>
      <c r="L261" s="6" t="s">
        <v>910</v>
      </c>
      <c r="M261" s="6" t="s">
        <v>981</v>
      </c>
      <c r="N261" s="6" t="s">
        <v>3117</v>
      </c>
    </row>
    <row r="262" spans="1:14" x14ac:dyDescent="0.25">
      <c r="A262" s="6" t="s">
        <v>270</v>
      </c>
      <c r="B262" s="6" t="s">
        <v>3118</v>
      </c>
      <c r="C262" s="6" t="s">
        <v>3119</v>
      </c>
      <c r="D262" s="6">
        <v>500</v>
      </c>
      <c r="E262" s="5">
        <f t="shared" si="18"/>
        <v>500000</v>
      </c>
      <c r="F262" s="5">
        <f t="shared" si="19"/>
        <v>42500</v>
      </c>
      <c r="G262" s="5">
        <f t="shared" si="20"/>
        <v>116.43835616438356</v>
      </c>
      <c r="H262" s="5">
        <f t="shared" si="21"/>
        <v>21308.219178082192</v>
      </c>
      <c r="I262" s="5">
        <f t="shared" si="22"/>
        <v>1278.4931506849314</v>
      </c>
      <c r="J262" s="5">
        <f t="shared" si="23"/>
        <v>20029.726027397261</v>
      </c>
      <c r="K262" s="1"/>
      <c r="L262" s="6" t="s">
        <v>914</v>
      </c>
      <c r="M262" s="6" t="s">
        <v>3126</v>
      </c>
      <c r="N262" s="6" t="s">
        <v>3127</v>
      </c>
    </row>
    <row r="263" spans="1:14" x14ac:dyDescent="0.25">
      <c r="A263" s="6" t="s">
        <v>271</v>
      </c>
      <c r="B263" s="6" t="s">
        <v>3128</v>
      </c>
      <c r="C263" s="6" t="s">
        <v>3129</v>
      </c>
      <c r="D263" s="6">
        <v>25</v>
      </c>
      <c r="E263" s="5">
        <f t="shared" si="18"/>
        <v>25000</v>
      </c>
      <c r="F263" s="5">
        <f t="shared" si="19"/>
        <v>2125</v>
      </c>
      <c r="G263" s="5">
        <f t="shared" si="20"/>
        <v>5.8219178082191778</v>
      </c>
      <c r="H263" s="5">
        <f t="shared" si="21"/>
        <v>1065.4109589041095</v>
      </c>
      <c r="I263" s="5">
        <f t="shared" si="22"/>
        <v>63.92465753424657</v>
      </c>
      <c r="J263" s="5">
        <f t="shared" si="23"/>
        <v>1001.486301369863</v>
      </c>
      <c r="K263" s="1"/>
      <c r="L263" s="6" t="s">
        <v>4</v>
      </c>
      <c r="M263" s="6" t="s">
        <v>924</v>
      </c>
      <c r="N263" s="6" t="s">
        <v>3134</v>
      </c>
    </row>
    <row r="264" spans="1:14" x14ac:dyDescent="0.25">
      <c r="A264" s="6" t="s">
        <v>272</v>
      </c>
      <c r="B264" s="6" t="s">
        <v>3135</v>
      </c>
      <c r="C264" s="6" t="s">
        <v>3136</v>
      </c>
      <c r="D264" s="6">
        <v>25</v>
      </c>
      <c r="E264" s="5">
        <f t="shared" ref="E264:E327" si="24">+D264*1000</f>
        <v>25000</v>
      </c>
      <c r="F264" s="5">
        <f t="shared" ref="F264:F327" si="25">+E264*8.5%</f>
        <v>2125</v>
      </c>
      <c r="G264" s="5">
        <f t="shared" ref="G264:G327" si="26">+F264/365</f>
        <v>5.8219178082191778</v>
      </c>
      <c r="H264" s="5">
        <f t="shared" ref="H264:H327" si="27">G264*$H$4</f>
        <v>1065.4109589041095</v>
      </c>
      <c r="I264" s="5">
        <f t="shared" ref="I264:I327" si="28">+H264*6%</f>
        <v>63.92465753424657</v>
      </c>
      <c r="J264" s="5">
        <f t="shared" ref="J264:J327" si="29">+H264-I264</f>
        <v>1001.486301369863</v>
      </c>
      <c r="K264" s="1"/>
      <c r="L264" s="6" t="s">
        <v>2</v>
      </c>
      <c r="M264" s="6" t="s">
        <v>3142</v>
      </c>
      <c r="N264" s="6" t="s">
        <v>3143</v>
      </c>
    </row>
    <row r="265" spans="1:14" x14ac:dyDescent="0.25">
      <c r="A265" s="6" t="s">
        <v>273</v>
      </c>
      <c r="B265" s="6" t="s">
        <v>3144</v>
      </c>
      <c r="C265" s="6" t="s">
        <v>3145</v>
      </c>
      <c r="D265" s="6">
        <v>50</v>
      </c>
      <c r="E265" s="5">
        <f t="shared" si="24"/>
        <v>50000</v>
      </c>
      <c r="F265" s="5">
        <f t="shared" si="25"/>
        <v>4250</v>
      </c>
      <c r="G265" s="5">
        <f t="shared" si="26"/>
        <v>11.643835616438356</v>
      </c>
      <c r="H265" s="5">
        <f t="shared" si="27"/>
        <v>2130.821917808219</v>
      </c>
      <c r="I265" s="5">
        <f t="shared" si="28"/>
        <v>127.84931506849314</v>
      </c>
      <c r="J265" s="5">
        <f t="shared" si="29"/>
        <v>2002.972602739726</v>
      </c>
      <c r="K265" s="1"/>
      <c r="L265" s="6" t="s">
        <v>13</v>
      </c>
      <c r="M265" s="6" t="s">
        <v>2874</v>
      </c>
      <c r="N265" s="6" t="s">
        <v>3151</v>
      </c>
    </row>
    <row r="266" spans="1:14" x14ac:dyDescent="0.25">
      <c r="A266" s="6" t="s">
        <v>274</v>
      </c>
      <c r="B266" s="6" t="s">
        <v>3152</v>
      </c>
      <c r="C266" s="6" t="s">
        <v>3153</v>
      </c>
      <c r="D266" s="6">
        <v>25</v>
      </c>
      <c r="E266" s="5">
        <f t="shared" si="24"/>
        <v>25000</v>
      </c>
      <c r="F266" s="5">
        <f t="shared" si="25"/>
        <v>2125</v>
      </c>
      <c r="G266" s="5">
        <f t="shared" si="26"/>
        <v>5.8219178082191778</v>
      </c>
      <c r="H266" s="5">
        <f t="shared" si="27"/>
        <v>1065.4109589041095</v>
      </c>
      <c r="I266" s="5">
        <f t="shared" si="28"/>
        <v>63.92465753424657</v>
      </c>
      <c r="J266" s="5">
        <f t="shared" si="29"/>
        <v>1001.486301369863</v>
      </c>
      <c r="K266" s="1"/>
      <c r="L266" s="6" t="s">
        <v>4</v>
      </c>
      <c r="M266" s="6" t="s">
        <v>3158</v>
      </c>
      <c r="N266" s="6" t="s">
        <v>3159</v>
      </c>
    </row>
    <row r="267" spans="1:14" x14ac:dyDescent="0.25">
      <c r="A267" s="6" t="s">
        <v>275</v>
      </c>
      <c r="B267" s="6" t="s">
        <v>3160</v>
      </c>
      <c r="C267" s="6" t="s">
        <v>3161</v>
      </c>
      <c r="D267" s="6">
        <v>100</v>
      </c>
      <c r="E267" s="5">
        <f t="shared" si="24"/>
        <v>100000</v>
      </c>
      <c r="F267" s="5">
        <f t="shared" si="25"/>
        <v>8500</v>
      </c>
      <c r="G267" s="5">
        <f t="shared" si="26"/>
        <v>23.287671232876711</v>
      </c>
      <c r="H267" s="5">
        <f t="shared" si="27"/>
        <v>4261.6438356164381</v>
      </c>
      <c r="I267" s="5">
        <f t="shared" si="28"/>
        <v>255.69863013698628</v>
      </c>
      <c r="J267" s="5">
        <f t="shared" si="29"/>
        <v>4005.9452054794519</v>
      </c>
      <c r="K267" s="1"/>
      <c r="L267" s="6" t="s">
        <v>971</v>
      </c>
      <c r="M267" s="6" t="s">
        <v>3167</v>
      </c>
      <c r="N267" s="6" t="s">
        <v>3168</v>
      </c>
    </row>
    <row r="268" spans="1:14" x14ac:dyDescent="0.25">
      <c r="A268" s="6" t="s">
        <v>276</v>
      </c>
      <c r="B268" s="6" t="s">
        <v>3169</v>
      </c>
      <c r="C268" s="6" t="s">
        <v>3170</v>
      </c>
      <c r="D268" s="6">
        <v>25</v>
      </c>
      <c r="E268" s="5">
        <f t="shared" si="24"/>
        <v>25000</v>
      </c>
      <c r="F268" s="5">
        <f t="shared" si="25"/>
        <v>2125</v>
      </c>
      <c r="G268" s="5">
        <f t="shared" si="26"/>
        <v>5.8219178082191778</v>
      </c>
      <c r="H268" s="5">
        <f t="shared" si="27"/>
        <v>1065.4109589041095</v>
      </c>
      <c r="I268" s="5">
        <f t="shared" si="28"/>
        <v>63.92465753424657</v>
      </c>
      <c r="J268" s="5">
        <f t="shared" si="29"/>
        <v>1001.486301369863</v>
      </c>
      <c r="K268" s="1"/>
      <c r="L268" s="6" t="s">
        <v>1871</v>
      </c>
      <c r="M268" s="6" t="s">
        <v>3175</v>
      </c>
      <c r="N268" s="6" t="s">
        <v>3176</v>
      </c>
    </row>
    <row r="269" spans="1:14" x14ac:dyDescent="0.25">
      <c r="A269" s="6" t="s">
        <v>277</v>
      </c>
      <c r="B269" s="6" t="s">
        <v>3177</v>
      </c>
      <c r="C269" s="6" t="s">
        <v>3178</v>
      </c>
      <c r="D269" s="6">
        <v>35</v>
      </c>
      <c r="E269" s="5">
        <f t="shared" si="24"/>
        <v>35000</v>
      </c>
      <c r="F269" s="5">
        <f t="shared" si="25"/>
        <v>2975</v>
      </c>
      <c r="G269" s="5">
        <f t="shared" si="26"/>
        <v>8.1506849315068486</v>
      </c>
      <c r="H269" s="5">
        <f t="shared" si="27"/>
        <v>1491.5753424657532</v>
      </c>
      <c r="I269" s="5">
        <f t="shared" si="28"/>
        <v>89.494520547945186</v>
      </c>
      <c r="J269" s="5">
        <f t="shared" si="29"/>
        <v>1402.080821917808</v>
      </c>
      <c r="K269" s="1"/>
      <c r="L269" s="6" t="s">
        <v>909</v>
      </c>
      <c r="M269" s="6" t="s">
        <v>1237</v>
      </c>
      <c r="N269" s="6" t="s">
        <v>3184</v>
      </c>
    </row>
    <row r="270" spans="1:14" x14ac:dyDescent="0.25">
      <c r="A270" s="6" t="s">
        <v>278</v>
      </c>
      <c r="B270" s="6" t="s">
        <v>3185</v>
      </c>
      <c r="C270" s="6" t="s">
        <v>2812</v>
      </c>
      <c r="D270" s="6">
        <v>25</v>
      </c>
      <c r="E270" s="5">
        <f t="shared" si="24"/>
        <v>25000</v>
      </c>
      <c r="F270" s="5">
        <f t="shared" si="25"/>
        <v>2125</v>
      </c>
      <c r="G270" s="5">
        <f t="shared" si="26"/>
        <v>5.8219178082191778</v>
      </c>
      <c r="H270" s="5">
        <f t="shared" si="27"/>
        <v>1065.4109589041095</v>
      </c>
      <c r="I270" s="5">
        <f t="shared" si="28"/>
        <v>63.92465753424657</v>
      </c>
      <c r="J270" s="5">
        <f t="shared" si="29"/>
        <v>1001.486301369863</v>
      </c>
      <c r="K270" s="1"/>
      <c r="L270" s="6" t="s">
        <v>2</v>
      </c>
      <c r="M270" s="6" t="s">
        <v>1882</v>
      </c>
      <c r="N270" s="6" t="s">
        <v>3190</v>
      </c>
    </row>
    <row r="271" spans="1:14" x14ac:dyDescent="0.25">
      <c r="A271" s="6" t="s">
        <v>279</v>
      </c>
      <c r="B271" s="6" t="s">
        <v>3191</v>
      </c>
      <c r="C271" s="6" t="s">
        <v>3192</v>
      </c>
      <c r="D271" s="6">
        <v>25</v>
      </c>
      <c r="E271" s="5">
        <f t="shared" si="24"/>
        <v>25000</v>
      </c>
      <c r="F271" s="5">
        <f t="shared" si="25"/>
        <v>2125</v>
      </c>
      <c r="G271" s="5">
        <f t="shared" si="26"/>
        <v>5.8219178082191778</v>
      </c>
      <c r="H271" s="5">
        <f t="shared" si="27"/>
        <v>1065.4109589041095</v>
      </c>
      <c r="I271" s="5">
        <f t="shared" si="28"/>
        <v>63.92465753424657</v>
      </c>
      <c r="J271" s="5">
        <f t="shared" si="29"/>
        <v>1001.486301369863</v>
      </c>
      <c r="K271" s="1"/>
      <c r="L271" s="6" t="s">
        <v>8</v>
      </c>
      <c r="M271" s="6" t="s">
        <v>1177</v>
      </c>
      <c r="N271" s="6" t="s">
        <v>3198</v>
      </c>
    </row>
    <row r="272" spans="1:14" x14ac:dyDescent="0.25">
      <c r="A272" s="6" t="s">
        <v>280</v>
      </c>
      <c r="B272" s="6" t="s">
        <v>3199</v>
      </c>
      <c r="C272" s="6" t="s">
        <v>3200</v>
      </c>
      <c r="D272" s="6">
        <v>25</v>
      </c>
      <c r="E272" s="5">
        <f t="shared" si="24"/>
        <v>25000</v>
      </c>
      <c r="F272" s="5">
        <f t="shared" si="25"/>
        <v>2125</v>
      </c>
      <c r="G272" s="5">
        <f t="shared" si="26"/>
        <v>5.8219178082191778</v>
      </c>
      <c r="H272" s="5">
        <f t="shared" si="27"/>
        <v>1065.4109589041095</v>
      </c>
      <c r="I272" s="5">
        <f t="shared" si="28"/>
        <v>63.92465753424657</v>
      </c>
      <c r="J272" s="5">
        <f t="shared" si="29"/>
        <v>1001.486301369863</v>
      </c>
      <c r="K272" s="1"/>
      <c r="L272" s="6" t="s">
        <v>914</v>
      </c>
      <c r="M272" s="6" t="s">
        <v>3126</v>
      </c>
      <c r="N272" s="6" t="s">
        <v>3205</v>
      </c>
    </row>
    <row r="273" spans="1:14" x14ac:dyDescent="0.25">
      <c r="A273" s="6" t="s">
        <v>281</v>
      </c>
      <c r="B273" s="6" t="s">
        <v>3206</v>
      </c>
      <c r="C273" s="6" t="s">
        <v>3207</v>
      </c>
      <c r="D273" s="6">
        <v>25</v>
      </c>
      <c r="E273" s="5">
        <f t="shared" si="24"/>
        <v>25000</v>
      </c>
      <c r="F273" s="5">
        <f t="shared" si="25"/>
        <v>2125</v>
      </c>
      <c r="G273" s="5">
        <f t="shared" si="26"/>
        <v>5.8219178082191778</v>
      </c>
      <c r="H273" s="5">
        <f t="shared" si="27"/>
        <v>1065.4109589041095</v>
      </c>
      <c r="I273" s="5">
        <f t="shared" si="28"/>
        <v>63.92465753424657</v>
      </c>
      <c r="J273" s="5">
        <f t="shared" si="29"/>
        <v>1001.486301369863</v>
      </c>
      <c r="K273" s="1"/>
      <c r="L273" s="6" t="s">
        <v>1218</v>
      </c>
      <c r="M273" s="6" t="s">
        <v>1355</v>
      </c>
      <c r="N273" s="6" t="s">
        <v>3212</v>
      </c>
    </row>
    <row r="274" spans="1:14" x14ac:dyDescent="0.25">
      <c r="A274" s="6" t="s">
        <v>282</v>
      </c>
      <c r="B274" s="6" t="s">
        <v>3213</v>
      </c>
      <c r="C274" s="6" t="s">
        <v>3214</v>
      </c>
      <c r="D274" s="6">
        <v>25</v>
      </c>
      <c r="E274" s="5">
        <f t="shared" si="24"/>
        <v>25000</v>
      </c>
      <c r="F274" s="5">
        <f t="shared" si="25"/>
        <v>2125</v>
      </c>
      <c r="G274" s="5">
        <f t="shared" si="26"/>
        <v>5.8219178082191778</v>
      </c>
      <c r="H274" s="5">
        <f t="shared" si="27"/>
        <v>1065.4109589041095</v>
      </c>
      <c r="I274" s="5">
        <f t="shared" si="28"/>
        <v>63.92465753424657</v>
      </c>
      <c r="J274" s="5">
        <f t="shared" si="29"/>
        <v>1001.486301369863</v>
      </c>
      <c r="K274" s="1"/>
      <c r="L274" s="6" t="s">
        <v>971</v>
      </c>
      <c r="M274" s="6" t="s">
        <v>972</v>
      </c>
      <c r="N274" s="6" t="s">
        <v>3219</v>
      </c>
    </row>
    <row r="275" spans="1:14" x14ac:dyDescent="0.25">
      <c r="A275" s="6" t="s">
        <v>283</v>
      </c>
      <c r="B275" s="6" t="s">
        <v>3220</v>
      </c>
      <c r="C275" s="6" t="s">
        <v>3221</v>
      </c>
      <c r="D275" s="6">
        <v>30</v>
      </c>
      <c r="E275" s="5">
        <f t="shared" si="24"/>
        <v>30000</v>
      </c>
      <c r="F275" s="5">
        <f t="shared" si="25"/>
        <v>2550</v>
      </c>
      <c r="G275" s="5">
        <f t="shared" si="26"/>
        <v>6.9863013698630141</v>
      </c>
      <c r="H275" s="5">
        <f t="shared" si="27"/>
        <v>1278.4931506849316</v>
      </c>
      <c r="I275" s="5">
        <f t="shared" si="28"/>
        <v>76.709589041095896</v>
      </c>
      <c r="J275" s="5">
        <f t="shared" si="29"/>
        <v>1201.7835616438358</v>
      </c>
      <c r="K275" s="1"/>
      <c r="L275" s="6" t="s">
        <v>909</v>
      </c>
      <c r="M275" s="6" t="s">
        <v>2192</v>
      </c>
      <c r="N275" s="6" t="s">
        <v>3227</v>
      </c>
    </row>
    <row r="276" spans="1:14" x14ac:dyDescent="0.25">
      <c r="A276" s="6" t="s">
        <v>284</v>
      </c>
      <c r="B276" s="6" t="s">
        <v>3228</v>
      </c>
      <c r="C276" s="6" t="s">
        <v>3229</v>
      </c>
      <c r="D276" s="6">
        <v>900</v>
      </c>
      <c r="E276" s="5">
        <f t="shared" si="24"/>
        <v>900000</v>
      </c>
      <c r="F276" s="5">
        <f t="shared" si="25"/>
        <v>76500</v>
      </c>
      <c r="G276" s="5">
        <f t="shared" si="26"/>
        <v>209.58904109589042</v>
      </c>
      <c r="H276" s="5">
        <f t="shared" si="27"/>
        <v>38354.794520547948</v>
      </c>
      <c r="I276" s="5">
        <f t="shared" si="28"/>
        <v>2301.2876712328766</v>
      </c>
      <c r="J276" s="5">
        <f t="shared" si="29"/>
        <v>36053.506849315068</v>
      </c>
      <c r="K276" s="1"/>
      <c r="L276" s="6" t="s">
        <v>8</v>
      </c>
      <c r="M276" s="6" t="s">
        <v>1177</v>
      </c>
      <c r="N276" s="6" t="s">
        <v>3234</v>
      </c>
    </row>
    <row r="277" spans="1:14" x14ac:dyDescent="0.25">
      <c r="A277" s="6" t="s">
        <v>285</v>
      </c>
      <c r="B277" s="6" t="s">
        <v>3235</v>
      </c>
      <c r="C277" s="6" t="s">
        <v>3236</v>
      </c>
      <c r="D277" s="6">
        <v>50</v>
      </c>
      <c r="E277" s="5">
        <f t="shared" si="24"/>
        <v>50000</v>
      </c>
      <c r="F277" s="5">
        <f t="shared" si="25"/>
        <v>4250</v>
      </c>
      <c r="G277" s="5">
        <f t="shared" si="26"/>
        <v>11.643835616438356</v>
      </c>
      <c r="H277" s="5">
        <f t="shared" si="27"/>
        <v>2130.821917808219</v>
      </c>
      <c r="I277" s="5">
        <f t="shared" si="28"/>
        <v>127.84931506849314</v>
      </c>
      <c r="J277" s="5">
        <f t="shared" si="29"/>
        <v>2002.972602739726</v>
      </c>
      <c r="K277" s="1"/>
      <c r="L277" s="6" t="s">
        <v>1637</v>
      </c>
      <c r="M277" s="6" t="s">
        <v>3241</v>
      </c>
      <c r="N277" s="6" t="s">
        <v>3242</v>
      </c>
    </row>
    <row r="278" spans="1:14" x14ac:dyDescent="0.25">
      <c r="A278" s="6" t="s">
        <v>286</v>
      </c>
      <c r="B278" s="6" t="s">
        <v>3243</v>
      </c>
      <c r="C278" s="6" t="s">
        <v>3244</v>
      </c>
      <c r="D278" s="6">
        <v>25</v>
      </c>
      <c r="E278" s="5">
        <f t="shared" si="24"/>
        <v>25000</v>
      </c>
      <c r="F278" s="5">
        <f t="shared" si="25"/>
        <v>2125</v>
      </c>
      <c r="G278" s="5">
        <f t="shared" si="26"/>
        <v>5.8219178082191778</v>
      </c>
      <c r="H278" s="5">
        <f t="shared" si="27"/>
        <v>1065.4109589041095</v>
      </c>
      <c r="I278" s="5">
        <f t="shared" si="28"/>
        <v>63.92465753424657</v>
      </c>
      <c r="J278" s="5">
        <f t="shared" si="29"/>
        <v>1001.486301369863</v>
      </c>
      <c r="K278" s="1"/>
      <c r="L278" s="6" t="s">
        <v>1089</v>
      </c>
      <c r="M278" s="6" t="s">
        <v>1319</v>
      </c>
      <c r="N278" s="6" t="s">
        <v>3249</v>
      </c>
    </row>
    <row r="279" spans="1:14" x14ac:dyDescent="0.25">
      <c r="A279" s="6" t="s">
        <v>287</v>
      </c>
      <c r="B279" s="6" t="s">
        <v>3250</v>
      </c>
      <c r="C279" s="6" t="s">
        <v>3251</v>
      </c>
      <c r="D279" s="6">
        <v>25</v>
      </c>
      <c r="E279" s="5">
        <f t="shared" si="24"/>
        <v>25000</v>
      </c>
      <c r="F279" s="5">
        <f t="shared" si="25"/>
        <v>2125</v>
      </c>
      <c r="G279" s="5">
        <f t="shared" si="26"/>
        <v>5.8219178082191778</v>
      </c>
      <c r="H279" s="5">
        <f t="shared" si="27"/>
        <v>1065.4109589041095</v>
      </c>
      <c r="I279" s="5">
        <f t="shared" si="28"/>
        <v>63.92465753424657</v>
      </c>
      <c r="J279" s="5">
        <f t="shared" si="29"/>
        <v>1001.486301369863</v>
      </c>
      <c r="K279" s="1"/>
      <c r="L279" s="6" t="s">
        <v>3257</v>
      </c>
      <c r="M279" s="6" t="s">
        <v>3258</v>
      </c>
      <c r="N279" s="6" t="s">
        <v>3259</v>
      </c>
    </row>
    <row r="280" spans="1:14" x14ac:dyDescent="0.25">
      <c r="A280" s="6" t="s">
        <v>288</v>
      </c>
      <c r="B280" s="6" t="s">
        <v>3260</v>
      </c>
      <c r="C280" s="6" t="s">
        <v>3261</v>
      </c>
      <c r="D280" s="6">
        <v>25</v>
      </c>
      <c r="E280" s="5">
        <f t="shared" si="24"/>
        <v>25000</v>
      </c>
      <c r="F280" s="5">
        <f t="shared" si="25"/>
        <v>2125</v>
      </c>
      <c r="G280" s="5">
        <f t="shared" si="26"/>
        <v>5.8219178082191778</v>
      </c>
      <c r="H280" s="5">
        <f t="shared" si="27"/>
        <v>1065.4109589041095</v>
      </c>
      <c r="I280" s="5">
        <f t="shared" si="28"/>
        <v>63.92465753424657</v>
      </c>
      <c r="J280" s="5">
        <f t="shared" si="29"/>
        <v>1001.486301369863</v>
      </c>
      <c r="K280" s="1"/>
      <c r="L280" s="6" t="s">
        <v>910</v>
      </c>
      <c r="M280" s="6" t="s">
        <v>981</v>
      </c>
      <c r="N280" s="6" t="s">
        <v>3267</v>
      </c>
    </row>
    <row r="281" spans="1:14" x14ac:dyDescent="0.25">
      <c r="A281" s="6" t="s">
        <v>289</v>
      </c>
      <c r="B281" s="6" t="s">
        <v>3268</v>
      </c>
      <c r="C281" s="6" t="s">
        <v>3269</v>
      </c>
      <c r="D281" s="6">
        <v>100</v>
      </c>
      <c r="E281" s="5">
        <f t="shared" si="24"/>
        <v>100000</v>
      </c>
      <c r="F281" s="5">
        <f t="shared" si="25"/>
        <v>8500</v>
      </c>
      <c r="G281" s="5">
        <f t="shared" si="26"/>
        <v>23.287671232876711</v>
      </c>
      <c r="H281" s="5">
        <f t="shared" si="27"/>
        <v>4261.6438356164381</v>
      </c>
      <c r="I281" s="5">
        <f t="shared" si="28"/>
        <v>255.69863013698628</v>
      </c>
      <c r="J281" s="5">
        <f t="shared" si="29"/>
        <v>4005.9452054794519</v>
      </c>
      <c r="K281" s="1"/>
      <c r="L281" s="6" t="s">
        <v>1637</v>
      </c>
      <c r="M281" s="6" t="s">
        <v>2316</v>
      </c>
      <c r="N281" s="6" t="s">
        <v>3275</v>
      </c>
    </row>
    <row r="282" spans="1:14" x14ac:dyDescent="0.25">
      <c r="A282" s="6" t="s">
        <v>290</v>
      </c>
      <c r="B282" s="6" t="s">
        <v>3276</v>
      </c>
      <c r="C282" s="6" t="s">
        <v>3277</v>
      </c>
      <c r="D282" s="6">
        <v>25</v>
      </c>
      <c r="E282" s="5">
        <f t="shared" si="24"/>
        <v>25000</v>
      </c>
      <c r="F282" s="5">
        <f t="shared" si="25"/>
        <v>2125</v>
      </c>
      <c r="G282" s="5">
        <f t="shared" si="26"/>
        <v>5.8219178082191778</v>
      </c>
      <c r="H282" s="5">
        <f t="shared" si="27"/>
        <v>1065.4109589041095</v>
      </c>
      <c r="I282" s="5">
        <f t="shared" si="28"/>
        <v>63.92465753424657</v>
      </c>
      <c r="J282" s="5">
        <f t="shared" si="29"/>
        <v>1001.486301369863</v>
      </c>
      <c r="K282" s="1"/>
      <c r="L282" s="6" t="s">
        <v>1468</v>
      </c>
      <c r="M282" s="6" t="s">
        <v>3282</v>
      </c>
      <c r="N282" s="6" t="s">
        <v>3283</v>
      </c>
    </row>
    <row r="283" spans="1:14" x14ac:dyDescent="0.25">
      <c r="A283" s="6" t="s">
        <v>291</v>
      </c>
      <c r="B283" s="6" t="s">
        <v>3284</v>
      </c>
      <c r="C283" s="6" t="s">
        <v>3285</v>
      </c>
      <c r="D283" s="6">
        <v>25</v>
      </c>
      <c r="E283" s="5">
        <f t="shared" si="24"/>
        <v>25000</v>
      </c>
      <c r="F283" s="5">
        <f t="shared" si="25"/>
        <v>2125</v>
      </c>
      <c r="G283" s="5">
        <f t="shared" si="26"/>
        <v>5.8219178082191778</v>
      </c>
      <c r="H283" s="5">
        <f t="shared" si="27"/>
        <v>1065.4109589041095</v>
      </c>
      <c r="I283" s="5">
        <f t="shared" si="28"/>
        <v>63.92465753424657</v>
      </c>
      <c r="J283" s="5">
        <f t="shared" si="29"/>
        <v>1001.486301369863</v>
      </c>
      <c r="K283" s="1"/>
      <c r="L283" s="6" t="s">
        <v>4</v>
      </c>
      <c r="M283" s="6" t="s">
        <v>924</v>
      </c>
      <c r="N283" s="6" t="s">
        <v>3291</v>
      </c>
    </row>
    <row r="284" spans="1:14" x14ac:dyDescent="0.25">
      <c r="A284" s="6" t="s">
        <v>292</v>
      </c>
      <c r="B284" s="6" t="s">
        <v>3292</v>
      </c>
      <c r="C284" s="6" t="s">
        <v>3293</v>
      </c>
      <c r="D284" s="6">
        <v>50</v>
      </c>
      <c r="E284" s="5">
        <f t="shared" si="24"/>
        <v>50000</v>
      </c>
      <c r="F284" s="5">
        <f t="shared" si="25"/>
        <v>4250</v>
      </c>
      <c r="G284" s="5">
        <f t="shared" si="26"/>
        <v>11.643835616438356</v>
      </c>
      <c r="H284" s="5">
        <f t="shared" si="27"/>
        <v>2130.821917808219</v>
      </c>
      <c r="I284" s="5">
        <f t="shared" si="28"/>
        <v>127.84931506849314</v>
      </c>
      <c r="J284" s="5">
        <f t="shared" si="29"/>
        <v>2002.972602739726</v>
      </c>
      <c r="K284" s="1"/>
      <c r="L284" s="6" t="s">
        <v>1478</v>
      </c>
      <c r="M284" s="6" t="s">
        <v>3298</v>
      </c>
      <c r="N284" s="6" t="s">
        <v>3299</v>
      </c>
    </row>
    <row r="285" spans="1:14" x14ac:dyDescent="0.25">
      <c r="A285" s="6" t="s">
        <v>293</v>
      </c>
      <c r="B285" s="6" t="s">
        <v>3300</v>
      </c>
      <c r="C285" s="6" t="s">
        <v>3301</v>
      </c>
      <c r="D285" s="6">
        <v>60</v>
      </c>
      <c r="E285" s="5">
        <f t="shared" si="24"/>
        <v>60000</v>
      </c>
      <c r="F285" s="5">
        <f t="shared" si="25"/>
        <v>5100</v>
      </c>
      <c r="G285" s="5">
        <f t="shared" si="26"/>
        <v>13.972602739726028</v>
      </c>
      <c r="H285" s="5">
        <f t="shared" si="27"/>
        <v>2556.9863013698632</v>
      </c>
      <c r="I285" s="5">
        <f t="shared" si="28"/>
        <v>153.41917808219179</v>
      </c>
      <c r="J285" s="5">
        <f t="shared" si="29"/>
        <v>2403.5671232876716</v>
      </c>
      <c r="K285" s="1"/>
      <c r="L285" s="6" t="s">
        <v>909</v>
      </c>
      <c r="M285" s="6" t="s">
        <v>1237</v>
      </c>
      <c r="N285" s="6" t="s">
        <v>3306</v>
      </c>
    </row>
    <row r="286" spans="1:14" x14ac:dyDescent="0.25">
      <c r="A286" s="6" t="s">
        <v>294</v>
      </c>
      <c r="B286" s="6" t="s">
        <v>3307</v>
      </c>
      <c r="C286" s="6" t="s">
        <v>1612</v>
      </c>
      <c r="D286" s="6">
        <v>25</v>
      </c>
      <c r="E286" s="5">
        <f t="shared" si="24"/>
        <v>25000</v>
      </c>
      <c r="F286" s="5">
        <f t="shared" si="25"/>
        <v>2125</v>
      </c>
      <c r="G286" s="5">
        <f t="shared" si="26"/>
        <v>5.8219178082191778</v>
      </c>
      <c r="H286" s="5">
        <f t="shared" si="27"/>
        <v>1065.4109589041095</v>
      </c>
      <c r="I286" s="5">
        <f t="shared" si="28"/>
        <v>63.92465753424657</v>
      </c>
      <c r="J286" s="5">
        <f t="shared" si="29"/>
        <v>1001.486301369863</v>
      </c>
      <c r="K286" s="1"/>
      <c r="L286" s="6" t="s">
        <v>910</v>
      </c>
      <c r="M286" s="6" t="s">
        <v>981</v>
      </c>
      <c r="N286" s="6" t="s">
        <v>3311</v>
      </c>
    </row>
    <row r="287" spans="1:14" x14ac:dyDescent="0.25">
      <c r="A287" s="6" t="s">
        <v>295</v>
      </c>
      <c r="B287" s="6" t="s">
        <v>3312</v>
      </c>
      <c r="C287" s="6" t="s">
        <v>3313</v>
      </c>
      <c r="D287" s="6">
        <v>25</v>
      </c>
      <c r="E287" s="5">
        <f t="shared" si="24"/>
        <v>25000</v>
      </c>
      <c r="F287" s="5">
        <f t="shared" si="25"/>
        <v>2125</v>
      </c>
      <c r="G287" s="5">
        <f t="shared" si="26"/>
        <v>5.8219178082191778</v>
      </c>
      <c r="H287" s="5">
        <f t="shared" si="27"/>
        <v>1065.4109589041095</v>
      </c>
      <c r="I287" s="5">
        <f t="shared" si="28"/>
        <v>63.92465753424657</v>
      </c>
      <c r="J287" s="5">
        <f t="shared" si="29"/>
        <v>1001.486301369863</v>
      </c>
      <c r="K287" s="1"/>
      <c r="L287" s="6" t="s">
        <v>1478</v>
      </c>
      <c r="M287" s="6" t="s">
        <v>3319</v>
      </c>
      <c r="N287" s="6" t="s">
        <v>3320</v>
      </c>
    </row>
    <row r="288" spans="1:14" x14ac:dyDescent="0.25">
      <c r="A288" s="6" t="s">
        <v>296</v>
      </c>
      <c r="B288" s="6" t="s">
        <v>3321</v>
      </c>
      <c r="C288" s="6" t="s">
        <v>3322</v>
      </c>
      <c r="D288" s="6">
        <v>1000</v>
      </c>
      <c r="E288" s="5">
        <f t="shared" si="24"/>
        <v>1000000</v>
      </c>
      <c r="F288" s="5">
        <f t="shared" si="25"/>
        <v>85000</v>
      </c>
      <c r="G288" s="5">
        <f t="shared" si="26"/>
        <v>232.87671232876713</v>
      </c>
      <c r="H288" s="5">
        <f t="shared" si="27"/>
        <v>42616.438356164384</v>
      </c>
      <c r="I288" s="5">
        <f t="shared" si="28"/>
        <v>2556.9863013698628</v>
      </c>
      <c r="J288" s="5">
        <f t="shared" si="29"/>
        <v>40059.452054794521</v>
      </c>
      <c r="K288" s="1"/>
      <c r="L288" s="6" t="s">
        <v>910</v>
      </c>
      <c r="M288" s="6" t="s">
        <v>981</v>
      </c>
      <c r="N288" s="6" t="s">
        <v>3327</v>
      </c>
    </row>
    <row r="289" spans="1:14" x14ac:dyDescent="0.25">
      <c r="A289" s="6" t="s">
        <v>297</v>
      </c>
      <c r="B289" s="6" t="s">
        <v>3328</v>
      </c>
      <c r="C289" s="6" t="s">
        <v>3329</v>
      </c>
      <c r="D289" s="6">
        <v>260</v>
      </c>
      <c r="E289" s="5">
        <f t="shared" si="24"/>
        <v>260000</v>
      </c>
      <c r="F289" s="5">
        <f t="shared" si="25"/>
        <v>22100</v>
      </c>
      <c r="G289" s="5">
        <f t="shared" si="26"/>
        <v>60.547945205479451</v>
      </c>
      <c r="H289" s="5">
        <f t="shared" si="27"/>
        <v>11080.273972602739</v>
      </c>
      <c r="I289" s="5">
        <f t="shared" si="28"/>
        <v>664.81643835616433</v>
      </c>
      <c r="J289" s="5">
        <f t="shared" si="29"/>
        <v>10415.457534246576</v>
      </c>
      <c r="K289" s="1"/>
      <c r="L289" s="6" t="s">
        <v>1</v>
      </c>
      <c r="M289" s="6" t="s">
        <v>3334</v>
      </c>
      <c r="N289" s="6" t="s">
        <v>3335</v>
      </c>
    </row>
    <row r="290" spans="1:14" x14ac:dyDescent="0.25">
      <c r="A290" s="6" t="s">
        <v>298</v>
      </c>
      <c r="B290" s="6" t="s">
        <v>3336</v>
      </c>
      <c r="C290" s="6" t="s">
        <v>3337</v>
      </c>
      <c r="D290" s="6">
        <v>25</v>
      </c>
      <c r="E290" s="5">
        <f t="shared" si="24"/>
        <v>25000</v>
      </c>
      <c r="F290" s="5">
        <f t="shared" si="25"/>
        <v>2125</v>
      </c>
      <c r="G290" s="5">
        <f t="shared" si="26"/>
        <v>5.8219178082191778</v>
      </c>
      <c r="H290" s="5">
        <f t="shared" si="27"/>
        <v>1065.4109589041095</v>
      </c>
      <c r="I290" s="5">
        <f t="shared" si="28"/>
        <v>63.92465753424657</v>
      </c>
      <c r="J290" s="5">
        <f t="shared" si="29"/>
        <v>1001.486301369863</v>
      </c>
      <c r="K290" s="1"/>
      <c r="L290" s="6" t="s">
        <v>1089</v>
      </c>
      <c r="M290" s="6" t="s">
        <v>3342</v>
      </c>
      <c r="N290" s="6" t="s">
        <v>3343</v>
      </c>
    </row>
    <row r="291" spans="1:14" x14ac:dyDescent="0.25">
      <c r="A291" s="6" t="s">
        <v>299</v>
      </c>
      <c r="B291" s="6" t="s">
        <v>3344</v>
      </c>
      <c r="C291" s="6" t="s">
        <v>3345</v>
      </c>
      <c r="D291" s="6">
        <v>55</v>
      </c>
      <c r="E291" s="5">
        <f t="shared" si="24"/>
        <v>55000</v>
      </c>
      <c r="F291" s="5">
        <f t="shared" si="25"/>
        <v>4675</v>
      </c>
      <c r="G291" s="5">
        <f t="shared" si="26"/>
        <v>12.808219178082192</v>
      </c>
      <c r="H291" s="5">
        <f t="shared" si="27"/>
        <v>2343.9041095890411</v>
      </c>
      <c r="I291" s="5">
        <f t="shared" si="28"/>
        <v>140.63424657534247</v>
      </c>
      <c r="J291" s="5">
        <f t="shared" si="29"/>
        <v>2203.2698630136988</v>
      </c>
      <c r="K291" s="1"/>
      <c r="L291" s="6" t="s">
        <v>910</v>
      </c>
      <c r="M291" s="6" t="s">
        <v>2895</v>
      </c>
      <c r="N291" s="6" t="s">
        <v>3350</v>
      </c>
    </row>
    <row r="292" spans="1:14" x14ac:dyDescent="0.25">
      <c r="A292" s="6" t="s">
        <v>300</v>
      </c>
      <c r="B292" s="6" t="s">
        <v>3351</v>
      </c>
      <c r="C292" s="6" t="s">
        <v>3352</v>
      </c>
      <c r="D292" s="6">
        <v>250</v>
      </c>
      <c r="E292" s="5">
        <f t="shared" si="24"/>
        <v>250000</v>
      </c>
      <c r="F292" s="5">
        <f t="shared" si="25"/>
        <v>21250</v>
      </c>
      <c r="G292" s="5">
        <f t="shared" si="26"/>
        <v>58.219178082191782</v>
      </c>
      <c r="H292" s="5">
        <f t="shared" si="27"/>
        <v>10654.109589041096</v>
      </c>
      <c r="I292" s="5">
        <f t="shared" si="28"/>
        <v>639.24657534246569</v>
      </c>
      <c r="J292" s="5">
        <f t="shared" si="29"/>
        <v>10014.86301369863</v>
      </c>
      <c r="K292" s="1"/>
      <c r="L292" s="6" t="s">
        <v>8</v>
      </c>
      <c r="M292" s="6" t="s">
        <v>3359</v>
      </c>
      <c r="N292" s="6" t="s">
        <v>3360</v>
      </c>
    </row>
    <row r="293" spans="1:14" x14ac:dyDescent="0.25">
      <c r="A293" s="6" t="s">
        <v>301</v>
      </c>
      <c r="B293" s="6" t="s">
        <v>3361</v>
      </c>
      <c r="C293" s="6" t="s">
        <v>3362</v>
      </c>
      <c r="D293" s="6">
        <v>30</v>
      </c>
      <c r="E293" s="5">
        <f t="shared" si="24"/>
        <v>30000</v>
      </c>
      <c r="F293" s="5">
        <f t="shared" si="25"/>
        <v>2550</v>
      </c>
      <c r="G293" s="5">
        <f t="shared" si="26"/>
        <v>6.9863013698630141</v>
      </c>
      <c r="H293" s="5">
        <f t="shared" si="27"/>
        <v>1278.4931506849316</v>
      </c>
      <c r="I293" s="5">
        <f t="shared" si="28"/>
        <v>76.709589041095896</v>
      </c>
      <c r="J293" s="5">
        <f t="shared" si="29"/>
        <v>1201.7835616438358</v>
      </c>
      <c r="K293" s="1"/>
      <c r="L293" s="6" t="s">
        <v>915</v>
      </c>
      <c r="M293" s="6" t="s">
        <v>926</v>
      </c>
      <c r="N293" s="6" t="s">
        <v>3366</v>
      </c>
    </row>
    <row r="294" spans="1:14" x14ac:dyDescent="0.25">
      <c r="A294" s="6" t="s">
        <v>302</v>
      </c>
      <c r="B294" s="6" t="s">
        <v>3367</v>
      </c>
      <c r="C294" s="6" t="s">
        <v>3368</v>
      </c>
      <c r="D294" s="6">
        <v>25</v>
      </c>
      <c r="E294" s="5">
        <f t="shared" si="24"/>
        <v>25000</v>
      </c>
      <c r="F294" s="5">
        <f t="shared" si="25"/>
        <v>2125</v>
      </c>
      <c r="G294" s="5">
        <f t="shared" si="26"/>
        <v>5.8219178082191778</v>
      </c>
      <c r="H294" s="5">
        <f t="shared" si="27"/>
        <v>1065.4109589041095</v>
      </c>
      <c r="I294" s="5">
        <f t="shared" si="28"/>
        <v>63.92465753424657</v>
      </c>
      <c r="J294" s="5">
        <f t="shared" si="29"/>
        <v>1001.486301369863</v>
      </c>
      <c r="K294" s="1"/>
      <c r="L294" s="6" t="s">
        <v>1089</v>
      </c>
      <c r="M294" s="6" t="s">
        <v>1090</v>
      </c>
      <c r="N294" s="6" t="s">
        <v>3373</v>
      </c>
    </row>
    <row r="295" spans="1:14" x14ac:dyDescent="0.25">
      <c r="A295" s="6" t="s">
        <v>303</v>
      </c>
      <c r="B295" s="6" t="s">
        <v>3374</v>
      </c>
      <c r="C295" s="6" t="s">
        <v>3375</v>
      </c>
      <c r="D295" s="6">
        <v>100</v>
      </c>
      <c r="E295" s="5">
        <f t="shared" si="24"/>
        <v>100000</v>
      </c>
      <c r="F295" s="5">
        <f t="shared" si="25"/>
        <v>8500</v>
      </c>
      <c r="G295" s="5">
        <f t="shared" si="26"/>
        <v>23.287671232876711</v>
      </c>
      <c r="H295" s="5">
        <f t="shared" si="27"/>
        <v>4261.6438356164381</v>
      </c>
      <c r="I295" s="5">
        <f t="shared" si="28"/>
        <v>255.69863013698628</v>
      </c>
      <c r="J295" s="5">
        <f t="shared" si="29"/>
        <v>4005.9452054794519</v>
      </c>
      <c r="K295" s="1"/>
      <c r="L295" s="6" t="s">
        <v>4</v>
      </c>
      <c r="M295" s="6" t="s">
        <v>924</v>
      </c>
      <c r="N295" s="6" t="s">
        <v>3380</v>
      </c>
    </row>
    <row r="296" spans="1:14" x14ac:dyDescent="0.25">
      <c r="A296" s="6" t="s">
        <v>304</v>
      </c>
      <c r="B296" s="6" t="s">
        <v>3381</v>
      </c>
      <c r="C296" s="6" t="s">
        <v>3382</v>
      </c>
      <c r="D296" s="6">
        <v>100</v>
      </c>
      <c r="E296" s="5">
        <f t="shared" si="24"/>
        <v>100000</v>
      </c>
      <c r="F296" s="5">
        <f t="shared" si="25"/>
        <v>8500</v>
      </c>
      <c r="G296" s="5">
        <f t="shared" si="26"/>
        <v>23.287671232876711</v>
      </c>
      <c r="H296" s="5">
        <f t="shared" si="27"/>
        <v>4261.6438356164381</v>
      </c>
      <c r="I296" s="5">
        <f t="shared" si="28"/>
        <v>255.69863013698628</v>
      </c>
      <c r="J296" s="5">
        <f t="shared" si="29"/>
        <v>4005.9452054794519</v>
      </c>
      <c r="K296" s="1"/>
      <c r="L296" s="6" t="s">
        <v>4</v>
      </c>
      <c r="M296" s="6" t="s">
        <v>3389</v>
      </c>
      <c r="N296" s="6" t="s">
        <v>3390</v>
      </c>
    </row>
    <row r="297" spans="1:14" x14ac:dyDescent="0.25">
      <c r="A297" s="6" t="s">
        <v>305</v>
      </c>
      <c r="B297" s="6" t="s">
        <v>3391</v>
      </c>
      <c r="C297" s="6" t="s">
        <v>3392</v>
      </c>
      <c r="D297" s="6">
        <v>25</v>
      </c>
      <c r="E297" s="5">
        <f t="shared" si="24"/>
        <v>25000</v>
      </c>
      <c r="F297" s="5">
        <f t="shared" si="25"/>
        <v>2125</v>
      </c>
      <c r="G297" s="5">
        <f t="shared" si="26"/>
        <v>5.8219178082191778</v>
      </c>
      <c r="H297" s="5">
        <f t="shared" si="27"/>
        <v>1065.4109589041095</v>
      </c>
      <c r="I297" s="5">
        <f t="shared" si="28"/>
        <v>63.92465753424657</v>
      </c>
      <c r="J297" s="5">
        <f t="shared" si="29"/>
        <v>1001.486301369863</v>
      </c>
      <c r="K297" s="1"/>
      <c r="L297" s="6" t="s">
        <v>910</v>
      </c>
      <c r="M297" s="6" t="s">
        <v>3397</v>
      </c>
      <c r="N297" s="6" t="s">
        <v>3398</v>
      </c>
    </row>
    <row r="298" spans="1:14" x14ac:dyDescent="0.25">
      <c r="A298" s="6" t="s">
        <v>306</v>
      </c>
      <c r="B298" s="6" t="s">
        <v>3399</v>
      </c>
      <c r="C298" s="6" t="s">
        <v>3400</v>
      </c>
      <c r="D298" s="6">
        <v>500</v>
      </c>
      <c r="E298" s="5">
        <f t="shared" si="24"/>
        <v>500000</v>
      </c>
      <c r="F298" s="5">
        <f t="shared" si="25"/>
        <v>42500</v>
      </c>
      <c r="G298" s="5">
        <f t="shared" si="26"/>
        <v>116.43835616438356</v>
      </c>
      <c r="H298" s="5">
        <f t="shared" si="27"/>
        <v>21308.219178082192</v>
      </c>
      <c r="I298" s="5">
        <f t="shared" si="28"/>
        <v>1278.4931506849314</v>
      </c>
      <c r="J298" s="5">
        <f t="shared" si="29"/>
        <v>20029.726027397261</v>
      </c>
      <c r="K298" s="1"/>
      <c r="L298" s="6" t="s">
        <v>1478</v>
      </c>
      <c r="M298" s="6" t="s">
        <v>3404</v>
      </c>
      <c r="N298" s="6" t="s">
        <v>3405</v>
      </c>
    </row>
    <row r="299" spans="1:14" x14ac:dyDescent="0.25">
      <c r="A299" s="6" t="s">
        <v>307</v>
      </c>
      <c r="B299" s="6" t="s">
        <v>3406</v>
      </c>
      <c r="C299" s="6" t="s">
        <v>3407</v>
      </c>
      <c r="D299" s="6">
        <v>100</v>
      </c>
      <c r="E299" s="5">
        <f t="shared" si="24"/>
        <v>100000</v>
      </c>
      <c r="F299" s="5">
        <f t="shared" si="25"/>
        <v>8500</v>
      </c>
      <c r="G299" s="5">
        <f t="shared" si="26"/>
        <v>23.287671232876711</v>
      </c>
      <c r="H299" s="5">
        <f t="shared" si="27"/>
        <v>4261.6438356164381</v>
      </c>
      <c r="I299" s="5">
        <f t="shared" si="28"/>
        <v>255.69863013698628</v>
      </c>
      <c r="J299" s="5">
        <f t="shared" si="29"/>
        <v>4005.9452054794519</v>
      </c>
      <c r="K299" s="1"/>
      <c r="L299" s="6" t="s">
        <v>4</v>
      </c>
      <c r="M299" s="6" t="s">
        <v>924</v>
      </c>
      <c r="N299" s="6" t="s">
        <v>3413</v>
      </c>
    </row>
    <row r="300" spans="1:14" x14ac:dyDescent="0.25">
      <c r="A300" s="6" t="s">
        <v>308</v>
      </c>
      <c r="B300" s="6" t="s">
        <v>3414</v>
      </c>
      <c r="C300" s="6" t="s">
        <v>3415</v>
      </c>
      <c r="D300" s="6">
        <v>100</v>
      </c>
      <c r="E300" s="5">
        <f t="shared" si="24"/>
        <v>100000</v>
      </c>
      <c r="F300" s="5">
        <f t="shared" si="25"/>
        <v>8500</v>
      </c>
      <c r="G300" s="5">
        <f t="shared" si="26"/>
        <v>23.287671232876711</v>
      </c>
      <c r="H300" s="5">
        <f t="shared" si="27"/>
        <v>4261.6438356164381</v>
      </c>
      <c r="I300" s="5">
        <f t="shared" si="28"/>
        <v>255.69863013698628</v>
      </c>
      <c r="J300" s="5">
        <f t="shared" si="29"/>
        <v>4005.9452054794519</v>
      </c>
      <c r="K300" s="1"/>
      <c r="L300" s="6" t="s">
        <v>8</v>
      </c>
      <c r="M300" s="6" t="s">
        <v>1129</v>
      </c>
      <c r="N300" s="6" t="s">
        <v>3420</v>
      </c>
    </row>
    <row r="301" spans="1:14" x14ac:dyDescent="0.25">
      <c r="A301" s="6" t="s">
        <v>309</v>
      </c>
      <c r="B301" s="6" t="s">
        <v>3421</v>
      </c>
      <c r="C301" s="6" t="s">
        <v>3422</v>
      </c>
      <c r="D301" s="6">
        <v>25</v>
      </c>
      <c r="E301" s="5">
        <f t="shared" si="24"/>
        <v>25000</v>
      </c>
      <c r="F301" s="5">
        <f t="shared" si="25"/>
        <v>2125</v>
      </c>
      <c r="G301" s="5">
        <f t="shared" si="26"/>
        <v>5.8219178082191778</v>
      </c>
      <c r="H301" s="5">
        <f t="shared" si="27"/>
        <v>1065.4109589041095</v>
      </c>
      <c r="I301" s="5">
        <f t="shared" si="28"/>
        <v>63.92465753424657</v>
      </c>
      <c r="J301" s="5">
        <f t="shared" si="29"/>
        <v>1001.486301369863</v>
      </c>
      <c r="K301" s="1"/>
      <c r="L301" s="6" t="s">
        <v>1218</v>
      </c>
      <c r="M301" s="6" t="s">
        <v>1355</v>
      </c>
      <c r="N301" s="6" t="s">
        <v>3427</v>
      </c>
    </row>
    <row r="302" spans="1:14" x14ac:dyDescent="0.25">
      <c r="A302" s="6" t="s">
        <v>310</v>
      </c>
      <c r="B302" s="6" t="s">
        <v>3428</v>
      </c>
      <c r="C302" s="6" t="s">
        <v>3429</v>
      </c>
      <c r="D302" s="6">
        <v>25</v>
      </c>
      <c r="E302" s="5">
        <f t="shared" si="24"/>
        <v>25000</v>
      </c>
      <c r="F302" s="5">
        <f t="shared" si="25"/>
        <v>2125</v>
      </c>
      <c r="G302" s="5">
        <f t="shared" si="26"/>
        <v>5.8219178082191778</v>
      </c>
      <c r="H302" s="5">
        <f t="shared" si="27"/>
        <v>1065.4109589041095</v>
      </c>
      <c r="I302" s="5">
        <f t="shared" si="28"/>
        <v>63.92465753424657</v>
      </c>
      <c r="J302" s="5">
        <f t="shared" si="29"/>
        <v>1001.486301369863</v>
      </c>
      <c r="K302" s="1"/>
      <c r="L302" s="6" t="s">
        <v>910</v>
      </c>
      <c r="M302" s="6" t="s">
        <v>3435</v>
      </c>
      <c r="N302" s="6" t="s">
        <v>3436</v>
      </c>
    </row>
    <row r="303" spans="1:14" x14ac:dyDescent="0.25">
      <c r="A303" s="6" t="s">
        <v>311</v>
      </c>
      <c r="B303" s="6" t="s">
        <v>3437</v>
      </c>
      <c r="C303" s="6" t="s">
        <v>3438</v>
      </c>
      <c r="D303" s="6">
        <v>50</v>
      </c>
      <c r="E303" s="5">
        <f t="shared" si="24"/>
        <v>50000</v>
      </c>
      <c r="F303" s="5">
        <f t="shared" si="25"/>
        <v>4250</v>
      </c>
      <c r="G303" s="5">
        <f t="shared" si="26"/>
        <v>11.643835616438356</v>
      </c>
      <c r="H303" s="5">
        <f t="shared" si="27"/>
        <v>2130.821917808219</v>
      </c>
      <c r="I303" s="5">
        <f t="shared" si="28"/>
        <v>127.84931506849314</v>
      </c>
      <c r="J303" s="5">
        <f t="shared" si="29"/>
        <v>2002.972602739726</v>
      </c>
      <c r="K303" s="1"/>
      <c r="L303" s="6" t="s">
        <v>915</v>
      </c>
      <c r="M303" s="6" t="s">
        <v>3444</v>
      </c>
      <c r="N303" s="6" t="s">
        <v>3445</v>
      </c>
    </row>
    <row r="304" spans="1:14" x14ac:dyDescent="0.25">
      <c r="A304" s="6" t="s">
        <v>312</v>
      </c>
      <c r="B304" s="6" t="s">
        <v>3446</v>
      </c>
      <c r="C304" s="6" t="s">
        <v>3006</v>
      </c>
      <c r="D304" s="6">
        <v>50</v>
      </c>
      <c r="E304" s="5">
        <f t="shared" si="24"/>
        <v>50000</v>
      </c>
      <c r="F304" s="5">
        <f t="shared" si="25"/>
        <v>4250</v>
      </c>
      <c r="G304" s="5">
        <f t="shared" si="26"/>
        <v>11.643835616438356</v>
      </c>
      <c r="H304" s="5">
        <f t="shared" si="27"/>
        <v>2130.821917808219</v>
      </c>
      <c r="I304" s="5">
        <f t="shared" si="28"/>
        <v>127.84931506849314</v>
      </c>
      <c r="J304" s="5">
        <f t="shared" si="29"/>
        <v>2002.972602739726</v>
      </c>
      <c r="K304" s="1"/>
      <c r="L304" s="6" t="s">
        <v>1478</v>
      </c>
      <c r="M304" s="6" t="s">
        <v>3010</v>
      </c>
      <c r="N304" s="6" t="s">
        <v>3452</v>
      </c>
    </row>
    <row r="305" spans="1:14" x14ac:dyDescent="0.25">
      <c r="A305" s="6" t="s">
        <v>313</v>
      </c>
      <c r="B305" s="6" t="s">
        <v>3453</v>
      </c>
      <c r="C305" s="6" t="s">
        <v>3454</v>
      </c>
      <c r="D305" s="6">
        <v>30</v>
      </c>
      <c r="E305" s="5">
        <f t="shared" si="24"/>
        <v>30000</v>
      </c>
      <c r="F305" s="5">
        <f t="shared" si="25"/>
        <v>2550</v>
      </c>
      <c r="G305" s="5">
        <f t="shared" si="26"/>
        <v>6.9863013698630141</v>
      </c>
      <c r="H305" s="5">
        <f t="shared" si="27"/>
        <v>1278.4931506849316</v>
      </c>
      <c r="I305" s="5">
        <f t="shared" si="28"/>
        <v>76.709589041095896</v>
      </c>
      <c r="J305" s="5">
        <f t="shared" si="29"/>
        <v>1201.7835616438358</v>
      </c>
      <c r="K305" s="1"/>
      <c r="L305" s="6" t="s">
        <v>1496</v>
      </c>
      <c r="M305" s="6" t="s">
        <v>2684</v>
      </c>
      <c r="N305" s="6" t="s">
        <v>3460</v>
      </c>
    </row>
    <row r="306" spans="1:14" x14ac:dyDescent="0.25">
      <c r="A306" s="6" t="s">
        <v>314</v>
      </c>
      <c r="B306" s="6" t="s">
        <v>3461</v>
      </c>
      <c r="C306" s="6" t="s">
        <v>3462</v>
      </c>
      <c r="D306" s="6">
        <v>25</v>
      </c>
      <c r="E306" s="5">
        <f t="shared" si="24"/>
        <v>25000</v>
      </c>
      <c r="F306" s="5">
        <f t="shared" si="25"/>
        <v>2125</v>
      </c>
      <c r="G306" s="5">
        <f t="shared" si="26"/>
        <v>5.8219178082191778</v>
      </c>
      <c r="H306" s="5">
        <f t="shared" si="27"/>
        <v>1065.4109589041095</v>
      </c>
      <c r="I306" s="5">
        <f t="shared" si="28"/>
        <v>63.92465753424657</v>
      </c>
      <c r="J306" s="5">
        <f t="shared" si="29"/>
        <v>1001.486301369863</v>
      </c>
      <c r="K306" s="1"/>
      <c r="L306" s="6" t="s">
        <v>3</v>
      </c>
      <c r="M306" s="6" t="s">
        <v>3467</v>
      </c>
      <c r="N306" s="6" t="s">
        <v>3468</v>
      </c>
    </row>
    <row r="307" spans="1:14" x14ac:dyDescent="0.25">
      <c r="A307" s="6" t="s">
        <v>3</v>
      </c>
      <c r="B307" s="6" t="s">
        <v>3469</v>
      </c>
      <c r="C307" s="6" t="s">
        <v>3470</v>
      </c>
      <c r="D307" s="6">
        <v>30</v>
      </c>
      <c r="E307" s="5">
        <f t="shared" si="24"/>
        <v>30000</v>
      </c>
      <c r="F307" s="5">
        <f t="shared" si="25"/>
        <v>2550</v>
      </c>
      <c r="G307" s="5">
        <f t="shared" si="26"/>
        <v>6.9863013698630141</v>
      </c>
      <c r="H307" s="5">
        <f t="shared" si="27"/>
        <v>1278.4931506849316</v>
      </c>
      <c r="I307" s="5">
        <f t="shared" si="28"/>
        <v>76.709589041095896</v>
      </c>
      <c r="J307" s="5">
        <f t="shared" si="29"/>
        <v>1201.7835616438358</v>
      </c>
      <c r="K307" s="1"/>
      <c r="L307" s="6" t="s">
        <v>1218</v>
      </c>
      <c r="M307" s="6" t="s">
        <v>3475</v>
      </c>
      <c r="N307" s="6" t="s">
        <v>3476</v>
      </c>
    </row>
    <row r="308" spans="1:14" x14ac:dyDescent="0.25">
      <c r="A308" s="6" t="s">
        <v>315</v>
      </c>
      <c r="B308" s="6" t="s">
        <v>3477</v>
      </c>
      <c r="C308" s="6" t="s">
        <v>3478</v>
      </c>
      <c r="D308" s="6">
        <v>25</v>
      </c>
      <c r="E308" s="5">
        <f t="shared" si="24"/>
        <v>25000</v>
      </c>
      <c r="F308" s="5">
        <f t="shared" si="25"/>
        <v>2125</v>
      </c>
      <c r="G308" s="5">
        <f t="shared" si="26"/>
        <v>5.8219178082191778</v>
      </c>
      <c r="H308" s="5">
        <f t="shared" si="27"/>
        <v>1065.4109589041095</v>
      </c>
      <c r="I308" s="5">
        <f t="shared" si="28"/>
        <v>63.92465753424657</v>
      </c>
      <c r="J308" s="5">
        <f t="shared" si="29"/>
        <v>1001.486301369863</v>
      </c>
      <c r="K308" s="1"/>
      <c r="L308" s="6" t="s">
        <v>4</v>
      </c>
      <c r="M308" s="6" t="s">
        <v>3484</v>
      </c>
      <c r="N308" s="6" t="s">
        <v>3485</v>
      </c>
    </row>
    <row r="309" spans="1:14" x14ac:dyDescent="0.25">
      <c r="A309" s="6" t="s">
        <v>316</v>
      </c>
      <c r="B309" s="6" t="s">
        <v>3486</v>
      </c>
      <c r="C309" s="6" t="s">
        <v>3487</v>
      </c>
      <c r="D309" s="6">
        <v>30</v>
      </c>
      <c r="E309" s="5">
        <f t="shared" si="24"/>
        <v>30000</v>
      </c>
      <c r="F309" s="5">
        <f t="shared" si="25"/>
        <v>2550</v>
      </c>
      <c r="G309" s="5">
        <f t="shared" si="26"/>
        <v>6.9863013698630141</v>
      </c>
      <c r="H309" s="5">
        <f t="shared" si="27"/>
        <v>1278.4931506849316</v>
      </c>
      <c r="I309" s="5">
        <f t="shared" si="28"/>
        <v>76.709589041095896</v>
      </c>
      <c r="J309" s="5">
        <f t="shared" si="29"/>
        <v>1201.7835616438358</v>
      </c>
      <c r="K309" s="1"/>
      <c r="L309" s="6" t="s">
        <v>919</v>
      </c>
      <c r="M309" s="6" t="s">
        <v>3493</v>
      </c>
      <c r="N309" s="6" t="s">
        <v>3494</v>
      </c>
    </row>
    <row r="310" spans="1:14" x14ac:dyDescent="0.25">
      <c r="A310" s="6" t="s">
        <v>317</v>
      </c>
      <c r="B310" s="6" t="s">
        <v>3495</v>
      </c>
      <c r="C310" s="6" t="s">
        <v>3496</v>
      </c>
      <c r="D310" s="6">
        <v>25</v>
      </c>
      <c r="E310" s="5">
        <f t="shared" si="24"/>
        <v>25000</v>
      </c>
      <c r="F310" s="5">
        <f t="shared" si="25"/>
        <v>2125</v>
      </c>
      <c r="G310" s="5">
        <f t="shared" si="26"/>
        <v>5.8219178082191778</v>
      </c>
      <c r="H310" s="5">
        <f t="shared" si="27"/>
        <v>1065.4109589041095</v>
      </c>
      <c r="I310" s="5">
        <f t="shared" si="28"/>
        <v>63.92465753424657</v>
      </c>
      <c r="J310" s="5">
        <f t="shared" si="29"/>
        <v>1001.486301369863</v>
      </c>
      <c r="K310" s="1"/>
      <c r="L310" s="6" t="s">
        <v>915</v>
      </c>
      <c r="M310" s="6" t="s">
        <v>926</v>
      </c>
      <c r="N310" s="6" t="s">
        <v>3501</v>
      </c>
    </row>
    <row r="311" spans="1:14" x14ac:dyDescent="0.25">
      <c r="A311" s="6" t="s">
        <v>318</v>
      </c>
      <c r="B311" s="6" t="s">
        <v>3502</v>
      </c>
      <c r="C311" s="6" t="s">
        <v>3503</v>
      </c>
      <c r="D311" s="6">
        <v>50</v>
      </c>
      <c r="E311" s="5">
        <f t="shared" si="24"/>
        <v>50000</v>
      </c>
      <c r="F311" s="5">
        <f t="shared" si="25"/>
        <v>4250</v>
      </c>
      <c r="G311" s="5">
        <f t="shared" si="26"/>
        <v>11.643835616438356</v>
      </c>
      <c r="H311" s="5">
        <f t="shared" si="27"/>
        <v>2130.821917808219</v>
      </c>
      <c r="I311" s="5">
        <f t="shared" si="28"/>
        <v>127.84931506849314</v>
      </c>
      <c r="J311" s="5">
        <f t="shared" si="29"/>
        <v>2002.972602739726</v>
      </c>
      <c r="K311" s="1"/>
      <c r="L311" s="6" t="s">
        <v>910</v>
      </c>
      <c r="M311" s="6" t="s">
        <v>3510</v>
      </c>
      <c r="N311" s="6" t="s">
        <v>3511</v>
      </c>
    </row>
    <row r="312" spans="1:14" x14ac:dyDescent="0.25">
      <c r="A312" s="6" t="s">
        <v>319</v>
      </c>
      <c r="B312" s="6" t="s">
        <v>3512</v>
      </c>
      <c r="C312" s="6" t="s">
        <v>3513</v>
      </c>
      <c r="D312" s="6">
        <v>40</v>
      </c>
      <c r="E312" s="5">
        <f t="shared" si="24"/>
        <v>40000</v>
      </c>
      <c r="F312" s="5">
        <f t="shared" si="25"/>
        <v>3400.0000000000005</v>
      </c>
      <c r="G312" s="5">
        <f t="shared" si="26"/>
        <v>9.3150684931506866</v>
      </c>
      <c r="H312" s="5">
        <f t="shared" si="27"/>
        <v>1704.6575342465756</v>
      </c>
      <c r="I312" s="5">
        <f t="shared" si="28"/>
        <v>102.27945205479453</v>
      </c>
      <c r="J312" s="5">
        <f t="shared" si="29"/>
        <v>1602.378082191781</v>
      </c>
      <c r="K312" s="1"/>
      <c r="L312" s="6" t="s">
        <v>1637</v>
      </c>
      <c r="M312" s="6" t="s">
        <v>2316</v>
      </c>
      <c r="N312" s="6" t="s">
        <v>3518</v>
      </c>
    </row>
    <row r="313" spans="1:14" x14ac:dyDescent="0.25">
      <c r="A313" s="6" t="s">
        <v>320</v>
      </c>
      <c r="B313" s="6" t="s">
        <v>3519</v>
      </c>
      <c r="C313" s="6" t="s">
        <v>3520</v>
      </c>
      <c r="D313" s="6">
        <v>400</v>
      </c>
      <c r="E313" s="5">
        <f t="shared" si="24"/>
        <v>400000</v>
      </c>
      <c r="F313" s="5">
        <f t="shared" si="25"/>
        <v>34000</v>
      </c>
      <c r="G313" s="5">
        <f t="shared" si="26"/>
        <v>93.150684931506845</v>
      </c>
      <c r="H313" s="5">
        <f t="shared" si="27"/>
        <v>17046.575342465752</v>
      </c>
      <c r="I313" s="5">
        <f t="shared" si="28"/>
        <v>1022.7945205479451</v>
      </c>
      <c r="J313" s="5">
        <f t="shared" si="29"/>
        <v>16023.780821917808</v>
      </c>
      <c r="K313" s="1"/>
      <c r="L313" s="6" t="s">
        <v>4</v>
      </c>
      <c r="M313" s="6" t="s">
        <v>3526</v>
      </c>
      <c r="N313" s="6" t="s">
        <v>3527</v>
      </c>
    </row>
    <row r="314" spans="1:14" x14ac:dyDescent="0.25">
      <c r="A314" s="6" t="s">
        <v>321</v>
      </c>
      <c r="B314" s="6" t="s">
        <v>3528</v>
      </c>
      <c r="C314" s="6" t="s">
        <v>3529</v>
      </c>
      <c r="D314" s="6">
        <v>25</v>
      </c>
      <c r="E314" s="5">
        <f t="shared" si="24"/>
        <v>25000</v>
      </c>
      <c r="F314" s="5">
        <f t="shared" si="25"/>
        <v>2125</v>
      </c>
      <c r="G314" s="5">
        <f t="shared" si="26"/>
        <v>5.8219178082191778</v>
      </c>
      <c r="H314" s="5">
        <f t="shared" si="27"/>
        <v>1065.4109589041095</v>
      </c>
      <c r="I314" s="5">
        <f t="shared" si="28"/>
        <v>63.92465753424657</v>
      </c>
      <c r="J314" s="5">
        <f t="shared" si="29"/>
        <v>1001.486301369863</v>
      </c>
      <c r="K314" s="1"/>
      <c r="L314" s="6" t="s">
        <v>909</v>
      </c>
      <c r="M314" s="6" t="s">
        <v>3534</v>
      </c>
      <c r="N314" s="6" t="s">
        <v>3535</v>
      </c>
    </row>
    <row r="315" spans="1:14" x14ac:dyDescent="0.25">
      <c r="A315" s="6" t="s">
        <v>322</v>
      </c>
      <c r="B315" s="6" t="s">
        <v>3536</v>
      </c>
      <c r="C315" s="6" t="s">
        <v>3537</v>
      </c>
      <c r="D315" s="6">
        <v>25</v>
      </c>
      <c r="E315" s="5">
        <f t="shared" si="24"/>
        <v>25000</v>
      </c>
      <c r="F315" s="5">
        <f t="shared" si="25"/>
        <v>2125</v>
      </c>
      <c r="G315" s="5">
        <f t="shared" si="26"/>
        <v>5.8219178082191778</v>
      </c>
      <c r="H315" s="5">
        <f t="shared" si="27"/>
        <v>1065.4109589041095</v>
      </c>
      <c r="I315" s="5">
        <f t="shared" si="28"/>
        <v>63.92465753424657</v>
      </c>
      <c r="J315" s="5">
        <f t="shared" si="29"/>
        <v>1001.486301369863</v>
      </c>
      <c r="K315" s="1"/>
      <c r="L315" s="6" t="s">
        <v>8</v>
      </c>
      <c r="M315" s="6" t="s">
        <v>2046</v>
      </c>
      <c r="N315" s="6" t="s">
        <v>3543</v>
      </c>
    </row>
    <row r="316" spans="1:14" x14ac:dyDescent="0.25">
      <c r="A316" s="6" t="s">
        <v>323</v>
      </c>
      <c r="B316" s="6" t="s">
        <v>3544</v>
      </c>
      <c r="C316" s="6" t="s">
        <v>3545</v>
      </c>
      <c r="D316" s="6">
        <v>25</v>
      </c>
      <c r="E316" s="5">
        <f t="shared" si="24"/>
        <v>25000</v>
      </c>
      <c r="F316" s="5">
        <f t="shared" si="25"/>
        <v>2125</v>
      </c>
      <c r="G316" s="5">
        <f t="shared" si="26"/>
        <v>5.8219178082191778</v>
      </c>
      <c r="H316" s="5">
        <f t="shared" si="27"/>
        <v>1065.4109589041095</v>
      </c>
      <c r="I316" s="5">
        <f t="shared" si="28"/>
        <v>63.92465753424657</v>
      </c>
      <c r="J316" s="5">
        <f t="shared" si="29"/>
        <v>1001.486301369863</v>
      </c>
      <c r="K316" s="1"/>
      <c r="L316" s="6" t="s">
        <v>915</v>
      </c>
      <c r="M316" s="6" t="s">
        <v>3551</v>
      </c>
      <c r="N316" s="6" t="s">
        <v>3552</v>
      </c>
    </row>
    <row r="317" spans="1:14" x14ac:dyDescent="0.25">
      <c r="A317" s="6" t="s">
        <v>324</v>
      </c>
      <c r="B317" s="6" t="s">
        <v>3553</v>
      </c>
      <c r="C317" s="6" t="s">
        <v>3554</v>
      </c>
      <c r="D317" s="6">
        <v>25</v>
      </c>
      <c r="E317" s="5">
        <f t="shared" si="24"/>
        <v>25000</v>
      </c>
      <c r="F317" s="5">
        <f t="shared" si="25"/>
        <v>2125</v>
      </c>
      <c r="G317" s="5">
        <f t="shared" si="26"/>
        <v>5.8219178082191778</v>
      </c>
      <c r="H317" s="5">
        <f t="shared" si="27"/>
        <v>1065.4109589041095</v>
      </c>
      <c r="I317" s="5">
        <f t="shared" si="28"/>
        <v>63.92465753424657</v>
      </c>
      <c r="J317" s="5">
        <f t="shared" si="29"/>
        <v>1001.486301369863</v>
      </c>
      <c r="K317" s="1"/>
      <c r="L317" s="6" t="s">
        <v>915</v>
      </c>
      <c r="M317" s="6" t="s">
        <v>926</v>
      </c>
      <c r="N317" s="6" t="s">
        <v>3559</v>
      </c>
    </row>
    <row r="318" spans="1:14" x14ac:dyDescent="0.25">
      <c r="A318" s="6" t="s">
        <v>325</v>
      </c>
      <c r="B318" s="6" t="s">
        <v>3560</v>
      </c>
      <c r="C318" s="6" t="s">
        <v>3561</v>
      </c>
      <c r="D318" s="6">
        <v>25</v>
      </c>
      <c r="E318" s="5">
        <f t="shared" si="24"/>
        <v>25000</v>
      </c>
      <c r="F318" s="5">
        <f t="shared" si="25"/>
        <v>2125</v>
      </c>
      <c r="G318" s="5">
        <f t="shared" si="26"/>
        <v>5.8219178082191778</v>
      </c>
      <c r="H318" s="5">
        <f t="shared" si="27"/>
        <v>1065.4109589041095</v>
      </c>
      <c r="I318" s="5">
        <f t="shared" si="28"/>
        <v>63.92465753424657</v>
      </c>
      <c r="J318" s="5">
        <f t="shared" si="29"/>
        <v>1001.486301369863</v>
      </c>
      <c r="K318" s="1"/>
      <c r="L318" s="6" t="s">
        <v>971</v>
      </c>
      <c r="M318" s="6" t="s">
        <v>972</v>
      </c>
      <c r="N318" s="6" t="s">
        <v>3566</v>
      </c>
    </row>
    <row r="319" spans="1:14" x14ac:dyDescent="0.25">
      <c r="A319" s="6" t="s">
        <v>326</v>
      </c>
      <c r="B319" s="6" t="s">
        <v>3567</v>
      </c>
      <c r="C319" s="6" t="s">
        <v>3568</v>
      </c>
      <c r="D319" s="6">
        <v>25</v>
      </c>
      <c r="E319" s="5">
        <f t="shared" si="24"/>
        <v>25000</v>
      </c>
      <c r="F319" s="5">
        <f t="shared" si="25"/>
        <v>2125</v>
      </c>
      <c r="G319" s="5">
        <f t="shared" si="26"/>
        <v>5.8219178082191778</v>
      </c>
      <c r="H319" s="5">
        <f t="shared" si="27"/>
        <v>1065.4109589041095</v>
      </c>
      <c r="I319" s="5">
        <f t="shared" si="28"/>
        <v>63.92465753424657</v>
      </c>
      <c r="J319" s="5">
        <f t="shared" si="29"/>
        <v>1001.486301369863</v>
      </c>
      <c r="K319" s="1"/>
      <c r="L319" s="6" t="s">
        <v>971</v>
      </c>
      <c r="M319" s="6" t="s">
        <v>972</v>
      </c>
      <c r="N319" s="6" t="s">
        <v>3573</v>
      </c>
    </row>
    <row r="320" spans="1:14" x14ac:dyDescent="0.25">
      <c r="A320" s="6" t="s">
        <v>327</v>
      </c>
      <c r="B320" s="6" t="s">
        <v>3574</v>
      </c>
      <c r="C320" s="6" t="s">
        <v>3575</v>
      </c>
      <c r="D320" s="6">
        <v>25</v>
      </c>
      <c r="E320" s="5">
        <f t="shared" si="24"/>
        <v>25000</v>
      </c>
      <c r="F320" s="5">
        <f t="shared" si="25"/>
        <v>2125</v>
      </c>
      <c r="G320" s="5">
        <f t="shared" si="26"/>
        <v>5.8219178082191778</v>
      </c>
      <c r="H320" s="5">
        <f t="shared" si="27"/>
        <v>1065.4109589041095</v>
      </c>
      <c r="I320" s="5">
        <f t="shared" si="28"/>
        <v>63.92465753424657</v>
      </c>
      <c r="J320" s="5">
        <f t="shared" si="29"/>
        <v>1001.486301369863</v>
      </c>
      <c r="K320" s="1"/>
      <c r="L320" s="6" t="s">
        <v>5</v>
      </c>
      <c r="M320" s="6" t="s">
        <v>3580</v>
      </c>
      <c r="N320" s="6" t="s">
        <v>3581</v>
      </c>
    </row>
    <row r="321" spans="1:14" x14ac:dyDescent="0.25">
      <c r="A321" s="6" t="s">
        <v>328</v>
      </c>
      <c r="B321" s="6" t="s">
        <v>3582</v>
      </c>
      <c r="C321" s="6" t="s">
        <v>3583</v>
      </c>
      <c r="D321" s="6">
        <v>33</v>
      </c>
      <c r="E321" s="5">
        <f t="shared" si="24"/>
        <v>33000</v>
      </c>
      <c r="F321" s="5">
        <f t="shared" si="25"/>
        <v>2805</v>
      </c>
      <c r="G321" s="5">
        <f t="shared" si="26"/>
        <v>7.6849315068493151</v>
      </c>
      <c r="H321" s="5">
        <f t="shared" si="27"/>
        <v>1406.3424657534247</v>
      </c>
      <c r="I321" s="5">
        <f t="shared" si="28"/>
        <v>84.380547945205478</v>
      </c>
      <c r="J321" s="5">
        <f t="shared" si="29"/>
        <v>1321.9619178082191</v>
      </c>
      <c r="K321" s="1"/>
      <c r="L321" s="6" t="s">
        <v>909</v>
      </c>
      <c r="M321" s="6" t="s">
        <v>1237</v>
      </c>
      <c r="N321" s="6" t="s">
        <v>3589</v>
      </c>
    </row>
    <row r="322" spans="1:14" x14ac:dyDescent="0.25">
      <c r="A322" s="6" t="s">
        <v>329</v>
      </c>
      <c r="B322" s="6" t="s">
        <v>3590</v>
      </c>
      <c r="C322" s="6" t="s">
        <v>3591</v>
      </c>
      <c r="D322" s="6">
        <v>25</v>
      </c>
      <c r="E322" s="5">
        <f t="shared" si="24"/>
        <v>25000</v>
      </c>
      <c r="F322" s="5">
        <f t="shared" si="25"/>
        <v>2125</v>
      </c>
      <c r="G322" s="5">
        <f t="shared" si="26"/>
        <v>5.8219178082191778</v>
      </c>
      <c r="H322" s="5">
        <f t="shared" si="27"/>
        <v>1065.4109589041095</v>
      </c>
      <c r="I322" s="5">
        <f t="shared" si="28"/>
        <v>63.92465753424657</v>
      </c>
      <c r="J322" s="5">
        <f t="shared" si="29"/>
        <v>1001.486301369863</v>
      </c>
      <c r="K322" s="1"/>
      <c r="L322" s="6" t="s">
        <v>4</v>
      </c>
      <c r="M322" s="6" t="s">
        <v>924</v>
      </c>
      <c r="N322" s="6" t="s">
        <v>3597</v>
      </c>
    </row>
    <row r="323" spans="1:14" x14ac:dyDescent="0.25">
      <c r="A323" s="6" t="s">
        <v>330</v>
      </c>
      <c r="B323" s="6" t="s">
        <v>3598</v>
      </c>
      <c r="C323" s="6" t="s">
        <v>3599</v>
      </c>
      <c r="D323" s="6">
        <v>25</v>
      </c>
      <c r="E323" s="5">
        <f t="shared" si="24"/>
        <v>25000</v>
      </c>
      <c r="F323" s="5">
        <f t="shared" si="25"/>
        <v>2125</v>
      </c>
      <c r="G323" s="5">
        <f t="shared" si="26"/>
        <v>5.8219178082191778</v>
      </c>
      <c r="H323" s="5">
        <f t="shared" si="27"/>
        <v>1065.4109589041095</v>
      </c>
      <c r="I323" s="5">
        <f t="shared" si="28"/>
        <v>63.92465753424657</v>
      </c>
      <c r="J323" s="5">
        <f t="shared" si="29"/>
        <v>1001.486301369863</v>
      </c>
      <c r="K323" s="1"/>
      <c r="L323" s="6" t="s">
        <v>1468</v>
      </c>
      <c r="M323" s="6" t="s">
        <v>3604</v>
      </c>
      <c r="N323" s="6" t="s">
        <v>3605</v>
      </c>
    </row>
    <row r="324" spans="1:14" x14ac:dyDescent="0.25">
      <c r="A324" s="6" t="s">
        <v>331</v>
      </c>
      <c r="B324" s="6" t="s">
        <v>3606</v>
      </c>
      <c r="C324" s="6" t="s">
        <v>3607</v>
      </c>
      <c r="D324" s="6">
        <v>25</v>
      </c>
      <c r="E324" s="5">
        <f t="shared" si="24"/>
        <v>25000</v>
      </c>
      <c r="F324" s="5">
        <f t="shared" si="25"/>
        <v>2125</v>
      </c>
      <c r="G324" s="5">
        <f t="shared" si="26"/>
        <v>5.8219178082191778</v>
      </c>
      <c r="H324" s="5">
        <f t="shared" si="27"/>
        <v>1065.4109589041095</v>
      </c>
      <c r="I324" s="5">
        <f t="shared" si="28"/>
        <v>63.92465753424657</v>
      </c>
      <c r="J324" s="5">
        <f t="shared" si="29"/>
        <v>1001.486301369863</v>
      </c>
      <c r="K324" s="1"/>
      <c r="L324" s="6" t="s">
        <v>910</v>
      </c>
      <c r="M324" s="6" t="s">
        <v>3613</v>
      </c>
      <c r="N324" s="6" t="s">
        <v>3614</v>
      </c>
    </row>
    <row r="325" spans="1:14" x14ac:dyDescent="0.25">
      <c r="A325" s="6" t="s">
        <v>332</v>
      </c>
      <c r="B325" s="6" t="s">
        <v>3615</v>
      </c>
      <c r="C325" s="6" t="s">
        <v>3616</v>
      </c>
      <c r="D325" s="6">
        <v>25</v>
      </c>
      <c r="E325" s="5">
        <f t="shared" si="24"/>
        <v>25000</v>
      </c>
      <c r="F325" s="5">
        <f t="shared" si="25"/>
        <v>2125</v>
      </c>
      <c r="G325" s="5">
        <f t="shared" si="26"/>
        <v>5.8219178082191778</v>
      </c>
      <c r="H325" s="5">
        <f t="shared" si="27"/>
        <v>1065.4109589041095</v>
      </c>
      <c r="I325" s="5">
        <f t="shared" si="28"/>
        <v>63.92465753424657</v>
      </c>
      <c r="J325" s="5">
        <f t="shared" si="29"/>
        <v>1001.486301369863</v>
      </c>
      <c r="K325" s="1"/>
      <c r="L325" s="6" t="s">
        <v>914</v>
      </c>
      <c r="M325" s="6" t="s">
        <v>1398</v>
      </c>
      <c r="N325" s="6" t="s">
        <v>3620</v>
      </c>
    </row>
    <row r="326" spans="1:14" x14ac:dyDescent="0.25">
      <c r="A326" s="6" t="s">
        <v>333</v>
      </c>
      <c r="B326" s="6" t="s">
        <v>3621</v>
      </c>
      <c r="C326" s="6" t="s">
        <v>3622</v>
      </c>
      <c r="D326" s="6">
        <v>25</v>
      </c>
      <c r="E326" s="5">
        <f t="shared" si="24"/>
        <v>25000</v>
      </c>
      <c r="F326" s="5">
        <f t="shared" si="25"/>
        <v>2125</v>
      </c>
      <c r="G326" s="5">
        <f t="shared" si="26"/>
        <v>5.8219178082191778</v>
      </c>
      <c r="H326" s="5">
        <f t="shared" si="27"/>
        <v>1065.4109589041095</v>
      </c>
      <c r="I326" s="5">
        <f t="shared" si="28"/>
        <v>63.92465753424657</v>
      </c>
      <c r="J326" s="5">
        <f t="shared" si="29"/>
        <v>1001.486301369863</v>
      </c>
      <c r="K326" s="1"/>
      <c r="L326" s="6" t="s">
        <v>1468</v>
      </c>
      <c r="M326" s="6" t="s">
        <v>3627</v>
      </c>
      <c r="N326" s="6" t="s">
        <v>3628</v>
      </c>
    </row>
    <row r="327" spans="1:14" x14ac:dyDescent="0.25">
      <c r="A327" s="6" t="s">
        <v>334</v>
      </c>
      <c r="B327" s="6" t="s">
        <v>3629</v>
      </c>
      <c r="C327" s="6" t="s">
        <v>3630</v>
      </c>
      <c r="D327" s="6">
        <v>25</v>
      </c>
      <c r="E327" s="5">
        <f t="shared" si="24"/>
        <v>25000</v>
      </c>
      <c r="F327" s="5">
        <f t="shared" si="25"/>
        <v>2125</v>
      </c>
      <c r="G327" s="5">
        <f t="shared" si="26"/>
        <v>5.8219178082191778</v>
      </c>
      <c r="H327" s="5">
        <f t="shared" si="27"/>
        <v>1065.4109589041095</v>
      </c>
      <c r="I327" s="5">
        <f t="shared" si="28"/>
        <v>63.92465753424657</v>
      </c>
      <c r="J327" s="5">
        <f t="shared" si="29"/>
        <v>1001.486301369863</v>
      </c>
      <c r="K327" s="1"/>
      <c r="L327" s="6" t="s">
        <v>1478</v>
      </c>
      <c r="M327" s="6" t="s">
        <v>3635</v>
      </c>
      <c r="N327" s="6" t="s">
        <v>3636</v>
      </c>
    </row>
    <row r="328" spans="1:14" x14ac:dyDescent="0.25">
      <c r="A328" s="6" t="s">
        <v>335</v>
      </c>
      <c r="B328" s="6" t="s">
        <v>3637</v>
      </c>
      <c r="C328" s="6" t="s">
        <v>3638</v>
      </c>
      <c r="D328" s="6">
        <v>25</v>
      </c>
      <c r="E328" s="5">
        <f t="shared" ref="E328:E391" si="30">+D328*1000</f>
        <v>25000</v>
      </c>
      <c r="F328" s="5">
        <f t="shared" ref="F328:F391" si="31">+E328*8.5%</f>
        <v>2125</v>
      </c>
      <c r="G328" s="5">
        <f t="shared" ref="G328:G391" si="32">+F328/365</f>
        <v>5.8219178082191778</v>
      </c>
      <c r="H328" s="5">
        <f t="shared" ref="H328:H391" si="33">G328*$H$4</f>
        <v>1065.4109589041095</v>
      </c>
      <c r="I328" s="5">
        <f t="shared" ref="I328:I391" si="34">+H328*6%</f>
        <v>63.92465753424657</v>
      </c>
      <c r="J328" s="5">
        <f t="shared" ref="J328:J391" si="35">+H328-I328</f>
        <v>1001.486301369863</v>
      </c>
      <c r="K328" s="1"/>
      <c r="L328" s="6" t="s">
        <v>13</v>
      </c>
      <c r="M328" s="6" t="s">
        <v>3643</v>
      </c>
      <c r="N328" s="6" t="s">
        <v>3644</v>
      </c>
    </row>
    <row r="329" spans="1:14" x14ac:dyDescent="0.25">
      <c r="A329" s="6" t="s">
        <v>336</v>
      </c>
      <c r="B329" s="6" t="s">
        <v>3645</v>
      </c>
      <c r="C329" s="6" t="s">
        <v>3646</v>
      </c>
      <c r="D329" s="6">
        <v>87</v>
      </c>
      <c r="E329" s="5">
        <f t="shared" si="30"/>
        <v>87000</v>
      </c>
      <c r="F329" s="5">
        <f t="shared" si="31"/>
        <v>7395.0000000000009</v>
      </c>
      <c r="G329" s="5">
        <f t="shared" si="32"/>
        <v>20.260273972602743</v>
      </c>
      <c r="H329" s="5">
        <f t="shared" si="33"/>
        <v>3707.6301369863017</v>
      </c>
      <c r="I329" s="5">
        <f t="shared" si="34"/>
        <v>222.4578082191781</v>
      </c>
      <c r="J329" s="5">
        <f t="shared" si="35"/>
        <v>3485.1723287671239</v>
      </c>
      <c r="K329" s="1"/>
      <c r="L329" s="6" t="s">
        <v>910</v>
      </c>
      <c r="M329" s="6" t="s">
        <v>3652</v>
      </c>
      <c r="N329" s="6" t="s">
        <v>3653</v>
      </c>
    </row>
    <row r="330" spans="1:14" x14ac:dyDescent="0.25">
      <c r="A330" s="6" t="s">
        <v>337</v>
      </c>
      <c r="B330" s="6" t="s">
        <v>3654</v>
      </c>
      <c r="C330" s="6" t="s">
        <v>2966</v>
      </c>
      <c r="D330" s="6">
        <v>25</v>
      </c>
      <c r="E330" s="5">
        <f t="shared" si="30"/>
        <v>25000</v>
      </c>
      <c r="F330" s="5">
        <f t="shared" si="31"/>
        <v>2125</v>
      </c>
      <c r="G330" s="5">
        <f t="shared" si="32"/>
        <v>5.8219178082191778</v>
      </c>
      <c r="H330" s="5">
        <f t="shared" si="33"/>
        <v>1065.4109589041095</v>
      </c>
      <c r="I330" s="5">
        <f t="shared" si="34"/>
        <v>63.92465753424657</v>
      </c>
      <c r="J330" s="5">
        <f t="shared" si="35"/>
        <v>1001.486301369863</v>
      </c>
      <c r="K330" s="1"/>
      <c r="L330" s="6" t="s">
        <v>8</v>
      </c>
      <c r="M330" s="6" t="s">
        <v>3659</v>
      </c>
      <c r="N330" s="6" t="s">
        <v>3660</v>
      </c>
    </row>
    <row r="331" spans="1:14" x14ac:dyDescent="0.25">
      <c r="A331" s="6" t="s">
        <v>338</v>
      </c>
      <c r="B331" s="6" t="s">
        <v>3661</v>
      </c>
      <c r="C331" s="6" t="s">
        <v>3662</v>
      </c>
      <c r="D331" s="6">
        <v>25</v>
      </c>
      <c r="E331" s="5">
        <f t="shared" si="30"/>
        <v>25000</v>
      </c>
      <c r="F331" s="5">
        <f t="shared" si="31"/>
        <v>2125</v>
      </c>
      <c r="G331" s="5">
        <f t="shared" si="32"/>
        <v>5.8219178082191778</v>
      </c>
      <c r="H331" s="5">
        <f t="shared" si="33"/>
        <v>1065.4109589041095</v>
      </c>
      <c r="I331" s="5">
        <f t="shared" si="34"/>
        <v>63.92465753424657</v>
      </c>
      <c r="J331" s="5">
        <f t="shared" si="35"/>
        <v>1001.486301369863</v>
      </c>
      <c r="K331" s="1"/>
      <c r="L331" s="6" t="s">
        <v>1310</v>
      </c>
      <c r="M331" s="6" t="s">
        <v>3668</v>
      </c>
      <c r="N331" s="6" t="s">
        <v>3669</v>
      </c>
    </row>
    <row r="332" spans="1:14" x14ac:dyDescent="0.25">
      <c r="A332" s="6" t="s">
        <v>339</v>
      </c>
      <c r="B332" s="6" t="s">
        <v>3670</v>
      </c>
      <c r="C332" s="6" t="s">
        <v>3671</v>
      </c>
      <c r="D332" s="6">
        <v>25</v>
      </c>
      <c r="E332" s="5">
        <f t="shared" si="30"/>
        <v>25000</v>
      </c>
      <c r="F332" s="5">
        <f t="shared" si="31"/>
        <v>2125</v>
      </c>
      <c r="G332" s="5">
        <f t="shared" si="32"/>
        <v>5.8219178082191778</v>
      </c>
      <c r="H332" s="5">
        <f t="shared" si="33"/>
        <v>1065.4109589041095</v>
      </c>
      <c r="I332" s="5">
        <f t="shared" si="34"/>
        <v>63.92465753424657</v>
      </c>
      <c r="J332" s="5">
        <f t="shared" si="35"/>
        <v>1001.486301369863</v>
      </c>
      <c r="K332" s="1"/>
      <c r="L332" s="6" t="s">
        <v>8</v>
      </c>
      <c r="M332" s="6" t="s">
        <v>3677</v>
      </c>
      <c r="N332" s="6" t="s">
        <v>3678</v>
      </c>
    </row>
    <row r="333" spans="1:14" x14ac:dyDescent="0.25">
      <c r="A333" s="6" t="s">
        <v>340</v>
      </c>
      <c r="B333" s="6" t="s">
        <v>3679</v>
      </c>
      <c r="C333" s="6" t="s">
        <v>3680</v>
      </c>
      <c r="D333" s="6">
        <v>25</v>
      </c>
      <c r="E333" s="5">
        <f t="shared" si="30"/>
        <v>25000</v>
      </c>
      <c r="F333" s="5">
        <f t="shared" si="31"/>
        <v>2125</v>
      </c>
      <c r="G333" s="5">
        <f t="shared" si="32"/>
        <v>5.8219178082191778</v>
      </c>
      <c r="H333" s="5">
        <f t="shared" si="33"/>
        <v>1065.4109589041095</v>
      </c>
      <c r="I333" s="5">
        <f t="shared" si="34"/>
        <v>63.92465753424657</v>
      </c>
      <c r="J333" s="5">
        <f t="shared" si="35"/>
        <v>1001.486301369863</v>
      </c>
      <c r="K333" s="1"/>
      <c r="L333" s="6" t="s">
        <v>1548</v>
      </c>
      <c r="M333" s="6" t="s">
        <v>1549</v>
      </c>
      <c r="N333" s="6" t="s">
        <v>3686</v>
      </c>
    </row>
    <row r="334" spans="1:14" x14ac:dyDescent="0.25">
      <c r="A334" s="6" t="s">
        <v>341</v>
      </c>
      <c r="B334" s="6" t="s">
        <v>3687</v>
      </c>
      <c r="C334" s="6" t="s">
        <v>3688</v>
      </c>
      <c r="D334" s="6">
        <v>25</v>
      </c>
      <c r="E334" s="5">
        <f t="shared" si="30"/>
        <v>25000</v>
      </c>
      <c r="F334" s="5">
        <f t="shared" si="31"/>
        <v>2125</v>
      </c>
      <c r="G334" s="5">
        <f t="shared" si="32"/>
        <v>5.8219178082191778</v>
      </c>
      <c r="H334" s="5">
        <f t="shared" si="33"/>
        <v>1065.4109589041095</v>
      </c>
      <c r="I334" s="5">
        <f t="shared" si="34"/>
        <v>63.92465753424657</v>
      </c>
      <c r="J334" s="5">
        <f t="shared" si="35"/>
        <v>1001.486301369863</v>
      </c>
      <c r="K334" s="1"/>
      <c r="L334" s="6" t="s">
        <v>919</v>
      </c>
      <c r="M334" s="6" t="s">
        <v>918</v>
      </c>
      <c r="N334" s="6" t="s">
        <v>3692</v>
      </c>
    </row>
    <row r="335" spans="1:14" x14ac:dyDescent="0.25">
      <c r="A335" s="6" t="s">
        <v>342</v>
      </c>
      <c r="B335" s="6" t="s">
        <v>3693</v>
      </c>
      <c r="C335" s="6" t="s">
        <v>3694</v>
      </c>
      <c r="D335" s="6">
        <v>25</v>
      </c>
      <c r="E335" s="5">
        <f t="shared" si="30"/>
        <v>25000</v>
      </c>
      <c r="F335" s="5">
        <f t="shared" si="31"/>
        <v>2125</v>
      </c>
      <c r="G335" s="5">
        <f t="shared" si="32"/>
        <v>5.8219178082191778</v>
      </c>
      <c r="H335" s="5">
        <f t="shared" si="33"/>
        <v>1065.4109589041095</v>
      </c>
      <c r="I335" s="5">
        <f t="shared" si="34"/>
        <v>63.92465753424657</v>
      </c>
      <c r="J335" s="5">
        <f t="shared" si="35"/>
        <v>1001.486301369863</v>
      </c>
      <c r="K335" s="1"/>
      <c r="L335" s="6" t="s">
        <v>909</v>
      </c>
      <c r="M335" s="6" t="s">
        <v>3701</v>
      </c>
      <c r="N335" s="6" t="s">
        <v>3702</v>
      </c>
    </row>
    <row r="336" spans="1:14" x14ac:dyDescent="0.25">
      <c r="A336" s="6" t="s">
        <v>343</v>
      </c>
      <c r="B336" s="6" t="s">
        <v>3703</v>
      </c>
      <c r="C336" s="6" t="s">
        <v>3704</v>
      </c>
      <c r="D336" s="6">
        <v>50</v>
      </c>
      <c r="E336" s="5">
        <f t="shared" si="30"/>
        <v>50000</v>
      </c>
      <c r="F336" s="5">
        <f t="shared" si="31"/>
        <v>4250</v>
      </c>
      <c r="G336" s="5">
        <f t="shared" si="32"/>
        <v>11.643835616438356</v>
      </c>
      <c r="H336" s="5">
        <f t="shared" si="33"/>
        <v>2130.821917808219</v>
      </c>
      <c r="I336" s="5">
        <f t="shared" si="34"/>
        <v>127.84931506849314</v>
      </c>
      <c r="J336" s="5">
        <f t="shared" si="35"/>
        <v>2002.972602739726</v>
      </c>
      <c r="K336" s="1"/>
      <c r="L336" s="6" t="s">
        <v>1</v>
      </c>
      <c r="M336" s="6" t="s">
        <v>3710</v>
      </c>
      <c r="N336" s="6" t="s">
        <v>3711</v>
      </c>
    </row>
    <row r="337" spans="1:14" x14ac:dyDescent="0.25">
      <c r="A337" s="6" t="s">
        <v>344</v>
      </c>
      <c r="B337" s="6" t="s">
        <v>3712</v>
      </c>
      <c r="C337" s="6" t="s">
        <v>3713</v>
      </c>
      <c r="D337" s="6">
        <v>25</v>
      </c>
      <c r="E337" s="5">
        <f t="shared" si="30"/>
        <v>25000</v>
      </c>
      <c r="F337" s="5">
        <f t="shared" si="31"/>
        <v>2125</v>
      </c>
      <c r="G337" s="5">
        <f t="shared" si="32"/>
        <v>5.8219178082191778</v>
      </c>
      <c r="H337" s="5">
        <f t="shared" si="33"/>
        <v>1065.4109589041095</v>
      </c>
      <c r="I337" s="5">
        <f t="shared" si="34"/>
        <v>63.92465753424657</v>
      </c>
      <c r="J337" s="5">
        <f t="shared" si="35"/>
        <v>1001.486301369863</v>
      </c>
      <c r="K337" s="1"/>
      <c r="L337" s="6" t="s">
        <v>1</v>
      </c>
      <c r="M337" s="6" t="s">
        <v>3718</v>
      </c>
      <c r="N337" s="6" t="s">
        <v>3719</v>
      </c>
    </row>
    <row r="338" spans="1:14" x14ac:dyDescent="0.25">
      <c r="A338" s="6" t="s">
        <v>345</v>
      </c>
      <c r="B338" s="6" t="s">
        <v>3720</v>
      </c>
      <c r="C338" s="6" t="s">
        <v>3721</v>
      </c>
      <c r="D338" s="6">
        <v>130</v>
      </c>
      <c r="E338" s="5">
        <f t="shared" si="30"/>
        <v>130000</v>
      </c>
      <c r="F338" s="5">
        <f t="shared" si="31"/>
        <v>11050</v>
      </c>
      <c r="G338" s="5">
        <f t="shared" si="32"/>
        <v>30.273972602739725</v>
      </c>
      <c r="H338" s="5">
        <f t="shared" si="33"/>
        <v>5540.1369863013697</v>
      </c>
      <c r="I338" s="5">
        <f t="shared" si="34"/>
        <v>332.40821917808216</v>
      </c>
      <c r="J338" s="5">
        <f t="shared" si="35"/>
        <v>5207.728767123288</v>
      </c>
      <c r="K338" s="1"/>
      <c r="L338" s="6" t="s">
        <v>915</v>
      </c>
      <c r="M338" s="6" t="s">
        <v>2424</v>
      </c>
      <c r="N338" s="6" t="s">
        <v>3726</v>
      </c>
    </row>
    <row r="339" spans="1:14" x14ac:dyDescent="0.25">
      <c r="A339" s="6" t="s">
        <v>346</v>
      </c>
      <c r="B339" s="6" t="s">
        <v>3727</v>
      </c>
      <c r="C339" s="6" t="s">
        <v>3728</v>
      </c>
      <c r="D339" s="6">
        <v>25</v>
      </c>
      <c r="E339" s="5">
        <f t="shared" si="30"/>
        <v>25000</v>
      </c>
      <c r="F339" s="5">
        <f t="shared" si="31"/>
        <v>2125</v>
      </c>
      <c r="G339" s="5">
        <f t="shared" si="32"/>
        <v>5.8219178082191778</v>
      </c>
      <c r="H339" s="5">
        <f t="shared" si="33"/>
        <v>1065.4109589041095</v>
      </c>
      <c r="I339" s="5">
        <f t="shared" si="34"/>
        <v>63.92465753424657</v>
      </c>
      <c r="J339" s="5">
        <f t="shared" si="35"/>
        <v>1001.486301369863</v>
      </c>
      <c r="K339" s="1"/>
      <c r="L339" s="6" t="s">
        <v>919</v>
      </c>
      <c r="M339" s="6" t="s">
        <v>3026</v>
      </c>
      <c r="N339" s="6" t="s">
        <v>3734</v>
      </c>
    </row>
    <row r="340" spans="1:14" x14ac:dyDescent="0.25">
      <c r="A340" s="6" t="s">
        <v>347</v>
      </c>
      <c r="B340" s="6" t="s">
        <v>3735</v>
      </c>
      <c r="C340" s="6" t="s">
        <v>3736</v>
      </c>
      <c r="D340" s="6">
        <v>25</v>
      </c>
      <c r="E340" s="5">
        <f t="shared" si="30"/>
        <v>25000</v>
      </c>
      <c r="F340" s="5">
        <f t="shared" si="31"/>
        <v>2125</v>
      </c>
      <c r="G340" s="5">
        <f t="shared" si="32"/>
        <v>5.8219178082191778</v>
      </c>
      <c r="H340" s="5">
        <f t="shared" si="33"/>
        <v>1065.4109589041095</v>
      </c>
      <c r="I340" s="5">
        <f t="shared" si="34"/>
        <v>63.92465753424657</v>
      </c>
      <c r="J340" s="5">
        <f t="shared" si="35"/>
        <v>1001.486301369863</v>
      </c>
      <c r="K340" s="1"/>
      <c r="L340" s="6" t="s">
        <v>10</v>
      </c>
      <c r="M340" s="6" t="s">
        <v>3743</v>
      </c>
      <c r="N340" s="6" t="s">
        <v>3744</v>
      </c>
    </row>
    <row r="341" spans="1:14" x14ac:dyDescent="0.25">
      <c r="A341" s="6" t="s">
        <v>348</v>
      </c>
      <c r="B341" s="6" t="s">
        <v>3745</v>
      </c>
      <c r="C341" s="6" t="s">
        <v>3746</v>
      </c>
      <c r="D341" s="6">
        <v>25</v>
      </c>
      <c r="E341" s="5">
        <f t="shared" si="30"/>
        <v>25000</v>
      </c>
      <c r="F341" s="5">
        <f t="shared" si="31"/>
        <v>2125</v>
      </c>
      <c r="G341" s="5">
        <f t="shared" si="32"/>
        <v>5.8219178082191778</v>
      </c>
      <c r="H341" s="5">
        <f t="shared" si="33"/>
        <v>1065.4109589041095</v>
      </c>
      <c r="I341" s="5">
        <f t="shared" si="34"/>
        <v>63.92465753424657</v>
      </c>
      <c r="J341" s="5">
        <f t="shared" si="35"/>
        <v>1001.486301369863</v>
      </c>
      <c r="K341" s="1"/>
      <c r="L341" s="6" t="s">
        <v>1548</v>
      </c>
      <c r="M341" s="6" t="s">
        <v>3753</v>
      </c>
      <c r="N341" s="6" t="s">
        <v>3754</v>
      </c>
    </row>
    <row r="342" spans="1:14" x14ac:dyDescent="0.25">
      <c r="A342" s="6" t="s">
        <v>349</v>
      </c>
      <c r="B342" s="6" t="s">
        <v>3755</v>
      </c>
      <c r="C342" s="6" t="s">
        <v>3756</v>
      </c>
      <c r="D342" s="6">
        <v>25</v>
      </c>
      <c r="E342" s="5">
        <f t="shared" si="30"/>
        <v>25000</v>
      </c>
      <c r="F342" s="5">
        <f t="shared" si="31"/>
        <v>2125</v>
      </c>
      <c r="G342" s="5">
        <f t="shared" si="32"/>
        <v>5.8219178082191778</v>
      </c>
      <c r="H342" s="5">
        <f t="shared" si="33"/>
        <v>1065.4109589041095</v>
      </c>
      <c r="I342" s="5">
        <f t="shared" si="34"/>
        <v>63.92465753424657</v>
      </c>
      <c r="J342" s="5">
        <f t="shared" si="35"/>
        <v>1001.486301369863</v>
      </c>
      <c r="K342" s="1"/>
      <c r="L342" s="6" t="s">
        <v>1637</v>
      </c>
      <c r="M342" s="6" t="s">
        <v>3761</v>
      </c>
      <c r="N342" s="6" t="s">
        <v>3762</v>
      </c>
    </row>
    <row r="343" spans="1:14" x14ac:dyDescent="0.25">
      <c r="A343" s="6" t="s">
        <v>350</v>
      </c>
      <c r="B343" s="6" t="s">
        <v>3763</v>
      </c>
      <c r="C343" s="6" t="s">
        <v>3764</v>
      </c>
      <c r="D343" s="6">
        <v>50</v>
      </c>
      <c r="E343" s="5">
        <f t="shared" si="30"/>
        <v>50000</v>
      </c>
      <c r="F343" s="5">
        <f t="shared" si="31"/>
        <v>4250</v>
      </c>
      <c r="G343" s="5">
        <f t="shared" si="32"/>
        <v>11.643835616438356</v>
      </c>
      <c r="H343" s="5">
        <f t="shared" si="33"/>
        <v>2130.821917808219</v>
      </c>
      <c r="I343" s="5">
        <f t="shared" si="34"/>
        <v>127.84931506849314</v>
      </c>
      <c r="J343" s="5">
        <f t="shared" si="35"/>
        <v>2002.972602739726</v>
      </c>
      <c r="K343" s="1"/>
      <c r="L343" s="6" t="s">
        <v>1468</v>
      </c>
      <c r="M343" s="6" t="s">
        <v>3769</v>
      </c>
      <c r="N343" s="6" t="s">
        <v>3770</v>
      </c>
    </row>
    <row r="344" spans="1:14" x14ac:dyDescent="0.25">
      <c r="A344" s="6" t="s">
        <v>351</v>
      </c>
      <c r="B344" s="6" t="s">
        <v>3771</v>
      </c>
      <c r="C344" s="6" t="s">
        <v>3772</v>
      </c>
      <c r="D344" s="6">
        <v>25</v>
      </c>
      <c r="E344" s="5">
        <f t="shared" si="30"/>
        <v>25000</v>
      </c>
      <c r="F344" s="5">
        <f t="shared" si="31"/>
        <v>2125</v>
      </c>
      <c r="G344" s="5">
        <f t="shared" si="32"/>
        <v>5.8219178082191778</v>
      </c>
      <c r="H344" s="5">
        <f t="shared" si="33"/>
        <v>1065.4109589041095</v>
      </c>
      <c r="I344" s="5">
        <f t="shared" si="34"/>
        <v>63.92465753424657</v>
      </c>
      <c r="J344" s="5">
        <f t="shared" si="35"/>
        <v>1001.486301369863</v>
      </c>
      <c r="K344" s="1"/>
      <c r="L344" s="6" t="s">
        <v>2165</v>
      </c>
      <c r="M344" s="6" t="s">
        <v>2166</v>
      </c>
      <c r="N344" s="6" t="s">
        <v>3777</v>
      </c>
    </row>
    <row r="345" spans="1:14" x14ac:dyDescent="0.25">
      <c r="A345" s="6" t="s">
        <v>352</v>
      </c>
      <c r="B345" s="6" t="s">
        <v>3778</v>
      </c>
      <c r="C345" s="6" t="s">
        <v>3779</v>
      </c>
      <c r="D345" s="6">
        <v>25</v>
      </c>
      <c r="E345" s="5">
        <f t="shared" si="30"/>
        <v>25000</v>
      </c>
      <c r="F345" s="5">
        <f t="shared" si="31"/>
        <v>2125</v>
      </c>
      <c r="G345" s="5">
        <f t="shared" si="32"/>
        <v>5.8219178082191778</v>
      </c>
      <c r="H345" s="5">
        <f t="shared" si="33"/>
        <v>1065.4109589041095</v>
      </c>
      <c r="I345" s="5">
        <f t="shared" si="34"/>
        <v>63.92465753424657</v>
      </c>
      <c r="J345" s="5">
        <f t="shared" si="35"/>
        <v>1001.486301369863</v>
      </c>
      <c r="K345" s="1"/>
      <c r="L345" s="6" t="s">
        <v>1</v>
      </c>
      <c r="M345" s="6" t="s">
        <v>1846</v>
      </c>
      <c r="N345" s="6" t="s">
        <v>3784</v>
      </c>
    </row>
    <row r="346" spans="1:14" x14ac:dyDescent="0.25">
      <c r="A346" s="6" t="s">
        <v>353</v>
      </c>
      <c r="B346" s="6" t="s">
        <v>3785</v>
      </c>
      <c r="C346" s="6" t="s">
        <v>3786</v>
      </c>
      <c r="D346" s="6">
        <v>25</v>
      </c>
      <c r="E346" s="5">
        <f t="shared" si="30"/>
        <v>25000</v>
      </c>
      <c r="F346" s="5">
        <f t="shared" si="31"/>
        <v>2125</v>
      </c>
      <c r="G346" s="5">
        <f t="shared" si="32"/>
        <v>5.8219178082191778</v>
      </c>
      <c r="H346" s="5">
        <f t="shared" si="33"/>
        <v>1065.4109589041095</v>
      </c>
      <c r="I346" s="5">
        <f t="shared" si="34"/>
        <v>63.92465753424657</v>
      </c>
      <c r="J346" s="5">
        <f t="shared" si="35"/>
        <v>1001.486301369863</v>
      </c>
      <c r="K346" s="1"/>
      <c r="L346" s="6" t="s">
        <v>13</v>
      </c>
      <c r="M346" s="6" t="s">
        <v>1601</v>
      </c>
      <c r="N346" s="6" t="s">
        <v>3791</v>
      </c>
    </row>
    <row r="347" spans="1:14" x14ac:dyDescent="0.25">
      <c r="A347" s="6" t="s">
        <v>354</v>
      </c>
      <c r="B347" s="6" t="s">
        <v>3792</v>
      </c>
      <c r="C347" s="6" t="s">
        <v>3793</v>
      </c>
      <c r="D347" s="6">
        <v>25</v>
      </c>
      <c r="E347" s="5">
        <f t="shared" si="30"/>
        <v>25000</v>
      </c>
      <c r="F347" s="5">
        <f t="shared" si="31"/>
        <v>2125</v>
      </c>
      <c r="G347" s="5">
        <f t="shared" si="32"/>
        <v>5.8219178082191778</v>
      </c>
      <c r="H347" s="5">
        <f t="shared" si="33"/>
        <v>1065.4109589041095</v>
      </c>
      <c r="I347" s="5">
        <f t="shared" si="34"/>
        <v>63.92465753424657</v>
      </c>
      <c r="J347" s="5">
        <f t="shared" si="35"/>
        <v>1001.486301369863</v>
      </c>
      <c r="K347" s="1"/>
      <c r="L347" s="6" t="s">
        <v>1548</v>
      </c>
      <c r="M347" s="6" t="s">
        <v>3753</v>
      </c>
      <c r="N347" s="6" t="s">
        <v>3799</v>
      </c>
    </row>
    <row r="348" spans="1:14" x14ac:dyDescent="0.25">
      <c r="A348" s="6" t="s">
        <v>355</v>
      </c>
      <c r="B348" s="6" t="s">
        <v>3800</v>
      </c>
      <c r="C348" s="6" t="s">
        <v>3801</v>
      </c>
      <c r="D348" s="6">
        <v>25</v>
      </c>
      <c r="E348" s="5">
        <f t="shared" si="30"/>
        <v>25000</v>
      </c>
      <c r="F348" s="5">
        <f t="shared" si="31"/>
        <v>2125</v>
      </c>
      <c r="G348" s="5">
        <f t="shared" si="32"/>
        <v>5.8219178082191778</v>
      </c>
      <c r="H348" s="5">
        <f t="shared" si="33"/>
        <v>1065.4109589041095</v>
      </c>
      <c r="I348" s="5">
        <f t="shared" si="34"/>
        <v>63.92465753424657</v>
      </c>
      <c r="J348" s="5">
        <f t="shared" si="35"/>
        <v>1001.486301369863</v>
      </c>
      <c r="K348" s="1"/>
      <c r="L348" s="6" t="s">
        <v>1637</v>
      </c>
      <c r="M348" s="6" t="s">
        <v>2316</v>
      </c>
      <c r="N348" s="6" t="s">
        <v>3806</v>
      </c>
    </row>
    <row r="349" spans="1:14" x14ac:dyDescent="0.25">
      <c r="A349" s="6" t="s">
        <v>356</v>
      </c>
      <c r="B349" s="6" t="s">
        <v>3807</v>
      </c>
      <c r="C349" s="6" t="s">
        <v>3808</v>
      </c>
      <c r="D349" s="6">
        <v>30</v>
      </c>
      <c r="E349" s="5">
        <f t="shared" si="30"/>
        <v>30000</v>
      </c>
      <c r="F349" s="5">
        <f t="shared" si="31"/>
        <v>2550</v>
      </c>
      <c r="G349" s="5">
        <f t="shared" si="32"/>
        <v>6.9863013698630141</v>
      </c>
      <c r="H349" s="5">
        <f t="shared" si="33"/>
        <v>1278.4931506849316</v>
      </c>
      <c r="I349" s="5">
        <f t="shared" si="34"/>
        <v>76.709589041095896</v>
      </c>
      <c r="J349" s="5">
        <f t="shared" si="35"/>
        <v>1201.7835616438358</v>
      </c>
      <c r="K349" s="1"/>
      <c r="L349" s="6" t="s">
        <v>3</v>
      </c>
      <c r="M349" s="6" t="s">
        <v>3814</v>
      </c>
      <c r="N349" s="6" t="s">
        <v>3815</v>
      </c>
    </row>
    <row r="350" spans="1:14" x14ac:dyDescent="0.25">
      <c r="A350" s="6" t="s">
        <v>357</v>
      </c>
      <c r="B350" s="6" t="s">
        <v>3816</v>
      </c>
      <c r="C350" s="6" t="s">
        <v>3817</v>
      </c>
      <c r="D350" s="6">
        <v>25</v>
      </c>
      <c r="E350" s="5">
        <f t="shared" si="30"/>
        <v>25000</v>
      </c>
      <c r="F350" s="5">
        <f t="shared" si="31"/>
        <v>2125</v>
      </c>
      <c r="G350" s="5">
        <f t="shared" si="32"/>
        <v>5.8219178082191778</v>
      </c>
      <c r="H350" s="5">
        <f t="shared" si="33"/>
        <v>1065.4109589041095</v>
      </c>
      <c r="I350" s="5">
        <f t="shared" si="34"/>
        <v>63.92465753424657</v>
      </c>
      <c r="J350" s="5">
        <f t="shared" si="35"/>
        <v>1001.486301369863</v>
      </c>
      <c r="K350" s="1"/>
      <c r="L350" s="6" t="s">
        <v>1478</v>
      </c>
      <c r="M350" s="6" t="s">
        <v>1479</v>
      </c>
      <c r="N350" s="6" t="s">
        <v>3822</v>
      </c>
    </row>
    <row r="351" spans="1:14" x14ac:dyDescent="0.25">
      <c r="A351" s="6" t="s">
        <v>358</v>
      </c>
      <c r="B351" s="6" t="s">
        <v>3823</v>
      </c>
      <c r="C351" s="6" t="s">
        <v>3824</v>
      </c>
      <c r="D351" s="6">
        <v>25</v>
      </c>
      <c r="E351" s="5">
        <f t="shared" si="30"/>
        <v>25000</v>
      </c>
      <c r="F351" s="5">
        <f t="shared" si="31"/>
        <v>2125</v>
      </c>
      <c r="G351" s="5">
        <f t="shared" si="32"/>
        <v>5.8219178082191778</v>
      </c>
      <c r="H351" s="5">
        <f t="shared" si="33"/>
        <v>1065.4109589041095</v>
      </c>
      <c r="I351" s="5">
        <f t="shared" si="34"/>
        <v>63.92465753424657</v>
      </c>
      <c r="J351" s="5">
        <f t="shared" si="35"/>
        <v>1001.486301369863</v>
      </c>
      <c r="K351" s="1"/>
      <c r="L351" s="6" t="s">
        <v>909</v>
      </c>
      <c r="M351" s="6" t="s">
        <v>1237</v>
      </c>
      <c r="N351" s="6" t="s">
        <v>3829</v>
      </c>
    </row>
    <row r="352" spans="1:14" x14ac:dyDescent="0.25">
      <c r="A352" s="6" t="s">
        <v>359</v>
      </c>
      <c r="B352" s="6" t="s">
        <v>3830</v>
      </c>
      <c r="C352" s="6" t="s">
        <v>3831</v>
      </c>
      <c r="D352" s="6">
        <v>25</v>
      </c>
      <c r="E352" s="5">
        <f t="shared" si="30"/>
        <v>25000</v>
      </c>
      <c r="F352" s="5">
        <f t="shared" si="31"/>
        <v>2125</v>
      </c>
      <c r="G352" s="5">
        <f t="shared" si="32"/>
        <v>5.8219178082191778</v>
      </c>
      <c r="H352" s="5">
        <f t="shared" si="33"/>
        <v>1065.4109589041095</v>
      </c>
      <c r="I352" s="5">
        <f t="shared" si="34"/>
        <v>63.92465753424657</v>
      </c>
      <c r="J352" s="5">
        <f t="shared" si="35"/>
        <v>1001.486301369863</v>
      </c>
      <c r="K352" s="1"/>
      <c r="L352" s="6" t="s">
        <v>3</v>
      </c>
      <c r="M352" s="6" t="s">
        <v>3836</v>
      </c>
      <c r="N352" s="6" t="s">
        <v>3837</v>
      </c>
    </row>
    <row r="353" spans="1:14" x14ac:dyDescent="0.25">
      <c r="A353" s="6" t="s">
        <v>360</v>
      </c>
      <c r="B353" s="6" t="s">
        <v>3838</v>
      </c>
      <c r="C353" s="6" t="s">
        <v>3839</v>
      </c>
      <c r="D353" s="6">
        <v>25</v>
      </c>
      <c r="E353" s="5">
        <f t="shared" si="30"/>
        <v>25000</v>
      </c>
      <c r="F353" s="5">
        <f t="shared" si="31"/>
        <v>2125</v>
      </c>
      <c r="G353" s="5">
        <f t="shared" si="32"/>
        <v>5.8219178082191778</v>
      </c>
      <c r="H353" s="5">
        <f t="shared" si="33"/>
        <v>1065.4109589041095</v>
      </c>
      <c r="I353" s="5">
        <f t="shared" si="34"/>
        <v>63.92465753424657</v>
      </c>
      <c r="J353" s="5">
        <f t="shared" si="35"/>
        <v>1001.486301369863</v>
      </c>
      <c r="K353" s="1"/>
      <c r="L353" s="6" t="s">
        <v>1478</v>
      </c>
      <c r="M353" s="6" t="s">
        <v>3845</v>
      </c>
      <c r="N353" s="6" t="s">
        <v>3846</v>
      </c>
    </row>
    <row r="354" spans="1:14" x14ac:dyDescent="0.25">
      <c r="A354" s="6" t="s">
        <v>361</v>
      </c>
      <c r="B354" s="6" t="s">
        <v>3847</v>
      </c>
      <c r="C354" s="6" t="s">
        <v>3848</v>
      </c>
      <c r="D354" s="6">
        <v>25</v>
      </c>
      <c r="E354" s="5">
        <f t="shared" si="30"/>
        <v>25000</v>
      </c>
      <c r="F354" s="5">
        <f t="shared" si="31"/>
        <v>2125</v>
      </c>
      <c r="G354" s="5">
        <f t="shared" si="32"/>
        <v>5.8219178082191778</v>
      </c>
      <c r="H354" s="5">
        <f t="shared" si="33"/>
        <v>1065.4109589041095</v>
      </c>
      <c r="I354" s="5">
        <f t="shared" si="34"/>
        <v>63.92465753424657</v>
      </c>
      <c r="J354" s="5">
        <f t="shared" si="35"/>
        <v>1001.486301369863</v>
      </c>
      <c r="K354" s="1"/>
      <c r="L354" s="6" t="s">
        <v>919</v>
      </c>
      <c r="M354" s="6" t="s">
        <v>918</v>
      </c>
      <c r="N354" s="6" t="s">
        <v>3853</v>
      </c>
    </row>
    <row r="355" spans="1:14" x14ac:dyDescent="0.25">
      <c r="A355" s="6" t="s">
        <v>362</v>
      </c>
      <c r="B355" s="6" t="s">
        <v>3854</v>
      </c>
      <c r="C355" s="6" t="s">
        <v>3855</v>
      </c>
      <c r="D355" s="6">
        <v>25</v>
      </c>
      <c r="E355" s="5">
        <f t="shared" si="30"/>
        <v>25000</v>
      </c>
      <c r="F355" s="5">
        <f t="shared" si="31"/>
        <v>2125</v>
      </c>
      <c r="G355" s="5">
        <f t="shared" si="32"/>
        <v>5.8219178082191778</v>
      </c>
      <c r="H355" s="5">
        <f t="shared" si="33"/>
        <v>1065.4109589041095</v>
      </c>
      <c r="I355" s="5">
        <f t="shared" si="34"/>
        <v>63.92465753424657</v>
      </c>
      <c r="J355" s="5">
        <f t="shared" si="35"/>
        <v>1001.486301369863</v>
      </c>
      <c r="K355" s="1"/>
      <c r="L355" s="6" t="s">
        <v>1548</v>
      </c>
      <c r="M355" s="6" t="s">
        <v>1549</v>
      </c>
      <c r="N355" s="6" t="s">
        <v>3860</v>
      </c>
    </row>
    <row r="356" spans="1:14" x14ac:dyDescent="0.25">
      <c r="A356" s="6" t="s">
        <v>363</v>
      </c>
      <c r="B356" s="6" t="s">
        <v>3861</v>
      </c>
      <c r="C356" s="6" t="s">
        <v>3862</v>
      </c>
      <c r="D356" s="6">
        <v>25</v>
      </c>
      <c r="E356" s="5">
        <f t="shared" si="30"/>
        <v>25000</v>
      </c>
      <c r="F356" s="5">
        <f t="shared" si="31"/>
        <v>2125</v>
      </c>
      <c r="G356" s="5">
        <f t="shared" si="32"/>
        <v>5.8219178082191778</v>
      </c>
      <c r="H356" s="5">
        <f t="shared" si="33"/>
        <v>1065.4109589041095</v>
      </c>
      <c r="I356" s="5">
        <f t="shared" si="34"/>
        <v>63.92465753424657</v>
      </c>
      <c r="J356" s="5">
        <f t="shared" si="35"/>
        <v>1001.486301369863</v>
      </c>
      <c r="K356" s="1"/>
      <c r="L356" s="6" t="s">
        <v>1478</v>
      </c>
      <c r="M356" s="6" t="s">
        <v>1479</v>
      </c>
      <c r="N356" s="6" t="s">
        <v>3867</v>
      </c>
    </row>
    <row r="357" spans="1:14" x14ac:dyDescent="0.25">
      <c r="A357" s="6" t="s">
        <v>364</v>
      </c>
      <c r="B357" s="6" t="s">
        <v>3868</v>
      </c>
      <c r="C357" s="6" t="s">
        <v>3869</v>
      </c>
      <c r="D357" s="6">
        <v>100</v>
      </c>
      <c r="E357" s="5">
        <f t="shared" si="30"/>
        <v>100000</v>
      </c>
      <c r="F357" s="5">
        <f t="shared" si="31"/>
        <v>8500</v>
      </c>
      <c r="G357" s="5">
        <f t="shared" si="32"/>
        <v>23.287671232876711</v>
      </c>
      <c r="H357" s="5">
        <f t="shared" si="33"/>
        <v>4261.6438356164381</v>
      </c>
      <c r="I357" s="5">
        <f t="shared" si="34"/>
        <v>255.69863013698628</v>
      </c>
      <c r="J357" s="5">
        <f t="shared" si="35"/>
        <v>4005.9452054794519</v>
      </c>
      <c r="K357" s="1"/>
      <c r="L357" s="6" t="s">
        <v>2</v>
      </c>
      <c r="M357" s="6" t="s">
        <v>2062</v>
      </c>
      <c r="N357" s="6" t="s">
        <v>3875</v>
      </c>
    </row>
    <row r="358" spans="1:14" x14ac:dyDescent="0.25">
      <c r="A358" s="6" t="s">
        <v>365</v>
      </c>
      <c r="B358" s="6" t="s">
        <v>3876</v>
      </c>
      <c r="C358" s="6" t="s">
        <v>3877</v>
      </c>
      <c r="D358" s="6">
        <v>25</v>
      </c>
      <c r="E358" s="5">
        <f t="shared" si="30"/>
        <v>25000</v>
      </c>
      <c r="F358" s="5">
        <f t="shared" si="31"/>
        <v>2125</v>
      </c>
      <c r="G358" s="5">
        <f t="shared" si="32"/>
        <v>5.8219178082191778</v>
      </c>
      <c r="H358" s="5">
        <f t="shared" si="33"/>
        <v>1065.4109589041095</v>
      </c>
      <c r="I358" s="5">
        <f t="shared" si="34"/>
        <v>63.92465753424657</v>
      </c>
      <c r="J358" s="5">
        <f t="shared" si="35"/>
        <v>1001.486301369863</v>
      </c>
      <c r="K358" s="1"/>
      <c r="L358" s="6" t="s">
        <v>915</v>
      </c>
      <c r="M358" s="6" t="s">
        <v>1157</v>
      </c>
      <c r="N358" s="6" t="s">
        <v>3884</v>
      </c>
    </row>
    <row r="359" spans="1:14" x14ac:dyDescent="0.25">
      <c r="A359" s="6" t="s">
        <v>366</v>
      </c>
      <c r="B359" s="6" t="s">
        <v>3885</v>
      </c>
      <c r="C359" s="6" t="s">
        <v>3886</v>
      </c>
      <c r="D359" s="6">
        <v>25</v>
      </c>
      <c r="E359" s="5">
        <f t="shared" si="30"/>
        <v>25000</v>
      </c>
      <c r="F359" s="5">
        <f t="shared" si="31"/>
        <v>2125</v>
      </c>
      <c r="G359" s="5">
        <f t="shared" si="32"/>
        <v>5.8219178082191778</v>
      </c>
      <c r="H359" s="5">
        <f t="shared" si="33"/>
        <v>1065.4109589041095</v>
      </c>
      <c r="I359" s="5">
        <f t="shared" si="34"/>
        <v>63.92465753424657</v>
      </c>
      <c r="J359" s="5">
        <f t="shared" si="35"/>
        <v>1001.486301369863</v>
      </c>
      <c r="K359" s="1"/>
      <c r="L359" s="6" t="s">
        <v>971</v>
      </c>
      <c r="M359" s="6" t="s">
        <v>3892</v>
      </c>
      <c r="N359" s="6" t="s">
        <v>3893</v>
      </c>
    </row>
    <row r="360" spans="1:14" x14ac:dyDescent="0.25">
      <c r="A360" s="6" t="s">
        <v>367</v>
      </c>
      <c r="B360" s="6" t="s">
        <v>3894</v>
      </c>
      <c r="C360" s="6" t="s">
        <v>3895</v>
      </c>
      <c r="D360" s="6">
        <v>25</v>
      </c>
      <c r="E360" s="5">
        <f t="shared" si="30"/>
        <v>25000</v>
      </c>
      <c r="F360" s="5">
        <f t="shared" si="31"/>
        <v>2125</v>
      </c>
      <c r="G360" s="5">
        <f t="shared" si="32"/>
        <v>5.8219178082191778</v>
      </c>
      <c r="H360" s="5">
        <f t="shared" si="33"/>
        <v>1065.4109589041095</v>
      </c>
      <c r="I360" s="5">
        <f t="shared" si="34"/>
        <v>63.92465753424657</v>
      </c>
      <c r="J360" s="5">
        <f t="shared" si="35"/>
        <v>1001.486301369863</v>
      </c>
      <c r="K360" s="1"/>
      <c r="L360" s="6" t="s">
        <v>1089</v>
      </c>
      <c r="M360" s="6" t="s">
        <v>3900</v>
      </c>
      <c r="N360" s="6" t="s">
        <v>3901</v>
      </c>
    </row>
    <row r="361" spans="1:14" x14ac:dyDescent="0.25">
      <c r="A361" s="6" t="s">
        <v>368</v>
      </c>
      <c r="B361" s="6" t="s">
        <v>3902</v>
      </c>
      <c r="C361" s="6" t="s">
        <v>3903</v>
      </c>
      <c r="D361" s="6">
        <v>30</v>
      </c>
      <c r="E361" s="5">
        <f t="shared" si="30"/>
        <v>30000</v>
      </c>
      <c r="F361" s="5">
        <f t="shared" si="31"/>
        <v>2550</v>
      </c>
      <c r="G361" s="5">
        <f t="shared" si="32"/>
        <v>6.9863013698630141</v>
      </c>
      <c r="H361" s="5">
        <f t="shared" si="33"/>
        <v>1278.4931506849316</v>
      </c>
      <c r="I361" s="5">
        <f t="shared" si="34"/>
        <v>76.709589041095896</v>
      </c>
      <c r="J361" s="5">
        <f t="shared" si="35"/>
        <v>1201.7835616438358</v>
      </c>
      <c r="K361" s="1"/>
      <c r="L361" s="6" t="s">
        <v>1</v>
      </c>
      <c r="M361" s="6" t="s">
        <v>1846</v>
      </c>
      <c r="N361" s="6" t="s">
        <v>3908</v>
      </c>
    </row>
    <row r="362" spans="1:14" x14ac:dyDescent="0.25">
      <c r="A362" s="6" t="s">
        <v>369</v>
      </c>
      <c r="B362" s="6" t="s">
        <v>3909</v>
      </c>
      <c r="C362" s="6" t="s">
        <v>3910</v>
      </c>
      <c r="D362" s="6">
        <v>30</v>
      </c>
      <c r="E362" s="5">
        <f t="shared" si="30"/>
        <v>30000</v>
      </c>
      <c r="F362" s="5">
        <f t="shared" si="31"/>
        <v>2550</v>
      </c>
      <c r="G362" s="5">
        <f t="shared" si="32"/>
        <v>6.9863013698630141</v>
      </c>
      <c r="H362" s="5">
        <f t="shared" si="33"/>
        <v>1278.4931506849316</v>
      </c>
      <c r="I362" s="5">
        <f t="shared" si="34"/>
        <v>76.709589041095896</v>
      </c>
      <c r="J362" s="5">
        <f t="shared" si="35"/>
        <v>1201.7835616438358</v>
      </c>
      <c r="K362" s="1"/>
      <c r="L362" s="6" t="s">
        <v>1</v>
      </c>
      <c r="M362" s="6" t="s">
        <v>3916</v>
      </c>
      <c r="N362" s="6" t="s">
        <v>3917</v>
      </c>
    </row>
    <row r="363" spans="1:14" x14ac:dyDescent="0.25">
      <c r="A363" s="6" t="s">
        <v>370</v>
      </c>
      <c r="B363" s="6" t="s">
        <v>3918</v>
      </c>
      <c r="C363" s="6" t="s">
        <v>3919</v>
      </c>
      <c r="D363" s="6">
        <v>300</v>
      </c>
      <c r="E363" s="5">
        <f t="shared" si="30"/>
        <v>300000</v>
      </c>
      <c r="F363" s="5">
        <f t="shared" si="31"/>
        <v>25500.000000000004</v>
      </c>
      <c r="G363" s="5">
        <f t="shared" si="32"/>
        <v>69.863013698630141</v>
      </c>
      <c r="H363" s="5">
        <f t="shared" si="33"/>
        <v>12784.931506849316</v>
      </c>
      <c r="I363" s="5">
        <f t="shared" si="34"/>
        <v>767.09589041095899</v>
      </c>
      <c r="J363" s="5">
        <f t="shared" si="35"/>
        <v>12017.835616438357</v>
      </c>
      <c r="K363" s="1"/>
      <c r="L363" s="6" t="s">
        <v>1</v>
      </c>
      <c r="M363" s="6" t="s">
        <v>3916</v>
      </c>
      <c r="N363" s="6" t="s">
        <v>3925</v>
      </c>
    </row>
    <row r="364" spans="1:14" x14ac:dyDescent="0.25">
      <c r="A364" s="6" t="s">
        <v>371</v>
      </c>
      <c r="B364" s="6" t="s">
        <v>3926</v>
      </c>
      <c r="C364" s="6" t="s">
        <v>3927</v>
      </c>
      <c r="D364" s="6">
        <v>25</v>
      </c>
      <c r="E364" s="5">
        <f t="shared" si="30"/>
        <v>25000</v>
      </c>
      <c r="F364" s="5">
        <f t="shared" si="31"/>
        <v>2125</v>
      </c>
      <c r="G364" s="5">
        <f t="shared" si="32"/>
        <v>5.8219178082191778</v>
      </c>
      <c r="H364" s="5">
        <f t="shared" si="33"/>
        <v>1065.4109589041095</v>
      </c>
      <c r="I364" s="5">
        <f t="shared" si="34"/>
        <v>63.92465753424657</v>
      </c>
      <c r="J364" s="5">
        <f t="shared" si="35"/>
        <v>1001.486301369863</v>
      </c>
      <c r="K364" s="1"/>
      <c r="L364" s="6" t="s">
        <v>8</v>
      </c>
      <c r="M364" s="6" t="s">
        <v>2211</v>
      </c>
      <c r="N364" s="6" t="s">
        <v>3933</v>
      </c>
    </row>
    <row r="365" spans="1:14" x14ac:dyDescent="0.25">
      <c r="A365" s="6" t="s">
        <v>372</v>
      </c>
      <c r="B365" s="6" t="s">
        <v>3934</v>
      </c>
      <c r="C365" s="6" t="s">
        <v>3935</v>
      </c>
      <c r="D365" s="6">
        <v>25</v>
      </c>
      <c r="E365" s="5">
        <f t="shared" si="30"/>
        <v>25000</v>
      </c>
      <c r="F365" s="5">
        <f t="shared" si="31"/>
        <v>2125</v>
      </c>
      <c r="G365" s="5">
        <f t="shared" si="32"/>
        <v>5.8219178082191778</v>
      </c>
      <c r="H365" s="5">
        <f t="shared" si="33"/>
        <v>1065.4109589041095</v>
      </c>
      <c r="I365" s="5">
        <f t="shared" si="34"/>
        <v>63.92465753424657</v>
      </c>
      <c r="J365" s="5">
        <f t="shared" si="35"/>
        <v>1001.486301369863</v>
      </c>
      <c r="K365" s="1"/>
      <c r="L365" s="6" t="s">
        <v>8</v>
      </c>
      <c r="M365" s="6" t="s">
        <v>3942</v>
      </c>
      <c r="N365" s="6" t="s">
        <v>3943</v>
      </c>
    </row>
    <row r="366" spans="1:14" x14ac:dyDescent="0.25">
      <c r="A366" s="6" t="s">
        <v>373</v>
      </c>
      <c r="B366" s="6" t="s">
        <v>3944</v>
      </c>
      <c r="C366" s="6" t="s">
        <v>3945</v>
      </c>
      <c r="D366" s="6">
        <v>25</v>
      </c>
      <c r="E366" s="5">
        <f t="shared" si="30"/>
        <v>25000</v>
      </c>
      <c r="F366" s="5">
        <f t="shared" si="31"/>
        <v>2125</v>
      </c>
      <c r="G366" s="5">
        <f t="shared" si="32"/>
        <v>5.8219178082191778</v>
      </c>
      <c r="H366" s="5">
        <f t="shared" si="33"/>
        <v>1065.4109589041095</v>
      </c>
      <c r="I366" s="5">
        <f t="shared" si="34"/>
        <v>63.92465753424657</v>
      </c>
      <c r="J366" s="5">
        <f t="shared" si="35"/>
        <v>1001.486301369863</v>
      </c>
      <c r="K366" s="1"/>
      <c r="L366" s="6" t="s">
        <v>8</v>
      </c>
      <c r="M366" s="6" t="s">
        <v>3949</v>
      </c>
      <c r="N366" s="6" t="s">
        <v>3950</v>
      </c>
    </row>
    <row r="367" spans="1:14" x14ac:dyDescent="0.25">
      <c r="A367" s="6" t="s">
        <v>374</v>
      </c>
      <c r="B367" s="6" t="s">
        <v>3951</v>
      </c>
      <c r="C367" s="6" t="s">
        <v>3952</v>
      </c>
      <c r="D367" s="6">
        <v>100</v>
      </c>
      <c r="E367" s="5">
        <f t="shared" si="30"/>
        <v>100000</v>
      </c>
      <c r="F367" s="5">
        <f t="shared" si="31"/>
        <v>8500</v>
      </c>
      <c r="G367" s="5">
        <f t="shared" si="32"/>
        <v>23.287671232876711</v>
      </c>
      <c r="H367" s="5">
        <f t="shared" si="33"/>
        <v>4261.6438356164381</v>
      </c>
      <c r="I367" s="5">
        <f t="shared" si="34"/>
        <v>255.69863013698628</v>
      </c>
      <c r="J367" s="5">
        <f t="shared" si="35"/>
        <v>4005.9452054794519</v>
      </c>
      <c r="K367" s="1"/>
      <c r="L367" s="6" t="s">
        <v>4</v>
      </c>
      <c r="M367" s="6" t="s">
        <v>2824</v>
      </c>
      <c r="N367" s="6" t="s">
        <v>3958</v>
      </c>
    </row>
    <row r="368" spans="1:14" x14ac:dyDescent="0.25">
      <c r="A368" s="6" t="s">
        <v>375</v>
      </c>
      <c r="B368" s="6" t="s">
        <v>3959</v>
      </c>
      <c r="C368" s="6" t="s">
        <v>3960</v>
      </c>
      <c r="D368" s="6">
        <v>50</v>
      </c>
      <c r="E368" s="5">
        <f t="shared" si="30"/>
        <v>50000</v>
      </c>
      <c r="F368" s="5">
        <f t="shared" si="31"/>
        <v>4250</v>
      </c>
      <c r="G368" s="5">
        <f t="shared" si="32"/>
        <v>11.643835616438356</v>
      </c>
      <c r="H368" s="5">
        <f t="shared" si="33"/>
        <v>2130.821917808219</v>
      </c>
      <c r="I368" s="5">
        <f t="shared" si="34"/>
        <v>127.84931506849314</v>
      </c>
      <c r="J368" s="5">
        <f t="shared" si="35"/>
        <v>2002.972602739726</v>
      </c>
      <c r="K368" s="1"/>
      <c r="L368" s="6" t="s">
        <v>1</v>
      </c>
      <c r="M368" s="6" t="s">
        <v>2029</v>
      </c>
      <c r="N368" s="6" t="s">
        <v>3964</v>
      </c>
    </row>
    <row r="369" spans="1:14" x14ac:dyDescent="0.25">
      <c r="A369" s="6" t="s">
        <v>376</v>
      </c>
      <c r="B369" s="6" t="s">
        <v>3965</v>
      </c>
      <c r="C369" s="6" t="s">
        <v>3966</v>
      </c>
      <c r="D369" s="6">
        <v>100</v>
      </c>
      <c r="E369" s="5">
        <f t="shared" si="30"/>
        <v>100000</v>
      </c>
      <c r="F369" s="5">
        <f t="shared" si="31"/>
        <v>8500</v>
      </c>
      <c r="G369" s="5">
        <f t="shared" si="32"/>
        <v>23.287671232876711</v>
      </c>
      <c r="H369" s="5">
        <f t="shared" si="33"/>
        <v>4261.6438356164381</v>
      </c>
      <c r="I369" s="5">
        <f t="shared" si="34"/>
        <v>255.69863013698628</v>
      </c>
      <c r="J369" s="5">
        <f t="shared" si="35"/>
        <v>4005.9452054794519</v>
      </c>
      <c r="K369" s="1"/>
      <c r="L369" s="6" t="s">
        <v>4</v>
      </c>
      <c r="M369" s="6" t="s">
        <v>924</v>
      </c>
      <c r="N369" s="6" t="s">
        <v>3971</v>
      </c>
    </row>
    <row r="370" spans="1:14" x14ac:dyDescent="0.25">
      <c r="A370" s="6" t="s">
        <v>377</v>
      </c>
      <c r="B370" s="6" t="s">
        <v>3972</v>
      </c>
      <c r="C370" s="6" t="s">
        <v>3973</v>
      </c>
      <c r="D370" s="6">
        <v>25</v>
      </c>
      <c r="E370" s="5">
        <f t="shared" si="30"/>
        <v>25000</v>
      </c>
      <c r="F370" s="5">
        <f t="shared" si="31"/>
        <v>2125</v>
      </c>
      <c r="G370" s="5">
        <f t="shared" si="32"/>
        <v>5.8219178082191778</v>
      </c>
      <c r="H370" s="5">
        <f t="shared" si="33"/>
        <v>1065.4109589041095</v>
      </c>
      <c r="I370" s="5">
        <f t="shared" si="34"/>
        <v>63.92465753424657</v>
      </c>
      <c r="J370" s="5">
        <f t="shared" si="35"/>
        <v>1001.486301369863</v>
      </c>
      <c r="K370" s="1"/>
      <c r="L370" s="6" t="s">
        <v>2</v>
      </c>
      <c r="M370" s="6" t="s">
        <v>3978</v>
      </c>
      <c r="N370" s="6" t="s">
        <v>3979</v>
      </c>
    </row>
    <row r="371" spans="1:14" x14ac:dyDescent="0.25">
      <c r="A371" s="6" t="s">
        <v>378</v>
      </c>
      <c r="B371" s="6" t="s">
        <v>3980</v>
      </c>
      <c r="C371" s="6" t="s">
        <v>3981</v>
      </c>
      <c r="D371" s="6">
        <v>150</v>
      </c>
      <c r="E371" s="5">
        <f t="shared" si="30"/>
        <v>150000</v>
      </c>
      <c r="F371" s="5">
        <f t="shared" si="31"/>
        <v>12750.000000000002</v>
      </c>
      <c r="G371" s="5">
        <f t="shared" si="32"/>
        <v>34.93150684931507</v>
      </c>
      <c r="H371" s="5">
        <f t="shared" si="33"/>
        <v>6392.465753424658</v>
      </c>
      <c r="I371" s="5">
        <f t="shared" si="34"/>
        <v>383.54794520547949</v>
      </c>
      <c r="J371" s="5">
        <f t="shared" si="35"/>
        <v>6008.9178082191784</v>
      </c>
      <c r="K371" s="1"/>
      <c r="L371" s="6" t="s">
        <v>1637</v>
      </c>
      <c r="M371" s="6" t="s">
        <v>3986</v>
      </c>
      <c r="N371" s="6" t="s">
        <v>3987</v>
      </c>
    </row>
    <row r="372" spans="1:14" x14ac:dyDescent="0.25">
      <c r="A372" s="6" t="s">
        <v>379</v>
      </c>
      <c r="B372" s="6" t="s">
        <v>3988</v>
      </c>
      <c r="C372" s="6" t="s">
        <v>3044</v>
      </c>
      <c r="D372" s="6">
        <v>1000</v>
      </c>
      <c r="E372" s="5">
        <f t="shared" si="30"/>
        <v>1000000</v>
      </c>
      <c r="F372" s="5">
        <f t="shared" si="31"/>
        <v>85000</v>
      </c>
      <c r="G372" s="5">
        <f t="shared" si="32"/>
        <v>232.87671232876713</v>
      </c>
      <c r="H372" s="5">
        <f t="shared" si="33"/>
        <v>42616.438356164384</v>
      </c>
      <c r="I372" s="5">
        <f t="shared" si="34"/>
        <v>2556.9863013698628</v>
      </c>
      <c r="J372" s="5">
        <f t="shared" si="35"/>
        <v>40059.452054794521</v>
      </c>
      <c r="K372" s="1"/>
      <c r="L372" s="6" t="s">
        <v>1496</v>
      </c>
      <c r="M372" s="6" t="s">
        <v>3993</v>
      </c>
      <c r="N372" s="6" t="s">
        <v>3994</v>
      </c>
    </row>
    <row r="373" spans="1:14" x14ac:dyDescent="0.25">
      <c r="A373" s="6" t="s">
        <v>380</v>
      </c>
      <c r="B373" s="6" t="s">
        <v>3995</v>
      </c>
      <c r="C373" s="6" t="s">
        <v>3996</v>
      </c>
      <c r="D373" s="6">
        <v>36</v>
      </c>
      <c r="E373" s="5">
        <f t="shared" si="30"/>
        <v>36000</v>
      </c>
      <c r="F373" s="5">
        <f t="shared" si="31"/>
        <v>3060</v>
      </c>
      <c r="G373" s="5">
        <f t="shared" si="32"/>
        <v>8.3835616438356162</v>
      </c>
      <c r="H373" s="5">
        <f t="shared" si="33"/>
        <v>1534.1917808219177</v>
      </c>
      <c r="I373" s="5">
        <f t="shared" si="34"/>
        <v>92.051506849315061</v>
      </c>
      <c r="J373" s="5">
        <f t="shared" si="35"/>
        <v>1442.1402739726027</v>
      </c>
      <c r="K373" s="1"/>
      <c r="L373" s="6" t="s">
        <v>5</v>
      </c>
      <c r="M373" s="6" t="s">
        <v>4001</v>
      </c>
      <c r="N373" s="6" t="s">
        <v>4002</v>
      </c>
    </row>
    <row r="374" spans="1:14" x14ac:dyDescent="0.25">
      <c r="A374" s="6" t="s">
        <v>381</v>
      </c>
      <c r="B374" s="6" t="s">
        <v>4003</v>
      </c>
      <c r="C374" s="6" t="s">
        <v>4004</v>
      </c>
      <c r="D374" s="6">
        <v>50</v>
      </c>
      <c r="E374" s="5">
        <f t="shared" si="30"/>
        <v>50000</v>
      </c>
      <c r="F374" s="5">
        <f t="shared" si="31"/>
        <v>4250</v>
      </c>
      <c r="G374" s="5">
        <f t="shared" si="32"/>
        <v>11.643835616438356</v>
      </c>
      <c r="H374" s="5">
        <f t="shared" si="33"/>
        <v>2130.821917808219</v>
      </c>
      <c r="I374" s="5">
        <f t="shared" si="34"/>
        <v>127.84931506849314</v>
      </c>
      <c r="J374" s="5">
        <f t="shared" si="35"/>
        <v>2002.972602739726</v>
      </c>
      <c r="K374" s="1"/>
      <c r="L374" s="6" t="s">
        <v>3</v>
      </c>
      <c r="M374" s="6" t="s">
        <v>911</v>
      </c>
      <c r="N374" s="6" t="s">
        <v>4010</v>
      </c>
    </row>
    <row r="375" spans="1:14" x14ac:dyDescent="0.25">
      <c r="A375" s="6" t="s">
        <v>382</v>
      </c>
      <c r="B375" s="6" t="s">
        <v>4011</v>
      </c>
      <c r="C375" s="6" t="s">
        <v>4012</v>
      </c>
      <c r="D375" s="6">
        <v>100</v>
      </c>
      <c r="E375" s="5">
        <f t="shared" si="30"/>
        <v>100000</v>
      </c>
      <c r="F375" s="5">
        <f t="shared" si="31"/>
        <v>8500</v>
      </c>
      <c r="G375" s="5">
        <f t="shared" si="32"/>
        <v>23.287671232876711</v>
      </c>
      <c r="H375" s="5">
        <f t="shared" si="33"/>
        <v>4261.6438356164381</v>
      </c>
      <c r="I375" s="5">
        <f t="shared" si="34"/>
        <v>255.69863013698628</v>
      </c>
      <c r="J375" s="5">
        <f t="shared" si="35"/>
        <v>4005.9452054794519</v>
      </c>
      <c r="K375" s="1"/>
      <c r="L375" s="6" t="s">
        <v>8</v>
      </c>
      <c r="M375" s="6" t="s">
        <v>4018</v>
      </c>
      <c r="N375" s="6" t="s">
        <v>4019</v>
      </c>
    </row>
    <row r="376" spans="1:14" x14ac:dyDescent="0.25">
      <c r="A376" s="6" t="s">
        <v>383</v>
      </c>
      <c r="B376" s="6" t="s">
        <v>4020</v>
      </c>
      <c r="C376" s="6" t="s">
        <v>4021</v>
      </c>
      <c r="D376" s="6">
        <v>10</v>
      </c>
      <c r="E376" s="5">
        <f t="shared" si="30"/>
        <v>10000</v>
      </c>
      <c r="F376" s="5">
        <f t="shared" si="31"/>
        <v>850.00000000000011</v>
      </c>
      <c r="G376" s="5">
        <f t="shared" si="32"/>
        <v>2.3287671232876717</v>
      </c>
      <c r="H376" s="5">
        <f t="shared" si="33"/>
        <v>426.16438356164389</v>
      </c>
      <c r="I376" s="5">
        <f t="shared" si="34"/>
        <v>25.569863013698633</v>
      </c>
      <c r="J376" s="5">
        <f t="shared" si="35"/>
        <v>400.59452054794525</v>
      </c>
      <c r="K376" s="1"/>
      <c r="L376" s="6" t="s">
        <v>1089</v>
      </c>
      <c r="M376" s="6" t="s">
        <v>1319</v>
      </c>
      <c r="N376" s="6" t="s">
        <v>4027</v>
      </c>
    </row>
    <row r="377" spans="1:14" x14ac:dyDescent="0.25">
      <c r="A377" s="6" t="s">
        <v>384</v>
      </c>
      <c r="B377" s="6" t="s">
        <v>4028</v>
      </c>
      <c r="C377" s="6" t="s">
        <v>4029</v>
      </c>
      <c r="D377" s="6">
        <v>25</v>
      </c>
      <c r="E377" s="5">
        <f t="shared" si="30"/>
        <v>25000</v>
      </c>
      <c r="F377" s="5">
        <f t="shared" si="31"/>
        <v>2125</v>
      </c>
      <c r="G377" s="5">
        <f t="shared" si="32"/>
        <v>5.8219178082191778</v>
      </c>
      <c r="H377" s="5">
        <f t="shared" si="33"/>
        <v>1065.4109589041095</v>
      </c>
      <c r="I377" s="5">
        <f t="shared" si="34"/>
        <v>63.92465753424657</v>
      </c>
      <c r="J377" s="5">
        <f t="shared" si="35"/>
        <v>1001.486301369863</v>
      </c>
      <c r="K377" s="1"/>
      <c r="L377" s="6" t="s">
        <v>914</v>
      </c>
      <c r="M377" s="6" t="s">
        <v>4035</v>
      </c>
      <c r="N377" s="6" t="s">
        <v>4036</v>
      </c>
    </row>
    <row r="378" spans="1:14" x14ac:dyDescent="0.25">
      <c r="A378" s="6" t="s">
        <v>385</v>
      </c>
      <c r="B378" s="6" t="s">
        <v>4037</v>
      </c>
      <c r="C378" s="6" t="s">
        <v>4038</v>
      </c>
      <c r="D378" s="6">
        <v>25</v>
      </c>
      <c r="E378" s="5">
        <f t="shared" si="30"/>
        <v>25000</v>
      </c>
      <c r="F378" s="5">
        <f t="shared" si="31"/>
        <v>2125</v>
      </c>
      <c r="G378" s="5">
        <f t="shared" si="32"/>
        <v>5.8219178082191778</v>
      </c>
      <c r="H378" s="5">
        <f t="shared" si="33"/>
        <v>1065.4109589041095</v>
      </c>
      <c r="I378" s="5">
        <f t="shared" si="34"/>
        <v>63.92465753424657</v>
      </c>
      <c r="J378" s="5">
        <f t="shared" si="35"/>
        <v>1001.486301369863</v>
      </c>
      <c r="K378" s="1"/>
      <c r="L378" s="6" t="s">
        <v>971</v>
      </c>
      <c r="M378" s="6" t="s">
        <v>972</v>
      </c>
      <c r="N378" s="6" t="s">
        <v>4043</v>
      </c>
    </row>
    <row r="379" spans="1:14" x14ac:dyDescent="0.25">
      <c r="A379" s="6" t="s">
        <v>386</v>
      </c>
      <c r="B379" s="6" t="s">
        <v>4044</v>
      </c>
      <c r="C379" s="6" t="s">
        <v>4045</v>
      </c>
      <c r="D379" s="6">
        <v>25</v>
      </c>
      <c r="E379" s="5">
        <f t="shared" si="30"/>
        <v>25000</v>
      </c>
      <c r="F379" s="5">
        <f t="shared" si="31"/>
        <v>2125</v>
      </c>
      <c r="G379" s="5">
        <f t="shared" si="32"/>
        <v>5.8219178082191778</v>
      </c>
      <c r="H379" s="5">
        <f t="shared" si="33"/>
        <v>1065.4109589041095</v>
      </c>
      <c r="I379" s="5">
        <f t="shared" si="34"/>
        <v>63.92465753424657</v>
      </c>
      <c r="J379" s="5">
        <f t="shared" si="35"/>
        <v>1001.486301369863</v>
      </c>
      <c r="K379" s="1"/>
      <c r="L379" s="6" t="s">
        <v>8</v>
      </c>
      <c r="M379" s="6" t="s">
        <v>1177</v>
      </c>
      <c r="N379" s="6" t="s">
        <v>4048</v>
      </c>
    </row>
    <row r="380" spans="1:14" x14ac:dyDescent="0.25">
      <c r="A380" s="6" t="s">
        <v>387</v>
      </c>
      <c r="B380" s="6" t="s">
        <v>4049</v>
      </c>
      <c r="C380" s="6" t="s">
        <v>4050</v>
      </c>
      <c r="D380" s="6">
        <v>100</v>
      </c>
      <c r="E380" s="5">
        <f t="shared" si="30"/>
        <v>100000</v>
      </c>
      <c r="F380" s="5">
        <f t="shared" si="31"/>
        <v>8500</v>
      </c>
      <c r="G380" s="5">
        <f t="shared" si="32"/>
        <v>23.287671232876711</v>
      </c>
      <c r="H380" s="5">
        <f t="shared" si="33"/>
        <v>4261.6438356164381</v>
      </c>
      <c r="I380" s="5">
        <f t="shared" si="34"/>
        <v>255.69863013698628</v>
      </c>
      <c r="J380" s="5">
        <f t="shared" si="35"/>
        <v>4005.9452054794519</v>
      </c>
      <c r="K380" s="1"/>
      <c r="L380" s="6" t="s">
        <v>919</v>
      </c>
      <c r="M380" s="6" t="s">
        <v>4054</v>
      </c>
      <c r="N380" s="6" t="s">
        <v>4055</v>
      </c>
    </row>
    <row r="381" spans="1:14" x14ac:dyDescent="0.25">
      <c r="A381" s="6" t="s">
        <v>388</v>
      </c>
      <c r="B381" s="6" t="s">
        <v>4056</v>
      </c>
      <c r="C381" s="6" t="s">
        <v>4057</v>
      </c>
      <c r="D381" s="6">
        <v>25</v>
      </c>
      <c r="E381" s="5">
        <f t="shared" si="30"/>
        <v>25000</v>
      </c>
      <c r="F381" s="5">
        <f t="shared" si="31"/>
        <v>2125</v>
      </c>
      <c r="G381" s="5">
        <f t="shared" si="32"/>
        <v>5.8219178082191778</v>
      </c>
      <c r="H381" s="5">
        <f t="shared" si="33"/>
        <v>1065.4109589041095</v>
      </c>
      <c r="I381" s="5">
        <f t="shared" si="34"/>
        <v>63.92465753424657</v>
      </c>
      <c r="J381" s="5">
        <f t="shared" si="35"/>
        <v>1001.486301369863</v>
      </c>
      <c r="K381" s="1"/>
      <c r="L381" s="6" t="s">
        <v>915</v>
      </c>
      <c r="M381" s="6" t="s">
        <v>4062</v>
      </c>
      <c r="N381" s="6" t="s">
        <v>4063</v>
      </c>
    </row>
    <row r="382" spans="1:14" x14ac:dyDescent="0.25">
      <c r="A382" s="6" t="s">
        <v>389</v>
      </c>
      <c r="B382" s="6" t="s">
        <v>4064</v>
      </c>
      <c r="C382" s="6" t="s">
        <v>4065</v>
      </c>
      <c r="D382" s="6">
        <v>50</v>
      </c>
      <c r="E382" s="5">
        <f t="shared" si="30"/>
        <v>50000</v>
      </c>
      <c r="F382" s="5">
        <f t="shared" si="31"/>
        <v>4250</v>
      </c>
      <c r="G382" s="5">
        <f t="shared" si="32"/>
        <v>11.643835616438356</v>
      </c>
      <c r="H382" s="5">
        <f t="shared" si="33"/>
        <v>2130.821917808219</v>
      </c>
      <c r="I382" s="5">
        <f t="shared" si="34"/>
        <v>127.84931506849314</v>
      </c>
      <c r="J382" s="5">
        <f t="shared" si="35"/>
        <v>2002.972602739726</v>
      </c>
      <c r="K382" s="1"/>
      <c r="L382" s="6" t="s">
        <v>910</v>
      </c>
      <c r="M382" s="6" t="s">
        <v>4070</v>
      </c>
      <c r="N382" s="6" t="s">
        <v>4071</v>
      </c>
    </row>
    <row r="383" spans="1:14" x14ac:dyDescent="0.25">
      <c r="A383" s="6" t="s">
        <v>390</v>
      </c>
      <c r="B383" s="6" t="s">
        <v>4072</v>
      </c>
      <c r="C383" s="6" t="s">
        <v>4073</v>
      </c>
      <c r="D383" s="6">
        <v>200</v>
      </c>
      <c r="E383" s="5">
        <f t="shared" si="30"/>
        <v>200000</v>
      </c>
      <c r="F383" s="5">
        <f t="shared" si="31"/>
        <v>17000</v>
      </c>
      <c r="G383" s="5">
        <f t="shared" si="32"/>
        <v>46.575342465753423</v>
      </c>
      <c r="H383" s="5">
        <f t="shared" si="33"/>
        <v>8523.2876712328762</v>
      </c>
      <c r="I383" s="5">
        <f t="shared" si="34"/>
        <v>511.39726027397256</v>
      </c>
      <c r="J383" s="5">
        <f t="shared" si="35"/>
        <v>8011.8904109589039</v>
      </c>
      <c r="K383" s="1"/>
      <c r="L383" s="6" t="s">
        <v>915</v>
      </c>
      <c r="M383" s="6" t="s">
        <v>4078</v>
      </c>
      <c r="N383" s="6" t="s">
        <v>4079</v>
      </c>
    </row>
    <row r="384" spans="1:14" x14ac:dyDescent="0.25">
      <c r="A384" s="6" t="s">
        <v>391</v>
      </c>
      <c r="B384" s="6" t="s">
        <v>4080</v>
      </c>
      <c r="C384" s="6" t="s">
        <v>4081</v>
      </c>
      <c r="D384" s="6">
        <v>25</v>
      </c>
      <c r="E384" s="5">
        <f t="shared" si="30"/>
        <v>25000</v>
      </c>
      <c r="F384" s="5">
        <f t="shared" si="31"/>
        <v>2125</v>
      </c>
      <c r="G384" s="5">
        <f t="shared" si="32"/>
        <v>5.8219178082191778</v>
      </c>
      <c r="H384" s="5">
        <f t="shared" si="33"/>
        <v>1065.4109589041095</v>
      </c>
      <c r="I384" s="5">
        <f t="shared" si="34"/>
        <v>63.92465753424657</v>
      </c>
      <c r="J384" s="5">
        <f t="shared" si="35"/>
        <v>1001.486301369863</v>
      </c>
      <c r="K384" s="1"/>
      <c r="L384" s="6" t="s">
        <v>1637</v>
      </c>
      <c r="M384" s="6" t="s">
        <v>2316</v>
      </c>
      <c r="N384" s="6" t="s">
        <v>4087</v>
      </c>
    </row>
    <row r="385" spans="1:14" x14ac:dyDescent="0.25">
      <c r="A385" s="6" t="s">
        <v>392</v>
      </c>
      <c r="B385" s="6" t="s">
        <v>4088</v>
      </c>
      <c r="C385" s="6" t="s">
        <v>4089</v>
      </c>
      <c r="D385" s="6">
        <v>25</v>
      </c>
      <c r="E385" s="5">
        <f t="shared" si="30"/>
        <v>25000</v>
      </c>
      <c r="F385" s="5">
        <f t="shared" si="31"/>
        <v>2125</v>
      </c>
      <c r="G385" s="5">
        <f t="shared" si="32"/>
        <v>5.8219178082191778</v>
      </c>
      <c r="H385" s="5">
        <f t="shared" si="33"/>
        <v>1065.4109589041095</v>
      </c>
      <c r="I385" s="5">
        <f t="shared" si="34"/>
        <v>63.92465753424657</v>
      </c>
      <c r="J385" s="5">
        <f t="shared" si="35"/>
        <v>1001.486301369863</v>
      </c>
      <c r="K385" s="1"/>
      <c r="L385" s="6" t="s">
        <v>2</v>
      </c>
      <c r="M385" s="6" t="s">
        <v>4095</v>
      </c>
      <c r="N385" s="6" t="s">
        <v>4096</v>
      </c>
    </row>
    <row r="386" spans="1:14" x14ac:dyDescent="0.25">
      <c r="A386" s="6" t="s">
        <v>393</v>
      </c>
      <c r="B386" s="6" t="s">
        <v>4097</v>
      </c>
      <c r="C386" s="6" t="s">
        <v>4098</v>
      </c>
      <c r="D386" s="6">
        <v>25</v>
      </c>
      <c r="E386" s="5">
        <f t="shared" si="30"/>
        <v>25000</v>
      </c>
      <c r="F386" s="5">
        <f t="shared" si="31"/>
        <v>2125</v>
      </c>
      <c r="G386" s="5">
        <f t="shared" si="32"/>
        <v>5.8219178082191778</v>
      </c>
      <c r="H386" s="5">
        <f t="shared" si="33"/>
        <v>1065.4109589041095</v>
      </c>
      <c r="I386" s="5">
        <f t="shared" si="34"/>
        <v>63.92465753424657</v>
      </c>
      <c r="J386" s="5">
        <f t="shared" si="35"/>
        <v>1001.486301369863</v>
      </c>
      <c r="K386" s="1"/>
      <c r="L386" s="6" t="s">
        <v>910</v>
      </c>
      <c r="M386" s="6" t="s">
        <v>981</v>
      </c>
      <c r="N386" s="6" t="s">
        <v>4104</v>
      </c>
    </row>
    <row r="387" spans="1:14" x14ac:dyDescent="0.25">
      <c r="A387" s="6" t="s">
        <v>394</v>
      </c>
      <c r="B387" s="6" t="s">
        <v>4105</v>
      </c>
      <c r="C387" s="6" t="s">
        <v>4106</v>
      </c>
      <c r="D387" s="6">
        <v>25</v>
      </c>
      <c r="E387" s="5">
        <f t="shared" si="30"/>
        <v>25000</v>
      </c>
      <c r="F387" s="5">
        <f t="shared" si="31"/>
        <v>2125</v>
      </c>
      <c r="G387" s="5">
        <f t="shared" si="32"/>
        <v>5.8219178082191778</v>
      </c>
      <c r="H387" s="5">
        <f t="shared" si="33"/>
        <v>1065.4109589041095</v>
      </c>
      <c r="I387" s="5">
        <f t="shared" si="34"/>
        <v>63.92465753424657</v>
      </c>
      <c r="J387" s="5">
        <f t="shared" si="35"/>
        <v>1001.486301369863</v>
      </c>
      <c r="K387" s="1"/>
      <c r="L387" s="6" t="s">
        <v>915</v>
      </c>
      <c r="M387" s="6" t="s">
        <v>4112</v>
      </c>
      <c r="N387" s="6" t="s">
        <v>4113</v>
      </c>
    </row>
    <row r="388" spans="1:14" x14ac:dyDescent="0.25">
      <c r="A388" s="6" t="s">
        <v>395</v>
      </c>
      <c r="B388" s="6" t="s">
        <v>4114</v>
      </c>
      <c r="C388" s="6" t="s">
        <v>4115</v>
      </c>
      <c r="D388" s="6">
        <v>25</v>
      </c>
      <c r="E388" s="5">
        <f t="shared" si="30"/>
        <v>25000</v>
      </c>
      <c r="F388" s="5">
        <f t="shared" si="31"/>
        <v>2125</v>
      </c>
      <c r="G388" s="5">
        <f t="shared" si="32"/>
        <v>5.8219178082191778</v>
      </c>
      <c r="H388" s="5">
        <f t="shared" si="33"/>
        <v>1065.4109589041095</v>
      </c>
      <c r="I388" s="5">
        <f t="shared" si="34"/>
        <v>63.92465753424657</v>
      </c>
      <c r="J388" s="5">
        <f t="shared" si="35"/>
        <v>1001.486301369863</v>
      </c>
      <c r="K388" s="1"/>
      <c r="L388" s="6" t="s">
        <v>910</v>
      </c>
      <c r="M388" s="6" t="s">
        <v>981</v>
      </c>
      <c r="N388" s="6" t="s">
        <v>4121</v>
      </c>
    </row>
    <row r="389" spans="1:14" x14ac:dyDescent="0.25">
      <c r="A389" s="6" t="s">
        <v>396</v>
      </c>
      <c r="B389" s="6" t="s">
        <v>4122</v>
      </c>
      <c r="C389" s="6" t="s">
        <v>995</v>
      </c>
      <c r="D389" s="6">
        <v>30</v>
      </c>
      <c r="E389" s="5">
        <f t="shared" si="30"/>
        <v>30000</v>
      </c>
      <c r="F389" s="5">
        <f t="shared" si="31"/>
        <v>2550</v>
      </c>
      <c r="G389" s="5">
        <f t="shared" si="32"/>
        <v>6.9863013698630141</v>
      </c>
      <c r="H389" s="5">
        <f t="shared" si="33"/>
        <v>1278.4931506849316</v>
      </c>
      <c r="I389" s="5">
        <f t="shared" si="34"/>
        <v>76.709589041095896</v>
      </c>
      <c r="J389" s="5">
        <f t="shared" si="35"/>
        <v>1201.7835616438358</v>
      </c>
      <c r="K389" s="1"/>
      <c r="L389" s="6" t="s">
        <v>1310</v>
      </c>
      <c r="M389" s="6" t="s">
        <v>4127</v>
      </c>
      <c r="N389" s="6" t="s">
        <v>4128</v>
      </c>
    </row>
    <row r="390" spans="1:14" x14ac:dyDescent="0.25">
      <c r="A390" s="6" t="s">
        <v>397</v>
      </c>
      <c r="B390" s="6" t="s">
        <v>4129</v>
      </c>
      <c r="C390" s="6" t="s">
        <v>4130</v>
      </c>
      <c r="D390" s="6">
        <v>25</v>
      </c>
      <c r="E390" s="5">
        <f t="shared" si="30"/>
        <v>25000</v>
      </c>
      <c r="F390" s="5">
        <f t="shared" si="31"/>
        <v>2125</v>
      </c>
      <c r="G390" s="5">
        <f t="shared" si="32"/>
        <v>5.8219178082191778</v>
      </c>
      <c r="H390" s="5">
        <f t="shared" si="33"/>
        <v>1065.4109589041095</v>
      </c>
      <c r="I390" s="5">
        <f t="shared" si="34"/>
        <v>63.92465753424657</v>
      </c>
      <c r="J390" s="5">
        <f t="shared" si="35"/>
        <v>1001.486301369863</v>
      </c>
      <c r="K390" s="1"/>
      <c r="L390" s="6" t="s">
        <v>8</v>
      </c>
      <c r="M390" s="6" t="s">
        <v>4137</v>
      </c>
      <c r="N390" s="6" t="s">
        <v>4138</v>
      </c>
    </row>
    <row r="391" spans="1:14" x14ac:dyDescent="0.25">
      <c r="A391" s="6" t="s">
        <v>398</v>
      </c>
      <c r="B391" s="6" t="s">
        <v>4139</v>
      </c>
      <c r="C391" s="6" t="s">
        <v>4140</v>
      </c>
      <c r="D391" s="6">
        <v>500</v>
      </c>
      <c r="E391" s="5">
        <f t="shared" si="30"/>
        <v>500000</v>
      </c>
      <c r="F391" s="5">
        <f t="shared" si="31"/>
        <v>42500</v>
      </c>
      <c r="G391" s="5">
        <f t="shared" si="32"/>
        <v>116.43835616438356</v>
      </c>
      <c r="H391" s="5">
        <f t="shared" si="33"/>
        <v>21308.219178082192</v>
      </c>
      <c r="I391" s="5">
        <f t="shared" si="34"/>
        <v>1278.4931506849314</v>
      </c>
      <c r="J391" s="5">
        <f t="shared" si="35"/>
        <v>20029.726027397261</v>
      </c>
      <c r="K391" s="1"/>
      <c r="L391" s="6" t="s">
        <v>1478</v>
      </c>
      <c r="M391" s="6" t="s">
        <v>1479</v>
      </c>
      <c r="N391" s="6" t="s">
        <v>4146</v>
      </c>
    </row>
    <row r="392" spans="1:14" x14ac:dyDescent="0.25">
      <c r="A392" s="6" t="s">
        <v>399</v>
      </c>
      <c r="B392" s="6" t="s">
        <v>4147</v>
      </c>
      <c r="C392" s="6" t="s">
        <v>4148</v>
      </c>
      <c r="D392" s="6">
        <v>25</v>
      </c>
      <c r="E392" s="5">
        <f t="shared" ref="E392:E455" si="36">+D392*1000</f>
        <v>25000</v>
      </c>
      <c r="F392" s="5">
        <f t="shared" ref="F392:F455" si="37">+E392*8.5%</f>
        <v>2125</v>
      </c>
      <c r="G392" s="5">
        <f t="shared" ref="G392:G455" si="38">+F392/365</f>
        <v>5.8219178082191778</v>
      </c>
      <c r="H392" s="5">
        <f t="shared" ref="H392:H455" si="39">G392*$H$4</f>
        <v>1065.4109589041095</v>
      </c>
      <c r="I392" s="5">
        <f t="shared" ref="I392:I455" si="40">+H392*6%</f>
        <v>63.92465753424657</v>
      </c>
      <c r="J392" s="5">
        <f t="shared" ref="J392:J455" si="41">+H392-I392</f>
        <v>1001.486301369863</v>
      </c>
      <c r="K392" s="1"/>
      <c r="L392" s="6" t="s">
        <v>1</v>
      </c>
      <c r="M392" s="6" t="s">
        <v>1846</v>
      </c>
      <c r="N392" s="6" t="s">
        <v>4154</v>
      </c>
    </row>
    <row r="393" spans="1:14" x14ac:dyDescent="0.25">
      <c r="A393" s="6" t="s">
        <v>400</v>
      </c>
      <c r="B393" s="6" t="s">
        <v>4155</v>
      </c>
      <c r="C393" s="6" t="s">
        <v>4156</v>
      </c>
      <c r="D393" s="6">
        <v>40</v>
      </c>
      <c r="E393" s="5">
        <f t="shared" si="36"/>
        <v>40000</v>
      </c>
      <c r="F393" s="5">
        <f t="shared" si="37"/>
        <v>3400.0000000000005</v>
      </c>
      <c r="G393" s="5">
        <f t="shared" si="38"/>
        <v>9.3150684931506866</v>
      </c>
      <c r="H393" s="5">
        <f t="shared" si="39"/>
        <v>1704.6575342465756</v>
      </c>
      <c r="I393" s="5">
        <f t="shared" si="40"/>
        <v>102.27945205479453</v>
      </c>
      <c r="J393" s="5">
        <f t="shared" si="41"/>
        <v>1602.378082191781</v>
      </c>
      <c r="K393" s="1"/>
      <c r="L393" s="6" t="s">
        <v>2</v>
      </c>
      <c r="M393" s="6" t="s">
        <v>4162</v>
      </c>
      <c r="N393" s="6" t="s">
        <v>4163</v>
      </c>
    </row>
    <row r="394" spans="1:14" x14ac:dyDescent="0.25">
      <c r="A394" s="6" t="s">
        <v>401</v>
      </c>
      <c r="B394" s="6" t="s">
        <v>4164</v>
      </c>
      <c r="C394" s="6" t="s">
        <v>4165</v>
      </c>
      <c r="D394" s="6">
        <v>25</v>
      </c>
      <c r="E394" s="5">
        <f t="shared" si="36"/>
        <v>25000</v>
      </c>
      <c r="F394" s="5">
        <f t="shared" si="37"/>
        <v>2125</v>
      </c>
      <c r="G394" s="5">
        <f t="shared" si="38"/>
        <v>5.8219178082191778</v>
      </c>
      <c r="H394" s="5">
        <f t="shared" si="39"/>
        <v>1065.4109589041095</v>
      </c>
      <c r="I394" s="5">
        <f t="shared" si="40"/>
        <v>63.92465753424657</v>
      </c>
      <c r="J394" s="5">
        <f t="shared" si="41"/>
        <v>1001.486301369863</v>
      </c>
      <c r="K394" s="1"/>
      <c r="L394" s="6" t="s">
        <v>2</v>
      </c>
      <c r="M394" s="6" t="s">
        <v>4171</v>
      </c>
      <c r="N394" s="6" t="s">
        <v>4172</v>
      </c>
    </row>
    <row r="395" spans="1:14" x14ac:dyDescent="0.25">
      <c r="A395" s="6" t="s">
        <v>402</v>
      </c>
      <c r="B395" s="6" t="s">
        <v>4173</v>
      </c>
      <c r="C395" s="6" t="s">
        <v>4174</v>
      </c>
      <c r="D395" s="6">
        <v>100</v>
      </c>
      <c r="E395" s="5">
        <f t="shared" si="36"/>
        <v>100000</v>
      </c>
      <c r="F395" s="5">
        <f t="shared" si="37"/>
        <v>8500</v>
      </c>
      <c r="G395" s="5">
        <f t="shared" si="38"/>
        <v>23.287671232876711</v>
      </c>
      <c r="H395" s="5">
        <f t="shared" si="39"/>
        <v>4261.6438356164381</v>
      </c>
      <c r="I395" s="5">
        <f t="shared" si="40"/>
        <v>255.69863013698628</v>
      </c>
      <c r="J395" s="5">
        <f t="shared" si="41"/>
        <v>4005.9452054794519</v>
      </c>
      <c r="K395" s="1"/>
      <c r="L395" s="6" t="s">
        <v>915</v>
      </c>
      <c r="M395" s="6" t="s">
        <v>926</v>
      </c>
      <c r="N395" s="6" t="s">
        <v>4180</v>
      </c>
    </row>
    <row r="396" spans="1:14" x14ac:dyDescent="0.25">
      <c r="A396" s="6" t="s">
        <v>403</v>
      </c>
      <c r="B396" s="6" t="s">
        <v>4181</v>
      </c>
      <c r="C396" s="6" t="s">
        <v>4182</v>
      </c>
      <c r="D396" s="6">
        <v>30</v>
      </c>
      <c r="E396" s="5">
        <f t="shared" si="36"/>
        <v>30000</v>
      </c>
      <c r="F396" s="5">
        <f t="shared" si="37"/>
        <v>2550</v>
      </c>
      <c r="G396" s="5">
        <f t="shared" si="38"/>
        <v>6.9863013698630141</v>
      </c>
      <c r="H396" s="5">
        <f t="shared" si="39"/>
        <v>1278.4931506849316</v>
      </c>
      <c r="I396" s="5">
        <f t="shared" si="40"/>
        <v>76.709589041095896</v>
      </c>
      <c r="J396" s="5">
        <f t="shared" si="41"/>
        <v>1201.7835616438358</v>
      </c>
      <c r="K396" s="1"/>
      <c r="L396" s="6" t="s">
        <v>4</v>
      </c>
      <c r="M396" s="6" t="s">
        <v>4188</v>
      </c>
      <c r="N396" s="6" t="s">
        <v>4189</v>
      </c>
    </row>
    <row r="397" spans="1:14" x14ac:dyDescent="0.25">
      <c r="A397" s="6" t="s">
        <v>404</v>
      </c>
      <c r="B397" s="6" t="s">
        <v>4190</v>
      </c>
      <c r="C397" s="6" t="s">
        <v>4191</v>
      </c>
      <c r="D397" s="6">
        <v>25</v>
      </c>
      <c r="E397" s="5">
        <f t="shared" si="36"/>
        <v>25000</v>
      </c>
      <c r="F397" s="5">
        <f t="shared" si="37"/>
        <v>2125</v>
      </c>
      <c r="G397" s="5">
        <f t="shared" si="38"/>
        <v>5.8219178082191778</v>
      </c>
      <c r="H397" s="5">
        <f t="shared" si="39"/>
        <v>1065.4109589041095</v>
      </c>
      <c r="I397" s="5">
        <f t="shared" si="40"/>
        <v>63.92465753424657</v>
      </c>
      <c r="J397" s="5">
        <f t="shared" si="41"/>
        <v>1001.486301369863</v>
      </c>
      <c r="K397" s="1"/>
      <c r="L397" s="6" t="s">
        <v>910</v>
      </c>
      <c r="M397" s="6" t="s">
        <v>981</v>
      </c>
      <c r="N397" s="6" t="s">
        <v>4198</v>
      </c>
    </row>
    <row r="398" spans="1:14" x14ac:dyDescent="0.25">
      <c r="A398" s="6" t="s">
        <v>405</v>
      </c>
      <c r="B398" s="6" t="s">
        <v>4199</v>
      </c>
      <c r="C398" s="6" t="s">
        <v>4200</v>
      </c>
      <c r="D398" s="6">
        <v>300</v>
      </c>
      <c r="E398" s="5">
        <f t="shared" si="36"/>
        <v>300000</v>
      </c>
      <c r="F398" s="5">
        <f t="shared" si="37"/>
        <v>25500.000000000004</v>
      </c>
      <c r="G398" s="5">
        <f t="shared" si="38"/>
        <v>69.863013698630141</v>
      </c>
      <c r="H398" s="5">
        <f t="shared" si="39"/>
        <v>12784.931506849316</v>
      </c>
      <c r="I398" s="5">
        <f t="shared" si="40"/>
        <v>767.09589041095899</v>
      </c>
      <c r="J398" s="5">
        <f t="shared" si="41"/>
        <v>12017.835616438357</v>
      </c>
      <c r="K398" s="1"/>
      <c r="L398" s="6" t="s">
        <v>8</v>
      </c>
      <c r="M398" s="6" t="s">
        <v>2905</v>
      </c>
      <c r="N398" s="6" t="s">
        <v>4206</v>
      </c>
    </row>
    <row r="399" spans="1:14" x14ac:dyDescent="0.25">
      <c r="A399" s="6" t="s">
        <v>406</v>
      </c>
      <c r="B399" s="6" t="s">
        <v>4207</v>
      </c>
      <c r="C399" s="6" t="s">
        <v>2942</v>
      </c>
      <c r="D399" s="6">
        <v>25</v>
      </c>
      <c r="E399" s="5">
        <f t="shared" si="36"/>
        <v>25000</v>
      </c>
      <c r="F399" s="5">
        <f t="shared" si="37"/>
        <v>2125</v>
      </c>
      <c r="G399" s="5">
        <f t="shared" si="38"/>
        <v>5.8219178082191778</v>
      </c>
      <c r="H399" s="5">
        <f t="shared" si="39"/>
        <v>1065.4109589041095</v>
      </c>
      <c r="I399" s="5">
        <f t="shared" si="40"/>
        <v>63.92465753424657</v>
      </c>
      <c r="J399" s="5">
        <f t="shared" si="41"/>
        <v>1001.486301369863</v>
      </c>
      <c r="K399" s="1"/>
      <c r="L399" s="6" t="s">
        <v>910</v>
      </c>
      <c r="M399" s="6" t="s">
        <v>981</v>
      </c>
      <c r="N399" s="6" t="s">
        <v>4212</v>
      </c>
    </row>
    <row r="400" spans="1:14" x14ac:dyDescent="0.25">
      <c r="A400" s="6" t="s">
        <v>407</v>
      </c>
      <c r="B400" s="6" t="s">
        <v>4213</v>
      </c>
      <c r="C400" s="6" t="s">
        <v>4214</v>
      </c>
      <c r="D400" s="6">
        <v>25</v>
      </c>
      <c r="E400" s="5">
        <f t="shared" si="36"/>
        <v>25000</v>
      </c>
      <c r="F400" s="5">
        <f t="shared" si="37"/>
        <v>2125</v>
      </c>
      <c r="G400" s="5">
        <f t="shared" si="38"/>
        <v>5.8219178082191778</v>
      </c>
      <c r="H400" s="5">
        <f t="shared" si="39"/>
        <v>1065.4109589041095</v>
      </c>
      <c r="I400" s="5">
        <f t="shared" si="40"/>
        <v>63.92465753424657</v>
      </c>
      <c r="J400" s="5">
        <f t="shared" si="41"/>
        <v>1001.486301369863</v>
      </c>
      <c r="K400" s="1"/>
      <c r="L400" s="6" t="s">
        <v>910</v>
      </c>
      <c r="M400" s="6" t="s">
        <v>4220</v>
      </c>
      <c r="N400" s="6" t="s">
        <v>4221</v>
      </c>
    </row>
    <row r="401" spans="1:14" x14ac:dyDescent="0.25">
      <c r="A401" s="6" t="s">
        <v>408</v>
      </c>
      <c r="B401" s="6" t="s">
        <v>4222</v>
      </c>
      <c r="C401" s="6" t="s">
        <v>4223</v>
      </c>
      <c r="D401" s="6">
        <v>25</v>
      </c>
      <c r="E401" s="5">
        <f t="shared" si="36"/>
        <v>25000</v>
      </c>
      <c r="F401" s="5">
        <f t="shared" si="37"/>
        <v>2125</v>
      </c>
      <c r="G401" s="5">
        <f t="shared" si="38"/>
        <v>5.8219178082191778</v>
      </c>
      <c r="H401" s="5">
        <f t="shared" si="39"/>
        <v>1065.4109589041095</v>
      </c>
      <c r="I401" s="5">
        <f t="shared" si="40"/>
        <v>63.92465753424657</v>
      </c>
      <c r="J401" s="5">
        <f t="shared" si="41"/>
        <v>1001.486301369863</v>
      </c>
      <c r="K401" s="1"/>
      <c r="L401" s="6" t="s">
        <v>915</v>
      </c>
      <c r="M401" s="6" t="s">
        <v>4229</v>
      </c>
      <c r="N401" s="6" t="s">
        <v>4230</v>
      </c>
    </row>
    <row r="402" spans="1:14" x14ac:dyDescent="0.25">
      <c r="A402" s="6" t="s">
        <v>409</v>
      </c>
      <c r="B402" s="6" t="s">
        <v>4231</v>
      </c>
      <c r="C402" s="6" t="s">
        <v>4232</v>
      </c>
      <c r="D402" s="6">
        <v>25</v>
      </c>
      <c r="E402" s="5">
        <f t="shared" si="36"/>
        <v>25000</v>
      </c>
      <c r="F402" s="5">
        <f t="shared" si="37"/>
        <v>2125</v>
      </c>
      <c r="G402" s="5">
        <f t="shared" si="38"/>
        <v>5.8219178082191778</v>
      </c>
      <c r="H402" s="5">
        <f t="shared" si="39"/>
        <v>1065.4109589041095</v>
      </c>
      <c r="I402" s="5">
        <f t="shared" si="40"/>
        <v>63.92465753424657</v>
      </c>
      <c r="J402" s="5">
        <f t="shared" si="41"/>
        <v>1001.486301369863</v>
      </c>
      <c r="K402" s="1"/>
      <c r="L402" s="6" t="s">
        <v>910</v>
      </c>
      <c r="M402" s="6" t="s">
        <v>4237</v>
      </c>
      <c r="N402" s="6" t="s">
        <v>4238</v>
      </c>
    </row>
    <row r="403" spans="1:14" x14ac:dyDescent="0.25">
      <c r="A403" s="6" t="s">
        <v>410</v>
      </c>
      <c r="B403" s="6" t="s">
        <v>4239</v>
      </c>
      <c r="C403" s="6" t="s">
        <v>4240</v>
      </c>
      <c r="D403" s="6">
        <v>25</v>
      </c>
      <c r="E403" s="5">
        <f t="shared" si="36"/>
        <v>25000</v>
      </c>
      <c r="F403" s="5">
        <f t="shared" si="37"/>
        <v>2125</v>
      </c>
      <c r="G403" s="5">
        <f t="shared" si="38"/>
        <v>5.8219178082191778</v>
      </c>
      <c r="H403" s="5">
        <f t="shared" si="39"/>
        <v>1065.4109589041095</v>
      </c>
      <c r="I403" s="5">
        <f t="shared" si="40"/>
        <v>63.92465753424657</v>
      </c>
      <c r="J403" s="5">
        <f t="shared" si="41"/>
        <v>1001.486301369863</v>
      </c>
      <c r="K403" s="1"/>
      <c r="L403" s="6" t="s">
        <v>915</v>
      </c>
      <c r="M403" s="6" t="s">
        <v>4245</v>
      </c>
      <c r="N403" s="6" t="s">
        <v>4246</v>
      </c>
    </row>
    <row r="404" spans="1:14" x14ac:dyDescent="0.25">
      <c r="A404" s="6" t="s">
        <v>411</v>
      </c>
      <c r="B404" s="6" t="s">
        <v>4247</v>
      </c>
      <c r="C404" s="6" t="s">
        <v>4248</v>
      </c>
      <c r="D404" s="6">
        <v>25</v>
      </c>
      <c r="E404" s="5">
        <f t="shared" si="36"/>
        <v>25000</v>
      </c>
      <c r="F404" s="5">
        <f t="shared" si="37"/>
        <v>2125</v>
      </c>
      <c r="G404" s="5">
        <f t="shared" si="38"/>
        <v>5.8219178082191778</v>
      </c>
      <c r="H404" s="5">
        <f t="shared" si="39"/>
        <v>1065.4109589041095</v>
      </c>
      <c r="I404" s="5">
        <f t="shared" si="40"/>
        <v>63.92465753424657</v>
      </c>
      <c r="J404" s="5">
        <f t="shared" si="41"/>
        <v>1001.486301369863</v>
      </c>
      <c r="K404" s="1"/>
      <c r="L404" s="7"/>
      <c r="M404" s="6" t="s">
        <v>958</v>
      </c>
      <c r="N404" s="6" t="s">
        <v>958</v>
      </c>
    </row>
    <row r="405" spans="1:14" x14ac:dyDescent="0.25">
      <c r="A405" s="6" t="s">
        <v>412</v>
      </c>
      <c r="B405" s="6" t="s">
        <v>4254</v>
      </c>
      <c r="C405" s="6" t="s">
        <v>4255</v>
      </c>
      <c r="D405" s="6">
        <v>25</v>
      </c>
      <c r="E405" s="5">
        <f t="shared" si="36"/>
        <v>25000</v>
      </c>
      <c r="F405" s="5">
        <f t="shared" si="37"/>
        <v>2125</v>
      </c>
      <c r="G405" s="5">
        <f t="shared" si="38"/>
        <v>5.8219178082191778</v>
      </c>
      <c r="H405" s="5">
        <f t="shared" si="39"/>
        <v>1065.4109589041095</v>
      </c>
      <c r="I405" s="5">
        <f t="shared" si="40"/>
        <v>63.92465753424657</v>
      </c>
      <c r="J405" s="5">
        <f t="shared" si="41"/>
        <v>1001.486301369863</v>
      </c>
      <c r="K405" s="1"/>
      <c r="L405" s="6" t="s">
        <v>4</v>
      </c>
      <c r="M405" s="6" t="s">
        <v>4261</v>
      </c>
      <c r="N405" s="6" t="s">
        <v>4262</v>
      </c>
    </row>
    <row r="406" spans="1:14" x14ac:dyDescent="0.25">
      <c r="A406" s="6" t="s">
        <v>413</v>
      </c>
      <c r="B406" s="6" t="s">
        <v>4263</v>
      </c>
      <c r="C406" s="6" t="s">
        <v>4264</v>
      </c>
      <c r="D406" s="6">
        <v>50</v>
      </c>
      <c r="E406" s="5">
        <f t="shared" si="36"/>
        <v>50000</v>
      </c>
      <c r="F406" s="5">
        <f t="shared" si="37"/>
        <v>4250</v>
      </c>
      <c r="G406" s="5">
        <f t="shared" si="38"/>
        <v>11.643835616438356</v>
      </c>
      <c r="H406" s="5">
        <f t="shared" si="39"/>
        <v>2130.821917808219</v>
      </c>
      <c r="I406" s="5">
        <f t="shared" si="40"/>
        <v>127.84931506849314</v>
      </c>
      <c r="J406" s="5">
        <f t="shared" si="41"/>
        <v>2002.972602739726</v>
      </c>
      <c r="K406" s="1"/>
      <c r="L406" s="6" t="s">
        <v>1548</v>
      </c>
      <c r="M406" s="6" t="s">
        <v>1549</v>
      </c>
      <c r="N406" s="6" t="s">
        <v>4270</v>
      </c>
    </row>
    <row r="407" spans="1:14" x14ac:dyDescent="0.25">
      <c r="A407" s="6" t="s">
        <v>1</v>
      </c>
      <c r="B407" s="6" t="s">
        <v>4271</v>
      </c>
      <c r="C407" s="6" t="s">
        <v>4272</v>
      </c>
      <c r="D407" s="6">
        <v>50</v>
      </c>
      <c r="E407" s="5">
        <f t="shared" si="36"/>
        <v>50000</v>
      </c>
      <c r="F407" s="5">
        <f t="shared" si="37"/>
        <v>4250</v>
      </c>
      <c r="G407" s="5">
        <f t="shared" si="38"/>
        <v>11.643835616438356</v>
      </c>
      <c r="H407" s="5">
        <f t="shared" si="39"/>
        <v>2130.821917808219</v>
      </c>
      <c r="I407" s="5">
        <f t="shared" si="40"/>
        <v>127.84931506849314</v>
      </c>
      <c r="J407" s="5">
        <f t="shared" si="41"/>
        <v>2002.972602739726</v>
      </c>
      <c r="K407" s="1"/>
      <c r="L407" s="6" t="s">
        <v>915</v>
      </c>
      <c r="M407" s="6" t="s">
        <v>4229</v>
      </c>
      <c r="N407" s="6" t="s">
        <v>4277</v>
      </c>
    </row>
    <row r="408" spans="1:14" x14ac:dyDescent="0.25">
      <c r="A408" s="6" t="s">
        <v>414</v>
      </c>
      <c r="B408" s="6" t="s">
        <v>4278</v>
      </c>
      <c r="C408" s="6" t="s">
        <v>4279</v>
      </c>
      <c r="D408" s="6">
        <v>25</v>
      </c>
      <c r="E408" s="5">
        <f t="shared" si="36"/>
        <v>25000</v>
      </c>
      <c r="F408" s="5">
        <f t="shared" si="37"/>
        <v>2125</v>
      </c>
      <c r="G408" s="5">
        <f t="shared" si="38"/>
        <v>5.8219178082191778</v>
      </c>
      <c r="H408" s="5">
        <f t="shared" si="39"/>
        <v>1065.4109589041095</v>
      </c>
      <c r="I408" s="5">
        <f t="shared" si="40"/>
        <v>63.92465753424657</v>
      </c>
      <c r="J408" s="5">
        <f t="shared" si="41"/>
        <v>1001.486301369863</v>
      </c>
      <c r="K408" s="1"/>
      <c r="L408" s="6" t="s">
        <v>1218</v>
      </c>
      <c r="M408" s="6" t="s">
        <v>4285</v>
      </c>
      <c r="N408" s="6" t="s">
        <v>4286</v>
      </c>
    </row>
    <row r="409" spans="1:14" x14ac:dyDescent="0.25">
      <c r="A409" s="6" t="s">
        <v>415</v>
      </c>
      <c r="B409" s="6" t="s">
        <v>4287</v>
      </c>
      <c r="C409" s="6" t="s">
        <v>4288</v>
      </c>
      <c r="D409" s="6">
        <v>25</v>
      </c>
      <c r="E409" s="5">
        <f t="shared" si="36"/>
        <v>25000</v>
      </c>
      <c r="F409" s="5">
        <f t="shared" si="37"/>
        <v>2125</v>
      </c>
      <c r="G409" s="5">
        <f t="shared" si="38"/>
        <v>5.8219178082191778</v>
      </c>
      <c r="H409" s="5">
        <f t="shared" si="39"/>
        <v>1065.4109589041095</v>
      </c>
      <c r="I409" s="5">
        <f t="shared" si="40"/>
        <v>63.92465753424657</v>
      </c>
      <c r="J409" s="5">
        <f t="shared" si="41"/>
        <v>1001.486301369863</v>
      </c>
      <c r="K409" s="1"/>
      <c r="L409" s="6" t="s">
        <v>1468</v>
      </c>
      <c r="M409" s="6" t="s">
        <v>3604</v>
      </c>
      <c r="N409" s="6" t="s">
        <v>4294</v>
      </c>
    </row>
    <row r="410" spans="1:14" x14ac:dyDescent="0.25">
      <c r="A410" s="6" t="s">
        <v>416</v>
      </c>
      <c r="B410" s="6" t="s">
        <v>4295</v>
      </c>
      <c r="C410" s="6" t="s">
        <v>4296</v>
      </c>
      <c r="D410" s="6">
        <v>250</v>
      </c>
      <c r="E410" s="5">
        <f t="shared" si="36"/>
        <v>250000</v>
      </c>
      <c r="F410" s="5">
        <f t="shared" si="37"/>
        <v>21250</v>
      </c>
      <c r="G410" s="5">
        <f t="shared" si="38"/>
        <v>58.219178082191782</v>
      </c>
      <c r="H410" s="5">
        <f t="shared" si="39"/>
        <v>10654.109589041096</v>
      </c>
      <c r="I410" s="5">
        <f t="shared" si="40"/>
        <v>639.24657534246569</v>
      </c>
      <c r="J410" s="5">
        <f t="shared" si="41"/>
        <v>10014.86301369863</v>
      </c>
      <c r="K410" s="1"/>
      <c r="L410" s="6" t="s">
        <v>3</v>
      </c>
      <c r="M410" s="6" t="s">
        <v>1407</v>
      </c>
      <c r="N410" s="6" t="s">
        <v>4302</v>
      </c>
    </row>
    <row r="411" spans="1:14" x14ac:dyDescent="0.25">
      <c r="A411" s="6" t="s">
        <v>417</v>
      </c>
      <c r="B411" s="6" t="s">
        <v>4303</v>
      </c>
      <c r="C411" s="6" t="s">
        <v>4304</v>
      </c>
      <c r="D411" s="6">
        <v>129</v>
      </c>
      <c r="E411" s="5">
        <f t="shared" si="36"/>
        <v>129000</v>
      </c>
      <c r="F411" s="5">
        <f t="shared" si="37"/>
        <v>10965</v>
      </c>
      <c r="G411" s="5">
        <f t="shared" si="38"/>
        <v>30.041095890410958</v>
      </c>
      <c r="H411" s="5">
        <f t="shared" si="39"/>
        <v>5497.5205479452052</v>
      </c>
      <c r="I411" s="5">
        <f t="shared" si="40"/>
        <v>329.85123287671229</v>
      </c>
      <c r="J411" s="5">
        <f t="shared" si="41"/>
        <v>5167.6693150684932</v>
      </c>
      <c r="K411" s="1"/>
      <c r="L411" s="6" t="s">
        <v>910</v>
      </c>
      <c r="M411" s="6" t="s">
        <v>981</v>
      </c>
      <c r="N411" s="6" t="s">
        <v>4308</v>
      </c>
    </row>
    <row r="412" spans="1:14" x14ac:dyDescent="0.25">
      <c r="A412" s="6" t="s">
        <v>418</v>
      </c>
      <c r="B412" s="6" t="s">
        <v>4309</v>
      </c>
      <c r="C412" s="6" t="s">
        <v>4310</v>
      </c>
      <c r="D412" s="6">
        <v>25</v>
      </c>
      <c r="E412" s="5">
        <f t="shared" si="36"/>
        <v>25000</v>
      </c>
      <c r="F412" s="5">
        <f t="shared" si="37"/>
        <v>2125</v>
      </c>
      <c r="G412" s="5">
        <f t="shared" si="38"/>
        <v>5.8219178082191778</v>
      </c>
      <c r="H412" s="5">
        <f t="shared" si="39"/>
        <v>1065.4109589041095</v>
      </c>
      <c r="I412" s="5">
        <f t="shared" si="40"/>
        <v>63.92465753424657</v>
      </c>
      <c r="J412" s="5">
        <f t="shared" si="41"/>
        <v>1001.486301369863</v>
      </c>
      <c r="K412" s="1"/>
      <c r="L412" s="6" t="s">
        <v>914</v>
      </c>
      <c r="M412" s="6" t="s">
        <v>4315</v>
      </c>
      <c r="N412" s="6" t="s">
        <v>4316</v>
      </c>
    </row>
    <row r="413" spans="1:14" x14ac:dyDescent="0.25">
      <c r="A413" s="6" t="s">
        <v>419</v>
      </c>
      <c r="B413" s="6" t="s">
        <v>4317</v>
      </c>
      <c r="C413" s="6" t="s">
        <v>4318</v>
      </c>
      <c r="D413" s="6">
        <v>310</v>
      </c>
      <c r="E413" s="5">
        <f t="shared" si="36"/>
        <v>310000</v>
      </c>
      <c r="F413" s="5">
        <f t="shared" si="37"/>
        <v>26350.000000000004</v>
      </c>
      <c r="G413" s="5">
        <f t="shared" si="38"/>
        <v>72.191780821917817</v>
      </c>
      <c r="H413" s="5">
        <f t="shared" si="39"/>
        <v>13211.095890410961</v>
      </c>
      <c r="I413" s="5">
        <f t="shared" si="40"/>
        <v>792.66575342465762</v>
      </c>
      <c r="J413" s="5">
        <f t="shared" si="41"/>
        <v>12418.430136986304</v>
      </c>
      <c r="K413" s="1"/>
      <c r="L413" s="6" t="s">
        <v>910</v>
      </c>
      <c r="M413" s="6" t="s">
        <v>1194</v>
      </c>
      <c r="N413" s="6" t="s">
        <v>4324</v>
      </c>
    </row>
    <row r="414" spans="1:14" x14ac:dyDescent="0.25">
      <c r="A414" s="6" t="s">
        <v>420</v>
      </c>
      <c r="B414" s="6" t="s">
        <v>4325</v>
      </c>
      <c r="C414" s="6" t="s">
        <v>4326</v>
      </c>
      <c r="D414" s="6">
        <v>25</v>
      </c>
      <c r="E414" s="5">
        <f t="shared" si="36"/>
        <v>25000</v>
      </c>
      <c r="F414" s="5">
        <f t="shared" si="37"/>
        <v>2125</v>
      </c>
      <c r="G414" s="5">
        <f t="shared" si="38"/>
        <v>5.8219178082191778</v>
      </c>
      <c r="H414" s="5">
        <f t="shared" si="39"/>
        <v>1065.4109589041095</v>
      </c>
      <c r="I414" s="5">
        <f t="shared" si="40"/>
        <v>63.92465753424657</v>
      </c>
      <c r="J414" s="5">
        <f t="shared" si="41"/>
        <v>1001.486301369863</v>
      </c>
      <c r="K414" s="1"/>
      <c r="L414" s="6" t="s">
        <v>919</v>
      </c>
      <c r="M414" s="6" t="s">
        <v>4332</v>
      </c>
      <c r="N414" s="6" t="s">
        <v>4333</v>
      </c>
    </row>
    <row r="415" spans="1:14" x14ac:dyDescent="0.25">
      <c r="A415" s="6" t="s">
        <v>421</v>
      </c>
      <c r="B415" s="6" t="s">
        <v>4334</v>
      </c>
      <c r="C415" s="6" t="s">
        <v>4335</v>
      </c>
      <c r="D415" s="6">
        <v>40</v>
      </c>
      <c r="E415" s="5">
        <f t="shared" si="36"/>
        <v>40000</v>
      </c>
      <c r="F415" s="5">
        <f t="shared" si="37"/>
        <v>3400.0000000000005</v>
      </c>
      <c r="G415" s="5">
        <f t="shared" si="38"/>
        <v>9.3150684931506866</v>
      </c>
      <c r="H415" s="5">
        <f t="shared" si="39"/>
        <v>1704.6575342465756</v>
      </c>
      <c r="I415" s="5">
        <f t="shared" si="40"/>
        <v>102.27945205479453</v>
      </c>
      <c r="J415" s="5">
        <f t="shared" si="41"/>
        <v>1602.378082191781</v>
      </c>
      <c r="K415" s="1"/>
      <c r="L415" s="6" t="s">
        <v>910</v>
      </c>
      <c r="M415" s="6" t="s">
        <v>981</v>
      </c>
      <c r="N415" s="6" t="s">
        <v>4341</v>
      </c>
    </row>
    <row r="416" spans="1:14" x14ac:dyDescent="0.25">
      <c r="A416" s="6" t="s">
        <v>422</v>
      </c>
      <c r="B416" s="6" t="s">
        <v>4342</v>
      </c>
      <c r="C416" s="6" t="s">
        <v>4343</v>
      </c>
      <c r="D416" s="6">
        <v>75</v>
      </c>
      <c r="E416" s="5">
        <f t="shared" si="36"/>
        <v>75000</v>
      </c>
      <c r="F416" s="5">
        <f t="shared" si="37"/>
        <v>6375.0000000000009</v>
      </c>
      <c r="G416" s="5">
        <f t="shared" si="38"/>
        <v>17.465753424657535</v>
      </c>
      <c r="H416" s="5">
        <f t="shared" si="39"/>
        <v>3196.232876712329</v>
      </c>
      <c r="I416" s="5">
        <f t="shared" si="40"/>
        <v>191.77397260273975</v>
      </c>
      <c r="J416" s="5">
        <f t="shared" si="41"/>
        <v>3004.4589041095892</v>
      </c>
      <c r="K416" s="1"/>
      <c r="L416" s="6" t="s">
        <v>910</v>
      </c>
      <c r="M416" s="6" t="s">
        <v>4349</v>
      </c>
      <c r="N416" s="6" t="s">
        <v>4350</v>
      </c>
    </row>
    <row r="417" spans="1:14" x14ac:dyDescent="0.25">
      <c r="A417" s="6" t="s">
        <v>423</v>
      </c>
      <c r="B417" s="6" t="s">
        <v>4351</v>
      </c>
      <c r="C417" s="6" t="s">
        <v>4352</v>
      </c>
      <c r="D417" s="6">
        <v>200</v>
      </c>
      <c r="E417" s="5">
        <f t="shared" si="36"/>
        <v>200000</v>
      </c>
      <c r="F417" s="5">
        <f t="shared" si="37"/>
        <v>17000</v>
      </c>
      <c r="G417" s="5">
        <f t="shared" si="38"/>
        <v>46.575342465753423</v>
      </c>
      <c r="H417" s="5">
        <f t="shared" si="39"/>
        <v>8523.2876712328762</v>
      </c>
      <c r="I417" s="5">
        <f t="shared" si="40"/>
        <v>511.39726027397256</v>
      </c>
      <c r="J417" s="5">
        <f t="shared" si="41"/>
        <v>8011.8904109589039</v>
      </c>
      <c r="K417" s="1"/>
      <c r="L417" s="6" t="s">
        <v>919</v>
      </c>
      <c r="M417" s="6" t="s">
        <v>1011</v>
      </c>
      <c r="N417" s="6" t="s">
        <v>4357</v>
      </c>
    </row>
    <row r="418" spans="1:14" x14ac:dyDescent="0.25">
      <c r="A418" s="6" t="s">
        <v>424</v>
      </c>
      <c r="B418" s="6" t="s">
        <v>4358</v>
      </c>
      <c r="C418" s="6" t="s">
        <v>4359</v>
      </c>
      <c r="D418" s="6">
        <v>300</v>
      </c>
      <c r="E418" s="5">
        <f t="shared" si="36"/>
        <v>300000</v>
      </c>
      <c r="F418" s="5">
        <f t="shared" si="37"/>
        <v>25500.000000000004</v>
      </c>
      <c r="G418" s="5">
        <f t="shared" si="38"/>
        <v>69.863013698630141</v>
      </c>
      <c r="H418" s="5">
        <f t="shared" si="39"/>
        <v>12784.931506849316</v>
      </c>
      <c r="I418" s="5">
        <f t="shared" si="40"/>
        <v>767.09589041095899</v>
      </c>
      <c r="J418" s="5">
        <f t="shared" si="41"/>
        <v>12017.835616438357</v>
      </c>
      <c r="K418" s="1"/>
      <c r="L418" s="6" t="s">
        <v>5</v>
      </c>
      <c r="M418" s="6" t="s">
        <v>1997</v>
      </c>
      <c r="N418" s="6" t="s">
        <v>4365</v>
      </c>
    </row>
    <row r="419" spans="1:14" x14ac:dyDescent="0.25">
      <c r="A419" s="6" t="s">
        <v>425</v>
      </c>
      <c r="B419" s="6" t="s">
        <v>4366</v>
      </c>
      <c r="C419" s="6" t="s">
        <v>4367</v>
      </c>
      <c r="D419" s="6">
        <v>25</v>
      </c>
      <c r="E419" s="5">
        <f t="shared" si="36"/>
        <v>25000</v>
      </c>
      <c r="F419" s="5">
        <f t="shared" si="37"/>
        <v>2125</v>
      </c>
      <c r="G419" s="5">
        <f t="shared" si="38"/>
        <v>5.8219178082191778</v>
      </c>
      <c r="H419" s="5">
        <f t="shared" si="39"/>
        <v>1065.4109589041095</v>
      </c>
      <c r="I419" s="5">
        <f t="shared" si="40"/>
        <v>63.92465753424657</v>
      </c>
      <c r="J419" s="5">
        <f t="shared" si="41"/>
        <v>1001.486301369863</v>
      </c>
      <c r="K419" s="1"/>
      <c r="L419" s="6" t="s">
        <v>1496</v>
      </c>
      <c r="M419" s="6" t="s">
        <v>4373</v>
      </c>
      <c r="N419" s="6" t="s">
        <v>4374</v>
      </c>
    </row>
    <row r="420" spans="1:14" x14ac:dyDescent="0.25">
      <c r="A420" s="6" t="s">
        <v>426</v>
      </c>
      <c r="B420" s="6" t="s">
        <v>4375</v>
      </c>
      <c r="C420" s="6" t="s">
        <v>4376</v>
      </c>
      <c r="D420" s="6">
        <v>25</v>
      </c>
      <c r="E420" s="5">
        <f t="shared" si="36"/>
        <v>25000</v>
      </c>
      <c r="F420" s="5">
        <f t="shared" si="37"/>
        <v>2125</v>
      </c>
      <c r="G420" s="5">
        <f t="shared" si="38"/>
        <v>5.8219178082191778</v>
      </c>
      <c r="H420" s="5">
        <f t="shared" si="39"/>
        <v>1065.4109589041095</v>
      </c>
      <c r="I420" s="5">
        <f t="shared" si="40"/>
        <v>63.92465753424657</v>
      </c>
      <c r="J420" s="5">
        <f t="shared" si="41"/>
        <v>1001.486301369863</v>
      </c>
      <c r="K420" s="1"/>
      <c r="L420" s="7"/>
      <c r="M420" s="6" t="s">
        <v>958</v>
      </c>
      <c r="N420" s="6" t="s">
        <v>958</v>
      </c>
    </row>
    <row r="421" spans="1:14" x14ac:dyDescent="0.25">
      <c r="A421" s="6" t="s">
        <v>427</v>
      </c>
      <c r="B421" s="6" t="s">
        <v>4381</v>
      </c>
      <c r="C421" s="6" t="s">
        <v>4382</v>
      </c>
      <c r="D421" s="6">
        <v>25</v>
      </c>
      <c r="E421" s="5">
        <f t="shared" si="36"/>
        <v>25000</v>
      </c>
      <c r="F421" s="5">
        <f t="shared" si="37"/>
        <v>2125</v>
      </c>
      <c r="G421" s="5">
        <f t="shared" si="38"/>
        <v>5.8219178082191778</v>
      </c>
      <c r="H421" s="5">
        <f t="shared" si="39"/>
        <v>1065.4109589041095</v>
      </c>
      <c r="I421" s="5">
        <f t="shared" si="40"/>
        <v>63.92465753424657</v>
      </c>
      <c r="J421" s="5">
        <f t="shared" si="41"/>
        <v>1001.486301369863</v>
      </c>
      <c r="K421" s="1"/>
      <c r="L421" s="6" t="s">
        <v>8</v>
      </c>
      <c r="M421" s="6" t="s">
        <v>4387</v>
      </c>
      <c r="N421" s="6" t="s">
        <v>4388</v>
      </c>
    </row>
    <row r="422" spans="1:14" x14ac:dyDescent="0.25">
      <c r="A422" s="6" t="s">
        <v>428</v>
      </c>
      <c r="B422" s="6" t="s">
        <v>4389</v>
      </c>
      <c r="C422" s="6" t="s">
        <v>4390</v>
      </c>
      <c r="D422" s="6">
        <v>25</v>
      </c>
      <c r="E422" s="5">
        <f t="shared" si="36"/>
        <v>25000</v>
      </c>
      <c r="F422" s="5">
        <f t="shared" si="37"/>
        <v>2125</v>
      </c>
      <c r="G422" s="5">
        <f t="shared" si="38"/>
        <v>5.8219178082191778</v>
      </c>
      <c r="H422" s="5">
        <f t="shared" si="39"/>
        <v>1065.4109589041095</v>
      </c>
      <c r="I422" s="5">
        <f t="shared" si="40"/>
        <v>63.92465753424657</v>
      </c>
      <c r="J422" s="5">
        <f t="shared" si="41"/>
        <v>1001.486301369863</v>
      </c>
      <c r="K422" s="1"/>
      <c r="L422" s="6" t="s">
        <v>8</v>
      </c>
      <c r="M422" s="6" t="s">
        <v>4396</v>
      </c>
      <c r="N422" s="6" t="s">
        <v>4397</v>
      </c>
    </row>
    <row r="423" spans="1:14" x14ac:dyDescent="0.25">
      <c r="A423" s="6" t="s">
        <v>429</v>
      </c>
      <c r="B423" s="6" t="s">
        <v>4398</v>
      </c>
      <c r="C423" s="6" t="s">
        <v>4399</v>
      </c>
      <c r="D423" s="6">
        <v>300</v>
      </c>
      <c r="E423" s="5">
        <f t="shared" si="36"/>
        <v>300000</v>
      </c>
      <c r="F423" s="5">
        <f t="shared" si="37"/>
        <v>25500.000000000004</v>
      </c>
      <c r="G423" s="5">
        <f t="shared" si="38"/>
        <v>69.863013698630141</v>
      </c>
      <c r="H423" s="5">
        <f t="shared" si="39"/>
        <v>12784.931506849316</v>
      </c>
      <c r="I423" s="5">
        <f t="shared" si="40"/>
        <v>767.09589041095899</v>
      </c>
      <c r="J423" s="5">
        <f t="shared" si="41"/>
        <v>12017.835616438357</v>
      </c>
      <c r="K423" s="1"/>
      <c r="L423" s="6" t="s">
        <v>1218</v>
      </c>
      <c r="M423" s="6" t="s">
        <v>2396</v>
      </c>
      <c r="N423" s="6" t="s">
        <v>4404</v>
      </c>
    </row>
    <row r="424" spans="1:14" x14ac:dyDescent="0.25">
      <c r="A424" s="6" t="s">
        <v>430</v>
      </c>
      <c r="B424" s="6" t="s">
        <v>4405</v>
      </c>
      <c r="C424" s="6" t="s">
        <v>4406</v>
      </c>
      <c r="D424" s="6">
        <v>27</v>
      </c>
      <c r="E424" s="5">
        <f t="shared" si="36"/>
        <v>27000</v>
      </c>
      <c r="F424" s="5">
        <f t="shared" si="37"/>
        <v>2295</v>
      </c>
      <c r="G424" s="5">
        <f t="shared" si="38"/>
        <v>6.2876712328767121</v>
      </c>
      <c r="H424" s="5">
        <f t="shared" si="39"/>
        <v>1150.6438356164383</v>
      </c>
      <c r="I424" s="5">
        <f t="shared" si="40"/>
        <v>69.038630136986299</v>
      </c>
      <c r="J424" s="5">
        <f t="shared" si="41"/>
        <v>1081.605205479452</v>
      </c>
      <c r="K424" s="1"/>
      <c r="L424" s="6" t="s">
        <v>1496</v>
      </c>
      <c r="M424" s="6" t="s">
        <v>4411</v>
      </c>
      <c r="N424" s="6" t="s">
        <v>4412</v>
      </c>
    </row>
    <row r="425" spans="1:14" x14ac:dyDescent="0.25">
      <c r="A425" s="6" t="s">
        <v>431</v>
      </c>
      <c r="B425" s="6" t="s">
        <v>4413</v>
      </c>
      <c r="C425" s="6" t="s">
        <v>4414</v>
      </c>
      <c r="D425" s="6">
        <v>30</v>
      </c>
      <c r="E425" s="5">
        <f t="shared" si="36"/>
        <v>30000</v>
      </c>
      <c r="F425" s="5">
        <f t="shared" si="37"/>
        <v>2550</v>
      </c>
      <c r="G425" s="5">
        <f t="shared" si="38"/>
        <v>6.9863013698630141</v>
      </c>
      <c r="H425" s="5">
        <f t="shared" si="39"/>
        <v>1278.4931506849316</v>
      </c>
      <c r="I425" s="5">
        <f t="shared" si="40"/>
        <v>76.709589041095896</v>
      </c>
      <c r="J425" s="5">
        <f t="shared" si="41"/>
        <v>1201.7835616438358</v>
      </c>
      <c r="K425" s="1"/>
      <c r="L425" s="6" t="s">
        <v>915</v>
      </c>
      <c r="M425" s="6" t="s">
        <v>4420</v>
      </c>
      <c r="N425" s="6" t="s">
        <v>4421</v>
      </c>
    </row>
    <row r="426" spans="1:14" x14ac:dyDescent="0.25">
      <c r="A426" s="6" t="s">
        <v>432</v>
      </c>
      <c r="B426" s="6" t="s">
        <v>4422</v>
      </c>
      <c r="C426" s="6" t="s">
        <v>2112</v>
      </c>
      <c r="D426" s="6">
        <v>25</v>
      </c>
      <c r="E426" s="5">
        <f t="shared" si="36"/>
        <v>25000</v>
      </c>
      <c r="F426" s="5">
        <f t="shared" si="37"/>
        <v>2125</v>
      </c>
      <c r="G426" s="5">
        <f t="shared" si="38"/>
        <v>5.8219178082191778</v>
      </c>
      <c r="H426" s="5">
        <f t="shared" si="39"/>
        <v>1065.4109589041095</v>
      </c>
      <c r="I426" s="5">
        <f t="shared" si="40"/>
        <v>63.92465753424657</v>
      </c>
      <c r="J426" s="5">
        <f t="shared" si="41"/>
        <v>1001.486301369863</v>
      </c>
      <c r="K426" s="1"/>
      <c r="L426" s="6" t="s">
        <v>1</v>
      </c>
      <c r="M426" s="6" t="s">
        <v>2116</v>
      </c>
      <c r="N426" s="6" t="s">
        <v>4427</v>
      </c>
    </row>
    <row r="427" spans="1:14" x14ac:dyDescent="0.25">
      <c r="A427" s="6" t="s">
        <v>433</v>
      </c>
      <c r="B427" s="6" t="s">
        <v>4428</v>
      </c>
      <c r="C427" s="6" t="s">
        <v>4429</v>
      </c>
      <c r="D427" s="6">
        <v>25</v>
      </c>
      <c r="E427" s="5">
        <f t="shared" si="36"/>
        <v>25000</v>
      </c>
      <c r="F427" s="5">
        <f t="shared" si="37"/>
        <v>2125</v>
      </c>
      <c r="G427" s="5">
        <f t="shared" si="38"/>
        <v>5.8219178082191778</v>
      </c>
      <c r="H427" s="5">
        <f t="shared" si="39"/>
        <v>1065.4109589041095</v>
      </c>
      <c r="I427" s="5">
        <f t="shared" si="40"/>
        <v>63.92465753424657</v>
      </c>
      <c r="J427" s="5">
        <f t="shared" si="41"/>
        <v>1001.486301369863</v>
      </c>
      <c r="K427" s="1"/>
      <c r="L427" s="6" t="s">
        <v>1</v>
      </c>
      <c r="M427" s="6" t="s">
        <v>1806</v>
      </c>
      <c r="N427" s="6" t="s">
        <v>4435</v>
      </c>
    </row>
    <row r="428" spans="1:14" x14ac:dyDescent="0.25">
      <c r="A428" s="6" t="s">
        <v>434</v>
      </c>
      <c r="B428" s="6" t="s">
        <v>4436</v>
      </c>
      <c r="C428" s="6" t="s">
        <v>4437</v>
      </c>
      <c r="D428" s="6">
        <v>50</v>
      </c>
      <c r="E428" s="5">
        <f t="shared" si="36"/>
        <v>50000</v>
      </c>
      <c r="F428" s="5">
        <f t="shared" si="37"/>
        <v>4250</v>
      </c>
      <c r="G428" s="5">
        <f t="shared" si="38"/>
        <v>11.643835616438356</v>
      </c>
      <c r="H428" s="5">
        <f t="shared" si="39"/>
        <v>2130.821917808219</v>
      </c>
      <c r="I428" s="5">
        <f t="shared" si="40"/>
        <v>127.84931506849314</v>
      </c>
      <c r="J428" s="5">
        <f t="shared" si="41"/>
        <v>2002.972602739726</v>
      </c>
      <c r="K428" s="1"/>
      <c r="L428" s="6" t="s">
        <v>1478</v>
      </c>
      <c r="M428" s="6" t="s">
        <v>1479</v>
      </c>
      <c r="N428" s="6" t="s">
        <v>4442</v>
      </c>
    </row>
    <row r="429" spans="1:14" x14ac:dyDescent="0.25">
      <c r="A429" s="6" t="s">
        <v>435</v>
      </c>
      <c r="B429" s="6" t="s">
        <v>4443</v>
      </c>
      <c r="C429" s="6" t="s">
        <v>4444</v>
      </c>
      <c r="D429" s="6">
        <v>100</v>
      </c>
      <c r="E429" s="5">
        <f t="shared" si="36"/>
        <v>100000</v>
      </c>
      <c r="F429" s="5">
        <f t="shared" si="37"/>
        <v>8500</v>
      </c>
      <c r="G429" s="5">
        <f t="shared" si="38"/>
        <v>23.287671232876711</v>
      </c>
      <c r="H429" s="5">
        <f t="shared" si="39"/>
        <v>4261.6438356164381</v>
      </c>
      <c r="I429" s="5">
        <f t="shared" si="40"/>
        <v>255.69863013698628</v>
      </c>
      <c r="J429" s="5">
        <f t="shared" si="41"/>
        <v>4005.9452054794519</v>
      </c>
      <c r="K429" s="1"/>
      <c r="L429" s="6" t="s">
        <v>1</v>
      </c>
      <c r="M429" s="6" t="s">
        <v>4449</v>
      </c>
      <c r="N429" s="6" t="s">
        <v>4450</v>
      </c>
    </row>
    <row r="430" spans="1:14" x14ac:dyDescent="0.25">
      <c r="A430" s="6" t="s">
        <v>436</v>
      </c>
      <c r="B430" s="6" t="s">
        <v>4451</v>
      </c>
      <c r="C430" s="6" t="s">
        <v>4452</v>
      </c>
      <c r="D430" s="6">
        <v>25</v>
      </c>
      <c r="E430" s="5">
        <f t="shared" si="36"/>
        <v>25000</v>
      </c>
      <c r="F430" s="5">
        <f t="shared" si="37"/>
        <v>2125</v>
      </c>
      <c r="G430" s="5">
        <f t="shared" si="38"/>
        <v>5.8219178082191778</v>
      </c>
      <c r="H430" s="5">
        <f t="shared" si="39"/>
        <v>1065.4109589041095</v>
      </c>
      <c r="I430" s="5">
        <f t="shared" si="40"/>
        <v>63.92465753424657</v>
      </c>
      <c r="J430" s="5">
        <f t="shared" si="41"/>
        <v>1001.486301369863</v>
      </c>
      <c r="K430" s="1"/>
      <c r="L430" s="6" t="s">
        <v>2165</v>
      </c>
      <c r="M430" s="6" t="s">
        <v>4458</v>
      </c>
      <c r="N430" s="6" t="s">
        <v>4459</v>
      </c>
    </row>
    <row r="431" spans="1:14" x14ac:dyDescent="0.25">
      <c r="A431" s="6" t="s">
        <v>437</v>
      </c>
      <c r="B431" s="6" t="s">
        <v>4460</v>
      </c>
      <c r="C431" s="6" t="s">
        <v>4461</v>
      </c>
      <c r="D431" s="6">
        <v>25</v>
      </c>
      <c r="E431" s="5">
        <f t="shared" si="36"/>
        <v>25000</v>
      </c>
      <c r="F431" s="5">
        <f t="shared" si="37"/>
        <v>2125</v>
      </c>
      <c r="G431" s="5">
        <f t="shared" si="38"/>
        <v>5.8219178082191778</v>
      </c>
      <c r="H431" s="5">
        <f t="shared" si="39"/>
        <v>1065.4109589041095</v>
      </c>
      <c r="I431" s="5">
        <f t="shared" si="40"/>
        <v>63.92465753424657</v>
      </c>
      <c r="J431" s="5">
        <f t="shared" si="41"/>
        <v>1001.486301369863</v>
      </c>
      <c r="K431" s="1"/>
      <c r="L431" s="6" t="s">
        <v>1637</v>
      </c>
      <c r="M431" s="6" t="s">
        <v>1638</v>
      </c>
      <c r="N431" s="6" t="s">
        <v>4466</v>
      </c>
    </row>
    <row r="432" spans="1:14" x14ac:dyDescent="0.25">
      <c r="A432" s="6" t="s">
        <v>438</v>
      </c>
      <c r="B432" s="6" t="s">
        <v>4467</v>
      </c>
      <c r="C432" s="6" t="s">
        <v>4468</v>
      </c>
      <c r="D432" s="6">
        <v>500</v>
      </c>
      <c r="E432" s="5">
        <f t="shared" si="36"/>
        <v>500000</v>
      </c>
      <c r="F432" s="5">
        <f t="shared" si="37"/>
        <v>42500</v>
      </c>
      <c r="G432" s="5">
        <f t="shared" si="38"/>
        <v>116.43835616438356</v>
      </c>
      <c r="H432" s="5">
        <f t="shared" si="39"/>
        <v>21308.219178082192</v>
      </c>
      <c r="I432" s="5">
        <f t="shared" si="40"/>
        <v>1278.4931506849314</v>
      </c>
      <c r="J432" s="5">
        <f t="shared" si="41"/>
        <v>20029.726027397261</v>
      </c>
      <c r="K432" s="1"/>
      <c r="L432" s="6" t="s">
        <v>1637</v>
      </c>
      <c r="M432" s="6" t="s">
        <v>4474</v>
      </c>
      <c r="N432" s="6" t="s">
        <v>4475</v>
      </c>
    </row>
    <row r="433" spans="1:14" x14ac:dyDescent="0.25">
      <c r="A433" s="6" t="s">
        <v>439</v>
      </c>
      <c r="B433" s="6" t="s">
        <v>4476</v>
      </c>
      <c r="C433" s="6" t="s">
        <v>4477</v>
      </c>
      <c r="D433" s="6">
        <v>25</v>
      </c>
      <c r="E433" s="5">
        <f t="shared" si="36"/>
        <v>25000</v>
      </c>
      <c r="F433" s="5">
        <f t="shared" si="37"/>
        <v>2125</v>
      </c>
      <c r="G433" s="5">
        <f t="shared" si="38"/>
        <v>5.8219178082191778</v>
      </c>
      <c r="H433" s="5">
        <f t="shared" si="39"/>
        <v>1065.4109589041095</v>
      </c>
      <c r="I433" s="5">
        <f t="shared" si="40"/>
        <v>63.92465753424657</v>
      </c>
      <c r="J433" s="5">
        <f t="shared" si="41"/>
        <v>1001.486301369863</v>
      </c>
      <c r="K433" s="1"/>
      <c r="L433" s="6" t="s">
        <v>4482</v>
      </c>
      <c r="M433" s="6" t="s">
        <v>4483</v>
      </c>
      <c r="N433" s="6" t="s">
        <v>4484</v>
      </c>
    </row>
    <row r="434" spans="1:14" x14ac:dyDescent="0.25">
      <c r="A434" s="6" t="s">
        <v>440</v>
      </c>
      <c r="B434" s="6" t="s">
        <v>4485</v>
      </c>
      <c r="C434" s="6" t="s">
        <v>4486</v>
      </c>
      <c r="D434" s="6">
        <v>25</v>
      </c>
      <c r="E434" s="5">
        <f t="shared" si="36"/>
        <v>25000</v>
      </c>
      <c r="F434" s="5">
        <f t="shared" si="37"/>
        <v>2125</v>
      </c>
      <c r="G434" s="5">
        <f t="shared" si="38"/>
        <v>5.8219178082191778</v>
      </c>
      <c r="H434" s="5">
        <f t="shared" si="39"/>
        <v>1065.4109589041095</v>
      </c>
      <c r="I434" s="5">
        <f t="shared" si="40"/>
        <v>63.92465753424657</v>
      </c>
      <c r="J434" s="5">
        <f t="shared" si="41"/>
        <v>1001.486301369863</v>
      </c>
      <c r="K434" s="1"/>
      <c r="L434" s="6" t="s">
        <v>1</v>
      </c>
      <c r="M434" s="6" t="s">
        <v>3916</v>
      </c>
      <c r="N434" s="6" t="s">
        <v>4492</v>
      </c>
    </row>
    <row r="435" spans="1:14" x14ac:dyDescent="0.25">
      <c r="A435" s="6" t="s">
        <v>441</v>
      </c>
      <c r="B435" s="6" t="s">
        <v>4493</v>
      </c>
      <c r="C435" s="6" t="s">
        <v>4494</v>
      </c>
      <c r="D435" s="6">
        <v>200</v>
      </c>
      <c r="E435" s="5">
        <f t="shared" si="36"/>
        <v>200000</v>
      </c>
      <c r="F435" s="5">
        <f t="shared" si="37"/>
        <v>17000</v>
      </c>
      <c r="G435" s="5">
        <f t="shared" si="38"/>
        <v>46.575342465753423</v>
      </c>
      <c r="H435" s="5">
        <f t="shared" si="39"/>
        <v>8523.2876712328762</v>
      </c>
      <c r="I435" s="5">
        <f t="shared" si="40"/>
        <v>511.39726027397256</v>
      </c>
      <c r="J435" s="5">
        <f t="shared" si="41"/>
        <v>8011.8904109589039</v>
      </c>
      <c r="K435" s="1"/>
      <c r="L435" s="6" t="s">
        <v>915</v>
      </c>
      <c r="M435" s="6" t="s">
        <v>926</v>
      </c>
      <c r="N435" s="6" t="s">
        <v>4500</v>
      </c>
    </row>
    <row r="436" spans="1:14" x14ac:dyDescent="0.25">
      <c r="A436" s="6" t="s">
        <v>442</v>
      </c>
      <c r="B436" s="6" t="s">
        <v>4501</v>
      </c>
      <c r="C436" s="6" t="s">
        <v>4502</v>
      </c>
      <c r="D436" s="6">
        <v>25</v>
      </c>
      <c r="E436" s="5">
        <f t="shared" si="36"/>
        <v>25000</v>
      </c>
      <c r="F436" s="5">
        <f t="shared" si="37"/>
        <v>2125</v>
      </c>
      <c r="G436" s="5">
        <f t="shared" si="38"/>
        <v>5.8219178082191778</v>
      </c>
      <c r="H436" s="5">
        <f t="shared" si="39"/>
        <v>1065.4109589041095</v>
      </c>
      <c r="I436" s="5">
        <f t="shared" si="40"/>
        <v>63.92465753424657</v>
      </c>
      <c r="J436" s="5">
        <f t="shared" si="41"/>
        <v>1001.486301369863</v>
      </c>
      <c r="K436" s="1"/>
      <c r="L436" s="6" t="s">
        <v>1478</v>
      </c>
      <c r="M436" s="6" t="s">
        <v>1479</v>
      </c>
      <c r="N436" s="6" t="s">
        <v>4507</v>
      </c>
    </row>
    <row r="437" spans="1:14" x14ac:dyDescent="0.25">
      <c r="A437" s="6" t="s">
        <v>443</v>
      </c>
      <c r="B437" s="6" t="s">
        <v>4508</v>
      </c>
      <c r="C437" s="6" t="s">
        <v>4509</v>
      </c>
      <c r="D437" s="6">
        <v>25</v>
      </c>
      <c r="E437" s="5">
        <f t="shared" si="36"/>
        <v>25000</v>
      </c>
      <c r="F437" s="5">
        <f t="shared" si="37"/>
        <v>2125</v>
      </c>
      <c r="G437" s="5">
        <f t="shared" si="38"/>
        <v>5.8219178082191778</v>
      </c>
      <c r="H437" s="5">
        <f t="shared" si="39"/>
        <v>1065.4109589041095</v>
      </c>
      <c r="I437" s="5">
        <f t="shared" si="40"/>
        <v>63.92465753424657</v>
      </c>
      <c r="J437" s="5">
        <f t="shared" si="41"/>
        <v>1001.486301369863</v>
      </c>
      <c r="K437" s="1"/>
      <c r="L437" s="6" t="s">
        <v>919</v>
      </c>
      <c r="M437" s="6" t="s">
        <v>4515</v>
      </c>
      <c r="N437" s="6" t="s">
        <v>4516</v>
      </c>
    </row>
    <row r="438" spans="1:14" x14ac:dyDescent="0.25">
      <c r="A438" s="6" t="s">
        <v>444</v>
      </c>
      <c r="B438" s="6" t="s">
        <v>4517</v>
      </c>
      <c r="C438" s="6" t="s">
        <v>4518</v>
      </c>
      <c r="D438" s="6">
        <v>25</v>
      </c>
      <c r="E438" s="5">
        <f t="shared" si="36"/>
        <v>25000</v>
      </c>
      <c r="F438" s="5">
        <f t="shared" si="37"/>
        <v>2125</v>
      </c>
      <c r="G438" s="5">
        <f t="shared" si="38"/>
        <v>5.8219178082191778</v>
      </c>
      <c r="H438" s="5">
        <f t="shared" si="39"/>
        <v>1065.4109589041095</v>
      </c>
      <c r="I438" s="5">
        <f t="shared" si="40"/>
        <v>63.92465753424657</v>
      </c>
      <c r="J438" s="5">
        <f t="shared" si="41"/>
        <v>1001.486301369863</v>
      </c>
      <c r="K438" s="1"/>
      <c r="L438" s="6" t="s">
        <v>1468</v>
      </c>
      <c r="M438" s="6" t="s">
        <v>4523</v>
      </c>
      <c r="N438" s="6" t="s">
        <v>4524</v>
      </c>
    </row>
    <row r="439" spans="1:14" x14ac:dyDescent="0.25">
      <c r="A439" s="6" t="s">
        <v>445</v>
      </c>
      <c r="B439" s="6" t="s">
        <v>4525</v>
      </c>
      <c r="C439" s="6" t="s">
        <v>4526</v>
      </c>
      <c r="D439" s="6">
        <v>45</v>
      </c>
      <c r="E439" s="5">
        <f t="shared" si="36"/>
        <v>45000</v>
      </c>
      <c r="F439" s="5">
        <f t="shared" si="37"/>
        <v>3825.0000000000005</v>
      </c>
      <c r="G439" s="5">
        <f t="shared" si="38"/>
        <v>10.479452054794521</v>
      </c>
      <c r="H439" s="5">
        <f t="shared" si="39"/>
        <v>1917.7397260273974</v>
      </c>
      <c r="I439" s="5">
        <f t="shared" si="40"/>
        <v>115.06438356164384</v>
      </c>
      <c r="J439" s="5">
        <f t="shared" si="41"/>
        <v>1802.6753424657536</v>
      </c>
      <c r="K439" s="1"/>
      <c r="L439" s="6" t="s">
        <v>915</v>
      </c>
      <c r="M439" s="6" t="s">
        <v>4532</v>
      </c>
      <c r="N439" s="6" t="s">
        <v>4533</v>
      </c>
    </row>
    <row r="440" spans="1:14" x14ac:dyDescent="0.25">
      <c r="A440" s="6" t="s">
        <v>446</v>
      </c>
      <c r="B440" s="6" t="s">
        <v>4534</v>
      </c>
      <c r="C440" s="6" t="s">
        <v>4535</v>
      </c>
      <c r="D440" s="6">
        <v>25</v>
      </c>
      <c r="E440" s="5">
        <f t="shared" si="36"/>
        <v>25000</v>
      </c>
      <c r="F440" s="5">
        <f t="shared" si="37"/>
        <v>2125</v>
      </c>
      <c r="G440" s="5">
        <f t="shared" si="38"/>
        <v>5.8219178082191778</v>
      </c>
      <c r="H440" s="5">
        <f t="shared" si="39"/>
        <v>1065.4109589041095</v>
      </c>
      <c r="I440" s="5">
        <f t="shared" si="40"/>
        <v>63.92465753424657</v>
      </c>
      <c r="J440" s="5">
        <f t="shared" si="41"/>
        <v>1001.486301369863</v>
      </c>
      <c r="K440" s="1"/>
      <c r="L440" s="6" t="s">
        <v>1</v>
      </c>
      <c r="M440" s="6" t="s">
        <v>1846</v>
      </c>
      <c r="N440" s="6" t="s">
        <v>4540</v>
      </c>
    </row>
    <row r="441" spans="1:14" x14ac:dyDescent="0.25">
      <c r="A441" s="6" t="s">
        <v>447</v>
      </c>
      <c r="B441" s="6" t="s">
        <v>4541</v>
      </c>
      <c r="C441" s="6" t="s">
        <v>4542</v>
      </c>
      <c r="D441" s="6">
        <v>25</v>
      </c>
      <c r="E441" s="5">
        <f t="shared" si="36"/>
        <v>25000</v>
      </c>
      <c r="F441" s="5">
        <f t="shared" si="37"/>
        <v>2125</v>
      </c>
      <c r="G441" s="5">
        <f t="shared" si="38"/>
        <v>5.8219178082191778</v>
      </c>
      <c r="H441" s="5">
        <f t="shared" si="39"/>
        <v>1065.4109589041095</v>
      </c>
      <c r="I441" s="5">
        <f t="shared" si="40"/>
        <v>63.92465753424657</v>
      </c>
      <c r="J441" s="5">
        <f t="shared" si="41"/>
        <v>1001.486301369863</v>
      </c>
      <c r="K441" s="1"/>
      <c r="L441" s="6" t="s">
        <v>971</v>
      </c>
      <c r="M441" s="6" t="s">
        <v>3049</v>
      </c>
      <c r="N441" s="6" t="s">
        <v>4547</v>
      </c>
    </row>
    <row r="442" spans="1:14" x14ac:dyDescent="0.25">
      <c r="A442" s="6" t="s">
        <v>448</v>
      </c>
      <c r="B442" s="6" t="s">
        <v>4548</v>
      </c>
      <c r="C442" s="6" t="s">
        <v>4549</v>
      </c>
      <c r="D442" s="6">
        <v>25</v>
      </c>
      <c r="E442" s="5">
        <f t="shared" si="36"/>
        <v>25000</v>
      </c>
      <c r="F442" s="5">
        <f t="shared" si="37"/>
        <v>2125</v>
      </c>
      <c r="G442" s="5">
        <f t="shared" si="38"/>
        <v>5.8219178082191778</v>
      </c>
      <c r="H442" s="5">
        <f t="shared" si="39"/>
        <v>1065.4109589041095</v>
      </c>
      <c r="I442" s="5">
        <f t="shared" si="40"/>
        <v>63.92465753424657</v>
      </c>
      <c r="J442" s="5">
        <f t="shared" si="41"/>
        <v>1001.486301369863</v>
      </c>
      <c r="K442" s="1"/>
      <c r="L442" s="6" t="s">
        <v>1089</v>
      </c>
      <c r="M442" s="6" t="s">
        <v>4553</v>
      </c>
      <c r="N442" s="6" t="s">
        <v>4554</v>
      </c>
    </row>
    <row r="443" spans="1:14" x14ac:dyDescent="0.25">
      <c r="A443" s="6" t="s">
        <v>449</v>
      </c>
      <c r="B443" s="6" t="s">
        <v>4555</v>
      </c>
      <c r="C443" s="6" t="s">
        <v>4556</v>
      </c>
      <c r="D443" s="6">
        <v>30</v>
      </c>
      <c r="E443" s="5">
        <f t="shared" si="36"/>
        <v>30000</v>
      </c>
      <c r="F443" s="5">
        <f t="shared" si="37"/>
        <v>2550</v>
      </c>
      <c r="G443" s="5">
        <f t="shared" si="38"/>
        <v>6.9863013698630141</v>
      </c>
      <c r="H443" s="5">
        <f t="shared" si="39"/>
        <v>1278.4931506849316</v>
      </c>
      <c r="I443" s="5">
        <f t="shared" si="40"/>
        <v>76.709589041095896</v>
      </c>
      <c r="J443" s="5">
        <f t="shared" si="41"/>
        <v>1201.7835616438358</v>
      </c>
      <c r="K443" s="1"/>
      <c r="L443" s="6" t="s">
        <v>1</v>
      </c>
      <c r="M443" s="6" t="s">
        <v>4561</v>
      </c>
      <c r="N443" s="6" t="s">
        <v>4562</v>
      </c>
    </row>
    <row r="444" spans="1:14" x14ac:dyDescent="0.25">
      <c r="A444" s="6" t="s">
        <v>450</v>
      </c>
      <c r="B444" s="6" t="s">
        <v>4563</v>
      </c>
      <c r="C444" s="6" t="s">
        <v>4564</v>
      </c>
      <c r="D444" s="6">
        <v>500</v>
      </c>
      <c r="E444" s="5">
        <f t="shared" si="36"/>
        <v>500000</v>
      </c>
      <c r="F444" s="5">
        <f t="shared" si="37"/>
        <v>42500</v>
      </c>
      <c r="G444" s="5">
        <f t="shared" si="38"/>
        <v>116.43835616438356</v>
      </c>
      <c r="H444" s="5">
        <f t="shared" si="39"/>
        <v>21308.219178082192</v>
      </c>
      <c r="I444" s="5">
        <f t="shared" si="40"/>
        <v>1278.4931506849314</v>
      </c>
      <c r="J444" s="5">
        <f t="shared" si="41"/>
        <v>20029.726027397261</v>
      </c>
      <c r="K444" s="1"/>
      <c r="L444" s="6" t="s">
        <v>8</v>
      </c>
      <c r="M444" s="6" t="s">
        <v>4570</v>
      </c>
      <c r="N444" s="6" t="s">
        <v>4571</v>
      </c>
    </row>
    <row r="445" spans="1:14" x14ac:dyDescent="0.25">
      <c r="A445" s="6" t="s">
        <v>451</v>
      </c>
      <c r="B445" s="6" t="s">
        <v>4572</v>
      </c>
      <c r="C445" s="6" t="s">
        <v>4573</v>
      </c>
      <c r="D445" s="6">
        <v>25</v>
      </c>
      <c r="E445" s="5">
        <f t="shared" si="36"/>
        <v>25000</v>
      </c>
      <c r="F445" s="5">
        <f t="shared" si="37"/>
        <v>2125</v>
      </c>
      <c r="G445" s="5">
        <f t="shared" si="38"/>
        <v>5.8219178082191778</v>
      </c>
      <c r="H445" s="5">
        <f t="shared" si="39"/>
        <v>1065.4109589041095</v>
      </c>
      <c r="I445" s="5">
        <f t="shared" si="40"/>
        <v>63.92465753424657</v>
      </c>
      <c r="J445" s="5">
        <f t="shared" si="41"/>
        <v>1001.486301369863</v>
      </c>
      <c r="K445" s="1"/>
      <c r="L445" s="6" t="s">
        <v>910</v>
      </c>
      <c r="M445" s="6" t="s">
        <v>981</v>
      </c>
      <c r="N445" s="6" t="s">
        <v>4578</v>
      </c>
    </row>
    <row r="446" spans="1:14" x14ac:dyDescent="0.25">
      <c r="A446" s="6" t="s">
        <v>452</v>
      </c>
      <c r="B446" s="6" t="s">
        <v>4579</v>
      </c>
      <c r="C446" s="6" t="s">
        <v>4580</v>
      </c>
      <c r="D446" s="6">
        <v>25</v>
      </c>
      <c r="E446" s="5">
        <f t="shared" si="36"/>
        <v>25000</v>
      </c>
      <c r="F446" s="5">
        <f t="shared" si="37"/>
        <v>2125</v>
      </c>
      <c r="G446" s="5">
        <f t="shared" si="38"/>
        <v>5.8219178082191778</v>
      </c>
      <c r="H446" s="5">
        <f t="shared" si="39"/>
        <v>1065.4109589041095</v>
      </c>
      <c r="I446" s="5">
        <f t="shared" si="40"/>
        <v>63.92465753424657</v>
      </c>
      <c r="J446" s="5">
        <f t="shared" si="41"/>
        <v>1001.486301369863</v>
      </c>
      <c r="K446" s="1"/>
      <c r="L446" s="6" t="s">
        <v>1478</v>
      </c>
      <c r="M446" s="6" t="s">
        <v>4585</v>
      </c>
      <c r="N446" s="6" t="s">
        <v>4586</v>
      </c>
    </row>
    <row r="447" spans="1:14" x14ac:dyDescent="0.25">
      <c r="A447" s="6" t="s">
        <v>453</v>
      </c>
      <c r="B447" s="6" t="s">
        <v>4587</v>
      </c>
      <c r="C447" s="6" t="s">
        <v>4588</v>
      </c>
      <c r="D447" s="6">
        <v>100</v>
      </c>
      <c r="E447" s="5">
        <f t="shared" si="36"/>
        <v>100000</v>
      </c>
      <c r="F447" s="5">
        <f t="shared" si="37"/>
        <v>8500</v>
      </c>
      <c r="G447" s="5">
        <f t="shared" si="38"/>
        <v>23.287671232876711</v>
      </c>
      <c r="H447" s="5">
        <f t="shared" si="39"/>
        <v>4261.6438356164381</v>
      </c>
      <c r="I447" s="5">
        <f t="shared" si="40"/>
        <v>255.69863013698628</v>
      </c>
      <c r="J447" s="5">
        <f t="shared" si="41"/>
        <v>4005.9452054794519</v>
      </c>
      <c r="K447" s="1"/>
      <c r="L447" s="7"/>
      <c r="M447" s="6" t="s">
        <v>958</v>
      </c>
      <c r="N447" s="6" t="s">
        <v>958</v>
      </c>
    </row>
    <row r="448" spans="1:14" x14ac:dyDescent="0.25">
      <c r="A448" s="6" t="s">
        <v>454</v>
      </c>
      <c r="B448" s="6" t="s">
        <v>4593</v>
      </c>
      <c r="C448" s="6" t="s">
        <v>4594</v>
      </c>
      <c r="D448" s="6">
        <v>50</v>
      </c>
      <c r="E448" s="5">
        <f t="shared" si="36"/>
        <v>50000</v>
      </c>
      <c r="F448" s="5">
        <f t="shared" si="37"/>
        <v>4250</v>
      </c>
      <c r="G448" s="5">
        <f t="shared" si="38"/>
        <v>11.643835616438356</v>
      </c>
      <c r="H448" s="5">
        <f t="shared" si="39"/>
        <v>2130.821917808219</v>
      </c>
      <c r="I448" s="5">
        <f t="shared" si="40"/>
        <v>127.84931506849314</v>
      </c>
      <c r="J448" s="5">
        <f t="shared" si="41"/>
        <v>2002.972602739726</v>
      </c>
      <c r="K448" s="1"/>
      <c r="L448" s="6" t="s">
        <v>4</v>
      </c>
      <c r="M448" s="6" t="s">
        <v>924</v>
      </c>
      <c r="N448" s="6" t="s">
        <v>4599</v>
      </c>
    </row>
    <row r="449" spans="1:14" x14ac:dyDescent="0.25">
      <c r="A449" s="6" t="s">
        <v>455</v>
      </c>
      <c r="B449" s="6" t="s">
        <v>4600</v>
      </c>
      <c r="C449" s="6" t="s">
        <v>4601</v>
      </c>
      <c r="D449" s="6">
        <v>25</v>
      </c>
      <c r="E449" s="5">
        <f t="shared" si="36"/>
        <v>25000</v>
      </c>
      <c r="F449" s="5">
        <f t="shared" si="37"/>
        <v>2125</v>
      </c>
      <c r="G449" s="5">
        <f t="shared" si="38"/>
        <v>5.8219178082191778</v>
      </c>
      <c r="H449" s="5">
        <f t="shared" si="39"/>
        <v>1065.4109589041095</v>
      </c>
      <c r="I449" s="5">
        <f t="shared" si="40"/>
        <v>63.92465753424657</v>
      </c>
      <c r="J449" s="5">
        <f t="shared" si="41"/>
        <v>1001.486301369863</v>
      </c>
      <c r="K449" s="1"/>
      <c r="L449" s="6" t="s">
        <v>1496</v>
      </c>
      <c r="M449" s="6" t="s">
        <v>1497</v>
      </c>
      <c r="N449" s="6" t="s">
        <v>4606</v>
      </c>
    </row>
    <row r="450" spans="1:14" x14ac:dyDescent="0.25">
      <c r="A450" s="6" t="s">
        <v>456</v>
      </c>
      <c r="B450" s="6" t="s">
        <v>4607</v>
      </c>
      <c r="C450" s="6" t="s">
        <v>4608</v>
      </c>
      <c r="D450" s="6">
        <v>25</v>
      </c>
      <c r="E450" s="5">
        <f t="shared" si="36"/>
        <v>25000</v>
      </c>
      <c r="F450" s="5">
        <f t="shared" si="37"/>
        <v>2125</v>
      </c>
      <c r="G450" s="5">
        <f t="shared" si="38"/>
        <v>5.8219178082191778</v>
      </c>
      <c r="H450" s="5">
        <f t="shared" si="39"/>
        <v>1065.4109589041095</v>
      </c>
      <c r="I450" s="5">
        <f t="shared" si="40"/>
        <v>63.92465753424657</v>
      </c>
      <c r="J450" s="5">
        <f t="shared" si="41"/>
        <v>1001.486301369863</v>
      </c>
      <c r="K450" s="1"/>
      <c r="L450" s="6" t="s">
        <v>1637</v>
      </c>
      <c r="M450" s="6" t="s">
        <v>4613</v>
      </c>
      <c r="N450" s="6" t="s">
        <v>4614</v>
      </c>
    </row>
    <row r="451" spans="1:14" x14ac:dyDescent="0.25">
      <c r="A451" s="6" t="s">
        <v>457</v>
      </c>
      <c r="B451" s="6" t="s">
        <v>4615</v>
      </c>
      <c r="C451" s="6" t="s">
        <v>4616</v>
      </c>
      <c r="D451" s="6">
        <v>25</v>
      </c>
      <c r="E451" s="5">
        <f t="shared" si="36"/>
        <v>25000</v>
      </c>
      <c r="F451" s="5">
        <f t="shared" si="37"/>
        <v>2125</v>
      </c>
      <c r="G451" s="5">
        <f t="shared" si="38"/>
        <v>5.8219178082191778</v>
      </c>
      <c r="H451" s="5">
        <f t="shared" si="39"/>
        <v>1065.4109589041095</v>
      </c>
      <c r="I451" s="5">
        <f t="shared" si="40"/>
        <v>63.92465753424657</v>
      </c>
      <c r="J451" s="5">
        <f t="shared" si="41"/>
        <v>1001.486301369863</v>
      </c>
      <c r="K451" s="1"/>
      <c r="L451" s="6" t="s">
        <v>915</v>
      </c>
      <c r="M451" s="6" t="s">
        <v>926</v>
      </c>
      <c r="N451" s="6" t="s">
        <v>4621</v>
      </c>
    </row>
    <row r="452" spans="1:14" x14ac:dyDescent="0.25">
      <c r="A452" s="6" t="s">
        <v>458</v>
      </c>
      <c r="B452" s="6" t="s">
        <v>4622</v>
      </c>
      <c r="C452" s="6" t="s">
        <v>4623</v>
      </c>
      <c r="D452" s="6">
        <v>25</v>
      </c>
      <c r="E452" s="5">
        <f t="shared" si="36"/>
        <v>25000</v>
      </c>
      <c r="F452" s="5">
        <f t="shared" si="37"/>
        <v>2125</v>
      </c>
      <c r="G452" s="5">
        <f t="shared" si="38"/>
        <v>5.8219178082191778</v>
      </c>
      <c r="H452" s="5">
        <f t="shared" si="39"/>
        <v>1065.4109589041095</v>
      </c>
      <c r="I452" s="5">
        <f t="shared" si="40"/>
        <v>63.92465753424657</v>
      </c>
      <c r="J452" s="5">
        <f t="shared" si="41"/>
        <v>1001.486301369863</v>
      </c>
      <c r="K452" s="1"/>
      <c r="L452" s="6" t="s">
        <v>909</v>
      </c>
      <c r="M452" s="6" t="s">
        <v>4628</v>
      </c>
      <c r="N452" s="6" t="s">
        <v>4629</v>
      </c>
    </row>
    <row r="453" spans="1:14" x14ac:dyDescent="0.25">
      <c r="A453" s="6" t="s">
        <v>459</v>
      </c>
      <c r="B453" s="6" t="s">
        <v>4630</v>
      </c>
      <c r="C453" s="6" t="s">
        <v>4631</v>
      </c>
      <c r="D453" s="6">
        <v>25</v>
      </c>
      <c r="E453" s="5">
        <f t="shared" si="36"/>
        <v>25000</v>
      </c>
      <c r="F453" s="5">
        <f t="shared" si="37"/>
        <v>2125</v>
      </c>
      <c r="G453" s="5">
        <f t="shared" si="38"/>
        <v>5.8219178082191778</v>
      </c>
      <c r="H453" s="5">
        <f t="shared" si="39"/>
        <v>1065.4109589041095</v>
      </c>
      <c r="I453" s="5">
        <f t="shared" si="40"/>
        <v>63.92465753424657</v>
      </c>
      <c r="J453" s="5">
        <f t="shared" si="41"/>
        <v>1001.486301369863</v>
      </c>
      <c r="K453" s="1"/>
      <c r="L453" s="6" t="s">
        <v>909</v>
      </c>
      <c r="M453" s="6" t="s">
        <v>4628</v>
      </c>
      <c r="N453" s="6" t="s">
        <v>4633</v>
      </c>
    </row>
    <row r="454" spans="1:14" x14ac:dyDescent="0.25">
      <c r="A454" s="6" t="s">
        <v>460</v>
      </c>
      <c r="B454" s="6" t="s">
        <v>4634</v>
      </c>
      <c r="C454" s="6" t="s">
        <v>4635</v>
      </c>
      <c r="D454" s="6">
        <v>25</v>
      </c>
      <c r="E454" s="5">
        <f t="shared" si="36"/>
        <v>25000</v>
      </c>
      <c r="F454" s="5">
        <f t="shared" si="37"/>
        <v>2125</v>
      </c>
      <c r="G454" s="5">
        <f t="shared" si="38"/>
        <v>5.8219178082191778</v>
      </c>
      <c r="H454" s="5">
        <f t="shared" si="39"/>
        <v>1065.4109589041095</v>
      </c>
      <c r="I454" s="5">
        <f t="shared" si="40"/>
        <v>63.92465753424657</v>
      </c>
      <c r="J454" s="5">
        <f t="shared" si="41"/>
        <v>1001.486301369863</v>
      </c>
      <c r="K454" s="1"/>
      <c r="L454" s="6" t="s">
        <v>4</v>
      </c>
      <c r="M454" s="6" t="s">
        <v>2800</v>
      </c>
      <c r="N454" s="6" t="s">
        <v>4637</v>
      </c>
    </row>
    <row r="455" spans="1:14" x14ac:dyDescent="0.25">
      <c r="A455" s="6" t="s">
        <v>461</v>
      </c>
      <c r="B455" s="6" t="s">
        <v>4638</v>
      </c>
      <c r="C455" s="6" t="s">
        <v>4639</v>
      </c>
      <c r="D455" s="6">
        <v>25</v>
      </c>
      <c r="E455" s="5">
        <f t="shared" si="36"/>
        <v>25000</v>
      </c>
      <c r="F455" s="5">
        <f t="shared" si="37"/>
        <v>2125</v>
      </c>
      <c r="G455" s="5">
        <f t="shared" si="38"/>
        <v>5.8219178082191778</v>
      </c>
      <c r="H455" s="5">
        <f t="shared" si="39"/>
        <v>1065.4109589041095</v>
      </c>
      <c r="I455" s="5">
        <f t="shared" si="40"/>
        <v>63.92465753424657</v>
      </c>
      <c r="J455" s="5">
        <f t="shared" si="41"/>
        <v>1001.486301369863</v>
      </c>
      <c r="K455" s="1"/>
      <c r="L455" s="6" t="s">
        <v>1548</v>
      </c>
      <c r="M455" s="6" t="s">
        <v>1549</v>
      </c>
      <c r="N455" s="6" t="s">
        <v>4644</v>
      </c>
    </row>
    <row r="456" spans="1:14" x14ac:dyDescent="0.25">
      <c r="A456" s="6" t="s">
        <v>462</v>
      </c>
      <c r="B456" s="6" t="s">
        <v>4645</v>
      </c>
      <c r="C456" s="6" t="s">
        <v>4646</v>
      </c>
      <c r="D456" s="6">
        <v>25</v>
      </c>
      <c r="E456" s="5">
        <f t="shared" ref="E456:E519" si="42">+D456*1000</f>
        <v>25000</v>
      </c>
      <c r="F456" s="5">
        <f t="shared" ref="F456:F519" si="43">+E456*8.5%</f>
        <v>2125</v>
      </c>
      <c r="G456" s="5">
        <f t="shared" ref="G456:G519" si="44">+F456/365</f>
        <v>5.8219178082191778</v>
      </c>
      <c r="H456" s="5">
        <f t="shared" ref="H456:H519" si="45">G456*$H$4</f>
        <v>1065.4109589041095</v>
      </c>
      <c r="I456" s="5">
        <f t="shared" ref="I456:I519" si="46">+H456*6%</f>
        <v>63.92465753424657</v>
      </c>
      <c r="J456" s="5">
        <f t="shared" ref="J456:J519" si="47">+H456-I456</f>
        <v>1001.486301369863</v>
      </c>
      <c r="K456" s="1"/>
      <c r="L456" s="6" t="s">
        <v>1468</v>
      </c>
      <c r="M456" s="6" t="s">
        <v>4651</v>
      </c>
      <c r="N456" s="6" t="s">
        <v>4652</v>
      </c>
    </row>
    <row r="457" spans="1:14" x14ac:dyDescent="0.25">
      <c r="A457" s="6" t="s">
        <v>463</v>
      </c>
      <c r="B457" s="6" t="s">
        <v>4653</v>
      </c>
      <c r="C457" s="6" t="s">
        <v>4654</v>
      </c>
      <c r="D457" s="6">
        <v>25</v>
      </c>
      <c r="E457" s="5">
        <f t="shared" si="42"/>
        <v>25000</v>
      </c>
      <c r="F457" s="5">
        <f t="shared" si="43"/>
        <v>2125</v>
      </c>
      <c r="G457" s="5">
        <f t="shared" si="44"/>
        <v>5.8219178082191778</v>
      </c>
      <c r="H457" s="5">
        <f t="shared" si="45"/>
        <v>1065.4109589041095</v>
      </c>
      <c r="I457" s="5">
        <f t="shared" si="46"/>
        <v>63.92465753424657</v>
      </c>
      <c r="J457" s="5">
        <f t="shared" si="47"/>
        <v>1001.486301369863</v>
      </c>
      <c r="K457" s="1"/>
      <c r="L457" s="6" t="s">
        <v>1478</v>
      </c>
      <c r="M457" s="6" t="s">
        <v>4659</v>
      </c>
      <c r="N457" s="6" t="s">
        <v>4660</v>
      </c>
    </row>
    <row r="458" spans="1:14" x14ac:dyDescent="0.25">
      <c r="A458" s="6" t="s">
        <v>464</v>
      </c>
      <c r="B458" s="6" t="s">
        <v>4661</v>
      </c>
      <c r="C458" s="6" t="s">
        <v>4662</v>
      </c>
      <c r="D458" s="6">
        <v>26</v>
      </c>
      <c r="E458" s="5">
        <f t="shared" si="42"/>
        <v>26000</v>
      </c>
      <c r="F458" s="5">
        <f t="shared" si="43"/>
        <v>2210</v>
      </c>
      <c r="G458" s="5">
        <f t="shared" si="44"/>
        <v>6.0547945205479454</v>
      </c>
      <c r="H458" s="5">
        <f t="shared" si="45"/>
        <v>1108.027397260274</v>
      </c>
      <c r="I458" s="5">
        <f t="shared" si="46"/>
        <v>66.481643835616438</v>
      </c>
      <c r="J458" s="5">
        <f t="shared" si="47"/>
        <v>1041.5457534246575</v>
      </c>
      <c r="K458" s="1"/>
      <c r="L458" s="6" t="s">
        <v>1496</v>
      </c>
      <c r="M458" s="6" t="s">
        <v>4667</v>
      </c>
      <c r="N458" s="6" t="s">
        <v>4668</v>
      </c>
    </row>
    <row r="459" spans="1:14" x14ac:dyDescent="0.25">
      <c r="A459" s="6" t="s">
        <v>465</v>
      </c>
      <c r="B459" s="6" t="s">
        <v>4669</v>
      </c>
      <c r="C459" s="6" t="s">
        <v>4670</v>
      </c>
      <c r="D459" s="6">
        <v>50</v>
      </c>
      <c r="E459" s="5">
        <f t="shared" si="42"/>
        <v>50000</v>
      </c>
      <c r="F459" s="5">
        <f t="shared" si="43"/>
        <v>4250</v>
      </c>
      <c r="G459" s="5">
        <f t="shared" si="44"/>
        <v>11.643835616438356</v>
      </c>
      <c r="H459" s="5">
        <f t="shared" si="45"/>
        <v>2130.821917808219</v>
      </c>
      <c r="I459" s="5">
        <f t="shared" si="46"/>
        <v>127.84931506849314</v>
      </c>
      <c r="J459" s="5">
        <f t="shared" si="47"/>
        <v>2002.972602739726</v>
      </c>
      <c r="K459" s="1"/>
      <c r="L459" s="6" t="s">
        <v>3</v>
      </c>
      <c r="M459" s="6" t="s">
        <v>911</v>
      </c>
      <c r="N459" s="6" t="s">
        <v>4676</v>
      </c>
    </row>
    <row r="460" spans="1:14" x14ac:dyDescent="0.25">
      <c r="A460" s="6" t="s">
        <v>466</v>
      </c>
      <c r="B460" s="6" t="s">
        <v>4677</v>
      </c>
      <c r="C460" s="6" t="s">
        <v>4678</v>
      </c>
      <c r="D460" s="6">
        <v>25</v>
      </c>
      <c r="E460" s="5">
        <f t="shared" si="42"/>
        <v>25000</v>
      </c>
      <c r="F460" s="5">
        <f t="shared" si="43"/>
        <v>2125</v>
      </c>
      <c r="G460" s="5">
        <f t="shared" si="44"/>
        <v>5.8219178082191778</v>
      </c>
      <c r="H460" s="5">
        <f t="shared" si="45"/>
        <v>1065.4109589041095</v>
      </c>
      <c r="I460" s="5">
        <f t="shared" si="46"/>
        <v>63.92465753424657</v>
      </c>
      <c r="J460" s="5">
        <f t="shared" si="47"/>
        <v>1001.486301369863</v>
      </c>
      <c r="K460" s="1"/>
      <c r="L460" s="6" t="s">
        <v>910</v>
      </c>
      <c r="M460" s="6" t="s">
        <v>981</v>
      </c>
      <c r="N460" s="6" t="s">
        <v>4683</v>
      </c>
    </row>
    <row r="461" spans="1:14" x14ac:dyDescent="0.25">
      <c r="A461" s="6" t="s">
        <v>467</v>
      </c>
      <c r="B461" s="6" t="s">
        <v>4684</v>
      </c>
      <c r="C461" s="6" t="s">
        <v>4685</v>
      </c>
      <c r="D461" s="6">
        <v>51</v>
      </c>
      <c r="E461" s="5">
        <f t="shared" si="42"/>
        <v>51000</v>
      </c>
      <c r="F461" s="5">
        <f t="shared" si="43"/>
        <v>4335</v>
      </c>
      <c r="G461" s="5">
        <f t="shared" si="44"/>
        <v>11.876712328767123</v>
      </c>
      <c r="H461" s="5">
        <f t="shared" si="45"/>
        <v>2173.4383561643835</v>
      </c>
      <c r="I461" s="5">
        <f t="shared" si="46"/>
        <v>130.406301369863</v>
      </c>
      <c r="J461" s="5">
        <f t="shared" si="47"/>
        <v>2043.0320547945205</v>
      </c>
      <c r="K461" s="1"/>
      <c r="L461" s="6" t="s">
        <v>4</v>
      </c>
      <c r="M461" s="6" t="s">
        <v>1949</v>
      </c>
      <c r="N461" s="6" t="s">
        <v>4690</v>
      </c>
    </row>
    <row r="462" spans="1:14" x14ac:dyDescent="0.25">
      <c r="A462" s="6" t="s">
        <v>468</v>
      </c>
      <c r="B462" s="6" t="s">
        <v>4691</v>
      </c>
      <c r="C462" s="6" t="s">
        <v>4692</v>
      </c>
      <c r="D462" s="6">
        <v>45</v>
      </c>
      <c r="E462" s="5">
        <f t="shared" si="42"/>
        <v>45000</v>
      </c>
      <c r="F462" s="5">
        <f t="shared" si="43"/>
        <v>3825.0000000000005</v>
      </c>
      <c r="G462" s="5">
        <f t="shared" si="44"/>
        <v>10.479452054794521</v>
      </c>
      <c r="H462" s="5">
        <f t="shared" si="45"/>
        <v>1917.7397260273974</v>
      </c>
      <c r="I462" s="5">
        <f t="shared" si="46"/>
        <v>115.06438356164384</v>
      </c>
      <c r="J462" s="5">
        <f t="shared" si="47"/>
        <v>1802.6753424657536</v>
      </c>
      <c r="K462" s="1"/>
      <c r="L462" s="6" t="s">
        <v>4</v>
      </c>
      <c r="M462" s="6" t="s">
        <v>4698</v>
      </c>
      <c r="N462" s="6" t="s">
        <v>4699</v>
      </c>
    </row>
    <row r="463" spans="1:14" x14ac:dyDescent="0.25">
      <c r="A463" s="6" t="s">
        <v>469</v>
      </c>
      <c r="B463" s="6" t="s">
        <v>4700</v>
      </c>
      <c r="C463" s="6" t="s">
        <v>4065</v>
      </c>
      <c r="D463" s="6">
        <v>25</v>
      </c>
      <c r="E463" s="5">
        <f t="shared" si="42"/>
        <v>25000</v>
      </c>
      <c r="F463" s="5">
        <f t="shared" si="43"/>
        <v>2125</v>
      </c>
      <c r="G463" s="5">
        <f t="shared" si="44"/>
        <v>5.8219178082191778</v>
      </c>
      <c r="H463" s="5">
        <f t="shared" si="45"/>
        <v>1065.4109589041095</v>
      </c>
      <c r="I463" s="5">
        <f t="shared" si="46"/>
        <v>63.92465753424657</v>
      </c>
      <c r="J463" s="5">
        <f t="shared" si="47"/>
        <v>1001.486301369863</v>
      </c>
      <c r="K463" s="1"/>
      <c r="L463" s="6" t="s">
        <v>971</v>
      </c>
      <c r="M463" s="6" t="s">
        <v>972</v>
      </c>
      <c r="N463" s="6" t="s">
        <v>4705</v>
      </c>
    </row>
    <row r="464" spans="1:14" x14ac:dyDescent="0.25">
      <c r="A464" s="6" t="s">
        <v>470</v>
      </c>
      <c r="B464" s="6" t="s">
        <v>4706</v>
      </c>
      <c r="C464" s="6" t="s">
        <v>4707</v>
      </c>
      <c r="D464" s="6">
        <v>400</v>
      </c>
      <c r="E464" s="5">
        <f t="shared" si="42"/>
        <v>400000</v>
      </c>
      <c r="F464" s="5">
        <f t="shared" si="43"/>
        <v>34000</v>
      </c>
      <c r="G464" s="5">
        <f t="shared" si="44"/>
        <v>93.150684931506845</v>
      </c>
      <c r="H464" s="5">
        <f t="shared" si="45"/>
        <v>17046.575342465752</v>
      </c>
      <c r="I464" s="5">
        <f t="shared" si="46"/>
        <v>1022.7945205479451</v>
      </c>
      <c r="J464" s="5">
        <f t="shared" si="47"/>
        <v>16023.780821917808</v>
      </c>
      <c r="K464" s="1"/>
      <c r="L464" s="6" t="s">
        <v>2</v>
      </c>
      <c r="M464" s="6" t="s">
        <v>4713</v>
      </c>
      <c r="N464" s="6" t="s">
        <v>4714</v>
      </c>
    </row>
    <row r="465" spans="1:14" x14ac:dyDescent="0.25">
      <c r="A465" s="6" t="s">
        <v>471</v>
      </c>
      <c r="B465" s="6" t="s">
        <v>4715</v>
      </c>
      <c r="C465" s="6" t="s">
        <v>4716</v>
      </c>
      <c r="D465" s="6">
        <v>25</v>
      </c>
      <c r="E465" s="5">
        <f t="shared" si="42"/>
        <v>25000</v>
      </c>
      <c r="F465" s="5">
        <f t="shared" si="43"/>
        <v>2125</v>
      </c>
      <c r="G465" s="5">
        <f t="shared" si="44"/>
        <v>5.8219178082191778</v>
      </c>
      <c r="H465" s="5">
        <f t="shared" si="45"/>
        <v>1065.4109589041095</v>
      </c>
      <c r="I465" s="5">
        <f t="shared" si="46"/>
        <v>63.92465753424657</v>
      </c>
      <c r="J465" s="5">
        <f t="shared" si="47"/>
        <v>1001.486301369863</v>
      </c>
      <c r="K465" s="1"/>
      <c r="L465" s="6" t="s">
        <v>915</v>
      </c>
      <c r="M465" s="6" t="s">
        <v>926</v>
      </c>
      <c r="N465" s="6" t="s">
        <v>4721</v>
      </c>
    </row>
    <row r="466" spans="1:14" x14ac:dyDescent="0.25">
      <c r="A466" s="6" t="s">
        <v>472</v>
      </c>
      <c r="B466" s="6" t="s">
        <v>4722</v>
      </c>
      <c r="C466" s="6" t="s">
        <v>4723</v>
      </c>
      <c r="D466" s="6">
        <v>100</v>
      </c>
      <c r="E466" s="5">
        <f t="shared" si="42"/>
        <v>100000</v>
      </c>
      <c r="F466" s="5">
        <f t="shared" si="43"/>
        <v>8500</v>
      </c>
      <c r="G466" s="5">
        <f t="shared" si="44"/>
        <v>23.287671232876711</v>
      </c>
      <c r="H466" s="5">
        <f t="shared" si="45"/>
        <v>4261.6438356164381</v>
      </c>
      <c r="I466" s="5">
        <f t="shared" si="46"/>
        <v>255.69863013698628</v>
      </c>
      <c r="J466" s="5">
        <f t="shared" si="47"/>
        <v>4005.9452054794519</v>
      </c>
      <c r="K466" s="1"/>
      <c r="L466" s="6" t="s">
        <v>1089</v>
      </c>
      <c r="M466" s="6" t="s">
        <v>4728</v>
      </c>
      <c r="N466" s="6" t="s">
        <v>4729</v>
      </c>
    </row>
    <row r="467" spans="1:14" x14ac:dyDescent="0.25">
      <c r="A467" s="6" t="s">
        <v>473</v>
      </c>
      <c r="B467" s="6" t="s">
        <v>4730</v>
      </c>
      <c r="C467" s="6" t="s">
        <v>4731</v>
      </c>
      <c r="D467" s="6">
        <v>25</v>
      </c>
      <c r="E467" s="5">
        <f t="shared" si="42"/>
        <v>25000</v>
      </c>
      <c r="F467" s="5">
        <f t="shared" si="43"/>
        <v>2125</v>
      </c>
      <c r="G467" s="5">
        <f t="shared" si="44"/>
        <v>5.8219178082191778</v>
      </c>
      <c r="H467" s="5">
        <f t="shared" si="45"/>
        <v>1065.4109589041095</v>
      </c>
      <c r="I467" s="5">
        <f t="shared" si="46"/>
        <v>63.92465753424657</v>
      </c>
      <c r="J467" s="5">
        <f t="shared" si="47"/>
        <v>1001.486301369863</v>
      </c>
      <c r="K467" s="1"/>
      <c r="L467" s="6" t="s">
        <v>8</v>
      </c>
      <c r="M467" s="6" t="s">
        <v>4736</v>
      </c>
      <c r="N467" s="6" t="s">
        <v>4737</v>
      </c>
    </row>
    <row r="468" spans="1:14" x14ac:dyDescent="0.25">
      <c r="A468" s="6" t="s">
        <v>474</v>
      </c>
      <c r="B468" s="6" t="s">
        <v>4738</v>
      </c>
      <c r="C468" s="6" t="s">
        <v>4739</v>
      </c>
      <c r="D468" s="6">
        <v>25</v>
      </c>
      <c r="E468" s="5">
        <f t="shared" si="42"/>
        <v>25000</v>
      </c>
      <c r="F468" s="5">
        <f t="shared" si="43"/>
        <v>2125</v>
      </c>
      <c r="G468" s="5">
        <f t="shared" si="44"/>
        <v>5.8219178082191778</v>
      </c>
      <c r="H468" s="5">
        <f t="shared" si="45"/>
        <v>1065.4109589041095</v>
      </c>
      <c r="I468" s="5">
        <f t="shared" si="46"/>
        <v>63.92465753424657</v>
      </c>
      <c r="J468" s="5">
        <f t="shared" si="47"/>
        <v>1001.486301369863</v>
      </c>
      <c r="K468" s="1"/>
      <c r="L468" s="6" t="s">
        <v>1468</v>
      </c>
      <c r="M468" s="6" t="s">
        <v>4745</v>
      </c>
      <c r="N468" s="6" t="s">
        <v>4746</v>
      </c>
    </row>
    <row r="469" spans="1:14" x14ac:dyDescent="0.25">
      <c r="A469" s="6" t="s">
        <v>475</v>
      </c>
      <c r="B469" s="6" t="s">
        <v>4747</v>
      </c>
      <c r="C469" s="6" t="s">
        <v>4748</v>
      </c>
      <c r="D469" s="6">
        <v>100</v>
      </c>
      <c r="E469" s="5">
        <f t="shared" si="42"/>
        <v>100000</v>
      </c>
      <c r="F469" s="5">
        <f t="shared" si="43"/>
        <v>8500</v>
      </c>
      <c r="G469" s="5">
        <f t="shared" si="44"/>
        <v>23.287671232876711</v>
      </c>
      <c r="H469" s="5">
        <f t="shared" si="45"/>
        <v>4261.6438356164381</v>
      </c>
      <c r="I469" s="5">
        <f t="shared" si="46"/>
        <v>255.69863013698628</v>
      </c>
      <c r="J469" s="5">
        <f t="shared" si="47"/>
        <v>4005.9452054794519</v>
      </c>
      <c r="K469" s="1"/>
      <c r="L469" s="6" t="s">
        <v>909</v>
      </c>
      <c r="M469" s="6" t="s">
        <v>1237</v>
      </c>
      <c r="N469" s="6" t="s">
        <v>4754</v>
      </c>
    </row>
    <row r="470" spans="1:14" x14ac:dyDescent="0.25">
      <c r="A470" s="6" t="s">
        <v>476</v>
      </c>
      <c r="B470" s="6" t="s">
        <v>4755</v>
      </c>
      <c r="C470" s="6" t="s">
        <v>4756</v>
      </c>
      <c r="D470" s="6">
        <v>50</v>
      </c>
      <c r="E470" s="5">
        <f t="shared" si="42"/>
        <v>50000</v>
      </c>
      <c r="F470" s="5">
        <f t="shared" si="43"/>
        <v>4250</v>
      </c>
      <c r="G470" s="5">
        <f t="shared" si="44"/>
        <v>11.643835616438356</v>
      </c>
      <c r="H470" s="5">
        <f t="shared" si="45"/>
        <v>2130.821917808219</v>
      </c>
      <c r="I470" s="5">
        <f t="shared" si="46"/>
        <v>127.84931506849314</v>
      </c>
      <c r="J470" s="5">
        <f t="shared" si="47"/>
        <v>2002.972602739726</v>
      </c>
      <c r="K470" s="1"/>
      <c r="L470" s="6" t="s">
        <v>1089</v>
      </c>
      <c r="M470" s="6" t="s">
        <v>4761</v>
      </c>
      <c r="N470" s="6" t="s">
        <v>4762</v>
      </c>
    </row>
    <row r="471" spans="1:14" x14ac:dyDescent="0.25">
      <c r="A471" s="6" t="s">
        <v>477</v>
      </c>
      <c r="B471" s="6" t="s">
        <v>4763</v>
      </c>
      <c r="C471" s="6" t="s">
        <v>4764</v>
      </c>
      <c r="D471" s="6">
        <v>25</v>
      </c>
      <c r="E471" s="5">
        <f t="shared" si="42"/>
        <v>25000</v>
      </c>
      <c r="F471" s="5">
        <f t="shared" si="43"/>
        <v>2125</v>
      </c>
      <c r="G471" s="5">
        <f t="shared" si="44"/>
        <v>5.8219178082191778</v>
      </c>
      <c r="H471" s="5">
        <f t="shared" si="45"/>
        <v>1065.4109589041095</v>
      </c>
      <c r="I471" s="5">
        <f t="shared" si="46"/>
        <v>63.92465753424657</v>
      </c>
      <c r="J471" s="5">
        <f t="shared" si="47"/>
        <v>1001.486301369863</v>
      </c>
      <c r="K471" s="1"/>
      <c r="L471" s="6" t="s">
        <v>915</v>
      </c>
      <c r="M471" s="6" t="s">
        <v>4770</v>
      </c>
      <c r="N471" s="6" t="s">
        <v>4771</v>
      </c>
    </row>
    <row r="472" spans="1:14" x14ac:dyDescent="0.25">
      <c r="A472" s="6" t="s">
        <v>478</v>
      </c>
      <c r="B472" s="6" t="s">
        <v>4772</v>
      </c>
      <c r="C472" s="6" t="s">
        <v>4773</v>
      </c>
      <c r="D472" s="6">
        <v>25</v>
      </c>
      <c r="E472" s="5">
        <f t="shared" si="42"/>
        <v>25000</v>
      </c>
      <c r="F472" s="5">
        <f t="shared" si="43"/>
        <v>2125</v>
      </c>
      <c r="G472" s="5">
        <f t="shared" si="44"/>
        <v>5.8219178082191778</v>
      </c>
      <c r="H472" s="5">
        <f t="shared" si="45"/>
        <v>1065.4109589041095</v>
      </c>
      <c r="I472" s="5">
        <f t="shared" si="46"/>
        <v>63.92465753424657</v>
      </c>
      <c r="J472" s="5">
        <f t="shared" si="47"/>
        <v>1001.486301369863</v>
      </c>
      <c r="K472" s="1"/>
      <c r="L472" s="6" t="s">
        <v>910</v>
      </c>
      <c r="M472" s="6" t="s">
        <v>981</v>
      </c>
      <c r="N472" s="6" t="s">
        <v>4778</v>
      </c>
    </row>
    <row r="473" spans="1:14" x14ac:dyDescent="0.25">
      <c r="A473" s="6" t="s">
        <v>479</v>
      </c>
      <c r="B473" s="6" t="s">
        <v>4779</v>
      </c>
      <c r="C473" s="6" t="s">
        <v>4780</v>
      </c>
      <c r="D473" s="6">
        <v>25</v>
      </c>
      <c r="E473" s="5">
        <f t="shared" si="42"/>
        <v>25000</v>
      </c>
      <c r="F473" s="5">
        <f t="shared" si="43"/>
        <v>2125</v>
      </c>
      <c r="G473" s="5">
        <f t="shared" si="44"/>
        <v>5.8219178082191778</v>
      </c>
      <c r="H473" s="5">
        <f t="shared" si="45"/>
        <v>1065.4109589041095</v>
      </c>
      <c r="I473" s="5">
        <f t="shared" si="46"/>
        <v>63.92465753424657</v>
      </c>
      <c r="J473" s="5">
        <f t="shared" si="47"/>
        <v>1001.486301369863</v>
      </c>
      <c r="K473" s="1"/>
      <c r="L473" s="6" t="s">
        <v>1496</v>
      </c>
      <c r="M473" s="6" t="s">
        <v>3018</v>
      </c>
      <c r="N473" s="6" t="s">
        <v>4786</v>
      </c>
    </row>
    <row r="474" spans="1:14" x14ac:dyDescent="0.25">
      <c r="A474" s="6" t="s">
        <v>480</v>
      </c>
      <c r="B474" s="6" t="s">
        <v>4787</v>
      </c>
      <c r="C474" s="6" t="s">
        <v>4788</v>
      </c>
      <c r="D474" s="6">
        <v>100</v>
      </c>
      <c r="E474" s="5">
        <f t="shared" si="42"/>
        <v>100000</v>
      </c>
      <c r="F474" s="5">
        <f t="shared" si="43"/>
        <v>8500</v>
      </c>
      <c r="G474" s="5">
        <f t="shared" si="44"/>
        <v>23.287671232876711</v>
      </c>
      <c r="H474" s="5">
        <f t="shared" si="45"/>
        <v>4261.6438356164381</v>
      </c>
      <c r="I474" s="5">
        <f t="shared" si="46"/>
        <v>255.69863013698628</v>
      </c>
      <c r="J474" s="5">
        <f t="shared" si="47"/>
        <v>4005.9452054794519</v>
      </c>
      <c r="K474" s="1"/>
      <c r="L474" s="6" t="s">
        <v>8</v>
      </c>
      <c r="M474" s="6" t="s">
        <v>1177</v>
      </c>
      <c r="N474" s="6" t="s">
        <v>4794</v>
      </c>
    </row>
    <row r="475" spans="1:14" x14ac:dyDescent="0.25">
      <c r="A475" s="6" t="s">
        <v>481</v>
      </c>
      <c r="B475" s="6" t="s">
        <v>4795</v>
      </c>
      <c r="C475" s="6" t="s">
        <v>4796</v>
      </c>
      <c r="D475" s="6">
        <v>30</v>
      </c>
      <c r="E475" s="5">
        <f t="shared" si="42"/>
        <v>30000</v>
      </c>
      <c r="F475" s="5">
        <f t="shared" si="43"/>
        <v>2550</v>
      </c>
      <c r="G475" s="5">
        <f t="shared" si="44"/>
        <v>6.9863013698630141</v>
      </c>
      <c r="H475" s="5">
        <f t="shared" si="45"/>
        <v>1278.4931506849316</v>
      </c>
      <c r="I475" s="5">
        <f t="shared" si="46"/>
        <v>76.709589041095896</v>
      </c>
      <c r="J475" s="5">
        <f t="shared" si="47"/>
        <v>1201.7835616438358</v>
      </c>
      <c r="K475" s="1"/>
      <c r="L475" s="6" t="s">
        <v>1637</v>
      </c>
      <c r="M475" s="6" t="s">
        <v>4802</v>
      </c>
      <c r="N475" s="6" t="s">
        <v>4803</v>
      </c>
    </row>
    <row r="476" spans="1:14" x14ac:dyDescent="0.25">
      <c r="A476" s="6" t="s">
        <v>482</v>
      </c>
      <c r="B476" s="6" t="s">
        <v>4804</v>
      </c>
      <c r="C476" s="6" t="s">
        <v>4805</v>
      </c>
      <c r="D476" s="6">
        <v>25</v>
      </c>
      <c r="E476" s="5">
        <f t="shared" si="42"/>
        <v>25000</v>
      </c>
      <c r="F476" s="5">
        <f t="shared" si="43"/>
        <v>2125</v>
      </c>
      <c r="G476" s="5">
        <f t="shared" si="44"/>
        <v>5.8219178082191778</v>
      </c>
      <c r="H476" s="5">
        <f t="shared" si="45"/>
        <v>1065.4109589041095</v>
      </c>
      <c r="I476" s="5">
        <f t="shared" si="46"/>
        <v>63.92465753424657</v>
      </c>
      <c r="J476" s="5">
        <f t="shared" si="47"/>
        <v>1001.486301369863</v>
      </c>
      <c r="K476" s="1"/>
      <c r="L476" s="6" t="s">
        <v>8</v>
      </c>
      <c r="M476" s="6" t="s">
        <v>4811</v>
      </c>
      <c r="N476" s="6" t="s">
        <v>4812</v>
      </c>
    </row>
    <row r="477" spans="1:14" x14ac:dyDescent="0.25">
      <c r="A477" s="6" t="s">
        <v>483</v>
      </c>
      <c r="B477" s="6" t="s">
        <v>4813</v>
      </c>
      <c r="C477" s="6" t="s">
        <v>4814</v>
      </c>
      <c r="D477" s="6">
        <v>100</v>
      </c>
      <c r="E477" s="5">
        <f t="shared" si="42"/>
        <v>100000</v>
      </c>
      <c r="F477" s="5">
        <f t="shared" si="43"/>
        <v>8500</v>
      </c>
      <c r="G477" s="5">
        <f t="shared" si="44"/>
        <v>23.287671232876711</v>
      </c>
      <c r="H477" s="5">
        <f t="shared" si="45"/>
        <v>4261.6438356164381</v>
      </c>
      <c r="I477" s="5">
        <f t="shared" si="46"/>
        <v>255.69863013698628</v>
      </c>
      <c r="J477" s="5">
        <f t="shared" si="47"/>
        <v>4005.9452054794519</v>
      </c>
      <c r="K477" s="1"/>
      <c r="L477" s="6" t="s">
        <v>3</v>
      </c>
      <c r="M477" s="6" t="s">
        <v>4819</v>
      </c>
      <c r="N477" s="6" t="s">
        <v>4820</v>
      </c>
    </row>
    <row r="478" spans="1:14" x14ac:dyDescent="0.25">
      <c r="A478" s="6" t="s">
        <v>484</v>
      </c>
      <c r="B478" s="6" t="s">
        <v>4821</v>
      </c>
      <c r="C478" s="6" t="s">
        <v>4822</v>
      </c>
      <c r="D478" s="6">
        <v>30</v>
      </c>
      <c r="E478" s="5">
        <f t="shared" si="42"/>
        <v>30000</v>
      </c>
      <c r="F478" s="5">
        <f t="shared" si="43"/>
        <v>2550</v>
      </c>
      <c r="G478" s="5">
        <f t="shared" si="44"/>
        <v>6.9863013698630141</v>
      </c>
      <c r="H478" s="5">
        <f t="shared" si="45"/>
        <v>1278.4931506849316</v>
      </c>
      <c r="I478" s="5">
        <f t="shared" si="46"/>
        <v>76.709589041095896</v>
      </c>
      <c r="J478" s="5">
        <f t="shared" si="47"/>
        <v>1201.7835616438358</v>
      </c>
      <c r="K478" s="1"/>
      <c r="L478" s="6" t="s">
        <v>1478</v>
      </c>
      <c r="M478" s="6" t="s">
        <v>1479</v>
      </c>
      <c r="N478" s="6" t="s">
        <v>4827</v>
      </c>
    </row>
    <row r="479" spans="1:14" x14ac:dyDescent="0.25">
      <c r="A479" s="6" t="s">
        <v>485</v>
      </c>
      <c r="B479" s="6" t="s">
        <v>4828</v>
      </c>
      <c r="C479" s="6" t="s">
        <v>4829</v>
      </c>
      <c r="D479" s="6">
        <v>50</v>
      </c>
      <c r="E479" s="5">
        <f t="shared" si="42"/>
        <v>50000</v>
      </c>
      <c r="F479" s="5">
        <f t="shared" si="43"/>
        <v>4250</v>
      </c>
      <c r="G479" s="5">
        <f t="shared" si="44"/>
        <v>11.643835616438356</v>
      </c>
      <c r="H479" s="5">
        <f t="shared" si="45"/>
        <v>2130.821917808219</v>
      </c>
      <c r="I479" s="5">
        <f t="shared" si="46"/>
        <v>127.84931506849314</v>
      </c>
      <c r="J479" s="5">
        <f t="shared" si="47"/>
        <v>2002.972602739726</v>
      </c>
      <c r="K479" s="1"/>
      <c r="L479" s="6" t="s">
        <v>1478</v>
      </c>
      <c r="M479" s="6" t="s">
        <v>4835</v>
      </c>
      <c r="N479" s="6" t="s">
        <v>4836</v>
      </c>
    </row>
    <row r="480" spans="1:14" x14ac:dyDescent="0.25">
      <c r="A480" s="6" t="s">
        <v>486</v>
      </c>
      <c r="B480" s="6" t="s">
        <v>4837</v>
      </c>
      <c r="C480" s="6" t="s">
        <v>4838</v>
      </c>
      <c r="D480" s="6">
        <v>25</v>
      </c>
      <c r="E480" s="5">
        <f t="shared" si="42"/>
        <v>25000</v>
      </c>
      <c r="F480" s="5">
        <f t="shared" si="43"/>
        <v>2125</v>
      </c>
      <c r="G480" s="5">
        <f t="shared" si="44"/>
        <v>5.8219178082191778</v>
      </c>
      <c r="H480" s="5">
        <f t="shared" si="45"/>
        <v>1065.4109589041095</v>
      </c>
      <c r="I480" s="5">
        <f t="shared" si="46"/>
        <v>63.92465753424657</v>
      </c>
      <c r="J480" s="5">
        <f t="shared" si="47"/>
        <v>1001.486301369863</v>
      </c>
      <c r="K480" s="1"/>
      <c r="L480" s="6" t="s">
        <v>971</v>
      </c>
      <c r="M480" s="6" t="s">
        <v>972</v>
      </c>
      <c r="N480" s="6" t="s">
        <v>4843</v>
      </c>
    </row>
    <row r="481" spans="1:14" x14ac:dyDescent="0.25">
      <c r="A481" s="6" t="s">
        <v>487</v>
      </c>
      <c r="B481" s="6" t="s">
        <v>4844</v>
      </c>
      <c r="C481" s="6" t="s">
        <v>4845</v>
      </c>
      <c r="D481" s="6">
        <v>25</v>
      </c>
      <c r="E481" s="5">
        <f t="shared" si="42"/>
        <v>25000</v>
      </c>
      <c r="F481" s="5">
        <f t="shared" si="43"/>
        <v>2125</v>
      </c>
      <c r="G481" s="5">
        <f t="shared" si="44"/>
        <v>5.8219178082191778</v>
      </c>
      <c r="H481" s="5">
        <f t="shared" si="45"/>
        <v>1065.4109589041095</v>
      </c>
      <c r="I481" s="5">
        <f t="shared" si="46"/>
        <v>63.92465753424657</v>
      </c>
      <c r="J481" s="5">
        <f t="shared" si="47"/>
        <v>1001.486301369863</v>
      </c>
      <c r="K481" s="1"/>
      <c r="L481" s="6" t="s">
        <v>2</v>
      </c>
      <c r="M481" s="6" t="s">
        <v>1327</v>
      </c>
      <c r="N481" s="6" t="s">
        <v>4851</v>
      </c>
    </row>
    <row r="482" spans="1:14" x14ac:dyDescent="0.25">
      <c r="A482" s="6" t="s">
        <v>488</v>
      </c>
      <c r="B482" s="6" t="s">
        <v>4852</v>
      </c>
      <c r="C482" s="6" t="s">
        <v>4853</v>
      </c>
      <c r="D482" s="6">
        <v>25</v>
      </c>
      <c r="E482" s="5">
        <f t="shared" si="42"/>
        <v>25000</v>
      </c>
      <c r="F482" s="5">
        <f t="shared" si="43"/>
        <v>2125</v>
      </c>
      <c r="G482" s="5">
        <f t="shared" si="44"/>
        <v>5.8219178082191778</v>
      </c>
      <c r="H482" s="5">
        <f t="shared" si="45"/>
        <v>1065.4109589041095</v>
      </c>
      <c r="I482" s="5">
        <f t="shared" si="46"/>
        <v>63.92465753424657</v>
      </c>
      <c r="J482" s="5">
        <f t="shared" si="47"/>
        <v>1001.486301369863</v>
      </c>
      <c r="K482" s="1"/>
      <c r="L482" s="6" t="s">
        <v>2</v>
      </c>
      <c r="M482" s="6" t="s">
        <v>4858</v>
      </c>
      <c r="N482" s="6" t="s">
        <v>4859</v>
      </c>
    </row>
    <row r="483" spans="1:14" x14ac:dyDescent="0.25">
      <c r="A483" s="6" t="s">
        <v>489</v>
      </c>
      <c r="B483" s="6" t="s">
        <v>4860</v>
      </c>
      <c r="C483" s="6" t="s">
        <v>4861</v>
      </c>
      <c r="D483" s="6">
        <v>25</v>
      </c>
      <c r="E483" s="5">
        <f t="shared" si="42"/>
        <v>25000</v>
      </c>
      <c r="F483" s="5">
        <f t="shared" si="43"/>
        <v>2125</v>
      </c>
      <c r="G483" s="5">
        <f t="shared" si="44"/>
        <v>5.8219178082191778</v>
      </c>
      <c r="H483" s="5">
        <f t="shared" si="45"/>
        <v>1065.4109589041095</v>
      </c>
      <c r="I483" s="5">
        <f t="shared" si="46"/>
        <v>63.92465753424657</v>
      </c>
      <c r="J483" s="5">
        <f t="shared" si="47"/>
        <v>1001.486301369863</v>
      </c>
      <c r="K483" s="1"/>
      <c r="L483" s="6" t="s">
        <v>1335</v>
      </c>
      <c r="M483" s="6" t="s">
        <v>4867</v>
      </c>
      <c r="N483" s="6" t="s">
        <v>4868</v>
      </c>
    </row>
    <row r="484" spans="1:14" x14ac:dyDescent="0.25">
      <c r="A484" s="6" t="s">
        <v>490</v>
      </c>
      <c r="B484" s="6" t="s">
        <v>4869</v>
      </c>
      <c r="C484" s="6" t="s">
        <v>4870</v>
      </c>
      <c r="D484" s="6">
        <v>50</v>
      </c>
      <c r="E484" s="5">
        <f t="shared" si="42"/>
        <v>50000</v>
      </c>
      <c r="F484" s="5">
        <f t="shared" si="43"/>
        <v>4250</v>
      </c>
      <c r="G484" s="5">
        <f t="shared" si="44"/>
        <v>11.643835616438356</v>
      </c>
      <c r="H484" s="5">
        <f t="shared" si="45"/>
        <v>2130.821917808219</v>
      </c>
      <c r="I484" s="5">
        <f t="shared" si="46"/>
        <v>127.84931506849314</v>
      </c>
      <c r="J484" s="5">
        <f t="shared" si="47"/>
        <v>2002.972602739726</v>
      </c>
      <c r="K484" s="1"/>
      <c r="L484" s="6" t="s">
        <v>909</v>
      </c>
      <c r="M484" s="6" t="s">
        <v>4628</v>
      </c>
      <c r="N484" s="6" t="s">
        <v>4875</v>
      </c>
    </row>
    <row r="485" spans="1:14" x14ac:dyDescent="0.25">
      <c r="A485" s="6" t="s">
        <v>491</v>
      </c>
      <c r="B485" s="6" t="s">
        <v>4876</v>
      </c>
      <c r="C485" s="6" t="s">
        <v>4877</v>
      </c>
      <c r="D485" s="6">
        <v>25</v>
      </c>
      <c r="E485" s="5">
        <f t="shared" si="42"/>
        <v>25000</v>
      </c>
      <c r="F485" s="5">
        <f t="shared" si="43"/>
        <v>2125</v>
      </c>
      <c r="G485" s="5">
        <f t="shared" si="44"/>
        <v>5.8219178082191778</v>
      </c>
      <c r="H485" s="5">
        <f t="shared" si="45"/>
        <v>1065.4109589041095</v>
      </c>
      <c r="I485" s="5">
        <f t="shared" si="46"/>
        <v>63.92465753424657</v>
      </c>
      <c r="J485" s="5">
        <f t="shared" si="47"/>
        <v>1001.486301369863</v>
      </c>
      <c r="K485" s="1"/>
      <c r="L485" s="6" t="s">
        <v>4</v>
      </c>
      <c r="M485" s="6" t="s">
        <v>924</v>
      </c>
      <c r="N485" s="6" t="s">
        <v>4882</v>
      </c>
    </row>
    <row r="486" spans="1:14" x14ac:dyDescent="0.25">
      <c r="A486" s="6" t="s">
        <v>492</v>
      </c>
      <c r="B486" s="6" t="s">
        <v>4883</v>
      </c>
      <c r="C486" s="6" t="s">
        <v>4884</v>
      </c>
      <c r="D486" s="6">
        <v>50</v>
      </c>
      <c r="E486" s="5">
        <f t="shared" si="42"/>
        <v>50000</v>
      </c>
      <c r="F486" s="5">
        <f t="shared" si="43"/>
        <v>4250</v>
      </c>
      <c r="G486" s="5">
        <f t="shared" si="44"/>
        <v>11.643835616438356</v>
      </c>
      <c r="H486" s="5">
        <f t="shared" si="45"/>
        <v>2130.821917808219</v>
      </c>
      <c r="I486" s="5">
        <f t="shared" si="46"/>
        <v>127.84931506849314</v>
      </c>
      <c r="J486" s="5">
        <f t="shared" si="47"/>
        <v>2002.972602739726</v>
      </c>
      <c r="K486" s="1"/>
      <c r="L486" s="6" t="s">
        <v>1310</v>
      </c>
      <c r="M486" s="6" t="s">
        <v>4888</v>
      </c>
      <c r="N486" s="6" t="s">
        <v>4889</v>
      </c>
    </row>
    <row r="487" spans="1:14" x14ac:dyDescent="0.25">
      <c r="A487" s="6" t="s">
        <v>493</v>
      </c>
      <c r="B487" s="6" t="s">
        <v>4890</v>
      </c>
      <c r="C487" s="6" t="s">
        <v>4891</v>
      </c>
      <c r="D487" s="6">
        <v>25</v>
      </c>
      <c r="E487" s="5">
        <f t="shared" si="42"/>
        <v>25000</v>
      </c>
      <c r="F487" s="5">
        <f t="shared" si="43"/>
        <v>2125</v>
      </c>
      <c r="G487" s="5">
        <f t="shared" si="44"/>
        <v>5.8219178082191778</v>
      </c>
      <c r="H487" s="5">
        <f t="shared" si="45"/>
        <v>1065.4109589041095</v>
      </c>
      <c r="I487" s="5">
        <f t="shared" si="46"/>
        <v>63.92465753424657</v>
      </c>
      <c r="J487" s="5">
        <f t="shared" si="47"/>
        <v>1001.486301369863</v>
      </c>
      <c r="K487" s="1"/>
      <c r="L487" s="6" t="s">
        <v>910</v>
      </c>
      <c r="M487" s="6" t="s">
        <v>981</v>
      </c>
      <c r="N487" s="6" t="s">
        <v>4897</v>
      </c>
    </row>
    <row r="488" spans="1:14" x14ac:dyDescent="0.25">
      <c r="A488" s="6" t="s">
        <v>494</v>
      </c>
      <c r="B488" s="6" t="s">
        <v>4898</v>
      </c>
      <c r="C488" s="6" t="s">
        <v>4899</v>
      </c>
      <c r="D488" s="6">
        <v>100</v>
      </c>
      <c r="E488" s="5">
        <f t="shared" si="42"/>
        <v>100000</v>
      </c>
      <c r="F488" s="5">
        <f t="shared" si="43"/>
        <v>8500</v>
      </c>
      <c r="G488" s="5">
        <f t="shared" si="44"/>
        <v>23.287671232876711</v>
      </c>
      <c r="H488" s="5">
        <f t="shared" si="45"/>
        <v>4261.6438356164381</v>
      </c>
      <c r="I488" s="5">
        <f t="shared" si="46"/>
        <v>255.69863013698628</v>
      </c>
      <c r="J488" s="5">
        <f t="shared" si="47"/>
        <v>4005.9452054794519</v>
      </c>
      <c r="K488" s="1"/>
      <c r="L488" s="6" t="s">
        <v>971</v>
      </c>
      <c r="M488" s="6" t="s">
        <v>972</v>
      </c>
      <c r="N488" s="6" t="s">
        <v>4904</v>
      </c>
    </row>
    <row r="489" spans="1:14" x14ac:dyDescent="0.25">
      <c r="A489" s="6" t="s">
        <v>495</v>
      </c>
      <c r="B489" s="6" t="s">
        <v>4905</v>
      </c>
      <c r="C489" s="6" t="s">
        <v>4906</v>
      </c>
      <c r="D489" s="6">
        <v>25</v>
      </c>
      <c r="E489" s="5">
        <f t="shared" si="42"/>
        <v>25000</v>
      </c>
      <c r="F489" s="5">
        <f t="shared" si="43"/>
        <v>2125</v>
      </c>
      <c r="G489" s="5">
        <f t="shared" si="44"/>
        <v>5.8219178082191778</v>
      </c>
      <c r="H489" s="5">
        <f t="shared" si="45"/>
        <v>1065.4109589041095</v>
      </c>
      <c r="I489" s="5">
        <f t="shared" si="46"/>
        <v>63.92465753424657</v>
      </c>
      <c r="J489" s="5">
        <f t="shared" si="47"/>
        <v>1001.486301369863</v>
      </c>
      <c r="K489" s="1"/>
      <c r="L489" s="6" t="s">
        <v>971</v>
      </c>
      <c r="M489" s="6" t="s">
        <v>972</v>
      </c>
      <c r="N489" s="6" t="s">
        <v>4912</v>
      </c>
    </row>
    <row r="490" spans="1:14" x14ac:dyDescent="0.25">
      <c r="A490" s="6" t="s">
        <v>496</v>
      </c>
      <c r="B490" s="6" t="s">
        <v>4913</v>
      </c>
      <c r="C490" s="6" t="s">
        <v>4914</v>
      </c>
      <c r="D490" s="6">
        <v>25</v>
      </c>
      <c r="E490" s="5">
        <f t="shared" si="42"/>
        <v>25000</v>
      </c>
      <c r="F490" s="5">
        <f t="shared" si="43"/>
        <v>2125</v>
      </c>
      <c r="G490" s="5">
        <f t="shared" si="44"/>
        <v>5.8219178082191778</v>
      </c>
      <c r="H490" s="5">
        <f t="shared" si="45"/>
        <v>1065.4109589041095</v>
      </c>
      <c r="I490" s="5">
        <f t="shared" si="46"/>
        <v>63.92465753424657</v>
      </c>
      <c r="J490" s="5">
        <f t="shared" si="47"/>
        <v>1001.486301369863</v>
      </c>
      <c r="K490" s="1"/>
      <c r="L490" s="6" t="s">
        <v>909</v>
      </c>
      <c r="M490" s="6" t="s">
        <v>1237</v>
      </c>
      <c r="N490" s="6" t="s">
        <v>4919</v>
      </c>
    </row>
    <row r="491" spans="1:14" x14ac:dyDescent="0.25">
      <c r="A491" s="6" t="s">
        <v>497</v>
      </c>
      <c r="B491" s="6" t="s">
        <v>4920</v>
      </c>
      <c r="C491" s="6" t="s">
        <v>4921</v>
      </c>
      <c r="D491" s="6">
        <v>25</v>
      </c>
      <c r="E491" s="5">
        <f t="shared" si="42"/>
        <v>25000</v>
      </c>
      <c r="F491" s="5">
        <f t="shared" si="43"/>
        <v>2125</v>
      </c>
      <c r="G491" s="5">
        <f t="shared" si="44"/>
        <v>5.8219178082191778</v>
      </c>
      <c r="H491" s="5">
        <f t="shared" si="45"/>
        <v>1065.4109589041095</v>
      </c>
      <c r="I491" s="5">
        <f t="shared" si="46"/>
        <v>63.92465753424657</v>
      </c>
      <c r="J491" s="5">
        <f t="shared" si="47"/>
        <v>1001.486301369863</v>
      </c>
      <c r="K491" s="1"/>
      <c r="L491" s="6" t="s">
        <v>1637</v>
      </c>
      <c r="M491" s="6" t="s">
        <v>4926</v>
      </c>
      <c r="N491" s="6" t="s">
        <v>4927</v>
      </c>
    </row>
    <row r="492" spans="1:14" x14ac:dyDescent="0.25">
      <c r="A492" s="6" t="s">
        <v>498</v>
      </c>
      <c r="B492" s="6" t="s">
        <v>4928</v>
      </c>
      <c r="C492" s="6" t="s">
        <v>4929</v>
      </c>
      <c r="D492" s="6">
        <v>25</v>
      </c>
      <c r="E492" s="5">
        <f t="shared" si="42"/>
        <v>25000</v>
      </c>
      <c r="F492" s="5">
        <f t="shared" si="43"/>
        <v>2125</v>
      </c>
      <c r="G492" s="5">
        <f t="shared" si="44"/>
        <v>5.8219178082191778</v>
      </c>
      <c r="H492" s="5">
        <f t="shared" si="45"/>
        <v>1065.4109589041095</v>
      </c>
      <c r="I492" s="5">
        <f t="shared" si="46"/>
        <v>63.92465753424657</v>
      </c>
      <c r="J492" s="5">
        <f t="shared" si="47"/>
        <v>1001.486301369863</v>
      </c>
      <c r="K492" s="1"/>
      <c r="L492" s="6" t="s">
        <v>915</v>
      </c>
      <c r="M492" s="6" t="s">
        <v>4935</v>
      </c>
      <c r="N492" s="6" t="s">
        <v>4936</v>
      </c>
    </row>
    <row r="493" spans="1:14" x14ac:dyDescent="0.25">
      <c r="A493" s="6" t="s">
        <v>499</v>
      </c>
      <c r="B493" s="6" t="s">
        <v>4937</v>
      </c>
      <c r="C493" s="6" t="s">
        <v>4938</v>
      </c>
      <c r="D493" s="6">
        <v>25</v>
      </c>
      <c r="E493" s="5">
        <f t="shared" si="42"/>
        <v>25000</v>
      </c>
      <c r="F493" s="5">
        <f t="shared" si="43"/>
        <v>2125</v>
      </c>
      <c r="G493" s="5">
        <f t="shared" si="44"/>
        <v>5.8219178082191778</v>
      </c>
      <c r="H493" s="5">
        <f t="shared" si="45"/>
        <v>1065.4109589041095</v>
      </c>
      <c r="I493" s="5">
        <f t="shared" si="46"/>
        <v>63.92465753424657</v>
      </c>
      <c r="J493" s="5">
        <f t="shared" si="47"/>
        <v>1001.486301369863</v>
      </c>
      <c r="K493" s="1"/>
      <c r="L493" s="6" t="s">
        <v>909</v>
      </c>
      <c r="M493" s="6" t="s">
        <v>1237</v>
      </c>
      <c r="N493" s="6" t="s">
        <v>4943</v>
      </c>
    </row>
    <row r="494" spans="1:14" x14ac:dyDescent="0.25">
      <c r="A494" s="6" t="s">
        <v>500</v>
      </c>
      <c r="B494" s="6" t="s">
        <v>4944</v>
      </c>
      <c r="C494" s="6" t="s">
        <v>4945</v>
      </c>
      <c r="D494" s="6">
        <v>400</v>
      </c>
      <c r="E494" s="5">
        <f t="shared" si="42"/>
        <v>400000</v>
      </c>
      <c r="F494" s="5">
        <f t="shared" si="43"/>
        <v>34000</v>
      </c>
      <c r="G494" s="5">
        <f t="shared" si="44"/>
        <v>93.150684931506845</v>
      </c>
      <c r="H494" s="5">
        <f t="shared" si="45"/>
        <v>17046.575342465752</v>
      </c>
      <c r="I494" s="5">
        <f t="shared" si="46"/>
        <v>1022.7945205479451</v>
      </c>
      <c r="J494" s="5">
        <f t="shared" si="47"/>
        <v>16023.780821917808</v>
      </c>
      <c r="K494" s="1"/>
      <c r="L494" s="6" t="s">
        <v>1218</v>
      </c>
      <c r="M494" s="6" t="s">
        <v>1219</v>
      </c>
      <c r="N494" s="6" t="s">
        <v>4951</v>
      </c>
    </row>
    <row r="495" spans="1:14" x14ac:dyDescent="0.25">
      <c r="A495" s="6" t="s">
        <v>501</v>
      </c>
      <c r="B495" s="6" t="s">
        <v>4952</v>
      </c>
      <c r="C495" s="6" t="s">
        <v>4953</v>
      </c>
      <c r="D495" s="6">
        <v>25</v>
      </c>
      <c r="E495" s="5">
        <f t="shared" si="42"/>
        <v>25000</v>
      </c>
      <c r="F495" s="5">
        <f t="shared" si="43"/>
        <v>2125</v>
      </c>
      <c r="G495" s="5">
        <f t="shared" si="44"/>
        <v>5.8219178082191778</v>
      </c>
      <c r="H495" s="5">
        <f t="shared" si="45"/>
        <v>1065.4109589041095</v>
      </c>
      <c r="I495" s="5">
        <f t="shared" si="46"/>
        <v>63.92465753424657</v>
      </c>
      <c r="J495" s="5">
        <f t="shared" si="47"/>
        <v>1001.486301369863</v>
      </c>
      <c r="K495" s="1"/>
      <c r="L495" s="6" t="s">
        <v>1496</v>
      </c>
      <c r="M495" s="6" t="s">
        <v>2236</v>
      </c>
      <c r="N495" s="6" t="s">
        <v>4960</v>
      </c>
    </row>
    <row r="496" spans="1:14" x14ac:dyDescent="0.25">
      <c r="A496" s="6" t="s">
        <v>502</v>
      </c>
      <c r="B496" s="6" t="s">
        <v>4961</v>
      </c>
      <c r="C496" s="6" t="s">
        <v>4962</v>
      </c>
      <c r="D496" s="6">
        <v>25</v>
      </c>
      <c r="E496" s="5">
        <f t="shared" si="42"/>
        <v>25000</v>
      </c>
      <c r="F496" s="5">
        <f t="shared" si="43"/>
        <v>2125</v>
      </c>
      <c r="G496" s="5">
        <f t="shared" si="44"/>
        <v>5.8219178082191778</v>
      </c>
      <c r="H496" s="5">
        <f t="shared" si="45"/>
        <v>1065.4109589041095</v>
      </c>
      <c r="I496" s="5">
        <f t="shared" si="46"/>
        <v>63.92465753424657</v>
      </c>
      <c r="J496" s="5">
        <f t="shared" si="47"/>
        <v>1001.486301369863</v>
      </c>
      <c r="K496" s="1"/>
      <c r="L496" s="6" t="s">
        <v>2</v>
      </c>
      <c r="M496" s="6" t="s">
        <v>1882</v>
      </c>
      <c r="N496" s="6" t="s">
        <v>4967</v>
      </c>
    </row>
    <row r="497" spans="1:14" x14ac:dyDescent="0.25">
      <c r="A497" s="6" t="s">
        <v>503</v>
      </c>
      <c r="B497" s="6" t="s">
        <v>4968</v>
      </c>
      <c r="C497" s="6" t="s">
        <v>4969</v>
      </c>
      <c r="D497" s="6">
        <v>25</v>
      </c>
      <c r="E497" s="5">
        <f t="shared" si="42"/>
        <v>25000</v>
      </c>
      <c r="F497" s="5">
        <f t="shared" si="43"/>
        <v>2125</v>
      </c>
      <c r="G497" s="5">
        <f t="shared" si="44"/>
        <v>5.8219178082191778</v>
      </c>
      <c r="H497" s="5">
        <f t="shared" si="45"/>
        <v>1065.4109589041095</v>
      </c>
      <c r="I497" s="5">
        <f t="shared" si="46"/>
        <v>63.92465753424657</v>
      </c>
      <c r="J497" s="5">
        <f t="shared" si="47"/>
        <v>1001.486301369863</v>
      </c>
      <c r="K497" s="1"/>
      <c r="L497" s="6" t="s">
        <v>1673</v>
      </c>
      <c r="M497" s="6" t="s">
        <v>4974</v>
      </c>
      <c r="N497" s="6" t="s">
        <v>4975</v>
      </c>
    </row>
    <row r="498" spans="1:14" x14ac:dyDescent="0.25">
      <c r="A498" s="6" t="s">
        <v>504</v>
      </c>
      <c r="B498" s="6" t="s">
        <v>4976</v>
      </c>
      <c r="C498" s="6" t="s">
        <v>4977</v>
      </c>
      <c r="D498" s="6">
        <v>25</v>
      </c>
      <c r="E498" s="5">
        <f t="shared" si="42"/>
        <v>25000</v>
      </c>
      <c r="F498" s="5">
        <f t="shared" si="43"/>
        <v>2125</v>
      </c>
      <c r="G498" s="5">
        <f t="shared" si="44"/>
        <v>5.8219178082191778</v>
      </c>
      <c r="H498" s="5">
        <f t="shared" si="45"/>
        <v>1065.4109589041095</v>
      </c>
      <c r="I498" s="5">
        <f t="shared" si="46"/>
        <v>63.92465753424657</v>
      </c>
      <c r="J498" s="5">
        <f t="shared" si="47"/>
        <v>1001.486301369863</v>
      </c>
      <c r="K498" s="1"/>
      <c r="L498" s="6" t="s">
        <v>2</v>
      </c>
      <c r="M498" s="6" t="s">
        <v>1882</v>
      </c>
      <c r="N498" s="6" t="s">
        <v>4981</v>
      </c>
    </row>
    <row r="499" spans="1:14" x14ac:dyDescent="0.25">
      <c r="A499" s="6" t="s">
        <v>505</v>
      </c>
      <c r="B499" s="6" t="s">
        <v>4982</v>
      </c>
      <c r="C499" s="6" t="s">
        <v>4983</v>
      </c>
      <c r="D499" s="6">
        <v>950</v>
      </c>
      <c r="E499" s="5">
        <f t="shared" si="42"/>
        <v>950000</v>
      </c>
      <c r="F499" s="5">
        <f t="shared" si="43"/>
        <v>80750</v>
      </c>
      <c r="G499" s="5">
        <f t="shared" si="44"/>
        <v>221.23287671232876</v>
      </c>
      <c r="H499" s="5">
        <f t="shared" si="45"/>
        <v>40485.616438356163</v>
      </c>
      <c r="I499" s="5">
        <f t="shared" si="46"/>
        <v>2429.1369863013697</v>
      </c>
      <c r="J499" s="5">
        <f t="shared" si="47"/>
        <v>38056.479452054795</v>
      </c>
      <c r="K499" s="1"/>
      <c r="L499" s="6" t="s">
        <v>910</v>
      </c>
      <c r="M499" s="6" t="s">
        <v>2174</v>
      </c>
      <c r="N499" s="6" t="s">
        <v>4988</v>
      </c>
    </row>
    <row r="500" spans="1:14" x14ac:dyDescent="0.25">
      <c r="A500" s="6" t="s">
        <v>506</v>
      </c>
      <c r="B500" s="6" t="s">
        <v>4989</v>
      </c>
      <c r="C500" s="6" t="s">
        <v>4990</v>
      </c>
      <c r="D500" s="6">
        <v>25</v>
      </c>
      <c r="E500" s="5">
        <f t="shared" si="42"/>
        <v>25000</v>
      </c>
      <c r="F500" s="5">
        <f t="shared" si="43"/>
        <v>2125</v>
      </c>
      <c r="G500" s="5">
        <f t="shared" si="44"/>
        <v>5.8219178082191778</v>
      </c>
      <c r="H500" s="5">
        <f t="shared" si="45"/>
        <v>1065.4109589041095</v>
      </c>
      <c r="I500" s="5">
        <f t="shared" si="46"/>
        <v>63.92465753424657</v>
      </c>
      <c r="J500" s="5">
        <f t="shared" si="47"/>
        <v>1001.486301369863</v>
      </c>
      <c r="K500" s="1"/>
      <c r="L500" s="6" t="s">
        <v>1637</v>
      </c>
      <c r="M500" s="6" t="s">
        <v>2316</v>
      </c>
      <c r="N500" s="6" t="s">
        <v>4996</v>
      </c>
    </row>
    <row r="501" spans="1:14" x14ac:dyDescent="0.25">
      <c r="A501" s="6" t="s">
        <v>507</v>
      </c>
      <c r="B501" s="6" t="s">
        <v>4997</v>
      </c>
      <c r="C501" s="6" t="s">
        <v>4998</v>
      </c>
      <c r="D501" s="6">
        <v>500</v>
      </c>
      <c r="E501" s="5">
        <f t="shared" si="42"/>
        <v>500000</v>
      </c>
      <c r="F501" s="5">
        <f t="shared" si="43"/>
        <v>42500</v>
      </c>
      <c r="G501" s="5">
        <f t="shared" si="44"/>
        <v>116.43835616438356</v>
      </c>
      <c r="H501" s="5">
        <f t="shared" si="45"/>
        <v>21308.219178082192</v>
      </c>
      <c r="I501" s="5">
        <f t="shared" si="46"/>
        <v>1278.4931506849314</v>
      </c>
      <c r="J501" s="5">
        <f t="shared" si="47"/>
        <v>20029.726027397261</v>
      </c>
      <c r="K501" s="1"/>
      <c r="L501" s="6" t="s">
        <v>910</v>
      </c>
      <c r="M501" s="6" t="s">
        <v>981</v>
      </c>
      <c r="N501" s="6" t="s">
        <v>5003</v>
      </c>
    </row>
    <row r="502" spans="1:14" x14ac:dyDescent="0.25">
      <c r="A502" s="6" t="s">
        <v>508</v>
      </c>
      <c r="B502" s="6" t="s">
        <v>5004</v>
      </c>
      <c r="C502" s="6" t="s">
        <v>5005</v>
      </c>
      <c r="D502" s="6">
        <v>25</v>
      </c>
      <c r="E502" s="5">
        <f t="shared" si="42"/>
        <v>25000</v>
      </c>
      <c r="F502" s="5">
        <f t="shared" si="43"/>
        <v>2125</v>
      </c>
      <c r="G502" s="5">
        <f t="shared" si="44"/>
        <v>5.8219178082191778</v>
      </c>
      <c r="H502" s="5">
        <f t="shared" si="45"/>
        <v>1065.4109589041095</v>
      </c>
      <c r="I502" s="5">
        <f t="shared" si="46"/>
        <v>63.92465753424657</v>
      </c>
      <c r="J502" s="5">
        <f t="shared" si="47"/>
        <v>1001.486301369863</v>
      </c>
      <c r="K502" s="1"/>
      <c r="L502" s="6" t="s">
        <v>1637</v>
      </c>
      <c r="M502" s="6" t="s">
        <v>2627</v>
      </c>
      <c r="N502" s="6" t="s">
        <v>5011</v>
      </c>
    </row>
    <row r="503" spans="1:14" x14ac:dyDescent="0.25">
      <c r="A503" s="6" t="s">
        <v>509</v>
      </c>
      <c r="B503" s="6" t="s">
        <v>5012</v>
      </c>
      <c r="C503" s="6" t="s">
        <v>5013</v>
      </c>
      <c r="D503" s="6">
        <v>25</v>
      </c>
      <c r="E503" s="5">
        <f t="shared" si="42"/>
        <v>25000</v>
      </c>
      <c r="F503" s="5">
        <f t="shared" si="43"/>
        <v>2125</v>
      </c>
      <c r="G503" s="5">
        <f t="shared" si="44"/>
        <v>5.8219178082191778</v>
      </c>
      <c r="H503" s="5">
        <f t="shared" si="45"/>
        <v>1065.4109589041095</v>
      </c>
      <c r="I503" s="5">
        <f t="shared" si="46"/>
        <v>63.92465753424657</v>
      </c>
      <c r="J503" s="5">
        <f t="shared" si="47"/>
        <v>1001.486301369863</v>
      </c>
      <c r="K503" s="1"/>
      <c r="L503" s="6" t="s">
        <v>919</v>
      </c>
      <c r="M503" s="6" t="s">
        <v>918</v>
      </c>
      <c r="N503" s="6" t="s">
        <v>5019</v>
      </c>
    </row>
    <row r="504" spans="1:14" x14ac:dyDescent="0.25">
      <c r="A504" s="6" t="s">
        <v>510</v>
      </c>
      <c r="B504" s="6" t="s">
        <v>5020</v>
      </c>
      <c r="C504" s="6" t="s">
        <v>5021</v>
      </c>
      <c r="D504" s="6">
        <v>25</v>
      </c>
      <c r="E504" s="5">
        <f t="shared" si="42"/>
        <v>25000</v>
      </c>
      <c r="F504" s="5">
        <f t="shared" si="43"/>
        <v>2125</v>
      </c>
      <c r="G504" s="5">
        <f t="shared" si="44"/>
        <v>5.8219178082191778</v>
      </c>
      <c r="H504" s="5">
        <f t="shared" si="45"/>
        <v>1065.4109589041095</v>
      </c>
      <c r="I504" s="5">
        <f t="shared" si="46"/>
        <v>63.92465753424657</v>
      </c>
      <c r="J504" s="5">
        <f t="shared" si="47"/>
        <v>1001.486301369863</v>
      </c>
      <c r="K504" s="1"/>
      <c r="L504" s="6" t="s">
        <v>971</v>
      </c>
      <c r="M504" s="6" t="s">
        <v>972</v>
      </c>
      <c r="N504" s="6" t="s">
        <v>5024</v>
      </c>
    </row>
    <row r="505" spans="1:14" x14ac:dyDescent="0.25">
      <c r="A505" s="6" t="s">
        <v>511</v>
      </c>
      <c r="B505" s="6" t="s">
        <v>5025</v>
      </c>
      <c r="C505" s="6" t="s">
        <v>5026</v>
      </c>
      <c r="D505" s="6">
        <v>25</v>
      </c>
      <c r="E505" s="5">
        <f t="shared" si="42"/>
        <v>25000</v>
      </c>
      <c r="F505" s="5">
        <f t="shared" si="43"/>
        <v>2125</v>
      </c>
      <c r="G505" s="5">
        <f t="shared" si="44"/>
        <v>5.8219178082191778</v>
      </c>
      <c r="H505" s="5">
        <f t="shared" si="45"/>
        <v>1065.4109589041095</v>
      </c>
      <c r="I505" s="5">
        <f t="shared" si="46"/>
        <v>63.92465753424657</v>
      </c>
      <c r="J505" s="5">
        <f t="shared" si="47"/>
        <v>1001.486301369863</v>
      </c>
      <c r="K505" s="1"/>
      <c r="L505" s="6" t="s">
        <v>1218</v>
      </c>
      <c r="M505" s="6" t="s">
        <v>1355</v>
      </c>
      <c r="N505" s="6" t="s">
        <v>5031</v>
      </c>
    </row>
    <row r="506" spans="1:14" x14ac:dyDescent="0.25">
      <c r="A506" s="6" t="s">
        <v>512</v>
      </c>
      <c r="B506" s="6" t="s">
        <v>5032</v>
      </c>
      <c r="C506" s="6" t="s">
        <v>5033</v>
      </c>
      <c r="D506" s="6">
        <v>25</v>
      </c>
      <c r="E506" s="5">
        <f t="shared" si="42"/>
        <v>25000</v>
      </c>
      <c r="F506" s="5">
        <f t="shared" si="43"/>
        <v>2125</v>
      </c>
      <c r="G506" s="5">
        <f t="shared" si="44"/>
        <v>5.8219178082191778</v>
      </c>
      <c r="H506" s="5">
        <f t="shared" si="45"/>
        <v>1065.4109589041095</v>
      </c>
      <c r="I506" s="5">
        <f t="shared" si="46"/>
        <v>63.92465753424657</v>
      </c>
      <c r="J506" s="5">
        <f t="shared" si="47"/>
        <v>1001.486301369863</v>
      </c>
      <c r="K506" s="1"/>
      <c r="L506" s="6" t="s">
        <v>919</v>
      </c>
      <c r="M506" s="6" t="s">
        <v>918</v>
      </c>
      <c r="N506" s="6" t="s">
        <v>5037</v>
      </c>
    </row>
    <row r="507" spans="1:14" x14ac:dyDescent="0.25">
      <c r="A507" s="6" t="s">
        <v>4</v>
      </c>
      <c r="B507" s="6" t="s">
        <v>5038</v>
      </c>
      <c r="C507" s="6" t="s">
        <v>5039</v>
      </c>
      <c r="D507" s="6">
        <v>25</v>
      </c>
      <c r="E507" s="5">
        <f t="shared" si="42"/>
        <v>25000</v>
      </c>
      <c r="F507" s="5">
        <f t="shared" si="43"/>
        <v>2125</v>
      </c>
      <c r="G507" s="5">
        <f t="shared" si="44"/>
        <v>5.8219178082191778</v>
      </c>
      <c r="H507" s="5">
        <f t="shared" si="45"/>
        <v>1065.4109589041095</v>
      </c>
      <c r="I507" s="5">
        <f t="shared" si="46"/>
        <v>63.92465753424657</v>
      </c>
      <c r="J507" s="5">
        <f t="shared" si="47"/>
        <v>1001.486301369863</v>
      </c>
      <c r="K507" s="1"/>
      <c r="L507" s="6" t="s">
        <v>1548</v>
      </c>
      <c r="M507" s="6" t="s">
        <v>3753</v>
      </c>
      <c r="N507" s="6" t="s">
        <v>5045</v>
      </c>
    </row>
    <row r="508" spans="1:14" x14ac:dyDescent="0.25">
      <c r="A508" s="6" t="s">
        <v>513</v>
      </c>
      <c r="B508" s="6" t="s">
        <v>5046</v>
      </c>
      <c r="C508" s="6" t="s">
        <v>5047</v>
      </c>
      <c r="D508" s="6">
        <v>75</v>
      </c>
      <c r="E508" s="5">
        <f t="shared" si="42"/>
        <v>75000</v>
      </c>
      <c r="F508" s="5">
        <f t="shared" si="43"/>
        <v>6375.0000000000009</v>
      </c>
      <c r="G508" s="5">
        <f t="shared" si="44"/>
        <v>17.465753424657535</v>
      </c>
      <c r="H508" s="5">
        <f t="shared" si="45"/>
        <v>3196.232876712329</v>
      </c>
      <c r="I508" s="5">
        <f t="shared" si="46"/>
        <v>191.77397260273975</v>
      </c>
      <c r="J508" s="5">
        <f t="shared" si="47"/>
        <v>3004.4589041095892</v>
      </c>
      <c r="K508" s="1"/>
      <c r="L508" s="6" t="s">
        <v>4</v>
      </c>
      <c r="M508" s="6" t="s">
        <v>924</v>
      </c>
      <c r="N508" s="6" t="s">
        <v>5053</v>
      </c>
    </row>
    <row r="509" spans="1:14" x14ac:dyDescent="0.25">
      <c r="A509" s="6" t="s">
        <v>514</v>
      </c>
      <c r="B509" s="6" t="s">
        <v>5054</v>
      </c>
      <c r="C509" s="6" t="s">
        <v>5055</v>
      </c>
      <c r="D509" s="6">
        <v>50</v>
      </c>
      <c r="E509" s="5">
        <f t="shared" si="42"/>
        <v>50000</v>
      </c>
      <c r="F509" s="5">
        <f t="shared" si="43"/>
        <v>4250</v>
      </c>
      <c r="G509" s="5">
        <f t="shared" si="44"/>
        <v>11.643835616438356</v>
      </c>
      <c r="H509" s="5">
        <f t="shared" si="45"/>
        <v>2130.821917808219</v>
      </c>
      <c r="I509" s="5">
        <f t="shared" si="46"/>
        <v>127.84931506849314</v>
      </c>
      <c r="J509" s="5">
        <f t="shared" si="47"/>
        <v>2002.972602739726</v>
      </c>
      <c r="K509" s="1"/>
      <c r="L509" s="6" t="s">
        <v>8</v>
      </c>
      <c r="M509" s="6" t="s">
        <v>1020</v>
      </c>
      <c r="N509" s="6" t="s">
        <v>5060</v>
      </c>
    </row>
    <row r="510" spans="1:14" x14ac:dyDescent="0.25">
      <c r="A510" s="6" t="s">
        <v>515</v>
      </c>
      <c r="B510" s="6" t="s">
        <v>5061</v>
      </c>
      <c r="C510" s="6" t="s">
        <v>5062</v>
      </c>
      <c r="D510" s="6">
        <v>25</v>
      </c>
      <c r="E510" s="5">
        <f t="shared" si="42"/>
        <v>25000</v>
      </c>
      <c r="F510" s="5">
        <f t="shared" si="43"/>
        <v>2125</v>
      </c>
      <c r="G510" s="5">
        <f t="shared" si="44"/>
        <v>5.8219178082191778</v>
      </c>
      <c r="H510" s="5">
        <f t="shared" si="45"/>
        <v>1065.4109589041095</v>
      </c>
      <c r="I510" s="5">
        <f t="shared" si="46"/>
        <v>63.92465753424657</v>
      </c>
      <c r="J510" s="5">
        <f t="shared" si="47"/>
        <v>1001.486301369863</v>
      </c>
      <c r="K510" s="1"/>
      <c r="L510" s="6" t="s">
        <v>971</v>
      </c>
      <c r="M510" s="6" t="s">
        <v>972</v>
      </c>
      <c r="N510" s="6" t="s">
        <v>5067</v>
      </c>
    </row>
    <row r="511" spans="1:14" x14ac:dyDescent="0.25">
      <c r="A511" s="6" t="s">
        <v>516</v>
      </c>
      <c r="B511" s="6" t="s">
        <v>5068</v>
      </c>
      <c r="C511" s="6" t="s">
        <v>5069</v>
      </c>
      <c r="D511" s="6">
        <v>200</v>
      </c>
      <c r="E511" s="5">
        <f t="shared" si="42"/>
        <v>200000</v>
      </c>
      <c r="F511" s="5">
        <f t="shared" si="43"/>
        <v>17000</v>
      </c>
      <c r="G511" s="5">
        <f t="shared" si="44"/>
        <v>46.575342465753423</v>
      </c>
      <c r="H511" s="5">
        <f t="shared" si="45"/>
        <v>8523.2876712328762</v>
      </c>
      <c r="I511" s="5">
        <f t="shared" si="46"/>
        <v>511.39726027397256</v>
      </c>
      <c r="J511" s="5">
        <f t="shared" si="47"/>
        <v>8011.8904109589039</v>
      </c>
      <c r="K511" s="1"/>
      <c r="L511" s="6" t="s">
        <v>914</v>
      </c>
      <c r="M511" s="6" t="s">
        <v>1398</v>
      </c>
      <c r="N511" s="6" t="s">
        <v>5075</v>
      </c>
    </row>
    <row r="512" spans="1:14" x14ac:dyDescent="0.25">
      <c r="A512" s="6" t="s">
        <v>517</v>
      </c>
      <c r="B512" s="6" t="s">
        <v>5076</v>
      </c>
      <c r="C512" s="6" t="s">
        <v>5077</v>
      </c>
      <c r="D512" s="6">
        <v>200</v>
      </c>
      <c r="E512" s="5">
        <f t="shared" si="42"/>
        <v>200000</v>
      </c>
      <c r="F512" s="5">
        <f t="shared" si="43"/>
        <v>17000</v>
      </c>
      <c r="G512" s="5">
        <f t="shared" si="44"/>
        <v>46.575342465753423</v>
      </c>
      <c r="H512" s="5">
        <f t="shared" si="45"/>
        <v>8523.2876712328762</v>
      </c>
      <c r="I512" s="5">
        <f t="shared" si="46"/>
        <v>511.39726027397256</v>
      </c>
      <c r="J512" s="5">
        <f t="shared" si="47"/>
        <v>8011.8904109589039</v>
      </c>
      <c r="K512" s="1"/>
      <c r="L512" s="6" t="s">
        <v>914</v>
      </c>
      <c r="M512" s="6" t="s">
        <v>1398</v>
      </c>
      <c r="N512" s="6" t="s">
        <v>5079</v>
      </c>
    </row>
    <row r="513" spans="1:14" x14ac:dyDescent="0.25">
      <c r="A513" s="6" t="s">
        <v>518</v>
      </c>
      <c r="B513" s="6" t="s">
        <v>5080</v>
      </c>
      <c r="C513" s="6" t="s">
        <v>5081</v>
      </c>
      <c r="D513" s="6">
        <v>30</v>
      </c>
      <c r="E513" s="5">
        <f t="shared" si="42"/>
        <v>30000</v>
      </c>
      <c r="F513" s="5">
        <f t="shared" si="43"/>
        <v>2550</v>
      </c>
      <c r="G513" s="5">
        <f t="shared" si="44"/>
        <v>6.9863013698630141</v>
      </c>
      <c r="H513" s="5">
        <f t="shared" si="45"/>
        <v>1278.4931506849316</v>
      </c>
      <c r="I513" s="5">
        <f t="shared" si="46"/>
        <v>76.709589041095896</v>
      </c>
      <c r="J513" s="5">
        <f t="shared" si="47"/>
        <v>1201.7835616438358</v>
      </c>
      <c r="K513" s="1"/>
      <c r="L513" s="6" t="s">
        <v>914</v>
      </c>
      <c r="M513" s="6" t="s">
        <v>4035</v>
      </c>
      <c r="N513" s="6" t="s">
        <v>5085</v>
      </c>
    </row>
    <row r="514" spans="1:14" x14ac:dyDescent="0.25">
      <c r="A514" s="6" t="s">
        <v>519</v>
      </c>
      <c r="B514" s="6" t="s">
        <v>5086</v>
      </c>
      <c r="C514" s="6" t="s">
        <v>5087</v>
      </c>
      <c r="D514" s="6">
        <v>25</v>
      </c>
      <c r="E514" s="5">
        <f t="shared" si="42"/>
        <v>25000</v>
      </c>
      <c r="F514" s="5">
        <f t="shared" si="43"/>
        <v>2125</v>
      </c>
      <c r="G514" s="5">
        <f t="shared" si="44"/>
        <v>5.8219178082191778</v>
      </c>
      <c r="H514" s="5">
        <f t="shared" si="45"/>
        <v>1065.4109589041095</v>
      </c>
      <c r="I514" s="5">
        <f t="shared" si="46"/>
        <v>63.92465753424657</v>
      </c>
      <c r="J514" s="5">
        <f t="shared" si="47"/>
        <v>1001.486301369863</v>
      </c>
      <c r="K514" s="1"/>
      <c r="L514" s="6" t="s">
        <v>4482</v>
      </c>
      <c r="M514" s="6" t="s">
        <v>5092</v>
      </c>
      <c r="N514" s="6" t="s">
        <v>5093</v>
      </c>
    </row>
    <row r="515" spans="1:14" x14ac:dyDescent="0.25">
      <c r="A515" s="6" t="s">
        <v>520</v>
      </c>
      <c r="B515" s="6" t="s">
        <v>5094</v>
      </c>
      <c r="C515" s="6" t="s">
        <v>5095</v>
      </c>
      <c r="D515" s="6">
        <v>500</v>
      </c>
      <c r="E515" s="5">
        <f t="shared" si="42"/>
        <v>500000</v>
      </c>
      <c r="F515" s="5">
        <f t="shared" si="43"/>
        <v>42500</v>
      </c>
      <c r="G515" s="5">
        <f t="shared" si="44"/>
        <v>116.43835616438356</v>
      </c>
      <c r="H515" s="5">
        <f t="shared" si="45"/>
        <v>21308.219178082192</v>
      </c>
      <c r="I515" s="5">
        <f t="shared" si="46"/>
        <v>1278.4931506849314</v>
      </c>
      <c r="J515" s="5">
        <f t="shared" si="47"/>
        <v>20029.726027397261</v>
      </c>
      <c r="K515" s="1"/>
      <c r="L515" s="6" t="s">
        <v>1</v>
      </c>
      <c r="M515" s="6" t="s">
        <v>5102</v>
      </c>
      <c r="N515" s="6" t="s">
        <v>5103</v>
      </c>
    </row>
    <row r="516" spans="1:14" x14ac:dyDescent="0.25">
      <c r="A516" s="6" t="s">
        <v>521</v>
      </c>
      <c r="B516" s="6" t="s">
        <v>5104</v>
      </c>
      <c r="C516" s="6" t="s">
        <v>5105</v>
      </c>
      <c r="D516" s="6">
        <v>25</v>
      </c>
      <c r="E516" s="5">
        <f t="shared" si="42"/>
        <v>25000</v>
      </c>
      <c r="F516" s="5">
        <f t="shared" si="43"/>
        <v>2125</v>
      </c>
      <c r="G516" s="5">
        <f t="shared" si="44"/>
        <v>5.8219178082191778</v>
      </c>
      <c r="H516" s="5">
        <f t="shared" si="45"/>
        <v>1065.4109589041095</v>
      </c>
      <c r="I516" s="5">
        <f t="shared" si="46"/>
        <v>63.92465753424657</v>
      </c>
      <c r="J516" s="5">
        <f t="shared" si="47"/>
        <v>1001.486301369863</v>
      </c>
      <c r="K516" s="1"/>
      <c r="L516" s="6" t="s">
        <v>10</v>
      </c>
      <c r="M516" s="6" t="s">
        <v>5111</v>
      </c>
      <c r="N516" s="6" t="s">
        <v>5112</v>
      </c>
    </row>
    <row r="517" spans="1:14" x14ac:dyDescent="0.25">
      <c r="A517" s="6" t="s">
        <v>522</v>
      </c>
      <c r="B517" s="6" t="s">
        <v>5113</v>
      </c>
      <c r="C517" s="6" t="s">
        <v>5114</v>
      </c>
      <c r="D517" s="6">
        <v>25</v>
      </c>
      <c r="E517" s="5">
        <f t="shared" si="42"/>
        <v>25000</v>
      </c>
      <c r="F517" s="5">
        <f t="shared" si="43"/>
        <v>2125</v>
      </c>
      <c r="G517" s="5">
        <f t="shared" si="44"/>
        <v>5.8219178082191778</v>
      </c>
      <c r="H517" s="5">
        <f t="shared" si="45"/>
        <v>1065.4109589041095</v>
      </c>
      <c r="I517" s="5">
        <f t="shared" si="46"/>
        <v>63.92465753424657</v>
      </c>
      <c r="J517" s="5">
        <f t="shared" si="47"/>
        <v>1001.486301369863</v>
      </c>
      <c r="K517" s="1"/>
      <c r="L517" s="6" t="s">
        <v>1871</v>
      </c>
      <c r="M517" s="6" t="s">
        <v>5120</v>
      </c>
      <c r="N517" s="6" t="s">
        <v>5121</v>
      </c>
    </row>
    <row r="518" spans="1:14" x14ac:dyDescent="0.25">
      <c r="A518" s="6" t="s">
        <v>523</v>
      </c>
      <c r="B518" s="6" t="s">
        <v>5122</v>
      </c>
      <c r="C518" s="6" t="s">
        <v>5123</v>
      </c>
      <c r="D518" s="6">
        <v>50</v>
      </c>
      <c r="E518" s="5">
        <f t="shared" si="42"/>
        <v>50000</v>
      </c>
      <c r="F518" s="5">
        <f t="shared" si="43"/>
        <v>4250</v>
      </c>
      <c r="G518" s="5">
        <f t="shared" si="44"/>
        <v>11.643835616438356</v>
      </c>
      <c r="H518" s="5">
        <f t="shared" si="45"/>
        <v>2130.821917808219</v>
      </c>
      <c r="I518" s="5">
        <f t="shared" si="46"/>
        <v>127.84931506849314</v>
      </c>
      <c r="J518" s="5">
        <f t="shared" si="47"/>
        <v>2002.972602739726</v>
      </c>
      <c r="K518" s="1"/>
      <c r="L518" s="6" t="s">
        <v>909</v>
      </c>
      <c r="M518" s="6" t="s">
        <v>1237</v>
      </c>
      <c r="N518" s="6" t="s">
        <v>5128</v>
      </c>
    </row>
    <row r="519" spans="1:14" x14ac:dyDescent="0.25">
      <c r="A519" s="6" t="s">
        <v>524</v>
      </c>
      <c r="B519" s="6" t="s">
        <v>5129</v>
      </c>
      <c r="C519" s="6" t="s">
        <v>5130</v>
      </c>
      <c r="D519" s="6">
        <v>25</v>
      </c>
      <c r="E519" s="5">
        <f t="shared" si="42"/>
        <v>25000</v>
      </c>
      <c r="F519" s="5">
        <f t="shared" si="43"/>
        <v>2125</v>
      </c>
      <c r="G519" s="5">
        <f t="shared" si="44"/>
        <v>5.8219178082191778</v>
      </c>
      <c r="H519" s="5">
        <f t="shared" si="45"/>
        <v>1065.4109589041095</v>
      </c>
      <c r="I519" s="5">
        <f t="shared" si="46"/>
        <v>63.92465753424657</v>
      </c>
      <c r="J519" s="5">
        <f t="shared" si="47"/>
        <v>1001.486301369863</v>
      </c>
      <c r="K519" s="1"/>
      <c r="L519" s="6" t="s">
        <v>5135</v>
      </c>
      <c r="M519" s="6" t="s">
        <v>5136</v>
      </c>
      <c r="N519" s="6" t="s">
        <v>5137</v>
      </c>
    </row>
    <row r="520" spans="1:14" x14ac:dyDescent="0.25">
      <c r="A520" s="6" t="s">
        <v>525</v>
      </c>
      <c r="B520" s="6" t="s">
        <v>5138</v>
      </c>
      <c r="C520" s="6" t="s">
        <v>5139</v>
      </c>
      <c r="D520" s="6">
        <v>50</v>
      </c>
      <c r="E520" s="5">
        <f t="shared" ref="E520:E583" si="48">+D520*1000</f>
        <v>50000</v>
      </c>
      <c r="F520" s="5">
        <f t="shared" ref="F520:F583" si="49">+E520*8.5%</f>
        <v>4250</v>
      </c>
      <c r="G520" s="5">
        <f t="shared" ref="G520:G583" si="50">+F520/365</f>
        <v>11.643835616438356</v>
      </c>
      <c r="H520" s="5">
        <f t="shared" ref="H520:H583" si="51">G520*$H$4</f>
        <v>2130.821917808219</v>
      </c>
      <c r="I520" s="5">
        <f t="shared" ref="I520:I583" si="52">+H520*6%</f>
        <v>127.84931506849314</v>
      </c>
      <c r="J520" s="5">
        <f t="shared" ref="J520:J583" si="53">+H520-I520</f>
        <v>2002.972602739726</v>
      </c>
      <c r="K520" s="1"/>
      <c r="L520" s="6" t="s">
        <v>1548</v>
      </c>
      <c r="M520" s="6" t="s">
        <v>5144</v>
      </c>
      <c r="N520" s="6" t="s">
        <v>5145</v>
      </c>
    </row>
    <row r="521" spans="1:14" x14ac:dyDescent="0.25">
      <c r="A521" s="6" t="s">
        <v>526</v>
      </c>
      <c r="B521" s="6" t="s">
        <v>5146</v>
      </c>
      <c r="C521" s="6" t="s">
        <v>4624</v>
      </c>
      <c r="D521" s="6">
        <v>25</v>
      </c>
      <c r="E521" s="5">
        <f t="shared" si="48"/>
        <v>25000</v>
      </c>
      <c r="F521" s="5">
        <f t="shared" si="49"/>
        <v>2125</v>
      </c>
      <c r="G521" s="5">
        <f t="shared" si="50"/>
        <v>5.8219178082191778</v>
      </c>
      <c r="H521" s="5">
        <f t="shared" si="51"/>
        <v>1065.4109589041095</v>
      </c>
      <c r="I521" s="5">
        <f t="shared" si="52"/>
        <v>63.92465753424657</v>
      </c>
      <c r="J521" s="5">
        <f t="shared" si="53"/>
        <v>1001.486301369863</v>
      </c>
      <c r="K521" s="1"/>
      <c r="L521" s="6" t="s">
        <v>1</v>
      </c>
      <c r="M521" s="6" t="s">
        <v>3916</v>
      </c>
      <c r="N521" s="6" t="s">
        <v>5149</v>
      </c>
    </row>
    <row r="522" spans="1:14" x14ac:dyDescent="0.25">
      <c r="A522" s="6" t="s">
        <v>527</v>
      </c>
      <c r="B522" s="6" t="s">
        <v>5150</v>
      </c>
      <c r="C522" s="6" t="s">
        <v>5151</v>
      </c>
      <c r="D522" s="6">
        <v>25</v>
      </c>
      <c r="E522" s="5">
        <f t="shared" si="48"/>
        <v>25000</v>
      </c>
      <c r="F522" s="5">
        <f t="shared" si="49"/>
        <v>2125</v>
      </c>
      <c r="G522" s="5">
        <f t="shared" si="50"/>
        <v>5.8219178082191778</v>
      </c>
      <c r="H522" s="5">
        <f t="shared" si="51"/>
        <v>1065.4109589041095</v>
      </c>
      <c r="I522" s="5">
        <f t="shared" si="52"/>
        <v>63.92465753424657</v>
      </c>
      <c r="J522" s="5">
        <f t="shared" si="53"/>
        <v>1001.486301369863</v>
      </c>
      <c r="K522" s="1"/>
      <c r="L522" s="6" t="s">
        <v>909</v>
      </c>
      <c r="M522" s="6" t="s">
        <v>5156</v>
      </c>
      <c r="N522" s="6" t="s">
        <v>5157</v>
      </c>
    </row>
    <row r="523" spans="1:14" x14ac:dyDescent="0.25">
      <c r="A523" s="6" t="s">
        <v>528</v>
      </c>
      <c r="B523" s="6" t="s">
        <v>5158</v>
      </c>
      <c r="C523" s="6" t="s">
        <v>5159</v>
      </c>
      <c r="D523" s="6">
        <v>25</v>
      </c>
      <c r="E523" s="5">
        <f t="shared" si="48"/>
        <v>25000</v>
      </c>
      <c r="F523" s="5">
        <f t="shared" si="49"/>
        <v>2125</v>
      </c>
      <c r="G523" s="5">
        <f t="shared" si="50"/>
        <v>5.8219178082191778</v>
      </c>
      <c r="H523" s="5">
        <f t="shared" si="51"/>
        <v>1065.4109589041095</v>
      </c>
      <c r="I523" s="5">
        <f t="shared" si="52"/>
        <v>63.92465753424657</v>
      </c>
      <c r="J523" s="5">
        <f t="shared" si="53"/>
        <v>1001.486301369863</v>
      </c>
      <c r="K523" s="1"/>
      <c r="L523" s="6" t="s">
        <v>1637</v>
      </c>
      <c r="M523" s="6" t="s">
        <v>4474</v>
      </c>
      <c r="N523" s="6" t="s">
        <v>5165</v>
      </c>
    </row>
    <row r="524" spans="1:14" x14ac:dyDescent="0.25">
      <c r="A524" s="6" t="s">
        <v>529</v>
      </c>
      <c r="B524" s="6" t="s">
        <v>5166</v>
      </c>
      <c r="C524" s="6" t="s">
        <v>5167</v>
      </c>
      <c r="D524" s="6">
        <v>50</v>
      </c>
      <c r="E524" s="5">
        <f t="shared" si="48"/>
        <v>50000</v>
      </c>
      <c r="F524" s="5">
        <f t="shared" si="49"/>
        <v>4250</v>
      </c>
      <c r="G524" s="5">
        <f t="shared" si="50"/>
        <v>11.643835616438356</v>
      </c>
      <c r="H524" s="5">
        <f t="shared" si="51"/>
        <v>2130.821917808219</v>
      </c>
      <c r="I524" s="5">
        <f t="shared" si="52"/>
        <v>127.84931506849314</v>
      </c>
      <c r="J524" s="5">
        <f t="shared" si="53"/>
        <v>2002.972602739726</v>
      </c>
      <c r="K524" s="1"/>
      <c r="L524" s="6" t="s">
        <v>910</v>
      </c>
      <c r="M524" s="6" t="s">
        <v>3510</v>
      </c>
      <c r="N524" s="6" t="s">
        <v>5173</v>
      </c>
    </row>
    <row r="525" spans="1:14" x14ac:dyDescent="0.25">
      <c r="A525" s="6" t="s">
        <v>530</v>
      </c>
      <c r="B525" s="6" t="s">
        <v>5174</v>
      </c>
      <c r="C525" s="6" t="s">
        <v>1653</v>
      </c>
      <c r="D525" s="6">
        <v>50</v>
      </c>
      <c r="E525" s="5">
        <f t="shared" si="48"/>
        <v>50000</v>
      </c>
      <c r="F525" s="5">
        <f t="shared" si="49"/>
        <v>4250</v>
      </c>
      <c r="G525" s="5">
        <f t="shared" si="50"/>
        <v>11.643835616438356</v>
      </c>
      <c r="H525" s="5">
        <f t="shared" si="51"/>
        <v>2130.821917808219</v>
      </c>
      <c r="I525" s="5">
        <f t="shared" si="52"/>
        <v>127.84931506849314</v>
      </c>
      <c r="J525" s="5">
        <f t="shared" si="53"/>
        <v>2002.972602739726</v>
      </c>
      <c r="K525" s="1"/>
      <c r="L525" s="6" t="s">
        <v>1089</v>
      </c>
      <c r="M525" s="6" t="s">
        <v>1656</v>
      </c>
      <c r="N525" s="6" t="s">
        <v>5178</v>
      </c>
    </row>
    <row r="526" spans="1:14" x14ac:dyDescent="0.25">
      <c r="A526" s="6" t="s">
        <v>531</v>
      </c>
      <c r="B526" s="6" t="s">
        <v>5179</v>
      </c>
      <c r="C526" s="6" t="s">
        <v>5180</v>
      </c>
      <c r="D526" s="6">
        <v>25</v>
      </c>
      <c r="E526" s="5">
        <f t="shared" si="48"/>
        <v>25000</v>
      </c>
      <c r="F526" s="5">
        <f t="shared" si="49"/>
        <v>2125</v>
      </c>
      <c r="G526" s="5">
        <f t="shared" si="50"/>
        <v>5.8219178082191778</v>
      </c>
      <c r="H526" s="5">
        <f t="shared" si="51"/>
        <v>1065.4109589041095</v>
      </c>
      <c r="I526" s="5">
        <f t="shared" si="52"/>
        <v>63.92465753424657</v>
      </c>
      <c r="J526" s="5">
        <f t="shared" si="53"/>
        <v>1001.486301369863</v>
      </c>
      <c r="K526" s="1"/>
      <c r="L526" s="6" t="s">
        <v>2165</v>
      </c>
      <c r="M526" s="6" t="s">
        <v>2166</v>
      </c>
      <c r="N526" s="6" t="s">
        <v>5185</v>
      </c>
    </row>
    <row r="527" spans="1:14" x14ac:dyDescent="0.25">
      <c r="A527" s="6" t="s">
        <v>532</v>
      </c>
      <c r="B527" s="6" t="s">
        <v>5186</v>
      </c>
      <c r="C527" s="6" t="s">
        <v>5187</v>
      </c>
      <c r="D527" s="6">
        <v>25</v>
      </c>
      <c r="E527" s="5">
        <f t="shared" si="48"/>
        <v>25000</v>
      </c>
      <c r="F527" s="5">
        <f t="shared" si="49"/>
        <v>2125</v>
      </c>
      <c r="G527" s="5">
        <f t="shared" si="50"/>
        <v>5.8219178082191778</v>
      </c>
      <c r="H527" s="5">
        <f t="shared" si="51"/>
        <v>1065.4109589041095</v>
      </c>
      <c r="I527" s="5">
        <f t="shared" si="52"/>
        <v>63.92465753424657</v>
      </c>
      <c r="J527" s="5">
        <f t="shared" si="53"/>
        <v>1001.486301369863</v>
      </c>
      <c r="K527" s="1"/>
      <c r="L527" s="6" t="s">
        <v>914</v>
      </c>
      <c r="M527" s="6" t="s">
        <v>5191</v>
      </c>
      <c r="N527" s="6" t="s">
        <v>5192</v>
      </c>
    </row>
    <row r="528" spans="1:14" x14ac:dyDescent="0.25">
      <c r="A528" s="6" t="s">
        <v>533</v>
      </c>
      <c r="B528" s="6" t="s">
        <v>5193</v>
      </c>
      <c r="C528" s="6" t="s">
        <v>5194</v>
      </c>
      <c r="D528" s="6">
        <v>25</v>
      </c>
      <c r="E528" s="5">
        <f t="shared" si="48"/>
        <v>25000</v>
      </c>
      <c r="F528" s="5">
        <f t="shared" si="49"/>
        <v>2125</v>
      </c>
      <c r="G528" s="5">
        <f t="shared" si="50"/>
        <v>5.8219178082191778</v>
      </c>
      <c r="H528" s="5">
        <f t="shared" si="51"/>
        <v>1065.4109589041095</v>
      </c>
      <c r="I528" s="5">
        <f t="shared" si="52"/>
        <v>63.92465753424657</v>
      </c>
      <c r="J528" s="5">
        <f t="shared" si="53"/>
        <v>1001.486301369863</v>
      </c>
      <c r="K528" s="1"/>
      <c r="L528" s="6" t="s">
        <v>1637</v>
      </c>
      <c r="M528" s="6" t="s">
        <v>2316</v>
      </c>
      <c r="N528" s="6" t="s">
        <v>5199</v>
      </c>
    </row>
    <row r="529" spans="1:14" x14ac:dyDescent="0.25">
      <c r="A529" s="6" t="s">
        <v>534</v>
      </c>
      <c r="B529" s="6" t="s">
        <v>5200</v>
      </c>
      <c r="C529" s="6" t="s">
        <v>5201</v>
      </c>
      <c r="D529" s="6">
        <v>25</v>
      </c>
      <c r="E529" s="5">
        <f t="shared" si="48"/>
        <v>25000</v>
      </c>
      <c r="F529" s="5">
        <f t="shared" si="49"/>
        <v>2125</v>
      </c>
      <c r="G529" s="5">
        <f t="shared" si="50"/>
        <v>5.8219178082191778</v>
      </c>
      <c r="H529" s="5">
        <f t="shared" si="51"/>
        <v>1065.4109589041095</v>
      </c>
      <c r="I529" s="5">
        <f t="shared" si="52"/>
        <v>63.92465753424657</v>
      </c>
      <c r="J529" s="5">
        <f t="shared" si="53"/>
        <v>1001.486301369863</v>
      </c>
      <c r="K529" s="1"/>
      <c r="L529" s="6" t="s">
        <v>8</v>
      </c>
      <c r="M529" s="6" t="s">
        <v>5206</v>
      </c>
      <c r="N529" s="6" t="s">
        <v>5207</v>
      </c>
    </row>
    <row r="530" spans="1:14" x14ac:dyDescent="0.25">
      <c r="A530" s="6" t="s">
        <v>535</v>
      </c>
      <c r="B530" s="6" t="s">
        <v>5208</v>
      </c>
      <c r="C530" s="6" t="s">
        <v>5209</v>
      </c>
      <c r="D530" s="6">
        <v>25</v>
      </c>
      <c r="E530" s="5">
        <f t="shared" si="48"/>
        <v>25000</v>
      </c>
      <c r="F530" s="5">
        <f t="shared" si="49"/>
        <v>2125</v>
      </c>
      <c r="G530" s="5">
        <f t="shared" si="50"/>
        <v>5.8219178082191778</v>
      </c>
      <c r="H530" s="5">
        <f t="shared" si="51"/>
        <v>1065.4109589041095</v>
      </c>
      <c r="I530" s="5">
        <f t="shared" si="52"/>
        <v>63.92465753424657</v>
      </c>
      <c r="J530" s="5">
        <f t="shared" si="53"/>
        <v>1001.486301369863</v>
      </c>
      <c r="K530" s="1"/>
      <c r="L530" s="6" t="s">
        <v>910</v>
      </c>
      <c r="M530" s="6" t="s">
        <v>3435</v>
      </c>
      <c r="N530" s="6" t="s">
        <v>5214</v>
      </c>
    </row>
    <row r="531" spans="1:14" x14ac:dyDescent="0.25">
      <c r="A531" s="6" t="s">
        <v>536</v>
      </c>
      <c r="B531" s="6" t="s">
        <v>5215</v>
      </c>
      <c r="C531" s="6" t="s">
        <v>5216</v>
      </c>
      <c r="D531" s="6">
        <v>30</v>
      </c>
      <c r="E531" s="5">
        <f t="shared" si="48"/>
        <v>30000</v>
      </c>
      <c r="F531" s="5">
        <f t="shared" si="49"/>
        <v>2550</v>
      </c>
      <c r="G531" s="5">
        <f t="shared" si="50"/>
        <v>6.9863013698630141</v>
      </c>
      <c r="H531" s="5">
        <f t="shared" si="51"/>
        <v>1278.4931506849316</v>
      </c>
      <c r="I531" s="5">
        <f t="shared" si="52"/>
        <v>76.709589041095896</v>
      </c>
      <c r="J531" s="5">
        <f t="shared" si="53"/>
        <v>1201.7835616438358</v>
      </c>
      <c r="K531" s="1"/>
      <c r="L531" s="6" t="s">
        <v>919</v>
      </c>
      <c r="M531" s="6" t="s">
        <v>2301</v>
      </c>
      <c r="N531" s="6" t="s">
        <v>5221</v>
      </c>
    </row>
    <row r="532" spans="1:14" x14ac:dyDescent="0.25">
      <c r="A532" s="6" t="s">
        <v>537</v>
      </c>
      <c r="B532" s="6" t="s">
        <v>5222</v>
      </c>
      <c r="C532" s="6" t="s">
        <v>5223</v>
      </c>
      <c r="D532" s="6">
        <v>25</v>
      </c>
      <c r="E532" s="5">
        <f t="shared" si="48"/>
        <v>25000</v>
      </c>
      <c r="F532" s="5">
        <f t="shared" si="49"/>
        <v>2125</v>
      </c>
      <c r="G532" s="5">
        <f t="shared" si="50"/>
        <v>5.8219178082191778</v>
      </c>
      <c r="H532" s="5">
        <f t="shared" si="51"/>
        <v>1065.4109589041095</v>
      </c>
      <c r="I532" s="5">
        <f t="shared" si="52"/>
        <v>63.92465753424657</v>
      </c>
      <c r="J532" s="5">
        <f t="shared" si="53"/>
        <v>1001.486301369863</v>
      </c>
      <c r="K532" s="1"/>
      <c r="L532" s="6" t="s">
        <v>910</v>
      </c>
      <c r="M532" s="6" t="s">
        <v>981</v>
      </c>
      <c r="N532" s="6" t="s">
        <v>5228</v>
      </c>
    </row>
    <row r="533" spans="1:14" x14ac:dyDescent="0.25">
      <c r="A533" s="6" t="s">
        <v>538</v>
      </c>
      <c r="B533" s="6" t="s">
        <v>5229</v>
      </c>
      <c r="C533" s="6" t="s">
        <v>5230</v>
      </c>
      <c r="D533" s="6">
        <v>50</v>
      </c>
      <c r="E533" s="5">
        <f t="shared" si="48"/>
        <v>50000</v>
      </c>
      <c r="F533" s="5">
        <f t="shared" si="49"/>
        <v>4250</v>
      </c>
      <c r="G533" s="5">
        <f t="shared" si="50"/>
        <v>11.643835616438356</v>
      </c>
      <c r="H533" s="5">
        <f t="shared" si="51"/>
        <v>2130.821917808219</v>
      </c>
      <c r="I533" s="5">
        <f t="shared" si="52"/>
        <v>127.84931506849314</v>
      </c>
      <c r="J533" s="5">
        <f t="shared" si="53"/>
        <v>2002.972602739726</v>
      </c>
      <c r="K533" s="1"/>
      <c r="L533" s="6" t="s">
        <v>1548</v>
      </c>
      <c r="M533" s="6" t="s">
        <v>5236</v>
      </c>
      <c r="N533" s="6" t="s">
        <v>5237</v>
      </c>
    </row>
    <row r="534" spans="1:14" x14ac:dyDescent="0.25">
      <c r="A534" s="6" t="s">
        <v>539</v>
      </c>
      <c r="B534" s="6" t="s">
        <v>5238</v>
      </c>
      <c r="C534" s="6" t="s">
        <v>5239</v>
      </c>
      <c r="D534" s="6">
        <v>25</v>
      </c>
      <c r="E534" s="5">
        <f t="shared" si="48"/>
        <v>25000</v>
      </c>
      <c r="F534" s="5">
        <f t="shared" si="49"/>
        <v>2125</v>
      </c>
      <c r="G534" s="5">
        <f t="shared" si="50"/>
        <v>5.8219178082191778</v>
      </c>
      <c r="H534" s="5">
        <f t="shared" si="51"/>
        <v>1065.4109589041095</v>
      </c>
      <c r="I534" s="5">
        <f t="shared" si="52"/>
        <v>63.92465753424657</v>
      </c>
      <c r="J534" s="5">
        <f t="shared" si="53"/>
        <v>1001.486301369863</v>
      </c>
      <c r="K534" s="1"/>
      <c r="L534" s="6" t="s">
        <v>910</v>
      </c>
      <c r="M534" s="6" t="s">
        <v>5245</v>
      </c>
      <c r="N534" s="6" t="s">
        <v>5246</v>
      </c>
    </row>
    <row r="535" spans="1:14" x14ac:dyDescent="0.25">
      <c r="A535" s="6" t="s">
        <v>540</v>
      </c>
      <c r="B535" s="6" t="s">
        <v>5247</v>
      </c>
      <c r="C535" s="6" t="s">
        <v>5248</v>
      </c>
      <c r="D535" s="6">
        <v>25</v>
      </c>
      <c r="E535" s="5">
        <f t="shared" si="48"/>
        <v>25000</v>
      </c>
      <c r="F535" s="5">
        <f t="shared" si="49"/>
        <v>2125</v>
      </c>
      <c r="G535" s="5">
        <f t="shared" si="50"/>
        <v>5.8219178082191778</v>
      </c>
      <c r="H535" s="5">
        <f t="shared" si="51"/>
        <v>1065.4109589041095</v>
      </c>
      <c r="I535" s="5">
        <f t="shared" si="52"/>
        <v>63.92465753424657</v>
      </c>
      <c r="J535" s="5">
        <f t="shared" si="53"/>
        <v>1001.486301369863</v>
      </c>
      <c r="K535" s="1"/>
      <c r="L535" s="6" t="s">
        <v>2</v>
      </c>
      <c r="M535" s="6" t="s">
        <v>5252</v>
      </c>
      <c r="N535" s="6" t="s">
        <v>5253</v>
      </c>
    </row>
    <row r="536" spans="1:14" x14ac:dyDescent="0.25">
      <c r="A536" s="6" t="s">
        <v>541</v>
      </c>
      <c r="B536" s="6" t="s">
        <v>5254</v>
      </c>
      <c r="C536" s="6" t="s">
        <v>5255</v>
      </c>
      <c r="D536" s="6">
        <v>25</v>
      </c>
      <c r="E536" s="5">
        <f t="shared" si="48"/>
        <v>25000</v>
      </c>
      <c r="F536" s="5">
        <f t="shared" si="49"/>
        <v>2125</v>
      </c>
      <c r="G536" s="5">
        <f t="shared" si="50"/>
        <v>5.8219178082191778</v>
      </c>
      <c r="H536" s="5">
        <f t="shared" si="51"/>
        <v>1065.4109589041095</v>
      </c>
      <c r="I536" s="5">
        <f t="shared" si="52"/>
        <v>63.92465753424657</v>
      </c>
      <c r="J536" s="5">
        <f t="shared" si="53"/>
        <v>1001.486301369863</v>
      </c>
      <c r="K536" s="1"/>
      <c r="L536" s="6" t="s">
        <v>1637</v>
      </c>
      <c r="M536" s="6" t="s">
        <v>5261</v>
      </c>
      <c r="N536" s="6" t="s">
        <v>5262</v>
      </c>
    </row>
    <row r="537" spans="1:14" x14ac:dyDescent="0.25">
      <c r="A537" s="6" t="s">
        <v>542</v>
      </c>
      <c r="B537" s="6" t="s">
        <v>5263</v>
      </c>
      <c r="C537" s="6" t="s">
        <v>5264</v>
      </c>
      <c r="D537" s="6">
        <v>25</v>
      </c>
      <c r="E537" s="5">
        <f t="shared" si="48"/>
        <v>25000</v>
      </c>
      <c r="F537" s="5">
        <f t="shared" si="49"/>
        <v>2125</v>
      </c>
      <c r="G537" s="5">
        <f t="shared" si="50"/>
        <v>5.8219178082191778</v>
      </c>
      <c r="H537" s="5">
        <f t="shared" si="51"/>
        <v>1065.4109589041095</v>
      </c>
      <c r="I537" s="5">
        <f t="shared" si="52"/>
        <v>63.92465753424657</v>
      </c>
      <c r="J537" s="5">
        <f t="shared" si="53"/>
        <v>1001.486301369863</v>
      </c>
      <c r="K537" s="1"/>
      <c r="L537" s="6" t="s">
        <v>1</v>
      </c>
      <c r="M537" s="6" t="s">
        <v>4561</v>
      </c>
      <c r="N537" s="6" t="s">
        <v>5269</v>
      </c>
    </row>
    <row r="538" spans="1:14" x14ac:dyDescent="0.25">
      <c r="A538" s="6" t="s">
        <v>543</v>
      </c>
      <c r="B538" s="6" t="s">
        <v>5270</v>
      </c>
      <c r="C538" s="6" t="s">
        <v>5271</v>
      </c>
      <c r="D538" s="6">
        <v>25</v>
      </c>
      <c r="E538" s="5">
        <f t="shared" si="48"/>
        <v>25000</v>
      </c>
      <c r="F538" s="5">
        <f t="shared" si="49"/>
        <v>2125</v>
      </c>
      <c r="G538" s="5">
        <f t="shared" si="50"/>
        <v>5.8219178082191778</v>
      </c>
      <c r="H538" s="5">
        <f t="shared" si="51"/>
        <v>1065.4109589041095</v>
      </c>
      <c r="I538" s="5">
        <f t="shared" si="52"/>
        <v>63.92465753424657</v>
      </c>
      <c r="J538" s="5">
        <f t="shared" si="53"/>
        <v>1001.486301369863</v>
      </c>
      <c r="K538" s="1"/>
      <c r="L538" s="6" t="s">
        <v>1478</v>
      </c>
      <c r="M538" s="6" t="s">
        <v>5276</v>
      </c>
      <c r="N538" s="6" t="s">
        <v>5277</v>
      </c>
    </row>
    <row r="539" spans="1:14" x14ac:dyDescent="0.25">
      <c r="A539" s="6" t="s">
        <v>544</v>
      </c>
      <c r="B539" s="6" t="s">
        <v>5278</v>
      </c>
      <c r="C539" s="6" t="s">
        <v>5279</v>
      </c>
      <c r="D539" s="6">
        <v>25</v>
      </c>
      <c r="E539" s="5">
        <f t="shared" si="48"/>
        <v>25000</v>
      </c>
      <c r="F539" s="5">
        <f t="shared" si="49"/>
        <v>2125</v>
      </c>
      <c r="G539" s="5">
        <f t="shared" si="50"/>
        <v>5.8219178082191778</v>
      </c>
      <c r="H539" s="5">
        <f t="shared" si="51"/>
        <v>1065.4109589041095</v>
      </c>
      <c r="I539" s="5">
        <f t="shared" si="52"/>
        <v>63.92465753424657</v>
      </c>
      <c r="J539" s="5">
        <f t="shared" si="53"/>
        <v>1001.486301369863</v>
      </c>
      <c r="K539" s="1"/>
      <c r="L539" s="6" t="s">
        <v>5285</v>
      </c>
      <c r="M539" s="6" t="s">
        <v>5286</v>
      </c>
      <c r="N539" s="6" t="s">
        <v>5287</v>
      </c>
    </row>
    <row r="540" spans="1:14" x14ac:dyDescent="0.25">
      <c r="A540" s="6" t="s">
        <v>545</v>
      </c>
      <c r="B540" s="6" t="s">
        <v>5288</v>
      </c>
      <c r="C540" s="6" t="s">
        <v>5289</v>
      </c>
      <c r="D540" s="6">
        <v>25</v>
      </c>
      <c r="E540" s="5">
        <f t="shared" si="48"/>
        <v>25000</v>
      </c>
      <c r="F540" s="5">
        <f t="shared" si="49"/>
        <v>2125</v>
      </c>
      <c r="G540" s="5">
        <f t="shared" si="50"/>
        <v>5.8219178082191778</v>
      </c>
      <c r="H540" s="5">
        <f t="shared" si="51"/>
        <v>1065.4109589041095</v>
      </c>
      <c r="I540" s="5">
        <f t="shared" si="52"/>
        <v>63.92465753424657</v>
      </c>
      <c r="J540" s="5">
        <f t="shared" si="53"/>
        <v>1001.486301369863</v>
      </c>
      <c r="K540" s="1"/>
      <c r="L540" s="6" t="s">
        <v>1478</v>
      </c>
      <c r="M540" s="6" t="s">
        <v>5293</v>
      </c>
      <c r="N540" s="6" t="s">
        <v>5294</v>
      </c>
    </row>
    <row r="541" spans="1:14" x14ac:dyDescent="0.25">
      <c r="A541" s="6" t="s">
        <v>546</v>
      </c>
      <c r="B541" s="6" t="s">
        <v>5295</v>
      </c>
      <c r="C541" s="6" t="s">
        <v>5296</v>
      </c>
      <c r="D541" s="6">
        <v>100</v>
      </c>
      <c r="E541" s="5">
        <f t="shared" si="48"/>
        <v>100000</v>
      </c>
      <c r="F541" s="5">
        <f t="shared" si="49"/>
        <v>8500</v>
      </c>
      <c r="G541" s="5">
        <f t="shared" si="50"/>
        <v>23.287671232876711</v>
      </c>
      <c r="H541" s="5">
        <f t="shared" si="51"/>
        <v>4261.6438356164381</v>
      </c>
      <c r="I541" s="5">
        <f t="shared" si="52"/>
        <v>255.69863013698628</v>
      </c>
      <c r="J541" s="5">
        <f t="shared" si="53"/>
        <v>4005.9452054794519</v>
      </c>
      <c r="K541" s="1"/>
      <c r="L541" s="6" t="s">
        <v>4</v>
      </c>
      <c r="M541" s="6" t="s">
        <v>5301</v>
      </c>
      <c r="N541" s="6" t="s">
        <v>5302</v>
      </c>
    </row>
    <row r="542" spans="1:14" x14ac:dyDescent="0.25">
      <c r="A542" s="6" t="s">
        <v>547</v>
      </c>
      <c r="B542" s="6" t="s">
        <v>5303</v>
      </c>
      <c r="C542" s="6" t="s">
        <v>5304</v>
      </c>
      <c r="D542" s="6">
        <v>25</v>
      </c>
      <c r="E542" s="5">
        <f t="shared" si="48"/>
        <v>25000</v>
      </c>
      <c r="F542" s="5">
        <f t="shared" si="49"/>
        <v>2125</v>
      </c>
      <c r="G542" s="5">
        <f t="shared" si="50"/>
        <v>5.8219178082191778</v>
      </c>
      <c r="H542" s="5">
        <f t="shared" si="51"/>
        <v>1065.4109589041095</v>
      </c>
      <c r="I542" s="5">
        <f t="shared" si="52"/>
        <v>63.92465753424657</v>
      </c>
      <c r="J542" s="5">
        <f t="shared" si="53"/>
        <v>1001.486301369863</v>
      </c>
      <c r="K542" s="1"/>
      <c r="L542" s="6" t="s">
        <v>915</v>
      </c>
      <c r="M542" s="6" t="s">
        <v>4078</v>
      </c>
      <c r="N542" s="6" t="s">
        <v>5309</v>
      </c>
    </row>
    <row r="543" spans="1:14" x14ac:dyDescent="0.25">
      <c r="A543" s="6" t="s">
        <v>548</v>
      </c>
      <c r="B543" s="6" t="s">
        <v>5310</v>
      </c>
      <c r="C543" s="6" t="s">
        <v>5311</v>
      </c>
      <c r="D543" s="6">
        <v>75</v>
      </c>
      <c r="E543" s="5">
        <f t="shared" si="48"/>
        <v>75000</v>
      </c>
      <c r="F543" s="5">
        <f t="shared" si="49"/>
        <v>6375.0000000000009</v>
      </c>
      <c r="G543" s="5">
        <f t="shared" si="50"/>
        <v>17.465753424657535</v>
      </c>
      <c r="H543" s="5">
        <f t="shared" si="51"/>
        <v>3196.232876712329</v>
      </c>
      <c r="I543" s="5">
        <f t="shared" si="52"/>
        <v>191.77397260273975</v>
      </c>
      <c r="J543" s="5">
        <f t="shared" si="53"/>
        <v>3004.4589041095892</v>
      </c>
      <c r="K543" s="1"/>
      <c r="L543" s="6" t="s">
        <v>4</v>
      </c>
      <c r="M543" s="6" t="s">
        <v>5316</v>
      </c>
      <c r="N543" s="6" t="s">
        <v>5317</v>
      </c>
    </row>
    <row r="544" spans="1:14" x14ac:dyDescent="0.25">
      <c r="A544" s="6" t="s">
        <v>549</v>
      </c>
      <c r="B544" s="6" t="s">
        <v>5318</v>
      </c>
      <c r="C544" s="6" t="s">
        <v>5319</v>
      </c>
      <c r="D544" s="6">
        <v>75</v>
      </c>
      <c r="E544" s="5">
        <f t="shared" si="48"/>
        <v>75000</v>
      </c>
      <c r="F544" s="5">
        <f t="shared" si="49"/>
        <v>6375.0000000000009</v>
      </c>
      <c r="G544" s="5">
        <f t="shared" si="50"/>
        <v>17.465753424657535</v>
      </c>
      <c r="H544" s="5">
        <f t="shared" si="51"/>
        <v>3196.232876712329</v>
      </c>
      <c r="I544" s="5">
        <f t="shared" si="52"/>
        <v>191.77397260273975</v>
      </c>
      <c r="J544" s="5">
        <f t="shared" si="53"/>
        <v>3004.4589041095892</v>
      </c>
      <c r="K544" s="1"/>
      <c r="L544" s="6" t="s">
        <v>1637</v>
      </c>
      <c r="M544" s="6" t="s">
        <v>2316</v>
      </c>
      <c r="N544" s="6" t="s">
        <v>5324</v>
      </c>
    </row>
    <row r="545" spans="1:14" x14ac:dyDescent="0.25">
      <c r="A545" s="6" t="s">
        <v>550</v>
      </c>
      <c r="B545" s="6" t="s">
        <v>5325</v>
      </c>
      <c r="C545" s="6" t="s">
        <v>5326</v>
      </c>
      <c r="D545" s="6">
        <v>50</v>
      </c>
      <c r="E545" s="5">
        <f t="shared" si="48"/>
        <v>50000</v>
      </c>
      <c r="F545" s="5">
        <f t="shared" si="49"/>
        <v>4250</v>
      </c>
      <c r="G545" s="5">
        <f t="shared" si="50"/>
        <v>11.643835616438356</v>
      </c>
      <c r="H545" s="5">
        <f t="shared" si="51"/>
        <v>2130.821917808219</v>
      </c>
      <c r="I545" s="5">
        <f t="shared" si="52"/>
        <v>127.84931506849314</v>
      </c>
      <c r="J545" s="5">
        <f t="shared" si="53"/>
        <v>2002.972602739726</v>
      </c>
      <c r="K545" s="1"/>
      <c r="L545" s="6" t="s">
        <v>1</v>
      </c>
      <c r="M545" s="6" t="s">
        <v>1734</v>
      </c>
      <c r="N545" s="6" t="s">
        <v>5331</v>
      </c>
    </row>
    <row r="546" spans="1:14" x14ac:dyDescent="0.25">
      <c r="A546" s="6" t="s">
        <v>551</v>
      </c>
      <c r="B546" s="6" t="s">
        <v>5332</v>
      </c>
      <c r="C546" s="6" t="s">
        <v>5333</v>
      </c>
      <c r="D546" s="6">
        <v>100</v>
      </c>
      <c r="E546" s="5">
        <f t="shared" si="48"/>
        <v>100000</v>
      </c>
      <c r="F546" s="5">
        <f t="shared" si="49"/>
        <v>8500</v>
      </c>
      <c r="G546" s="5">
        <f t="shared" si="50"/>
        <v>23.287671232876711</v>
      </c>
      <c r="H546" s="5">
        <f t="shared" si="51"/>
        <v>4261.6438356164381</v>
      </c>
      <c r="I546" s="5">
        <f t="shared" si="52"/>
        <v>255.69863013698628</v>
      </c>
      <c r="J546" s="5">
        <f t="shared" si="53"/>
        <v>4005.9452054794519</v>
      </c>
      <c r="K546" s="1"/>
      <c r="L546" s="6" t="s">
        <v>8</v>
      </c>
      <c r="M546" s="6" t="s">
        <v>1129</v>
      </c>
      <c r="N546" s="6" t="s">
        <v>5338</v>
      </c>
    </row>
    <row r="547" spans="1:14" x14ac:dyDescent="0.25">
      <c r="A547" s="6" t="s">
        <v>552</v>
      </c>
      <c r="B547" s="6" t="s">
        <v>5339</v>
      </c>
      <c r="C547" s="6" t="s">
        <v>2754</v>
      </c>
      <c r="D547" s="6">
        <v>25</v>
      </c>
      <c r="E547" s="5">
        <f t="shared" si="48"/>
        <v>25000</v>
      </c>
      <c r="F547" s="5">
        <f t="shared" si="49"/>
        <v>2125</v>
      </c>
      <c r="G547" s="5">
        <f t="shared" si="50"/>
        <v>5.8219178082191778</v>
      </c>
      <c r="H547" s="5">
        <f t="shared" si="51"/>
        <v>1065.4109589041095</v>
      </c>
      <c r="I547" s="5">
        <f t="shared" si="52"/>
        <v>63.92465753424657</v>
      </c>
      <c r="J547" s="5">
        <f t="shared" si="53"/>
        <v>1001.486301369863</v>
      </c>
      <c r="K547" s="1"/>
      <c r="L547" s="6" t="s">
        <v>13</v>
      </c>
      <c r="M547" s="6" t="s">
        <v>5345</v>
      </c>
      <c r="N547" s="6" t="s">
        <v>5346</v>
      </c>
    </row>
    <row r="548" spans="1:14" x14ac:dyDescent="0.25">
      <c r="A548" s="6" t="s">
        <v>553</v>
      </c>
      <c r="B548" s="6" t="s">
        <v>5347</v>
      </c>
      <c r="C548" s="6" t="s">
        <v>5348</v>
      </c>
      <c r="D548" s="6">
        <v>25</v>
      </c>
      <c r="E548" s="5">
        <f t="shared" si="48"/>
        <v>25000</v>
      </c>
      <c r="F548" s="5">
        <f t="shared" si="49"/>
        <v>2125</v>
      </c>
      <c r="G548" s="5">
        <f t="shared" si="50"/>
        <v>5.8219178082191778</v>
      </c>
      <c r="H548" s="5">
        <f t="shared" si="51"/>
        <v>1065.4109589041095</v>
      </c>
      <c r="I548" s="5">
        <f t="shared" si="52"/>
        <v>63.92465753424657</v>
      </c>
      <c r="J548" s="5">
        <f t="shared" si="53"/>
        <v>1001.486301369863</v>
      </c>
      <c r="K548" s="1"/>
      <c r="L548" s="6" t="s">
        <v>4</v>
      </c>
      <c r="M548" s="6" t="s">
        <v>924</v>
      </c>
      <c r="N548" s="6" t="s">
        <v>5354</v>
      </c>
    </row>
    <row r="549" spans="1:14" x14ac:dyDescent="0.25">
      <c r="A549" s="6" t="s">
        <v>554</v>
      </c>
      <c r="B549" s="6" t="s">
        <v>5355</v>
      </c>
      <c r="C549" s="6" t="s">
        <v>5356</v>
      </c>
      <c r="D549" s="6">
        <v>25</v>
      </c>
      <c r="E549" s="5">
        <f t="shared" si="48"/>
        <v>25000</v>
      </c>
      <c r="F549" s="5">
        <f t="shared" si="49"/>
        <v>2125</v>
      </c>
      <c r="G549" s="5">
        <f t="shared" si="50"/>
        <v>5.8219178082191778</v>
      </c>
      <c r="H549" s="5">
        <f t="shared" si="51"/>
        <v>1065.4109589041095</v>
      </c>
      <c r="I549" s="5">
        <f t="shared" si="52"/>
        <v>63.92465753424657</v>
      </c>
      <c r="J549" s="5">
        <f t="shared" si="53"/>
        <v>1001.486301369863</v>
      </c>
      <c r="K549" s="1"/>
      <c r="L549" s="6" t="s">
        <v>1</v>
      </c>
      <c r="M549" s="6" t="s">
        <v>5361</v>
      </c>
      <c r="N549" s="6" t="s">
        <v>5362</v>
      </c>
    </row>
    <row r="550" spans="1:14" x14ac:dyDescent="0.25">
      <c r="A550" s="6" t="s">
        <v>555</v>
      </c>
      <c r="B550" s="6" t="s">
        <v>5363</v>
      </c>
      <c r="C550" s="6" t="s">
        <v>5364</v>
      </c>
      <c r="D550" s="6">
        <v>25</v>
      </c>
      <c r="E550" s="5">
        <f t="shared" si="48"/>
        <v>25000</v>
      </c>
      <c r="F550" s="5">
        <f t="shared" si="49"/>
        <v>2125</v>
      </c>
      <c r="G550" s="5">
        <f t="shared" si="50"/>
        <v>5.8219178082191778</v>
      </c>
      <c r="H550" s="5">
        <f t="shared" si="51"/>
        <v>1065.4109589041095</v>
      </c>
      <c r="I550" s="5">
        <f t="shared" si="52"/>
        <v>63.92465753424657</v>
      </c>
      <c r="J550" s="5">
        <f t="shared" si="53"/>
        <v>1001.486301369863</v>
      </c>
      <c r="K550" s="1"/>
      <c r="L550" s="6" t="s">
        <v>1637</v>
      </c>
      <c r="M550" s="6" t="s">
        <v>2316</v>
      </c>
      <c r="N550" s="6" t="s">
        <v>5370</v>
      </c>
    </row>
    <row r="551" spans="1:14" x14ac:dyDescent="0.25">
      <c r="A551" s="6" t="s">
        <v>556</v>
      </c>
      <c r="B551" s="6" t="s">
        <v>5371</v>
      </c>
      <c r="C551" s="6" t="s">
        <v>5372</v>
      </c>
      <c r="D551" s="6">
        <v>30</v>
      </c>
      <c r="E551" s="5">
        <f t="shared" si="48"/>
        <v>30000</v>
      </c>
      <c r="F551" s="5">
        <f t="shared" si="49"/>
        <v>2550</v>
      </c>
      <c r="G551" s="5">
        <f t="shared" si="50"/>
        <v>6.9863013698630141</v>
      </c>
      <c r="H551" s="5">
        <f t="shared" si="51"/>
        <v>1278.4931506849316</v>
      </c>
      <c r="I551" s="5">
        <f t="shared" si="52"/>
        <v>76.709589041095896</v>
      </c>
      <c r="J551" s="5">
        <f t="shared" si="53"/>
        <v>1201.7835616438358</v>
      </c>
      <c r="K551" s="1"/>
      <c r="L551" s="6" t="s">
        <v>1218</v>
      </c>
      <c r="M551" s="6" t="s">
        <v>1355</v>
      </c>
      <c r="N551" s="6" t="s">
        <v>5377</v>
      </c>
    </row>
    <row r="552" spans="1:14" x14ac:dyDescent="0.25">
      <c r="A552" s="6" t="s">
        <v>557</v>
      </c>
      <c r="B552" s="6" t="s">
        <v>5378</v>
      </c>
      <c r="C552" s="6" t="s">
        <v>5379</v>
      </c>
      <c r="D552" s="6">
        <v>50</v>
      </c>
      <c r="E552" s="5">
        <f t="shared" si="48"/>
        <v>50000</v>
      </c>
      <c r="F552" s="5">
        <f t="shared" si="49"/>
        <v>4250</v>
      </c>
      <c r="G552" s="5">
        <f t="shared" si="50"/>
        <v>11.643835616438356</v>
      </c>
      <c r="H552" s="5">
        <f t="shared" si="51"/>
        <v>2130.821917808219</v>
      </c>
      <c r="I552" s="5">
        <f t="shared" si="52"/>
        <v>127.84931506849314</v>
      </c>
      <c r="J552" s="5">
        <f t="shared" si="53"/>
        <v>2002.972602739726</v>
      </c>
      <c r="K552" s="1"/>
      <c r="L552" s="6" t="s">
        <v>3</v>
      </c>
      <c r="M552" s="6" t="s">
        <v>3836</v>
      </c>
      <c r="N552" s="6" t="s">
        <v>5385</v>
      </c>
    </row>
    <row r="553" spans="1:14" x14ac:dyDescent="0.25">
      <c r="A553" s="6" t="s">
        <v>558</v>
      </c>
      <c r="B553" s="6" t="s">
        <v>5386</v>
      </c>
      <c r="C553" s="6" t="s">
        <v>5387</v>
      </c>
      <c r="D553" s="6">
        <v>25</v>
      </c>
      <c r="E553" s="5">
        <f t="shared" si="48"/>
        <v>25000</v>
      </c>
      <c r="F553" s="5">
        <f t="shared" si="49"/>
        <v>2125</v>
      </c>
      <c r="G553" s="5">
        <f t="shared" si="50"/>
        <v>5.8219178082191778</v>
      </c>
      <c r="H553" s="5">
        <f t="shared" si="51"/>
        <v>1065.4109589041095</v>
      </c>
      <c r="I553" s="5">
        <f t="shared" si="52"/>
        <v>63.92465753424657</v>
      </c>
      <c r="J553" s="5">
        <f t="shared" si="53"/>
        <v>1001.486301369863</v>
      </c>
      <c r="K553" s="1"/>
      <c r="L553" s="6" t="s">
        <v>910</v>
      </c>
      <c r="M553" s="6" t="s">
        <v>5392</v>
      </c>
      <c r="N553" s="6" t="s">
        <v>5393</v>
      </c>
    </row>
    <row r="554" spans="1:14" x14ac:dyDescent="0.25">
      <c r="A554" s="6" t="s">
        <v>559</v>
      </c>
      <c r="B554" s="6" t="s">
        <v>5394</v>
      </c>
      <c r="C554" s="6" t="s">
        <v>5395</v>
      </c>
      <c r="D554" s="6">
        <v>40</v>
      </c>
      <c r="E554" s="5">
        <f t="shared" si="48"/>
        <v>40000</v>
      </c>
      <c r="F554" s="5">
        <f t="shared" si="49"/>
        <v>3400.0000000000005</v>
      </c>
      <c r="G554" s="5">
        <f t="shared" si="50"/>
        <v>9.3150684931506866</v>
      </c>
      <c r="H554" s="5">
        <f t="shared" si="51"/>
        <v>1704.6575342465756</v>
      </c>
      <c r="I554" s="5">
        <f t="shared" si="52"/>
        <v>102.27945205479453</v>
      </c>
      <c r="J554" s="5">
        <f t="shared" si="53"/>
        <v>1602.378082191781</v>
      </c>
      <c r="K554" s="1"/>
      <c r="L554" s="6" t="s">
        <v>1</v>
      </c>
      <c r="M554" s="6" t="s">
        <v>5401</v>
      </c>
      <c r="N554" s="6" t="s">
        <v>5402</v>
      </c>
    </row>
    <row r="555" spans="1:14" x14ac:dyDescent="0.25">
      <c r="A555" s="6" t="s">
        <v>560</v>
      </c>
      <c r="B555" s="6" t="s">
        <v>5403</v>
      </c>
      <c r="C555" s="6" t="s">
        <v>5404</v>
      </c>
      <c r="D555" s="6">
        <v>100</v>
      </c>
      <c r="E555" s="5">
        <f t="shared" si="48"/>
        <v>100000</v>
      </c>
      <c r="F555" s="5">
        <f t="shared" si="49"/>
        <v>8500</v>
      </c>
      <c r="G555" s="5">
        <f t="shared" si="50"/>
        <v>23.287671232876711</v>
      </c>
      <c r="H555" s="5">
        <f t="shared" si="51"/>
        <v>4261.6438356164381</v>
      </c>
      <c r="I555" s="5">
        <f t="shared" si="52"/>
        <v>255.69863013698628</v>
      </c>
      <c r="J555" s="5">
        <f t="shared" si="53"/>
        <v>4005.9452054794519</v>
      </c>
      <c r="K555" s="1"/>
      <c r="L555" s="6" t="s">
        <v>1548</v>
      </c>
      <c r="M555" s="6" t="s">
        <v>5409</v>
      </c>
      <c r="N555" s="6" t="s">
        <v>5410</v>
      </c>
    </row>
    <row r="556" spans="1:14" x14ac:dyDescent="0.25">
      <c r="A556" s="6" t="s">
        <v>561</v>
      </c>
      <c r="B556" s="6" t="s">
        <v>5411</v>
      </c>
      <c r="C556" s="6" t="s">
        <v>5412</v>
      </c>
      <c r="D556" s="6">
        <v>25</v>
      </c>
      <c r="E556" s="5">
        <f t="shared" si="48"/>
        <v>25000</v>
      </c>
      <c r="F556" s="5">
        <f t="shared" si="49"/>
        <v>2125</v>
      </c>
      <c r="G556" s="5">
        <f t="shared" si="50"/>
        <v>5.8219178082191778</v>
      </c>
      <c r="H556" s="5">
        <f t="shared" si="51"/>
        <v>1065.4109589041095</v>
      </c>
      <c r="I556" s="5">
        <f t="shared" si="52"/>
        <v>63.92465753424657</v>
      </c>
      <c r="J556" s="5">
        <f t="shared" si="53"/>
        <v>1001.486301369863</v>
      </c>
      <c r="K556" s="1"/>
      <c r="L556" s="6" t="s">
        <v>1871</v>
      </c>
      <c r="M556" s="6" t="s">
        <v>5417</v>
      </c>
      <c r="N556" s="6" t="s">
        <v>5418</v>
      </c>
    </row>
    <row r="557" spans="1:14" x14ac:dyDescent="0.25">
      <c r="A557" s="6" t="s">
        <v>562</v>
      </c>
      <c r="B557" s="6" t="s">
        <v>5419</v>
      </c>
      <c r="C557" s="6" t="s">
        <v>5420</v>
      </c>
      <c r="D557" s="6">
        <v>250</v>
      </c>
      <c r="E557" s="5">
        <f t="shared" si="48"/>
        <v>250000</v>
      </c>
      <c r="F557" s="5">
        <f t="shared" si="49"/>
        <v>21250</v>
      </c>
      <c r="G557" s="5">
        <f t="shared" si="50"/>
        <v>58.219178082191782</v>
      </c>
      <c r="H557" s="5">
        <f t="shared" si="51"/>
        <v>10654.109589041096</v>
      </c>
      <c r="I557" s="5">
        <f t="shared" si="52"/>
        <v>639.24657534246569</v>
      </c>
      <c r="J557" s="5">
        <f t="shared" si="53"/>
        <v>10014.86301369863</v>
      </c>
      <c r="K557" s="1"/>
      <c r="L557" s="6" t="s">
        <v>910</v>
      </c>
      <c r="M557" s="6" t="s">
        <v>1752</v>
      </c>
      <c r="N557" s="6" t="s">
        <v>5426</v>
      </c>
    </row>
    <row r="558" spans="1:14" x14ac:dyDescent="0.25">
      <c r="A558" s="6" t="s">
        <v>563</v>
      </c>
      <c r="B558" s="6" t="s">
        <v>5427</v>
      </c>
      <c r="C558" s="6" t="s">
        <v>5428</v>
      </c>
      <c r="D558" s="6">
        <v>50</v>
      </c>
      <c r="E558" s="5">
        <f t="shared" si="48"/>
        <v>50000</v>
      </c>
      <c r="F558" s="5">
        <f t="shared" si="49"/>
        <v>4250</v>
      </c>
      <c r="G558" s="5">
        <f t="shared" si="50"/>
        <v>11.643835616438356</v>
      </c>
      <c r="H558" s="5">
        <f t="shared" si="51"/>
        <v>2130.821917808219</v>
      </c>
      <c r="I558" s="5">
        <f t="shared" si="52"/>
        <v>127.84931506849314</v>
      </c>
      <c r="J558" s="5">
        <f t="shared" si="53"/>
        <v>2002.972602739726</v>
      </c>
      <c r="K558" s="1"/>
      <c r="L558" s="6" t="s">
        <v>8</v>
      </c>
      <c r="M558" s="6" t="s">
        <v>5433</v>
      </c>
      <c r="N558" s="6" t="s">
        <v>5434</v>
      </c>
    </row>
    <row r="559" spans="1:14" x14ac:dyDescent="0.25">
      <c r="A559" s="6" t="s">
        <v>564</v>
      </c>
      <c r="B559" s="6" t="s">
        <v>5435</v>
      </c>
      <c r="C559" s="6" t="s">
        <v>5436</v>
      </c>
      <c r="D559" s="6">
        <v>25</v>
      </c>
      <c r="E559" s="5">
        <f t="shared" si="48"/>
        <v>25000</v>
      </c>
      <c r="F559" s="5">
        <f t="shared" si="49"/>
        <v>2125</v>
      </c>
      <c r="G559" s="5">
        <f t="shared" si="50"/>
        <v>5.8219178082191778</v>
      </c>
      <c r="H559" s="5">
        <f t="shared" si="51"/>
        <v>1065.4109589041095</v>
      </c>
      <c r="I559" s="5">
        <f t="shared" si="52"/>
        <v>63.92465753424657</v>
      </c>
      <c r="J559" s="5">
        <f t="shared" si="53"/>
        <v>1001.486301369863</v>
      </c>
      <c r="K559" s="1"/>
      <c r="L559" s="6" t="s">
        <v>13</v>
      </c>
      <c r="M559" s="6" t="s">
        <v>1346</v>
      </c>
      <c r="N559" s="6" t="s">
        <v>5440</v>
      </c>
    </row>
    <row r="560" spans="1:14" x14ac:dyDescent="0.25">
      <c r="A560" s="6" t="s">
        <v>565</v>
      </c>
      <c r="B560" s="6" t="s">
        <v>5441</v>
      </c>
      <c r="C560" s="6" t="s">
        <v>5442</v>
      </c>
      <c r="D560" s="6">
        <v>25</v>
      </c>
      <c r="E560" s="5">
        <f t="shared" si="48"/>
        <v>25000</v>
      </c>
      <c r="F560" s="5">
        <f t="shared" si="49"/>
        <v>2125</v>
      </c>
      <c r="G560" s="5">
        <f t="shared" si="50"/>
        <v>5.8219178082191778</v>
      </c>
      <c r="H560" s="5">
        <f t="shared" si="51"/>
        <v>1065.4109589041095</v>
      </c>
      <c r="I560" s="5">
        <f t="shared" si="52"/>
        <v>63.92465753424657</v>
      </c>
      <c r="J560" s="5">
        <f t="shared" si="53"/>
        <v>1001.486301369863</v>
      </c>
      <c r="K560" s="1"/>
      <c r="L560" s="6" t="s">
        <v>13</v>
      </c>
      <c r="M560" s="6" t="s">
        <v>5448</v>
      </c>
      <c r="N560" s="6" t="s">
        <v>5449</v>
      </c>
    </row>
    <row r="561" spans="1:14" x14ac:dyDescent="0.25">
      <c r="A561" s="6" t="s">
        <v>566</v>
      </c>
      <c r="B561" s="6" t="s">
        <v>5450</v>
      </c>
      <c r="C561" s="6" t="s">
        <v>5451</v>
      </c>
      <c r="D561" s="6">
        <v>50</v>
      </c>
      <c r="E561" s="5">
        <f t="shared" si="48"/>
        <v>50000</v>
      </c>
      <c r="F561" s="5">
        <f t="shared" si="49"/>
        <v>4250</v>
      </c>
      <c r="G561" s="5">
        <f t="shared" si="50"/>
        <v>11.643835616438356</v>
      </c>
      <c r="H561" s="5">
        <f t="shared" si="51"/>
        <v>2130.821917808219</v>
      </c>
      <c r="I561" s="5">
        <f t="shared" si="52"/>
        <v>127.84931506849314</v>
      </c>
      <c r="J561" s="5">
        <f t="shared" si="53"/>
        <v>2002.972602739726</v>
      </c>
      <c r="K561" s="1"/>
      <c r="L561" s="6" t="s">
        <v>1496</v>
      </c>
      <c r="M561" s="6" t="s">
        <v>5456</v>
      </c>
      <c r="N561" s="6" t="s">
        <v>5457</v>
      </c>
    </row>
    <row r="562" spans="1:14" x14ac:dyDescent="0.25">
      <c r="A562" s="6" t="s">
        <v>567</v>
      </c>
      <c r="B562" s="6" t="s">
        <v>5458</v>
      </c>
      <c r="C562" s="6" t="s">
        <v>5459</v>
      </c>
      <c r="D562" s="6">
        <v>100</v>
      </c>
      <c r="E562" s="5">
        <f t="shared" si="48"/>
        <v>100000</v>
      </c>
      <c r="F562" s="5">
        <f t="shared" si="49"/>
        <v>8500</v>
      </c>
      <c r="G562" s="5">
        <f t="shared" si="50"/>
        <v>23.287671232876711</v>
      </c>
      <c r="H562" s="5">
        <f t="shared" si="51"/>
        <v>4261.6438356164381</v>
      </c>
      <c r="I562" s="5">
        <f t="shared" si="52"/>
        <v>255.69863013698628</v>
      </c>
      <c r="J562" s="5">
        <f t="shared" si="53"/>
        <v>4005.9452054794519</v>
      </c>
      <c r="K562" s="1"/>
      <c r="L562" s="6" t="s">
        <v>910</v>
      </c>
      <c r="M562" s="6" t="s">
        <v>5465</v>
      </c>
      <c r="N562" s="6" t="s">
        <v>5466</v>
      </c>
    </row>
    <row r="563" spans="1:14" x14ac:dyDescent="0.25">
      <c r="A563" s="6" t="s">
        <v>568</v>
      </c>
      <c r="B563" s="6" t="s">
        <v>5467</v>
      </c>
      <c r="C563" s="6" t="s">
        <v>5468</v>
      </c>
      <c r="D563" s="6">
        <v>15</v>
      </c>
      <c r="E563" s="5">
        <f t="shared" si="48"/>
        <v>15000</v>
      </c>
      <c r="F563" s="5">
        <f t="shared" si="49"/>
        <v>1275</v>
      </c>
      <c r="G563" s="5">
        <f t="shared" si="50"/>
        <v>3.493150684931507</v>
      </c>
      <c r="H563" s="5">
        <f t="shared" si="51"/>
        <v>639.2465753424658</v>
      </c>
      <c r="I563" s="5">
        <f t="shared" si="52"/>
        <v>38.354794520547948</v>
      </c>
      <c r="J563" s="5">
        <f t="shared" si="53"/>
        <v>600.89178082191791</v>
      </c>
      <c r="K563" s="1"/>
      <c r="L563" s="6" t="s">
        <v>1218</v>
      </c>
      <c r="M563" s="6" t="s">
        <v>1355</v>
      </c>
      <c r="N563" s="6" t="s">
        <v>5472</v>
      </c>
    </row>
    <row r="564" spans="1:14" x14ac:dyDescent="0.25">
      <c r="A564" s="6" t="s">
        <v>569</v>
      </c>
      <c r="B564" s="6" t="s">
        <v>5473</v>
      </c>
      <c r="C564" s="6" t="s">
        <v>5474</v>
      </c>
      <c r="D564" s="6">
        <v>25</v>
      </c>
      <c r="E564" s="5">
        <f t="shared" si="48"/>
        <v>25000</v>
      </c>
      <c r="F564" s="5">
        <f t="shared" si="49"/>
        <v>2125</v>
      </c>
      <c r="G564" s="5">
        <f t="shared" si="50"/>
        <v>5.8219178082191778</v>
      </c>
      <c r="H564" s="5">
        <f t="shared" si="51"/>
        <v>1065.4109589041095</v>
      </c>
      <c r="I564" s="5">
        <f t="shared" si="52"/>
        <v>63.92465753424657</v>
      </c>
      <c r="J564" s="5">
        <f t="shared" si="53"/>
        <v>1001.486301369863</v>
      </c>
      <c r="K564" s="1"/>
      <c r="L564" s="6" t="s">
        <v>1218</v>
      </c>
      <c r="M564" s="6" t="s">
        <v>1355</v>
      </c>
      <c r="N564" s="6" t="s">
        <v>5478</v>
      </c>
    </row>
    <row r="565" spans="1:14" x14ac:dyDescent="0.25">
      <c r="A565" s="6" t="s">
        <v>570</v>
      </c>
      <c r="B565" s="6" t="s">
        <v>5479</v>
      </c>
      <c r="C565" s="6" t="s">
        <v>5480</v>
      </c>
      <c r="D565" s="6">
        <v>50</v>
      </c>
      <c r="E565" s="5">
        <f t="shared" si="48"/>
        <v>50000</v>
      </c>
      <c r="F565" s="5">
        <f t="shared" si="49"/>
        <v>4250</v>
      </c>
      <c r="G565" s="5">
        <f t="shared" si="50"/>
        <v>11.643835616438356</v>
      </c>
      <c r="H565" s="5">
        <f t="shared" si="51"/>
        <v>2130.821917808219</v>
      </c>
      <c r="I565" s="5">
        <f t="shared" si="52"/>
        <v>127.84931506849314</v>
      </c>
      <c r="J565" s="5">
        <f t="shared" si="53"/>
        <v>2002.972602739726</v>
      </c>
      <c r="K565" s="1"/>
      <c r="L565" s="6" t="s">
        <v>971</v>
      </c>
      <c r="M565" s="6" t="s">
        <v>1062</v>
      </c>
      <c r="N565" s="6" t="s">
        <v>5486</v>
      </c>
    </row>
    <row r="566" spans="1:14" x14ac:dyDescent="0.25">
      <c r="A566" s="6" t="s">
        <v>571</v>
      </c>
      <c r="B566" s="6" t="s">
        <v>5487</v>
      </c>
      <c r="C566" s="6" t="s">
        <v>5488</v>
      </c>
      <c r="D566" s="6">
        <v>100</v>
      </c>
      <c r="E566" s="5">
        <f t="shared" si="48"/>
        <v>100000</v>
      </c>
      <c r="F566" s="5">
        <f t="shared" si="49"/>
        <v>8500</v>
      </c>
      <c r="G566" s="5">
        <f t="shared" si="50"/>
        <v>23.287671232876711</v>
      </c>
      <c r="H566" s="5">
        <f t="shared" si="51"/>
        <v>4261.6438356164381</v>
      </c>
      <c r="I566" s="5">
        <f t="shared" si="52"/>
        <v>255.69863013698628</v>
      </c>
      <c r="J566" s="5">
        <f t="shared" si="53"/>
        <v>4005.9452054794519</v>
      </c>
      <c r="K566" s="1"/>
      <c r="L566" s="6" t="s">
        <v>1089</v>
      </c>
      <c r="M566" s="6" t="s">
        <v>5494</v>
      </c>
      <c r="N566" s="6" t="s">
        <v>5495</v>
      </c>
    </row>
    <row r="567" spans="1:14" x14ac:dyDescent="0.25">
      <c r="A567" s="6" t="s">
        <v>572</v>
      </c>
      <c r="B567" s="6" t="s">
        <v>5496</v>
      </c>
      <c r="C567" s="6" t="s">
        <v>5497</v>
      </c>
      <c r="D567" s="6">
        <v>25</v>
      </c>
      <c r="E567" s="5">
        <f t="shared" si="48"/>
        <v>25000</v>
      </c>
      <c r="F567" s="5">
        <f t="shared" si="49"/>
        <v>2125</v>
      </c>
      <c r="G567" s="5">
        <f t="shared" si="50"/>
        <v>5.8219178082191778</v>
      </c>
      <c r="H567" s="5">
        <f t="shared" si="51"/>
        <v>1065.4109589041095</v>
      </c>
      <c r="I567" s="5">
        <f t="shared" si="52"/>
        <v>63.92465753424657</v>
      </c>
      <c r="J567" s="5">
        <f t="shared" si="53"/>
        <v>1001.486301369863</v>
      </c>
      <c r="K567" s="1"/>
      <c r="L567" s="6" t="s">
        <v>10</v>
      </c>
      <c r="M567" s="6" t="s">
        <v>5500</v>
      </c>
      <c r="N567" s="6" t="s">
        <v>5501</v>
      </c>
    </row>
    <row r="568" spans="1:14" x14ac:dyDescent="0.25">
      <c r="A568" s="6" t="s">
        <v>573</v>
      </c>
      <c r="B568" s="6" t="s">
        <v>5502</v>
      </c>
      <c r="C568" s="6" t="s">
        <v>5503</v>
      </c>
      <c r="D568" s="6">
        <v>25</v>
      </c>
      <c r="E568" s="5">
        <f t="shared" si="48"/>
        <v>25000</v>
      </c>
      <c r="F568" s="5">
        <f t="shared" si="49"/>
        <v>2125</v>
      </c>
      <c r="G568" s="5">
        <f t="shared" si="50"/>
        <v>5.8219178082191778</v>
      </c>
      <c r="H568" s="5">
        <f t="shared" si="51"/>
        <v>1065.4109589041095</v>
      </c>
      <c r="I568" s="5">
        <f t="shared" si="52"/>
        <v>63.92465753424657</v>
      </c>
      <c r="J568" s="5">
        <f t="shared" si="53"/>
        <v>1001.486301369863</v>
      </c>
      <c r="K568" s="1"/>
      <c r="L568" s="6" t="s">
        <v>4</v>
      </c>
      <c r="M568" s="6" t="s">
        <v>924</v>
      </c>
      <c r="N568" s="6" t="s">
        <v>5509</v>
      </c>
    </row>
    <row r="569" spans="1:14" x14ac:dyDescent="0.25">
      <c r="A569" s="6" t="s">
        <v>574</v>
      </c>
      <c r="B569" s="6" t="s">
        <v>5510</v>
      </c>
      <c r="C569" s="6" t="s">
        <v>5511</v>
      </c>
      <c r="D569" s="6">
        <v>100</v>
      </c>
      <c r="E569" s="5">
        <f t="shared" si="48"/>
        <v>100000</v>
      </c>
      <c r="F569" s="5">
        <f t="shared" si="49"/>
        <v>8500</v>
      </c>
      <c r="G569" s="5">
        <f t="shared" si="50"/>
        <v>23.287671232876711</v>
      </c>
      <c r="H569" s="5">
        <f t="shared" si="51"/>
        <v>4261.6438356164381</v>
      </c>
      <c r="I569" s="5">
        <f t="shared" si="52"/>
        <v>255.69863013698628</v>
      </c>
      <c r="J569" s="5">
        <f t="shared" si="53"/>
        <v>4005.9452054794519</v>
      </c>
      <c r="K569" s="1"/>
      <c r="L569" s="6" t="s">
        <v>909</v>
      </c>
      <c r="M569" s="6" t="s">
        <v>5516</v>
      </c>
      <c r="N569" s="6" t="s">
        <v>5517</v>
      </c>
    </row>
    <row r="570" spans="1:14" x14ac:dyDescent="0.25">
      <c r="A570" s="6" t="s">
        <v>575</v>
      </c>
      <c r="B570" s="6" t="s">
        <v>5518</v>
      </c>
      <c r="C570" s="6" t="s">
        <v>5519</v>
      </c>
      <c r="D570" s="6">
        <v>25</v>
      </c>
      <c r="E570" s="5">
        <f t="shared" si="48"/>
        <v>25000</v>
      </c>
      <c r="F570" s="5">
        <f t="shared" si="49"/>
        <v>2125</v>
      </c>
      <c r="G570" s="5">
        <f t="shared" si="50"/>
        <v>5.8219178082191778</v>
      </c>
      <c r="H570" s="5">
        <f t="shared" si="51"/>
        <v>1065.4109589041095</v>
      </c>
      <c r="I570" s="5">
        <f t="shared" si="52"/>
        <v>63.92465753424657</v>
      </c>
      <c r="J570" s="5">
        <f t="shared" si="53"/>
        <v>1001.486301369863</v>
      </c>
      <c r="K570" s="1"/>
      <c r="L570" s="6" t="s">
        <v>8</v>
      </c>
      <c r="M570" s="6" t="s">
        <v>1020</v>
      </c>
      <c r="N570" s="6" t="s">
        <v>5524</v>
      </c>
    </row>
    <row r="571" spans="1:14" x14ac:dyDescent="0.25">
      <c r="A571" s="6" t="s">
        <v>576</v>
      </c>
      <c r="B571" s="6" t="s">
        <v>5525</v>
      </c>
      <c r="C571" s="6" t="s">
        <v>5526</v>
      </c>
      <c r="D571" s="6">
        <v>25</v>
      </c>
      <c r="E571" s="5">
        <f t="shared" si="48"/>
        <v>25000</v>
      </c>
      <c r="F571" s="5">
        <f t="shared" si="49"/>
        <v>2125</v>
      </c>
      <c r="G571" s="5">
        <f t="shared" si="50"/>
        <v>5.8219178082191778</v>
      </c>
      <c r="H571" s="5">
        <f t="shared" si="51"/>
        <v>1065.4109589041095</v>
      </c>
      <c r="I571" s="5">
        <f t="shared" si="52"/>
        <v>63.92465753424657</v>
      </c>
      <c r="J571" s="5">
        <f t="shared" si="53"/>
        <v>1001.486301369863</v>
      </c>
      <c r="K571" s="1"/>
      <c r="L571" s="6" t="s">
        <v>915</v>
      </c>
      <c r="M571" s="6" t="s">
        <v>5532</v>
      </c>
      <c r="N571" s="6" t="s">
        <v>5533</v>
      </c>
    </row>
    <row r="572" spans="1:14" x14ac:dyDescent="0.25">
      <c r="A572" s="6" t="s">
        <v>577</v>
      </c>
      <c r="B572" s="6" t="s">
        <v>5534</v>
      </c>
      <c r="C572" s="6" t="s">
        <v>5535</v>
      </c>
      <c r="D572" s="6">
        <v>50</v>
      </c>
      <c r="E572" s="5">
        <f t="shared" si="48"/>
        <v>50000</v>
      </c>
      <c r="F572" s="5">
        <f t="shared" si="49"/>
        <v>4250</v>
      </c>
      <c r="G572" s="5">
        <f t="shared" si="50"/>
        <v>11.643835616438356</v>
      </c>
      <c r="H572" s="5">
        <f t="shared" si="51"/>
        <v>2130.821917808219</v>
      </c>
      <c r="I572" s="5">
        <f t="shared" si="52"/>
        <v>127.84931506849314</v>
      </c>
      <c r="J572" s="5">
        <f t="shared" si="53"/>
        <v>2002.972602739726</v>
      </c>
      <c r="K572" s="1"/>
      <c r="L572" s="6" t="s">
        <v>2</v>
      </c>
      <c r="M572" s="6" t="s">
        <v>5541</v>
      </c>
      <c r="N572" s="6" t="s">
        <v>5542</v>
      </c>
    </row>
    <row r="573" spans="1:14" x14ac:dyDescent="0.25">
      <c r="A573" s="6" t="s">
        <v>578</v>
      </c>
      <c r="B573" s="6" t="s">
        <v>5543</v>
      </c>
      <c r="C573" s="6" t="s">
        <v>5544</v>
      </c>
      <c r="D573" s="6">
        <v>25</v>
      </c>
      <c r="E573" s="5">
        <f t="shared" si="48"/>
        <v>25000</v>
      </c>
      <c r="F573" s="5">
        <f t="shared" si="49"/>
        <v>2125</v>
      </c>
      <c r="G573" s="5">
        <f t="shared" si="50"/>
        <v>5.8219178082191778</v>
      </c>
      <c r="H573" s="5">
        <f t="shared" si="51"/>
        <v>1065.4109589041095</v>
      </c>
      <c r="I573" s="5">
        <f t="shared" si="52"/>
        <v>63.92465753424657</v>
      </c>
      <c r="J573" s="5">
        <f t="shared" si="53"/>
        <v>1001.486301369863</v>
      </c>
      <c r="K573" s="1"/>
      <c r="L573" s="6" t="s">
        <v>1310</v>
      </c>
      <c r="M573" s="6" t="s">
        <v>5550</v>
      </c>
      <c r="N573" s="6" t="s">
        <v>5551</v>
      </c>
    </row>
    <row r="574" spans="1:14" x14ac:dyDescent="0.25">
      <c r="A574" s="6" t="s">
        <v>579</v>
      </c>
      <c r="B574" s="6" t="s">
        <v>5552</v>
      </c>
      <c r="C574" s="6" t="s">
        <v>5553</v>
      </c>
      <c r="D574" s="6">
        <v>25</v>
      </c>
      <c r="E574" s="5">
        <f t="shared" si="48"/>
        <v>25000</v>
      </c>
      <c r="F574" s="5">
        <f t="shared" si="49"/>
        <v>2125</v>
      </c>
      <c r="G574" s="5">
        <f t="shared" si="50"/>
        <v>5.8219178082191778</v>
      </c>
      <c r="H574" s="5">
        <f t="shared" si="51"/>
        <v>1065.4109589041095</v>
      </c>
      <c r="I574" s="5">
        <f t="shared" si="52"/>
        <v>63.92465753424657</v>
      </c>
      <c r="J574" s="5">
        <f t="shared" si="53"/>
        <v>1001.486301369863</v>
      </c>
      <c r="K574" s="1"/>
      <c r="L574" s="6" t="s">
        <v>1548</v>
      </c>
      <c r="M574" s="6" t="s">
        <v>5559</v>
      </c>
      <c r="N574" s="6" t="s">
        <v>5560</v>
      </c>
    </row>
    <row r="575" spans="1:14" x14ac:dyDescent="0.25">
      <c r="A575" s="6" t="s">
        <v>580</v>
      </c>
      <c r="B575" s="6" t="s">
        <v>5561</v>
      </c>
      <c r="C575" s="6" t="s">
        <v>5562</v>
      </c>
      <c r="D575" s="6">
        <v>400</v>
      </c>
      <c r="E575" s="5">
        <f t="shared" si="48"/>
        <v>400000</v>
      </c>
      <c r="F575" s="5">
        <f t="shared" si="49"/>
        <v>34000</v>
      </c>
      <c r="G575" s="5">
        <f t="shared" si="50"/>
        <v>93.150684931506845</v>
      </c>
      <c r="H575" s="5">
        <f t="shared" si="51"/>
        <v>17046.575342465752</v>
      </c>
      <c r="I575" s="5">
        <f t="shared" si="52"/>
        <v>1022.7945205479451</v>
      </c>
      <c r="J575" s="5">
        <f t="shared" si="53"/>
        <v>16023.780821917808</v>
      </c>
      <c r="K575" s="1"/>
      <c r="L575" s="6" t="s">
        <v>4</v>
      </c>
      <c r="M575" s="6" t="s">
        <v>5567</v>
      </c>
      <c r="N575" s="6" t="s">
        <v>5568</v>
      </c>
    </row>
    <row r="576" spans="1:14" x14ac:dyDescent="0.25">
      <c r="A576" s="6" t="s">
        <v>581</v>
      </c>
      <c r="B576" s="6" t="s">
        <v>5569</v>
      </c>
      <c r="C576" s="6" t="s">
        <v>5570</v>
      </c>
      <c r="D576" s="6">
        <v>25</v>
      </c>
      <c r="E576" s="5">
        <f t="shared" si="48"/>
        <v>25000</v>
      </c>
      <c r="F576" s="5">
        <f t="shared" si="49"/>
        <v>2125</v>
      </c>
      <c r="G576" s="5">
        <f t="shared" si="50"/>
        <v>5.8219178082191778</v>
      </c>
      <c r="H576" s="5">
        <f t="shared" si="51"/>
        <v>1065.4109589041095</v>
      </c>
      <c r="I576" s="5">
        <f t="shared" si="52"/>
        <v>63.92465753424657</v>
      </c>
      <c r="J576" s="5">
        <f t="shared" si="53"/>
        <v>1001.486301369863</v>
      </c>
      <c r="K576" s="1"/>
      <c r="L576" s="6" t="s">
        <v>910</v>
      </c>
      <c r="M576" s="6" t="s">
        <v>5576</v>
      </c>
      <c r="N576" s="6" t="s">
        <v>5577</v>
      </c>
    </row>
    <row r="577" spans="1:14" x14ac:dyDescent="0.25">
      <c r="A577" s="6" t="s">
        <v>582</v>
      </c>
      <c r="B577" s="6" t="s">
        <v>5578</v>
      </c>
      <c r="C577" s="6" t="s">
        <v>5579</v>
      </c>
      <c r="D577" s="6">
        <v>50</v>
      </c>
      <c r="E577" s="5">
        <f t="shared" si="48"/>
        <v>50000</v>
      </c>
      <c r="F577" s="5">
        <f t="shared" si="49"/>
        <v>4250</v>
      </c>
      <c r="G577" s="5">
        <f t="shared" si="50"/>
        <v>11.643835616438356</v>
      </c>
      <c r="H577" s="5">
        <f t="shared" si="51"/>
        <v>2130.821917808219</v>
      </c>
      <c r="I577" s="5">
        <f t="shared" si="52"/>
        <v>127.84931506849314</v>
      </c>
      <c r="J577" s="5">
        <f t="shared" si="53"/>
        <v>2002.972602739726</v>
      </c>
      <c r="K577" s="1"/>
      <c r="L577" s="6" t="s">
        <v>914</v>
      </c>
      <c r="M577" s="6" t="s">
        <v>1398</v>
      </c>
      <c r="N577" s="6" t="s">
        <v>5583</v>
      </c>
    </row>
    <row r="578" spans="1:14" x14ac:dyDescent="0.25">
      <c r="A578" s="6" t="s">
        <v>583</v>
      </c>
      <c r="B578" s="6" t="s">
        <v>5584</v>
      </c>
      <c r="C578" s="6" t="s">
        <v>5585</v>
      </c>
      <c r="D578" s="6">
        <v>685</v>
      </c>
      <c r="E578" s="5">
        <f t="shared" si="48"/>
        <v>685000</v>
      </c>
      <c r="F578" s="5">
        <f t="shared" si="49"/>
        <v>58225.000000000007</v>
      </c>
      <c r="G578" s="5">
        <f t="shared" si="50"/>
        <v>159.52054794520549</v>
      </c>
      <c r="H578" s="5">
        <f t="shared" si="51"/>
        <v>29192.260273972606</v>
      </c>
      <c r="I578" s="5">
        <f t="shared" si="52"/>
        <v>1751.5356164383563</v>
      </c>
      <c r="J578" s="5">
        <f t="shared" si="53"/>
        <v>27440.724657534251</v>
      </c>
      <c r="K578" s="1"/>
      <c r="L578" s="6" t="s">
        <v>4</v>
      </c>
      <c r="M578" s="6" t="s">
        <v>2800</v>
      </c>
      <c r="N578" s="6" t="s">
        <v>5590</v>
      </c>
    </row>
    <row r="579" spans="1:14" x14ac:dyDescent="0.25">
      <c r="A579" s="6" t="s">
        <v>584</v>
      </c>
      <c r="B579" s="6" t="s">
        <v>5591</v>
      </c>
      <c r="C579" s="6" t="s">
        <v>5592</v>
      </c>
      <c r="D579" s="6">
        <v>264</v>
      </c>
      <c r="E579" s="5">
        <f t="shared" si="48"/>
        <v>264000</v>
      </c>
      <c r="F579" s="5">
        <f t="shared" si="49"/>
        <v>22440</v>
      </c>
      <c r="G579" s="5">
        <f t="shared" si="50"/>
        <v>61.479452054794521</v>
      </c>
      <c r="H579" s="5">
        <f t="shared" si="51"/>
        <v>11250.739726027397</v>
      </c>
      <c r="I579" s="5">
        <f t="shared" si="52"/>
        <v>675.04438356164383</v>
      </c>
      <c r="J579" s="5">
        <f t="shared" si="53"/>
        <v>10575.695342465753</v>
      </c>
      <c r="K579" s="1"/>
      <c r="L579" s="6" t="s">
        <v>1089</v>
      </c>
      <c r="M579" s="6" t="s">
        <v>5595</v>
      </c>
      <c r="N579" s="6" t="s">
        <v>5596</v>
      </c>
    </row>
    <row r="580" spans="1:14" x14ac:dyDescent="0.25">
      <c r="A580" s="6" t="s">
        <v>585</v>
      </c>
      <c r="B580" s="6" t="s">
        <v>5597</v>
      </c>
      <c r="C580" s="6" t="s">
        <v>5598</v>
      </c>
      <c r="D580" s="6">
        <v>126</v>
      </c>
      <c r="E580" s="5">
        <f t="shared" si="48"/>
        <v>126000</v>
      </c>
      <c r="F580" s="5">
        <f t="shared" si="49"/>
        <v>10710</v>
      </c>
      <c r="G580" s="5">
        <f t="shared" si="50"/>
        <v>29.342465753424658</v>
      </c>
      <c r="H580" s="5">
        <f t="shared" si="51"/>
        <v>5369.6712328767126</v>
      </c>
      <c r="I580" s="5">
        <f t="shared" si="52"/>
        <v>322.18027397260272</v>
      </c>
      <c r="J580" s="5">
        <f t="shared" si="53"/>
        <v>5047.4909589041099</v>
      </c>
      <c r="K580" s="1"/>
      <c r="L580" s="6" t="s">
        <v>915</v>
      </c>
      <c r="M580" s="6" t="s">
        <v>926</v>
      </c>
      <c r="N580" s="6" t="s">
        <v>5604</v>
      </c>
    </row>
    <row r="581" spans="1:14" x14ac:dyDescent="0.25">
      <c r="A581" s="6" t="s">
        <v>586</v>
      </c>
      <c r="B581" s="6" t="s">
        <v>5605</v>
      </c>
      <c r="C581" s="6" t="s">
        <v>5606</v>
      </c>
      <c r="D581" s="6">
        <v>25</v>
      </c>
      <c r="E581" s="5">
        <f t="shared" si="48"/>
        <v>25000</v>
      </c>
      <c r="F581" s="5">
        <f t="shared" si="49"/>
        <v>2125</v>
      </c>
      <c r="G581" s="5">
        <f t="shared" si="50"/>
        <v>5.8219178082191778</v>
      </c>
      <c r="H581" s="5">
        <f t="shared" si="51"/>
        <v>1065.4109589041095</v>
      </c>
      <c r="I581" s="5">
        <f t="shared" si="52"/>
        <v>63.92465753424657</v>
      </c>
      <c r="J581" s="5">
        <f t="shared" si="53"/>
        <v>1001.486301369863</v>
      </c>
      <c r="K581" s="1"/>
      <c r="L581" s="6" t="s">
        <v>915</v>
      </c>
      <c r="M581" s="6" t="s">
        <v>5611</v>
      </c>
      <c r="N581" s="6" t="s">
        <v>5612</v>
      </c>
    </row>
    <row r="582" spans="1:14" x14ac:dyDescent="0.25">
      <c r="A582" s="6" t="s">
        <v>587</v>
      </c>
      <c r="B582" s="6" t="s">
        <v>5613</v>
      </c>
      <c r="C582" s="6" t="s">
        <v>5614</v>
      </c>
      <c r="D582" s="6">
        <v>25</v>
      </c>
      <c r="E582" s="5">
        <f t="shared" si="48"/>
        <v>25000</v>
      </c>
      <c r="F582" s="5">
        <f t="shared" si="49"/>
        <v>2125</v>
      </c>
      <c r="G582" s="5">
        <f t="shared" si="50"/>
        <v>5.8219178082191778</v>
      </c>
      <c r="H582" s="5">
        <f t="shared" si="51"/>
        <v>1065.4109589041095</v>
      </c>
      <c r="I582" s="5">
        <f t="shared" si="52"/>
        <v>63.92465753424657</v>
      </c>
      <c r="J582" s="5">
        <f t="shared" si="53"/>
        <v>1001.486301369863</v>
      </c>
      <c r="K582" s="1"/>
      <c r="L582" s="6" t="s">
        <v>971</v>
      </c>
      <c r="M582" s="6" t="s">
        <v>972</v>
      </c>
      <c r="N582" s="6" t="s">
        <v>5618</v>
      </c>
    </row>
    <row r="583" spans="1:14" x14ac:dyDescent="0.25">
      <c r="A583" s="6" t="s">
        <v>588</v>
      </c>
      <c r="B583" s="6" t="s">
        <v>5619</v>
      </c>
      <c r="C583" s="6" t="s">
        <v>5620</v>
      </c>
      <c r="D583" s="6">
        <v>25</v>
      </c>
      <c r="E583" s="5">
        <f t="shared" si="48"/>
        <v>25000</v>
      </c>
      <c r="F583" s="5">
        <f t="shared" si="49"/>
        <v>2125</v>
      </c>
      <c r="G583" s="5">
        <f t="shared" si="50"/>
        <v>5.8219178082191778</v>
      </c>
      <c r="H583" s="5">
        <f t="shared" si="51"/>
        <v>1065.4109589041095</v>
      </c>
      <c r="I583" s="5">
        <f t="shared" si="52"/>
        <v>63.92465753424657</v>
      </c>
      <c r="J583" s="5">
        <f t="shared" si="53"/>
        <v>1001.486301369863</v>
      </c>
      <c r="K583" s="1"/>
      <c r="L583" s="6" t="s">
        <v>13</v>
      </c>
      <c r="M583" s="6" t="s">
        <v>923</v>
      </c>
      <c r="N583" s="6" t="s">
        <v>5625</v>
      </c>
    </row>
    <row r="584" spans="1:14" x14ac:dyDescent="0.25">
      <c r="A584" s="6" t="s">
        <v>589</v>
      </c>
      <c r="B584" s="6" t="s">
        <v>5626</v>
      </c>
      <c r="C584" s="6" t="s">
        <v>5627</v>
      </c>
      <c r="D584" s="6">
        <v>25</v>
      </c>
      <c r="E584" s="5">
        <f t="shared" ref="E584:E647" si="54">+D584*1000</f>
        <v>25000</v>
      </c>
      <c r="F584" s="5">
        <f t="shared" ref="F584:F647" si="55">+E584*8.5%</f>
        <v>2125</v>
      </c>
      <c r="G584" s="5">
        <f t="shared" ref="G584:G647" si="56">+F584/365</f>
        <v>5.8219178082191778</v>
      </c>
      <c r="H584" s="5">
        <f t="shared" ref="H584:H647" si="57">G584*$H$4</f>
        <v>1065.4109589041095</v>
      </c>
      <c r="I584" s="5">
        <f t="shared" ref="I584:I647" si="58">+H584*6%</f>
        <v>63.92465753424657</v>
      </c>
      <c r="J584" s="5">
        <f t="shared" ref="J584:J647" si="59">+H584-I584</f>
        <v>1001.486301369863</v>
      </c>
      <c r="K584" s="1"/>
      <c r="L584" s="6" t="s">
        <v>5285</v>
      </c>
      <c r="M584" s="6" t="s">
        <v>5632</v>
      </c>
      <c r="N584" s="6" t="s">
        <v>5633</v>
      </c>
    </row>
    <row r="585" spans="1:14" x14ac:dyDescent="0.25">
      <c r="A585" s="6" t="s">
        <v>590</v>
      </c>
      <c r="B585" s="6" t="s">
        <v>5634</v>
      </c>
      <c r="C585" s="6" t="s">
        <v>5635</v>
      </c>
      <c r="D585" s="6">
        <v>25</v>
      </c>
      <c r="E585" s="5">
        <f t="shared" si="54"/>
        <v>25000</v>
      </c>
      <c r="F585" s="5">
        <f t="shared" si="55"/>
        <v>2125</v>
      </c>
      <c r="G585" s="5">
        <f t="shared" si="56"/>
        <v>5.8219178082191778</v>
      </c>
      <c r="H585" s="5">
        <f t="shared" si="57"/>
        <v>1065.4109589041095</v>
      </c>
      <c r="I585" s="5">
        <f t="shared" si="58"/>
        <v>63.92465753424657</v>
      </c>
      <c r="J585" s="5">
        <f t="shared" si="59"/>
        <v>1001.486301369863</v>
      </c>
      <c r="K585" s="1"/>
      <c r="L585" s="6" t="s">
        <v>8</v>
      </c>
      <c r="M585" s="6" t="s">
        <v>1129</v>
      </c>
      <c r="N585" s="6" t="s">
        <v>5641</v>
      </c>
    </row>
    <row r="586" spans="1:14" x14ac:dyDescent="0.25">
      <c r="A586" s="6" t="s">
        <v>591</v>
      </c>
      <c r="B586" s="6" t="s">
        <v>5642</v>
      </c>
      <c r="C586" s="6" t="s">
        <v>5643</v>
      </c>
      <c r="D586" s="6">
        <v>25</v>
      </c>
      <c r="E586" s="5">
        <f t="shared" si="54"/>
        <v>25000</v>
      </c>
      <c r="F586" s="5">
        <f t="shared" si="55"/>
        <v>2125</v>
      </c>
      <c r="G586" s="5">
        <f t="shared" si="56"/>
        <v>5.8219178082191778</v>
      </c>
      <c r="H586" s="5">
        <f t="shared" si="57"/>
        <v>1065.4109589041095</v>
      </c>
      <c r="I586" s="5">
        <f t="shared" si="58"/>
        <v>63.92465753424657</v>
      </c>
      <c r="J586" s="5">
        <f t="shared" si="59"/>
        <v>1001.486301369863</v>
      </c>
      <c r="K586" s="1"/>
      <c r="L586" s="6" t="s">
        <v>8</v>
      </c>
      <c r="M586" s="6" t="s">
        <v>1129</v>
      </c>
      <c r="N586" s="6" t="s">
        <v>5645</v>
      </c>
    </row>
    <row r="587" spans="1:14" x14ac:dyDescent="0.25">
      <c r="A587" s="6" t="s">
        <v>592</v>
      </c>
      <c r="B587" s="6" t="s">
        <v>5646</v>
      </c>
      <c r="C587" s="6" t="s">
        <v>5647</v>
      </c>
      <c r="D587" s="6">
        <v>200</v>
      </c>
      <c r="E587" s="5">
        <f t="shared" si="54"/>
        <v>200000</v>
      </c>
      <c r="F587" s="5">
        <f t="shared" si="55"/>
        <v>17000</v>
      </c>
      <c r="G587" s="5">
        <f t="shared" si="56"/>
        <v>46.575342465753423</v>
      </c>
      <c r="H587" s="5">
        <f t="shared" si="57"/>
        <v>8523.2876712328762</v>
      </c>
      <c r="I587" s="5">
        <f t="shared" si="58"/>
        <v>511.39726027397256</v>
      </c>
      <c r="J587" s="5">
        <f t="shared" si="59"/>
        <v>8011.8904109589039</v>
      </c>
      <c r="K587" s="1"/>
      <c r="L587" s="6" t="s">
        <v>8</v>
      </c>
      <c r="M587" s="6" t="s">
        <v>5653</v>
      </c>
      <c r="N587" s="6" t="s">
        <v>5654</v>
      </c>
    </row>
    <row r="588" spans="1:14" x14ac:dyDescent="0.25">
      <c r="A588" s="6" t="s">
        <v>593</v>
      </c>
      <c r="B588" s="6" t="s">
        <v>5655</v>
      </c>
      <c r="C588" s="6" t="s">
        <v>5656</v>
      </c>
      <c r="D588" s="6">
        <v>25</v>
      </c>
      <c r="E588" s="5">
        <f t="shared" si="54"/>
        <v>25000</v>
      </c>
      <c r="F588" s="5">
        <f t="shared" si="55"/>
        <v>2125</v>
      </c>
      <c r="G588" s="5">
        <f t="shared" si="56"/>
        <v>5.8219178082191778</v>
      </c>
      <c r="H588" s="5">
        <f t="shared" si="57"/>
        <v>1065.4109589041095</v>
      </c>
      <c r="I588" s="5">
        <f t="shared" si="58"/>
        <v>63.92465753424657</v>
      </c>
      <c r="J588" s="5">
        <f t="shared" si="59"/>
        <v>1001.486301369863</v>
      </c>
      <c r="K588" s="1"/>
      <c r="L588" s="6" t="s">
        <v>8</v>
      </c>
      <c r="M588" s="6" t="s">
        <v>5661</v>
      </c>
      <c r="N588" s="6" t="s">
        <v>5662</v>
      </c>
    </row>
    <row r="589" spans="1:14" x14ac:dyDescent="0.25">
      <c r="A589" s="6" t="s">
        <v>594</v>
      </c>
      <c r="B589" s="6" t="s">
        <v>5663</v>
      </c>
      <c r="C589" s="6" t="s">
        <v>5664</v>
      </c>
      <c r="D589" s="6">
        <v>25</v>
      </c>
      <c r="E589" s="5">
        <f t="shared" si="54"/>
        <v>25000</v>
      </c>
      <c r="F589" s="5">
        <f t="shared" si="55"/>
        <v>2125</v>
      </c>
      <c r="G589" s="5">
        <f t="shared" si="56"/>
        <v>5.8219178082191778</v>
      </c>
      <c r="H589" s="5">
        <f t="shared" si="57"/>
        <v>1065.4109589041095</v>
      </c>
      <c r="I589" s="5">
        <f t="shared" si="58"/>
        <v>63.92465753424657</v>
      </c>
      <c r="J589" s="5">
        <f t="shared" si="59"/>
        <v>1001.486301369863</v>
      </c>
      <c r="K589" s="1"/>
      <c r="L589" s="7"/>
      <c r="M589" s="6" t="s">
        <v>958</v>
      </c>
      <c r="N589" s="6" t="s">
        <v>958</v>
      </c>
    </row>
    <row r="590" spans="1:14" x14ac:dyDescent="0.25">
      <c r="A590" s="6" t="s">
        <v>595</v>
      </c>
      <c r="B590" s="6" t="s">
        <v>5670</v>
      </c>
      <c r="C590" s="6" t="s">
        <v>5671</v>
      </c>
      <c r="D590" s="6">
        <v>25</v>
      </c>
      <c r="E590" s="5">
        <f t="shared" si="54"/>
        <v>25000</v>
      </c>
      <c r="F590" s="5">
        <f t="shared" si="55"/>
        <v>2125</v>
      </c>
      <c r="G590" s="5">
        <f t="shared" si="56"/>
        <v>5.8219178082191778</v>
      </c>
      <c r="H590" s="5">
        <f t="shared" si="57"/>
        <v>1065.4109589041095</v>
      </c>
      <c r="I590" s="5">
        <f t="shared" si="58"/>
        <v>63.92465753424657</v>
      </c>
      <c r="J590" s="5">
        <f t="shared" si="59"/>
        <v>1001.486301369863</v>
      </c>
      <c r="K590" s="1"/>
      <c r="L590" s="6" t="s">
        <v>1</v>
      </c>
      <c r="M590" s="6" t="s">
        <v>5677</v>
      </c>
      <c r="N590" s="6" t="s">
        <v>5678</v>
      </c>
    </row>
    <row r="591" spans="1:14" x14ac:dyDescent="0.25">
      <c r="A591" s="6" t="s">
        <v>596</v>
      </c>
      <c r="B591" s="6" t="s">
        <v>5679</v>
      </c>
      <c r="C591" s="6" t="s">
        <v>5680</v>
      </c>
      <c r="D591" s="6">
        <v>25</v>
      </c>
      <c r="E591" s="5">
        <f t="shared" si="54"/>
        <v>25000</v>
      </c>
      <c r="F591" s="5">
        <f t="shared" si="55"/>
        <v>2125</v>
      </c>
      <c r="G591" s="5">
        <f t="shared" si="56"/>
        <v>5.8219178082191778</v>
      </c>
      <c r="H591" s="5">
        <f t="shared" si="57"/>
        <v>1065.4109589041095</v>
      </c>
      <c r="I591" s="5">
        <f t="shared" si="58"/>
        <v>63.92465753424657</v>
      </c>
      <c r="J591" s="5">
        <f t="shared" si="59"/>
        <v>1001.486301369863</v>
      </c>
      <c r="K591" s="1"/>
      <c r="L591" s="6" t="s">
        <v>3</v>
      </c>
      <c r="M591" s="6" t="s">
        <v>5685</v>
      </c>
      <c r="N591" s="6" t="s">
        <v>5686</v>
      </c>
    </row>
    <row r="592" spans="1:14" x14ac:dyDescent="0.25">
      <c r="A592" s="6" t="s">
        <v>597</v>
      </c>
      <c r="B592" s="6" t="s">
        <v>5687</v>
      </c>
      <c r="C592" s="6" t="s">
        <v>5688</v>
      </c>
      <c r="D592" s="6">
        <v>25</v>
      </c>
      <c r="E592" s="5">
        <f t="shared" si="54"/>
        <v>25000</v>
      </c>
      <c r="F592" s="5">
        <f t="shared" si="55"/>
        <v>2125</v>
      </c>
      <c r="G592" s="5">
        <f t="shared" si="56"/>
        <v>5.8219178082191778</v>
      </c>
      <c r="H592" s="5">
        <f t="shared" si="57"/>
        <v>1065.4109589041095</v>
      </c>
      <c r="I592" s="5">
        <f t="shared" si="58"/>
        <v>63.92465753424657</v>
      </c>
      <c r="J592" s="5">
        <f t="shared" si="59"/>
        <v>1001.486301369863</v>
      </c>
      <c r="K592" s="1"/>
      <c r="L592" s="6" t="s">
        <v>4</v>
      </c>
      <c r="M592" s="6" t="s">
        <v>5693</v>
      </c>
      <c r="N592" s="6" t="s">
        <v>5694</v>
      </c>
    </row>
    <row r="593" spans="1:14" x14ac:dyDescent="0.25">
      <c r="A593" s="6" t="s">
        <v>598</v>
      </c>
      <c r="B593" s="6" t="s">
        <v>5695</v>
      </c>
      <c r="C593" s="6" t="s">
        <v>5696</v>
      </c>
      <c r="D593" s="6">
        <v>30</v>
      </c>
      <c r="E593" s="5">
        <f t="shared" si="54"/>
        <v>30000</v>
      </c>
      <c r="F593" s="5">
        <f t="shared" si="55"/>
        <v>2550</v>
      </c>
      <c r="G593" s="5">
        <f t="shared" si="56"/>
        <v>6.9863013698630141</v>
      </c>
      <c r="H593" s="5">
        <f t="shared" si="57"/>
        <v>1278.4931506849316</v>
      </c>
      <c r="I593" s="5">
        <f t="shared" si="58"/>
        <v>76.709589041095896</v>
      </c>
      <c r="J593" s="5">
        <f t="shared" si="59"/>
        <v>1201.7835616438358</v>
      </c>
      <c r="K593" s="1"/>
      <c r="L593" s="6" t="s">
        <v>914</v>
      </c>
      <c r="M593" s="6" t="s">
        <v>913</v>
      </c>
      <c r="N593" s="6" t="s">
        <v>5702</v>
      </c>
    </row>
    <row r="594" spans="1:14" x14ac:dyDescent="0.25">
      <c r="A594" s="6" t="s">
        <v>599</v>
      </c>
      <c r="B594" s="6" t="s">
        <v>5703</v>
      </c>
      <c r="C594" s="6" t="s">
        <v>5704</v>
      </c>
      <c r="D594" s="6">
        <v>25</v>
      </c>
      <c r="E594" s="5">
        <f t="shared" si="54"/>
        <v>25000</v>
      </c>
      <c r="F594" s="5">
        <f t="shared" si="55"/>
        <v>2125</v>
      </c>
      <c r="G594" s="5">
        <f t="shared" si="56"/>
        <v>5.8219178082191778</v>
      </c>
      <c r="H594" s="5">
        <f t="shared" si="57"/>
        <v>1065.4109589041095</v>
      </c>
      <c r="I594" s="5">
        <f t="shared" si="58"/>
        <v>63.92465753424657</v>
      </c>
      <c r="J594" s="5">
        <f t="shared" si="59"/>
        <v>1001.486301369863</v>
      </c>
      <c r="K594" s="1"/>
      <c r="L594" s="6" t="s">
        <v>3089</v>
      </c>
      <c r="M594" s="6" t="s">
        <v>5709</v>
      </c>
      <c r="N594" s="6" t="s">
        <v>5710</v>
      </c>
    </row>
    <row r="595" spans="1:14" x14ac:dyDescent="0.25">
      <c r="A595" s="6" t="s">
        <v>600</v>
      </c>
      <c r="B595" s="6" t="s">
        <v>5711</v>
      </c>
      <c r="C595" s="6" t="s">
        <v>5712</v>
      </c>
      <c r="D595" s="6">
        <v>25</v>
      </c>
      <c r="E595" s="5">
        <f t="shared" si="54"/>
        <v>25000</v>
      </c>
      <c r="F595" s="5">
        <f t="shared" si="55"/>
        <v>2125</v>
      </c>
      <c r="G595" s="5">
        <f t="shared" si="56"/>
        <v>5.8219178082191778</v>
      </c>
      <c r="H595" s="5">
        <f t="shared" si="57"/>
        <v>1065.4109589041095</v>
      </c>
      <c r="I595" s="5">
        <f t="shared" si="58"/>
        <v>63.92465753424657</v>
      </c>
      <c r="J595" s="5">
        <f t="shared" si="59"/>
        <v>1001.486301369863</v>
      </c>
      <c r="K595" s="1"/>
      <c r="L595" s="6" t="s">
        <v>1089</v>
      </c>
      <c r="M595" s="6" t="s">
        <v>1090</v>
      </c>
      <c r="N595" s="6" t="s">
        <v>5716</v>
      </c>
    </row>
    <row r="596" spans="1:14" x14ac:dyDescent="0.25">
      <c r="A596" s="6" t="s">
        <v>601</v>
      </c>
      <c r="B596" s="6" t="s">
        <v>5717</v>
      </c>
      <c r="C596" s="6" t="s">
        <v>5718</v>
      </c>
      <c r="D596" s="6">
        <v>25</v>
      </c>
      <c r="E596" s="5">
        <f t="shared" si="54"/>
        <v>25000</v>
      </c>
      <c r="F596" s="5">
        <f t="shared" si="55"/>
        <v>2125</v>
      </c>
      <c r="G596" s="5">
        <f t="shared" si="56"/>
        <v>5.8219178082191778</v>
      </c>
      <c r="H596" s="5">
        <f t="shared" si="57"/>
        <v>1065.4109589041095</v>
      </c>
      <c r="I596" s="5">
        <f t="shared" si="58"/>
        <v>63.92465753424657</v>
      </c>
      <c r="J596" s="5">
        <f t="shared" si="59"/>
        <v>1001.486301369863</v>
      </c>
      <c r="K596" s="1"/>
      <c r="L596" s="6" t="s">
        <v>971</v>
      </c>
      <c r="M596" s="6" t="s">
        <v>972</v>
      </c>
      <c r="N596" s="6" t="s">
        <v>5724</v>
      </c>
    </row>
    <row r="597" spans="1:14" x14ac:dyDescent="0.25">
      <c r="A597" s="6" t="s">
        <v>602</v>
      </c>
      <c r="B597" s="6" t="s">
        <v>5725</v>
      </c>
      <c r="C597" s="6" t="s">
        <v>5726</v>
      </c>
      <c r="D597" s="6">
        <v>25</v>
      </c>
      <c r="E597" s="5">
        <f t="shared" si="54"/>
        <v>25000</v>
      </c>
      <c r="F597" s="5">
        <f t="shared" si="55"/>
        <v>2125</v>
      </c>
      <c r="G597" s="5">
        <f t="shared" si="56"/>
        <v>5.8219178082191778</v>
      </c>
      <c r="H597" s="5">
        <f t="shared" si="57"/>
        <v>1065.4109589041095</v>
      </c>
      <c r="I597" s="5">
        <f t="shared" si="58"/>
        <v>63.92465753424657</v>
      </c>
      <c r="J597" s="5">
        <f t="shared" si="59"/>
        <v>1001.486301369863</v>
      </c>
      <c r="K597" s="1"/>
      <c r="L597" s="6" t="s">
        <v>1218</v>
      </c>
      <c r="M597" s="6" t="s">
        <v>5732</v>
      </c>
      <c r="N597" s="6" t="s">
        <v>5733</v>
      </c>
    </row>
    <row r="598" spans="1:14" x14ac:dyDescent="0.25">
      <c r="A598" s="6" t="s">
        <v>603</v>
      </c>
      <c r="B598" s="6" t="s">
        <v>5734</v>
      </c>
      <c r="C598" s="6" t="s">
        <v>5735</v>
      </c>
      <c r="D598" s="6">
        <v>50</v>
      </c>
      <c r="E598" s="5">
        <f t="shared" si="54"/>
        <v>50000</v>
      </c>
      <c r="F598" s="5">
        <f t="shared" si="55"/>
        <v>4250</v>
      </c>
      <c r="G598" s="5">
        <f t="shared" si="56"/>
        <v>11.643835616438356</v>
      </c>
      <c r="H598" s="5">
        <f t="shared" si="57"/>
        <v>2130.821917808219</v>
      </c>
      <c r="I598" s="5">
        <f t="shared" si="58"/>
        <v>127.84931506849314</v>
      </c>
      <c r="J598" s="5">
        <f t="shared" si="59"/>
        <v>2002.972602739726</v>
      </c>
      <c r="K598" s="1"/>
      <c r="L598" s="6" t="s">
        <v>8</v>
      </c>
      <c r="M598" s="6" t="s">
        <v>3677</v>
      </c>
      <c r="N598" s="6" t="s">
        <v>5740</v>
      </c>
    </row>
    <row r="599" spans="1:14" x14ac:dyDescent="0.25">
      <c r="A599" s="6" t="s">
        <v>604</v>
      </c>
      <c r="B599" s="6" t="s">
        <v>5741</v>
      </c>
      <c r="C599" s="6" t="s">
        <v>5742</v>
      </c>
      <c r="D599" s="6">
        <v>100</v>
      </c>
      <c r="E599" s="5">
        <f t="shared" si="54"/>
        <v>100000</v>
      </c>
      <c r="F599" s="5">
        <f t="shared" si="55"/>
        <v>8500</v>
      </c>
      <c r="G599" s="5">
        <f t="shared" si="56"/>
        <v>23.287671232876711</v>
      </c>
      <c r="H599" s="5">
        <f t="shared" si="57"/>
        <v>4261.6438356164381</v>
      </c>
      <c r="I599" s="5">
        <f t="shared" si="58"/>
        <v>255.69863013698628</v>
      </c>
      <c r="J599" s="5">
        <f t="shared" si="59"/>
        <v>4005.9452054794519</v>
      </c>
      <c r="K599" s="1"/>
      <c r="L599" s="6" t="s">
        <v>915</v>
      </c>
      <c r="M599" s="6" t="s">
        <v>4935</v>
      </c>
      <c r="N599" s="6" t="s">
        <v>5748</v>
      </c>
    </row>
    <row r="600" spans="1:14" x14ac:dyDescent="0.25">
      <c r="A600" s="6" t="s">
        <v>605</v>
      </c>
      <c r="B600" s="6" t="s">
        <v>5749</v>
      </c>
      <c r="C600" s="6" t="s">
        <v>5750</v>
      </c>
      <c r="D600" s="6">
        <v>25</v>
      </c>
      <c r="E600" s="5">
        <f t="shared" si="54"/>
        <v>25000</v>
      </c>
      <c r="F600" s="5">
        <f t="shared" si="55"/>
        <v>2125</v>
      </c>
      <c r="G600" s="5">
        <f t="shared" si="56"/>
        <v>5.8219178082191778</v>
      </c>
      <c r="H600" s="5">
        <f t="shared" si="57"/>
        <v>1065.4109589041095</v>
      </c>
      <c r="I600" s="5">
        <f t="shared" si="58"/>
        <v>63.92465753424657</v>
      </c>
      <c r="J600" s="5">
        <f t="shared" si="59"/>
        <v>1001.486301369863</v>
      </c>
      <c r="K600" s="1"/>
      <c r="L600" s="6" t="s">
        <v>910</v>
      </c>
      <c r="M600" s="6" t="s">
        <v>4220</v>
      </c>
      <c r="N600" s="6" t="s">
        <v>5756</v>
      </c>
    </row>
    <row r="601" spans="1:14" x14ac:dyDescent="0.25">
      <c r="A601" s="6" t="s">
        <v>606</v>
      </c>
      <c r="B601" s="6" t="s">
        <v>5757</v>
      </c>
      <c r="C601" s="6" t="s">
        <v>5758</v>
      </c>
      <c r="D601" s="6">
        <v>100</v>
      </c>
      <c r="E601" s="5">
        <f t="shared" si="54"/>
        <v>100000</v>
      </c>
      <c r="F601" s="5">
        <f t="shared" si="55"/>
        <v>8500</v>
      </c>
      <c r="G601" s="5">
        <f t="shared" si="56"/>
        <v>23.287671232876711</v>
      </c>
      <c r="H601" s="5">
        <f t="shared" si="57"/>
        <v>4261.6438356164381</v>
      </c>
      <c r="I601" s="5">
        <f t="shared" si="58"/>
        <v>255.69863013698628</v>
      </c>
      <c r="J601" s="5">
        <f t="shared" si="59"/>
        <v>4005.9452054794519</v>
      </c>
      <c r="K601" s="1"/>
      <c r="L601" s="6" t="s">
        <v>8</v>
      </c>
      <c r="M601" s="6" t="s">
        <v>1941</v>
      </c>
      <c r="N601" s="6" t="s">
        <v>5764</v>
      </c>
    </row>
    <row r="602" spans="1:14" x14ac:dyDescent="0.25">
      <c r="A602" s="6" t="s">
        <v>607</v>
      </c>
      <c r="B602" s="6" t="s">
        <v>5765</v>
      </c>
      <c r="C602" s="6" t="s">
        <v>5766</v>
      </c>
      <c r="D602" s="6">
        <v>25</v>
      </c>
      <c r="E602" s="5">
        <f t="shared" si="54"/>
        <v>25000</v>
      </c>
      <c r="F602" s="5">
        <f t="shared" si="55"/>
        <v>2125</v>
      </c>
      <c r="G602" s="5">
        <f t="shared" si="56"/>
        <v>5.8219178082191778</v>
      </c>
      <c r="H602" s="5">
        <f t="shared" si="57"/>
        <v>1065.4109589041095</v>
      </c>
      <c r="I602" s="5">
        <f t="shared" si="58"/>
        <v>63.92465753424657</v>
      </c>
      <c r="J602" s="5">
        <f t="shared" si="59"/>
        <v>1001.486301369863</v>
      </c>
      <c r="K602" s="1"/>
      <c r="L602" s="6" t="s">
        <v>915</v>
      </c>
      <c r="M602" s="6" t="s">
        <v>4078</v>
      </c>
      <c r="N602" s="6" t="s">
        <v>5771</v>
      </c>
    </row>
    <row r="603" spans="1:14" x14ac:dyDescent="0.25">
      <c r="A603" s="6" t="s">
        <v>608</v>
      </c>
      <c r="B603" s="6" t="s">
        <v>5772</v>
      </c>
      <c r="C603" s="6" t="s">
        <v>5773</v>
      </c>
      <c r="D603" s="6">
        <v>30</v>
      </c>
      <c r="E603" s="5">
        <f t="shared" si="54"/>
        <v>30000</v>
      </c>
      <c r="F603" s="5">
        <f t="shared" si="55"/>
        <v>2550</v>
      </c>
      <c r="G603" s="5">
        <f t="shared" si="56"/>
        <v>6.9863013698630141</v>
      </c>
      <c r="H603" s="5">
        <f t="shared" si="57"/>
        <v>1278.4931506849316</v>
      </c>
      <c r="I603" s="5">
        <f t="shared" si="58"/>
        <v>76.709589041095896</v>
      </c>
      <c r="J603" s="5">
        <f t="shared" si="59"/>
        <v>1201.7835616438358</v>
      </c>
      <c r="K603" s="1"/>
      <c r="L603" s="6" t="s">
        <v>915</v>
      </c>
      <c r="M603" s="6" t="s">
        <v>926</v>
      </c>
      <c r="N603" s="6" t="s">
        <v>5779</v>
      </c>
    </row>
    <row r="604" spans="1:14" x14ac:dyDescent="0.25">
      <c r="A604" s="6" t="s">
        <v>609</v>
      </c>
      <c r="B604" s="6" t="s">
        <v>5780</v>
      </c>
      <c r="C604" s="6" t="s">
        <v>5781</v>
      </c>
      <c r="D604" s="6">
        <v>25</v>
      </c>
      <c r="E604" s="5">
        <f t="shared" si="54"/>
        <v>25000</v>
      </c>
      <c r="F604" s="5">
        <f t="shared" si="55"/>
        <v>2125</v>
      </c>
      <c r="G604" s="5">
        <f t="shared" si="56"/>
        <v>5.8219178082191778</v>
      </c>
      <c r="H604" s="5">
        <f t="shared" si="57"/>
        <v>1065.4109589041095</v>
      </c>
      <c r="I604" s="5">
        <f t="shared" si="58"/>
        <v>63.92465753424657</v>
      </c>
      <c r="J604" s="5">
        <f t="shared" si="59"/>
        <v>1001.486301369863</v>
      </c>
      <c r="K604" s="1"/>
      <c r="L604" s="6" t="s">
        <v>3</v>
      </c>
      <c r="M604" s="6" t="s">
        <v>5786</v>
      </c>
      <c r="N604" s="6" t="s">
        <v>5787</v>
      </c>
    </row>
    <row r="605" spans="1:14" x14ac:dyDescent="0.25">
      <c r="A605" s="6" t="s">
        <v>610</v>
      </c>
      <c r="B605" s="6" t="s">
        <v>5788</v>
      </c>
      <c r="C605" s="6" t="s">
        <v>5789</v>
      </c>
      <c r="D605" s="6">
        <v>15</v>
      </c>
      <c r="E605" s="5">
        <f t="shared" si="54"/>
        <v>15000</v>
      </c>
      <c r="F605" s="5">
        <f t="shared" si="55"/>
        <v>1275</v>
      </c>
      <c r="G605" s="5">
        <f t="shared" si="56"/>
        <v>3.493150684931507</v>
      </c>
      <c r="H605" s="5">
        <f t="shared" si="57"/>
        <v>639.2465753424658</v>
      </c>
      <c r="I605" s="5">
        <f t="shared" si="58"/>
        <v>38.354794520547948</v>
      </c>
      <c r="J605" s="5">
        <f t="shared" si="59"/>
        <v>600.89178082191791</v>
      </c>
      <c r="K605" s="1"/>
      <c r="L605" s="6" t="s">
        <v>1</v>
      </c>
      <c r="M605" s="6" t="s">
        <v>5794</v>
      </c>
      <c r="N605" s="6" t="s">
        <v>5795</v>
      </c>
    </row>
    <row r="606" spans="1:14" x14ac:dyDescent="0.25">
      <c r="A606" s="6" t="s">
        <v>611</v>
      </c>
      <c r="B606" s="6" t="s">
        <v>5796</v>
      </c>
      <c r="C606" s="6" t="s">
        <v>5797</v>
      </c>
      <c r="D606" s="6">
        <v>500</v>
      </c>
      <c r="E606" s="5">
        <f t="shared" si="54"/>
        <v>500000</v>
      </c>
      <c r="F606" s="5">
        <f t="shared" si="55"/>
        <v>42500</v>
      </c>
      <c r="G606" s="5">
        <f t="shared" si="56"/>
        <v>116.43835616438356</v>
      </c>
      <c r="H606" s="5">
        <f t="shared" si="57"/>
        <v>21308.219178082192</v>
      </c>
      <c r="I606" s="5">
        <f t="shared" si="58"/>
        <v>1278.4931506849314</v>
      </c>
      <c r="J606" s="5">
        <f t="shared" si="59"/>
        <v>20029.726027397261</v>
      </c>
      <c r="K606" s="1"/>
      <c r="L606" s="6" t="s">
        <v>1478</v>
      </c>
      <c r="M606" s="6" t="s">
        <v>3404</v>
      </c>
      <c r="N606" s="6" t="s">
        <v>5801</v>
      </c>
    </row>
    <row r="607" spans="1:14" x14ac:dyDescent="0.25">
      <c r="A607" s="6" t="s">
        <v>5</v>
      </c>
      <c r="B607" s="6" t="s">
        <v>5802</v>
      </c>
      <c r="C607" s="6" t="s">
        <v>5803</v>
      </c>
      <c r="D607" s="6">
        <v>100</v>
      </c>
      <c r="E607" s="5">
        <f t="shared" si="54"/>
        <v>100000</v>
      </c>
      <c r="F607" s="5">
        <f t="shared" si="55"/>
        <v>8500</v>
      </c>
      <c r="G607" s="5">
        <f t="shared" si="56"/>
        <v>23.287671232876711</v>
      </c>
      <c r="H607" s="5">
        <f t="shared" si="57"/>
        <v>4261.6438356164381</v>
      </c>
      <c r="I607" s="5">
        <f t="shared" si="58"/>
        <v>255.69863013698628</v>
      </c>
      <c r="J607" s="5">
        <f t="shared" si="59"/>
        <v>4005.9452054794519</v>
      </c>
      <c r="K607" s="1"/>
      <c r="L607" s="6" t="s">
        <v>1218</v>
      </c>
      <c r="M607" s="6" t="s">
        <v>5808</v>
      </c>
      <c r="N607" s="6" t="s">
        <v>5809</v>
      </c>
    </row>
    <row r="608" spans="1:14" x14ac:dyDescent="0.25">
      <c r="A608" s="6" t="s">
        <v>612</v>
      </c>
      <c r="B608" s="6" t="s">
        <v>5810</v>
      </c>
      <c r="C608" s="6" t="s">
        <v>5811</v>
      </c>
      <c r="D608" s="6">
        <v>500</v>
      </c>
      <c r="E608" s="5">
        <f t="shared" si="54"/>
        <v>500000</v>
      </c>
      <c r="F608" s="5">
        <f t="shared" si="55"/>
        <v>42500</v>
      </c>
      <c r="G608" s="5">
        <f t="shared" si="56"/>
        <v>116.43835616438356</v>
      </c>
      <c r="H608" s="5">
        <f t="shared" si="57"/>
        <v>21308.219178082192</v>
      </c>
      <c r="I608" s="5">
        <f t="shared" si="58"/>
        <v>1278.4931506849314</v>
      </c>
      <c r="J608" s="5">
        <f t="shared" si="59"/>
        <v>20029.726027397261</v>
      </c>
      <c r="K608" s="1"/>
      <c r="L608" s="6" t="s">
        <v>1478</v>
      </c>
      <c r="M608" s="6" t="s">
        <v>3404</v>
      </c>
      <c r="N608" s="6" t="s">
        <v>5816</v>
      </c>
    </row>
    <row r="609" spans="1:14" x14ac:dyDescent="0.25">
      <c r="A609" s="6" t="s">
        <v>613</v>
      </c>
      <c r="B609" s="6" t="s">
        <v>5817</v>
      </c>
      <c r="C609" s="6" t="s">
        <v>5818</v>
      </c>
      <c r="D609" s="6">
        <v>100</v>
      </c>
      <c r="E609" s="5">
        <f t="shared" si="54"/>
        <v>100000</v>
      </c>
      <c r="F609" s="5">
        <f t="shared" si="55"/>
        <v>8500</v>
      </c>
      <c r="G609" s="5">
        <f t="shared" si="56"/>
        <v>23.287671232876711</v>
      </c>
      <c r="H609" s="5">
        <f t="shared" si="57"/>
        <v>4261.6438356164381</v>
      </c>
      <c r="I609" s="5">
        <f t="shared" si="58"/>
        <v>255.69863013698628</v>
      </c>
      <c r="J609" s="5">
        <f t="shared" si="59"/>
        <v>4005.9452054794519</v>
      </c>
      <c r="K609" s="1"/>
      <c r="L609" s="6" t="s">
        <v>1637</v>
      </c>
      <c r="M609" s="6" t="s">
        <v>2316</v>
      </c>
      <c r="N609" s="6" t="s">
        <v>5824</v>
      </c>
    </row>
    <row r="610" spans="1:14" x14ac:dyDescent="0.25">
      <c r="A610" s="6" t="s">
        <v>614</v>
      </c>
      <c r="B610" s="6" t="s">
        <v>5825</v>
      </c>
      <c r="C610" s="6" t="s">
        <v>5826</v>
      </c>
      <c r="D610" s="6">
        <v>50</v>
      </c>
      <c r="E610" s="5">
        <f t="shared" si="54"/>
        <v>50000</v>
      </c>
      <c r="F610" s="5">
        <f t="shared" si="55"/>
        <v>4250</v>
      </c>
      <c r="G610" s="5">
        <f t="shared" si="56"/>
        <v>11.643835616438356</v>
      </c>
      <c r="H610" s="5">
        <f t="shared" si="57"/>
        <v>2130.821917808219</v>
      </c>
      <c r="I610" s="5">
        <f t="shared" si="58"/>
        <v>127.84931506849314</v>
      </c>
      <c r="J610" s="5">
        <f t="shared" si="59"/>
        <v>2002.972602739726</v>
      </c>
      <c r="K610" s="1"/>
      <c r="L610" s="6" t="s">
        <v>914</v>
      </c>
      <c r="M610" s="6" t="s">
        <v>5832</v>
      </c>
      <c r="N610" s="6" t="s">
        <v>5833</v>
      </c>
    </row>
    <row r="611" spans="1:14" x14ac:dyDescent="0.25">
      <c r="A611" s="6" t="s">
        <v>615</v>
      </c>
      <c r="B611" s="6" t="s">
        <v>5834</v>
      </c>
      <c r="C611" s="6" t="s">
        <v>5835</v>
      </c>
      <c r="D611" s="6">
        <v>25</v>
      </c>
      <c r="E611" s="5">
        <f t="shared" si="54"/>
        <v>25000</v>
      </c>
      <c r="F611" s="5">
        <f t="shared" si="55"/>
        <v>2125</v>
      </c>
      <c r="G611" s="5">
        <f t="shared" si="56"/>
        <v>5.8219178082191778</v>
      </c>
      <c r="H611" s="5">
        <f t="shared" si="57"/>
        <v>1065.4109589041095</v>
      </c>
      <c r="I611" s="5">
        <f t="shared" si="58"/>
        <v>63.92465753424657</v>
      </c>
      <c r="J611" s="5">
        <f t="shared" si="59"/>
        <v>1001.486301369863</v>
      </c>
      <c r="K611" s="1"/>
      <c r="L611" s="6" t="s">
        <v>2</v>
      </c>
      <c r="M611" s="6" t="s">
        <v>5840</v>
      </c>
      <c r="N611" s="6" t="s">
        <v>5841</v>
      </c>
    </row>
    <row r="612" spans="1:14" x14ac:dyDescent="0.25">
      <c r="A612" s="6" t="s">
        <v>616</v>
      </c>
      <c r="B612" s="6" t="s">
        <v>5842</v>
      </c>
      <c r="C612" s="6" t="s">
        <v>5843</v>
      </c>
      <c r="D612" s="6">
        <v>30</v>
      </c>
      <c r="E612" s="5">
        <f t="shared" si="54"/>
        <v>30000</v>
      </c>
      <c r="F612" s="5">
        <f t="shared" si="55"/>
        <v>2550</v>
      </c>
      <c r="G612" s="5">
        <f t="shared" si="56"/>
        <v>6.9863013698630141</v>
      </c>
      <c r="H612" s="5">
        <f t="shared" si="57"/>
        <v>1278.4931506849316</v>
      </c>
      <c r="I612" s="5">
        <f t="shared" si="58"/>
        <v>76.709589041095896</v>
      </c>
      <c r="J612" s="5">
        <f t="shared" si="59"/>
        <v>1201.7835616438358</v>
      </c>
      <c r="K612" s="1"/>
      <c r="L612" s="6" t="s">
        <v>909</v>
      </c>
      <c r="M612" s="6" t="s">
        <v>1237</v>
      </c>
      <c r="N612" s="6" t="s">
        <v>5848</v>
      </c>
    </row>
    <row r="613" spans="1:14" x14ac:dyDescent="0.25">
      <c r="A613" s="6" t="s">
        <v>617</v>
      </c>
      <c r="B613" s="6" t="s">
        <v>5849</v>
      </c>
      <c r="C613" s="6" t="s">
        <v>5850</v>
      </c>
      <c r="D613" s="6">
        <v>30</v>
      </c>
      <c r="E613" s="5">
        <f t="shared" si="54"/>
        <v>30000</v>
      </c>
      <c r="F613" s="5">
        <f t="shared" si="55"/>
        <v>2550</v>
      </c>
      <c r="G613" s="5">
        <f t="shared" si="56"/>
        <v>6.9863013698630141</v>
      </c>
      <c r="H613" s="5">
        <f t="shared" si="57"/>
        <v>1278.4931506849316</v>
      </c>
      <c r="I613" s="5">
        <f t="shared" si="58"/>
        <v>76.709589041095896</v>
      </c>
      <c r="J613" s="5">
        <f t="shared" si="59"/>
        <v>1201.7835616438358</v>
      </c>
      <c r="K613" s="1"/>
      <c r="L613" s="6" t="s">
        <v>1548</v>
      </c>
      <c r="M613" s="6" t="s">
        <v>1549</v>
      </c>
      <c r="N613" s="6" t="s">
        <v>5855</v>
      </c>
    </row>
    <row r="614" spans="1:14" x14ac:dyDescent="0.25">
      <c r="A614" s="6" t="s">
        <v>618</v>
      </c>
      <c r="B614" s="6" t="s">
        <v>5856</v>
      </c>
      <c r="C614" s="6" t="s">
        <v>5857</v>
      </c>
      <c r="D614" s="6">
        <v>25</v>
      </c>
      <c r="E614" s="5">
        <f t="shared" si="54"/>
        <v>25000</v>
      </c>
      <c r="F614" s="5">
        <f t="shared" si="55"/>
        <v>2125</v>
      </c>
      <c r="G614" s="5">
        <f t="shared" si="56"/>
        <v>5.8219178082191778</v>
      </c>
      <c r="H614" s="5">
        <f t="shared" si="57"/>
        <v>1065.4109589041095</v>
      </c>
      <c r="I614" s="5">
        <f t="shared" si="58"/>
        <v>63.92465753424657</v>
      </c>
      <c r="J614" s="5">
        <f t="shared" si="59"/>
        <v>1001.486301369863</v>
      </c>
      <c r="K614" s="1"/>
      <c r="L614" s="6" t="s">
        <v>8</v>
      </c>
      <c r="M614" s="6" t="s">
        <v>5863</v>
      </c>
      <c r="N614" s="6" t="s">
        <v>5864</v>
      </c>
    </row>
    <row r="615" spans="1:14" x14ac:dyDescent="0.25">
      <c r="A615" s="6" t="s">
        <v>619</v>
      </c>
      <c r="B615" s="6" t="s">
        <v>5865</v>
      </c>
      <c r="C615" s="6" t="s">
        <v>5866</v>
      </c>
      <c r="D615" s="6">
        <v>25</v>
      </c>
      <c r="E615" s="5">
        <f t="shared" si="54"/>
        <v>25000</v>
      </c>
      <c r="F615" s="5">
        <f t="shared" si="55"/>
        <v>2125</v>
      </c>
      <c r="G615" s="5">
        <f t="shared" si="56"/>
        <v>5.8219178082191778</v>
      </c>
      <c r="H615" s="5">
        <f t="shared" si="57"/>
        <v>1065.4109589041095</v>
      </c>
      <c r="I615" s="5">
        <f t="shared" si="58"/>
        <v>63.92465753424657</v>
      </c>
      <c r="J615" s="5">
        <f t="shared" si="59"/>
        <v>1001.486301369863</v>
      </c>
      <c r="K615" s="1"/>
      <c r="L615" s="6" t="s">
        <v>1871</v>
      </c>
      <c r="M615" s="6" t="s">
        <v>5870</v>
      </c>
      <c r="N615" s="6" t="s">
        <v>5871</v>
      </c>
    </row>
    <row r="616" spans="1:14" x14ac:dyDescent="0.25">
      <c r="A616" s="6" t="s">
        <v>620</v>
      </c>
      <c r="B616" s="6" t="s">
        <v>5872</v>
      </c>
      <c r="C616" s="6" t="s">
        <v>5873</v>
      </c>
      <c r="D616" s="6">
        <v>25</v>
      </c>
      <c r="E616" s="5">
        <f t="shared" si="54"/>
        <v>25000</v>
      </c>
      <c r="F616" s="5">
        <f t="shared" si="55"/>
        <v>2125</v>
      </c>
      <c r="G616" s="5">
        <f t="shared" si="56"/>
        <v>5.8219178082191778</v>
      </c>
      <c r="H616" s="5">
        <f t="shared" si="57"/>
        <v>1065.4109589041095</v>
      </c>
      <c r="I616" s="5">
        <f t="shared" si="58"/>
        <v>63.92465753424657</v>
      </c>
      <c r="J616" s="5">
        <f t="shared" si="59"/>
        <v>1001.486301369863</v>
      </c>
      <c r="K616" s="1"/>
      <c r="L616" s="6" t="s">
        <v>910</v>
      </c>
      <c r="M616" s="6" t="s">
        <v>5879</v>
      </c>
      <c r="N616" s="6" t="s">
        <v>5880</v>
      </c>
    </row>
    <row r="617" spans="1:14" x14ac:dyDescent="0.25">
      <c r="A617" s="6" t="s">
        <v>621</v>
      </c>
      <c r="B617" s="6" t="s">
        <v>5881</v>
      </c>
      <c r="C617" s="6" t="s">
        <v>5882</v>
      </c>
      <c r="D617" s="6">
        <v>500</v>
      </c>
      <c r="E617" s="5">
        <f t="shared" si="54"/>
        <v>500000</v>
      </c>
      <c r="F617" s="5">
        <f t="shared" si="55"/>
        <v>42500</v>
      </c>
      <c r="G617" s="5">
        <f t="shared" si="56"/>
        <v>116.43835616438356</v>
      </c>
      <c r="H617" s="5">
        <f t="shared" si="57"/>
        <v>21308.219178082192</v>
      </c>
      <c r="I617" s="5">
        <f t="shared" si="58"/>
        <v>1278.4931506849314</v>
      </c>
      <c r="J617" s="5">
        <f t="shared" si="59"/>
        <v>20029.726027397261</v>
      </c>
      <c r="K617" s="1"/>
      <c r="L617" s="6" t="s">
        <v>4</v>
      </c>
      <c r="M617" s="6" t="s">
        <v>924</v>
      </c>
      <c r="N617" s="6" t="s">
        <v>5887</v>
      </c>
    </row>
    <row r="618" spans="1:14" x14ac:dyDescent="0.25">
      <c r="A618" s="6" t="s">
        <v>622</v>
      </c>
      <c r="B618" s="6" t="s">
        <v>5888</v>
      </c>
      <c r="C618" s="6" t="s">
        <v>5889</v>
      </c>
      <c r="D618" s="6">
        <v>660</v>
      </c>
      <c r="E618" s="5">
        <f t="shared" si="54"/>
        <v>660000</v>
      </c>
      <c r="F618" s="5">
        <f t="shared" si="55"/>
        <v>56100.000000000007</v>
      </c>
      <c r="G618" s="5">
        <f t="shared" si="56"/>
        <v>153.69863013698631</v>
      </c>
      <c r="H618" s="5">
        <f t="shared" si="57"/>
        <v>28126.849315068495</v>
      </c>
      <c r="I618" s="5">
        <f t="shared" si="58"/>
        <v>1687.6109589041096</v>
      </c>
      <c r="J618" s="5">
        <f t="shared" si="59"/>
        <v>26439.238356164387</v>
      </c>
      <c r="K618" s="1"/>
      <c r="L618" s="6" t="s">
        <v>1478</v>
      </c>
      <c r="M618" s="6" t="s">
        <v>3404</v>
      </c>
      <c r="N618" s="6" t="s">
        <v>5895</v>
      </c>
    </row>
    <row r="619" spans="1:14" x14ac:dyDescent="0.25">
      <c r="A619" s="6" t="s">
        <v>623</v>
      </c>
      <c r="B619" s="6" t="s">
        <v>5896</v>
      </c>
      <c r="C619" s="6" t="s">
        <v>5897</v>
      </c>
      <c r="D619" s="6">
        <v>25</v>
      </c>
      <c r="E619" s="5">
        <f t="shared" si="54"/>
        <v>25000</v>
      </c>
      <c r="F619" s="5">
        <f t="shared" si="55"/>
        <v>2125</v>
      </c>
      <c r="G619" s="5">
        <f t="shared" si="56"/>
        <v>5.8219178082191778</v>
      </c>
      <c r="H619" s="5">
        <f t="shared" si="57"/>
        <v>1065.4109589041095</v>
      </c>
      <c r="I619" s="5">
        <f t="shared" si="58"/>
        <v>63.92465753424657</v>
      </c>
      <c r="J619" s="5">
        <f t="shared" si="59"/>
        <v>1001.486301369863</v>
      </c>
      <c r="K619" s="1"/>
      <c r="L619" s="6" t="s">
        <v>4</v>
      </c>
      <c r="M619" s="6" t="s">
        <v>924</v>
      </c>
      <c r="N619" s="6" t="s">
        <v>5902</v>
      </c>
    </row>
    <row r="620" spans="1:14" x14ac:dyDescent="0.25">
      <c r="A620" s="6" t="s">
        <v>624</v>
      </c>
      <c r="B620" s="6" t="s">
        <v>5903</v>
      </c>
      <c r="C620" s="6" t="s">
        <v>5904</v>
      </c>
      <c r="D620" s="6">
        <v>25</v>
      </c>
      <c r="E620" s="5">
        <f t="shared" si="54"/>
        <v>25000</v>
      </c>
      <c r="F620" s="5">
        <f t="shared" si="55"/>
        <v>2125</v>
      </c>
      <c r="G620" s="5">
        <f t="shared" si="56"/>
        <v>5.8219178082191778</v>
      </c>
      <c r="H620" s="5">
        <f t="shared" si="57"/>
        <v>1065.4109589041095</v>
      </c>
      <c r="I620" s="5">
        <f t="shared" si="58"/>
        <v>63.92465753424657</v>
      </c>
      <c r="J620" s="5">
        <f t="shared" si="59"/>
        <v>1001.486301369863</v>
      </c>
      <c r="K620" s="1"/>
      <c r="L620" s="6" t="s">
        <v>910</v>
      </c>
      <c r="M620" s="6" t="s">
        <v>4220</v>
      </c>
      <c r="N620" s="6" t="s">
        <v>5908</v>
      </c>
    </row>
    <row r="621" spans="1:14" x14ac:dyDescent="0.25">
      <c r="A621" s="6" t="s">
        <v>625</v>
      </c>
      <c r="B621" s="6" t="s">
        <v>5909</v>
      </c>
      <c r="C621" s="6" t="s">
        <v>5910</v>
      </c>
      <c r="D621" s="6">
        <v>25</v>
      </c>
      <c r="E621" s="5">
        <f t="shared" si="54"/>
        <v>25000</v>
      </c>
      <c r="F621" s="5">
        <f t="shared" si="55"/>
        <v>2125</v>
      </c>
      <c r="G621" s="5">
        <f t="shared" si="56"/>
        <v>5.8219178082191778</v>
      </c>
      <c r="H621" s="5">
        <f t="shared" si="57"/>
        <v>1065.4109589041095</v>
      </c>
      <c r="I621" s="5">
        <f t="shared" si="58"/>
        <v>63.92465753424657</v>
      </c>
      <c r="J621" s="5">
        <f t="shared" si="59"/>
        <v>1001.486301369863</v>
      </c>
      <c r="K621" s="1"/>
      <c r="L621" s="6" t="s">
        <v>1478</v>
      </c>
      <c r="M621" s="6" t="s">
        <v>1479</v>
      </c>
      <c r="N621" s="6" t="s">
        <v>5915</v>
      </c>
    </row>
    <row r="622" spans="1:14" x14ac:dyDescent="0.25">
      <c r="A622" s="6" t="s">
        <v>626</v>
      </c>
      <c r="B622" s="6" t="s">
        <v>5916</v>
      </c>
      <c r="C622" s="6" t="s">
        <v>5917</v>
      </c>
      <c r="D622" s="6">
        <v>25</v>
      </c>
      <c r="E622" s="5">
        <f t="shared" si="54"/>
        <v>25000</v>
      </c>
      <c r="F622" s="5">
        <f t="shared" si="55"/>
        <v>2125</v>
      </c>
      <c r="G622" s="5">
        <f t="shared" si="56"/>
        <v>5.8219178082191778</v>
      </c>
      <c r="H622" s="5">
        <f t="shared" si="57"/>
        <v>1065.4109589041095</v>
      </c>
      <c r="I622" s="5">
        <f t="shared" si="58"/>
        <v>63.92465753424657</v>
      </c>
      <c r="J622" s="5">
        <f t="shared" si="59"/>
        <v>1001.486301369863</v>
      </c>
      <c r="K622" s="1"/>
      <c r="L622" s="6" t="s">
        <v>1</v>
      </c>
      <c r="M622" s="6" t="s">
        <v>5923</v>
      </c>
      <c r="N622" s="6" t="s">
        <v>5924</v>
      </c>
    </row>
    <row r="623" spans="1:14" x14ac:dyDescent="0.25">
      <c r="A623" s="6" t="s">
        <v>627</v>
      </c>
      <c r="B623" s="6" t="s">
        <v>5925</v>
      </c>
      <c r="C623" s="6" t="s">
        <v>5926</v>
      </c>
      <c r="D623" s="6">
        <v>25</v>
      </c>
      <c r="E623" s="5">
        <f t="shared" si="54"/>
        <v>25000</v>
      </c>
      <c r="F623" s="5">
        <f t="shared" si="55"/>
        <v>2125</v>
      </c>
      <c r="G623" s="5">
        <f t="shared" si="56"/>
        <v>5.8219178082191778</v>
      </c>
      <c r="H623" s="5">
        <f t="shared" si="57"/>
        <v>1065.4109589041095</v>
      </c>
      <c r="I623" s="5">
        <f t="shared" si="58"/>
        <v>63.92465753424657</v>
      </c>
      <c r="J623" s="5">
        <f t="shared" si="59"/>
        <v>1001.486301369863</v>
      </c>
      <c r="K623" s="1"/>
      <c r="L623" s="6" t="s">
        <v>1</v>
      </c>
      <c r="M623" s="6" t="s">
        <v>3916</v>
      </c>
      <c r="N623" s="6" t="s">
        <v>5931</v>
      </c>
    </row>
    <row r="624" spans="1:14" x14ac:dyDescent="0.25">
      <c r="A624" s="6" t="s">
        <v>628</v>
      </c>
      <c r="B624" s="6" t="s">
        <v>5932</v>
      </c>
      <c r="C624" s="6" t="s">
        <v>5933</v>
      </c>
      <c r="D624" s="6">
        <v>50</v>
      </c>
      <c r="E624" s="5">
        <f t="shared" si="54"/>
        <v>50000</v>
      </c>
      <c r="F624" s="5">
        <f t="shared" si="55"/>
        <v>4250</v>
      </c>
      <c r="G624" s="5">
        <f t="shared" si="56"/>
        <v>11.643835616438356</v>
      </c>
      <c r="H624" s="5">
        <f t="shared" si="57"/>
        <v>2130.821917808219</v>
      </c>
      <c r="I624" s="5">
        <f t="shared" si="58"/>
        <v>127.84931506849314</v>
      </c>
      <c r="J624" s="5">
        <f t="shared" si="59"/>
        <v>2002.972602739726</v>
      </c>
      <c r="K624" s="1"/>
      <c r="L624" s="6" t="s">
        <v>4</v>
      </c>
      <c r="M624" s="6" t="s">
        <v>924</v>
      </c>
      <c r="N624" s="6" t="s">
        <v>5938</v>
      </c>
    </row>
    <row r="625" spans="1:14" x14ac:dyDescent="0.25">
      <c r="A625" s="6" t="s">
        <v>629</v>
      </c>
      <c r="B625" s="6" t="s">
        <v>5939</v>
      </c>
      <c r="C625" s="6" t="s">
        <v>5940</v>
      </c>
      <c r="D625" s="6">
        <v>25</v>
      </c>
      <c r="E625" s="5">
        <f t="shared" si="54"/>
        <v>25000</v>
      </c>
      <c r="F625" s="5">
        <f t="shared" si="55"/>
        <v>2125</v>
      </c>
      <c r="G625" s="5">
        <f t="shared" si="56"/>
        <v>5.8219178082191778</v>
      </c>
      <c r="H625" s="5">
        <f t="shared" si="57"/>
        <v>1065.4109589041095</v>
      </c>
      <c r="I625" s="5">
        <f t="shared" si="58"/>
        <v>63.92465753424657</v>
      </c>
      <c r="J625" s="5">
        <f t="shared" si="59"/>
        <v>1001.486301369863</v>
      </c>
      <c r="K625" s="1"/>
      <c r="L625" s="6" t="s">
        <v>1218</v>
      </c>
      <c r="M625" s="6" t="s">
        <v>5945</v>
      </c>
      <c r="N625" s="6" t="s">
        <v>5946</v>
      </c>
    </row>
    <row r="626" spans="1:14" x14ac:dyDescent="0.25">
      <c r="A626" s="6" t="s">
        <v>630</v>
      </c>
      <c r="B626" s="6" t="s">
        <v>5947</v>
      </c>
      <c r="C626" s="6" t="s">
        <v>5948</v>
      </c>
      <c r="D626" s="6">
        <v>30</v>
      </c>
      <c r="E626" s="5">
        <f t="shared" si="54"/>
        <v>30000</v>
      </c>
      <c r="F626" s="5">
        <f t="shared" si="55"/>
        <v>2550</v>
      </c>
      <c r="G626" s="5">
        <f t="shared" si="56"/>
        <v>6.9863013698630141</v>
      </c>
      <c r="H626" s="5">
        <f t="shared" si="57"/>
        <v>1278.4931506849316</v>
      </c>
      <c r="I626" s="5">
        <f t="shared" si="58"/>
        <v>76.709589041095896</v>
      </c>
      <c r="J626" s="5">
        <f t="shared" si="59"/>
        <v>1201.7835616438358</v>
      </c>
      <c r="K626" s="1"/>
      <c r="L626" s="6" t="s">
        <v>1637</v>
      </c>
      <c r="M626" s="6" t="s">
        <v>4474</v>
      </c>
      <c r="N626" s="6" t="s">
        <v>5953</v>
      </c>
    </row>
    <row r="627" spans="1:14" x14ac:dyDescent="0.25">
      <c r="A627" s="6" t="s">
        <v>631</v>
      </c>
      <c r="B627" s="6" t="s">
        <v>5954</v>
      </c>
      <c r="C627" s="6" t="s">
        <v>5955</v>
      </c>
      <c r="D627" s="6">
        <v>500</v>
      </c>
      <c r="E627" s="5">
        <f t="shared" si="54"/>
        <v>500000</v>
      </c>
      <c r="F627" s="5">
        <f t="shared" si="55"/>
        <v>42500</v>
      </c>
      <c r="G627" s="5">
        <f t="shared" si="56"/>
        <v>116.43835616438356</v>
      </c>
      <c r="H627" s="5">
        <f t="shared" si="57"/>
        <v>21308.219178082192</v>
      </c>
      <c r="I627" s="5">
        <f t="shared" si="58"/>
        <v>1278.4931506849314</v>
      </c>
      <c r="J627" s="5">
        <f t="shared" si="59"/>
        <v>20029.726027397261</v>
      </c>
      <c r="K627" s="1"/>
      <c r="L627" s="6" t="s">
        <v>971</v>
      </c>
      <c r="M627" s="6" t="s">
        <v>972</v>
      </c>
      <c r="N627" s="6" t="s">
        <v>5960</v>
      </c>
    </row>
    <row r="628" spans="1:14" x14ac:dyDescent="0.25">
      <c r="A628" s="6" t="s">
        <v>632</v>
      </c>
      <c r="B628" s="6" t="s">
        <v>5961</v>
      </c>
      <c r="C628" s="6" t="s">
        <v>5962</v>
      </c>
      <c r="D628" s="6">
        <v>500</v>
      </c>
      <c r="E628" s="5">
        <f t="shared" si="54"/>
        <v>500000</v>
      </c>
      <c r="F628" s="5">
        <f t="shared" si="55"/>
        <v>42500</v>
      </c>
      <c r="G628" s="5">
        <f t="shared" si="56"/>
        <v>116.43835616438356</v>
      </c>
      <c r="H628" s="5">
        <f t="shared" si="57"/>
        <v>21308.219178082192</v>
      </c>
      <c r="I628" s="5">
        <f t="shared" si="58"/>
        <v>1278.4931506849314</v>
      </c>
      <c r="J628" s="5">
        <f t="shared" si="59"/>
        <v>20029.726027397261</v>
      </c>
      <c r="K628" s="1"/>
      <c r="L628" s="6" t="s">
        <v>971</v>
      </c>
      <c r="M628" s="6" t="s">
        <v>972</v>
      </c>
      <c r="N628" s="6" t="s">
        <v>5964</v>
      </c>
    </row>
    <row r="629" spans="1:14" x14ac:dyDescent="0.25">
      <c r="A629" s="6" t="s">
        <v>633</v>
      </c>
      <c r="B629" s="6" t="s">
        <v>5965</v>
      </c>
      <c r="C629" s="6" t="s">
        <v>5966</v>
      </c>
      <c r="D629" s="6">
        <v>50</v>
      </c>
      <c r="E629" s="5">
        <f t="shared" si="54"/>
        <v>50000</v>
      </c>
      <c r="F629" s="5">
        <f t="shared" si="55"/>
        <v>4250</v>
      </c>
      <c r="G629" s="5">
        <f t="shared" si="56"/>
        <v>11.643835616438356</v>
      </c>
      <c r="H629" s="5">
        <f t="shared" si="57"/>
        <v>2130.821917808219</v>
      </c>
      <c r="I629" s="5">
        <f t="shared" si="58"/>
        <v>127.84931506849314</v>
      </c>
      <c r="J629" s="5">
        <f t="shared" si="59"/>
        <v>2002.972602739726</v>
      </c>
      <c r="K629" s="1"/>
      <c r="L629" s="6" t="s">
        <v>1496</v>
      </c>
      <c r="M629" s="6" t="s">
        <v>5971</v>
      </c>
      <c r="N629" s="6" t="s">
        <v>5972</v>
      </c>
    </row>
    <row r="630" spans="1:14" x14ac:dyDescent="0.25">
      <c r="A630" s="6" t="s">
        <v>634</v>
      </c>
      <c r="B630" s="6" t="s">
        <v>5973</v>
      </c>
      <c r="C630" s="6" t="s">
        <v>5974</v>
      </c>
      <c r="D630" s="6">
        <v>50</v>
      </c>
      <c r="E630" s="5">
        <f t="shared" si="54"/>
        <v>50000</v>
      </c>
      <c r="F630" s="5">
        <f t="shared" si="55"/>
        <v>4250</v>
      </c>
      <c r="G630" s="5">
        <f t="shared" si="56"/>
        <v>11.643835616438356</v>
      </c>
      <c r="H630" s="5">
        <f t="shared" si="57"/>
        <v>2130.821917808219</v>
      </c>
      <c r="I630" s="5">
        <f t="shared" si="58"/>
        <v>127.84931506849314</v>
      </c>
      <c r="J630" s="5">
        <f t="shared" si="59"/>
        <v>2002.972602739726</v>
      </c>
      <c r="K630" s="1"/>
      <c r="L630" s="6" t="s">
        <v>1637</v>
      </c>
      <c r="M630" s="6" t="s">
        <v>5979</v>
      </c>
      <c r="N630" s="6" t="s">
        <v>5980</v>
      </c>
    </row>
    <row r="631" spans="1:14" x14ac:dyDescent="0.25">
      <c r="A631" s="6" t="s">
        <v>635</v>
      </c>
      <c r="B631" s="6" t="s">
        <v>5981</v>
      </c>
      <c r="C631" s="6" t="s">
        <v>5982</v>
      </c>
      <c r="D631" s="6">
        <v>25</v>
      </c>
      <c r="E631" s="5">
        <f t="shared" si="54"/>
        <v>25000</v>
      </c>
      <c r="F631" s="5">
        <f t="shared" si="55"/>
        <v>2125</v>
      </c>
      <c r="G631" s="5">
        <f t="shared" si="56"/>
        <v>5.8219178082191778</v>
      </c>
      <c r="H631" s="5">
        <f t="shared" si="57"/>
        <v>1065.4109589041095</v>
      </c>
      <c r="I631" s="5">
        <f t="shared" si="58"/>
        <v>63.92465753424657</v>
      </c>
      <c r="J631" s="5">
        <f t="shared" si="59"/>
        <v>1001.486301369863</v>
      </c>
      <c r="K631" s="1"/>
      <c r="L631" s="6" t="s">
        <v>971</v>
      </c>
      <c r="M631" s="6" t="s">
        <v>5987</v>
      </c>
      <c r="N631" s="6" t="s">
        <v>5988</v>
      </c>
    </row>
    <row r="632" spans="1:14" x14ac:dyDescent="0.25">
      <c r="A632" s="6" t="s">
        <v>636</v>
      </c>
      <c r="B632" s="6" t="s">
        <v>5989</v>
      </c>
      <c r="C632" s="6" t="s">
        <v>5990</v>
      </c>
      <c r="D632" s="6">
        <v>553</v>
      </c>
      <c r="E632" s="5">
        <f t="shared" si="54"/>
        <v>553000</v>
      </c>
      <c r="F632" s="5">
        <f t="shared" si="55"/>
        <v>47005</v>
      </c>
      <c r="G632" s="5">
        <f t="shared" si="56"/>
        <v>128.78082191780823</v>
      </c>
      <c r="H632" s="5">
        <f t="shared" si="57"/>
        <v>23566.890410958906</v>
      </c>
      <c r="I632" s="5">
        <f t="shared" si="58"/>
        <v>1414.0134246575342</v>
      </c>
      <c r="J632" s="5">
        <f t="shared" si="59"/>
        <v>22152.876986301373</v>
      </c>
      <c r="K632" s="1"/>
      <c r="L632" s="6" t="s">
        <v>5995</v>
      </c>
      <c r="M632" s="6" t="s">
        <v>5996</v>
      </c>
      <c r="N632" s="6" t="s">
        <v>5997</v>
      </c>
    </row>
    <row r="633" spans="1:14" x14ac:dyDescent="0.25">
      <c r="A633" s="6" t="s">
        <v>637</v>
      </c>
      <c r="B633" s="6" t="s">
        <v>5998</v>
      </c>
      <c r="C633" s="6" t="s">
        <v>5999</v>
      </c>
      <c r="D633" s="6">
        <v>25</v>
      </c>
      <c r="E633" s="5">
        <f t="shared" si="54"/>
        <v>25000</v>
      </c>
      <c r="F633" s="5">
        <f t="shared" si="55"/>
        <v>2125</v>
      </c>
      <c r="G633" s="5">
        <f t="shared" si="56"/>
        <v>5.8219178082191778</v>
      </c>
      <c r="H633" s="5">
        <f t="shared" si="57"/>
        <v>1065.4109589041095</v>
      </c>
      <c r="I633" s="5">
        <f t="shared" si="58"/>
        <v>63.92465753424657</v>
      </c>
      <c r="J633" s="5">
        <f t="shared" si="59"/>
        <v>1001.486301369863</v>
      </c>
      <c r="K633" s="1"/>
      <c r="L633" s="6" t="s">
        <v>8</v>
      </c>
      <c r="M633" s="6" t="s">
        <v>6005</v>
      </c>
      <c r="N633" s="6" t="s">
        <v>6006</v>
      </c>
    </row>
    <row r="634" spans="1:14" x14ac:dyDescent="0.25">
      <c r="A634" s="6" t="s">
        <v>638</v>
      </c>
      <c r="B634" s="6" t="s">
        <v>6007</v>
      </c>
      <c r="C634" s="6" t="s">
        <v>6008</v>
      </c>
      <c r="D634" s="6">
        <v>100</v>
      </c>
      <c r="E634" s="5">
        <f t="shared" si="54"/>
        <v>100000</v>
      </c>
      <c r="F634" s="5">
        <f t="shared" si="55"/>
        <v>8500</v>
      </c>
      <c r="G634" s="5">
        <f t="shared" si="56"/>
        <v>23.287671232876711</v>
      </c>
      <c r="H634" s="5">
        <f t="shared" si="57"/>
        <v>4261.6438356164381</v>
      </c>
      <c r="I634" s="5">
        <f t="shared" si="58"/>
        <v>255.69863013698628</v>
      </c>
      <c r="J634" s="5">
        <f t="shared" si="59"/>
        <v>4005.9452054794519</v>
      </c>
      <c r="K634" s="1"/>
      <c r="L634" s="6" t="s">
        <v>1478</v>
      </c>
      <c r="M634" s="6" t="s">
        <v>1479</v>
      </c>
      <c r="N634" s="6" t="s">
        <v>6014</v>
      </c>
    </row>
    <row r="635" spans="1:14" x14ac:dyDescent="0.25">
      <c r="A635" s="6" t="s">
        <v>639</v>
      </c>
      <c r="B635" s="6" t="s">
        <v>6015</v>
      </c>
      <c r="C635" s="6" t="s">
        <v>6016</v>
      </c>
      <c r="D635" s="6">
        <v>25</v>
      </c>
      <c r="E635" s="5">
        <f t="shared" si="54"/>
        <v>25000</v>
      </c>
      <c r="F635" s="5">
        <f t="shared" si="55"/>
        <v>2125</v>
      </c>
      <c r="G635" s="5">
        <f t="shared" si="56"/>
        <v>5.8219178082191778</v>
      </c>
      <c r="H635" s="5">
        <f t="shared" si="57"/>
        <v>1065.4109589041095</v>
      </c>
      <c r="I635" s="5">
        <f t="shared" si="58"/>
        <v>63.92465753424657</v>
      </c>
      <c r="J635" s="5">
        <f t="shared" si="59"/>
        <v>1001.486301369863</v>
      </c>
      <c r="K635" s="1"/>
      <c r="L635" s="6" t="s">
        <v>910</v>
      </c>
      <c r="M635" s="6" t="s">
        <v>981</v>
      </c>
      <c r="N635" s="6" t="s">
        <v>6023</v>
      </c>
    </row>
    <row r="636" spans="1:14" x14ac:dyDescent="0.25">
      <c r="A636" s="6" t="s">
        <v>640</v>
      </c>
      <c r="B636" s="6" t="s">
        <v>6024</v>
      </c>
      <c r="C636" s="6" t="s">
        <v>6025</v>
      </c>
      <c r="D636" s="6">
        <v>25</v>
      </c>
      <c r="E636" s="5">
        <f t="shared" si="54"/>
        <v>25000</v>
      </c>
      <c r="F636" s="5">
        <f t="shared" si="55"/>
        <v>2125</v>
      </c>
      <c r="G636" s="5">
        <f t="shared" si="56"/>
        <v>5.8219178082191778</v>
      </c>
      <c r="H636" s="5">
        <f t="shared" si="57"/>
        <v>1065.4109589041095</v>
      </c>
      <c r="I636" s="5">
        <f t="shared" si="58"/>
        <v>63.92465753424657</v>
      </c>
      <c r="J636" s="5">
        <f t="shared" si="59"/>
        <v>1001.486301369863</v>
      </c>
      <c r="K636" s="1"/>
      <c r="L636" s="6" t="s">
        <v>929</v>
      </c>
      <c r="M636" s="6" t="s">
        <v>6030</v>
      </c>
      <c r="N636" s="6" t="s">
        <v>6031</v>
      </c>
    </row>
    <row r="637" spans="1:14" x14ac:dyDescent="0.25">
      <c r="A637" s="6" t="s">
        <v>641</v>
      </c>
      <c r="B637" s="6" t="s">
        <v>6032</v>
      </c>
      <c r="C637" s="6" t="s">
        <v>6033</v>
      </c>
      <c r="D637" s="6">
        <v>25</v>
      </c>
      <c r="E637" s="5">
        <f t="shared" si="54"/>
        <v>25000</v>
      </c>
      <c r="F637" s="5">
        <f t="shared" si="55"/>
        <v>2125</v>
      </c>
      <c r="G637" s="5">
        <f t="shared" si="56"/>
        <v>5.8219178082191778</v>
      </c>
      <c r="H637" s="5">
        <f t="shared" si="57"/>
        <v>1065.4109589041095</v>
      </c>
      <c r="I637" s="5">
        <f t="shared" si="58"/>
        <v>63.92465753424657</v>
      </c>
      <c r="J637" s="5">
        <f t="shared" si="59"/>
        <v>1001.486301369863</v>
      </c>
      <c r="K637" s="1"/>
      <c r="L637" s="6" t="s">
        <v>1637</v>
      </c>
      <c r="M637" s="6" t="s">
        <v>2316</v>
      </c>
      <c r="N637" s="6" t="s">
        <v>6039</v>
      </c>
    </row>
    <row r="638" spans="1:14" x14ac:dyDescent="0.25">
      <c r="A638" s="6" t="s">
        <v>642</v>
      </c>
      <c r="B638" s="6" t="s">
        <v>6040</v>
      </c>
      <c r="C638" s="6" t="s">
        <v>6041</v>
      </c>
      <c r="D638" s="6">
        <v>25</v>
      </c>
      <c r="E638" s="5">
        <f t="shared" si="54"/>
        <v>25000</v>
      </c>
      <c r="F638" s="5">
        <f t="shared" si="55"/>
        <v>2125</v>
      </c>
      <c r="G638" s="5">
        <f t="shared" si="56"/>
        <v>5.8219178082191778</v>
      </c>
      <c r="H638" s="5">
        <f t="shared" si="57"/>
        <v>1065.4109589041095</v>
      </c>
      <c r="I638" s="5">
        <f t="shared" si="58"/>
        <v>63.92465753424657</v>
      </c>
      <c r="J638" s="5">
        <f t="shared" si="59"/>
        <v>1001.486301369863</v>
      </c>
      <c r="K638" s="1"/>
      <c r="L638" s="6" t="s">
        <v>1218</v>
      </c>
      <c r="M638" s="6" t="s">
        <v>1355</v>
      </c>
      <c r="N638" s="6" t="s">
        <v>6046</v>
      </c>
    </row>
    <row r="639" spans="1:14" x14ac:dyDescent="0.25">
      <c r="A639" s="6" t="s">
        <v>643</v>
      </c>
      <c r="B639" s="6" t="s">
        <v>6047</v>
      </c>
      <c r="C639" s="6" t="s">
        <v>6048</v>
      </c>
      <c r="D639" s="6">
        <v>140</v>
      </c>
      <c r="E639" s="5">
        <f t="shared" si="54"/>
        <v>140000</v>
      </c>
      <c r="F639" s="5">
        <f t="shared" si="55"/>
        <v>11900</v>
      </c>
      <c r="G639" s="5">
        <f t="shared" si="56"/>
        <v>32.602739726027394</v>
      </c>
      <c r="H639" s="5">
        <f t="shared" si="57"/>
        <v>5966.301369863013</v>
      </c>
      <c r="I639" s="5">
        <f t="shared" si="58"/>
        <v>357.97808219178074</v>
      </c>
      <c r="J639" s="5">
        <f t="shared" si="59"/>
        <v>5608.3232876712318</v>
      </c>
      <c r="K639" s="1"/>
      <c r="L639" s="6" t="s">
        <v>4482</v>
      </c>
      <c r="M639" s="6" t="s">
        <v>6053</v>
      </c>
      <c r="N639" s="6" t="s">
        <v>6054</v>
      </c>
    </row>
    <row r="640" spans="1:14" x14ac:dyDescent="0.25">
      <c r="A640" s="6" t="s">
        <v>644</v>
      </c>
      <c r="B640" s="6" t="s">
        <v>6055</v>
      </c>
      <c r="C640" s="6" t="s">
        <v>6056</v>
      </c>
      <c r="D640" s="6">
        <v>25</v>
      </c>
      <c r="E640" s="5">
        <f t="shared" si="54"/>
        <v>25000</v>
      </c>
      <c r="F640" s="5">
        <f t="shared" si="55"/>
        <v>2125</v>
      </c>
      <c r="G640" s="5">
        <f t="shared" si="56"/>
        <v>5.8219178082191778</v>
      </c>
      <c r="H640" s="5">
        <f t="shared" si="57"/>
        <v>1065.4109589041095</v>
      </c>
      <c r="I640" s="5">
        <f t="shared" si="58"/>
        <v>63.92465753424657</v>
      </c>
      <c r="J640" s="5">
        <f t="shared" si="59"/>
        <v>1001.486301369863</v>
      </c>
      <c r="K640" s="1"/>
      <c r="L640" s="6" t="s">
        <v>915</v>
      </c>
      <c r="M640" s="6" t="s">
        <v>6062</v>
      </c>
      <c r="N640" s="6" t="s">
        <v>6063</v>
      </c>
    </row>
    <row r="641" spans="1:14" x14ac:dyDescent="0.25">
      <c r="A641" s="6" t="s">
        <v>645</v>
      </c>
      <c r="B641" s="6" t="s">
        <v>6064</v>
      </c>
      <c r="C641" s="6" t="s">
        <v>6065</v>
      </c>
      <c r="D641" s="6">
        <v>25</v>
      </c>
      <c r="E641" s="5">
        <f t="shared" si="54"/>
        <v>25000</v>
      </c>
      <c r="F641" s="5">
        <f t="shared" si="55"/>
        <v>2125</v>
      </c>
      <c r="G641" s="5">
        <f t="shared" si="56"/>
        <v>5.8219178082191778</v>
      </c>
      <c r="H641" s="5">
        <f t="shared" si="57"/>
        <v>1065.4109589041095</v>
      </c>
      <c r="I641" s="5">
        <f t="shared" si="58"/>
        <v>63.92465753424657</v>
      </c>
      <c r="J641" s="5">
        <f t="shared" si="59"/>
        <v>1001.486301369863</v>
      </c>
      <c r="K641" s="1"/>
      <c r="L641" s="6" t="s">
        <v>915</v>
      </c>
      <c r="M641" s="6" t="s">
        <v>1228</v>
      </c>
      <c r="N641" s="6" t="s">
        <v>6071</v>
      </c>
    </row>
    <row r="642" spans="1:14" x14ac:dyDescent="0.25">
      <c r="A642" s="6" t="s">
        <v>646</v>
      </c>
      <c r="B642" s="6" t="s">
        <v>6072</v>
      </c>
      <c r="C642" s="6" t="s">
        <v>6073</v>
      </c>
      <c r="D642" s="6">
        <v>100</v>
      </c>
      <c r="E642" s="5">
        <f t="shared" si="54"/>
        <v>100000</v>
      </c>
      <c r="F642" s="5">
        <f t="shared" si="55"/>
        <v>8500</v>
      </c>
      <c r="G642" s="5">
        <f t="shared" si="56"/>
        <v>23.287671232876711</v>
      </c>
      <c r="H642" s="5">
        <f t="shared" si="57"/>
        <v>4261.6438356164381</v>
      </c>
      <c r="I642" s="5">
        <f t="shared" si="58"/>
        <v>255.69863013698628</v>
      </c>
      <c r="J642" s="5">
        <f t="shared" si="59"/>
        <v>4005.9452054794519</v>
      </c>
      <c r="K642" s="1"/>
      <c r="L642" s="6" t="s">
        <v>1</v>
      </c>
      <c r="M642" s="6" t="s">
        <v>6078</v>
      </c>
      <c r="N642" s="6" t="s">
        <v>6079</v>
      </c>
    </row>
    <row r="643" spans="1:14" x14ac:dyDescent="0.25">
      <c r="A643" s="6" t="s">
        <v>647</v>
      </c>
      <c r="B643" s="6" t="s">
        <v>6080</v>
      </c>
      <c r="C643" s="6" t="s">
        <v>6081</v>
      </c>
      <c r="D643" s="6">
        <v>25</v>
      </c>
      <c r="E643" s="5">
        <f t="shared" si="54"/>
        <v>25000</v>
      </c>
      <c r="F643" s="5">
        <f t="shared" si="55"/>
        <v>2125</v>
      </c>
      <c r="G643" s="5">
        <f t="shared" si="56"/>
        <v>5.8219178082191778</v>
      </c>
      <c r="H643" s="5">
        <f t="shared" si="57"/>
        <v>1065.4109589041095</v>
      </c>
      <c r="I643" s="5">
        <f t="shared" si="58"/>
        <v>63.92465753424657</v>
      </c>
      <c r="J643" s="5">
        <f t="shared" si="59"/>
        <v>1001.486301369863</v>
      </c>
      <c r="K643" s="1"/>
      <c r="L643" s="6" t="s">
        <v>1637</v>
      </c>
      <c r="M643" s="6" t="s">
        <v>6084</v>
      </c>
      <c r="N643" s="6" t="s">
        <v>6085</v>
      </c>
    </row>
    <row r="644" spans="1:14" x14ac:dyDescent="0.25">
      <c r="A644" s="6" t="s">
        <v>648</v>
      </c>
      <c r="B644" s="6" t="s">
        <v>6086</v>
      </c>
      <c r="C644" s="6" t="s">
        <v>6087</v>
      </c>
      <c r="D644" s="6">
        <v>100</v>
      </c>
      <c r="E644" s="5">
        <f t="shared" si="54"/>
        <v>100000</v>
      </c>
      <c r="F644" s="5">
        <f t="shared" si="55"/>
        <v>8500</v>
      </c>
      <c r="G644" s="5">
        <f t="shared" si="56"/>
        <v>23.287671232876711</v>
      </c>
      <c r="H644" s="5">
        <f t="shared" si="57"/>
        <v>4261.6438356164381</v>
      </c>
      <c r="I644" s="5">
        <f t="shared" si="58"/>
        <v>255.69863013698628</v>
      </c>
      <c r="J644" s="5">
        <f t="shared" si="59"/>
        <v>4005.9452054794519</v>
      </c>
      <c r="K644" s="1"/>
      <c r="L644" s="6" t="s">
        <v>1218</v>
      </c>
      <c r="M644" s="6" t="s">
        <v>1434</v>
      </c>
      <c r="N644" s="6" t="s">
        <v>6092</v>
      </c>
    </row>
    <row r="645" spans="1:14" x14ac:dyDescent="0.25">
      <c r="A645" s="6" t="s">
        <v>649</v>
      </c>
      <c r="B645" s="6" t="s">
        <v>6093</v>
      </c>
      <c r="C645" s="6" t="s">
        <v>6094</v>
      </c>
      <c r="D645" s="6">
        <v>25</v>
      </c>
      <c r="E645" s="5">
        <f t="shared" si="54"/>
        <v>25000</v>
      </c>
      <c r="F645" s="5">
        <f t="shared" si="55"/>
        <v>2125</v>
      </c>
      <c r="G645" s="5">
        <f t="shared" si="56"/>
        <v>5.8219178082191778</v>
      </c>
      <c r="H645" s="5">
        <f t="shared" si="57"/>
        <v>1065.4109589041095</v>
      </c>
      <c r="I645" s="5">
        <f t="shared" si="58"/>
        <v>63.92465753424657</v>
      </c>
      <c r="J645" s="5">
        <f t="shared" si="59"/>
        <v>1001.486301369863</v>
      </c>
      <c r="K645" s="1"/>
      <c r="L645" s="6" t="s">
        <v>1871</v>
      </c>
      <c r="M645" s="6" t="s">
        <v>6100</v>
      </c>
      <c r="N645" s="6" t="s">
        <v>6101</v>
      </c>
    </row>
    <row r="646" spans="1:14" x14ac:dyDescent="0.25">
      <c r="A646" s="6" t="s">
        <v>650</v>
      </c>
      <c r="B646" s="6" t="s">
        <v>6102</v>
      </c>
      <c r="C646" s="6" t="s">
        <v>4311</v>
      </c>
      <c r="D646" s="6">
        <v>25</v>
      </c>
      <c r="E646" s="5">
        <f t="shared" si="54"/>
        <v>25000</v>
      </c>
      <c r="F646" s="5">
        <f t="shared" si="55"/>
        <v>2125</v>
      </c>
      <c r="G646" s="5">
        <f t="shared" si="56"/>
        <v>5.8219178082191778</v>
      </c>
      <c r="H646" s="5">
        <f t="shared" si="57"/>
        <v>1065.4109589041095</v>
      </c>
      <c r="I646" s="5">
        <f t="shared" si="58"/>
        <v>63.92465753424657</v>
      </c>
      <c r="J646" s="5">
        <f t="shared" si="59"/>
        <v>1001.486301369863</v>
      </c>
      <c r="K646" s="1"/>
      <c r="L646" s="6" t="s">
        <v>914</v>
      </c>
      <c r="M646" s="6" t="s">
        <v>4315</v>
      </c>
      <c r="N646" s="6" t="s">
        <v>6106</v>
      </c>
    </row>
    <row r="647" spans="1:14" x14ac:dyDescent="0.25">
      <c r="A647" s="6" t="s">
        <v>651</v>
      </c>
      <c r="B647" s="6" t="s">
        <v>6107</v>
      </c>
      <c r="C647" s="6" t="s">
        <v>6108</v>
      </c>
      <c r="D647" s="6">
        <v>100</v>
      </c>
      <c r="E647" s="5">
        <f t="shared" si="54"/>
        <v>100000</v>
      </c>
      <c r="F647" s="5">
        <f t="shared" si="55"/>
        <v>8500</v>
      </c>
      <c r="G647" s="5">
        <f t="shared" si="56"/>
        <v>23.287671232876711</v>
      </c>
      <c r="H647" s="5">
        <f t="shared" si="57"/>
        <v>4261.6438356164381</v>
      </c>
      <c r="I647" s="5">
        <f t="shared" si="58"/>
        <v>255.69863013698628</v>
      </c>
      <c r="J647" s="5">
        <f t="shared" si="59"/>
        <v>4005.9452054794519</v>
      </c>
      <c r="K647" s="1"/>
      <c r="L647" s="6" t="s">
        <v>910</v>
      </c>
      <c r="M647" s="6" t="s">
        <v>3652</v>
      </c>
      <c r="N647" s="6" t="s">
        <v>6114</v>
      </c>
    </row>
    <row r="648" spans="1:14" x14ac:dyDescent="0.25">
      <c r="A648" s="6" t="s">
        <v>652</v>
      </c>
      <c r="B648" s="6" t="s">
        <v>6115</v>
      </c>
      <c r="C648" s="6" t="s">
        <v>6116</v>
      </c>
      <c r="D648" s="6">
        <v>25</v>
      </c>
      <c r="E648" s="5">
        <f t="shared" ref="E648:E711" si="60">+D648*1000</f>
        <v>25000</v>
      </c>
      <c r="F648" s="5">
        <f t="shared" ref="F648:F711" si="61">+E648*8.5%</f>
        <v>2125</v>
      </c>
      <c r="G648" s="5">
        <f t="shared" ref="G648:G711" si="62">+F648/365</f>
        <v>5.8219178082191778</v>
      </c>
      <c r="H648" s="5">
        <f t="shared" ref="H648:H711" si="63">G648*$H$4</f>
        <v>1065.4109589041095</v>
      </c>
      <c r="I648" s="5">
        <f t="shared" ref="I648:I711" si="64">+H648*6%</f>
        <v>63.92465753424657</v>
      </c>
      <c r="J648" s="5">
        <f t="shared" ref="J648:J711" si="65">+H648-I648</f>
        <v>1001.486301369863</v>
      </c>
      <c r="K648" s="1"/>
      <c r="L648" s="6" t="s">
        <v>2</v>
      </c>
      <c r="M648" s="6" t="s">
        <v>1327</v>
      </c>
      <c r="N648" s="6" t="s">
        <v>6122</v>
      </c>
    </row>
    <row r="649" spans="1:14" x14ac:dyDescent="0.25">
      <c r="A649" s="6" t="s">
        <v>653</v>
      </c>
      <c r="B649" s="6" t="s">
        <v>6123</v>
      </c>
      <c r="C649" s="6" t="s">
        <v>6124</v>
      </c>
      <c r="D649" s="6">
        <v>50</v>
      </c>
      <c r="E649" s="5">
        <f t="shared" si="60"/>
        <v>50000</v>
      </c>
      <c r="F649" s="5">
        <f t="shared" si="61"/>
        <v>4250</v>
      </c>
      <c r="G649" s="5">
        <f t="shared" si="62"/>
        <v>11.643835616438356</v>
      </c>
      <c r="H649" s="5">
        <f t="shared" si="63"/>
        <v>2130.821917808219</v>
      </c>
      <c r="I649" s="5">
        <f t="shared" si="64"/>
        <v>127.84931506849314</v>
      </c>
      <c r="J649" s="5">
        <f t="shared" si="65"/>
        <v>2002.972602739726</v>
      </c>
      <c r="K649" s="1"/>
      <c r="L649" s="6" t="s">
        <v>971</v>
      </c>
      <c r="M649" s="6" t="s">
        <v>972</v>
      </c>
      <c r="N649" s="6" t="s">
        <v>6129</v>
      </c>
    </row>
    <row r="650" spans="1:14" x14ac:dyDescent="0.25">
      <c r="A650" s="6" t="s">
        <v>654</v>
      </c>
      <c r="B650" s="6" t="s">
        <v>6130</v>
      </c>
      <c r="C650" s="6" t="s">
        <v>6131</v>
      </c>
      <c r="D650" s="6">
        <v>25</v>
      </c>
      <c r="E650" s="5">
        <f t="shared" si="60"/>
        <v>25000</v>
      </c>
      <c r="F650" s="5">
        <f t="shared" si="61"/>
        <v>2125</v>
      </c>
      <c r="G650" s="5">
        <f t="shared" si="62"/>
        <v>5.8219178082191778</v>
      </c>
      <c r="H650" s="5">
        <f t="shared" si="63"/>
        <v>1065.4109589041095</v>
      </c>
      <c r="I650" s="5">
        <f t="shared" si="64"/>
        <v>63.92465753424657</v>
      </c>
      <c r="J650" s="5">
        <f t="shared" si="65"/>
        <v>1001.486301369863</v>
      </c>
      <c r="K650" s="1"/>
      <c r="L650" s="6" t="s">
        <v>1673</v>
      </c>
      <c r="M650" s="6" t="s">
        <v>2343</v>
      </c>
      <c r="N650" s="6" t="s">
        <v>6137</v>
      </c>
    </row>
    <row r="651" spans="1:14" x14ac:dyDescent="0.25">
      <c r="A651" s="6" t="s">
        <v>655</v>
      </c>
      <c r="B651" s="6" t="s">
        <v>6138</v>
      </c>
      <c r="C651" s="6" t="s">
        <v>6139</v>
      </c>
      <c r="D651" s="6">
        <v>50</v>
      </c>
      <c r="E651" s="5">
        <f t="shared" si="60"/>
        <v>50000</v>
      </c>
      <c r="F651" s="5">
        <f t="shared" si="61"/>
        <v>4250</v>
      </c>
      <c r="G651" s="5">
        <f t="shared" si="62"/>
        <v>11.643835616438356</v>
      </c>
      <c r="H651" s="5">
        <f t="shared" si="63"/>
        <v>2130.821917808219</v>
      </c>
      <c r="I651" s="5">
        <f t="shared" si="64"/>
        <v>127.84931506849314</v>
      </c>
      <c r="J651" s="5">
        <f t="shared" si="65"/>
        <v>2002.972602739726</v>
      </c>
      <c r="K651" s="1"/>
      <c r="L651" s="6" t="s">
        <v>910</v>
      </c>
      <c r="M651" s="6" t="s">
        <v>6144</v>
      </c>
      <c r="N651" s="6" t="s">
        <v>6145</v>
      </c>
    </row>
    <row r="652" spans="1:14" x14ac:dyDescent="0.25">
      <c r="A652" s="6" t="s">
        <v>656</v>
      </c>
      <c r="B652" s="6" t="s">
        <v>6146</v>
      </c>
      <c r="C652" s="6" t="s">
        <v>6147</v>
      </c>
      <c r="D652" s="6">
        <v>25</v>
      </c>
      <c r="E652" s="5">
        <f t="shared" si="60"/>
        <v>25000</v>
      </c>
      <c r="F652" s="5">
        <f t="shared" si="61"/>
        <v>2125</v>
      </c>
      <c r="G652" s="5">
        <f t="shared" si="62"/>
        <v>5.8219178082191778</v>
      </c>
      <c r="H652" s="5">
        <f t="shared" si="63"/>
        <v>1065.4109589041095</v>
      </c>
      <c r="I652" s="5">
        <f t="shared" si="64"/>
        <v>63.92465753424657</v>
      </c>
      <c r="J652" s="5">
        <f t="shared" si="65"/>
        <v>1001.486301369863</v>
      </c>
      <c r="K652" s="1"/>
      <c r="L652" s="6" t="s">
        <v>971</v>
      </c>
      <c r="M652" s="6" t="s">
        <v>972</v>
      </c>
      <c r="N652" s="6" t="s">
        <v>6152</v>
      </c>
    </row>
    <row r="653" spans="1:14" x14ac:dyDescent="0.25">
      <c r="A653" s="6" t="s">
        <v>657</v>
      </c>
      <c r="B653" s="6" t="s">
        <v>6153</v>
      </c>
      <c r="C653" s="6" t="s">
        <v>6154</v>
      </c>
      <c r="D653" s="6">
        <v>30</v>
      </c>
      <c r="E653" s="5">
        <f t="shared" si="60"/>
        <v>30000</v>
      </c>
      <c r="F653" s="5">
        <f t="shared" si="61"/>
        <v>2550</v>
      </c>
      <c r="G653" s="5">
        <f t="shared" si="62"/>
        <v>6.9863013698630141</v>
      </c>
      <c r="H653" s="5">
        <f t="shared" si="63"/>
        <v>1278.4931506849316</v>
      </c>
      <c r="I653" s="5">
        <f t="shared" si="64"/>
        <v>76.709589041095896</v>
      </c>
      <c r="J653" s="5">
        <f t="shared" si="65"/>
        <v>1201.7835616438358</v>
      </c>
      <c r="K653" s="1"/>
      <c r="L653" s="6" t="s">
        <v>5285</v>
      </c>
      <c r="M653" s="6" t="s">
        <v>6159</v>
      </c>
      <c r="N653" s="6" t="s">
        <v>6160</v>
      </c>
    </row>
    <row r="654" spans="1:14" x14ac:dyDescent="0.25">
      <c r="A654" s="6" t="s">
        <v>658</v>
      </c>
      <c r="B654" s="6" t="s">
        <v>6161</v>
      </c>
      <c r="C654" s="6" t="s">
        <v>6162</v>
      </c>
      <c r="D654" s="6">
        <v>25</v>
      </c>
      <c r="E654" s="5">
        <f t="shared" si="60"/>
        <v>25000</v>
      </c>
      <c r="F654" s="5">
        <f t="shared" si="61"/>
        <v>2125</v>
      </c>
      <c r="G654" s="5">
        <f t="shared" si="62"/>
        <v>5.8219178082191778</v>
      </c>
      <c r="H654" s="5">
        <f t="shared" si="63"/>
        <v>1065.4109589041095</v>
      </c>
      <c r="I654" s="5">
        <f t="shared" si="64"/>
        <v>63.92465753424657</v>
      </c>
      <c r="J654" s="5">
        <f t="shared" si="65"/>
        <v>1001.486301369863</v>
      </c>
      <c r="K654" s="1"/>
      <c r="L654" s="6" t="s">
        <v>909</v>
      </c>
      <c r="M654" s="6" t="s">
        <v>6167</v>
      </c>
      <c r="N654" s="6" t="s">
        <v>6168</v>
      </c>
    </row>
    <row r="655" spans="1:14" x14ac:dyDescent="0.25">
      <c r="A655" s="6" t="s">
        <v>659</v>
      </c>
      <c r="B655" s="6" t="s">
        <v>6169</v>
      </c>
      <c r="C655" s="6" t="s">
        <v>6170</v>
      </c>
      <c r="D655" s="6">
        <v>25</v>
      </c>
      <c r="E655" s="5">
        <f t="shared" si="60"/>
        <v>25000</v>
      </c>
      <c r="F655" s="5">
        <f t="shared" si="61"/>
        <v>2125</v>
      </c>
      <c r="G655" s="5">
        <f t="shared" si="62"/>
        <v>5.8219178082191778</v>
      </c>
      <c r="H655" s="5">
        <f t="shared" si="63"/>
        <v>1065.4109589041095</v>
      </c>
      <c r="I655" s="5">
        <f t="shared" si="64"/>
        <v>63.92465753424657</v>
      </c>
      <c r="J655" s="5">
        <f t="shared" si="65"/>
        <v>1001.486301369863</v>
      </c>
      <c r="K655" s="1"/>
      <c r="L655" s="6" t="s">
        <v>1478</v>
      </c>
      <c r="M655" s="6" t="s">
        <v>6176</v>
      </c>
      <c r="N655" s="6" t="s">
        <v>6177</v>
      </c>
    </row>
    <row r="656" spans="1:14" x14ac:dyDescent="0.25">
      <c r="A656" s="6" t="s">
        <v>660</v>
      </c>
      <c r="B656" s="6" t="s">
        <v>6178</v>
      </c>
      <c r="C656" s="6" t="s">
        <v>6179</v>
      </c>
      <c r="D656" s="6">
        <v>100</v>
      </c>
      <c r="E656" s="5">
        <f t="shared" si="60"/>
        <v>100000</v>
      </c>
      <c r="F656" s="5">
        <f t="shared" si="61"/>
        <v>8500</v>
      </c>
      <c r="G656" s="5">
        <f t="shared" si="62"/>
        <v>23.287671232876711</v>
      </c>
      <c r="H656" s="5">
        <f t="shared" si="63"/>
        <v>4261.6438356164381</v>
      </c>
      <c r="I656" s="5">
        <f t="shared" si="64"/>
        <v>255.69863013698628</v>
      </c>
      <c r="J656" s="5">
        <f t="shared" si="65"/>
        <v>4005.9452054794519</v>
      </c>
      <c r="K656" s="1"/>
      <c r="L656" s="6" t="s">
        <v>8</v>
      </c>
      <c r="M656" s="6" t="s">
        <v>1129</v>
      </c>
      <c r="N656" s="6" t="s">
        <v>6186</v>
      </c>
    </row>
    <row r="657" spans="1:14" x14ac:dyDescent="0.25">
      <c r="A657" s="6" t="s">
        <v>661</v>
      </c>
      <c r="B657" s="6" t="s">
        <v>6187</v>
      </c>
      <c r="C657" s="6" t="s">
        <v>6188</v>
      </c>
      <c r="D657" s="6">
        <v>25</v>
      </c>
      <c r="E657" s="5">
        <f t="shared" si="60"/>
        <v>25000</v>
      </c>
      <c r="F657" s="5">
        <f t="shared" si="61"/>
        <v>2125</v>
      </c>
      <c r="G657" s="5">
        <f t="shared" si="62"/>
        <v>5.8219178082191778</v>
      </c>
      <c r="H657" s="5">
        <f t="shared" si="63"/>
        <v>1065.4109589041095</v>
      </c>
      <c r="I657" s="5">
        <f t="shared" si="64"/>
        <v>63.92465753424657</v>
      </c>
      <c r="J657" s="5">
        <f t="shared" si="65"/>
        <v>1001.486301369863</v>
      </c>
      <c r="K657" s="1"/>
      <c r="L657" s="6" t="s">
        <v>1</v>
      </c>
      <c r="M657" s="6" t="s">
        <v>6194</v>
      </c>
      <c r="N657" s="6" t="s">
        <v>6195</v>
      </c>
    </row>
    <row r="658" spans="1:14" x14ac:dyDescent="0.25">
      <c r="A658" s="6" t="s">
        <v>662</v>
      </c>
      <c r="B658" s="6" t="s">
        <v>6196</v>
      </c>
      <c r="C658" s="6" t="s">
        <v>5956</v>
      </c>
      <c r="D658" s="6">
        <v>300</v>
      </c>
      <c r="E658" s="5">
        <f t="shared" si="60"/>
        <v>300000</v>
      </c>
      <c r="F658" s="5">
        <f t="shared" si="61"/>
        <v>25500.000000000004</v>
      </c>
      <c r="G658" s="5">
        <f t="shared" si="62"/>
        <v>69.863013698630141</v>
      </c>
      <c r="H658" s="5">
        <f t="shared" si="63"/>
        <v>12784.931506849316</v>
      </c>
      <c r="I658" s="5">
        <f t="shared" si="64"/>
        <v>767.09589041095899</v>
      </c>
      <c r="J658" s="5">
        <f t="shared" si="65"/>
        <v>12017.835616438357</v>
      </c>
      <c r="K658" s="1"/>
      <c r="L658" s="6" t="s">
        <v>971</v>
      </c>
      <c r="M658" s="6" t="s">
        <v>972</v>
      </c>
      <c r="N658" s="6" t="s">
        <v>6200</v>
      </c>
    </row>
    <row r="659" spans="1:14" x14ac:dyDescent="0.25">
      <c r="A659" s="6" t="s">
        <v>663</v>
      </c>
      <c r="B659" s="6" t="s">
        <v>6201</v>
      </c>
      <c r="C659" s="6" t="s">
        <v>6202</v>
      </c>
      <c r="D659" s="6">
        <v>200</v>
      </c>
      <c r="E659" s="5">
        <f t="shared" si="60"/>
        <v>200000</v>
      </c>
      <c r="F659" s="5">
        <f t="shared" si="61"/>
        <v>17000</v>
      </c>
      <c r="G659" s="5">
        <f t="shared" si="62"/>
        <v>46.575342465753423</v>
      </c>
      <c r="H659" s="5">
        <f t="shared" si="63"/>
        <v>8523.2876712328762</v>
      </c>
      <c r="I659" s="5">
        <f t="shared" si="64"/>
        <v>511.39726027397256</v>
      </c>
      <c r="J659" s="5">
        <f t="shared" si="65"/>
        <v>8011.8904109589039</v>
      </c>
      <c r="K659" s="1"/>
      <c r="L659" s="6" t="s">
        <v>1089</v>
      </c>
      <c r="M659" s="6" t="s">
        <v>4728</v>
      </c>
      <c r="N659" s="6" t="s">
        <v>6205</v>
      </c>
    </row>
    <row r="660" spans="1:14" x14ac:dyDescent="0.25">
      <c r="A660" s="6" t="s">
        <v>664</v>
      </c>
      <c r="B660" s="6" t="s">
        <v>6206</v>
      </c>
      <c r="C660" s="6" t="s">
        <v>6207</v>
      </c>
      <c r="D660" s="6">
        <v>300</v>
      </c>
      <c r="E660" s="5">
        <f t="shared" si="60"/>
        <v>300000</v>
      </c>
      <c r="F660" s="5">
        <f t="shared" si="61"/>
        <v>25500.000000000004</v>
      </c>
      <c r="G660" s="5">
        <f t="shared" si="62"/>
        <v>69.863013698630141</v>
      </c>
      <c r="H660" s="5">
        <f t="shared" si="63"/>
        <v>12784.931506849316</v>
      </c>
      <c r="I660" s="5">
        <f t="shared" si="64"/>
        <v>767.09589041095899</v>
      </c>
      <c r="J660" s="5">
        <f t="shared" si="65"/>
        <v>12017.835616438357</v>
      </c>
      <c r="K660" s="1"/>
      <c r="L660" s="6" t="s">
        <v>1218</v>
      </c>
      <c r="M660" s="6" t="s">
        <v>6212</v>
      </c>
      <c r="N660" s="6" t="s">
        <v>6213</v>
      </c>
    </row>
    <row r="661" spans="1:14" x14ac:dyDescent="0.25">
      <c r="A661" s="6" t="s">
        <v>665</v>
      </c>
      <c r="B661" s="6" t="s">
        <v>6214</v>
      </c>
      <c r="C661" s="6" t="s">
        <v>6215</v>
      </c>
      <c r="D661" s="6">
        <v>100</v>
      </c>
      <c r="E661" s="5">
        <f t="shared" si="60"/>
        <v>100000</v>
      </c>
      <c r="F661" s="5">
        <f t="shared" si="61"/>
        <v>8500</v>
      </c>
      <c r="G661" s="5">
        <f t="shared" si="62"/>
        <v>23.287671232876711</v>
      </c>
      <c r="H661" s="5">
        <f t="shared" si="63"/>
        <v>4261.6438356164381</v>
      </c>
      <c r="I661" s="5">
        <f t="shared" si="64"/>
        <v>255.69863013698628</v>
      </c>
      <c r="J661" s="5">
        <f t="shared" si="65"/>
        <v>4005.9452054794519</v>
      </c>
      <c r="K661" s="1"/>
      <c r="L661" s="6" t="s">
        <v>1</v>
      </c>
      <c r="M661" s="6" t="s">
        <v>6220</v>
      </c>
      <c r="N661" s="6" t="s">
        <v>6221</v>
      </c>
    </row>
    <row r="662" spans="1:14" x14ac:dyDescent="0.25">
      <c r="A662" s="6" t="s">
        <v>666</v>
      </c>
      <c r="B662" s="6" t="s">
        <v>6222</v>
      </c>
      <c r="C662" s="6" t="s">
        <v>6223</v>
      </c>
      <c r="D662" s="6">
        <v>25</v>
      </c>
      <c r="E662" s="5">
        <f t="shared" si="60"/>
        <v>25000</v>
      </c>
      <c r="F662" s="5">
        <f t="shared" si="61"/>
        <v>2125</v>
      </c>
      <c r="G662" s="5">
        <f t="shared" si="62"/>
        <v>5.8219178082191778</v>
      </c>
      <c r="H662" s="5">
        <f t="shared" si="63"/>
        <v>1065.4109589041095</v>
      </c>
      <c r="I662" s="5">
        <f t="shared" si="64"/>
        <v>63.92465753424657</v>
      </c>
      <c r="J662" s="5">
        <f t="shared" si="65"/>
        <v>1001.486301369863</v>
      </c>
      <c r="K662" s="1"/>
      <c r="L662" s="6" t="s">
        <v>919</v>
      </c>
      <c r="M662" s="6" t="s">
        <v>918</v>
      </c>
      <c r="N662" s="6" t="s">
        <v>6229</v>
      </c>
    </row>
    <row r="663" spans="1:14" x14ac:dyDescent="0.25">
      <c r="A663" s="6" t="s">
        <v>667</v>
      </c>
      <c r="B663" s="6" t="s">
        <v>6230</v>
      </c>
      <c r="C663" s="6" t="s">
        <v>6231</v>
      </c>
      <c r="D663" s="6">
        <v>25</v>
      </c>
      <c r="E663" s="5">
        <f t="shared" si="60"/>
        <v>25000</v>
      </c>
      <c r="F663" s="5">
        <f t="shared" si="61"/>
        <v>2125</v>
      </c>
      <c r="G663" s="5">
        <f t="shared" si="62"/>
        <v>5.8219178082191778</v>
      </c>
      <c r="H663" s="5">
        <f t="shared" si="63"/>
        <v>1065.4109589041095</v>
      </c>
      <c r="I663" s="5">
        <f t="shared" si="64"/>
        <v>63.92465753424657</v>
      </c>
      <c r="J663" s="5">
        <f t="shared" si="65"/>
        <v>1001.486301369863</v>
      </c>
      <c r="K663" s="1"/>
      <c r="L663" s="6" t="s">
        <v>915</v>
      </c>
      <c r="M663" s="6" t="s">
        <v>2424</v>
      </c>
      <c r="N663" s="6" t="s">
        <v>6236</v>
      </c>
    </row>
    <row r="664" spans="1:14" x14ac:dyDescent="0.25">
      <c r="A664" s="6" t="s">
        <v>668</v>
      </c>
      <c r="B664" s="6" t="s">
        <v>6237</v>
      </c>
      <c r="C664" s="6" t="s">
        <v>6238</v>
      </c>
      <c r="D664" s="6">
        <v>100</v>
      </c>
      <c r="E664" s="5">
        <f t="shared" si="60"/>
        <v>100000</v>
      </c>
      <c r="F664" s="5">
        <f t="shared" si="61"/>
        <v>8500</v>
      </c>
      <c r="G664" s="5">
        <f t="shared" si="62"/>
        <v>23.287671232876711</v>
      </c>
      <c r="H664" s="5">
        <f t="shared" si="63"/>
        <v>4261.6438356164381</v>
      </c>
      <c r="I664" s="5">
        <f t="shared" si="64"/>
        <v>255.69863013698628</v>
      </c>
      <c r="J664" s="5">
        <f t="shared" si="65"/>
        <v>4005.9452054794519</v>
      </c>
      <c r="K664" s="1"/>
      <c r="L664" s="6" t="s">
        <v>919</v>
      </c>
      <c r="M664" s="6" t="s">
        <v>6245</v>
      </c>
      <c r="N664" s="6" t="s">
        <v>6246</v>
      </c>
    </row>
    <row r="665" spans="1:14" x14ac:dyDescent="0.25">
      <c r="A665" s="6" t="s">
        <v>669</v>
      </c>
      <c r="B665" s="6" t="s">
        <v>6247</v>
      </c>
      <c r="C665" s="6" t="s">
        <v>6248</v>
      </c>
      <c r="D665" s="6">
        <v>25</v>
      </c>
      <c r="E665" s="5">
        <f t="shared" si="60"/>
        <v>25000</v>
      </c>
      <c r="F665" s="5">
        <f t="shared" si="61"/>
        <v>2125</v>
      </c>
      <c r="G665" s="5">
        <f t="shared" si="62"/>
        <v>5.8219178082191778</v>
      </c>
      <c r="H665" s="5">
        <f t="shared" si="63"/>
        <v>1065.4109589041095</v>
      </c>
      <c r="I665" s="5">
        <f t="shared" si="64"/>
        <v>63.92465753424657</v>
      </c>
      <c r="J665" s="5">
        <f t="shared" si="65"/>
        <v>1001.486301369863</v>
      </c>
      <c r="K665" s="1"/>
      <c r="L665" s="6" t="s">
        <v>1871</v>
      </c>
      <c r="M665" s="6" t="s">
        <v>6252</v>
      </c>
      <c r="N665" s="6" t="s">
        <v>6253</v>
      </c>
    </row>
    <row r="666" spans="1:14" x14ac:dyDescent="0.25">
      <c r="A666" s="6" t="s">
        <v>670</v>
      </c>
      <c r="B666" s="6" t="s">
        <v>6254</v>
      </c>
      <c r="C666" s="6" t="s">
        <v>6255</v>
      </c>
      <c r="D666" s="6">
        <v>25</v>
      </c>
      <c r="E666" s="5">
        <f t="shared" si="60"/>
        <v>25000</v>
      </c>
      <c r="F666" s="5">
        <f t="shared" si="61"/>
        <v>2125</v>
      </c>
      <c r="G666" s="5">
        <f t="shared" si="62"/>
        <v>5.8219178082191778</v>
      </c>
      <c r="H666" s="5">
        <f t="shared" si="63"/>
        <v>1065.4109589041095</v>
      </c>
      <c r="I666" s="5">
        <f t="shared" si="64"/>
        <v>63.92465753424657</v>
      </c>
      <c r="J666" s="5">
        <f t="shared" si="65"/>
        <v>1001.486301369863</v>
      </c>
      <c r="K666" s="1"/>
      <c r="L666" s="6" t="s">
        <v>919</v>
      </c>
      <c r="M666" s="6" t="s">
        <v>1011</v>
      </c>
      <c r="N666" s="6" t="s">
        <v>6261</v>
      </c>
    </row>
    <row r="667" spans="1:14" x14ac:dyDescent="0.25">
      <c r="A667" s="6" t="s">
        <v>671</v>
      </c>
      <c r="B667" s="6" t="s">
        <v>6262</v>
      </c>
      <c r="C667" s="6" t="s">
        <v>6263</v>
      </c>
      <c r="D667" s="6">
        <v>26</v>
      </c>
      <c r="E667" s="5">
        <f t="shared" si="60"/>
        <v>26000</v>
      </c>
      <c r="F667" s="5">
        <f t="shared" si="61"/>
        <v>2210</v>
      </c>
      <c r="G667" s="5">
        <f t="shared" si="62"/>
        <v>6.0547945205479454</v>
      </c>
      <c r="H667" s="5">
        <f t="shared" si="63"/>
        <v>1108.027397260274</v>
      </c>
      <c r="I667" s="5">
        <f t="shared" si="64"/>
        <v>66.481643835616438</v>
      </c>
      <c r="J667" s="5">
        <f t="shared" si="65"/>
        <v>1041.5457534246575</v>
      </c>
      <c r="K667" s="1"/>
      <c r="L667" s="6" t="s">
        <v>8</v>
      </c>
      <c r="M667" s="6" t="s">
        <v>1020</v>
      </c>
      <c r="N667" s="6" t="s">
        <v>6267</v>
      </c>
    </row>
    <row r="668" spans="1:14" x14ac:dyDescent="0.25">
      <c r="A668" s="6" t="s">
        <v>672</v>
      </c>
      <c r="B668" s="6" t="s">
        <v>6268</v>
      </c>
      <c r="C668" s="6" t="s">
        <v>6269</v>
      </c>
      <c r="D668" s="6">
        <v>25</v>
      </c>
      <c r="E668" s="5">
        <f t="shared" si="60"/>
        <v>25000</v>
      </c>
      <c r="F668" s="5">
        <f t="shared" si="61"/>
        <v>2125</v>
      </c>
      <c r="G668" s="5">
        <f t="shared" si="62"/>
        <v>5.8219178082191778</v>
      </c>
      <c r="H668" s="5">
        <f t="shared" si="63"/>
        <v>1065.4109589041095</v>
      </c>
      <c r="I668" s="5">
        <f t="shared" si="64"/>
        <v>63.92465753424657</v>
      </c>
      <c r="J668" s="5">
        <f t="shared" si="65"/>
        <v>1001.486301369863</v>
      </c>
      <c r="K668" s="1"/>
      <c r="L668" s="6" t="s">
        <v>8</v>
      </c>
      <c r="M668" s="6" t="s">
        <v>3677</v>
      </c>
      <c r="N668" s="6" t="s">
        <v>6275</v>
      </c>
    </row>
    <row r="669" spans="1:14" x14ac:dyDescent="0.25">
      <c r="A669" s="6" t="s">
        <v>673</v>
      </c>
      <c r="B669" s="6" t="s">
        <v>6276</v>
      </c>
      <c r="C669" s="6" t="s">
        <v>6277</v>
      </c>
      <c r="D669" s="6">
        <v>30</v>
      </c>
      <c r="E669" s="5">
        <f t="shared" si="60"/>
        <v>30000</v>
      </c>
      <c r="F669" s="5">
        <f t="shared" si="61"/>
        <v>2550</v>
      </c>
      <c r="G669" s="5">
        <f t="shared" si="62"/>
        <v>6.9863013698630141</v>
      </c>
      <c r="H669" s="5">
        <f t="shared" si="63"/>
        <v>1278.4931506849316</v>
      </c>
      <c r="I669" s="5">
        <f t="shared" si="64"/>
        <v>76.709589041095896</v>
      </c>
      <c r="J669" s="5">
        <f t="shared" si="65"/>
        <v>1201.7835616438358</v>
      </c>
      <c r="K669" s="1"/>
      <c r="L669" s="6" t="s">
        <v>910</v>
      </c>
      <c r="M669" s="6" t="s">
        <v>4220</v>
      </c>
      <c r="N669" s="6" t="s">
        <v>6282</v>
      </c>
    </row>
    <row r="670" spans="1:14" x14ac:dyDescent="0.25">
      <c r="A670" s="6" t="s">
        <v>674</v>
      </c>
      <c r="B670" s="6" t="s">
        <v>6283</v>
      </c>
      <c r="C670" s="6" t="s">
        <v>6284</v>
      </c>
      <c r="D670" s="6">
        <v>25</v>
      </c>
      <c r="E670" s="5">
        <f t="shared" si="60"/>
        <v>25000</v>
      </c>
      <c r="F670" s="5">
        <f t="shared" si="61"/>
        <v>2125</v>
      </c>
      <c r="G670" s="5">
        <f t="shared" si="62"/>
        <v>5.8219178082191778</v>
      </c>
      <c r="H670" s="5">
        <f t="shared" si="63"/>
        <v>1065.4109589041095</v>
      </c>
      <c r="I670" s="5">
        <f t="shared" si="64"/>
        <v>63.92465753424657</v>
      </c>
      <c r="J670" s="5">
        <f t="shared" si="65"/>
        <v>1001.486301369863</v>
      </c>
      <c r="K670" s="1"/>
      <c r="L670" s="6" t="s">
        <v>915</v>
      </c>
      <c r="M670" s="6" t="s">
        <v>926</v>
      </c>
      <c r="N670" s="6" t="s">
        <v>6290</v>
      </c>
    </row>
    <row r="671" spans="1:14" x14ac:dyDescent="0.25">
      <c r="A671" s="6" t="s">
        <v>675</v>
      </c>
      <c r="B671" s="6" t="s">
        <v>6291</v>
      </c>
      <c r="C671" s="6" t="s">
        <v>6292</v>
      </c>
      <c r="D671" s="6">
        <v>30</v>
      </c>
      <c r="E671" s="5">
        <f t="shared" si="60"/>
        <v>30000</v>
      </c>
      <c r="F671" s="5">
        <f t="shared" si="61"/>
        <v>2550</v>
      </c>
      <c r="G671" s="5">
        <f t="shared" si="62"/>
        <v>6.9863013698630141</v>
      </c>
      <c r="H671" s="5">
        <f t="shared" si="63"/>
        <v>1278.4931506849316</v>
      </c>
      <c r="I671" s="5">
        <f t="shared" si="64"/>
        <v>76.709589041095896</v>
      </c>
      <c r="J671" s="5">
        <f t="shared" si="65"/>
        <v>1201.7835616438358</v>
      </c>
      <c r="K671" s="1"/>
      <c r="L671" s="6" t="s">
        <v>8</v>
      </c>
      <c r="M671" s="6" t="s">
        <v>1020</v>
      </c>
      <c r="N671" s="6" t="s">
        <v>6297</v>
      </c>
    </row>
    <row r="672" spans="1:14" x14ac:dyDescent="0.25">
      <c r="A672" s="6" t="s">
        <v>676</v>
      </c>
      <c r="B672" s="6" t="s">
        <v>6298</v>
      </c>
      <c r="C672" s="6" t="s">
        <v>6198</v>
      </c>
      <c r="D672" s="6">
        <v>300</v>
      </c>
      <c r="E672" s="5">
        <f t="shared" si="60"/>
        <v>300000</v>
      </c>
      <c r="F672" s="5">
        <f t="shared" si="61"/>
        <v>25500.000000000004</v>
      </c>
      <c r="G672" s="5">
        <f t="shared" si="62"/>
        <v>69.863013698630141</v>
      </c>
      <c r="H672" s="5">
        <f t="shared" si="63"/>
        <v>12784.931506849316</v>
      </c>
      <c r="I672" s="5">
        <f t="shared" si="64"/>
        <v>767.09589041095899</v>
      </c>
      <c r="J672" s="5">
        <f t="shared" si="65"/>
        <v>12017.835616438357</v>
      </c>
      <c r="K672" s="1"/>
      <c r="L672" s="6" t="s">
        <v>971</v>
      </c>
      <c r="M672" s="6" t="s">
        <v>972</v>
      </c>
      <c r="N672" s="6" t="s">
        <v>6301</v>
      </c>
    </row>
    <row r="673" spans="1:14" x14ac:dyDescent="0.25">
      <c r="A673" s="6" t="s">
        <v>677</v>
      </c>
      <c r="B673" s="6" t="s">
        <v>6302</v>
      </c>
      <c r="C673" s="6" t="s">
        <v>6303</v>
      </c>
      <c r="D673" s="6">
        <v>25</v>
      </c>
      <c r="E673" s="5">
        <f t="shared" si="60"/>
        <v>25000</v>
      </c>
      <c r="F673" s="5">
        <f t="shared" si="61"/>
        <v>2125</v>
      </c>
      <c r="G673" s="5">
        <f t="shared" si="62"/>
        <v>5.8219178082191778</v>
      </c>
      <c r="H673" s="5">
        <f t="shared" si="63"/>
        <v>1065.4109589041095</v>
      </c>
      <c r="I673" s="5">
        <f t="shared" si="64"/>
        <v>63.92465753424657</v>
      </c>
      <c r="J673" s="5">
        <f t="shared" si="65"/>
        <v>1001.486301369863</v>
      </c>
      <c r="K673" s="1"/>
      <c r="L673" s="6" t="s">
        <v>1637</v>
      </c>
      <c r="M673" s="6" t="s">
        <v>6308</v>
      </c>
      <c r="N673" s="6" t="s">
        <v>6309</v>
      </c>
    </row>
    <row r="674" spans="1:14" x14ac:dyDescent="0.25">
      <c r="A674" s="6" t="s">
        <v>678</v>
      </c>
      <c r="B674" s="6" t="s">
        <v>6310</v>
      </c>
      <c r="C674" s="6" t="s">
        <v>6311</v>
      </c>
      <c r="D674" s="6">
        <v>25</v>
      </c>
      <c r="E674" s="5">
        <f t="shared" si="60"/>
        <v>25000</v>
      </c>
      <c r="F674" s="5">
        <f t="shared" si="61"/>
        <v>2125</v>
      </c>
      <c r="G674" s="5">
        <f t="shared" si="62"/>
        <v>5.8219178082191778</v>
      </c>
      <c r="H674" s="5">
        <f t="shared" si="63"/>
        <v>1065.4109589041095</v>
      </c>
      <c r="I674" s="5">
        <f t="shared" si="64"/>
        <v>63.92465753424657</v>
      </c>
      <c r="J674" s="5">
        <f t="shared" si="65"/>
        <v>1001.486301369863</v>
      </c>
      <c r="K674" s="1"/>
      <c r="L674" s="6" t="s">
        <v>915</v>
      </c>
      <c r="M674" s="6" t="s">
        <v>926</v>
      </c>
      <c r="N674" s="6" t="s">
        <v>6317</v>
      </c>
    </row>
    <row r="675" spans="1:14" x14ac:dyDescent="0.25">
      <c r="A675" s="6" t="s">
        <v>679</v>
      </c>
      <c r="B675" s="6" t="s">
        <v>6318</v>
      </c>
      <c r="C675" s="6" t="s">
        <v>6319</v>
      </c>
      <c r="D675" s="6">
        <v>25</v>
      </c>
      <c r="E675" s="5">
        <f t="shared" si="60"/>
        <v>25000</v>
      </c>
      <c r="F675" s="5">
        <f t="shared" si="61"/>
        <v>2125</v>
      </c>
      <c r="G675" s="5">
        <f t="shared" si="62"/>
        <v>5.8219178082191778</v>
      </c>
      <c r="H675" s="5">
        <f t="shared" si="63"/>
        <v>1065.4109589041095</v>
      </c>
      <c r="I675" s="5">
        <f t="shared" si="64"/>
        <v>63.92465753424657</v>
      </c>
      <c r="J675" s="5">
        <f t="shared" si="65"/>
        <v>1001.486301369863</v>
      </c>
      <c r="K675" s="1"/>
      <c r="L675" s="6" t="s">
        <v>1637</v>
      </c>
      <c r="M675" s="6" t="s">
        <v>2316</v>
      </c>
      <c r="N675" s="6" t="s">
        <v>6324</v>
      </c>
    </row>
    <row r="676" spans="1:14" x14ac:dyDescent="0.25">
      <c r="A676" s="6" t="s">
        <v>680</v>
      </c>
      <c r="B676" s="6" t="s">
        <v>6325</v>
      </c>
      <c r="C676" s="6" t="s">
        <v>6326</v>
      </c>
      <c r="D676" s="6">
        <v>25</v>
      </c>
      <c r="E676" s="5">
        <f t="shared" si="60"/>
        <v>25000</v>
      </c>
      <c r="F676" s="5">
        <f t="shared" si="61"/>
        <v>2125</v>
      </c>
      <c r="G676" s="5">
        <f t="shared" si="62"/>
        <v>5.8219178082191778</v>
      </c>
      <c r="H676" s="5">
        <f t="shared" si="63"/>
        <v>1065.4109589041095</v>
      </c>
      <c r="I676" s="5">
        <f t="shared" si="64"/>
        <v>63.92465753424657</v>
      </c>
      <c r="J676" s="5">
        <f t="shared" si="65"/>
        <v>1001.486301369863</v>
      </c>
      <c r="K676" s="1"/>
      <c r="L676" s="6" t="s">
        <v>4</v>
      </c>
      <c r="M676" s="6" t="s">
        <v>924</v>
      </c>
      <c r="N676" s="6" t="s">
        <v>6331</v>
      </c>
    </row>
    <row r="677" spans="1:14" x14ac:dyDescent="0.25">
      <c r="A677" s="6" t="s">
        <v>681</v>
      </c>
      <c r="B677" s="6" t="s">
        <v>6332</v>
      </c>
      <c r="C677" s="6" t="s">
        <v>6333</v>
      </c>
      <c r="D677" s="6">
        <v>25</v>
      </c>
      <c r="E677" s="5">
        <f t="shared" si="60"/>
        <v>25000</v>
      </c>
      <c r="F677" s="5">
        <f t="shared" si="61"/>
        <v>2125</v>
      </c>
      <c r="G677" s="5">
        <f t="shared" si="62"/>
        <v>5.8219178082191778</v>
      </c>
      <c r="H677" s="5">
        <f t="shared" si="63"/>
        <v>1065.4109589041095</v>
      </c>
      <c r="I677" s="5">
        <f t="shared" si="64"/>
        <v>63.92465753424657</v>
      </c>
      <c r="J677" s="5">
        <f t="shared" si="65"/>
        <v>1001.486301369863</v>
      </c>
      <c r="K677" s="1"/>
      <c r="L677" s="6" t="s">
        <v>915</v>
      </c>
      <c r="M677" s="6" t="s">
        <v>6339</v>
      </c>
      <c r="N677" s="6" t="s">
        <v>6340</v>
      </c>
    </row>
    <row r="678" spans="1:14" x14ac:dyDescent="0.25">
      <c r="A678" s="6" t="s">
        <v>682</v>
      </c>
      <c r="B678" s="6" t="s">
        <v>6341</v>
      </c>
      <c r="C678" s="6" t="s">
        <v>6342</v>
      </c>
      <c r="D678" s="6">
        <v>100</v>
      </c>
      <c r="E678" s="5">
        <f t="shared" si="60"/>
        <v>100000</v>
      </c>
      <c r="F678" s="5">
        <f t="shared" si="61"/>
        <v>8500</v>
      </c>
      <c r="G678" s="5">
        <f t="shared" si="62"/>
        <v>23.287671232876711</v>
      </c>
      <c r="H678" s="5">
        <f t="shared" si="63"/>
        <v>4261.6438356164381</v>
      </c>
      <c r="I678" s="5">
        <f t="shared" si="64"/>
        <v>255.69863013698628</v>
      </c>
      <c r="J678" s="5">
        <f t="shared" si="65"/>
        <v>4005.9452054794519</v>
      </c>
      <c r="K678" s="1"/>
      <c r="L678" s="6" t="s">
        <v>8</v>
      </c>
      <c r="M678" s="6" t="s">
        <v>1129</v>
      </c>
      <c r="N678" s="6" t="s">
        <v>6348</v>
      </c>
    </row>
    <row r="679" spans="1:14" x14ac:dyDescent="0.25">
      <c r="A679" s="6" t="s">
        <v>683</v>
      </c>
      <c r="B679" s="6" t="s">
        <v>6349</v>
      </c>
      <c r="C679" s="6" t="s">
        <v>6350</v>
      </c>
      <c r="D679" s="6">
        <v>102</v>
      </c>
      <c r="E679" s="5">
        <f t="shared" si="60"/>
        <v>102000</v>
      </c>
      <c r="F679" s="5">
        <f t="shared" si="61"/>
        <v>8670</v>
      </c>
      <c r="G679" s="5">
        <f t="shared" si="62"/>
        <v>23.753424657534246</v>
      </c>
      <c r="H679" s="5">
        <f t="shared" si="63"/>
        <v>4346.8767123287671</v>
      </c>
      <c r="I679" s="5">
        <f t="shared" si="64"/>
        <v>260.812602739726</v>
      </c>
      <c r="J679" s="5">
        <f t="shared" si="65"/>
        <v>4086.064109589041</v>
      </c>
      <c r="K679" s="1"/>
      <c r="L679" s="6" t="s">
        <v>8</v>
      </c>
      <c r="M679" s="6" t="s">
        <v>6355</v>
      </c>
      <c r="N679" s="6" t="s">
        <v>6356</v>
      </c>
    </row>
    <row r="680" spans="1:14" x14ac:dyDescent="0.25">
      <c r="A680" s="6" t="s">
        <v>684</v>
      </c>
      <c r="B680" s="6" t="s">
        <v>6357</v>
      </c>
      <c r="C680" s="6" t="s">
        <v>6358</v>
      </c>
      <c r="D680" s="6">
        <v>25</v>
      </c>
      <c r="E680" s="5">
        <f t="shared" si="60"/>
        <v>25000</v>
      </c>
      <c r="F680" s="5">
        <f t="shared" si="61"/>
        <v>2125</v>
      </c>
      <c r="G680" s="5">
        <f t="shared" si="62"/>
        <v>5.8219178082191778</v>
      </c>
      <c r="H680" s="5">
        <f t="shared" si="63"/>
        <v>1065.4109589041095</v>
      </c>
      <c r="I680" s="5">
        <f t="shared" si="64"/>
        <v>63.92465753424657</v>
      </c>
      <c r="J680" s="5">
        <f t="shared" si="65"/>
        <v>1001.486301369863</v>
      </c>
      <c r="K680" s="1"/>
      <c r="L680" s="6" t="s">
        <v>1478</v>
      </c>
      <c r="M680" s="6" t="s">
        <v>1479</v>
      </c>
      <c r="N680" s="6" t="s">
        <v>6363</v>
      </c>
    </row>
    <row r="681" spans="1:14" x14ac:dyDescent="0.25">
      <c r="A681" s="6" t="s">
        <v>685</v>
      </c>
      <c r="B681" s="6" t="s">
        <v>6364</v>
      </c>
      <c r="C681" s="6" t="s">
        <v>6365</v>
      </c>
      <c r="D681" s="6">
        <v>25</v>
      </c>
      <c r="E681" s="5">
        <f t="shared" si="60"/>
        <v>25000</v>
      </c>
      <c r="F681" s="5">
        <f t="shared" si="61"/>
        <v>2125</v>
      </c>
      <c r="G681" s="5">
        <f t="shared" si="62"/>
        <v>5.8219178082191778</v>
      </c>
      <c r="H681" s="5">
        <f t="shared" si="63"/>
        <v>1065.4109589041095</v>
      </c>
      <c r="I681" s="5">
        <f t="shared" si="64"/>
        <v>63.92465753424657</v>
      </c>
      <c r="J681" s="5">
        <f t="shared" si="65"/>
        <v>1001.486301369863</v>
      </c>
      <c r="K681" s="1"/>
      <c r="L681" s="6" t="s">
        <v>1</v>
      </c>
      <c r="M681" s="6" t="s">
        <v>6370</v>
      </c>
      <c r="N681" s="6" t="s">
        <v>6371</v>
      </c>
    </row>
    <row r="682" spans="1:14" x14ac:dyDescent="0.25">
      <c r="A682" s="6" t="s">
        <v>686</v>
      </c>
      <c r="B682" s="6" t="s">
        <v>6372</v>
      </c>
      <c r="C682" s="6" t="s">
        <v>6373</v>
      </c>
      <c r="D682" s="6">
        <v>25</v>
      </c>
      <c r="E682" s="5">
        <f t="shared" si="60"/>
        <v>25000</v>
      </c>
      <c r="F682" s="5">
        <f t="shared" si="61"/>
        <v>2125</v>
      </c>
      <c r="G682" s="5">
        <f t="shared" si="62"/>
        <v>5.8219178082191778</v>
      </c>
      <c r="H682" s="5">
        <f t="shared" si="63"/>
        <v>1065.4109589041095</v>
      </c>
      <c r="I682" s="5">
        <f t="shared" si="64"/>
        <v>63.92465753424657</v>
      </c>
      <c r="J682" s="5">
        <f t="shared" si="65"/>
        <v>1001.486301369863</v>
      </c>
      <c r="K682" s="1"/>
      <c r="L682" s="6" t="s">
        <v>8</v>
      </c>
      <c r="M682" s="6" t="s">
        <v>1020</v>
      </c>
      <c r="N682" s="6" t="s">
        <v>6379</v>
      </c>
    </row>
    <row r="683" spans="1:14" x14ac:dyDescent="0.25">
      <c r="A683" s="6" t="s">
        <v>687</v>
      </c>
      <c r="B683" s="6" t="s">
        <v>6380</v>
      </c>
      <c r="C683" s="6" t="s">
        <v>6381</v>
      </c>
      <c r="D683" s="6">
        <v>25</v>
      </c>
      <c r="E683" s="5">
        <f t="shared" si="60"/>
        <v>25000</v>
      </c>
      <c r="F683" s="5">
        <f t="shared" si="61"/>
        <v>2125</v>
      </c>
      <c r="G683" s="5">
        <f t="shared" si="62"/>
        <v>5.8219178082191778</v>
      </c>
      <c r="H683" s="5">
        <f t="shared" si="63"/>
        <v>1065.4109589041095</v>
      </c>
      <c r="I683" s="5">
        <f t="shared" si="64"/>
        <v>63.92465753424657</v>
      </c>
      <c r="J683" s="5">
        <f t="shared" si="65"/>
        <v>1001.486301369863</v>
      </c>
      <c r="K683" s="1"/>
      <c r="L683" s="6" t="s">
        <v>915</v>
      </c>
      <c r="M683" s="6" t="s">
        <v>6387</v>
      </c>
      <c r="N683" s="6" t="s">
        <v>6388</v>
      </c>
    </row>
    <row r="684" spans="1:14" x14ac:dyDescent="0.25">
      <c r="A684" s="6" t="s">
        <v>688</v>
      </c>
      <c r="B684" s="6" t="s">
        <v>6389</v>
      </c>
      <c r="C684" s="6" t="s">
        <v>6390</v>
      </c>
      <c r="D684" s="6">
        <v>100</v>
      </c>
      <c r="E684" s="5">
        <f t="shared" si="60"/>
        <v>100000</v>
      </c>
      <c r="F684" s="5">
        <f t="shared" si="61"/>
        <v>8500</v>
      </c>
      <c r="G684" s="5">
        <f t="shared" si="62"/>
        <v>23.287671232876711</v>
      </c>
      <c r="H684" s="5">
        <f t="shared" si="63"/>
        <v>4261.6438356164381</v>
      </c>
      <c r="I684" s="5">
        <f t="shared" si="64"/>
        <v>255.69863013698628</v>
      </c>
      <c r="J684" s="5">
        <f t="shared" si="65"/>
        <v>4005.9452054794519</v>
      </c>
      <c r="K684" s="1"/>
      <c r="L684" s="6" t="s">
        <v>909</v>
      </c>
      <c r="M684" s="6" t="s">
        <v>1237</v>
      </c>
      <c r="N684" s="6" t="s">
        <v>6395</v>
      </c>
    </row>
    <row r="685" spans="1:14" x14ac:dyDescent="0.25">
      <c r="A685" s="6" t="s">
        <v>689</v>
      </c>
      <c r="B685" s="6" t="s">
        <v>6396</v>
      </c>
      <c r="C685" s="6" t="s">
        <v>6397</v>
      </c>
      <c r="D685" s="6">
        <v>25</v>
      </c>
      <c r="E685" s="5">
        <f t="shared" si="60"/>
        <v>25000</v>
      </c>
      <c r="F685" s="5">
        <f t="shared" si="61"/>
        <v>2125</v>
      </c>
      <c r="G685" s="5">
        <f t="shared" si="62"/>
        <v>5.8219178082191778</v>
      </c>
      <c r="H685" s="5">
        <f t="shared" si="63"/>
        <v>1065.4109589041095</v>
      </c>
      <c r="I685" s="5">
        <f t="shared" si="64"/>
        <v>63.92465753424657</v>
      </c>
      <c r="J685" s="5">
        <f t="shared" si="65"/>
        <v>1001.486301369863</v>
      </c>
      <c r="K685" s="1"/>
      <c r="L685" s="6" t="s">
        <v>4</v>
      </c>
      <c r="M685" s="6" t="s">
        <v>924</v>
      </c>
      <c r="N685" s="6" t="s">
        <v>6403</v>
      </c>
    </row>
    <row r="686" spans="1:14" x14ac:dyDescent="0.25">
      <c r="A686" s="6" t="s">
        <v>690</v>
      </c>
      <c r="B686" s="6" t="s">
        <v>6404</v>
      </c>
      <c r="C686" s="6" t="s">
        <v>6405</v>
      </c>
      <c r="D686" s="6">
        <v>25</v>
      </c>
      <c r="E686" s="5">
        <f t="shared" si="60"/>
        <v>25000</v>
      </c>
      <c r="F686" s="5">
        <f t="shared" si="61"/>
        <v>2125</v>
      </c>
      <c r="G686" s="5">
        <f t="shared" si="62"/>
        <v>5.8219178082191778</v>
      </c>
      <c r="H686" s="5">
        <f t="shared" si="63"/>
        <v>1065.4109589041095</v>
      </c>
      <c r="I686" s="5">
        <f t="shared" si="64"/>
        <v>63.92465753424657</v>
      </c>
      <c r="J686" s="5">
        <f t="shared" si="65"/>
        <v>1001.486301369863</v>
      </c>
      <c r="K686" s="1"/>
      <c r="L686" s="6" t="s">
        <v>1496</v>
      </c>
      <c r="M686" s="6" t="s">
        <v>6410</v>
      </c>
      <c r="N686" s="6" t="s">
        <v>6411</v>
      </c>
    </row>
    <row r="687" spans="1:14" x14ac:dyDescent="0.25">
      <c r="A687" s="6" t="s">
        <v>691</v>
      </c>
      <c r="B687" s="6" t="s">
        <v>6412</v>
      </c>
      <c r="C687" s="6" t="s">
        <v>6413</v>
      </c>
      <c r="D687" s="6">
        <v>30</v>
      </c>
      <c r="E687" s="5">
        <f t="shared" si="60"/>
        <v>30000</v>
      </c>
      <c r="F687" s="5">
        <f t="shared" si="61"/>
        <v>2550</v>
      </c>
      <c r="G687" s="5">
        <f t="shared" si="62"/>
        <v>6.9863013698630141</v>
      </c>
      <c r="H687" s="5">
        <f t="shared" si="63"/>
        <v>1278.4931506849316</v>
      </c>
      <c r="I687" s="5">
        <f t="shared" si="64"/>
        <v>76.709589041095896</v>
      </c>
      <c r="J687" s="5">
        <f t="shared" si="65"/>
        <v>1201.7835616438358</v>
      </c>
      <c r="K687" s="1"/>
      <c r="L687" s="6" t="s">
        <v>915</v>
      </c>
      <c r="M687" s="6" t="s">
        <v>926</v>
      </c>
      <c r="N687" s="6" t="s">
        <v>6419</v>
      </c>
    </row>
    <row r="688" spans="1:14" x14ac:dyDescent="0.25">
      <c r="A688" s="6" t="s">
        <v>692</v>
      </c>
      <c r="B688" s="6" t="s">
        <v>6420</v>
      </c>
      <c r="C688" s="6" t="s">
        <v>6421</v>
      </c>
      <c r="D688" s="6">
        <v>50</v>
      </c>
      <c r="E688" s="5">
        <f t="shared" si="60"/>
        <v>50000</v>
      </c>
      <c r="F688" s="5">
        <f t="shared" si="61"/>
        <v>4250</v>
      </c>
      <c r="G688" s="5">
        <f t="shared" si="62"/>
        <v>11.643835616438356</v>
      </c>
      <c r="H688" s="5">
        <f t="shared" si="63"/>
        <v>2130.821917808219</v>
      </c>
      <c r="I688" s="5">
        <f t="shared" si="64"/>
        <v>127.84931506849314</v>
      </c>
      <c r="J688" s="5">
        <f t="shared" si="65"/>
        <v>2002.972602739726</v>
      </c>
      <c r="K688" s="1"/>
      <c r="L688" s="6" t="s">
        <v>8</v>
      </c>
      <c r="M688" s="6" t="s">
        <v>6426</v>
      </c>
      <c r="N688" s="6" t="s">
        <v>6427</v>
      </c>
    </row>
    <row r="689" spans="1:14" x14ac:dyDescent="0.25">
      <c r="A689" s="6" t="s">
        <v>693</v>
      </c>
      <c r="B689" s="6" t="s">
        <v>6428</v>
      </c>
      <c r="C689" s="6" t="s">
        <v>6429</v>
      </c>
      <c r="D689" s="6">
        <v>25</v>
      </c>
      <c r="E689" s="5">
        <f t="shared" si="60"/>
        <v>25000</v>
      </c>
      <c r="F689" s="5">
        <f t="shared" si="61"/>
        <v>2125</v>
      </c>
      <c r="G689" s="5">
        <f t="shared" si="62"/>
        <v>5.8219178082191778</v>
      </c>
      <c r="H689" s="5">
        <f t="shared" si="63"/>
        <v>1065.4109589041095</v>
      </c>
      <c r="I689" s="5">
        <f t="shared" si="64"/>
        <v>63.92465753424657</v>
      </c>
      <c r="J689" s="5">
        <f t="shared" si="65"/>
        <v>1001.486301369863</v>
      </c>
      <c r="K689" s="1"/>
      <c r="L689" s="6" t="s">
        <v>915</v>
      </c>
      <c r="M689" s="6" t="s">
        <v>6435</v>
      </c>
      <c r="N689" s="6" t="s">
        <v>6436</v>
      </c>
    </row>
    <row r="690" spans="1:14" x14ac:dyDescent="0.25">
      <c r="A690" s="6" t="s">
        <v>694</v>
      </c>
      <c r="B690" s="6" t="s">
        <v>6437</v>
      </c>
      <c r="C690" s="6" t="s">
        <v>6438</v>
      </c>
      <c r="D690" s="6">
        <v>100</v>
      </c>
      <c r="E690" s="5">
        <f t="shared" si="60"/>
        <v>100000</v>
      </c>
      <c r="F690" s="5">
        <f t="shared" si="61"/>
        <v>8500</v>
      </c>
      <c r="G690" s="5">
        <f t="shared" si="62"/>
        <v>23.287671232876711</v>
      </c>
      <c r="H690" s="5">
        <f t="shared" si="63"/>
        <v>4261.6438356164381</v>
      </c>
      <c r="I690" s="5">
        <f t="shared" si="64"/>
        <v>255.69863013698628</v>
      </c>
      <c r="J690" s="5">
        <f t="shared" si="65"/>
        <v>4005.9452054794519</v>
      </c>
      <c r="K690" s="1"/>
      <c r="L690" s="6" t="s">
        <v>915</v>
      </c>
      <c r="M690" s="6" t="s">
        <v>4420</v>
      </c>
      <c r="N690" s="6" t="s">
        <v>6444</v>
      </c>
    </row>
    <row r="691" spans="1:14" x14ac:dyDescent="0.25">
      <c r="A691" s="6" t="s">
        <v>695</v>
      </c>
      <c r="B691" s="6" t="s">
        <v>6445</v>
      </c>
      <c r="C691" s="6" t="s">
        <v>6446</v>
      </c>
      <c r="D691" s="6">
        <v>30</v>
      </c>
      <c r="E691" s="5">
        <f t="shared" si="60"/>
        <v>30000</v>
      </c>
      <c r="F691" s="5">
        <f t="shared" si="61"/>
        <v>2550</v>
      </c>
      <c r="G691" s="5">
        <f t="shared" si="62"/>
        <v>6.9863013698630141</v>
      </c>
      <c r="H691" s="5">
        <f t="shared" si="63"/>
        <v>1278.4931506849316</v>
      </c>
      <c r="I691" s="5">
        <f t="shared" si="64"/>
        <v>76.709589041095896</v>
      </c>
      <c r="J691" s="5">
        <f t="shared" si="65"/>
        <v>1201.7835616438358</v>
      </c>
      <c r="K691" s="1"/>
      <c r="L691" s="6" t="s">
        <v>1310</v>
      </c>
      <c r="M691" s="6" t="s">
        <v>4888</v>
      </c>
      <c r="N691" s="6" t="s">
        <v>6451</v>
      </c>
    </row>
    <row r="692" spans="1:14" x14ac:dyDescent="0.25">
      <c r="A692" s="6" t="s">
        <v>696</v>
      </c>
      <c r="B692" s="6" t="s">
        <v>6452</v>
      </c>
      <c r="C692" s="6" t="s">
        <v>6453</v>
      </c>
      <c r="D692" s="6">
        <v>25</v>
      </c>
      <c r="E692" s="5">
        <f t="shared" si="60"/>
        <v>25000</v>
      </c>
      <c r="F692" s="5">
        <f t="shared" si="61"/>
        <v>2125</v>
      </c>
      <c r="G692" s="5">
        <f t="shared" si="62"/>
        <v>5.8219178082191778</v>
      </c>
      <c r="H692" s="5">
        <f t="shared" si="63"/>
        <v>1065.4109589041095</v>
      </c>
      <c r="I692" s="5">
        <f t="shared" si="64"/>
        <v>63.92465753424657</v>
      </c>
      <c r="J692" s="5">
        <f t="shared" si="65"/>
        <v>1001.486301369863</v>
      </c>
      <c r="K692" s="1"/>
      <c r="L692" s="6" t="s">
        <v>1310</v>
      </c>
      <c r="M692" s="6" t="s">
        <v>6457</v>
      </c>
      <c r="N692" s="6" t="s">
        <v>6458</v>
      </c>
    </row>
    <row r="693" spans="1:14" x14ac:dyDescent="0.25">
      <c r="A693" s="6" t="s">
        <v>697</v>
      </c>
      <c r="B693" s="6" t="s">
        <v>6459</v>
      </c>
      <c r="C693" s="6" t="s">
        <v>6460</v>
      </c>
      <c r="D693" s="6">
        <v>1000</v>
      </c>
      <c r="E693" s="5">
        <f t="shared" si="60"/>
        <v>1000000</v>
      </c>
      <c r="F693" s="5">
        <f t="shared" si="61"/>
        <v>85000</v>
      </c>
      <c r="G693" s="5">
        <f t="shared" si="62"/>
        <v>232.87671232876713</v>
      </c>
      <c r="H693" s="5">
        <f t="shared" si="63"/>
        <v>42616.438356164384</v>
      </c>
      <c r="I693" s="5">
        <f t="shared" si="64"/>
        <v>2556.9863013698628</v>
      </c>
      <c r="J693" s="5">
        <f t="shared" si="65"/>
        <v>40059.452054794521</v>
      </c>
      <c r="K693" s="1"/>
      <c r="L693" s="6" t="s">
        <v>8</v>
      </c>
      <c r="M693" s="6" t="s">
        <v>1941</v>
      </c>
      <c r="N693" s="6" t="s">
        <v>6465</v>
      </c>
    </row>
    <row r="694" spans="1:14" x14ac:dyDescent="0.25">
      <c r="A694" s="6" t="s">
        <v>698</v>
      </c>
      <c r="B694" s="6" t="s">
        <v>6466</v>
      </c>
      <c r="C694" s="6" t="s">
        <v>6467</v>
      </c>
      <c r="D694" s="6">
        <v>25</v>
      </c>
      <c r="E694" s="5">
        <f t="shared" si="60"/>
        <v>25000</v>
      </c>
      <c r="F694" s="5">
        <f t="shared" si="61"/>
        <v>2125</v>
      </c>
      <c r="G694" s="5">
        <f t="shared" si="62"/>
        <v>5.8219178082191778</v>
      </c>
      <c r="H694" s="5">
        <f t="shared" si="63"/>
        <v>1065.4109589041095</v>
      </c>
      <c r="I694" s="5">
        <f t="shared" si="64"/>
        <v>63.92465753424657</v>
      </c>
      <c r="J694" s="5">
        <f t="shared" si="65"/>
        <v>1001.486301369863</v>
      </c>
      <c r="K694" s="1"/>
      <c r="L694" s="6" t="s">
        <v>915</v>
      </c>
      <c r="M694" s="6" t="s">
        <v>6472</v>
      </c>
      <c r="N694" s="6" t="s">
        <v>6473</v>
      </c>
    </row>
    <row r="695" spans="1:14" x14ac:dyDescent="0.25">
      <c r="A695" s="6" t="s">
        <v>699</v>
      </c>
      <c r="B695" s="6" t="s">
        <v>6474</v>
      </c>
      <c r="C695" s="6" t="s">
        <v>6475</v>
      </c>
      <c r="D695" s="6">
        <v>25</v>
      </c>
      <c r="E695" s="5">
        <f t="shared" si="60"/>
        <v>25000</v>
      </c>
      <c r="F695" s="5">
        <f t="shared" si="61"/>
        <v>2125</v>
      </c>
      <c r="G695" s="5">
        <f t="shared" si="62"/>
        <v>5.8219178082191778</v>
      </c>
      <c r="H695" s="5">
        <f t="shared" si="63"/>
        <v>1065.4109589041095</v>
      </c>
      <c r="I695" s="5">
        <f t="shared" si="64"/>
        <v>63.92465753424657</v>
      </c>
      <c r="J695" s="5">
        <f t="shared" si="65"/>
        <v>1001.486301369863</v>
      </c>
      <c r="K695" s="1"/>
      <c r="L695" s="6" t="s">
        <v>915</v>
      </c>
      <c r="M695" s="6" t="s">
        <v>6481</v>
      </c>
      <c r="N695" s="6" t="s">
        <v>6482</v>
      </c>
    </row>
    <row r="696" spans="1:14" x14ac:dyDescent="0.25">
      <c r="A696" s="6" t="s">
        <v>700</v>
      </c>
      <c r="B696" s="6" t="s">
        <v>6483</v>
      </c>
      <c r="C696" s="6" t="s">
        <v>6484</v>
      </c>
      <c r="D696" s="6">
        <v>500</v>
      </c>
      <c r="E696" s="5">
        <f t="shared" si="60"/>
        <v>500000</v>
      </c>
      <c r="F696" s="5">
        <f t="shared" si="61"/>
        <v>42500</v>
      </c>
      <c r="G696" s="5">
        <f t="shared" si="62"/>
        <v>116.43835616438356</v>
      </c>
      <c r="H696" s="5">
        <f t="shared" si="63"/>
        <v>21308.219178082192</v>
      </c>
      <c r="I696" s="5">
        <f t="shared" si="64"/>
        <v>1278.4931506849314</v>
      </c>
      <c r="J696" s="5">
        <f t="shared" si="65"/>
        <v>20029.726027397261</v>
      </c>
      <c r="K696" s="1"/>
      <c r="L696" s="6" t="s">
        <v>919</v>
      </c>
      <c r="M696" s="6" t="s">
        <v>918</v>
      </c>
      <c r="N696" s="6" t="s">
        <v>6488</v>
      </c>
    </row>
    <row r="697" spans="1:14" x14ac:dyDescent="0.25">
      <c r="A697" s="6" t="s">
        <v>701</v>
      </c>
      <c r="B697" s="6" t="s">
        <v>6489</v>
      </c>
      <c r="C697" s="6" t="s">
        <v>6490</v>
      </c>
      <c r="D697" s="6">
        <v>25</v>
      </c>
      <c r="E697" s="5">
        <f t="shared" si="60"/>
        <v>25000</v>
      </c>
      <c r="F697" s="5">
        <f t="shared" si="61"/>
        <v>2125</v>
      </c>
      <c r="G697" s="5">
        <f t="shared" si="62"/>
        <v>5.8219178082191778</v>
      </c>
      <c r="H697" s="5">
        <f t="shared" si="63"/>
        <v>1065.4109589041095</v>
      </c>
      <c r="I697" s="5">
        <f t="shared" si="64"/>
        <v>63.92465753424657</v>
      </c>
      <c r="J697" s="5">
        <f t="shared" si="65"/>
        <v>1001.486301369863</v>
      </c>
      <c r="K697" s="1"/>
      <c r="L697" s="6" t="s">
        <v>910</v>
      </c>
      <c r="M697" s="6" t="s">
        <v>6496</v>
      </c>
      <c r="N697" s="6" t="s">
        <v>6497</v>
      </c>
    </row>
    <row r="698" spans="1:14" x14ac:dyDescent="0.25">
      <c r="A698" s="6" t="s">
        <v>702</v>
      </c>
      <c r="B698" s="6" t="s">
        <v>6498</v>
      </c>
      <c r="C698" s="6" t="s">
        <v>6499</v>
      </c>
      <c r="D698" s="6">
        <v>25</v>
      </c>
      <c r="E698" s="5">
        <f t="shared" si="60"/>
        <v>25000</v>
      </c>
      <c r="F698" s="5">
        <f t="shared" si="61"/>
        <v>2125</v>
      </c>
      <c r="G698" s="5">
        <f t="shared" si="62"/>
        <v>5.8219178082191778</v>
      </c>
      <c r="H698" s="5">
        <f t="shared" si="63"/>
        <v>1065.4109589041095</v>
      </c>
      <c r="I698" s="5">
        <f t="shared" si="64"/>
        <v>63.92465753424657</v>
      </c>
      <c r="J698" s="5">
        <f t="shared" si="65"/>
        <v>1001.486301369863</v>
      </c>
      <c r="K698" s="1"/>
      <c r="L698" s="6" t="s">
        <v>1</v>
      </c>
      <c r="M698" s="6" t="s">
        <v>1846</v>
      </c>
      <c r="N698" s="6" t="s">
        <v>6504</v>
      </c>
    </row>
    <row r="699" spans="1:14" x14ac:dyDescent="0.25">
      <c r="A699" s="6" t="s">
        <v>703</v>
      </c>
      <c r="B699" s="6" t="s">
        <v>6505</v>
      </c>
      <c r="C699" s="6" t="s">
        <v>6506</v>
      </c>
      <c r="D699" s="6">
        <v>25</v>
      </c>
      <c r="E699" s="5">
        <f t="shared" si="60"/>
        <v>25000</v>
      </c>
      <c r="F699" s="5">
        <f t="shared" si="61"/>
        <v>2125</v>
      </c>
      <c r="G699" s="5">
        <f t="shared" si="62"/>
        <v>5.8219178082191778</v>
      </c>
      <c r="H699" s="5">
        <f t="shared" si="63"/>
        <v>1065.4109589041095</v>
      </c>
      <c r="I699" s="5">
        <f t="shared" si="64"/>
        <v>63.92465753424657</v>
      </c>
      <c r="J699" s="5">
        <f t="shared" si="65"/>
        <v>1001.486301369863</v>
      </c>
      <c r="K699" s="1"/>
      <c r="L699" s="6" t="s">
        <v>10</v>
      </c>
      <c r="M699" s="6" t="s">
        <v>1665</v>
      </c>
      <c r="N699" s="6" t="s">
        <v>6511</v>
      </c>
    </row>
    <row r="700" spans="1:14" x14ac:dyDescent="0.25">
      <c r="A700" s="6" t="s">
        <v>704</v>
      </c>
      <c r="B700" s="6" t="s">
        <v>6512</v>
      </c>
      <c r="C700" s="6" t="s">
        <v>6513</v>
      </c>
      <c r="D700" s="6">
        <v>300</v>
      </c>
      <c r="E700" s="5">
        <f t="shared" si="60"/>
        <v>300000</v>
      </c>
      <c r="F700" s="5">
        <f t="shared" si="61"/>
        <v>25500.000000000004</v>
      </c>
      <c r="G700" s="5">
        <f t="shared" si="62"/>
        <v>69.863013698630141</v>
      </c>
      <c r="H700" s="5">
        <f t="shared" si="63"/>
        <v>12784.931506849316</v>
      </c>
      <c r="I700" s="5">
        <f t="shared" si="64"/>
        <v>767.09589041095899</v>
      </c>
      <c r="J700" s="5">
        <f t="shared" si="65"/>
        <v>12017.835616438357</v>
      </c>
      <c r="K700" s="1"/>
      <c r="L700" s="6" t="s">
        <v>1</v>
      </c>
      <c r="M700" s="6" t="s">
        <v>6220</v>
      </c>
      <c r="N700" s="6" t="s">
        <v>6518</v>
      </c>
    </row>
    <row r="701" spans="1:14" x14ac:dyDescent="0.25">
      <c r="A701" s="6" t="s">
        <v>705</v>
      </c>
      <c r="B701" s="6" t="s">
        <v>6519</v>
      </c>
      <c r="C701" s="6" t="s">
        <v>6520</v>
      </c>
      <c r="D701" s="6">
        <v>100</v>
      </c>
      <c r="E701" s="5">
        <f t="shared" si="60"/>
        <v>100000</v>
      </c>
      <c r="F701" s="5">
        <f t="shared" si="61"/>
        <v>8500</v>
      </c>
      <c r="G701" s="5">
        <f t="shared" si="62"/>
        <v>23.287671232876711</v>
      </c>
      <c r="H701" s="5">
        <f t="shared" si="63"/>
        <v>4261.6438356164381</v>
      </c>
      <c r="I701" s="5">
        <f t="shared" si="64"/>
        <v>255.69863013698628</v>
      </c>
      <c r="J701" s="5">
        <f t="shared" si="65"/>
        <v>4005.9452054794519</v>
      </c>
      <c r="K701" s="1"/>
      <c r="L701" s="6" t="s">
        <v>910</v>
      </c>
      <c r="M701" s="6" t="s">
        <v>981</v>
      </c>
      <c r="N701" s="6" t="s">
        <v>6527</v>
      </c>
    </row>
    <row r="702" spans="1:14" x14ac:dyDescent="0.25">
      <c r="A702" s="6" t="s">
        <v>706</v>
      </c>
      <c r="B702" s="6" t="s">
        <v>6528</v>
      </c>
      <c r="C702" s="6" t="s">
        <v>6529</v>
      </c>
      <c r="D702" s="6">
        <v>25</v>
      </c>
      <c r="E702" s="5">
        <f t="shared" si="60"/>
        <v>25000</v>
      </c>
      <c r="F702" s="5">
        <f t="shared" si="61"/>
        <v>2125</v>
      </c>
      <c r="G702" s="5">
        <f t="shared" si="62"/>
        <v>5.8219178082191778</v>
      </c>
      <c r="H702" s="5">
        <f t="shared" si="63"/>
        <v>1065.4109589041095</v>
      </c>
      <c r="I702" s="5">
        <f t="shared" si="64"/>
        <v>63.92465753424657</v>
      </c>
      <c r="J702" s="5">
        <f t="shared" si="65"/>
        <v>1001.486301369863</v>
      </c>
      <c r="K702" s="1"/>
      <c r="L702" s="6" t="s">
        <v>1478</v>
      </c>
      <c r="M702" s="6" t="s">
        <v>6534</v>
      </c>
      <c r="N702" s="6" t="s">
        <v>6535</v>
      </c>
    </row>
    <row r="703" spans="1:14" x14ac:dyDescent="0.25">
      <c r="A703" s="6" t="s">
        <v>707</v>
      </c>
      <c r="B703" s="6" t="s">
        <v>6536</v>
      </c>
      <c r="C703" s="6" t="s">
        <v>6537</v>
      </c>
      <c r="D703" s="6">
        <v>50</v>
      </c>
      <c r="E703" s="5">
        <f t="shared" si="60"/>
        <v>50000</v>
      </c>
      <c r="F703" s="5">
        <f t="shared" si="61"/>
        <v>4250</v>
      </c>
      <c r="G703" s="5">
        <f t="shared" si="62"/>
        <v>11.643835616438356</v>
      </c>
      <c r="H703" s="5">
        <f t="shared" si="63"/>
        <v>2130.821917808219</v>
      </c>
      <c r="I703" s="5">
        <f t="shared" si="64"/>
        <v>127.84931506849314</v>
      </c>
      <c r="J703" s="5">
        <f t="shared" si="65"/>
        <v>2002.972602739726</v>
      </c>
      <c r="K703" s="1"/>
      <c r="L703" s="6" t="s">
        <v>2165</v>
      </c>
      <c r="M703" s="6" t="s">
        <v>6542</v>
      </c>
      <c r="N703" s="6" t="s">
        <v>6543</v>
      </c>
    </row>
    <row r="704" spans="1:14" x14ac:dyDescent="0.25">
      <c r="A704" s="6" t="s">
        <v>708</v>
      </c>
      <c r="B704" s="6" t="s">
        <v>6544</v>
      </c>
      <c r="C704" s="6" t="s">
        <v>6545</v>
      </c>
      <c r="D704" s="6">
        <v>25</v>
      </c>
      <c r="E704" s="5">
        <f t="shared" si="60"/>
        <v>25000</v>
      </c>
      <c r="F704" s="5">
        <f t="shared" si="61"/>
        <v>2125</v>
      </c>
      <c r="G704" s="5">
        <f t="shared" si="62"/>
        <v>5.8219178082191778</v>
      </c>
      <c r="H704" s="5">
        <f t="shared" si="63"/>
        <v>1065.4109589041095</v>
      </c>
      <c r="I704" s="5">
        <f t="shared" si="64"/>
        <v>63.92465753424657</v>
      </c>
      <c r="J704" s="5">
        <f t="shared" si="65"/>
        <v>1001.486301369863</v>
      </c>
      <c r="K704" s="1"/>
      <c r="L704" s="6" t="s">
        <v>2549</v>
      </c>
      <c r="M704" s="6" t="s">
        <v>2550</v>
      </c>
      <c r="N704" s="6" t="s">
        <v>6551</v>
      </c>
    </row>
    <row r="705" spans="1:14" x14ac:dyDescent="0.25">
      <c r="A705" s="6" t="s">
        <v>709</v>
      </c>
      <c r="B705" s="6" t="s">
        <v>6552</v>
      </c>
      <c r="C705" s="6" t="s">
        <v>6553</v>
      </c>
      <c r="D705" s="6">
        <v>25</v>
      </c>
      <c r="E705" s="5">
        <f t="shared" si="60"/>
        <v>25000</v>
      </c>
      <c r="F705" s="5">
        <f t="shared" si="61"/>
        <v>2125</v>
      </c>
      <c r="G705" s="5">
        <f t="shared" si="62"/>
        <v>5.8219178082191778</v>
      </c>
      <c r="H705" s="5">
        <f t="shared" si="63"/>
        <v>1065.4109589041095</v>
      </c>
      <c r="I705" s="5">
        <f t="shared" si="64"/>
        <v>63.92465753424657</v>
      </c>
      <c r="J705" s="5">
        <f t="shared" si="65"/>
        <v>1001.486301369863</v>
      </c>
      <c r="K705" s="1"/>
      <c r="L705" s="6" t="s">
        <v>971</v>
      </c>
      <c r="M705" s="6" t="s">
        <v>972</v>
      </c>
      <c r="N705" s="6" t="s">
        <v>6559</v>
      </c>
    </row>
    <row r="706" spans="1:14" x14ac:dyDescent="0.25">
      <c r="A706" s="6" t="s">
        <v>710</v>
      </c>
      <c r="B706" s="6" t="s">
        <v>6560</v>
      </c>
      <c r="C706" s="6" t="s">
        <v>6561</v>
      </c>
      <c r="D706" s="6">
        <v>50</v>
      </c>
      <c r="E706" s="5">
        <f t="shared" si="60"/>
        <v>50000</v>
      </c>
      <c r="F706" s="5">
        <f t="shared" si="61"/>
        <v>4250</v>
      </c>
      <c r="G706" s="5">
        <f t="shared" si="62"/>
        <v>11.643835616438356</v>
      </c>
      <c r="H706" s="5">
        <f t="shared" si="63"/>
        <v>2130.821917808219</v>
      </c>
      <c r="I706" s="5">
        <f t="shared" si="64"/>
        <v>127.84931506849314</v>
      </c>
      <c r="J706" s="5">
        <f t="shared" si="65"/>
        <v>2002.972602739726</v>
      </c>
      <c r="K706" s="1"/>
      <c r="L706" s="6" t="s">
        <v>910</v>
      </c>
      <c r="M706" s="6" t="s">
        <v>6567</v>
      </c>
      <c r="N706" s="6" t="s">
        <v>6568</v>
      </c>
    </row>
    <row r="707" spans="1:14" x14ac:dyDescent="0.25">
      <c r="A707" s="6" t="s">
        <v>2</v>
      </c>
      <c r="B707" s="6" t="s">
        <v>6569</v>
      </c>
      <c r="C707" s="6" t="s">
        <v>6570</v>
      </c>
      <c r="D707" s="6">
        <v>25</v>
      </c>
      <c r="E707" s="5">
        <f t="shared" si="60"/>
        <v>25000</v>
      </c>
      <c r="F707" s="5">
        <f t="shared" si="61"/>
        <v>2125</v>
      </c>
      <c r="G707" s="5">
        <f t="shared" si="62"/>
        <v>5.8219178082191778</v>
      </c>
      <c r="H707" s="5">
        <f t="shared" si="63"/>
        <v>1065.4109589041095</v>
      </c>
      <c r="I707" s="5">
        <f t="shared" si="64"/>
        <v>63.92465753424657</v>
      </c>
      <c r="J707" s="5">
        <f t="shared" si="65"/>
        <v>1001.486301369863</v>
      </c>
      <c r="K707" s="1"/>
      <c r="L707" s="6" t="s">
        <v>915</v>
      </c>
      <c r="M707" s="6" t="s">
        <v>6576</v>
      </c>
      <c r="N707" s="6" t="s">
        <v>6577</v>
      </c>
    </row>
    <row r="708" spans="1:14" x14ac:dyDescent="0.25">
      <c r="A708" s="6" t="s">
        <v>711</v>
      </c>
      <c r="B708" s="6" t="s">
        <v>6578</v>
      </c>
      <c r="C708" s="6" t="s">
        <v>6579</v>
      </c>
      <c r="D708" s="6">
        <v>25</v>
      </c>
      <c r="E708" s="5">
        <f t="shared" si="60"/>
        <v>25000</v>
      </c>
      <c r="F708" s="5">
        <f t="shared" si="61"/>
        <v>2125</v>
      </c>
      <c r="G708" s="5">
        <f t="shared" si="62"/>
        <v>5.8219178082191778</v>
      </c>
      <c r="H708" s="5">
        <f t="shared" si="63"/>
        <v>1065.4109589041095</v>
      </c>
      <c r="I708" s="5">
        <f t="shared" si="64"/>
        <v>63.92465753424657</v>
      </c>
      <c r="J708" s="5">
        <f t="shared" si="65"/>
        <v>1001.486301369863</v>
      </c>
      <c r="K708" s="1"/>
      <c r="L708" s="6" t="s">
        <v>1637</v>
      </c>
      <c r="M708" s="6" t="s">
        <v>6584</v>
      </c>
      <c r="N708" s="6" t="s">
        <v>6585</v>
      </c>
    </row>
    <row r="709" spans="1:14" x14ac:dyDescent="0.25">
      <c r="A709" s="6" t="s">
        <v>712</v>
      </c>
      <c r="B709" s="6" t="s">
        <v>6586</v>
      </c>
      <c r="C709" s="6" t="s">
        <v>6587</v>
      </c>
      <c r="D709" s="6">
        <v>50</v>
      </c>
      <c r="E709" s="5">
        <f t="shared" si="60"/>
        <v>50000</v>
      </c>
      <c r="F709" s="5">
        <f t="shared" si="61"/>
        <v>4250</v>
      </c>
      <c r="G709" s="5">
        <f t="shared" si="62"/>
        <v>11.643835616438356</v>
      </c>
      <c r="H709" s="5">
        <f t="shared" si="63"/>
        <v>2130.821917808219</v>
      </c>
      <c r="I709" s="5">
        <f t="shared" si="64"/>
        <v>127.84931506849314</v>
      </c>
      <c r="J709" s="5">
        <f t="shared" si="65"/>
        <v>2002.972602739726</v>
      </c>
      <c r="K709" s="1"/>
      <c r="L709" s="6" t="s">
        <v>919</v>
      </c>
      <c r="M709" s="6" t="s">
        <v>918</v>
      </c>
      <c r="N709" s="6" t="s">
        <v>6592</v>
      </c>
    </row>
    <row r="710" spans="1:14" x14ac:dyDescent="0.25">
      <c r="A710" s="6" t="s">
        <v>713</v>
      </c>
      <c r="B710" s="6" t="s">
        <v>6593</v>
      </c>
      <c r="C710" s="6" t="s">
        <v>6594</v>
      </c>
      <c r="D710" s="6">
        <v>25</v>
      </c>
      <c r="E710" s="5">
        <f t="shared" si="60"/>
        <v>25000</v>
      </c>
      <c r="F710" s="5">
        <f t="shared" si="61"/>
        <v>2125</v>
      </c>
      <c r="G710" s="5">
        <f t="shared" si="62"/>
        <v>5.8219178082191778</v>
      </c>
      <c r="H710" s="5">
        <f t="shared" si="63"/>
        <v>1065.4109589041095</v>
      </c>
      <c r="I710" s="5">
        <f t="shared" si="64"/>
        <v>63.92465753424657</v>
      </c>
      <c r="J710" s="5">
        <f t="shared" si="65"/>
        <v>1001.486301369863</v>
      </c>
      <c r="K710" s="1"/>
      <c r="L710" s="6" t="s">
        <v>1218</v>
      </c>
      <c r="M710" s="6" t="s">
        <v>6599</v>
      </c>
      <c r="N710" s="6" t="s">
        <v>6600</v>
      </c>
    </row>
    <row r="711" spans="1:14" x14ac:dyDescent="0.25">
      <c r="A711" s="6" t="s">
        <v>714</v>
      </c>
      <c r="B711" s="6" t="s">
        <v>6601</v>
      </c>
      <c r="C711" s="6" t="s">
        <v>6602</v>
      </c>
      <c r="D711" s="6">
        <v>25</v>
      </c>
      <c r="E711" s="5">
        <f t="shared" si="60"/>
        <v>25000</v>
      </c>
      <c r="F711" s="5">
        <f t="shared" si="61"/>
        <v>2125</v>
      </c>
      <c r="G711" s="5">
        <f t="shared" si="62"/>
        <v>5.8219178082191778</v>
      </c>
      <c r="H711" s="5">
        <f t="shared" si="63"/>
        <v>1065.4109589041095</v>
      </c>
      <c r="I711" s="5">
        <f t="shared" si="64"/>
        <v>63.92465753424657</v>
      </c>
      <c r="J711" s="5">
        <f t="shared" si="65"/>
        <v>1001.486301369863</v>
      </c>
      <c r="K711" s="1"/>
      <c r="L711" s="6" t="s">
        <v>4</v>
      </c>
      <c r="M711" s="6" t="s">
        <v>6608</v>
      </c>
      <c r="N711" s="6" t="s">
        <v>6609</v>
      </c>
    </row>
    <row r="712" spans="1:14" x14ac:dyDescent="0.25">
      <c r="A712" s="6" t="s">
        <v>715</v>
      </c>
      <c r="B712" s="6" t="s">
        <v>6610</v>
      </c>
      <c r="C712" s="6" t="s">
        <v>6611</v>
      </c>
      <c r="D712" s="6">
        <v>50</v>
      </c>
      <c r="E712" s="5">
        <f t="shared" ref="E712:E775" si="66">+D712*1000</f>
        <v>50000</v>
      </c>
      <c r="F712" s="5">
        <f t="shared" ref="F712:F775" si="67">+E712*8.5%</f>
        <v>4250</v>
      </c>
      <c r="G712" s="5">
        <f t="shared" ref="G712:G775" si="68">+F712/365</f>
        <v>11.643835616438356</v>
      </c>
      <c r="H712" s="5">
        <f t="shared" ref="H712:H775" si="69">G712*$H$4</f>
        <v>2130.821917808219</v>
      </c>
      <c r="I712" s="5">
        <f t="shared" ref="I712:I775" si="70">+H712*6%</f>
        <v>127.84931506849314</v>
      </c>
      <c r="J712" s="5">
        <f t="shared" ref="J712:J775" si="71">+H712-I712</f>
        <v>2002.972602739726</v>
      </c>
      <c r="K712" s="1"/>
      <c r="L712" s="6" t="s">
        <v>1478</v>
      </c>
      <c r="M712" s="6" t="s">
        <v>1479</v>
      </c>
      <c r="N712" s="6" t="s">
        <v>6616</v>
      </c>
    </row>
    <row r="713" spans="1:14" x14ac:dyDescent="0.25">
      <c r="A713" s="6" t="s">
        <v>716</v>
      </c>
      <c r="B713" s="6" t="s">
        <v>6617</v>
      </c>
      <c r="C713" s="6" t="s">
        <v>6618</v>
      </c>
      <c r="D713" s="6">
        <v>25</v>
      </c>
      <c r="E713" s="5">
        <f t="shared" si="66"/>
        <v>25000</v>
      </c>
      <c r="F713" s="5">
        <f t="shared" si="67"/>
        <v>2125</v>
      </c>
      <c r="G713" s="5">
        <f t="shared" si="68"/>
        <v>5.8219178082191778</v>
      </c>
      <c r="H713" s="5">
        <f t="shared" si="69"/>
        <v>1065.4109589041095</v>
      </c>
      <c r="I713" s="5">
        <f t="shared" si="70"/>
        <v>63.92465753424657</v>
      </c>
      <c r="J713" s="5">
        <f t="shared" si="71"/>
        <v>1001.486301369863</v>
      </c>
      <c r="K713" s="1"/>
      <c r="L713" s="6" t="s">
        <v>909</v>
      </c>
      <c r="M713" s="6" t="s">
        <v>1237</v>
      </c>
      <c r="N713" s="6" t="s">
        <v>6623</v>
      </c>
    </row>
    <row r="714" spans="1:14" x14ac:dyDescent="0.25">
      <c r="A714" s="6" t="s">
        <v>717</v>
      </c>
      <c r="B714" s="6" t="s">
        <v>6624</v>
      </c>
      <c r="C714" s="6" t="s">
        <v>6625</v>
      </c>
      <c r="D714" s="6">
        <v>25</v>
      </c>
      <c r="E714" s="5">
        <f t="shared" si="66"/>
        <v>25000</v>
      </c>
      <c r="F714" s="5">
        <f t="shared" si="67"/>
        <v>2125</v>
      </c>
      <c r="G714" s="5">
        <f t="shared" si="68"/>
        <v>5.8219178082191778</v>
      </c>
      <c r="H714" s="5">
        <f t="shared" si="69"/>
        <v>1065.4109589041095</v>
      </c>
      <c r="I714" s="5">
        <f t="shared" si="70"/>
        <v>63.92465753424657</v>
      </c>
      <c r="J714" s="5">
        <f t="shared" si="71"/>
        <v>1001.486301369863</v>
      </c>
      <c r="K714" s="1"/>
      <c r="L714" s="6" t="s">
        <v>8</v>
      </c>
      <c r="M714" s="6" t="s">
        <v>6631</v>
      </c>
      <c r="N714" s="6" t="s">
        <v>6632</v>
      </c>
    </row>
    <row r="715" spans="1:14" x14ac:dyDescent="0.25">
      <c r="A715" s="6" t="s">
        <v>718</v>
      </c>
      <c r="B715" s="6" t="s">
        <v>6633</v>
      </c>
      <c r="C715" s="6" t="s">
        <v>6634</v>
      </c>
      <c r="D715" s="6">
        <v>250</v>
      </c>
      <c r="E715" s="5">
        <f t="shared" si="66"/>
        <v>250000</v>
      </c>
      <c r="F715" s="5">
        <f t="shared" si="67"/>
        <v>21250</v>
      </c>
      <c r="G715" s="5">
        <f t="shared" si="68"/>
        <v>58.219178082191782</v>
      </c>
      <c r="H715" s="5">
        <f t="shared" si="69"/>
        <v>10654.109589041096</v>
      </c>
      <c r="I715" s="5">
        <f t="shared" si="70"/>
        <v>639.24657534246569</v>
      </c>
      <c r="J715" s="5">
        <f t="shared" si="71"/>
        <v>10014.86301369863</v>
      </c>
      <c r="K715" s="1"/>
      <c r="L715" s="6" t="s">
        <v>8</v>
      </c>
      <c r="M715" s="6" t="s">
        <v>1129</v>
      </c>
      <c r="N715" s="6" t="s">
        <v>6639</v>
      </c>
    </row>
    <row r="716" spans="1:14" x14ac:dyDescent="0.25">
      <c r="A716" s="6" t="s">
        <v>719</v>
      </c>
      <c r="B716" s="6" t="s">
        <v>6640</v>
      </c>
      <c r="C716" s="6" t="s">
        <v>6641</v>
      </c>
      <c r="D716" s="6">
        <v>200</v>
      </c>
      <c r="E716" s="5">
        <f t="shared" si="66"/>
        <v>200000</v>
      </c>
      <c r="F716" s="5">
        <f t="shared" si="67"/>
        <v>17000</v>
      </c>
      <c r="G716" s="5">
        <f t="shared" si="68"/>
        <v>46.575342465753423</v>
      </c>
      <c r="H716" s="5">
        <f t="shared" si="69"/>
        <v>8523.2876712328762</v>
      </c>
      <c r="I716" s="5">
        <f t="shared" si="70"/>
        <v>511.39726027397256</v>
      </c>
      <c r="J716" s="5">
        <f t="shared" si="71"/>
        <v>8011.8904109589039</v>
      </c>
      <c r="K716" s="1"/>
      <c r="L716" s="6" t="s">
        <v>4</v>
      </c>
      <c r="M716" s="6" t="s">
        <v>924</v>
      </c>
      <c r="N716" s="6" t="s">
        <v>6645</v>
      </c>
    </row>
    <row r="717" spans="1:14" x14ac:dyDescent="0.25">
      <c r="A717" s="6" t="s">
        <v>720</v>
      </c>
      <c r="B717" s="6" t="s">
        <v>6646</v>
      </c>
      <c r="C717" s="6" t="s">
        <v>6647</v>
      </c>
      <c r="D717" s="6">
        <v>50</v>
      </c>
      <c r="E717" s="5">
        <f t="shared" si="66"/>
        <v>50000</v>
      </c>
      <c r="F717" s="5">
        <f t="shared" si="67"/>
        <v>4250</v>
      </c>
      <c r="G717" s="5">
        <f t="shared" si="68"/>
        <v>11.643835616438356</v>
      </c>
      <c r="H717" s="5">
        <f t="shared" si="69"/>
        <v>2130.821917808219</v>
      </c>
      <c r="I717" s="5">
        <f t="shared" si="70"/>
        <v>127.84931506849314</v>
      </c>
      <c r="J717" s="5">
        <f t="shared" si="71"/>
        <v>2002.972602739726</v>
      </c>
      <c r="K717" s="1"/>
      <c r="L717" s="6" t="s">
        <v>8</v>
      </c>
      <c r="M717" s="6" t="s">
        <v>1129</v>
      </c>
      <c r="N717" s="6" t="s">
        <v>6653</v>
      </c>
    </row>
    <row r="718" spans="1:14" x14ac:dyDescent="0.25">
      <c r="A718" s="6" t="s">
        <v>721</v>
      </c>
      <c r="B718" s="6" t="s">
        <v>6654</v>
      </c>
      <c r="C718" s="6" t="s">
        <v>6655</v>
      </c>
      <c r="D718" s="6">
        <v>25</v>
      </c>
      <c r="E718" s="5">
        <f t="shared" si="66"/>
        <v>25000</v>
      </c>
      <c r="F718" s="5">
        <f t="shared" si="67"/>
        <v>2125</v>
      </c>
      <c r="G718" s="5">
        <f t="shared" si="68"/>
        <v>5.8219178082191778</v>
      </c>
      <c r="H718" s="5">
        <f t="shared" si="69"/>
        <v>1065.4109589041095</v>
      </c>
      <c r="I718" s="5">
        <f t="shared" si="70"/>
        <v>63.92465753424657</v>
      </c>
      <c r="J718" s="5">
        <f t="shared" si="71"/>
        <v>1001.486301369863</v>
      </c>
      <c r="K718" s="1"/>
      <c r="L718" s="6" t="s">
        <v>915</v>
      </c>
      <c r="M718" s="6" t="s">
        <v>4078</v>
      </c>
      <c r="N718" s="6" t="s">
        <v>6661</v>
      </c>
    </row>
    <row r="719" spans="1:14" x14ac:dyDescent="0.25">
      <c r="A719" s="6" t="s">
        <v>722</v>
      </c>
      <c r="B719" s="6" t="s">
        <v>6662</v>
      </c>
      <c r="C719" s="6" t="s">
        <v>6663</v>
      </c>
      <c r="D719" s="6">
        <v>1000</v>
      </c>
      <c r="E719" s="5">
        <f t="shared" si="66"/>
        <v>1000000</v>
      </c>
      <c r="F719" s="5">
        <f t="shared" si="67"/>
        <v>85000</v>
      </c>
      <c r="G719" s="5">
        <f t="shared" si="68"/>
        <v>232.87671232876713</v>
      </c>
      <c r="H719" s="5">
        <f t="shared" si="69"/>
        <v>42616.438356164384</v>
      </c>
      <c r="I719" s="5">
        <f t="shared" si="70"/>
        <v>2556.9863013698628</v>
      </c>
      <c r="J719" s="5">
        <f t="shared" si="71"/>
        <v>40059.452054794521</v>
      </c>
      <c r="K719" s="1"/>
      <c r="L719" s="6" t="s">
        <v>8</v>
      </c>
      <c r="M719" s="6" t="s">
        <v>1177</v>
      </c>
      <c r="N719" s="6" t="s">
        <v>6669</v>
      </c>
    </row>
    <row r="720" spans="1:14" x14ac:dyDescent="0.25">
      <c r="A720" s="6" t="s">
        <v>723</v>
      </c>
      <c r="B720" s="6" t="s">
        <v>6670</v>
      </c>
      <c r="C720" s="6" t="s">
        <v>6671</v>
      </c>
      <c r="D720" s="6">
        <v>25</v>
      </c>
      <c r="E720" s="5">
        <f t="shared" si="66"/>
        <v>25000</v>
      </c>
      <c r="F720" s="5">
        <f t="shared" si="67"/>
        <v>2125</v>
      </c>
      <c r="G720" s="5">
        <f t="shared" si="68"/>
        <v>5.8219178082191778</v>
      </c>
      <c r="H720" s="5">
        <f t="shared" si="69"/>
        <v>1065.4109589041095</v>
      </c>
      <c r="I720" s="5">
        <f t="shared" si="70"/>
        <v>63.92465753424657</v>
      </c>
      <c r="J720" s="5">
        <f t="shared" si="71"/>
        <v>1001.486301369863</v>
      </c>
      <c r="K720" s="1"/>
      <c r="L720" s="6" t="s">
        <v>8</v>
      </c>
      <c r="M720" s="6" t="s">
        <v>6676</v>
      </c>
      <c r="N720" s="6" t="s">
        <v>6677</v>
      </c>
    </row>
    <row r="721" spans="1:14" x14ac:dyDescent="0.25">
      <c r="A721" s="6" t="s">
        <v>724</v>
      </c>
      <c r="B721" s="6" t="s">
        <v>6678</v>
      </c>
      <c r="C721" s="6" t="s">
        <v>6679</v>
      </c>
      <c r="D721" s="6">
        <v>50</v>
      </c>
      <c r="E721" s="5">
        <f t="shared" si="66"/>
        <v>50000</v>
      </c>
      <c r="F721" s="5">
        <f t="shared" si="67"/>
        <v>4250</v>
      </c>
      <c r="G721" s="5">
        <f t="shared" si="68"/>
        <v>11.643835616438356</v>
      </c>
      <c r="H721" s="5">
        <f t="shared" si="69"/>
        <v>2130.821917808219</v>
      </c>
      <c r="I721" s="5">
        <f t="shared" si="70"/>
        <v>127.84931506849314</v>
      </c>
      <c r="J721" s="5">
        <f t="shared" si="71"/>
        <v>2002.972602739726</v>
      </c>
      <c r="K721" s="1"/>
      <c r="L721" s="6" t="s">
        <v>971</v>
      </c>
      <c r="M721" s="6" t="s">
        <v>972</v>
      </c>
      <c r="N721" s="6" t="s">
        <v>6684</v>
      </c>
    </row>
    <row r="722" spans="1:14" x14ac:dyDescent="0.25">
      <c r="A722" s="6" t="s">
        <v>725</v>
      </c>
      <c r="B722" s="6" t="s">
        <v>6685</v>
      </c>
      <c r="C722" s="6" t="s">
        <v>6686</v>
      </c>
      <c r="D722" s="6">
        <v>100</v>
      </c>
      <c r="E722" s="5">
        <f t="shared" si="66"/>
        <v>100000</v>
      </c>
      <c r="F722" s="5">
        <f t="shared" si="67"/>
        <v>8500</v>
      </c>
      <c r="G722" s="5">
        <f t="shared" si="68"/>
        <v>23.287671232876711</v>
      </c>
      <c r="H722" s="5">
        <f t="shared" si="69"/>
        <v>4261.6438356164381</v>
      </c>
      <c r="I722" s="5">
        <f t="shared" si="70"/>
        <v>255.69863013698628</v>
      </c>
      <c r="J722" s="5">
        <f t="shared" si="71"/>
        <v>4005.9452054794519</v>
      </c>
      <c r="K722" s="1"/>
      <c r="L722" s="6" t="s">
        <v>919</v>
      </c>
      <c r="M722" s="6" t="s">
        <v>918</v>
      </c>
      <c r="N722" s="6" t="s">
        <v>6691</v>
      </c>
    </row>
    <row r="723" spans="1:14" x14ac:dyDescent="0.25">
      <c r="A723" s="6" t="s">
        <v>726</v>
      </c>
      <c r="B723" s="6" t="s">
        <v>6692</v>
      </c>
      <c r="C723" s="6" t="s">
        <v>6693</v>
      </c>
      <c r="D723" s="6">
        <v>50</v>
      </c>
      <c r="E723" s="5">
        <f t="shared" si="66"/>
        <v>50000</v>
      </c>
      <c r="F723" s="5">
        <f t="shared" si="67"/>
        <v>4250</v>
      </c>
      <c r="G723" s="5">
        <f t="shared" si="68"/>
        <v>11.643835616438356</v>
      </c>
      <c r="H723" s="5">
        <f t="shared" si="69"/>
        <v>2130.821917808219</v>
      </c>
      <c r="I723" s="5">
        <f t="shared" si="70"/>
        <v>127.84931506849314</v>
      </c>
      <c r="J723" s="5">
        <f t="shared" si="71"/>
        <v>2002.972602739726</v>
      </c>
      <c r="K723" s="1"/>
      <c r="L723" s="6" t="s">
        <v>909</v>
      </c>
      <c r="M723" s="6" t="s">
        <v>1237</v>
      </c>
      <c r="N723" s="6" t="s">
        <v>6697</v>
      </c>
    </row>
    <row r="724" spans="1:14" x14ac:dyDescent="0.25">
      <c r="A724" s="6" t="s">
        <v>727</v>
      </c>
      <c r="B724" s="6" t="s">
        <v>6698</v>
      </c>
      <c r="C724" s="6" t="s">
        <v>6699</v>
      </c>
      <c r="D724" s="6">
        <v>25</v>
      </c>
      <c r="E724" s="5">
        <f t="shared" si="66"/>
        <v>25000</v>
      </c>
      <c r="F724" s="5">
        <f t="shared" si="67"/>
        <v>2125</v>
      </c>
      <c r="G724" s="5">
        <f t="shared" si="68"/>
        <v>5.8219178082191778</v>
      </c>
      <c r="H724" s="5">
        <f t="shared" si="69"/>
        <v>1065.4109589041095</v>
      </c>
      <c r="I724" s="5">
        <f t="shared" si="70"/>
        <v>63.92465753424657</v>
      </c>
      <c r="J724" s="5">
        <f t="shared" si="71"/>
        <v>1001.486301369863</v>
      </c>
      <c r="K724" s="1"/>
      <c r="L724" s="6" t="s">
        <v>915</v>
      </c>
      <c r="M724" s="6" t="s">
        <v>6704</v>
      </c>
      <c r="N724" s="6" t="s">
        <v>6705</v>
      </c>
    </row>
    <row r="725" spans="1:14" x14ac:dyDescent="0.25">
      <c r="A725" s="6" t="s">
        <v>728</v>
      </c>
      <c r="B725" s="6" t="s">
        <v>6706</v>
      </c>
      <c r="C725" s="6" t="s">
        <v>6707</v>
      </c>
      <c r="D725" s="6">
        <v>25</v>
      </c>
      <c r="E725" s="5">
        <f t="shared" si="66"/>
        <v>25000</v>
      </c>
      <c r="F725" s="5">
        <f t="shared" si="67"/>
        <v>2125</v>
      </c>
      <c r="G725" s="5">
        <f t="shared" si="68"/>
        <v>5.8219178082191778</v>
      </c>
      <c r="H725" s="5">
        <f t="shared" si="69"/>
        <v>1065.4109589041095</v>
      </c>
      <c r="I725" s="5">
        <f t="shared" si="70"/>
        <v>63.92465753424657</v>
      </c>
      <c r="J725" s="5">
        <f t="shared" si="71"/>
        <v>1001.486301369863</v>
      </c>
      <c r="K725" s="1"/>
      <c r="L725" s="6" t="s">
        <v>1871</v>
      </c>
      <c r="M725" s="6" t="s">
        <v>2131</v>
      </c>
      <c r="N725" s="6" t="s">
        <v>6712</v>
      </c>
    </row>
    <row r="726" spans="1:14" x14ac:dyDescent="0.25">
      <c r="A726" s="6" t="s">
        <v>729</v>
      </c>
      <c r="B726" s="6" t="s">
        <v>6713</v>
      </c>
      <c r="C726" s="6" t="s">
        <v>6714</v>
      </c>
      <c r="D726" s="6">
        <v>25</v>
      </c>
      <c r="E726" s="5">
        <f t="shared" si="66"/>
        <v>25000</v>
      </c>
      <c r="F726" s="5">
        <f t="shared" si="67"/>
        <v>2125</v>
      </c>
      <c r="G726" s="5">
        <f t="shared" si="68"/>
        <v>5.8219178082191778</v>
      </c>
      <c r="H726" s="5">
        <f t="shared" si="69"/>
        <v>1065.4109589041095</v>
      </c>
      <c r="I726" s="5">
        <f t="shared" si="70"/>
        <v>63.92465753424657</v>
      </c>
      <c r="J726" s="5">
        <f t="shared" si="71"/>
        <v>1001.486301369863</v>
      </c>
      <c r="K726" s="1"/>
      <c r="L726" s="6" t="s">
        <v>915</v>
      </c>
      <c r="M726" s="6" t="s">
        <v>926</v>
      </c>
      <c r="N726" s="6" t="s">
        <v>6720</v>
      </c>
    </row>
    <row r="727" spans="1:14" x14ac:dyDescent="0.25">
      <c r="A727" s="6" t="s">
        <v>730</v>
      </c>
      <c r="B727" s="6" t="s">
        <v>6721</v>
      </c>
      <c r="C727" s="6" t="s">
        <v>6722</v>
      </c>
      <c r="D727" s="6">
        <v>25</v>
      </c>
      <c r="E727" s="5">
        <f t="shared" si="66"/>
        <v>25000</v>
      </c>
      <c r="F727" s="5">
        <f t="shared" si="67"/>
        <v>2125</v>
      </c>
      <c r="G727" s="5">
        <f t="shared" si="68"/>
        <v>5.8219178082191778</v>
      </c>
      <c r="H727" s="5">
        <f t="shared" si="69"/>
        <v>1065.4109589041095</v>
      </c>
      <c r="I727" s="5">
        <f t="shared" si="70"/>
        <v>63.92465753424657</v>
      </c>
      <c r="J727" s="5">
        <f t="shared" si="71"/>
        <v>1001.486301369863</v>
      </c>
      <c r="K727" s="1"/>
      <c r="L727" s="6" t="s">
        <v>1637</v>
      </c>
      <c r="M727" s="6" t="s">
        <v>6727</v>
      </c>
      <c r="N727" s="6" t="s">
        <v>6728</v>
      </c>
    </row>
    <row r="728" spans="1:14" x14ac:dyDescent="0.25">
      <c r="A728" s="6" t="s">
        <v>731</v>
      </c>
      <c r="B728" s="6" t="s">
        <v>6729</v>
      </c>
      <c r="C728" s="6" t="s">
        <v>6730</v>
      </c>
      <c r="D728" s="6">
        <v>25</v>
      </c>
      <c r="E728" s="5">
        <f t="shared" si="66"/>
        <v>25000</v>
      </c>
      <c r="F728" s="5">
        <f t="shared" si="67"/>
        <v>2125</v>
      </c>
      <c r="G728" s="5">
        <f t="shared" si="68"/>
        <v>5.8219178082191778</v>
      </c>
      <c r="H728" s="5">
        <f t="shared" si="69"/>
        <v>1065.4109589041095</v>
      </c>
      <c r="I728" s="5">
        <f t="shared" si="70"/>
        <v>63.92465753424657</v>
      </c>
      <c r="J728" s="5">
        <f t="shared" si="71"/>
        <v>1001.486301369863</v>
      </c>
      <c r="K728" s="1"/>
      <c r="L728" s="6" t="s">
        <v>1218</v>
      </c>
      <c r="M728" s="6" t="s">
        <v>1355</v>
      </c>
      <c r="N728" s="6" t="s">
        <v>6734</v>
      </c>
    </row>
    <row r="729" spans="1:14" x14ac:dyDescent="0.25">
      <c r="A729" s="6" t="s">
        <v>732</v>
      </c>
      <c r="B729" s="6" t="s">
        <v>6735</v>
      </c>
      <c r="C729" s="6" t="s">
        <v>6736</v>
      </c>
      <c r="D729" s="6">
        <v>25</v>
      </c>
      <c r="E729" s="5">
        <f t="shared" si="66"/>
        <v>25000</v>
      </c>
      <c r="F729" s="5">
        <f t="shared" si="67"/>
        <v>2125</v>
      </c>
      <c r="G729" s="5">
        <f t="shared" si="68"/>
        <v>5.8219178082191778</v>
      </c>
      <c r="H729" s="5">
        <f t="shared" si="69"/>
        <v>1065.4109589041095</v>
      </c>
      <c r="I729" s="5">
        <f t="shared" si="70"/>
        <v>63.92465753424657</v>
      </c>
      <c r="J729" s="5">
        <f t="shared" si="71"/>
        <v>1001.486301369863</v>
      </c>
      <c r="K729" s="1"/>
      <c r="L729" s="6" t="s">
        <v>1218</v>
      </c>
      <c r="M729" s="6" t="s">
        <v>3475</v>
      </c>
      <c r="N729" s="6" t="s">
        <v>6742</v>
      </c>
    </row>
    <row r="730" spans="1:14" x14ac:dyDescent="0.25">
      <c r="A730" s="6" t="s">
        <v>733</v>
      </c>
      <c r="B730" s="6" t="s">
        <v>6743</v>
      </c>
      <c r="C730" s="6" t="s">
        <v>6744</v>
      </c>
      <c r="D730" s="6">
        <v>25</v>
      </c>
      <c r="E730" s="5">
        <f t="shared" si="66"/>
        <v>25000</v>
      </c>
      <c r="F730" s="5">
        <f t="shared" si="67"/>
        <v>2125</v>
      </c>
      <c r="G730" s="5">
        <f t="shared" si="68"/>
        <v>5.8219178082191778</v>
      </c>
      <c r="H730" s="5">
        <f t="shared" si="69"/>
        <v>1065.4109589041095</v>
      </c>
      <c r="I730" s="5">
        <f t="shared" si="70"/>
        <v>63.92465753424657</v>
      </c>
      <c r="J730" s="5">
        <f t="shared" si="71"/>
        <v>1001.486301369863</v>
      </c>
      <c r="K730" s="1"/>
      <c r="L730" s="6" t="s">
        <v>1637</v>
      </c>
      <c r="M730" s="6" t="s">
        <v>6749</v>
      </c>
      <c r="N730" s="6" t="s">
        <v>6750</v>
      </c>
    </row>
    <row r="731" spans="1:14" x14ac:dyDescent="0.25">
      <c r="A731" s="6" t="s">
        <v>734</v>
      </c>
      <c r="B731" s="6" t="s">
        <v>6751</v>
      </c>
      <c r="C731" s="6" t="s">
        <v>6752</v>
      </c>
      <c r="D731" s="6">
        <v>25</v>
      </c>
      <c r="E731" s="5">
        <f t="shared" si="66"/>
        <v>25000</v>
      </c>
      <c r="F731" s="5">
        <f t="shared" si="67"/>
        <v>2125</v>
      </c>
      <c r="G731" s="5">
        <f t="shared" si="68"/>
        <v>5.8219178082191778</v>
      </c>
      <c r="H731" s="5">
        <f t="shared" si="69"/>
        <v>1065.4109589041095</v>
      </c>
      <c r="I731" s="5">
        <f t="shared" si="70"/>
        <v>63.92465753424657</v>
      </c>
      <c r="J731" s="5">
        <f t="shared" si="71"/>
        <v>1001.486301369863</v>
      </c>
      <c r="K731" s="1"/>
      <c r="L731" s="6" t="s">
        <v>1262</v>
      </c>
      <c r="M731" s="6" t="s">
        <v>6756</v>
      </c>
      <c r="N731" s="6" t="s">
        <v>6757</v>
      </c>
    </row>
    <row r="732" spans="1:14" x14ac:dyDescent="0.25">
      <c r="A732" s="6" t="s">
        <v>735</v>
      </c>
      <c r="B732" s="6" t="s">
        <v>6758</v>
      </c>
      <c r="C732" s="6" t="s">
        <v>6759</v>
      </c>
      <c r="D732" s="6">
        <v>25</v>
      </c>
      <c r="E732" s="5">
        <f t="shared" si="66"/>
        <v>25000</v>
      </c>
      <c r="F732" s="5">
        <f t="shared" si="67"/>
        <v>2125</v>
      </c>
      <c r="G732" s="5">
        <f t="shared" si="68"/>
        <v>5.8219178082191778</v>
      </c>
      <c r="H732" s="5">
        <f t="shared" si="69"/>
        <v>1065.4109589041095</v>
      </c>
      <c r="I732" s="5">
        <f t="shared" si="70"/>
        <v>63.92465753424657</v>
      </c>
      <c r="J732" s="5">
        <f t="shared" si="71"/>
        <v>1001.486301369863</v>
      </c>
      <c r="K732" s="1"/>
      <c r="L732" s="6" t="s">
        <v>915</v>
      </c>
      <c r="M732" s="6" t="s">
        <v>4078</v>
      </c>
      <c r="N732" s="6" t="s">
        <v>6764</v>
      </c>
    </row>
    <row r="733" spans="1:14" x14ac:dyDescent="0.25">
      <c r="A733" s="6" t="s">
        <v>736</v>
      </c>
      <c r="B733" s="6" t="s">
        <v>6765</v>
      </c>
      <c r="C733" s="6" t="s">
        <v>6766</v>
      </c>
      <c r="D733" s="6">
        <v>30</v>
      </c>
      <c r="E733" s="5">
        <f t="shared" si="66"/>
        <v>30000</v>
      </c>
      <c r="F733" s="5">
        <f t="shared" si="67"/>
        <v>2550</v>
      </c>
      <c r="G733" s="5">
        <f t="shared" si="68"/>
        <v>6.9863013698630141</v>
      </c>
      <c r="H733" s="5">
        <f t="shared" si="69"/>
        <v>1278.4931506849316</v>
      </c>
      <c r="I733" s="5">
        <f t="shared" si="70"/>
        <v>76.709589041095896</v>
      </c>
      <c r="J733" s="5">
        <f t="shared" si="71"/>
        <v>1201.7835616438358</v>
      </c>
      <c r="K733" s="1"/>
      <c r="L733" s="6" t="s">
        <v>1637</v>
      </c>
      <c r="M733" s="6" t="s">
        <v>2316</v>
      </c>
      <c r="N733" s="6" t="s">
        <v>6772</v>
      </c>
    </row>
    <row r="734" spans="1:14" x14ac:dyDescent="0.25">
      <c r="A734" s="6" t="s">
        <v>737</v>
      </c>
      <c r="B734" s="6" t="s">
        <v>6773</v>
      </c>
      <c r="C734" s="6" t="s">
        <v>6774</v>
      </c>
      <c r="D734" s="6">
        <v>100</v>
      </c>
      <c r="E734" s="5">
        <f t="shared" si="66"/>
        <v>100000</v>
      </c>
      <c r="F734" s="5">
        <f t="shared" si="67"/>
        <v>8500</v>
      </c>
      <c r="G734" s="5">
        <f t="shared" si="68"/>
        <v>23.287671232876711</v>
      </c>
      <c r="H734" s="5">
        <f t="shared" si="69"/>
        <v>4261.6438356164381</v>
      </c>
      <c r="I734" s="5">
        <f t="shared" si="70"/>
        <v>255.69863013698628</v>
      </c>
      <c r="J734" s="5">
        <f t="shared" si="71"/>
        <v>4005.9452054794519</v>
      </c>
      <c r="K734" s="1"/>
      <c r="L734" s="6" t="s">
        <v>6779</v>
      </c>
      <c r="M734" s="6" t="s">
        <v>6780</v>
      </c>
      <c r="N734" s="6" t="s">
        <v>6781</v>
      </c>
    </row>
    <row r="735" spans="1:14" x14ac:dyDescent="0.25">
      <c r="A735" s="6" t="s">
        <v>738</v>
      </c>
      <c r="B735" s="6" t="s">
        <v>6782</v>
      </c>
      <c r="C735" s="6" t="s">
        <v>6783</v>
      </c>
      <c r="D735" s="6">
        <v>50</v>
      </c>
      <c r="E735" s="5">
        <f t="shared" si="66"/>
        <v>50000</v>
      </c>
      <c r="F735" s="5">
        <f t="shared" si="67"/>
        <v>4250</v>
      </c>
      <c r="G735" s="5">
        <f t="shared" si="68"/>
        <v>11.643835616438356</v>
      </c>
      <c r="H735" s="5">
        <f t="shared" si="69"/>
        <v>2130.821917808219</v>
      </c>
      <c r="I735" s="5">
        <f t="shared" si="70"/>
        <v>127.84931506849314</v>
      </c>
      <c r="J735" s="5">
        <f t="shared" si="71"/>
        <v>2002.972602739726</v>
      </c>
      <c r="K735" s="1"/>
      <c r="L735" s="6" t="s">
        <v>1637</v>
      </c>
      <c r="M735" s="6" t="s">
        <v>4474</v>
      </c>
      <c r="N735" s="6" t="s">
        <v>6789</v>
      </c>
    </row>
    <row r="736" spans="1:14" x14ac:dyDescent="0.25">
      <c r="A736" s="6" t="s">
        <v>739</v>
      </c>
      <c r="B736" s="6" t="s">
        <v>6790</v>
      </c>
      <c r="C736" s="6" t="s">
        <v>6791</v>
      </c>
      <c r="D736" s="6">
        <v>25</v>
      </c>
      <c r="E736" s="5">
        <f t="shared" si="66"/>
        <v>25000</v>
      </c>
      <c r="F736" s="5">
        <f t="shared" si="67"/>
        <v>2125</v>
      </c>
      <c r="G736" s="5">
        <f t="shared" si="68"/>
        <v>5.8219178082191778</v>
      </c>
      <c r="H736" s="5">
        <f t="shared" si="69"/>
        <v>1065.4109589041095</v>
      </c>
      <c r="I736" s="5">
        <f t="shared" si="70"/>
        <v>63.92465753424657</v>
      </c>
      <c r="J736" s="5">
        <f t="shared" si="71"/>
        <v>1001.486301369863</v>
      </c>
      <c r="K736" s="1"/>
      <c r="L736" s="6" t="s">
        <v>8</v>
      </c>
      <c r="M736" s="6" t="s">
        <v>1020</v>
      </c>
      <c r="N736" s="6" t="s">
        <v>6796</v>
      </c>
    </row>
    <row r="737" spans="1:14" x14ac:dyDescent="0.25">
      <c r="A737" s="6" t="s">
        <v>740</v>
      </c>
      <c r="B737" s="6" t="s">
        <v>6797</v>
      </c>
      <c r="C737" s="6" t="s">
        <v>6798</v>
      </c>
      <c r="D737" s="6">
        <v>100</v>
      </c>
      <c r="E737" s="5">
        <f t="shared" si="66"/>
        <v>100000</v>
      </c>
      <c r="F737" s="5">
        <f t="shared" si="67"/>
        <v>8500</v>
      </c>
      <c r="G737" s="5">
        <f t="shared" si="68"/>
        <v>23.287671232876711</v>
      </c>
      <c r="H737" s="5">
        <f t="shared" si="69"/>
        <v>4261.6438356164381</v>
      </c>
      <c r="I737" s="5">
        <f t="shared" si="70"/>
        <v>255.69863013698628</v>
      </c>
      <c r="J737" s="5">
        <f t="shared" si="71"/>
        <v>4005.9452054794519</v>
      </c>
      <c r="K737" s="1"/>
      <c r="L737" s="6" t="s">
        <v>1</v>
      </c>
      <c r="M737" s="6" t="s">
        <v>2645</v>
      </c>
      <c r="N737" s="6" t="s">
        <v>6803</v>
      </c>
    </row>
    <row r="738" spans="1:14" x14ac:dyDescent="0.25">
      <c r="A738" s="6" t="s">
        <v>741</v>
      </c>
      <c r="B738" s="6" t="s">
        <v>6804</v>
      </c>
      <c r="C738" s="6" t="s">
        <v>6805</v>
      </c>
      <c r="D738" s="6">
        <v>25</v>
      </c>
      <c r="E738" s="5">
        <f t="shared" si="66"/>
        <v>25000</v>
      </c>
      <c r="F738" s="5">
        <f t="shared" si="67"/>
        <v>2125</v>
      </c>
      <c r="G738" s="5">
        <f t="shared" si="68"/>
        <v>5.8219178082191778</v>
      </c>
      <c r="H738" s="5">
        <f t="shared" si="69"/>
        <v>1065.4109589041095</v>
      </c>
      <c r="I738" s="5">
        <f t="shared" si="70"/>
        <v>63.92465753424657</v>
      </c>
      <c r="J738" s="5">
        <f t="shared" si="71"/>
        <v>1001.486301369863</v>
      </c>
      <c r="K738" s="1"/>
      <c r="L738" s="6" t="s">
        <v>910</v>
      </c>
      <c r="M738" s="6" t="s">
        <v>4220</v>
      </c>
      <c r="N738" s="6" t="s">
        <v>6810</v>
      </c>
    </row>
    <row r="739" spans="1:14" x14ac:dyDescent="0.25">
      <c r="A739" s="6" t="s">
        <v>742</v>
      </c>
      <c r="B739" s="6" t="s">
        <v>6811</v>
      </c>
      <c r="C739" s="6" t="s">
        <v>6812</v>
      </c>
      <c r="D739" s="6">
        <v>25</v>
      </c>
      <c r="E739" s="5">
        <f t="shared" si="66"/>
        <v>25000</v>
      </c>
      <c r="F739" s="5">
        <f t="shared" si="67"/>
        <v>2125</v>
      </c>
      <c r="G739" s="5">
        <f t="shared" si="68"/>
        <v>5.8219178082191778</v>
      </c>
      <c r="H739" s="5">
        <f t="shared" si="69"/>
        <v>1065.4109589041095</v>
      </c>
      <c r="I739" s="5">
        <f t="shared" si="70"/>
        <v>63.92465753424657</v>
      </c>
      <c r="J739" s="5">
        <f t="shared" si="71"/>
        <v>1001.486301369863</v>
      </c>
      <c r="K739" s="1"/>
      <c r="L739" s="6" t="s">
        <v>909</v>
      </c>
      <c r="M739" s="6" t="s">
        <v>1237</v>
      </c>
      <c r="N739" s="6" t="s">
        <v>6816</v>
      </c>
    </row>
    <row r="740" spans="1:14" x14ac:dyDescent="0.25">
      <c r="A740" s="6" t="s">
        <v>743</v>
      </c>
      <c r="B740" s="6" t="s">
        <v>6817</v>
      </c>
      <c r="C740" s="6" t="s">
        <v>6818</v>
      </c>
      <c r="D740" s="6">
        <v>25</v>
      </c>
      <c r="E740" s="5">
        <f t="shared" si="66"/>
        <v>25000</v>
      </c>
      <c r="F740" s="5">
        <f t="shared" si="67"/>
        <v>2125</v>
      </c>
      <c r="G740" s="5">
        <f t="shared" si="68"/>
        <v>5.8219178082191778</v>
      </c>
      <c r="H740" s="5">
        <f t="shared" si="69"/>
        <v>1065.4109589041095</v>
      </c>
      <c r="I740" s="5">
        <f t="shared" si="70"/>
        <v>63.92465753424657</v>
      </c>
      <c r="J740" s="5">
        <f t="shared" si="71"/>
        <v>1001.486301369863</v>
      </c>
      <c r="K740" s="1"/>
      <c r="L740" s="6" t="s">
        <v>1089</v>
      </c>
      <c r="M740" s="6" t="s">
        <v>6822</v>
      </c>
      <c r="N740" s="6" t="s">
        <v>6823</v>
      </c>
    </row>
    <row r="741" spans="1:14" x14ac:dyDescent="0.25">
      <c r="A741" s="6" t="s">
        <v>744</v>
      </c>
      <c r="B741" s="6" t="s">
        <v>6824</v>
      </c>
      <c r="C741" s="6" t="s">
        <v>6825</v>
      </c>
      <c r="D741" s="6">
        <v>25</v>
      </c>
      <c r="E741" s="5">
        <f t="shared" si="66"/>
        <v>25000</v>
      </c>
      <c r="F741" s="5">
        <f t="shared" si="67"/>
        <v>2125</v>
      </c>
      <c r="G741" s="5">
        <f t="shared" si="68"/>
        <v>5.8219178082191778</v>
      </c>
      <c r="H741" s="5">
        <f t="shared" si="69"/>
        <v>1065.4109589041095</v>
      </c>
      <c r="I741" s="5">
        <f t="shared" si="70"/>
        <v>63.92465753424657</v>
      </c>
      <c r="J741" s="5">
        <f t="shared" si="71"/>
        <v>1001.486301369863</v>
      </c>
      <c r="K741" s="1"/>
      <c r="L741" s="6" t="s">
        <v>8</v>
      </c>
      <c r="M741" s="6" t="s">
        <v>6830</v>
      </c>
      <c r="N741" s="6" t="s">
        <v>6831</v>
      </c>
    </row>
    <row r="742" spans="1:14" x14ac:dyDescent="0.25">
      <c r="A742" s="6" t="s">
        <v>745</v>
      </c>
      <c r="B742" s="6" t="s">
        <v>6832</v>
      </c>
      <c r="C742" s="6" t="s">
        <v>6833</v>
      </c>
      <c r="D742" s="6">
        <v>100</v>
      </c>
      <c r="E742" s="5">
        <f t="shared" si="66"/>
        <v>100000</v>
      </c>
      <c r="F742" s="5">
        <f t="shared" si="67"/>
        <v>8500</v>
      </c>
      <c r="G742" s="5">
        <f t="shared" si="68"/>
        <v>23.287671232876711</v>
      </c>
      <c r="H742" s="5">
        <f t="shared" si="69"/>
        <v>4261.6438356164381</v>
      </c>
      <c r="I742" s="5">
        <f t="shared" si="70"/>
        <v>255.69863013698628</v>
      </c>
      <c r="J742" s="5">
        <f t="shared" si="71"/>
        <v>4005.9452054794519</v>
      </c>
      <c r="K742" s="1"/>
      <c r="L742" s="6" t="s">
        <v>915</v>
      </c>
      <c r="M742" s="6" t="s">
        <v>2424</v>
      </c>
      <c r="N742" s="6" t="s">
        <v>6838</v>
      </c>
    </row>
    <row r="743" spans="1:14" x14ac:dyDescent="0.25">
      <c r="A743" s="6" t="s">
        <v>746</v>
      </c>
      <c r="B743" s="6" t="s">
        <v>6839</v>
      </c>
      <c r="C743" s="6" t="s">
        <v>6840</v>
      </c>
      <c r="D743" s="6">
        <v>500</v>
      </c>
      <c r="E743" s="5">
        <f t="shared" si="66"/>
        <v>500000</v>
      </c>
      <c r="F743" s="5">
        <f t="shared" si="67"/>
        <v>42500</v>
      </c>
      <c r="G743" s="5">
        <f t="shared" si="68"/>
        <v>116.43835616438356</v>
      </c>
      <c r="H743" s="5">
        <f t="shared" si="69"/>
        <v>21308.219178082192</v>
      </c>
      <c r="I743" s="5">
        <f t="shared" si="70"/>
        <v>1278.4931506849314</v>
      </c>
      <c r="J743" s="5">
        <f t="shared" si="71"/>
        <v>20029.726027397261</v>
      </c>
      <c r="K743" s="1"/>
      <c r="L743" s="6" t="s">
        <v>8</v>
      </c>
      <c r="M743" s="6" t="s">
        <v>1129</v>
      </c>
      <c r="N743" s="6" t="s">
        <v>6845</v>
      </c>
    </row>
    <row r="744" spans="1:14" x14ac:dyDescent="0.25">
      <c r="A744" s="6" t="s">
        <v>747</v>
      </c>
      <c r="B744" s="6" t="s">
        <v>6846</v>
      </c>
      <c r="C744" s="6" t="s">
        <v>6847</v>
      </c>
      <c r="D744" s="6">
        <v>150</v>
      </c>
      <c r="E744" s="5">
        <f t="shared" si="66"/>
        <v>150000</v>
      </c>
      <c r="F744" s="5">
        <f t="shared" si="67"/>
        <v>12750.000000000002</v>
      </c>
      <c r="G744" s="5">
        <f t="shared" si="68"/>
        <v>34.93150684931507</v>
      </c>
      <c r="H744" s="5">
        <f t="shared" si="69"/>
        <v>6392.465753424658</v>
      </c>
      <c r="I744" s="5">
        <f t="shared" si="70"/>
        <v>383.54794520547949</v>
      </c>
      <c r="J744" s="5">
        <f t="shared" si="71"/>
        <v>6008.9178082191784</v>
      </c>
      <c r="K744" s="1"/>
      <c r="L744" s="6" t="s">
        <v>1310</v>
      </c>
      <c r="M744" s="6" t="s">
        <v>1311</v>
      </c>
      <c r="N744" s="6" t="s">
        <v>6853</v>
      </c>
    </row>
    <row r="745" spans="1:14" x14ac:dyDescent="0.25">
      <c r="A745" s="6" t="s">
        <v>748</v>
      </c>
      <c r="B745" s="6" t="s">
        <v>6854</v>
      </c>
      <c r="C745" s="6" t="s">
        <v>6855</v>
      </c>
      <c r="D745" s="6">
        <v>50</v>
      </c>
      <c r="E745" s="5">
        <f t="shared" si="66"/>
        <v>50000</v>
      </c>
      <c r="F745" s="5">
        <f t="shared" si="67"/>
        <v>4250</v>
      </c>
      <c r="G745" s="5">
        <f t="shared" si="68"/>
        <v>11.643835616438356</v>
      </c>
      <c r="H745" s="5">
        <f t="shared" si="69"/>
        <v>2130.821917808219</v>
      </c>
      <c r="I745" s="5">
        <f t="shared" si="70"/>
        <v>127.84931506849314</v>
      </c>
      <c r="J745" s="5">
        <f t="shared" si="71"/>
        <v>2002.972602739726</v>
      </c>
      <c r="K745" s="1"/>
      <c r="L745" s="6" t="s">
        <v>1</v>
      </c>
      <c r="M745" s="6" t="s">
        <v>3916</v>
      </c>
      <c r="N745" s="6" t="s">
        <v>6861</v>
      </c>
    </row>
    <row r="746" spans="1:14" x14ac:dyDescent="0.25">
      <c r="A746" s="6" t="s">
        <v>749</v>
      </c>
      <c r="B746" s="6" t="s">
        <v>6862</v>
      </c>
      <c r="C746" s="6" t="s">
        <v>6863</v>
      </c>
      <c r="D746" s="6">
        <v>25</v>
      </c>
      <c r="E746" s="5">
        <f t="shared" si="66"/>
        <v>25000</v>
      </c>
      <c r="F746" s="5">
        <f t="shared" si="67"/>
        <v>2125</v>
      </c>
      <c r="G746" s="5">
        <f t="shared" si="68"/>
        <v>5.8219178082191778</v>
      </c>
      <c r="H746" s="5">
        <f t="shared" si="69"/>
        <v>1065.4109589041095</v>
      </c>
      <c r="I746" s="5">
        <f t="shared" si="70"/>
        <v>63.92465753424657</v>
      </c>
      <c r="J746" s="5">
        <f t="shared" si="71"/>
        <v>1001.486301369863</v>
      </c>
      <c r="K746" s="1"/>
      <c r="L746" s="6" t="s">
        <v>909</v>
      </c>
      <c r="M746" s="6" t="s">
        <v>1237</v>
      </c>
      <c r="N746" s="6" t="s">
        <v>6870</v>
      </c>
    </row>
    <row r="747" spans="1:14" x14ac:dyDescent="0.25">
      <c r="A747" s="6" t="s">
        <v>750</v>
      </c>
      <c r="B747" s="6" t="s">
        <v>6871</v>
      </c>
      <c r="C747" s="6" t="s">
        <v>6872</v>
      </c>
      <c r="D747" s="6">
        <v>25</v>
      </c>
      <c r="E747" s="5">
        <f t="shared" si="66"/>
        <v>25000</v>
      </c>
      <c r="F747" s="5">
        <f t="shared" si="67"/>
        <v>2125</v>
      </c>
      <c r="G747" s="5">
        <f t="shared" si="68"/>
        <v>5.8219178082191778</v>
      </c>
      <c r="H747" s="5">
        <f t="shared" si="69"/>
        <v>1065.4109589041095</v>
      </c>
      <c r="I747" s="5">
        <f t="shared" si="70"/>
        <v>63.92465753424657</v>
      </c>
      <c r="J747" s="5">
        <f t="shared" si="71"/>
        <v>1001.486301369863</v>
      </c>
      <c r="K747" s="1"/>
      <c r="L747" s="6" t="s">
        <v>8</v>
      </c>
      <c r="M747" s="6" t="s">
        <v>4570</v>
      </c>
      <c r="N747" s="6" t="s">
        <v>6878</v>
      </c>
    </row>
    <row r="748" spans="1:14" x14ac:dyDescent="0.25">
      <c r="A748" s="6" t="s">
        <v>751</v>
      </c>
      <c r="B748" s="6" t="s">
        <v>6879</v>
      </c>
      <c r="C748" s="6" t="s">
        <v>6880</v>
      </c>
      <c r="D748" s="6">
        <v>25</v>
      </c>
      <c r="E748" s="5">
        <f t="shared" si="66"/>
        <v>25000</v>
      </c>
      <c r="F748" s="5">
        <f t="shared" si="67"/>
        <v>2125</v>
      </c>
      <c r="G748" s="5">
        <f t="shared" si="68"/>
        <v>5.8219178082191778</v>
      </c>
      <c r="H748" s="5">
        <f t="shared" si="69"/>
        <v>1065.4109589041095</v>
      </c>
      <c r="I748" s="5">
        <f t="shared" si="70"/>
        <v>63.92465753424657</v>
      </c>
      <c r="J748" s="5">
        <f t="shared" si="71"/>
        <v>1001.486301369863</v>
      </c>
      <c r="K748" s="1"/>
      <c r="L748" s="6" t="s">
        <v>1478</v>
      </c>
      <c r="M748" s="6" t="s">
        <v>1479</v>
      </c>
      <c r="N748" s="6" t="s">
        <v>6886</v>
      </c>
    </row>
    <row r="749" spans="1:14" x14ac:dyDescent="0.25">
      <c r="A749" s="6" t="s">
        <v>752</v>
      </c>
      <c r="B749" s="6" t="s">
        <v>6887</v>
      </c>
      <c r="C749" s="6" t="s">
        <v>6888</v>
      </c>
      <c r="D749" s="6">
        <v>30</v>
      </c>
      <c r="E749" s="5">
        <f t="shared" si="66"/>
        <v>30000</v>
      </c>
      <c r="F749" s="5">
        <f t="shared" si="67"/>
        <v>2550</v>
      </c>
      <c r="G749" s="5">
        <f t="shared" si="68"/>
        <v>6.9863013698630141</v>
      </c>
      <c r="H749" s="5">
        <f t="shared" si="69"/>
        <v>1278.4931506849316</v>
      </c>
      <c r="I749" s="5">
        <f t="shared" si="70"/>
        <v>76.709589041095896</v>
      </c>
      <c r="J749" s="5">
        <f t="shared" si="71"/>
        <v>1201.7835616438358</v>
      </c>
      <c r="K749" s="1"/>
      <c r="L749" s="6" t="s">
        <v>915</v>
      </c>
      <c r="M749" s="6" t="s">
        <v>6894</v>
      </c>
      <c r="N749" s="6" t="s">
        <v>6895</v>
      </c>
    </row>
    <row r="750" spans="1:14" x14ac:dyDescent="0.25">
      <c r="A750" s="6" t="s">
        <v>753</v>
      </c>
      <c r="B750" s="6" t="s">
        <v>6896</v>
      </c>
      <c r="C750" s="6" t="s">
        <v>6897</v>
      </c>
      <c r="D750" s="6">
        <v>200</v>
      </c>
      <c r="E750" s="5">
        <f t="shared" si="66"/>
        <v>200000</v>
      </c>
      <c r="F750" s="5">
        <f t="shared" si="67"/>
        <v>17000</v>
      </c>
      <c r="G750" s="5">
        <f t="shared" si="68"/>
        <v>46.575342465753423</v>
      </c>
      <c r="H750" s="5">
        <f t="shared" si="69"/>
        <v>8523.2876712328762</v>
      </c>
      <c r="I750" s="5">
        <f t="shared" si="70"/>
        <v>511.39726027397256</v>
      </c>
      <c r="J750" s="5">
        <f t="shared" si="71"/>
        <v>8011.8904109589039</v>
      </c>
      <c r="K750" s="1"/>
      <c r="L750" s="6" t="s">
        <v>929</v>
      </c>
      <c r="M750" s="6" t="s">
        <v>6901</v>
      </c>
      <c r="N750" s="6" t="s">
        <v>6902</v>
      </c>
    </row>
    <row r="751" spans="1:14" x14ac:dyDescent="0.25">
      <c r="A751" s="6" t="s">
        <v>754</v>
      </c>
      <c r="B751" s="6" t="s">
        <v>6903</v>
      </c>
      <c r="C751" s="6" t="s">
        <v>6904</v>
      </c>
      <c r="D751" s="6">
        <v>100</v>
      </c>
      <c r="E751" s="5">
        <f t="shared" si="66"/>
        <v>100000</v>
      </c>
      <c r="F751" s="5">
        <f t="shared" si="67"/>
        <v>8500</v>
      </c>
      <c r="G751" s="5">
        <f t="shared" si="68"/>
        <v>23.287671232876711</v>
      </c>
      <c r="H751" s="5">
        <f t="shared" si="69"/>
        <v>4261.6438356164381</v>
      </c>
      <c r="I751" s="5">
        <f t="shared" si="70"/>
        <v>255.69863013698628</v>
      </c>
      <c r="J751" s="5">
        <f t="shared" si="71"/>
        <v>4005.9452054794519</v>
      </c>
      <c r="K751" s="1"/>
      <c r="L751" s="6" t="s">
        <v>8</v>
      </c>
      <c r="M751" s="6" t="s">
        <v>2211</v>
      </c>
      <c r="N751" s="6" t="s">
        <v>6910</v>
      </c>
    </row>
    <row r="752" spans="1:14" x14ac:dyDescent="0.25">
      <c r="A752" s="6" t="s">
        <v>755</v>
      </c>
      <c r="B752" s="6" t="s">
        <v>6911</v>
      </c>
      <c r="C752" s="6" t="s">
        <v>6912</v>
      </c>
      <c r="D752" s="6">
        <v>50</v>
      </c>
      <c r="E752" s="5">
        <f t="shared" si="66"/>
        <v>50000</v>
      </c>
      <c r="F752" s="5">
        <f t="shared" si="67"/>
        <v>4250</v>
      </c>
      <c r="G752" s="5">
        <f t="shared" si="68"/>
        <v>11.643835616438356</v>
      </c>
      <c r="H752" s="5">
        <f t="shared" si="69"/>
        <v>2130.821917808219</v>
      </c>
      <c r="I752" s="5">
        <f t="shared" si="70"/>
        <v>127.84931506849314</v>
      </c>
      <c r="J752" s="5">
        <f t="shared" si="71"/>
        <v>2002.972602739726</v>
      </c>
      <c r="K752" s="1"/>
      <c r="L752" s="6" t="s">
        <v>915</v>
      </c>
      <c r="M752" s="6" t="s">
        <v>6918</v>
      </c>
      <c r="N752" s="6" t="s">
        <v>6919</v>
      </c>
    </row>
    <row r="753" spans="1:14" x14ac:dyDescent="0.25">
      <c r="A753" s="6" t="s">
        <v>756</v>
      </c>
      <c r="B753" s="6" t="s">
        <v>6920</v>
      </c>
      <c r="C753" s="6" t="s">
        <v>6921</v>
      </c>
      <c r="D753" s="6">
        <v>30</v>
      </c>
      <c r="E753" s="5">
        <f t="shared" si="66"/>
        <v>30000</v>
      </c>
      <c r="F753" s="5">
        <f t="shared" si="67"/>
        <v>2550</v>
      </c>
      <c r="G753" s="5">
        <f t="shared" si="68"/>
        <v>6.9863013698630141</v>
      </c>
      <c r="H753" s="5">
        <f t="shared" si="69"/>
        <v>1278.4931506849316</v>
      </c>
      <c r="I753" s="5">
        <f t="shared" si="70"/>
        <v>76.709589041095896</v>
      </c>
      <c r="J753" s="5">
        <f t="shared" si="71"/>
        <v>1201.7835616438358</v>
      </c>
      <c r="K753" s="1"/>
      <c r="L753" s="6" t="s">
        <v>971</v>
      </c>
      <c r="M753" s="6" t="s">
        <v>6926</v>
      </c>
      <c r="N753" s="6" t="s">
        <v>6927</v>
      </c>
    </row>
    <row r="754" spans="1:14" x14ac:dyDescent="0.25">
      <c r="A754" s="6" t="s">
        <v>757</v>
      </c>
      <c r="B754" s="6" t="s">
        <v>6928</v>
      </c>
      <c r="C754" s="6" t="s">
        <v>6929</v>
      </c>
      <c r="D754" s="6">
        <v>25</v>
      </c>
      <c r="E754" s="5">
        <f t="shared" si="66"/>
        <v>25000</v>
      </c>
      <c r="F754" s="5">
        <f t="shared" si="67"/>
        <v>2125</v>
      </c>
      <c r="G754" s="5">
        <f t="shared" si="68"/>
        <v>5.8219178082191778</v>
      </c>
      <c r="H754" s="5">
        <f t="shared" si="69"/>
        <v>1065.4109589041095</v>
      </c>
      <c r="I754" s="5">
        <f t="shared" si="70"/>
        <v>63.92465753424657</v>
      </c>
      <c r="J754" s="5">
        <f t="shared" si="71"/>
        <v>1001.486301369863</v>
      </c>
      <c r="K754" s="1"/>
      <c r="L754" s="6" t="s">
        <v>971</v>
      </c>
      <c r="M754" s="6" t="s">
        <v>972</v>
      </c>
      <c r="N754" s="6" t="s">
        <v>6934</v>
      </c>
    </row>
    <row r="755" spans="1:14" x14ac:dyDescent="0.25">
      <c r="A755" s="6" t="s">
        <v>758</v>
      </c>
      <c r="B755" s="6" t="s">
        <v>6935</v>
      </c>
      <c r="C755" s="6" t="s">
        <v>6936</v>
      </c>
      <c r="D755" s="6">
        <v>30</v>
      </c>
      <c r="E755" s="5">
        <f t="shared" si="66"/>
        <v>30000</v>
      </c>
      <c r="F755" s="5">
        <f t="shared" si="67"/>
        <v>2550</v>
      </c>
      <c r="G755" s="5">
        <f t="shared" si="68"/>
        <v>6.9863013698630141</v>
      </c>
      <c r="H755" s="5">
        <f t="shared" si="69"/>
        <v>1278.4931506849316</v>
      </c>
      <c r="I755" s="5">
        <f t="shared" si="70"/>
        <v>76.709589041095896</v>
      </c>
      <c r="J755" s="5">
        <f t="shared" si="71"/>
        <v>1201.7835616438358</v>
      </c>
      <c r="K755" s="1"/>
      <c r="L755" s="6" t="s">
        <v>915</v>
      </c>
      <c r="M755" s="6" t="s">
        <v>926</v>
      </c>
      <c r="N755" s="6" t="s">
        <v>6942</v>
      </c>
    </row>
    <row r="756" spans="1:14" x14ac:dyDescent="0.25">
      <c r="A756" s="6" t="s">
        <v>759</v>
      </c>
      <c r="B756" s="6" t="s">
        <v>6943</v>
      </c>
      <c r="C756" s="6" t="s">
        <v>6944</v>
      </c>
      <c r="D756" s="6">
        <v>50</v>
      </c>
      <c r="E756" s="5">
        <f t="shared" si="66"/>
        <v>50000</v>
      </c>
      <c r="F756" s="5">
        <f t="shared" si="67"/>
        <v>4250</v>
      </c>
      <c r="G756" s="5">
        <f t="shared" si="68"/>
        <v>11.643835616438356</v>
      </c>
      <c r="H756" s="5">
        <f t="shared" si="69"/>
        <v>2130.821917808219</v>
      </c>
      <c r="I756" s="5">
        <f t="shared" si="70"/>
        <v>127.84931506849314</v>
      </c>
      <c r="J756" s="5">
        <f t="shared" si="71"/>
        <v>2002.972602739726</v>
      </c>
      <c r="K756" s="1"/>
      <c r="L756" s="6" t="s">
        <v>3</v>
      </c>
      <c r="M756" s="6" t="s">
        <v>6949</v>
      </c>
      <c r="N756" s="6" t="s">
        <v>6950</v>
      </c>
    </row>
    <row r="757" spans="1:14" x14ac:dyDescent="0.25">
      <c r="A757" s="6" t="s">
        <v>760</v>
      </c>
      <c r="B757" s="6" t="s">
        <v>6951</v>
      </c>
      <c r="C757" s="6" t="s">
        <v>6952</v>
      </c>
      <c r="D757" s="6">
        <v>25</v>
      </c>
      <c r="E757" s="5">
        <f t="shared" si="66"/>
        <v>25000</v>
      </c>
      <c r="F757" s="5">
        <f t="shared" si="67"/>
        <v>2125</v>
      </c>
      <c r="G757" s="5">
        <f t="shared" si="68"/>
        <v>5.8219178082191778</v>
      </c>
      <c r="H757" s="5">
        <f t="shared" si="69"/>
        <v>1065.4109589041095</v>
      </c>
      <c r="I757" s="5">
        <f t="shared" si="70"/>
        <v>63.92465753424657</v>
      </c>
      <c r="J757" s="5">
        <f t="shared" si="71"/>
        <v>1001.486301369863</v>
      </c>
      <c r="K757" s="1"/>
      <c r="L757" s="6" t="s">
        <v>910</v>
      </c>
      <c r="M757" s="6" t="s">
        <v>6957</v>
      </c>
      <c r="N757" s="6" t="s">
        <v>6958</v>
      </c>
    </row>
    <row r="758" spans="1:14" x14ac:dyDescent="0.25">
      <c r="A758" s="6" t="s">
        <v>761</v>
      </c>
      <c r="B758" s="6" t="s">
        <v>6959</v>
      </c>
      <c r="C758" s="6" t="s">
        <v>6960</v>
      </c>
      <c r="D758" s="6">
        <v>1000</v>
      </c>
      <c r="E758" s="5">
        <f t="shared" si="66"/>
        <v>1000000</v>
      </c>
      <c r="F758" s="5">
        <f t="shared" si="67"/>
        <v>85000</v>
      </c>
      <c r="G758" s="5">
        <f t="shared" si="68"/>
        <v>232.87671232876713</v>
      </c>
      <c r="H758" s="5">
        <f t="shared" si="69"/>
        <v>42616.438356164384</v>
      </c>
      <c r="I758" s="5">
        <f t="shared" si="70"/>
        <v>2556.9863013698628</v>
      </c>
      <c r="J758" s="5">
        <f t="shared" si="71"/>
        <v>40059.452054794521</v>
      </c>
      <c r="K758" s="1"/>
      <c r="L758" s="6" t="s">
        <v>8</v>
      </c>
      <c r="M758" s="6" t="s">
        <v>1177</v>
      </c>
      <c r="N758" s="6" t="s">
        <v>6965</v>
      </c>
    </row>
    <row r="759" spans="1:14" x14ac:dyDescent="0.25">
      <c r="A759" s="6" t="s">
        <v>762</v>
      </c>
      <c r="B759" s="6" t="s">
        <v>6966</v>
      </c>
      <c r="C759" s="6" t="s">
        <v>6967</v>
      </c>
      <c r="D759" s="6">
        <v>500</v>
      </c>
      <c r="E759" s="5">
        <f t="shared" si="66"/>
        <v>500000</v>
      </c>
      <c r="F759" s="5">
        <f t="shared" si="67"/>
        <v>42500</v>
      </c>
      <c r="G759" s="5">
        <f t="shared" si="68"/>
        <v>116.43835616438356</v>
      </c>
      <c r="H759" s="5">
        <f t="shared" si="69"/>
        <v>21308.219178082192</v>
      </c>
      <c r="I759" s="5">
        <f t="shared" si="70"/>
        <v>1278.4931506849314</v>
      </c>
      <c r="J759" s="5">
        <f t="shared" si="71"/>
        <v>20029.726027397261</v>
      </c>
      <c r="K759" s="1"/>
      <c r="L759" s="6" t="s">
        <v>1478</v>
      </c>
      <c r="M759" s="6" t="s">
        <v>3404</v>
      </c>
      <c r="N759" s="6" t="s">
        <v>6972</v>
      </c>
    </row>
    <row r="760" spans="1:14" x14ac:dyDescent="0.25">
      <c r="A760" s="6" t="s">
        <v>763</v>
      </c>
      <c r="B760" s="6" t="s">
        <v>6973</v>
      </c>
      <c r="C760" s="6" t="s">
        <v>6974</v>
      </c>
      <c r="D760" s="6">
        <v>200</v>
      </c>
      <c r="E760" s="5">
        <f t="shared" si="66"/>
        <v>200000</v>
      </c>
      <c r="F760" s="5">
        <f t="shared" si="67"/>
        <v>17000</v>
      </c>
      <c r="G760" s="5">
        <f t="shared" si="68"/>
        <v>46.575342465753423</v>
      </c>
      <c r="H760" s="5">
        <f t="shared" si="69"/>
        <v>8523.2876712328762</v>
      </c>
      <c r="I760" s="5">
        <f t="shared" si="70"/>
        <v>511.39726027397256</v>
      </c>
      <c r="J760" s="5">
        <f t="shared" si="71"/>
        <v>8011.8904109589039</v>
      </c>
      <c r="K760" s="1"/>
      <c r="L760" s="6" t="s">
        <v>1218</v>
      </c>
      <c r="M760" s="6" t="s">
        <v>1219</v>
      </c>
      <c r="N760" s="6" t="s">
        <v>6977</v>
      </c>
    </row>
    <row r="761" spans="1:14" x14ac:dyDescent="0.25">
      <c r="A761" s="6" t="s">
        <v>764</v>
      </c>
      <c r="B761" s="6" t="s">
        <v>6978</v>
      </c>
      <c r="C761" s="6" t="s">
        <v>6979</v>
      </c>
      <c r="D761" s="6">
        <v>100</v>
      </c>
      <c r="E761" s="5">
        <f t="shared" si="66"/>
        <v>100000</v>
      </c>
      <c r="F761" s="5">
        <f t="shared" si="67"/>
        <v>8500</v>
      </c>
      <c r="G761" s="5">
        <f t="shared" si="68"/>
        <v>23.287671232876711</v>
      </c>
      <c r="H761" s="5">
        <f t="shared" si="69"/>
        <v>4261.6438356164381</v>
      </c>
      <c r="I761" s="5">
        <f t="shared" si="70"/>
        <v>255.69863013698628</v>
      </c>
      <c r="J761" s="5">
        <f t="shared" si="71"/>
        <v>4005.9452054794519</v>
      </c>
      <c r="K761" s="1"/>
      <c r="L761" s="6" t="s">
        <v>1</v>
      </c>
      <c r="M761" s="6" t="s">
        <v>5677</v>
      </c>
      <c r="N761" s="6" t="s">
        <v>6985</v>
      </c>
    </row>
    <row r="762" spans="1:14" x14ac:dyDescent="0.25">
      <c r="A762" s="6" t="s">
        <v>765</v>
      </c>
      <c r="B762" s="6" t="s">
        <v>6986</v>
      </c>
      <c r="C762" s="6" t="s">
        <v>6987</v>
      </c>
      <c r="D762" s="6">
        <v>50</v>
      </c>
      <c r="E762" s="5">
        <f t="shared" si="66"/>
        <v>50000</v>
      </c>
      <c r="F762" s="5">
        <f t="shared" si="67"/>
        <v>4250</v>
      </c>
      <c r="G762" s="5">
        <f t="shared" si="68"/>
        <v>11.643835616438356</v>
      </c>
      <c r="H762" s="5">
        <f t="shared" si="69"/>
        <v>2130.821917808219</v>
      </c>
      <c r="I762" s="5">
        <f t="shared" si="70"/>
        <v>127.84931506849314</v>
      </c>
      <c r="J762" s="5">
        <f t="shared" si="71"/>
        <v>2002.972602739726</v>
      </c>
      <c r="K762" s="1"/>
      <c r="L762" s="6" t="s">
        <v>1637</v>
      </c>
      <c r="M762" s="6" t="s">
        <v>2316</v>
      </c>
      <c r="N762" s="6" t="s">
        <v>6991</v>
      </c>
    </row>
    <row r="763" spans="1:14" x14ac:dyDescent="0.25">
      <c r="A763" s="6" t="s">
        <v>766</v>
      </c>
      <c r="B763" s="6" t="s">
        <v>6992</v>
      </c>
      <c r="C763" s="6" t="s">
        <v>1930</v>
      </c>
      <c r="D763" s="6">
        <v>500</v>
      </c>
      <c r="E763" s="5">
        <f t="shared" si="66"/>
        <v>500000</v>
      </c>
      <c r="F763" s="5">
        <f t="shared" si="67"/>
        <v>42500</v>
      </c>
      <c r="G763" s="5">
        <f t="shared" si="68"/>
        <v>116.43835616438356</v>
      </c>
      <c r="H763" s="5">
        <f t="shared" si="69"/>
        <v>21308.219178082192</v>
      </c>
      <c r="I763" s="5">
        <f t="shared" si="70"/>
        <v>1278.4931506849314</v>
      </c>
      <c r="J763" s="5">
        <f t="shared" si="71"/>
        <v>20029.726027397261</v>
      </c>
      <c r="K763" s="1"/>
      <c r="L763" s="6" t="s">
        <v>910</v>
      </c>
      <c r="M763" s="6" t="s">
        <v>931</v>
      </c>
      <c r="N763" s="6" t="s">
        <v>6997</v>
      </c>
    </row>
    <row r="764" spans="1:14" x14ac:dyDescent="0.25">
      <c r="A764" s="6" t="s">
        <v>767</v>
      </c>
      <c r="B764" s="6" t="s">
        <v>6998</v>
      </c>
      <c r="C764" s="6" t="s">
        <v>6999</v>
      </c>
      <c r="D764" s="6">
        <v>100</v>
      </c>
      <c r="E764" s="5">
        <f t="shared" si="66"/>
        <v>100000</v>
      </c>
      <c r="F764" s="5">
        <f t="shared" si="67"/>
        <v>8500</v>
      </c>
      <c r="G764" s="5">
        <f t="shared" si="68"/>
        <v>23.287671232876711</v>
      </c>
      <c r="H764" s="5">
        <f t="shared" si="69"/>
        <v>4261.6438356164381</v>
      </c>
      <c r="I764" s="5">
        <f t="shared" si="70"/>
        <v>255.69863013698628</v>
      </c>
      <c r="J764" s="5">
        <f t="shared" si="71"/>
        <v>4005.9452054794519</v>
      </c>
      <c r="K764" s="1"/>
      <c r="L764" s="6" t="s">
        <v>909</v>
      </c>
      <c r="M764" s="6" t="s">
        <v>1237</v>
      </c>
      <c r="N764" s="6" t="s">
        <v>7003</v>
      </c>
    </row>
    <row r="765" spans="1:14" x14ac:dyDescent="0.25">
      <c r="A765" s="6" t="s">
        <v>768</v>
      </c>
      <c r="B765" s="6" t="s">
        <v>7004</v>
      </c>
      <c r="C765" s="6" t="s">
        <v>7005</v>
      </c>
      <c r="D765" s="6">
        <v>50</v>
      </c>
      <c r="E765" s="5">
        <f t="shared" si="66"/>
        <v>50000</v>
      </c>
      <c r="F765" s="5">
        <f t="shared" si="67"/>
        <v>4250</v>
      </c>
      <c r="G765" s="5">
        <f t="shared" si="68"/>
        <v>11.643835616438356</v>
      </c>
      <c r="H765" s="5">
        <f t="shared" si="69"/>
        <v>2130.821917808219</v>
      </c>
      <c r="I765" s="5">
        <f t="shared" si="70"/>
        <v>127.84931506849314</v>
      </c>
      <c r="J765" s="5">
        <f t="shared" si="71"/>
        <v>2002.972602739726</v>
      </c>
      <c r="K765" s="1"/>
      <c r="L765" s="6" t="s">
        <v>1478</v>
      </c>
      <c r="M765" s="6" t="s">
        <v>7011</v>
      </c>
      <c r="N765" s="6" t="s">
        <v>7012</v>
      </c>
    </row>
    <row r="766" spans="1:14" x14ac:dyDescent="0.25">
      <c r="A766" s="6" t="s">
        <v>769</v>
      </c>
      <c r="B766" s="6" t="s">
        <v>7013</v>
      </c>
      <c r="C766" s="6" t="s">
        <v>7014</v>
      </c>
      <c r="D766" s="6">
        <v>150</v>
      </c>
      <c r="E766" s="5">
        <f t="shared" si="66"/>
        <v>150000</v>
      </c>
      <c r="F766" s="5">
        <f t="shared" si="67"/>
        <v>12750.000000000002</v>
      </c>
      <c r="G766" s="5">
        <f t="shared" si="68"/>
        <v>34.93150684931507</v>
      </c>
      <c r="H766" s="5">
        <f t="shared" si="69"/>
        <v>6392.465753424658</v>
      </c>
      <c r="I766" s="5">
        <f t="shared" si="70"/>
        <v>383.54794520547949</v>
      </c>
      <c r="J766" s="5">
        <f t="shared" si="71"/>
        <v>6008.9178082191784</v>
      </c>
      <c r="K766" s="1"/>
      <c r="L766" s="6" t="s">
        <v>3</v>
      </c>
      <c r="M766" s="6" t="s">
        <v>7019</v>
      </c>
      <c r="N766" s="6" t="s">
        <v>7020</v>
      </c>
    </row>
    <row r="767" spans="1:14" x14ac:dyDescent="0.25">
      <c r="A767" s="6" t="s">
        <v>770</v>
      </c>
      <c r="B767" s="6" t="s">
        <v>7021</v>
      </c>
      <c r="C767" s="6" t="s">
        <v>7022</v>
      </c>
      <c r="D767" s="6">
        <v>25</v>
      </c>
      <c r="E767" s="5">
        <f t="shared" si="66"/>
        <v>25000</v>
      </c>
      <c r="F767" s="5">
        <f t="shared" si="67"/>
        <v>2125</v>
      </c>
      <c r="G767" s="5">
        <f t="shared" si="68"/>
        <v>5.8219178082191778</v>
      </c>
      <c r="H767" s="5">
        <f t="shared" si="69"/>
        <v>1065.4109589041095</v>
      </c>
      <c r="I767" s="5">
        <f t="shared" si="70"/>
        <v>63.92465753424657</v>
      </c>
      <c r="J767" s="5">
        <f t="shared" si="71"/>
        <v>1001.486301369863</v>
      </c>
      <c r="K767" s="1"/>
      <c r="L767" s="6" t="s">
        <v>909</v>
      </c>
      <c r="M767" s="6" t="s">
        <v>1237</v>
      </c>
      <c r="N767" s="6" t="s">
        <v>7029</v>
      </c>
    </row>
    <row r="768" spans="1:14" x14ac:dyDescent="0.25">
      <c r="A768" s="6" t="s">
        <v>771</v>
      </c>
      <c r="B768" s="6" t="s">
        <v>7030</v>
      </c>
      <c r="C768" s="6" t="s">
        <v>1886</v>
      </c>
      <c r="D768" s="6">
        <v>25</v>
      </c>
      <c r="E768" s="5">
        <f t="shared" si="66"/>
        <v>25000</v>
      </c>
      <c r="F768" s="5">
        <f t="shared" si="67"/>
        <v>2125</v>
      </c>
      <c r="G768" s="5">
        <f t="shared" si="68"/>
        <v>5.8219178082191778</v>
      </c>
      <c r="H768" s="5">
        <f t="shared" si="69"/>
        <v>1065.4109589041095</v>
      </c>
      <c r="I768" s="5">
        <f t="shared" si="70"/>
        <v>63.92465753424657</v>
      </c>
      <c r="J768" s="5">
        <f t="shared" si="71"/>
        <v>1001.486301369863</v>
      </c>
      <c r="K768" s="1"/>
      <c r="L768" s="6" t="s">
        <v>4</v>
      </c>
      <c r="M768" s="6" t="s">
        <v>1890</v>
      </c>
      <c r="N768" s="6" t="s">
        <v>7034</v>
      </c>
    </row>
    <row r="769" spans="1:14" x14ac:dyDescent="0.25">
      <c r="A769" s="6" t="s">
        <v>772</v>
      </c>
      <c r="B769" s="6" t="s">
        <v>7035</v>
      </c>
      <c r="C769" s="6" t="s">
        <v>7036</v>
      </c>
      <c r="D769" s="6">
        <v>25</v>
      </c>
      <c r="E769" s="5">
        <f t="shared" si="66"/>
        <v>25000</v>
      </c>
      <c r="F769" s="5">
        <f t="shared" si="67"/>
        <v>2125</v>
      </c>
      <c r="G769" s="5">
        <f t="shared" si="68"/>
        <v>5.8219178082191778</v>
      </c>
      <c r="H769" s="5">
        <f t="shared" si="69"/>
        <v>1065.4109589041095</v>
      </c>
      <c r="I769" s="5">
        <f t="shared" si="70"/>
        <v>63.92465753424657</v>
      </c>
      <c r="J769" s="5">
        <f t="shared" si="71"/>
        <v>1001.486301369863</v>
      </c>
      <c r="K769" s="1"/>
      <c r="L769" s="6" t="s">
        <v>4</v>
      </c>
      <c r="M769" s="6" t="s">
        <v>1618</v>
      </c>
      <c r="N769" s="6" t="s">
        <v>7043</v>
      </c>
    </row>
    <row r="770" spans="1:14" x14ac:dyDescent="0.25">
      <c r="A770" s="6" t="s">
        <v>773</v>
      </c>
      <c r="B770" s="6" t="s">
        <v>7044</v>
      </c>
      <c r="C770" s="6" t="s">
        <v>7045</v>
      </c>
      <c r="D770" s="6">
        <v>50</v>
      </c>
      <c r="E770" s="5">
        <f t="shared" si="66"/>
        <v>50000</v>
      </c>
      <c r="F770" s="5">
        <f t="shared" si="67"/>
        <v>4250</v>
      </c>
      <c r="G770" s="5">
        <f t="shared" si="68"/>
        <v>11.643835616438356</v>
      </c>
      <c r="H770" s="5">
        <f t="shared" si="69"/>
        <v>2130.821917808219</v>
      </c>
      <c r="I770" s="5">
        <f t="shared" si="70"/>
        <v>127.84931506849314</v>
      </c>
      <c r="J770" s="5">
        <f t="shared" si="71"/>
        <v>2002.972602739726</v>
      </c>
      <c r="K770" s="1"/>
      <c r="L770" s="6" t="s">
        <v>1468</v>
      </c>
      <c r="M770" s="6" t="s">
        <v>7050</v>
      </c>
      <c r="N770" s="6" t="s">
        <v>7051</v>
      </c>
    </row>
    <row r="771" spans="1:14" x14ac:dyDescent="0.25">
      <c r="A771" s="6" t="s">
        <v>774</v>
      </c>
      <c r="B771" s="6" t="s">
        <v>7052</v>
      </c>
      <c r="C771" s="6" t="s">
        <v>7053</v>
      </c>
      <c r="D771" s="6">
        <v>25</v>
      </c>
      <c r="E771" s="5">
        <f t="shared" si="66"/>
        <v>25000</v>
      </c>
      <c r="F771" s="5">
        <f t="shared" si="67"/>
        <v>2125</v>
      </c>
      <c r="G771" s="5">
        <f t="shared" si="68"/>
        <v>5.8219178082191778</v>
      </c>
      <c r="H771" s="5">
        <f t="shared" si="69"/>
        <v>1065.4109589041095</v>
      </c>
      <c r="I771" s="5">
        <f t="shared" si="70"/>
        <v>63.92465753424657</v>
      </c>
      <c r="J771" s="5">
        <f t="shared" si="71"/>
        <v>1001.486301369863</v>
      </c>
      <c r="K771" s="1"/>
      <c r="L771" s="6" t="s">
        <v>915</v>
      </c>
      <c r="M771" s="6" t="s">
        <v>926</v>
      </c>
      <c r="N771" s="6" t="s">
        <v>7059</v>
      </c>
    </row>
    <row r="772" spans="1:14" x14ac:dyDescent="0.25">
      <c r="A772" s="6" t="s">
        <v>775</v>
      </c>
      <c r="B772" s="6" t="s">
        <v>7060</v>
      </c>
      <c r="C772" s="6" t="s">
        <v>7061</v>
      </c>
      <c r="D772" s="6">
        <v>50</v>
      </c>
      <c r="E772" s="5">
        <f t="shared" si="66"/>
        <v>50000</v>
      </c>
      <c r="F772" s="5">
        <f t="shared" si="67"/>
        <v>4250</v>
      </c>
      <c r="G772" s="5">
        <f t="shared" si="68"/>
        <v>11.643835616438356</v>
      </c>
      <c r="H772" s="5">
        <f t="shared" si="69"/>
        <v>2130.821917808219</v>
      </c>
      <c r="I772" s="5">
        <f t="shared" si="70"/>
        <v>127.84931506849314</v>
      </c>
      <c r="J772" s="5">
        <f t="shared" si="71"/>
        <v>2002.972602739726</v>
      </c>
      <c r="K772" s="1"/>
      <c r="L772" s="6" t="s">
        <v>1089</v>
      </c>
      <c r="M772" s="6" t="s">
        <v>7066</v>
      </c>
      <c r="N772" s="6" t="s">
        <v>7067</v>
      </c>
    </row>
    <row r="773" spans="1:14" x14ac:dyDescent="0.25">
      <c r="A773" s="6" t="s">
        <v>776</v>
      </c>
      <c r="B773" s="6" t="s">
        <v>7068</v>
      </c>
      <c r="C773" s="6" t="s">
        <v>7069</v>
      </c>
      <c r="D773" s="6">
        <v>200</v>
      </c>
      <c r="E773" s="5">
        <f t="shared" si="66"/>
        <v>200000</v>
      </c>
      <c r="F773" s="5">
        <f t="shared" si="67"/>
        <v>17000</v>
      </c>
      <c r="G773" s="5">
        <f t="shared" si="68"/>
        <v>46.575342465753423</v>
      </c>
      <c r="H773" s="5">
        <f t="shared" si="69"/>
        <v>8523.2876712328762</v>
      </c>
      <c r="I773" s="5">
        <f t="shared" si="70"/>
        <v>511.39726027397256</v>
      </c>
      <c r="J773" s="5">
        <f t="shared" si="71"/>
        <v>8011.8904109589039</v>
      </c>
      <c r="K773" s="1"/>
      <c r="L773" s="6" t="s">
        <v>2</v>
      </c>
      <c r="M773" s="6" t="s">
        <v>1882</v>
      </c>
      <c r="N773" s="6" t="s">
        <v>7076</v>
      </c>
    </row>
    <row r="774" spans="1:14" x14ac:dyDescent="0.25">
      <c r="A774" s="6" t="s">
        <v>777</v>
      </c>
      <c r="B774" s="6" t="s">
        <v>7077</v>
      </c>
      <c r="C774" s="6" t="s">
        <v>7078</v>
      </c>
      <c r="D774" s="6">
        <v>110</v>
      </c>
      <c r="E774" s="5">
        <f t="shared" si="66"/>
        <v>110000</v>
      </c>
      <c r="F774" s="5">
        <f t="shared" si="67"/>
        <v>9350</v>
      </c>
      <c r="G774" s="5">
        <f t="shared" si="68"/>
        <v>25.616438356164384</v>
      </c>
      <c r="H774" s="5">
        <f t="shared" si="69"/>
        <v>4687.8082191780823</v>
      </c>
      <c r="I774" s="5">
        <f t="shared" si="70"/>
        <v>281.26849315068495</v>
      </c>
      <c r="J774" s="5">
        <f t="shared" si="71"/>
        <v>4406.5397260273976</v>
      </c>
      <c r="K774" s="1"/>
      <c r="L774" s="6" t="s">
        <v>914</v>
      </c>
      <c r="M774" s="6" t="s">
        <v>7082</v>
      </c>
      <c r="N774" s="6" t="s">
        <v>7083</v>
      </c>
    </row>
    <row r="775" spans="1:14" x14ac:dyDescent="0.25">
      <c r="A775" s="6" t="s">
        <v>778</v>
      </c>
      <c r="B775" s="6" t="s">
        <v>7084</v>
      </c>
      <c r="C775" s="6" t="s">
        <v>7085</v>
      </c>
      <c r="D775" s="6">
        <v>25</v>
      </c>
      <c r="E775" s="5">
        <f t="shared" si="66"/>
        <v>25000</v>
      </c>
      <c r="F775" s="5">
        <f t="shared" si="67"/>
        <v>2125</v>
      </c>
      <c r="G775" s="5">
        <f t="shared" si="68"/>
        <v>5.8219178082191778</v>
      </c>
      <c r="H775" s="5">
        <f t="shared" si="69"/>
        <v>1065.4109589041095</v>
      </c>
      <c r="I775" s="5">
        <f t="shared" si="70"/>
        <v>63.92465753424657</v>
      </c>
      <c r="J775" s="5">
        <f t="shared" si="71"/>
        <v>1001.486301369863</v>
      </c>
      <c r="K775" s="1"/>
      <c r="L775" s="6" t="s">
        <v>1496</v>
      </c>
      <c r="M775" s="6" t="s">
        <v>7090</v>
      </c>
      <c r="N775" s="6" t="s">
        <v>7091</v>
      </c>
    </row>
    <row r="776" spans="1:14" x14ac:dyDescent="0.25">
      <c r="A776" s="6" t="s">
        <v>779</v>
      </c>
      <c r="B776" s="6" t="s">
        <v>7092</v>
      </c>
      <c r="C776" s="6" t="s">
        <v>7093</v>
      </c>
      <c r="D776" s="6">
        <v>30</v>
      </c>
      <c r="E776" s="5">
        <f t="shared" ref="E776:E838" si="72">+D776*1000</f>
        <v>30000</v>
      </c>
      <c r="F776" s="5">
        <f t="shared" ref="F776:F838" si="73">+E776*8.5%</f>
        <v>2550</v>
      </c>
      <c r="G776" s="5">
        <f t="shared" ref="G776:G838" si="74">+F776/365</f>
        <v>6.9863013698630141</v>
      </c>
      <c r="H776" s="5">
        <f t="shared" ref="H776:H838" si="75">G776*$H$4</f>
        <v>1278.4931506849316</v>
      </c>
      <c r="I776" s="5">
        <f t="shared" ref="I776:I838" si="76">+H776*6%</f>
        <v>76.709589041095896</v>
      </c>
      <c r="J776" s="5">
        <f t="shared" ref="J776:J838" si="77">+H776-I776</f>
        <v>1201.7835616438358</v>
      </c>
      <c r="K776" s="1"/>
      <c r="L776" s="6" t="s">
        <v>1637</v>
      </c>
      <c r="M776" s="6" t="s">
        <v>7098</v>
      </c>
      <c r="N776" s="6" t="s">
        <v>7099</v>
      </c>
    </row>
    <row r="777" spans="1:14" x14ac:dyDescent="0.25">
      <c r="A777" s="6" t="s">
        <v>780</v>
      </c>
      <c r="B777" s="6" t="s">
        <v>7100</v>
      </c>
      <c r="C777" s="6" t="s">
        <v>7101</v>
      </c>
      <c r="D777" s="6">
        <v>25</v>
      </c>
      <c r="E777" s="5">
        <f t="shared" si="72"/>
        <v>25000</v>
      </c>
      <c r="F777" s="5">
        <f t="shared" si="73"/>
        <v>2125</v>
      </c>
      <c r="G777" s="5">
        <f t="shared" si="74"/>
        <v>5.8219178082191778</v>
      </c>
      <c r="H777" s="5">
        <f t="shared" si="75"/>
        <v>1065.4109589041095</v>
      </c>
      <c r="I777" s="5">
        <f t="shared" si="76"/>
        <v>63.92465753424657</v>
      </c>
      <c r="J777" s="5">
        <f t="shared" si="77"/>
        <v>1001.486301369863</v>
      </c>
      <c r="K777" s="1"/>
      <c r="L777" s="6" t="s">
        <v>1089</v>
      </c>
      <c r="M777" s="6" t="s">
        <v>7107</v>
      </c>
      <c r="N777" s="6" t="s">
        <v>7108</v>
      </c>
    </row>
    <row r="778" spans="1:14" x14ac:dyDescent="0.25">
      <c r="A778" s="6" t="s">
        <v>781</v>
      </c>
      <c r="B778" s="6" t="s">
        <v>7109</v>
      </c>
      <c r="C778" s="6" t="s">
        <v>7110</v>
      </c>
      <c r="D778" s="6">
        <v>25</v>
      </c>
      <c r="E778" s="5">
        <f t="shared" si="72"/>
        <v>25000</v>
      </c>
      <c r="F778" s="5">
        <f t="shared" si="73"/>
        <v>2125</v>
      </c>
      <c r="G778" s="5">
        <f t="shared" si="74"/>
        <v>5.8219178082191778</v>
      </c>
      <c r="H778" s="5">
        <f t="shared" si="75"/>
        <v>1065.4109589041095</v>
      </c>
      <c r="I778" s="5">
        <f t="shared" si="76"/>
        <v>63.92465753424657</v>
      </c>
      <c r="J778" s="5">
        <f t="shared" si="77"/>
        <v>1001.486301369863</v>
      </c>
      <c r="K778" s="1"/>
      <c r="L778" s="6" t="s">
        <v>1496</v>
      </c>
      <c r="M778" s="6" t="s">
        <v>4411</v>
      </c>
      <c r="N778" s="6" t="s">
        <v>7115</v>
      </c>
    </row>
    <row r="779" spans="1:14" x14ac:dyDescent="0.25">
      <c r="A779" s="6" t="s">
        <v>782</v>
      </c>
      <c r="B779" s="6" t="s">
        <v>7116</v>
      </c>
      <c r="C779" s="6" t="s">
        <v>7117</v>
      </c>
      <c r="D779" s="6">
        <v>25</v>
      </c>
      <c r="E779" s="5">
        <f t="shared" si="72"/>
        <v>25000</v>
      </c>
      <c r="F779" s="5">
        <f t="shared" si="73"/>
        <v>2125</v>
      </c>
      <c r="G779" s="5">
        <f t="shared" si="74"/>
        <v>5.8219178082191778</v>
      </c>
      <c r="H779" s="5">
        <f t="shared" si="75"/>
        <v>1065.4109589041095</v>
      </c>
      <c r="I779" s="5">
        <f t="shared" si="76"/>
        <v>63.92465753424657</v>
      </c>
      <c r="J779" s="5">
        <f t="shared" si="77"/>
        <v>1001.486301369863</v>
      </c>
      <c r="K779" s="1"/>
      <c r="L779" s="6" t="s">
        <v>915</v>
      </c>
      <c r="M779" s="6" t="s">
        <v>926</v>
      </c>
      <c r="N779" s="6" t="s">
        <v>7123</v>
      </c>
    </row>
    <row r="780" spans="1:14" x14ac:dyDescent="0.25">
      <c r="A780" s="6" t="s">
        <v>783</v>
      </c>
      <c r="B780" s="6" t="s">
        <v>7124</v>
      </c>
      <c r="C780" s="6" t="s">
        <v>7125</v>
      </c>
      <c r="D780" s="6">
        <v>25</v>
      </c>
      <c r="E780" s="5">
        <f t="shared" si="72"/>
        <v>25000</v>
      </c>
      <c r="F780" s="5">
        <f t="shared" si="73"/>
        <v>2125</v>
      </c>
      <c r="G780" s="5">
        <f t="shared" si="74"/>
        <v>5.8219178082191778</v>
      </c>
      <c r="H780" s="5">
        <f t="shared" si="75"/>
        <v>1065.4109589041095</v>
      </c>
      <c r="I780" s="5">
        <f t="shared" si="76"/>
        <v>63.92465753424657</v>
      </c>
      <c r="J780" s="5">
        <f t="shared" si="77"/>
        <v>1001.486301369863</v>
      </c>
      <c r="K780" s="1"/>
      <c r="L780" s="6" t="s">
        <v>5</v>
      </c>
      <c r="M780" s="6" t="s">
        <v>7130</v>
      </c>
      <c r="N780" s="6" t="s">
        <v>7131</v>
      </c>
    </row>
    <row r="781" spans="1:14" x14ac:dyDescent="0.25">
      <c r="A781" s="6" t="s">
        <v>784</v>
      </c>
      <c r="B781" s="6" t="s">
        <v>7132</v>
      </c>
      <c r="C781" s="6" t="s">
        <v>7133</v>
      </c>
      <c r="D781" s="6">
        <v>25</v>
      </c>
      <c r="E781" s="5">
        <f t="shared" si="72"/>
        <v>25000</v>
      </c>
      <c r="F781" s="5">
        <f t="shared" si="73"/>
        <v>2125</v>
      </c>
      <c r="G781" s="5">
        <f t="shared" si="74"/>
        <v>5.8219178082191778</v>
      </c>
      <c r="H781" s="5">
        <f t="shared" si="75"/>
        <v>1065.4109589041095</v>
      </c>
      <c r="I781" s="5">
        <f t="shared" si="76"/>
        <v>63.92465753424657</v>
      </c>
      <c r="J781" s="5">
        <f t="shared" si="77"/>
        <v>1001.486301369863</v>
      </c>
      <c r="K781" s="1"/>
      <c r="L781" s="6" t="s">
        <v>1478</v>
      </c>
      <c r="M781" s="6" t="s">
        <v>7139</v>
      </c>
      <c r="N781" s="6" t="s">
        <v>7140</v>
      </c>
    </row>
    <row r="782" spans="1:14" x14ac:dyDescent="0.25">
      <c r="A782" s="6" t="s">
        <v>785</v>
      </c>
      <c r="B782" s="6" t="s">
        <v>7141</v>
      </c>
      <c r="C782" s="6" t="s">
        <v>6476</v>
      </c>
      <c r="D782" s="6">
        <v>25</v>
      </c>
      <c r="E782" s="5">
        <f t="shared" si="72"/>
        <v>25000</v>
      </c>
      <c r="F782" s="5">
        <f t="shared" si="73"/>
        <v>2125</v>
      </c>
      <c r="G782" s="5">
        <f t="shared" si="74"/>
        <v>5.8219178082191778</v>
      </c>
      <c r="H782" s="5">
        <f t="shared" si="75"/>
        <v>1065.4109589041095</v>
      </c>
      <c r="I782" s="5">
        <f t="shared" si="76"/>
        <v>63.92465753424657</v>
      </c>
      <c r="J782" s="5">
        <f t="shared" si="77"/>
        <v>1001.486301369863</v>
      </c>
      <c r="K782" s="1"/>
      <c r="L782" s="6" t="s">
        <v>915</v>
      </c>
      <c r="M782" s="6" t="s">
        <v>6481</v>
      </c>
      <c r="N782" s="6" t="s">
        <v>7145</v>
      </c>
    </row>
    <row r="783" spans="1:14" x14ac:dyDescent="0.25">
      <c r="A783" s="6" t="s">
        <v>786</v>
      </c>
      <c r="B783" s="6" t="s">
        <v>7146</v>
      </c>
      <c r="C783" s="6" t="s">
        <v>7147</v>
      </c>
      <c r="D783" s="6">
        <v>100</v>
      </c>
      <c r="E783" s="5">
        <f t="shared" si="72"/>
        <v>100000</v>
      </c>
      <c r="F783" s="5">
        <f t="shared" si="73"/>
        <v>8500</v>
      </c>
      <c r="G783" s="5">
        <f t="shared" si="74"/>
        <v>23.287671232876711</v>
      </c>
      <c r="H783" s="5">
        <f t="shared" si="75"/>
        <v>4261.6438356164381</v>
      </c>
      <c r="I783" s="5">
        <f t="shared" si="76"/>
        <v>255.69863013698628</v>
      </c>
      <c r="J783" s="5">
        <f t="shared" si="77"/>
        <v>4005.9452054794519</v>
      </c>
      <c r="K783" s="1"/>
      <c r="L783" s="6" t="s">
        <v>2</v>
      </c>
      <c r="M783" s="6" t="s">
        <v>4162</v>
      </c>
      <c r="N783" s="6" t="s">
        <v>7153</v>
      </c>
    </row>
    <row r="784" spans="1:14" x14ac:dyDescent="0.25">
      <c r="A784" s="6" t="s">
        <v>787</v>
      </c>
      <c r="B784" s="6" t="s">
        <v>7154</v>
      </c>
      <c r="C784" s="6" t="s">
        <v>7155</v>
      </c>
      <c r="D784" s="6">
        <v>100</v>
      </c>
      <c r="E784" s="5">
        <f t="shared" si="72"/>
        <v>100000</v>
      </c>
      <c r="F784" s="5">
        <f t="shared" si="73"/>
        <v>8500</v>
      </c>
      <c r="G784" s="5">
        <f t="shared" si="74"/>
        <v>23.287671232876711</v>
      </c>
      <c r="H784" s="5">
        <f t="shared" si="75"/>
        <v>4261.6438356164381</v>
      </c>
      <c r="I784" s="5">
        <f t="shared" si="76"/>
        <v>255.69863013698628</v>
      </c>
      <c r="J784" s="5">
        <f t="shared" si="77"/>
        <v>4005.9452054794519</v>
      </c>
      <c r="K784" s="1"/>
      <c r="L784" s="6" t="s">
        <v>910</v>
      </c>
      <c r="M784" s="6" t="s">
        <v>7160</v>
      </c>
      <c r="N784" s="6" t="s">
        <v>7161</v>
      </c>
    </row>
    <row r="785" spans="1:14" x14ac:dyDescent="0.25">
      <c r="A785" s="6" t="s">
        <v>788</v>
      </c>
      <c r="B785" s="6" t="s">
        <v>7162</v>
      </c>
      <c r="C785" s="6" t="s">
        <v>7163</v>
      </c>
      <c r="D785" s="6">
        <v>100</v>
      </c>
      <c r="E785" s="5">
        <f t="shared" si="72"/>
        <v>100000</v>
      </c>
      <c r="F785" s="5">
        <f t="shared" si="73"/>
        <v>8500</v>
      </c>
      <c r="G785" s="5">
        <f t="shared" si="74"/>
        <v>23.287671232876711</v>
      </c>
      <c r="H785" s="5">
        <f t="shared" si="75"/>
        <v>4261.6438356164381</v>
      </c>
      <c r="I785" s="5">
        <f t="shared" si="76"/>
        <v>255.69863013698628</v>
      </c>
      <c r="J785" s="5">
        <f t="shared" si="77"/>
        <v>4005.9452054794519</v>
      </c>
      <c r="K785" s="1"/>
      <c r="L785" s="6" t="s">
        <v>2</v>
      </c>
      <c r="M785" s="6" t="s">
        <v>7168</v>
      </c>
      <c r="N785" s="6" t="s">
        <v>7169</v>
      </c>
    </row>
    <row r="786" spans="1:14" x14ac:dyDescent="0.25">
      <c r="A786" s="6" t="s">
        <v>789</v>
      </c>
      <c r="B786" s="6" t="s">
        <v>7170</v>
      </c>
      <c r="C786" s="6" t="s">
        <v>7171</v>
      </c>
      <c r="D786" s="6">
        <v>30</v>
      </c>
      <c r="E786" s="5">
        <f t="shared" si="72"/>
        <v>30000</v>
      </c>
      <c r="F786" s="5">
        <f t="shared" si="73"/>
        <v>2550</v>
      </c>
      <c r="G786" s="5">
        <f t="shared" si="74"/>
        <v>6.9863013698630141</v>
      </c>
      <c r="H786" s="5">
        <f t="shared" si="75"/>
        <v>1278.4931506849316</v>
      </c>
      <c r="I786" s="5">
        <f t="shared" si="76"/>
        <v>76.709589041095896</v>
      </c>
      <c r="J786" s="5">
        <f t="shared" si="77"/>
        <v>1201.7835616438358</v>
      </c>
      <c r="K786" s="1"/>
      <c r="L786" s="6" t="s">
        <v>915</v>
      </c>
      <c r="M786" s="6" t="s">
        <v>7177</v>
      </c>
      <c r="N786" s="6" t="s">
        <v>7178</v>
      </c>
    </row>
    <row r="787" spans="1:14" x14ac:dyDescent="0.25">
      <c r="A787" s="6" t="s">
        <v>790</v>
      </c>
      <c r="B787" s="6" t="s">
        <v>7179</v>
      </c>
      <c r="C787" s="6" t="s">
        <v>7180</v>
      </c>
      <c r="D787" s="6">
        <v>25</v>
      </c>
      <c r="E787" s="5">
        <f t="shared" si="72"/>
        <v>25000</v>
      </c>
      <c r="F787" s="5">
        <f t="shared" si="73"/>
        <v>2125</v>
      </c>
      <c r="G787" s="5">
        <f t="shared" si="74"/>
        <v>5.8219178082191778</v>
      </c>
      <c r="H787" s="5">
        <f t="shared" si="75"/>
        <v>1065.4109589041095</v>
      </c>
      <c r="I787" s="5">
        <f t="shared" si="76"/>
        <v>63.92465753424657</v>
      </c>
      <c r="J787" s="5">
        <f t="shared" si="77"/>
        <v>1001.486301369863</v>
      </c>
      <c r="K787" s="1"/>
      <c r="L787" s="6" t="s">
        <v>971</v>
      </c>
      <c r="M787" s="6" t="s">
        <v>7185</v>
      </c>
      <c r="N787" s="6" t="s">
        <v>7186</v>
      </c>
    </row>
    <row r="788" spans="1:14" x14ac:dyDescent="0.25">
      <c r="A788" s="6" t="s">
        <v>791</v>
      </c>
      <c r="B788" s="6" t="s">
        <v>7187</v>
      </c>
      <c r="C788" s="6" t="s">
        <v>7188</v>
      </c>
      <c r="D788" s="6">
        <v>25</v>
      </c>
      <c r="E788" s="5">
        <f t="shared" si="72"/>
        <v>25000</v>
      </c>
      <c r="F788" s="5">
        <f t="shared" si="73"/>
        <v>2125</v>
      </c>
      <c r="G788" s="5">
        <f t="shared" si="74"/>
        <v>5.8219178082191778</v>
      </c>
      <c r="H788" s="5">
        <f t="shared" si="75"/>
        <v>1065.4109589041095</v>
      </c>
      <c r="I788" s="5">
        <f t="shared" si="76"/>
        <v>63.92465753424657</v>
      </c>
      <c r="J788" s="5">
        <f t="shared" si="77"/>
        <v>1001.486301369863</v>
      </c>
      <c r="K788" s="1"/>
      <c r="L788" s="6" t="s">
        <v>4</v>
      </c>
      <c r="M788" s="6" t="s">
        <v>924</v>
      </c>
      <c r="N788" s="6" t="s">
        <v>7193</v>
      </c>
    </row>
    <row r="789" spans="1:14" x14ac:dyDescent="0.25">
      <c r="A789" s="6" t="s">
        <v>792</v>
      </c>
      <c r="B789" s="6" t="s">
        <v>7194</v>
      </c>
      <c r="C789" s="6" t="s">
        <v>7195</v>
      </c>
      <c r="D789" s="6">
        <v>25</v>
      </c>
      <c r="E789" s="5">
        <f t="shared" si="72"/>
        <v>25000</v>
      </c>
      <c r="F789" s="5">
        <f t="shared" si="73"/>
        <v>2125</v>
      </c>
      <c r="G789" s="5">
        <f t="shared" si="74"/>
        <v>5.8219178082191778</v>
      </c>
      <c r="H789" s="5">
        <f t="shared" si="75"/>
        <v>1065.4109589041095</v>
      </c>
      <c r="I789" s="5">
        <f t="shared" si="76"/>
        <v>63.92465753424657</v>
      </c>
      <c r="J789" s="5">
        <f t="shared" si="77"/>
        <v>1001.486301369863</v>
      </c>
      <c r="K789" s="1"/>
      <c r="L789" s="6" t="s">
        <v>915</v>
      </c>
      <c r="M789" s="6" t="s">
        <v>6576</v>
      </c>
      <c r="N789" s="6" t="s">
        <v>7201</v>
      </c>
    </row>
    <row r="790" spans="1:14" x14ac:dyDescent="0.25">
      <c r="A790" s="6" t="s">
        <v>793</v>
      </c>
      <c r="B790" s="6" t="s">
        <v>7202</v>
      </c>
      <c r="C790" s="6" t="s">
        <v>7203</v>
      </c>
      <c r="D790" s="6">
        <v>200</v>
      </c>
      <c r="E790" s="5">
        <f t="shared" si="72"/>
        <v>200000</v>
      </c>
      <c r="F790" s="5">
        <f t="shared" si="73"/>
        <v>17000</v>
      </c>
      <c r="G790" s="5">
        <f t="shared" si="74"/>
        <v>46.575342465753423</v>
      </c>
      <c r="H790" s="5">
        <f t="shared" si="75"/>
        <v>8523.2876712328762</v>
      </c>
      <c r="I790" s="5">
        <f t="shared" si="76"/>
        <v>511.39726027397256</v>
      </c>
      <c r="J790" s="5">
        <f t="shared" si="77"/>
        <v>8011.8904109589039</v>
      </c>
      <c r="K790" s="1"/>
      <c r="L790" s="6" t="s">
        <v>4</v>
      </c>
      <c r="M790" s="6" t="s">
        <v>7209</v>
      </c>
      <c r="N790" s="6" t="s">
        <v>7210</v>
      </c>
    </row>
    <row r="791" spans="1:14" x14ac:dyDescent="0.25">
      <c r="A791" s="6" t="s">
        <v>794</v>
      </c>
      <c r="B791" s="6" t="s">
        <v>7211</v>
      </c>
      <c r="C791" s="6" t="s">
        <v>3953</v>
      </c>
      <c r="D791" s="6">
        <v>50</v>
      </c>
      <c r="E791" s="5">
        <f t="shared" si="72"/>
        <v>50000</v>
      </c>
      <c r="F791" s="5">
        <f t="shared" si="73"/>
        <v>4250</v>
      </c>
      <c r="G791" s="5">
        <f t="shared" si="74"/>
        <v>11.643835616438356</v>
      </c>
      <c r="H791" s="5">
        <f t="shared" si="75"/>
        <v>2130.821917808219</v>
      </c>
      <c r="I791" s="5">
        <f t="shared" si="76"/>
        <v>127.84931506849314</v>
      </c>
      <c r="J791" s="5">
        <f t="shared" si="77"/>
        <v>2002.972602739726</v>
      </c>
      <c r="K791" s="1"/>
      <c r="L791" s="6" t="s">
        <v>909</v>
      </c>
      <c r="M791" s="6" t="s">
        <v>1237</v>
      </c>
      <c r="N791" s="6" t="s">
        <v>7215</v>
      </c>
    </row>
    <row r="792" spans="1:14" x14ac:dyDescent="0.25">
      <c r="A792" s="6" t="s">
        <v>795</v>
      </c>
      <c r="B792" s="6" t="s">
        <v>7216</v>
      </c>
      <c r="C792" s="6" t="s">
        <v>7217</v>
      </c>
      <c r="D792" s="6">
        <v>25</v>
      </c>
      <c r="E792" s="5">
        <f t="shared" si="72"/>
        <v>25000</v>
      </c>
      <c r="F792" s="5">
        <f t="shared" si="73"/>
        <v>2125</v>
      </c>
      <c r="G792" s="5">
        <f t="shared" si="74"/>
        <v>5.8219178082191778</v>
      </c>
      <c r="H792" s="5">
        <f t="shared" si="75"/>
        <v>1065.4109589041095</v>
      </c>
      <c r="I792" s="5">
        <f t="shared" si="76"/>
        <v>63.92465753424657</v>
      </c>
      <c r="J792" s="5">
        <f t="shared" si="77"/>
        <v>1001.486301369863</v>
      </c>
      <c r="K792" s="1"/>
      <c r="L792" s="6" t="s">
        <v>919</v>
      </c>
      <c r="M792" s="6" t="s">
        <v>3493</v>
      </c>
      <c r="N792" s="6" t="s">
        <v>7223</v>
      </c>
    </row>
    <row r="793" spans="1:14" x14ac:dyDescent="0.25">
      <c r="A793" s="6" t="s">
        <v>796</v>
      </c>
      <c r="B793" s="6" t="s">
        <v>7224</v>
      </c>
      <c r="C793" s="6" t="s">
        <v>7225</v>
      </c>
      <c r="D793" s="6">
        <v>25</v>
      </c>
      <c r="E793" s="5">
        <f t="shared" si="72"/>
        <v>25000</v>
      </c>
      <c r="F793" s="5">
        <f t="shared" si="73"/>
        <v>2125</v>
      </c>
      <c r="G793" s="5">
        <f t="shared" si="74"/>
        <v>5.8219178082191778</v>
      </c>
      <c r="H793" s="5">
        <f t="shared" si="75"/>
        <v>1065.4109589041095</v>
      </c>
      <c r="I793" s="5">
        <f t="shared" si="76"/>
        <v>63.92465753424657</v>
      </c>
      <c r="J793" s="5">
        <f t="shared" si="77"/>
        <v>1001.486301369863</v>
      </c>
      <c r="K793" s="1"/>
      <c r="L793" s="6" t="s">
        <v>971</v>
      </c>
      <c r="M793" s="6" t="s">
        <v>972</v>
      </c>
      <c r="N793" s="6" t="s">
        <v>7231</v>
      </c>
    </row>
    <row r="794" spans="1:14" x14ac:dyDescent="0.25">
      <c r="A794" s="6" t="s">
        <v>797</v>
      </c>
      <c r="B794" s="6" t="s">
        <v>7232</v>
      </c>
      <c r="C794" s="6" t="s">
        <v>7233</v>
      </c>
      <c r="D794" s="6">
        <v>25</v>
      </c>
      <c r="E794" s="5">
        <f t="shared" si="72"/>
        <v>25000</v>
      </c>
      <c r="F794" s="5">
        <f t="shared" si="73"/>
        <v>2125</v>
      </c>
      <c r="G794" s="5">
        <f t="shared" si="74"/>
        <v>5.8219178082191778</v>
      </c>
      <c r="H794" s="5">
        <f t="shared" si="75"/>
        <v>1065.4109589041095</v>
      </c>
      <c r="I794" s="5">
        <f t="shared" si="76"/>
        <v>63.92465753424657</v>
      </c>
      <c r="J794" s="5">
        <f t="shared" si="77"/>
        <v>1001.486301369863</v>
      </c>
      <c r="K794" s="1"/>
      <c r="L794" s="6" t="s">
        <v>1</v>
      </c>
      <c r="M794" s="6" t="s">
        <v>1846</v>
      </c>
      <c r="N794" s="6" t="s">
        <v>7238</v>
      </c>
    </row>
    <row r="795" spans="1:14" x14ac:dyDescent="0.25">
      <c r="A795" s="6" t="s">
        <v>798</v>
      </c>
      <c r="B795" s="6" t="s">
        <v>7239</v>
      </c>
      <c r="C795" s="6" t="s">
        <v>7240</v>
      </c>
      <c r="D795" s="6">
        <v>100</v>
      </c>
      <c r="E795" s="5">
        <f t="shared" si="72"/>
        <v>100000</v>
      </c>
      <c r="F795" s="5">
        <f t="shared" si="73"/>
        <v>8500</v>
      </c>
      <c r="G795" s="5">
        <f t="shared" si="74"/>
        <v>23.287671232876711</v>
      </c>
      <c r="H795" s="5">
        <f t="shared" si="75"/>
        <v>4261.6438356164381</v>
      </c>
      <c r="I795" s="5">
        <f t="shared" si="76"/>
        <v>255.69863013698628</v>
      </c>
      <c r="J795" s="5">
        <f t="shared" si="77"/>
        <v>4005.9452054794519</v>
      </c>
      <c r="K795" s="1"/>
      <c r="L795" s="6" t="s">
        <v>915</v>
      </c>
      <c r="M795" s="6" t="s">
        <v>4935</v>
      </c>
      <c r="N795" s="6" t="s">
        <v>7246</v>
      </c>
    </row>
    <row r="796" spans="1:14" x14ac:dyDescent="0.25">
      <c r="A796" s="6" t="s">
        <v>799</v>
      </c>
      <c r="B796" s="6" t="s">
        <v>7247</v>
      </c>
      <c r="C796" s="6" t="s">
        <v>7248</v>
      </c>
      <c r="D796" s="6">
        <v>500</v>
      </c>
      <c r="E796" s="5">
        <f t="shared" si="72"/>
        <v>500000</v>
      </c>
      <c r="F796" s="5">
        <f t="shared" si="73"/>
        <v>42500</v>
      </c>
      <c r="G796" s="5">
        <f t="shared" si="74"/>
        <v>116.43835616438356</v>
      </c>
      <c r="H796" s="5">
        <f t="shared" si="75"/>
        <v>21308.219178082192</v>
      </c>
      <c r="I796" s="5">
        <f t="shared" si="76"/>
        <v>1278.4931506849314</v>
      </c>
      <c r="J796" s="5">
        <f t="shared" si="77"/>
        <v>20029.726027397261</v>
      </c>
      <c r="K796" s="1"/>
      <c r="L796" s="6" t="s">
        <v>919</v>
      </c>
      <c r="M796" s="6" t="s">
        <v>1011</v>
      </c>
      <c r="N796" s="6" t="s">
        <v>7254</v>
      </c>
    </row>
    <row r="797" spans="1:14" x14ac:dyDescent="0.25">
      <c r="A797" s="6" t="s">
        <v>800</v>
      </c>
      <c r="B797" s="6" t="s">
        <v>7255</v>
      </c>
      <c r="C797" s="6" t="s">
        <v>7256</v>
      </c>
      <c r="D797" s="6">
        <v>25</v>
      </c>
      <c r="E797" s="5">
        <f t="shared" si="72"/>
        <v>25000</v>
      </c>
      <c r="F797" s="5">
        <f t="shared" si="73"/>
        <v>2125</v>
      </c>
      <c r="G797" s="5">
        <f t="shared" si="74"/>
        <v>5.8219178082191778</v>
      </c>
      <c r="H797" s="5">
        <f t="shared" si="75"/>
        <v>1065.4109589041095</v>
      </c>
      <c r="I797" s="5">
        <f t="shared" si="76"/>
        <v>63.92465753424657</v>
      </c>
      <c r="J797" s="5">
        <f t="shared" si="77"/>
        <v>1001.486301369863</v>
      </c>
      <c r="K797" s="1"/>
      <c r="L797" s="6" t="s">
        <v>915</v>
      </c>
      <c r="M797" s="6" t="s">
        <v>7262</v>
      </c>
      <c r="N797" s="6" t="s">
        <v>7263</v>
      </c>
    </row>
    <row r="798" spans="1:14" x14ac:dyDescent="0.25">
      <c r="A798" s="6" t="s">
        <v>801</v>
      </c>
      <c r="B798" s="6" t="s">
        <v>7264</v>
      </c>
      <c r="C798" s="6" t="s">
        <v>7265</v>
      </c>
      <c r="D798" s="6">
        <v>25</v>
      </c>
      <c r="E798" s="5">
        <f t="shared" si="72"/>
        <v>25000</v>
      </c>
      <c r="F798" s="5">
        <f t="shared" si="73"/>
        <v>2125</v>
      </c>
      <c r="G798" s="5">
        <f t="shared" si="74"/>
        <v>5.8219178082191778</v>
      </c>
      <c r="H798" s="5">
        <f t="shared" si="75"/>
        <v>1065.4109589041095</v>
      </c>
      <c r="I798" s="5">
        <f t="shared" si="76"/>
        <v>63.92465753424657</v>
      </c>
      <c r="J798" s="5">
        <f t="shared" si="77"/>
        <v>1001.486301369863</v>
      </c>
      <c r="K798" s="1"/>
      <c r="L798" s="6" t="s">
        <v>3</v>
      </c>
      <c r="M798" s="6" t="s">
        <v>7270</v>
      </c>
      <c r="N798" s="6" t="s">
        <v>7271</v>
      </c>
    </row>
    <row r="799" spans="1:14" x14ac:dyDescent="0.25">
      <c r="A799" s="6" t="s">
        <v>802</v>
      </c>
      <c r="B799" s="6" t="s">
        <v>7272</v>
      </c>
      <c r="C799" s="6" t="s">
        <v>7273</v>
      </c>
      <c r="D799" s="6">
        <v>25</v>
      </c>
      <c r="E799" s="5">
        <f t="shared" si="72"/>
        <v>25000</v>
      </c>
      <c r="F799" s="5">
        <f t="shared" si="73"/>
        <v>2125</v>
      </c>
      <c r="G799" s="5">
        <f t="shared" si="74"/>
        <v>5.8219178082191778</v>
      </c>
      <c r="H799" s="5">
        <f t="shared" si="75"/>
        <v>1065.4109589041095</v>
      </c>
      <c r="I799" s="5">
        <f t="shared" si="76"/>
        <v>63.92465753424657</v>
      </c>
      <c r="J799" s="5">
        <f t="shared" si="77"/>
        <v>1001.486301369863</v>
      </c>
      <c r="K799" s="1"/>
      <c r="L799" s="6" t="s">
        <v>915</v>
      </c>
      <c r="M799" s="6" t="s">
        <v>7279</v>
      </c>
      <c r="N799" s="6" t="s">
        <v>7280</v>
      </c>
    </row>
    <row r="800" spans="1:14" x14ac:dyDescent="0.25">
      <c r="A800" s="6" t="s">
        <v>803</v>
      </c>
      <c r="B800" s="6" t="s">
        <v>7281</v>
      </c>
      <c r="C800" s="6" t="s">
        <v>7282</v>
      </c>
      <c r="D800" s="6">
        <v>1000</v>
      </c>
      <c r="E800" s="5">
        <f t="shared" si="72"/>
        <v>1000000</v>
      </c>
      <c r="F800" s="5">
        <f t="shared" si="73"/>
        <v>85000</v>
      </c>
      <c r="G800" s="5">
        <f t="shared" si="74"/>
        <v>232.87671232876713</v>
      </c>
      <c r="H800" s="5">
        <f t="shared" si="75"/>
        <v>42616.438356164384</v>
      </c>
      <c r="I800" s="5">
        <f t="shared" si="76"/>
        <v>2556.9863013698628</v>
      </c>
      <c r="J800" s="5">
        <f t="shared" si="77"/>
        <v>40059.452054794521</v>
      </c>
      <c r="K800" s="1"/>
      <c r="L800" s="6" t="s">
        <v>8</v>
      </c>
      <c r="M800" s="6" t="s">
        <v>1129</v>
      </c>
      <c r="N800" s="6" t="s">
        <v>7288</v>
      </c>
    </row>
    <row r="801" spans="1:14" x14ac:dyDescent="0.25">
      <c r="A801" s="6" t="s">
        <v>804</v>
      </c>
      <c r="B801" s="6" t="s">
        <v>7289</v>
      </c>
      <c r="C801" s="6" t="s">
        <v>7290</v>
      </c>
      <c r="D801" s="6">
        <v>25</v>
      </c>
      <c r="E801" s="5">
        <f t="shared" si="72"/>
        <v>25000</v>
      </c>
      <c r="F801" s="5">
        <f t="shared" si="73"/>
        <v>2125</v>
      </c>
      <c r="G801" s="5">
        <f t="shared" si="74"/>
        <v>5.8219178082191778</v>
      </c>
      <c r="H801" s="5">
        <f t="shared" si="75"/>
        <v>1065.4109589041095</v>
      </c>
      <c r="I801" s="5">
        <f t="shared" si="76"/>
        <v>63.92465753424657</v>
      </c>
      <c r="J801" s="5">
        <f t="shared" si="77"/>
        <v>1001.486301369863</v>
      </c>
      <c r="K801" s="1"/>
      <c r="L801" s="6" t="s">
        <v>1218</v>
      </c>
      <c r="M801" s="6" t="s">
        <v>7295</v>
      </c>
      <c r="N801" s="6" t="s">
        <v>7296</v>
      </c>
    </row>
    <row r="802" spans="1:14" x14ac:dyDescent="0.25">
      <c r="A802" s="6" t="s">
        <v>805</v>
      </c>
      <c r="B802" s="6" t="s">
        <v>7297</v>
      </c>
      <c r="C802" s="6" t="s">
        <v>7298</v>
      </c>
      <c r="D802" s="6">
        <v>25</v>
      </c>
      <c r="E802" s="5">
        <f t="shared" si="72"/>
        <v>25000</v>
      </c>
      <c r="F802" s="5">
        <f t="shared" si="73"/>
        <v>2125</v>
      </c>
      <c r="G802" s="5">
        <f t="shared" si="74"/>
        <v>5.8219178082191778</v>
      </c>
      <c r="H802" s="5">
        <f t="shared" si="75"/>
        <v>1065.4109589041095</v>
      </c>
      <c r="I802" s="5">
        <f t="shared" si="76"/>
        <v>63.92465753424657</v>
      </c>
      <c r="J802" s="5">
        <f t="shared" si="77"/>
        <v>1001.486301369863</v>
      </c>
      <c r="K802" s="1"/>
      <c r="L802" s="6" t="s">
        <v>971</v>
      </c>
      <c r="M802" s="6" t="s">
        <v>7304</v>
      </c>
      <c r="N802" s="6" t="s">
        <v>7305</v>
      </c>
    </row>
    <row r="803" spans="1:14" x14ac:dyDescent="0.25">
      <c r="A803" s="6" t="s">
        <v>806</v>
      </c>
      <c r="B803" s="6" t="s">
        <v>7306</v>
      </c>
      <c r="C803" s="6" t="s">
        <v>7307</v>
      </c>
      <c r="D803" s="6">
        <v>50</v>
      </c>
      <c r="E803" s="5">
        <f t="shared" si="72"/>
        <v>50000</v>
      </c>
      <c r="F803" s="5">
        <f t="shared" si="73"/>
        <v>4250</v>
      </c>
      <c r="G803" s="5">
        <f t="shared" si="74"/>
        <v>11.643835616438356</v>
      </c>
      <c r="H803" s="5">
        <f t="shared" si="75"/>
        <v>2130.821917808219</v>
      </c>
      <c r="I803" s="5">
        <f t="shared" si="76"/>
        <v>127.84931506849314</v>
      </c>
      <c r="J803" s="5">
        <f t="shared" si="77"/>
        <v>2002.972602739726</v>
      </c>
      <c r="K803" s="1"/>
      <c r="L803" s="6" t="s">
        <v>1478</v>
      </c>
      <c r="M803" s="6" t="s">
        <v>7311</v>
      </c>
      <c r="N803" s="6" t="s">
        <v>7312</v>
      </c>
    </row>
    <row r="804" spans="1:14" x14ac:dyDescent="0.25">
      <c r="A804" s="6" t="s">
        <v>807</v>
      </c>
      <c r="B804" s="6" t="s">
        <v>7313</v>
      </c>
      <c r="C804" s="6" t="s">
        <v>7314</v>
      </c>
      <c r="D804" s="6">
        <v>25</v>
      </c>
      <c r="E804" s="5">
        <f t="shared" si="72"/>
        <v>25000</v>
      </c>
      <c r="F804" s="5">
        <f t="shared" si="73"/>
        <v>2125</v>
      </c>
      <c r="G804" s="5">
        <f t="shared" si="74"/>
        <v>5.8219178082191778</v>
      </c>
      <c r="H804" s="5">
        <f t="shared" si="75"/>
        <v>1065.4109589041095</v>
      </c>
      <c r="I804" s="5">
        <f t="shared" si="76"/>
        <v>63.92465753424657</v>
      </c>
      <c r="J804" s="5">
        <f t="shared" si="77"/>
        <v>1001.486301369863</v>
      </c>
      <c r="K804" s="1"/>
      <c r="L804" s="6" t="s">
        <v>1871</v>
      </c>
      <c r="M804" s="6" t="s">
        <v>7320</v>
      </c>
      <c r="N804" s="6" t="s">
        <v>7321</v>
      </c>
    </row>
    <row r="805" spans="1:14" x14ac:dyDescent="0.25">
      <c r="A805" s="6" t="s">
        <v>808</v>
      </c>
      <c r="B805" s="6" t="s">
        <v>7322</v>
      </c>
      <c r="C805" s="6" t="s">
        <v>7323</v>
      </c>
      <c r="D805" s="6">
        <v>50</v>
      </c>
      <c r="E805" s="5">
        <f t="shared" si="72"/>
        <v>50000</v>
      </c>
      <c r="F805" s="5">
        <f t="shared" si="73"/>
        <v>4250</v>
      </c>
      <c r="G805" s="5">
        <f t="shared" si="74"/>
        <v>11.643835616438356</v>
      </c>
      <c r="H805" s="5">
        <f t="shared" si="75"/>
        <v>2130.821917808219</v>
      </c>
      <c r="I805" s="5">
        <f t="shared" si="76"/>
        <v>127.84931506849314</v>
      </c>
      <c r="J805" s="5">
        <f t="shared" si="77"/>
        <v>2002.972602739726</v>
      </c>
      <c r="K805" s="1"/>
      <c r="L805" s="6" t="s">
        <v>4</v>
      </c>
      <c r="M805" s="6" t="s">
        <v>924</v>
      </c>
      <c r="N805" s="6" t="s">
        <v>7329</v>
      </c>
    </row>
    <row r="806" spans="1:14" x14ac:dyDescent="0.25">
      <c r="A806" s="6" t="s">
        <v>809</v>
      </c>
      <c r="B806" s="6" t="s">
        <v>7330</v>
      </c>
      <c r="C806" s="6" t="s">
        <v>7331</v>
      </c>
      <c r="D806" s="6">
        <v>50</v>
      </c>
      <c r="E806" s="5">
        <f t="shared" si="72"/>
        <v>50000</v>
      </c>
      <c r="F806" s="5">
        <f t="shared" si="73"/>
        <v>4250</v>
      </c>
      <c r="G806" s="5">
        <f t="shared" si="74"/>
        <v>11.643835616438356</v>
      </c>
      <c r="H806" s="5">
        <f t="shared" si="75"/>
        <v>2130.821917808219</v>
      </c>
      <c r="I806" s="5">
        <f t="shared" si="76"/>
        <v>127.84931506849314</v>
      </c>
      <c r="J806" s="5">
        <f t="shared" si="77"/>
        <v>2002.972602739726</v>
      </c>
      <c r="K806" s="1"/>
      <c r="L806" s="6" t="s">
        <v>8</v>
      </c>
      <c r="M806" s="6" t="s">
        <v>1941</v>
      </c>
      <c r="N806" s="6" t="s">
        <v>7337</v>
      </c>
    </row>
    <row r="807" spans="1:14" x14ac:dyDescent="0.25">
      <c r="A807" s="6" t="s">
        <v>10</v>
      </c>
      <c r="B807" s="6" t="s">
        <v>7338</v>
      </c>
      <c r="C807" s="6" t="s">
        <v>6657</v>
      </c>
      <c r="D807" s="6">
        <v>100</v>
      </c>
      <c r="E807" s="5">
        <f t="shared" si="72"/>
        <v>100000</v>
      </c>
      <c r="F807" s="5">
        <f t="shared" si="73"/>
        <v>8500</v>
      </c>
      <c r="G807" s="5">
        <f t="shared" si="74"/>
        <v>23.287671232876711</v>
      </c>
      <c r="H807" s="5">
        <f t="shared" si="75"/>
        <v>4261.6438356164381</v>
      </c>
      <c r="I807" s="5">
        <f t="shared" si="76"/>
        <v>255.69863013698628</v>
      </c>
      <c r="J807" s="5">
        <f t="shared" si="77"/>
        <v>4005.9452054794519</v>
      </c>
      <c r="K807" s="1"/>
      <c r="L807" s="6" t="s">
        <v>915</v>
      </c>
      <c r="M807" s="6" t="s">
        <v>4078</v>
      </c>
      <c r="N807" s="6" t="s">
        <v>7344</v>
      </c>
    </row>
    <row r="808" spans="1:14" x14ac:dyDescent="0.25">
      <c r="A808" s="6" t="s">
        <v>810</v>
      </c>
      <c r="B808" s="6" t="s">
        <v>7345</v>
      </c>
      <c r="C808" s="6" t="s">
        <v>7346</v>
      </c>
      <c r="D808" s="6">
        <v>100</v>
      </c>
      <c r="E808" s="5">
        <f t="shared" si="72"/>
        <v>100000</v>
      </c>
      <c r="F808" s="5">
        <f t="shared" si="73"/>
        <v>8500</v>
      </c>
      <c r="G808" s="5">
        <f t="shared" si="74"/>
        <v>23.287671232876711</v>
      </c>
      <c r="H808" s="5">
        <f t="shared" si="75"/>
        <v>4261.6438356164381</v>
      </c>
      <c r="I808" s="5">
        <f t="shared" si="76"/>
        <v>255.69863013698628</v>
      </c>
      <c r="J808" s="5">
        <f t="shared" si="77"/>
        <v>4005.9452054794519</v>
      </c>
      <c r="K808" s="1"/>
      <c r="L808" s="6" t="s">
        <v>919</v>
      </c>
      <c r="M808" s="6" t="s">
        <v>918</v>
      </c>
      <c r="N808" s="6" t="s">
        <v>7352</v>
      </c>
    </row>
    <row r="809" spans="1:14" x14ac:dyDescent="0.25">
      <c r="A809" s="6" t="s">
        <v>811</v>
      </c>
      <c r="B809" s="6" t="s">
        <v>7353</v>
      </c>
      <c r="C809" s="6" t="s">
        <v>7354</v>
      </c>
      <c r="D809" s="6">
        <v>25</v>
      </c>
      <c r="E809" s="5">
        <f t="shared" si="72"/>
        <v>25000</v>
      </c>
      <c r="F809" s="5">
        <f t="shared" si="73"/>
        <v>2125</v>
      </c>
      <c r="G809" s="5">
        <f t="shared" si="74"/>
        <v>5.8219178082191778</v>
      </c>
      <c r="H809" s="5">
        <f t="shared" si="75"/>
        <v>1065.4109589041095</v>
      </c>
      <c r="I809" s="5">
        <f t="shared" si="76"/>
        <v>63.92465753424657</v>
      </c>
      <c r="J809" s="5">
        <f t="shared" si="77"/>
        <v>1001.486301369863</v>
      </c>
      <c r="K809" s="1"/>
      <c r="L809" s="6" t="s">
        <v>910</v>
      </c>
      <c r="M809" s="6" t="s">
        <v>1194</v>
      </c>
      <c r="N809" s="6" t="s">
        <v>7359</v>
      </c>
    </row>
    <row r="810" spans="1:14" x14ac:dyDescent="0.25">
      <c r="A810" s="6" t="s">
        <v>812</v>
      </c>
      <c r="B810" s="6" t="s">
        <v>7360</v>
      </c>
      <c r="C810" s="6" t="s">
        <v>7361</v>
      </c>
      <c r="D810" s="6">
        <v>25</v>
      </c>
      <c r="E810" s="5">
        <f t="shared" si="72"/>
        <v>25000</v>
      </c>
      <c r="F810" s="5">
        <f t="shared" si="73"/>
        <v>2125</v>
      </c>
      <c r="G810" s="5">
        <f t="shared" si="74"/>
        <v>5.8219178082191778</v>
      </c>
      <c r="H810" s="5">
        <f t="shared" si="75"/>
        <v>1065.4109589041095</v>
      </c>
      <c r="I810" s="5">
        <f t="shared" si="76"/>
        <v>63.92465753424657</v>
      </c>
      <c r="J810" s="5">
        <f t="shared" si="77"/>
        <v>1001.486301369863</v>
      </c>
      <c r="K810" s="1"/>
      <c r="L810" s="6" t="s">
        <v>915</v>
      </c>
      <c r="M810" s="6" t="s">
        <v>4532</v>
      </c>
      <c r="N810" s="6" t="s">
        <v>7366</v>
      </c>
    </row>
    <row r="811" spans="1:14" x14ac:dyDescent="0.25">
      <c r="A811" s="6" t="s">
        <v>813</v>
      </c>
      <c r="B811" s="6" t="s">
        <v>7367</v>
      </c>
      <c r="C811" s="6" t="s">
        <v>7368</v>
      </c>
      <c r="D811" s="6">
        <v>50</v>
      </c>
      <c r="E811" s="5">
        <f t="shared" si="72"/>
        <v>50000</v>
      </c>
      <c r="F811" s="5">
        <f t="shared" si="73"/>
        <v>4250</v>
      </c>
      <c r="G811" s="5">
        <f t="shared" si="74"/>
        <v>11.643835616438356</v>
      </c>
      <c r="H811" s="5">
        <f t="shared" si="75"/>
        <v>2130.821917808219</v>
      </c>
      <c r="I811" s="5">
        <f t="shared" si="76"/>
        <v>127.84931506849314</v>
      </c>
      <c r="J811" s="5">
        <f t="shared" si="77"/>
        <v>2002.972602739726</v>
      </c>
      <c r="K811" s="1"/>
      <c r="L811" s="6" t="s">
        <v>910</v>
      </c>
      <c r="M811" s="6" t="s">
        <v>3510</v>
      </c>
      <c r="N811" s="6" t="s">
        <v>7372</v>
      </c>
    </row>
    <row r="812" spans="1:14" x14ac:dyDescent="0.25">
      <c r="A812" s="6" t="s">
        <v>814</v>
      </c>
      <c r="B812" s="6" t="s">
        <v>7373</v>
      </c>
      <c r="C812" s="6" t="s">
        <v>7374</v>
      </c>
      <c r="D812" s="6">
        <v>25</v>
      </c>
      <c r="E812" s="5">
        <f t="shared" si="72"/>
        <v>25000</v>
      </c>
      <c r="F812" s="5">
        <f t="shared" si="73"/>
        <v>2125</v>
      </c>
      <c r="G812" s="5">
        <f t="shared" si="74"/>
        <v>5.8219178082191778</v>
      </c>
      <c r="H812" s="5">
        <f t="shared" si="75"/>
        <v>1065.4109589041095</v>
      </c>
      <c r="I812" s="5">
        <f t="shared" si="76"/>
        <v>63.92465753424657</v>
      </c>
      <c r="J812" s="5">
        <f t="shared" si="77"/>
        <v>1001.486301369863</v>
      </c>
      <c r="K812" s="1"/>
      <c r="L812" s="6" t="s">
        <v>909</v>
      </c>
      <c r="M812" s="6" t="s">
        <v>1237</v>
      </c>
      <c r="N812" s="6" t="s">
        <v>7379</v>
      </c>
    </row>
    <row r="813" spans="1:14" x14ac:dyDescent="0.25">
      <c r="A813" s="6" t="s">
        <v>815</v>
      </c>
      <c r="B813" s="6" t="s">
        <v>7380</v>
      </c>
      <c r="C813" s="6" t="s">
        <v>7381</v>
      </c>
      <c r="D813" s="6">
        <v>50</v>
      </c>
      <c r="E813" s="5">
        <f t="shared" si="72"/>
        <v>50000</v>
      </c>
      <c r="F813" s="5">
        <f t="shared" si="73"/>
        <v>4250</v>
      </c>
      <c r="G813" s="5">
        <f t="shared" si="74"/>
        <v>11.643835616438356</v>
      </c>
      <c r="H813" s="5">
        <f t="shared" si="75"/>
        <v>2130.821917808219</v>
      </c>
      <c r="I813" s="5">
        <f t="shared" si="76"/>
        <v>127.84931506849314</v>
      </c>
      <c r="J813" s="5">
        <f t="shared" si="77"/>
        <v>2002.972602739726</v>
      </c>
      <c r="K813" s="1"/>
      <c r="L813" s="6" t="s">
        <v>8</v>
      </c>
      <c r="M813" s="6" t="s">
        <v>1020</v>
      </c>
      <c r="N813" s="6" t="s">
        <v>7386</v>
      </c>
    </row>
    <row r="814" spans="1:14" x14ac:dyDescent="0.25">
      <c r="A814" s="6" t="s">
        <v>816</v>
      </c>
      <c r="B814" s="6" t="s">
        <v>7387</v>
      </c>
      <c r="C814" s="6" t="s">
        <v>7388</v>
      </c>
      <c r="D814" s="6">
        <v>200</v>
      </c>
      <c r="E814" s="5">
        <f t="shared" si="72"/>
        <v>200000</v>
      </c>
      <c r="F814" s="5">
        <f t="shared" si="73"/>
        <v>17000</v>
      </c>
      <c r="G814" s="5">
        <f t="shared" si="74"/>
        <v>46.575342465753423</v>
      </c>
      <c r="H814" s="5">
        <f t="shared" si="75"/>
        <v>8523.2876712328762</v>
      </c>
      <c r="I814" s="5">
        <f t="shared" si="76"/>
        <v>511.39726027397256</v>
      </c>
      <c r="J814" s="5">
        <f t="shared" si="77"/>
        <v>8011.8904109589039</v>
      </c>
      <c r="K814" s="1"/>
      <c r="L814" s="6" t="s">
        <v>1637</v>
      </c>
      <c r="M814" s="6" t="s">
        <v>2316</v>
      </c>
      <c r="N814" s="6" t="s">
        <v>7393</v>
      </c>
    </row>
    <row r="815" spans="1:14" x14ac:dyDescent="0.25">
      <c r="A815" s="6" t="s">
        <v>817</v>
      </c>
      <c r="B815" s="6" t="s">
        <v>7394</v>
      </c>
      <c r="C815" s="6" t="s">
        <v>7395</v>
      </c>
      <c r="D815" s="6">
        <v>25</v>
      </c>
      <c r="E815" s="5">
        <f t="shared" si="72"/>
        <v>25000</v>
      </c>
      <c r="F815" s="5">
        <f t="shared" si="73"/>
        <v>2125</v>
      </c>
      <c r="G815" s="5">
        <f t="shared" si="74"/>
        <v>5.8219178082191778</v>
      </c>
      <c r="H815" s="5">
        <f t="shared" si="75"/>
        <v>1065.4109589041095</v>
      </c>
      <c r="I815" s="5">
        <f t="shared" si="76"/>
        <v>63.92465753424657</v>
      </c>
      <c r="J815" s="5">
        <f t="shared" si="77"/>
        <v>1001.486301369863</v>
      </c>
      <c r="K815" s="1"/>
      <c r="L815" s="6" t="s">
        <v>4</v>
      </c>
      <c r="M815" s="6" t="s">
        <v>924</v>
      </c>
      <c r="N815" s="6" t="s">
        <v>7400</v>
      </c>
    </row>
    <row r="816" spans="1:14" x14ac:dyDescent="0.25">
      <c r="A816" s="6" t="s">
        <v>818</v>
      </c>
      <c r="B816" s="6" t="s">
        <v>7401</v>
      </c>
      <c r="C816" s="6" t="s">
        <v>7402</v>
      </c>
      <c r="D816" s="6">
        <v>25</v>
      </c>
      <c r="E816" s="5">
        <f t="shared" si="72"/>
        <v>25000</v>
      </c>
      <c r="F816" s="5">
        <f t="shared" si="73"/>
        <v>2125</v>
      </c>
      <c r="G816" s="5">
        <f t="shared" si="74"/>
        <v>5.8219178082191778</v>
      </c>
      <c r="H816" s="5">
        <f t="shared" si="75"/>
        <v>1065.4109589041095</v>
      </c>
      <c r="I816" s="5">
        <f t="shared" si="76"/>
        <v>63.92465753424657</v>
      </c>
      <c r="J816" s="5">
        <f t="shared" si="77"/>
        <v>1001.486301369863</v>
      </c>
      <c r="K816" s="1"/>
      <c r="L816" s="6" t="s">
        <v>909</v>
      </c>
      <c r="M816" s="6" t="s">
        <v>1237</v>
      </c>
      <c r="N816" s="6" t="s">
        <v>7409</v>
      </c>
    </row>
    <row r="817" spans="1:14" x14ac:dyDescent="0.25">
      <c r="A817" s="6" t="s">
        <v>819</v>
      </c>
      <c r="B817" s="6" t="s">
        <v>7410</v>
      </c>
      <c r="C817" s="6" t="s">
        <v>7411</v>
      </c>
      <c r="D817" s="6">
        <v>25</v>
      </c>
      <c r="E817" s="5">
        <f t="shared" si="72"/>
        <v>25000</v>
      </c>
      <c r="F817" s="5">
        <f t="shared" si="73"/>
        <v>2125</v>
      </c>
      <c r="G817" s="5">
        <f t="shared" si="74"/>
        <v>5.8219178082191778</v>
      </c>
      <c r="H817" s="5">
        <f t="shared" si="75"/>
        <v>1065.4109589041095</v>
      </c>
      <c r="I817" s="5">
        <f t="shared" si="76"/>
        <v>63.92465753424657</v>
      </c>
      <c r="J817" s="5">
        <f t="shared" si="77"/>
        <v>1001.486301369863</v>
      </c>
      <c r="K817" s="1"/>
      <c r="L817" s="6" t="s">
        <v>1673</v>
      </c>
      <c r="M817" s="6" t="s">
        <v>7415</v>
      </c>
      <c r="N817" s="6" t="s">
        <v>7416</v>
      </c>
    </row>
    <row r="818" spans="1:14" x14ac:dyDescent="0.25">
      <c r="A818" s="6" t="s">
        <v>820</v>
      </c>
      <c r="B818" s="6" t="s">
        <v>7417</v>
      </c>
      <c r="C818" s="6" t="s">
        <v>7418</v>
      </c>
      <c r="D818" s="6">
        <v>25</v>
      </c>
      <c r="E818" s="5">
        <f t="shared" si="72"/>
        <v>25000</v>
      </c>
      <c r="F818" s="5">
        <f t="shared" si="73"/>
        <v>2125</v>
      </c>
      <c r="G818" s="5">
        <f t="shared" si="74"/>
        <v>5.8219178082191778</v>
      </c>
      <c r="H818" s="5">
        <f t="shared" si="75"/>
        <v>1065.4109589041095</v>
      </c>
      <c r="I818" s="5">
        <f t="shared" si="76"/>
        <v>63.92465753424657</v>
      </c>
      <c r="J818" s="5">
        <f t="shared" si="77"/>
        <v>1001.486301369863</v>
      </c>
      <c r="K818" s="1"/>
      <c r="L818" s="6" t="s">
        <v>4</v>
      </c>
      <c r="M818" s="6" t="s">
        <v>1949</v>
      </c>
      <c r="N818" s="6" t="s">
        <v>7423</v>
      </c>
    </row>
    <row r="819" spans="1:14" x14ac:dyDescent="0.25">
      <c r="A819" s="6" t="s">
        <v>821</v>
      </c>
      <c r="B819" s="6" t="s">
        <v>7424</v>
      </c>
      <c r="C819" s="6" t="s">
        <v>7425</v>
      </c>
      <c r="D819" s="6">
        <v>25</v>
      </c>
      <c r="E819" s="5">
        <f t="shared" si="72"/>
        <v>25000</v>
      </c>
      <c r="F819" s="5">
        <f t="shared" si="73"/>
        <v>2125</v>
      </c>
      <c r="G819" s="5">
        <f t="shared" si="74"/>
        <v>5.8219178082191778</v>
      </c>
      <c r="H819" s="5">
        <f t="shared" si="75"/>
        <v>1065.4109589041095</v>
      </c>
      <c r="I819" s="5">
        <f t="shared" si="76"/>
        <v>63.92465753424657</v>
      </c>
      <c r="J819" s="5">
        <f t="shared" si="77"/>
        <v>1001.486301369863</v>
      </c>
      <c r="K819" s="1"/>
      <c r="L819" s="6" t="s">
        <v>1478</v>
      </c>
      <c r="M819" s="6" t="s">
        <v>7431</v>
      </c>
      <c r="N819" s="6" t="s">
        <v>7432</v>
      </c>
    </row>
    <row r="820" spans="1:14" x14ac:dyDescent="0.25">
      <c r="A820" s="6" t="s">
        <v>822</v>
      </c>
      <c r="B820" s="6" t="s">
        <v>7433</v>
      </c>
      <c r="C820" s="6" t="s">
        <v>7434</v>
      </c>
      <c r="D820" s="6">
        <v>300</v>
      </c>
      <c r="E820" s="5">
        <f t="shared" si="72"/>
        <v>300000</v>
      </c>
      <c r="F820" s="5">
        <f t="shared" si="73"/>
        <v>25500.000000000004</v>
      </c>
      <c r="G820" s="5">
        <f t="shared" si="74"/>
        <v>69.863013698630141</v>
      </c>
      <c r="H820" s="5">
        <f t="shared" si="75"/>
        <v>12784.931506849316</v>
      </c>
      <c r="I820" s="5">
        <f t="shared" si="76"/>
        <v>767.09589041095899</v>
      </c>
      <c r="J820" s="5">
        <f t="shared" si="77"/>
        <v>12017.835616438357</v>
      </c>
      <c r="K820" s="1"/>
      <c r="L820" s="6" t="s">
        <v>915</v>
      </c>
      <c r="M820" s="6" t="s">
        <v>7439</v>
      </c>
      <c r="N820" s="6" t="s">
        <v>7440</v>
      </c>
    </row>
    <row r="821" spans="1:14" x14ac:dyDescent="0.25">
      <c r="A821" s="6" t="s">
        <v>823</v>
      </c>
      <c r="B821" s="6" t="s">
        <v>7441</v>
      </c>
      <c r="C821" s="6" t="s">
        <v>7442</v>
      </c>
      <c r="D821" s="6">
        <v>25</v>
      </c>
      <c r="E821" s="5">
        <f t="shared" si="72"/>
        <v>25000</v>
      </c>
      <c r="F821" s="5">
        <f t="shared" si="73"/>
        <v>2125</v>
      </c>
      <c r="G821" s="5">
        <f t="shared" si="74"/>
        <v>5.8219178082191778</v>
      </c>
      <c r="H821" s="5">
        <f t="shared" si="75"/>
        <v>1065.4109589041095</v>
      </c>
      <c r="I821" s="5">
        <f t="shared" si="76"/>
        <v>63.92465753424657</v>
      </c>
      <c r="J821" s="5">
        <f t="shared" si="77"/>
        <v>1001.486301369863</v>
      </c>
      <c r="K821" s="1"/>
      <c r="L821" s="6" t="s">
        <v>1478</v>
      </c>
      <c r="M821" s="6" t="s">
        <v>7448</v>
      </c>
      <c r="N821" s="6" t="s">
        <v>7449</v>
      </c>
    </row>
    <row r="822" spans="1:14" x14ac:dyDescent="0.25">
      <c r="A822" s="6" t="s">
        <v>824</v>
      </c>
      <c r="B822" s="6" t="s">
        <v>7450</v>
      </c>
      <c r="C822" s="6" t="s">
        <v>7451</v>
      </c>
      <c r="D822" s="6">
        <v>25</v>
      </c>
      <c r="E822" s="5">
        <f t="shared" si="72"/>
        <v>25000</v>
      </c>
      <c r="F822" s="5">
        <f t="shared" si="73"/>
        <v>2125</v>
      </c>
      <c r="G822" s="5">
        <f t="shared" si="74"/>
        <v>5.8219178082191778</v>
      </c>
      <c r="H822" s="5">
        <f t="shared" si="75"/>
        <v>1065.4109589041095</v>
      </c>
      <c r="I822" s="5">
        <f t="shared" si="76"/>
        <v>63.92465753424657</v>
      </c>
      <c r="J822" s="5">
        <f t="shared" si="77"/>
        <v>1001.486301369863</v>
      </c>
      <c r="K822" s="1"/>
      <c r="L822" s="6" t="s">
        <v>4</v>
      </c>
      <c r="M822" s="6" t="s">
        <v>924</v>
      </c>
      <c r="N822" s="6" t="s">
        <v>7456</v>
      </c>
    </row>
    <row r="823" spans="1:14" x14ac:dyDescent="0.25">
      <c r="A823" s="6" t="s">
        <v>825</v>
      </c>
      <c r="B823" s="6" t="s">
        <v>7457</v>
      </c>
      <c r="C823" s="6" t="s">
        <v>7458</v>
      </c>
      <c r="D823" s="6">
        <v>25</v>
      </c>
      <c r="E823" s="5">
        <f t="shared" si="72"/>
        <v>25000</v>
      </c>
      <c r="F823" s="5">
        <f t="shared" si="73"/>
        <v>2125</v>
      </c>
      <c r="G823" s="5">
        <f t="shared" si="74"/>
        <v>5.8219178082191778</v>
      </c>
      <c r="H823" s="5">
        <f t="shared" si="75"/>
        <v>1065.4109589041095</v>
      </c>
      <c r="I823" s="5">
        <f t="shared" si="76"/>
        <v>63.92465753424657</v>
      </c>
      <c r="J823" s="5">
        <f t="shared" si="77"/>
        <v>1001.486301369863</v>
      </c>
      <c r="K823" s="1"/>
      <c r="L823" s="6" t="s">
        <v>1637</v>
      </c>
      <c r="M823" s="6" t="s">
        <v>7463</v>
      </c>
      <c r="N823" s="6" t="s">
        <v>7464</v>
      </c>
    </row>
    <row r="824" spans="1:14" x14ac:dyDescent="0.25">
      <c r="A824" s="6" t="s">
        <v>826</v>
      </c>
      <c r="B824" s="6" t="s">
        <v>7465</v>
      </c>
      <c r="C824" s="6" t="s">
        <v>7466</v>
      </c>
      <c r="D824" s="6">
        <v>200</v>
      </c>
      <c r="E824" s="5">
        <f t="shared" si="72"/>
        <v>200000</v>
      </c>
      <c r="F824" s="5">
        <f t="shared" si="73"/>
        <v>17000</v>
      </c>
      <c r="G824" s="5">
        <f t="shared" si="74"/>
        <v>46.575342465753423</v>
      </c>
      <c r="H824" s="5">
        <f t="shared" si="75"/>
        <v>8523.2876712328762</v>
      </c>
      <c r="I824" s="5">
        <f t="shared" si="76"/>
        <v>511.39726027397256</v>
      </c>
      <c r="J824" s="5">
        <f t="shared" si="77"/>
        <v>8011.8904109589039</v>
      </c>
      <c r="K824" s="1"/>
      <c r="L824" s="6" t="s">
        <v>4</v>
      </c>
      <c r="M824" s="6" t="s">
        <v>2700</v>
      </c>
      <c r="N824" s="6" t="s">
        <v>7471</v>
      </c>
    </row>
    <row r="825" spans="1:14" x14ac:dyDescent="0.25">
      <c r="A825" s="6" t="s">
        <v>827</v>
      </c>
      <c r="B825" s="6" t="s">
        <v>7472</v>
      </c>
      <c r="C825" s="6" t="s">
        <v>7473</v>
      </c>
      <c r="D825" s="6">
        <v>25</v>
      </c>
      <c r="E825" s="5">
        <f t="shared" si="72"/>
        <v>25000</v>
      </c>
      <c r="F825" s="5">
        <f t="shared" si="73"/>
        <v>2125</v>
      </c>
      <c r="G825" s="5">
        <f t="shared" si="74"/>
        <v>5.8219178082191778</v>
      </c>
      <c r="H825" s="5">
        <f t="shared" si="75"/>
        <v>1065.4109589041095</v>
      </c>
      <c r="I825" s="5">
        <f t="shared" si="76"/>
        <v>63.92465753424657</v>
      </c>
      <c r="J825" s="5">
        <f t="shared" si="77"/>
        <v>1001.486301369863</v>
      </c>
      <c r="K825" s="1"/>
      <c r="L825" s="6" t="s">
        <v>971</v>
      </c>
      <c r="M825" s="6" t="s">
        <v>972</v>
      </c>
      <c r="N825" s="6" t="s">
        <v>7478</v>
      </c>
    </row>
    <row r="826" spans="1:14" x14ac:dyDescent="0.25">
      <c r="A826" s="6" t="s">
        <v>828</v>
      </c>
      <c r="B826" s="6" t="s">
        <v>7479</v>
      </c>
      <c r="C826" s="6" t="s">
        <v>7480</v>
      </c>
      <c r="D826" s="6">
        <v>25</v>
      </c>
      <c r="E826" s="5">
        <f t="shared" si="72"/>
        <v>25000</v>
      </c>
      <c r="F826" s="5">
        <f t="shared" si="73"/>
        <v>2125</v>
      </c>
      <c r="G826" s="5">
        <f t="shared" si="74"/>
        <v>5.8219178082191778</v>
      </c>
      <c r="H826" s="5">
        <f t="shared" si="75"/>
        <v>1065.4109589041095</v>
      </c>
      <c r="I826" s="5">
        <f t="shared" si="76"/>
        <v>63.92465753424657</v>
      </c>
      <c r="J826" s="5">
        <f t="shared" si="77"/>
        <v>1001.486301369863</v>
      </c>
      <c r="K826" s="1"/>
      <c r="L826" s="6" t="s">
        <v>8</v>
      </c>
      <c r="M826" s="6" t="s">
        <v>7485</v>
      </c>
      <c r="N826" s="6" t="s">
        <v>7486</v>
      </c>
    </row>
    <row r="827" spans="1:14" x14ac:dyDescent="0.25">
      <c r="A827" s="6" t="s">
        <v>829</v>
      </c>
      <c r="B827" s="6" t="s">
        <v>7487</v>
      </c>
      <c r="C827" s="6" t="s">
        <v>7488</v>
      </c>
      <c r="D827" s="6">
        <v>40</v>
      </c>
      <c r="E827" s="5">
        <f t="shared" si="72"/>
        <v>40000</v>
      </c>
      <c r="F827" s="5">
        <f t="shared" si="73"/>
        <v>3400.0000000000005</v>
      </c>
      <c r="G827" s="5">
        <f t="shared" si="74"/>
        <v>9.3150684931506866</v>
      </c>
      <c r="H827" s="5">
        <f t="shared" si="75"/>
        <v>1704.6575342465756</v>
      </c>
      <c r="I827" s="5">
        <f t="shared" si="76"/>
        <v>102.27945205479453</v>
      </c>
      <c r="J827" s="5">
        <f t="shared" si="77"/>
        <v>1602.378082191781</v>
      </c>
      <c r="K827" s="1"/>
      <c r="L827" s="6" t="s">
        <v>909</v>
      </c>
      <c r="M827" s="6" t="s">
        <v>1237</v>
      </c>
      <c r="N827" s="6" t="s">
        <v>7493</v>
      </c>
    </row>
    <row r="828" spans="1:14" x14ac:dyDescent="0.25">
      <c r="A828" s="6" t="s">
        <v>830</v>
      </c>
      <c r="B828" s="6" t="s">
        <v>7494</v>
      </c>
      <c r="C828" s="6" t="s">
        <v>7495</v>
      </c>
      <c r="D828" s="6">
        <v>120</v>
      </c>
      <c r="E828" s="5">
        <f t="shared" si="72"/>
        <v>120000</v>
      </c>
      <c r="F828" s="5">
        <f t="shared" si="73"/>
        <v>10200</v>
      </c>
      <c r="G828" s="5">
        <f t="shared" si="74"/>
        <v>27.945205479452056</v>
      </c>
      <c r="H828" s="5">
        <f t="shared" si="75"/>
        <v>5113.9726027397264</v>
      </c>
      <c r="I828" s="5">
        <f t="shared" si="76"/>
        <v>306.83835616438358</v>
      </c>
      <c r="J828" s="5">
        <f t="shared" si="77"/>
        <v>4807.1342465753432</v>
      </c>
      <c r="K828" s="1"/>
      <c r="L828" s="6" t="s">
        <v>909</v>
      </c>
      <c r="M828" s="6" t="s">
        <v>1237</v>
      </c>
      <c r="N828" s="6" t="s">
        <v>7497</v>
      </c>
    </row>
    <row r="829" spans="1:14" x14ac:dyDescent="0.25">
      <c r="A829" s="6" t="s">
        <v>831</v>
      </c>
      <c r="B829" s="6" t="s">
        <v>7498</v>
      </c>
      <c r="C829" s="6" t="s">
        <v>7499</v>
      </c>
      <c r="D829" s="6">
        <v>50</v>
      </c>
      <c r="E829" s="5">
        <f t="shared" si="72"/>
        <v>50000</v>
      </c>
      <c r="F829" s="5">
        <f t="shared" si="73"/>
        <v>4250</v>
      </c>
      <c r="G829" s="5">
        <f t="shared" si="74"/>
        <v>11.643835616438356</v>
      </c>
      <c r="H829" s="5">
        <f t="shared" si="75"/>
        <v>2130.821917808219</v>
      </c>
      <c r="I829" s="5">
        <f t="shared" si="76"/>
        <v>127.84931506849314</v>
      </c>
      <c r="J829" s="5">
        <f t="shared" si="77"/>
        <v>2002.972602739726</v>
      </c>
      <c r="K829" s="1"/>
      <c r="L829" s="6" t="s">
        <v>4</v>
      </c>
      <c r="M829" s="6" t="s">
        <v>4261</v>
      </c>
      <c r="N829" s="6" t="s">
        <v>7504</v>
      </c>
    </row>
    <row r="830" spans="1:14" x14ac:dyDescent="0.25">
      <c r="A830" s="6" t="s">
        <v>832</v>
      </c>
      <c r="B830" s="6" t="s">
        <v>7505</v>
      </c>
      <c r="C830" s="6" t="s">
        <v>7506</v>
      </c>
      <c r="D830" s="6">
        <v>25</v>
      </c>
      <c r="E830" s="5">
        <f t="shared" si="72"/>
        <v>25000</v>
      </c>
      <c r="F830" s="5">
        <f t="shared" si="73"/>
        <v>2125</v>
      </c>
      <c r="G830" s="5">
        <f t="shared" si="74"/>
        <v>5.8219178082191778</v>
      </c>
      <c r="H830" s="5">
        <f t="shared" si="75"/>
        <v>1065.4109589041095</v>
      </c>
      <c r="I830" s="5">
        <f t="shared" si="76"/>
        <v>63.92465753424657</v>
      </c>
      <c r="J830" s="5">
        <f t="shared" si="77"/>
        <v>1001.486301369863</v>
      </c>
      <c r="K830" s="1"/>
      <c r="L830" s="6" t="s">
        <v>919</v>
      </c>
      <c r="M830" s="6" t="s">
        <v>918</v>
      </c>
      <c r="N830" s="6" t="s">
        <v>7511</v>
      </c>
    </row>
    <row r="831" spans="1:14" x14ac:dyDescent="0.25">
      <c r="A831" s="6" t="s">
        <v>833</v>
      </c>
      <c r="B831" s="6" t="s">
        <v>7512</v>
      </c>
      <c r="C831" s="6" t="s">
        <v>7513</v>
      </c>
      <c r="D831" s="6">
        <v>25</v>
      </c>
      <c r="E831" s="5">
        <f t="shared" si="72"/>
        <v>25000</v>
      </c>
      <c r="F831" s="5">
        <f t="shared" si="73"/>
        <v>2125</v>
      </c>
      <c r="G831" s="5">
        <f t="shared" si="74"/>
        <v>5.8219178082191778</v>
      </c>
      <c r="H831" s="5">
        <f t="shared" si="75"/>
        <v>1065.4109589041095</v>
      </c>
      <c r="I831" s="5">
        <f t="shared" si="76"/>
        <v>63.92465753424657</v>
      </c>
      <c r="J831" s="5">
        <f t="shared" si="77"/>
        <v>1001.486301369863</v>
      </c>
      <c r="K831" s="1"/>
      <c r="L831" s="6" t="s">
        <v>2506</v>
      </c>
      <c r="M831" s="6" t="s">
        <v>7519</v>
      </c>
      <c r="N831" s="6" t="s">
        <v>7520</v>
      </c>
    </row>
    <row r="832" spans="1:14" x14ac:dyDescent="0.25">
      <c r="A832" s="6" t="s">
        <v>834</v>
      </c>
      <c r="B832" s="6" t="s">
        <v>7521</v>
      </c>
      <c r="C832" s="6" t="s">
        <v>7522</v>
      </c>
      <c r="D832" s="6">
        <v>25</v>
      </c>
      <c r="E832" s="5">
        <f t="shared" si="72"/>
        <v>25000</v>
      </c>
      <c r="F832" s="5">
        <f t="shared" si="73"/>
        <v>2125</v>
      </c>
      <c r="G832" s="5">
        <f t="shared" si="74"/>
        <v>5.8219178082191778</v>
      </c>
      <c r="H832" s="5">
        <f t="shared" si="75"/>
        <v>1065.4109589041095</v>
      </c>
      <c r="I832" s="5">
        <f t="shared" si="76"/>
        <v>63.92465753424657</v>
      </c>
      <c r="J832" s="5">
        <f t="shared" si="77"/>
        <v>1001.486301369863</v>
      </c>
      <c r="K832" s="1"/>
      <c r="L832" s="6" t="s">
        <v>7525</v>
      </c>
      <c r="M832" s="6" t="s">
        <v>7526</v>
      </c>
      <c r="N832" s="6" t="s">
        <v>7527</v>
      </c>
    </row>
    <row r="833" spans="1:14" x14ac:dyDescent="0.25">
      <c r="A833" s="6" t="s">
        <v>835</v>
      </c>
      <c r="B833" s="6" t="s">
        <v>7528</v>
      </c>
      <c r="C833" s="6" t="s">
        <v>7529</v>
      </c>
      <c r="D833" s="6">
        <v>25</v>
      </c>
      <c r="E833" s="5">
        <f t="shared" si="72"/>
        <v>25000</v>
      </c>
      <c r="F833" s="5">
        <f t="shared" si="73"/>
        <v>2125</v>
      </c>
      <c r="G833" s="5">
        <f t="shared" si="74"/>
        <v>5.8219178082191778</v>
      </c>
      <c r="H833" s="5">
        <f t="shared" si="75"/>
        <v>1065.4109589041095</v>
      </c>
      <c r="I833" s="5">
        <f t="shared" si="76"/>
        <v>63.92465753424657</v>
      </c>
      <c r="J833" s="5">
        <f t="shared" si="77"/>
        <v>1001.486301369863</v>
      </c>
      <c r="K833" s="1"/>
      <c r="L833" s="6" t="s">
        <v>971</v>
      </c>
      <c r="M833" s="6" t="s">
        <v>7185</v>
      </c>
      <c r="N833" s="6" t="s">
        <v>7535</v>
      </c>
    </row>
    <row r="834" spans="1:14" x14ac:dyDescent="0.25">
      <c r="A834" s="6" t="s">
        <v>836</v>
      </c>
      <c r="B834" s="6" t="s">
        <v>7536</v>
      </c>
      <c r="C834" s="6" t="s">
        <v>7537</v>
      </c>
      <c r="D834" s="6">
        <v>30</v>
      </c>
      <c r="E834" s="5">
        <f t="shared" si="72"/>
        <v>30000</v>
      </c>
      <c r="F834" s="5">
        <f t="shared" si="73"/>
        <v>2550</v>
      </c>
      <c r="G834" s="5">
        <f t="shared" si="74"/>
        <v>6.9863013698630141</v>
      </c>
      <c r="H834" s="5">
        <f t="shared" si="75"/>
        <v>1278.4931506849316</v>
      </c>
      <c r="I834" s="5">
        <f t="shared" si="76"/>
        <v>76.709589041095896</v>
      </c>
      <c r="J834" s="5">
        <f t="shared" si="77"/>
        <v>1201.7835616438358</v>
      </c>
      <c r="K834" s="1"/>
      <c r="L834" s="6" t="s">
        <v>915</v>
      </c>
      <c r="M834" s="6" t="s">
        <v>4532</v>
      </c>
      <c r="N834" s="6" t="s">
        <v>7543</v>
      </c>
    </row>
    <row r="835" spans="1:14" x14ac:dyDescent="0.25">
      <c r="A835" s="6" t="s">
        <v>837</v>
      </c>
      <c r="B835" s="6" t="s">
        <v>7544</v>
      </c>
      <c r="C835" s="6" t="s">
        <v>7545</v>
      </c>
      <c r="D835" s="6">
        <v>25</v>
      </c>
      <c r="E835" s="5">
        <f t="shared" si="72"/>
        <v>25000</v>
      </c>
      <c r="F835" s="5">
        <f t="shared" si="73"/>
        <v>2125</v>
      </c>
      <c r="G835" s="5">
        <f t="shared" si="74"/>
        <v>5.8219178082191778</v>
      </c>
      <c r="H835" s="5">
        <f t="shared" si="75"/>
        <v>1065.4109589041095</v>
      </c>
      <c r="I835" s="5">
        <f t="shared" si="76"/>
        <v>63.92465753424657</v>
      </c>
      <c r="J835" s="5">
        <f t="shared" si="77"/>
        <v>1001.486301369863</v>
      </c>
      <c r="K835" s="1"/>
      <c r="L835" s="6" t="s">
        <v>971</v>
      </c>
      <c r="M835" s="6" t="s">
        <v>972</v>
      </c>
      <c r="N835" s="6" t="s">
        <v>7548</v>
      </c>
    </row>
    <row r="836" spans="1:14" x14ac:dyDescent="0.25">
      <c r="A836" s="6" t="s">
        <v>838</v>
      </c>
      <c r="B836" s="6" t="s">
        <v>7549</v>
      </c>
      <c r="C836" s="6" t="s">
        <v>7550</v>
      </c>
      <c r="D836" s="6">
        <v>25</v>
      </c>
      <c r="E836" s="5">
        <f t="shared" si="72"/>
        <v>25000</v>
      </c>
      <c r="F836" s="5">
        <f t="shared" si="73"/>
        <v>2125</v>
      </c>
      <c r="G836" s="5">
        <f t="shared" si="74"/>
        <v>5.8219178082191778</v>
      </c>
      <c r="H836" s="5">
        <f t="shared" si="75"/>
        <v>1065.4109589041095</v>
      </c>
      <c r="I836" s="5">
        <f t="shared" si="76"/>
        <v>63.92465753424657</v>
      </c>
      <c r="J836" s="5">
        <f t="shared" si="77"/>
        <v>1001.486301369863</v>
      </c>
      <c r="K836" s="1"/>
      <c r="L836" s="6" t="s">
        <v>3089</v>
      </c>
      <c r="M836" s="6" t="s">
        <v>5709</v>
      </c>
      <c r="N836" s="6" t="s">
        <v>7555</v>
      </c>
    </row>
    <row r="837" spans="1:14" x14ac:dyDescent="0.25">
      <c r="A837" s="6" t="s">
        <v>839</v>
      </c>
      <c r="B837" s="6" t="s">
        <v>7556</v>
      </c>
      <c r="C837" s="6" t="s">
        <v>7557</v>
      </c>
      <c r="D837" s="6">
        <v>25</v>
      </c>
      <c r="E837" s="5">
        <f t="shared" si="72"/>
        <v>25000</v>
      </c>
      <c r="F837" s="5">
        <f t="shared" si="73"/>
        <v>2125</v>
      </c>
      <c r="G837" s="5">
        <f t="shared" si="74"/>
        <v>5.8219178082191778</v>
      </c>
      <c r="H837" s="5">
        <f t="shared" si="75"/>
        <v>1065.4109589041095</v>
      </c>
      <c r="I837" s="5">
        <f t="shared" si="76"/>
        <v>63.92465753424657</v>
      </c>
      <c r="J837" s="5">
        <f t="shared" si="77"/>
        <v>1001.486301369863</v>
      </c>
      <c r="K837" s="1"/>
      <c r="L837" s="6" t="s">
        <v>8</v>
      </c>
      <c r="M837" s="6" t="s">
        <v>7563</v>
      </c>
      <c r="N837" s="6" t="s">
        <v>7564</v>
      </c>
    </row>
    <row r="838" spans="1:14" x14ac:dyDescent="0.25">
      <c r="A838" s="6" t="s">
        <v>840</v>
      </c>
      <c r="B838" s="6" t="s">
        <v>7565</v>
      </c>
      <c r="C838" s="6" t="s">
        <v>2940</v>
      </c>
      <c r="D838" s="6">
        <v>30</v>
      </c>
      <c r="E838" s="5">
        <f t="shared" si="72"/>
        <v>30000</v>
      </c>
      <c r="F838" s="5">
        <f t="shared" si="73"/>
        <v>2550</v>
      </c>
      <c r="G838" s="5">
        <f t="shared" si="74"/>
        <v>6.9863013698630141</v>
      </c>
      <c r="H838" s="5">
        <f t="shared" si="75"/>
        <v>1278.4931506849316</v>
      </c>
      <c r="I838" s="5">
        <f t="shared" si="76"/>
        <v>76.709589041095896</v>
      </c>
      <c r="J838" s="5">
        <f t="shared" si="77"/>
        <v>1201.7835616438358</v>
      </c>
      <c r="K838" s="1"/>
      <c r="L838" s="6" t="s">
        <v>4</v>
      </c>
      <c r="M838" s="6" t="s">
        <v>924</v>
      </c>
      <c r="N838" s="6" t="s">
        <v>7569</v>
      </c>
    </row>
    <row r="839" spans="1:14" ht="18.75" x14ac:dyDescent="0.3">
      <c r="A839" s="7"/>
      <c r="B839" s="7"/>
      <c r="C839" s="8" t="s">
        <v>899</v>
      </c>
      <c r="D839" s="8">
        <f t="shared" ref="D839:J839" si="78">SUM(D7:D838)</f>
        <v>72275</v>
      </c>
      <c r="E839" s="8">
        <f t="shared" si="78"/>
        <v>72275000</v>
      </c>
      <c r="F839" s="8">
        <f t="shared" si="78"/>
        <v>6143375</v>
      </c>
      <c r="G839" s="8">
        <f t="shared" si="78"/>
        <v>16831.164383561772</v>
      </c>
      <c r="H839" s="8">
        <f t="shared" si="78"/>
        <v>3080103.0821917998</v>
      </c>
      <c r="I839" s="8">
        <f t="shared" si="78"/>
        <v>184806.18493150675</v>
      </c>
      <c r="J839" s="8">
        <f t="shared" si="78"/>
        <v>2895296.8972603022</v>
      </c>
      <c r="K839" s="1"/>
    </row>
    <row r="842" spans="1:14" x14ac:dyDescent="0.25">
      <c r="G842" s="13"/>
    </row>
  </sheetData>
  <mergeCells count="4">
    <mergeCell ref="C1:F1"/>
    <mergeCell ref="C2:F2"/>
    <mergeCell ref="C3:F3"/>
    <mergeCell ref="C4:F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8F21-F849-483B-833D-143943CB5584}">
  <dimension ref="A1:N30"/>
  <sheetViews>
    <sheetView tabSelected="1" workbookViewId="0"/>
  </sheetViews>
  <sheetFormatPr defaultRowHeight="15" x14ac:dyDescent="0.25"/>
  <cols>
    <col min="1" max="1" width="8" customWidth="1"/>
    <col min="2" max="2" width="17.28515625" bestFit="1" customWidth="1"/>
    <col min="3" max="3" width="44.28515625" customWidth="1"/>
    <col min="4" max="4" width="18.28515625" bestFit="1" customWidth="1"/>
    <col min="5" max="5" width="23.42578125" bestFit="1" customWidth="1"/>
    <col min="6" max="6" width="19.7109375" bestFit="1" customWidth="1"/>
    <col min="7" max="7" width="16" bestFit="1" customWidth="1"/>
    <col min="8" max="8" width="19.7109375" bestFit="1" customWidth="1"/>
    <col min="9" max="9" width="18.28515625" bestFit="1" customWidth="1"/>
    <col min="10" max="10" width="19.7109375" bestFit="1" customWidth="1"/>
    <col min="12" max="12" width="11" customWidth="1"/>
    <col min="13" max="13" width="47.85546875" customWidth="1"/>
    <col min="14" max="14" width="21.85546875" customWidth="1"/>
  </cols>
  <sheetData>
    <row r="1" spans="1:14" ht="15.75" x14ac:dyDescent="0.25">
      <c r="C1" s="21" t="s">
        <v>895</v>
      </c>
      <c r="D1" s="21"/>
      <c r="E1" s="21"/>
      <c r="F1" s="21"/>
      <c r="G1" s="4"/>
      <c r="H1" s="4"/>
    </row>
    <row r="2" spans="1:14" x14ac:dyDescent="0.25">
      <c r="C2" s="22" t="s">
        <v>896</v>
      </c>
      <c r="D2" s="22"/>
      <c r="E2" s="22"/>
      <c r="F2" s="22"/>
      <c r="G2" s="14" t="s">
        <v>907</v>
      </c>
      <c r="H2" s="15">
        <v>46037</v>
      </c>
    </row>
    <row r="3" spans="1:14" x14ac:dyDescent="0.25">
      <c r="C3" s="22" t="s">
        <v>897</v>
      </c>
      <c r="D3" s="22"/>
      <c r="E3" s="22"/>
      <c r="F3" s="22"/>
      <c r="G3" s="14" t="s">
        <v>908</v>
      </c>
      <c r="H3" s="15">
        <v>46219</v>
      </c>
    </row>
    <row r="4" spans="1:14" x14ac:dyDescent="0.25">
      <c r="C4" s="23" t="s">
        <v>7751</v>
      </c>
      <c r="D4" s="23"/>
      <c r="E4" s="23"/>
      <c r="F4" s="23"/>
      <c r="G4" s="16" t="s">
        <v>898</v>
      </c>
      <c r="H4" s="16">
        <v>183</v>
      </c>
    </row>
    <row r="6" spans="1:14" ht="30" x14ac:dyDescent="0.25">
      <c r="A6" s="3" t="s">
        <v>14</v>
      </c>
      <c r="B6" s="3" t="s">
        <v>15</v>
      </c>
      <c r="C6" s="3" t="s">
        <v>16</v>
      </c>
      <c r="D6" s="3" t="s">
        <v>22</v>
      </c>
      <c r="E6" s="3" t="s">
        <v>889</v>
      </c>
      <c r="F6" s="3" t="s">
        <v>890</v>
      </c>
      <c r="G6" s="3" t="s">
        <v>891</v>
      </c>
      <c r="H6" s="3" t="s">
        <v>892</v>
      </c>
      <c r="I6" s="3" t="s">
        <v>900</v>
      </c>
      <c r="J6" s="3" t="s">
        <v>894</v>
      </c>
      <c r="K6" s="2"/>
      <c r="L6" s="3" t="s">
        <v>19</v>
      </c>
      <c r="M6" s="3" t="s">
        <v>20</v>
      </c>
      <c r="N6" s="3" t="s">
        <v>21</v>
      </c>
    </row>
    <row r="7" spans="1:14" x14ac:dyDescent="0.25">
      <c r="A7" s="6" t="s">
        <v>23</v>
      </c>
      <c r="B7" s="6" t="s">
        <v>7599</v>
      </c>
      <c r="C7" s="6" t="s">
        <v>7600</v>
      </c>
      <c r="D7" s="6">
        <v>43708</v>
      </c>
      <c r="E7" s="5">
        <f>+D7*1000</f>
        <v>43708000</v>
      </c>
      <c r="F7" s="5">
        <f>+E7*8.5%</f>
        <v>3715180.0000000005</v>
      </c>
      <c r="G7" s="5">
        <f>+F7/365</f>
        <v>10178.575342465754</v>
      </c>
      <c r="H7" s="5">
        <f>G7*$H$4</f>
        <v>1862679.2876712331</v>
      </c>
      <c r="I7" s="5">
        <f>+H7*15%</f>
        <v>279401.89315068495</v>
      </c>
      <c r="J7" s="5">
        <f>+H7-I7</f>
        <v>1583277.3945205482</v>
      </c>
      <c r="K7" s="1"/>
      <c r="L7" s="6" t="s">
        <v>910</v>
      </c>
      <c r="M7" s="6" t="s">
        <v>3510</v>
      </c>
      <c r="N7" s="6" t="s">
        <v>7603</v>
      </c>
    </row>
    <row r="8" spans="1:14" x14ac:dyDescent="0.25">
      <c r="A8" s="6" t="s">
        <v>24</v>
      </c>
      <c r="B8" s="6" t="s">
        <v>7594</v>
      </c>
      <c r="C8" s="6" t="s">
        <v>7595</v>
      </c>
      <c r="D8" s="6">
        <v>30116</v>
      </c>
      <c r="E8" s="5">
        <f t="shared" ref="E8:E9" si="0">+D8*1000</f>
        <v>30116000</v>
      </c>
      <c r="F8" s="5">
        <f t="shared" ref="F8:F9" si="1">+E8*8.5%</f>
        <v>2559860</v>
      </c>
      <c r="G8" s="5">
        <f t="shared" ref="G8:G9" si="2">+F8/365</f>
        <v>7013.3150684931506</v>
      </c>
      <c r="H8" s="5">
        <f t="shared" ref="H8:H9" si="3">G8*$H$4</f>
        <v>1283436.6575342466</v>
      </c>
      <c r="I8" s="5">
        <f t="shared" ref="I8:I9" si="4">+H8*15%</f>
        <v>192515.49863013698</v>
      </c>
      <c r="J8" s="5">
        <f t="shared" ref="J8:J9" si="5">+H8-I8</f>
        <v>1090921.1589041096</v>
      </c>
      <c r="K8" s="1"/>
      <c r="L8" s="6" t="s">
        <v>4</v>
      </c>
      <c r="M8" s="6" t="s">
        <v>924</v>
      </c>
      <c r="N8" s="6" t="s">
        <v>7598</v>
      </c>
    </row>
    <row r="9" spans="1:14" x14ac:dyDescent="0.25">
      <c r="A9" s="6" t="s">
        <v>25</v>
      </c>
      <c r="B9" s="6" t="s">
        <v>7747</v>
      </c>
      <c r="C9" s="6" t="s">
        <v>7748</v>
      </c>
      <c r="D9" s="6">
        <v>3643</v>
      </c>
      <c r="E9" s="5">
        <f t="shared" si="0"/>
        <v>3643000</v>
      </c>
      <c r="F9" s="5">
        <f t="shared" si="1"/>
        <v>309655</v>
      </c>
      <c r="G9" s="5">
        <f t="shared" si="2"/>
        <v>848.36986301369859</v>
      </c>
      <c r="H9" s="5">
        <f t="shared" si="3"/>
        <v>155251.68493150684</v>
      </c>
      <c r="I9" s="5">
        <f t="shared" si="4"/>
        <v>23287.752739726024</v>
      </c>
      <c r="J9" s="5">
        <f t="shared" si="5"/>
        <v>131963.93219178083</v>
      </c>
      <c r="K9" s="1"/>
      <c r="L9" s="6" t="s">
        <v>1218</v>
      </c>
      <c r="M9" s="6" t="s">
        <v>2396</v>
      </c>
      <c r="N9" s="6" t="s">
        <v>7750</v>
      </c>
    </row>
    <row r="10" spans="1:14" x14ac:dyDescent="0.25">
      <c r="A10" s="6" t="s">
        <v>26</v>
      </c>
      <c r="B10" s="6" t="s">
        <v>7739</v>
      </c>
      <c r="C10" s="6" t="s">
        <v>7740</v>
      </c>
      <c r="D10" s="6">
        <v>600</v>
      </c>
      <c r="E10" s="5">
        <f t="shared" ref="E10:E29" si="6">+D10*1000</f>
        <v>600000</v>
      </c>
      <c r="F10" s="5">
        <f t="shared" ref="F10:F29" si="7">+E10*8.5%</f>
        <v>51000.000000000007</v>
      </c>
      <c r="G10" s="5">
        <f t="shared" ref="G10:G29" si="8">+F10/365</f>
        <v>139.72602739726028</v>
      </c>
      <c r="H10" s="5">
        <f t="shared" ref="H10:H29" si="9">G10*$H$4</f>
        <v>25569.863013698632</v>
      </c>
      <c r="I10" s="5">
        <f t="shared" ref="I10:I29" si="10">+H10*15%</f>
        <v>3835.4794520547948</v>
      </c>
      <c r="J10" s="5">
        <f t="shared" ref="J10:J29" si="11">+H10-I10</f>
        <v>21734.383561643837</v>
      </c>
      <c r="K10" s="1"/>
      <c r="L10" s="6" t="s">
        <v>7744</v>
      </c>
      <c r="M10" s="6" t="s">
        <v>7745</v>
      </c>
      <c r="N10" s="6" t="s">
        <v>7746</v>
      </c>
    </row>
    <row r="11" spans="1:14" x14ac:dyDescent="0.25">
      <c r="A11" s="6" t="s">
        <v>27</v>
      </c>
      <c r="B11" s="6" t="s">
        <v>7710</v>
      </c>
      <c r="C11" s="6" t="s">
        <v>7711</v>
      </c>
      <c r="D11" s="6">
        <v>550</v>
      </c>
      <c r="E11" s="5">
        <f t="shared" si="6"/>
        <v>550000</v>
      </c>
      <c r="F11" s="5">
        <f t="shared" si="7"/>
        <v>46750</v>
      </c>
      <c r="G11" s="5">
        <f t="shared" si="8"/>
        <v>128.08219178082192</v>
      </c>
      <c r="H11" s="5">
        <f t="shared" si="9"/>
        <v>23439.04109589041</v>
      </c>
      <c r="I11" s="5">
        <f t="shared" si="10"/>
        <v>3515.8561643835615</v>
      </c>
      <c r="J11" s="5">
        <f t="shared" si="11"/>
        <v>19923.18493150685</v>
      </c>
      <c r="K11" s="1"/>
      <c r="L11" s="6" t="s">
        <v>910</v>
      </c>
      <c r="M11" s="6" t="s">
        <v>7714</v>
      </c>
      <c r="N11" s="6" t="s">
        <v>7715</v>
      </c>
    </row>
    <row r="12" spans="1:14" x14ac:dyDescent="0.25">
      <c r="A12" s="6" t="s">
        <v>28</v>
      </c>
      <c r="B12" s="6" t="s">
        <v>7615</v>
      </c>
      <c r="C12" s="6" t="s">
        <v>7616</v>
      </c>
      <c r="D12" s="6">
        <v>364234</v>
      </c>
      <c r="E12" s="5">
        <f t="shared" si="6"/>
        <v>364234000</v>
      </c>
      <c r="F12" s="5">
        <f t="shared" si="7"/>
        <v>30959890.000000004</v>
      </c>
      <c r="G12" s="5">
        <f t="shared" si="8"/>
        <v>84821.61643835617</v>
      </c>
      <c r="H12" s="5">
        <f t="shared" si="9"/>
        <v>15522355.80821918</v>
      </c>
      <c r="I12" s="5">
        <f t="shared" si="10"/>
        <v>2328353.371232877</v>
      </c>
      <c r="J12" s="5">
        <f t="shared" si="11"/>
        <v>13194002.436986303</v>
      </c>
      <c r="K12" s="1"/>
      <c r="L12" s="6" t="s">
        <v>971</v>
      </c>
      <c r="M12" s="6" t="s">
        <v>972</v>
      </c>
      <c r="N12" s="6" t="s">
        <v>7619</v>
      </c>
    </row>
    <row r="13" spans="1:14" x14ac:dyDescent="0.25">
      <c r="A13" s="6" t="s">
        <v>0</v>
      </c>
      <c r="B13" s="6" t="s">
        <v>7703</v>
      </c>
      <c r="C13" s="6" t="s">
        <v>7704</v>
      </c>
      <c r="D13" s="6">
        <v>7736</v>
      </c>
      <c r="E13" s="5">
        <f t="shared" si="6"/>
        <v>7736000</v>
      </c>
      <c r="F13" s="5">
        <f t="shared" si="7"/>
        <v>657560</v>
      </c>
      <c r="G13" s="5">
        <f t="shared" si="8"/>
        <v>1801.5342465753424</v>
      </c>
      <c r="H13" s="5">
        <f t="shared" si="9"/>
        <v>329680.76712328766</v>
      </c>
      <c r="I13" s="5">
        <f t="shared" si="10"/>
        <v>49452.115068493149</v>
      </c>
      <c r="J13" s="5">
        <f t="shared" si="11"/>
        <v>280228.65205479448</v>
      </c>
      <c r="K13" s="1"/>
      <c r="L13" s="6" t="s">
        <v>1478</v>
      </c>
      <c r="M13" s="6" t="s">
        <v>7708</v>
      </c>
      <c r="N13" s="6" t="s">
        <v>7709</v>
      </c>
    </row>
    <row r="14" spans="1:14" x14ac:dyDescent="0.25">
      <c r="A14" s="6" t="s">
        <v>29</v>
      </c>
      <c r="B14" s="6" t="s">
        <v>7577</v>
      </c>
      <c r="C14" s="6" t="s">
        <v>7578</v>
      </c>
      <c r="D14" s="6">
        <v>218540</v>
      </c>
      <c r="E14" s="5">
        <f t="shared" si="6"/>
        <v>218540000</v>
      </c>
      <c r="F14" s="5">
        <f t="shared" si="7"/>
        <v>18575900</v>
      </c>
      <c r="G14" s="5">
        <f t="shared" si="8"/>
        <v>50892.876712328769</v>
      </c>
      <c r="H14" s="5">
        <f t="shared" si="9"/>
        <v>9313396.4383561648</v>
      </c>
      <c r="I14" s="5">
        <f t="shared" si="10"/>
        <v>1397009.4657534247</v>
      </c>
      <c r="J14" s="5">
        <f t="shared" si="11"/>
        <v>7916386.9726027399</v>
      </c>
      <c r="K14" s="1"/>
      <c r="L14" s="6" t="s">
        <v>1218</v>
      </c>
      <c r="M14" s="6" t="s">
        <v>7581</v>
      </c>
      <c r="N14" s="6" t="s">
        <v>7582</v>
      </c>
    </row>
    <row r="15" spans="1:14" x14ac:dyDescent="0.25">
      <c r="A15" s="6" t="s">
        <v>30</v>
      </c>
      <c r="B15" s="6" t="s">
        <v>7629</v>
      </c>
      <c r="C15" s="6" t="s">
        <v>7630</v>
      </c>
      <c r="D15" s="6">
        <v>14570</v>
      </c>
      <c r="E15" s="5">
        <f t="shared" si="6"/>
        <v>14570000</v>
      </c>
      <c r="F15" s="5">
        <f t="shared" si="7"/>
        <v>1238450</v>
      </c>
      <c r="G15" s="5">
        <f t="shared" si="8"/>
        <v>3393.0136986301368</v>
      </c>
      <c r="H15" s="5">
        <f t="shared" si="9"/>
        <v>620921.50684931502</v>
      </c>
      <c r="I15" s="5">
        <f t="shared" si="10"/>
        <v>93138.22602739725</v>
      </c>
      <c r="J15" s="5">
        <f t="shared" si="11"/>
        <v>527783.28082191781</v>
      </c>
      <c r="K15" s="1"/>
      <c r="L15" s="6" t="s">
        <v>910</v>
      </c>
      <c r="M15" s="6" t="s">
        <v>7633</v>
      </c>
      <c r="N15" s="6" t="s">
        <v>7634</v>
      </c>
    </row>
    <row r="16" spans="1:14" x14ac:dyDescent="0.25">
      <c r="A16" s="6" t="s">
        <v>31</v>
      </c>
      <c r="B16" s="6" t="s">
        <v>7716</v>
      </c>
      <c r="C16" s="6" t="s">
        <v>7717</v>
      </c>
      <c r="D16" s="6">
        <v>8730</v>
      </c>
      <c r="E16" s="5">
        <f t="shared" si="6"/>
        <v>8730000</v>
      </c>
      <c r="F16" s="5">
        <f t="shared" si="7"/>
        <v>742050</v>
      </c>
      <c r="G16" s="5">
        <f t="shared" si="8"/>
        <v>2033.013698630137</v>
      </c>
      <c r="H16" s="5">
        <f t="shared" si="9"/>
        <v>372041.50684931508</v>
      </c>
      <c r="I16" s="5">
        <f t="shared" si="10"/>
        <v>55806.226027397257</v>
      </c>
      <c r="J16" s="5">
        <f t="shared" si="11"/>
        <v>316235.28082191781</v>
      </c>
      <c r="K16" s="1"/>
      <c r="L16" s="6" t="s">
        <v>919</v>
      </c>
      <c r="M16" s="6" t="s">
        <v>918</v>
      </c>
      <c r="N16" s="6" t="s">
        <v>7720</v>
      </c>
    </row>
    <row r="17" spans="1:14" x14ac:dyDescent="0.25">
      <c r="A17" s="6" t="s">
        <v>32</v>
      </c>
      <c r="B17" s="6" t="s">
        <v>7647</v>
      </c>
      <c r="C17" s="6" t="s">
        <v>7648</v>
      </c>
      <c r="D17" s="6">
        <v>182117</v>
      </c>
      <c r="E17" s="5">
        <f t="shared" si="6"/>
        <v>182117000</v>
      </c>
      <c r="F17" s="5">
        <f t="shared" si="7"/>
        <v>15479945.000000002</v>
      </c>
      <c r="G17" s="5">
        <f t="shared" si="8"/>
        <v>42410.808219178085</v>
      </c>
      <c r="H17" s="5">
        <f t="shared" si="9"/>
        <v>7761177.9041095898</v>
      </c>
      <c r="I17" s="5">
        <f t="shared" si="10"/>
        <v>1164176.6856164385</v>
      </c>
      <c r="J17" s="5">
        <f t="shared" si="11"/>
        <v>6597001.2184931515</v>
      </c>
      <c r="K17" s="1"/>
      <c r="L17" s="6" t="s">
        <v>1637</v>
      </c>
      <c r="M17" s="6" t="s">
        <v>2316</v>
      </c>
      <c r="N17" s="6" t="s">
        <v>7651</v>
      </c>
    </row>
    <row r="18" spans="1:14" x14ac:dyDescent="0.25">
      <c r="A18" s="6" t="s">
        <v>33</v>
      </c>
      <c r="B18" s="6" t="s">
        <v>7635</v>
      </c>
      <c r="C18" s="6" t="s">
        <v>7636</v>
      </c>
      <c r="D18" s="6">
        <v>3912</v>
      </c>
      <c r="E18" s="5">
        <f t="shared" si="6"/>
        <v>3912000</v>
      </c>
      <c r="F18" s="5">
        <f t="shared" si="7"/>
        <v>332520</v>
      </c>
      <c r="G18" s="5">
        <f t="shared" si="8"/>
        <v>911.01369863013701</v>
      </c>
      <c r="H18" s="5">
        <f t="shared" si="9"/>
        <v>166715.50684931508</v>
      </c>
      <c r="I18" s="5">
        <f t="shared" si="10"/>
        <v>25007.326027397259</v>
      </c>
      <c r="J18" s="5">
        <f t="shared" si="11"/>
        <v>141708.18082191781</v>
      </c>
      <c r="K18" s="1"/>
      <c r="L18" s="6" t="s">
        <v>914</v>
      </c>
      <c r="M18" s="6" t="s">
        <v>3126</v>
      </c>
      <c r="N18" s="6" t="s">
        <v>7640</v>
      </c>
    </row>
    <row r="19" spans="1:14" x14ac:dyDescent="0.25">
      <c r="A19" s="6" t="s">
        <v>7</v>
      </c>
      <c r="B19" s="6" t="s">
        <v>7624</v>
      </c>
      <c r="C19" s="6" t="s">
        <v>7625</v>
      </c>
      <c r="D19" s="6">
        <v>10927</v>
      </c>
      <c r="E19" s="5">
        <f t="shared" si="6"/>
        <v>10927000</v>
      </c>
      <c r="F19" s="5">
        <f t="shared" si="7"/>
        <v>928795.00000000012</v>
      </c>
      <c r="G19" s="5">
        <f t="shared" si="8"/>
        <v>2544.6438356164385</v>
      </c>
      <c r="H19" s="5">
        <f t="shared" si="9"/>
        <v>465669.82191780827</v>
      </c>
      <c r="I19" s="5">
        <f t="shared" si="10"/>
        <v>69850.473287671237</v>
      </c>
      <c r="J19" s="5">
        <f t="shared" si="11"/>
        <v>395819.34863013704</v>
      </c>
      <c r="K19" s="1"/>
      <c r="L19" s="6" t="s">
        <v>971</v>
      </c>
      <c r="M19" s="6" t="s">
        <v>972</v>
      </c>
      <c r="N19" s="6" t="s">
        <v>7628</v>
      </c>
    </row>
    <row r="20" spans="1:14" x14ac:dyDescent="0.25">
      <c r="A20" s="6" t="s">
        <v>34</v>
      </c>
      <c r="B20" s="6" t="s">
        <v>7589</v>
      </c>
      <c r="C20" s="6" t="s">
        <v>7590</v>
      </c>
      <c r="D20" s="6">
        <v>109270</v>
      </c>
      <c r="E20" s="5">
        <f t="shared" si="6"/>
        <v>109270000</v>
      </c>
      <c r="F20" s="5">
        <f t="shared" si="7"/>
        <v>9287950</v>
      </c>
      <c r="G20" s="5">
        <f t="shared" si="8"/>
        <v>25446.438356164384</v>
      </c>
      <c r="H20" s="5">
        <f t="shared" si="9"/>
        <v>4656698.2191780824</v>
      </c>
      <c r="I20" s="5">
        <f t="shared" si="10"/>
        <v>698504.73287671234</v>
      </c>
      <c r="J20" s="5">
        <f t="shared" si="11"/>
        <v>3958193.48630137</v>
      </c>
      <c r="K20" s="1"/>
      <c r="L20" s="6" t="s">
        <v>8</v>
      </c>
      <c r="M20" s="6" t="s">
        <v>1129</v>
      </c>
      <c r="N20" s="6" t="s">
        <v>7593</v>
      </c>
    </row>
    <row r="21" spans="1:14" x14ac:dyDescent="0.25">
      <c r="A21" s="6" t="s">
        <v>12</v>
      </c>
      <c r="B21" s="6" t="s">
        <v>7583</v>
      </c>
      <c r="C21" s="6" t="s">
        <v>7584</v>
      </c>
      <c r="D21" s="6">
        <v>72847</v>
      </c>
      <c r="E21" s="5">
        <f t="shared" si="6"/>
        <v>72847000</v>
      </c>
      <c r="F21" s="5">
        <f t="shared" si="7"/>
        <v>6191995</v>
      </c>
      <c r="G21" s="5">
        <f t="shared" si="8"/>
        <v>16964.369863013697</v>
      </c>
      <c r="H21" s="5">
        <f t="shared" si="9"/>
        <v>3104479.6849315064</v>
      </c>
      <c r="I21" s="5">
        <f t="shared" si="10"/>
        <v>465671.95273972594</v>
      </c>
      <c r="J21" s="5">
        <f t="shared" si="11"/>
        <v>2638807.7321917806</v>
      </c>
      <c r="K21" s="1"/>
      <c r="L21" s="6" t="s">
        <v>910</v>
      </c>
      <c r="M21" s="6" t="s">
        <v>3510</v>
      </c>
      <c r="N21" s="6" t="s">
        <v>7588</v>
      </c>
    </row>
    <row r="22" spans="1:14" x14ac:dyDescent="0.25">
      <c r="A22" s="6" t="s">
        <v>35</v>
      </c>
      <c r="B22" s="6" t="s">
        <v>7734</v>
      </c>
      <c r="C22" s="6" t="s">
        <v>7735</v>
      </c>
      <c r="D22" s="6">
        <v>100000</v>
      </c>
      <c r="E22" s="5">
        <f t="shared" si="6"/>
        <v>100000000</v>
      </c>
      <c r="F22" s="5">
        <f t="shared" si="7"/>
        <v>8500000</v>
      </c>
      <c r="G22" s="5">
        <f t="shared" si="8"/>
        <v>23287.671232876713</v>
      </c>
      <c r="H22" s="5">
        <f t="shared" si="9"/>
        <v>4261643.8356164386</v>
      </c>
      <c r="I22" s="5">
        <f t="shared" si="10"/>
        <v>639246.57534246577</v>
      </c>
      <c r="J22" s="5">
        <f t="shared" si="11"/>
        <v>3622397.260273973</v>
      </c>
      <c r="K22" s="1"/>
      <c r="L22" s="6" t="s">
        <v>1089</v>
      </c>
      <c r="M22" s="6" t="s">
        <v>1442</v>
      </c>
      <c r="N22" s="6" t="s">
        <v>7614</v>
      </c>
    </row>
    <row r="23" spans="1:14" x14ac:dyDescent="0.25">
      <c r="A23" s="6" t="s">
        <v>36</v>
      </c>
      <c r="B23" s="6" t="s">
        <v>7608</v>
      </c>
      <c r="C23" s="6" t="s">
        <v>7609</v>
      </c>
      <c r="D23" s="6">
        <v>7285</v>
      </c>
      <c r="E23" s="5">
        <f t="shared" si="6"/>
        <v>7285000</v>
      </c>
      <c r="F23" s="5">
        <f t="shared" si="7"/>
        <v>619225</v>
      </c>
      <c r="G23" s="5">
        <f t="shared" si="8"/>
        <v>1696.5068493150684</v>
      </c>
      <c r="H23" s="5">
        <f t="shared" si="9"/>
        <v>310460.75342465751</v>
      </c>
      <c r="I23" s="5">
        <f t="shared" si="10"/>
        <v>46569.113013698625</v>
      </c>
      <c r="J23" s="5">
        <f t="shared" si="11"/>
        <v>263891.64041095891</v>
      </c>
      <c r="K23" s="1"/>
      <c r="L23" s="6" t="s">
        <v>1089</v>
      </c>
      <c r="M23" s="6" t="s">
        <v>7613</v>
      </c>
      <c r="N23" s="6" t="s">
        <v>7614</v>
      </c>
    </row>
    <row r="24" spans="1:14" x14ac:dyDescent="0.25">
      <c r="A24" s="6" t="s">
        <v>37</v>
      </c>
      <c r="B24" s="6" t="s">
        <v>7665</v>
      </c>
      <c r="C24" s="6" t="s">
        <v>7666</v>
      </c>
      <c r="D24" s="6">
        <v>21854</v>
      </c>
      <c r="E24" s="5">
        <f t="shared" si="6"/>
        <v>21854000</v>
      </c>
      <c r="F24" s="5">
        <f t="shared" si="7"/>
        <v>1857590.0000000002</v>
      </c>
      <c r="G24" s="5">
        <f t="shared" si="8"/>
        <v>5089.2876712328771</v>
      </c>
      <c r="H24" s="5">
        <f t="shared" si="9"/>
        <v>931339.64383561653</v>
      </c>
      <c r="I24" s="5">
        <f t="shared" si="10"/>
        <v>139700.94657534247</v>
      </c>
      <c r="J24" s="5">
        <f t="shared" si="11"/>
        <v>791638.69726027409</v>
      </c>
      <c r="K24" s="1"/>
      <c r="L24" s="6" t="s">
        <v>910</v>
      </c>
      <c r="M24" s="6" t="s">
        <v>7670</v>
      </c>
      <c r="N24" s="6" t="s">
        <v>7671</v>
      </c>
    </row>
    <row r="25" spans="1:14" x14ac:dyDescent="0.25">
      <c r="A25" s="6" t="s">
        <v>38</v>
      </c>
      <c r="B25" s="6" t="s">
        <v>7672</v>
      </c>
      <c r="C25" s="6" t="s">
        <v>7673</v>
      </c>
      <c r="D25" s="6">
        <v>29139</v>
      </c>
      <c r="E25" s="5">
        <f t="shared" si="6"/>
        <v>29139000</v>
      </c>
      <c r="F25" s="5">
        <f t="shared" si="7"/>
        <v>2476815</v>
      </c>
      <c r="G25" s="5">
        <f t="shared" si="8"/>
        <v>6785.7945205479455</v>
      </c>
      <c r="H25" s="5">
        <f t="shared" si="9"/>
        <v>1241800.397260274</v>
      </c>
      <c r="I25" s="5">
        <f t="shared" si="10"/>
        <v>186270.05958904111</v>
      </c>
      <c r="J25" s="5">
        <f t="shared" si="11"/>
        <v>1055530.3376712329</v>
      </c>
      <c r="K25" s="1"/>
      <c r="L25" s="6" t="s">
        <v>912</v>
      </c>
      <c r="M25" s="6" t="s">
        <v>932</v>
      </c>
      <c r="N25" s="6" t="s">
        <v>7677</v>
      </c>
    </row>
    <row r="26" spans="1:14" x14ac:dyDescent="0.25">
      <c r="A26" s="6" t="s">
        <v>39</v>
      </c>
      <c r="B26" s="6" t="s">
        <v>7683</v>
      </c>
      <c r="C26" s="6" t="s">
        <v>7684</v>
      </c>
      <c r="D26" s="6">
        <v>200000</v>
      </c>
      <c r="E26" s="5">
        <f t="shared" si="6"/>
        <v>200000000</v>
      </c>
      <c r="F26" s="5">
        <f t="shared" si="7"/>
        <v>17000000</v>
      </c>
      <c r="G26" s="5">
        <f t="shared" si="8"/>
        <v>46575.342465753427</v>
      </c>
      <c r="H26" s="5">
        <f t="shared" si="9"/>
        <v>8523287.6712328773</v>
      </c>
      <c r="I26" s="5">
        <f t="shared" si="10"/>
        <v>1278493.1506849315</v>
      </c>
      <c r="J26" s="5">
        <f t="shared" si="11"/>
        <v>7244794.520547946</v>
      </c>
      <c r="K26" s="1"/>
      <c r="L26" s="6" t="s">
        <v>915</v>
      </c>
      <c r="M26" s="6" t="s">
        <v>7575</v>
      </c>
      <c r="N26" s="6" t="s">
        <v>7687</v>
      </c>
    </row>
    <row r="27" spans="1:14" x14ac:dyDescent="0.25">
      <c r="A27" s="6" t="s">
        <v>40</v>
      </c>
      <c r="B27" s="6" t="s">
        <v>7570</v>
      </c>
      <c r="C27" s="6" t="s">
        <v>7571</v>
      </c>
      <c r="D27" s="6">
        <v>384327</v>
      </c>
      <c r="E27" s="5">
        <f t="shared" si="6"/>
        <v>384327000</v>
      </c>
      <c r="F27" s="5">
        <f t="shared" si="7"/>
        <v>32667795.000000004</v>
      </c>
      <c r="G27" s="5">
        <f t="shared" si="8"/>
        <v>89500.8082191781</v>
      </c>
      <c r="H27" s="5">
        <f t="shared" si="9"/>
        <v>16378647.904109592</v>
      </c>
      <c r="I27" s="5">
        <f t="shared" si="10"/>
        <v>2456797.1856164387</v>
      </c>
      <c r="J27" s="5">
        <f t="shared" si="11"/>
        <v>13921850.718493152</v>
      </c>
      <c r="K27" s="1"/>
      <c r="L27" s="6" t="s">
        <v>915</v>
      </c>
      <c r="M27" s="6" t="s">
        <v>7575</v>
      </c>
      <c r="N27" s="6" t="s">
        <v>7576</v>
      </c>
    </row>
    <row r="28" spans="1:14" x14ac:dyDescent="0.25">
      <c r="A28" s="6" t="s">
        <v>41</v>
      </c>
      <c r="B28" s="6" t="s">
        <v>7688</v>
      </c>
      <c r="C28" s="6" t="s">
        <v>7689</v>
      </c>
      <c r="D28" s="6">
        <v>50993</v>
      </c>
      <c r="E28" s="5">
        <f t="shared" si="6"/>
        <v>50993000</v>
      </c>
      <c r="F28" s="5">
        <f t="shared" si="7"/>
        <v>4334405</v>
      </c>
      <c r="G28" s="5">
        <f t="shared" si="8"/>
        <v>11875.082191780823</v>
      </c>
      <c r="H28" s="5">
        <f t="shared" si="9"/>
        <v>2173140.0410958906</v>
      </c>
      <c r="I28" s="5">
        <f t="shared" si="10"/>
        <v>325971.00616438355</v>
      </c>
      <c r="J28" s="5">
        <f t="shared" si="11"/>
        <v>1847169.034931507</v>
      </c>
      <c r="K28" s="1"/>
      <c r="L28" s="6" t="s">
        <v>915</v>
      </c>
      <c r="M28" s="6" t="s">
        <v>1139</v>
      </c>
      <c r="N28" s="6" t="s">
        <v>7691</v>
      </c>
    </row>
    <row r="29" spans="1:14" x14ac:dyDescent="0.25">
      <c r="A29" s="6" t="s">
        <v>42</v>
      </c>
      <c r="B29" s="6" t="s">
        <v>7678</v>
      </c>
      <c r="C29" s="6" t="s">
        <v>7679</v>
      </c>
      <c r="D29" s="6">
        <v>9400</v>
      </c>
      <c r="E29" s="5">
        <f t="shared" si="6"/>
        <v>9400000</v>
      </c>
      <c r="F29" s="5">
        <f t="shared" si="7"/>
        <v>799000</v>
      </c>
      <c r="G29" s="5">
        <f t="shared" si="8"/>
        <v>2189.0410958904108</v>
      </c>
      <c r="H29" s="5">
        <f t="shared" si="9"/>
        <v>400594.52054794517</v>
      </c>
      <c r="I29" s="5">
        <f t="shared" si="10"/>
        <v>60089.178082191771</v>
      </c>
      <c r="J29" s="5">
        <f t="shared" si="11"/>
        <v>340505.34246575338</v>
      </c>
      <c r="K29" s="1"/>
      <c r="L29" s="6" t="s">
        <v>910</v>
      </c>
      <c r="M29" s="6" t="s">
        <v>3510</v>
      </c>
      <c r="N29" s="6" t="s">
        <v>7682</v>
      </c>
    </row>
    <row r="30" spans="1:14" ht="15.75" x14ac:dyDescent="0.25">
      <c r="A30" s="7"/>
      <c r="B30" s="7"/>
      <c r="C30" s="7"/>
      <c r="D30" s="17">
        <f t="shared" ref="D30:J30" si="12">SUM(D7:D29)</f>
        <v>1874498</v>
      </c>
      <c r="E30" s="17">
        <f t="shared" si="12"/>
        <v>1874498000</v>
      </c>
      <c r="F30" s="17">
        <f t="shared" si="12"/>
        <v>159332330</v>
      </c>
      <c r="G30" s="17">
        <f t="shared" si="12"/>
        <v>436526.93150684942</v>
      </c>
      <c r="H30" s="17">
        <f t="shared" si="12"/>
        <v>79884428.465753451</v>
      </c>
      <c r="I30" s="17">
        <f t="shared" si="12"/>
        <v>11982664.269863015</v>
      </c>
      <c r="J30" s="17">
        <f t="shared" si="12"/>
        <v>67901764.195890442</v>
      </c>
      <c r="L30" s="7"/>
      <c r="M30" s="7"/>
      <c r="N30" s="7"/>
    </row>
  </sheetData>
  <sortState xmlns:xlrd2="http://schemas.microsoft.com/office/spreadsheetml/2017/richdata2" ref="A7:N29">
    <sortCondition sortBy="cellColor" ref="B7:B29" dxfId="0"/>
  </sortState>
  <mergeCells count="4">
    <mergeCell ref="C1:F1"/>
    <mergeCell ref="C2:F2"/>
    <mergeCell ref="C3:F3"/>
    <mergeCell ref="C4:F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3445-4117-4593-9A4A-21CFC799964C}">
  <dimension ref="A1:N19"/>
  <sheetViews>
    <sheetView workbookViewId="0">
      <selection activeCell="A23" sqref="A23"/>
    </sheetView>
  </sheetViews>
  <sheetFormatPr defaultRowHeight="15" x14ac:dyDescent="0.25"/>
  <cols>
    <col min="1" max="1" width="8" customWidth="1"/>
    <col min="2" max="2" width="18.140625" customWidth="1"/>
    <col min="3" max="3" width="53.7109375" bestFit="1" customWidth="1"/>
    <col min="4" max="4" width="18.28515625" bestFit="1" customWidth="1"/>
    <col min="5" max="5" width="23.42578125" bestFit="1" customWidth="1"/>
    <col min="6" max="6" width="21.140625" bestFit="1" customWidth="1"/>
    <col min="7" max="7" width="16" bestFit="1" customWidth="1"/>
    <col min="8" max="8" width="19.28515625" customWidth="1"/>
    <col min="9" max="9" width="14.5703125" customWidth="1"/>
    <col min="10" max="10" width="19.7109375" bestFit="1" customWidth="1"/>
    <col min="12" max="12" width="8.7109375" customWidth="1"/>
    <col min="13" max="13" width="47.85546875" customWidth="1"/>
    <col min="14" max="14" width="21.85546875" customWidth="1"/>
  </cols>
  <sheetData>
    <row r="1" spans="1:14" ht="15.75" x14ac:dyDescent="0.25">
      <c r="C1" s="21" t="s">
        <v>895</v>
      </c>
      <c r="D1" s="21"/>
      <c r="E1" s="21"/>
      <c r="F1" s="21"/>
      <c r="G1" s="4"/>
      <c r="H1" s="4"/>
    </row>
    <row r="2" spans="1:14" x14ac:dyDescent="0.25">
      <c r="C2" s="22" t="s">
        <v>896</v>
      </c>
      <c r="D2" s="22"/>
      <c r="E2" s="22"/>
      <c r="F2" s="22"/>
      <c r="G2" s="14" t="s">
        <v>907</v>
      </c>
      <c r="H2" s="15">
        <v>46037</v>
      </c>
    </row>
    <row r="3" spans="1:14" x14ac:dyDescent="0.25">
      <c r="C3" s="22" t="s">
        <v>897</v>
      </c>
      <c r="D3" s="22"/>
      <c r="E3" s="22"/>
      <c r="F3" s="22"/>
      <c r="G3" s="14" t="s">
        <v>908</v>
      </c>
      <c r="H3" s="15">
        <v>46219</v>
      </c>
    </row>
    <row r="4" spans="1:14" x14ac:dyDescent="0.25">
      <c r="C4" s="23" t="s">
        <v>7751</v>
      </c>
      <c r="D4" s="23"/>
      <c r="E4" s="23"/>
      <c r="F4" s="23"/>
      <c r="G4" s="16" t="s">
        <v>898</v>
      </c>
      <c r="H4" s="16">
        <v>183</v>
      </c>
    </row>
    <row r="6" spans="1:14" ht="30" x14ac:dyDescent="0.25">
      <c r="A6" s="9" t="s">
        <v>14</v>
      </c>
      <c r="B6" s="9" t="s">
        <v>15</v>
      </c>
      <c r="C6" s="9" t="s">
        <v>16</v>
      </c>
      <c r="D6" s="9" t="s">
        <v>22</v>
      </c>
      <c r="E6" s="9" t="s">
        <v>889</v>
      </c>
      <c r="F6" s="9" t="s">
        <v>890</v>
      </c>
      <c r="G6" s="9" t="s">
        <v>891</v>
      </c>
      <c r="H6" s="9" t="s">
        <v>892</v>
      </c>
      <c r="I6" s="9" t="s">
        <v>901</v>
      </c>
      <c r="J6" s="9" t="s">
        <v>894</v>
      </c>
      <c r="K6" s="2"/>
      <c r="L6" s="9" t="s">
        <v>19</v>
      </c>
      <c r="M6" s="9" t="s">
        <v>20</v>
      </c>
      <c r="N6" s="9" t="s">
        <v>21</v>
      </c>
    </row>
    <row r="7" spans="1:14" x14ac:dyDescent="0.25">
      <c r="A7" s="6" t="s">
        <v>23</v>
      </c>
      <c r="B7" s="6" t="s">
        <v>7620</v>
      </c>
      <c r="C7" s="6" t="s">
        <v>7621</v>
      </c>
      <c r="D7" s="6">
        <v>245858</v>
      </c>
      <c r="E7" s="5">
        <f>+D7*1000</f>
        <v>245858000</v>
      </c>
      <c r="F7" s="5">
        <f>+E7*8.5%</f>
        <v>20897930</v>
      </c>
      <c r="G7" s="5">
        <f>+F7/365</f>
        <v>57254.602739726026</v>
      </c>
      <c r="H7" s="5">
        <f>G7*$H$4</f>
        <v>10477592.301369863</v>
      </c>
      <c r="I7" s="5"/>
      <c r="J7" s="5">
        <f>+H7-I7</f>
        <v>10477592.301369863</v>
      </c>
      <c r="K7" s="1"/>
      <c r="L7" s="6" t="s">
        <v>2</v>
      </c>
      <c r="M7" s="6" t="s">
        <v>937</v>
      </c>
      <c r="N7" s="6" t="s">
        <v>936</v>
      </c>
    </row>
    <row r="8" spans="1:14" x14ac:dyDescent="0.25">
      <c r="A8" s="6" t="s">
        <v>24</v>
      </c>
      <c r="B8" s="6" t="s">
        <v>7729</v>
      </c>
      <c r="C8" s="6" t="s">
        <v>7730</v>
      </c>
      <c r="D8" s="6">
        <v>145694</v>
      </c>
      <c r="E8" s="5">
        <f t="shared" ref="E8:E16" si="0">+D8*1000</f>
        <v>145694000</v>
      </c>
      <c r="F8" s="5">
        <f t="shared" ref="F8:F16" si="1">+E8*8.5%</f>
        <v>12383990</v>
      </c>
      <c r="G8" s="5">
        <f t="shared" ref="G8:G18" si="2">+F8/365</f>
        <v>33928.739726027394</v>
      </c>
      <c r="H8" s="5">
        <f t="shared" ref="H8:H18" si="3">G8*$H$4</f>
        <v>6208959.3698630128</v>
      </c>
      <c r="I8" s="5"/>
      <c r="J8" s="5">
        <f t="shared" ref="J8:J18" si="4">+H8-I8</f>
        <v>6208959.3698630128</v>
      </c>
      <c r="K8" s="1"/>
      <c r="L8" s="6" t="s">
        <v>909</v>
      </c>
      <c r="M8" s="6" t="s">
        <v>917</v>
      </c>
      <c r="N8" s="6" t="s">
        <v>916</v>
      </c>
    </row>
    <row r="9" spans="1:14" x14ac:dyDescent="0.25">
      <c r="A9" s="6" t="s">
        <v>25</v>
      </c>
      <c r="B9" s="6" t="s">
        <v>7604</v>
      </c>
      <c r="C9" s="6" t="s">
        <v>7605</v>
      </c>
      <c r="D9" s="6">
        <v>14570</v>
      </c>
      <c r="E9" s="5">
        <f t="shared" si="0"/>
        <v>14570000</v>
      </c>
      <c r="F9" s="5">
        <f t="shared" si="1"/>
        <v>1238450</v>
      </c>
      <c r="G9" s="5">
        <f t="shared" si="2"/>
        <v>3393.0136986301368</v>
      </c>
      <c r="H9" s="5">
        <f t="shared" si="3"/>
        <v>620921.50684931502</v>
      </c>
      <c r="I9" s="5"/>
      <c r="J9" s="5">
        <f t="shared" si="4"/>
        <v>620921.50684931502</v>
      </c>
      <c r="K9" s="1"/>
      <c r="L9" s="6" t="s">
        <v>4</v>
      </c>
      <c r="M9" s="6" t="s">
        <v>924</v>
      </c>
      <c r="N9" s="6" t="s">
        <v>938</v>
      </c>
    </row>
    <row r="10" spans="1:14" x14ac:dyDescent="0.25">
      <c r="A10" s="6" t="s">
        <v>26</v>
      </c>
      <c r="B10" s="6" t="s">
        <v>7696</v>
      </c>
      <c r="C10" s="6" t="s">
        <v>7697</v>
      </c>
      <c r="D10" s="6">
        <v>10927</v>
      </c>
      <c r="E10" s="5">
        <f t="shared" si="0"/>
        <v>10927000</v>
      </c>
      <c r="F10" s="5">
        <f t="shared" si="1"/>
        <v>928795.00000000012</v>
      </c>
      <c r="G10" s="5">
        <f t="shared" si="2"/>
        <v>2544.6438356164385</v>
      </c>
      <c r="H10" s="5">
        <f t="shared" si="3"/>
        <v>465669.82191780827</v>
      </c>
      <c r="I10" s="5"/>
      <c r="J10" s="5">
        <f t="shared" si="4"/>
        <v>465669.82191780827</v>
      </c>
      <c r="K10" s="1"/>
      <c r="L10" s="6" t="s">
        <v>915</v>
      </c>
      <c r="M10" s="6" t="s">
        <v>926</v>
      </c>
      <c r="N10" s="6" t="s">
        <v>927</v>
      </c>
    </row>
    <row r="11" spans="1:14" x14ac:dyDescent="0.25">
      <c r="A11" s="6" t="s">
        <v>27</v>
      </c>
      <c r="B11" s="6" t="s">
        <v>7692</v>
      </c>
      <c r="C11" s="6" t="s">
        <v>7693</v>
      </c>
      <c r="D11" s="6">
        <v>247</v>
      </c>
      <c r="E11" s="5">
        <f t="shared" si="0"/>
        <v>247000</v>
      </c>
      <c r="F11" s="5">
        <f t="shared" si="1"/>
        <v>20995</v>
      </c>
      <c r="G11" s="5">
        <f t="shared" si="2"/>
        <v>57.520547945205479</v>
      </c>
      <c r="H11" s="5">
        <f t="shared" si="3"/>
        <v>10526.260273972603</v>
      </c>
      <c r="I11" s="5"/>
      <c r="J11" s="5">
        <f t="shared" si="4"/>
        <v>10526.260273972603</v>
      </c>
      <c r="K11" s="1"/>
      <c r="L11" s="6" t="s">
        <v>915</v>
      </c>
      <c r="M11" s="6" t="s">
        <v>928</v>
      </c>
      <c r="N11" s="6" t="s">
        <v>925</v>
      </c>
    </row>
    <row r="12" spans="1:14" x14ac:dyDescent="0.25">
      <c r="A12" s="6" t="s">
        <v>28</v>
      </c>
      <c r="B12" s="6" t="s">
        <v>7700</v>
      </c>
      <c r="C12" s="6" t="s">
        <v>7701</v>
      </c>
      <c r="D12" s="6">
        <v>18212</v>
      </c>
      <c r="E12" s="5">
        <f t="shared" si="0"/>
        <v>18212000</v>
      </c>
      <c r="F12" s="5">
        <f t="shared" si="1"/>
        <v>1548020</v>
      </c>
      <c r="G12" s="5">
        <f t="shared" si="2"/>
        <v>4241.1506849315065</v>
      </c>
      <c r="H12" s="5">
        <f t="shared" si="3"/>
        <v>776130.57534246566</v>
      </c>
      <c r="I12" s="5"/>
      <c r="J12" s="5">
        <f t="shared" si="4"/>
        <v>776130.57534246566</v>
      </c>
      <c r="K12" s="1"/>
      <c r="L12" s="6" t="s">
        <v>915</v>
      </c>
      <c r="M12" s="6" t="s">
        <v>926</v>
      </c>
      <c r="N12" s="6" t="s">
        <v>925</v>
      </c>
    </row>
    <row r="13" spans="1:14" x14ac:dyDescent="0.25">
      <c r="A13" s="6" t="s">
        <v>0</v>
      </c>
      <c r="B13" s="6" t="s">
        <v>7652</v>
      </c>
      <c r="C13" s="6" t="s">
        <v>7653</v>
      </c>
      <c r="D13" s="6">
        <v>3643</v>
      </c>
      <c r="E13" s="5">
        <f t="shared" si="0"/>
        <v>3643000</v>
      </c>
      <c r="F13" s="5">
        <f t="shared" si="1"/>
        <v>309655</v>
      </c>
      <c r="G13" s="5">
        <f t="shared" si="2"/>
        <v>848.36986301369859</v>
      </c>
      <c r="H13" s="5">
        <f t="shared" si="3"/>
        <v>155251.68493150684</v>
      </c>
      <c r="I13" s="5"/>
      <c r="J13" s="5">
        <f t="shared" si="4"/>
        <v>155251.68493150684</v>
      </c>
      <c r="K13" s="1"/>
      <c r="L13" s="6" t="s">
        <v>912</v>
      </c>
      <c r="M13" s="6" t="s">
        <v>932</v>
      </c>
      <c r="N13" s="6" t="s">
        <v>935</v>
      </c>
    </row>
    <row r="14" spans="1:14" x14ac:dyDescent="0.25">
      <c r="A14" s="6" t="s">
        <v>29</v>
      </c>
      <c r="B14" s="6" t="s">
        <v>7660</v>
      </c>
      <c r="C14" s="6" t="s">
        <v>7661</v>
      </c>
      <c r="D14" s="6">
        <v>5141</v>
      </c>
      <c r="E14" s="5">
        <f t="shared" si="0"/>
        <v>5141000</v>
      </c>
      <c r="F14" s="5">
        <f t="shared" si="1"/>
        <v>436985.00000000006</v>
      </c>
      <c r="G14" s="5">
        <f t="shared" si="2"/>
        <v>1197.219178082192</v>
      </c>
      <c r="H14" s="5">
        <f t="shared" si="3"/>
        <v>219091.10958904112</v>
      </c>
      <c r="I14" s="5"/>
      <c r="J14" s="5">
        <f t="shared" si="4"/>
        <v>219091.10958904112</v>
      </c>
      <c r="K14" s="1"/>
      <c r="L14" s="6" t="s">
        <v>929</v>
      </c>
      <c r="M14" s="6" t="s">
        <v>934</v>
      </c>
      <c r="N14" s="6" t="s">
        <v>933</v>
      </c>
    </row>
    <row r="15" spans="1:14" x14ac:dyDescent="0.25">
      <c r="A15" s="6" t="s">
        <v>30</v>
      </c>
      <c r="B15" s="6" t="s">
        <v>7656</v>
      </c>
      <c r="C15" s="6" t="s">
        <v>7657</v>
      </c>
      <c r="D15" s="6">
        <v>12445</v>
      </c>
      <c r="E15" s="5">
        <f t="shared" si="0"/>
        <v>12445000</v>
      </c>
      <c r="F15" s="5">
        <f t="shared" si="1"/>
        <v>1057825</v>
      </c>
      <c r="G15" s="5">
        <f t="shared" si="2"/>
        <v>2898.1506849315069</v>
      </c>
      <c r="H15" s="5">
        <f t="shared" si="3"/>
        <v>530361.57534246577</v>
      </c>
      <c r="I15" s="5"/>
      <c r="J15" s="5">
        <f t="shared" si="4"/>
        <v>530361.57534246577</v>
      </c>
      <c r="K15" s="1"/>
      <c r="L15" s="6" t="s">
        <v>1637</v>
      </c>
      <c r="M15" s="6" t="s">
        <v>2316</v>
      </c>
      <c r="N15" s="6" t="s">
        <v>7659</v>
      </c>
    </row>
    <row r="16" spans="1:14" x14ac:dyDescent="0.25">
      <c r="A16" s="6" t="s">
        <v>31</v>
      </c>
      <c r="B16" s="6" t="s">
        <v>7725</v>
      </c>
      <c r="C16" s="6" t="s">
        <v>7726</v>
      </c>
      <c r="D16" s="6">
        <v>3643</v>
      </c>
      <c r="E16" s="5">
        <f t="shared" si="0"/>
        <v>3643000</v>
      </c>
      <c r="F16" s="5">
        <f t="shared" si="1"/>
        <v>309655</v>
      </c>
      <c r="G16" s="5">
        <f t="shared" si="2"/>
        <v>848.36986301369859</v>
      </c>
      <c r="H16" s="5">
        <f t="shared" si="3"/>
        <v>155251.68493150684</v>
      </c>
      <c r="I16" s="5"/>
      <c r="J16" s="5">
        <f t="shared" si="4"/>
        <v>155251.68493150684</v>
      </c>
      <c r="K16" s="1"/>
      <c r="L16" s="6" t="s">
        <v>919</v>
      </c>
      <c r="M16" s="6" t="s">
        <v>921</v>
      </c>
      <c r="N16" s="6" t="s">
        <v>920</v>
      </c>
    </row>
    <row r="17" spans="1:14" x14ac:dyDescent="0.25">
      <c r="A17" s="6" t="s">
        <v>32</v>
      </c>
      <c r="B17" s="6" t="s">
        <v>7641</v>
      </c>
      <c r="C17" s="6" t="s">
        <v>7642</v>
      </c>
      <c r="D17" s="6">
        <v>20000</v>
      </c>
      <c r="E17" s="5">
        <f t="shared" ref="E17:E18" si="5">+D17*1000</f>
        <v>20000000</v>
      </c>
      <c r="F17" s="5">
        <f t="shared" ref="F17:F18" si="6">+E17*8.5%</f>
        <v>1700000.0000000002</v>
      </c>
      <c r="G17" s="5">
        <f t="shared" si="2"/>
        <v>4657.5342465753429</v>
      </c>
      <c r="H17" s="5">
        <f t="shared" si="3"/>
        <v>852328.76712328778</v>
      </c>
      <c r="I17" s="5"/>
      <c r="J17" s="5">
        <f t="shared" si="4"/>
        <v>852328.76712328778</v>
      </c>
      <c r="K17" s="1"/>
      <c r="L17" s="6" t="s">
        <v>971</v>
      </c>
      <c r="M17" s="6" t="s">
        <v>972</v>
      </c>
      <c r="N17" s="6" t="s">
        <v>7646</v>
      </c>
    </row>
    <row r="18" spans="1:14" x14ac:dyDescent="0.25">
      <c r="A18" s="6" t="s">
        <v>33</v>
      </c>
      <c r="B18" s="6" t="s">
        <v>7721</v>
      </c>
      <c r="C18" s="6" t="s">
        <v>7722</v>
      </c>
      <c r="D18" s="6">
        <v>72847</v>
      </c>
      <c r="E18" s="5">
        <f t="shared" si="5"/>
        <v>72847000</v>
      </c>
      <c r="F18" s="5">
        <f t="shared" si="6"/>
        <v>6191995</v>
      </c>
      <c r="G18" s="5">
        <f t="shared" si="2"/>
        <v>16964.369863013697</v>
      </c>
      <c r="H18" s="5">
        <f t="shared" si="3"/>
        <v>3104479.6849315064</v>
      </c>
      <c r="I18" s="5"/>
      <c r="J18" s="5">
        <f t="shared" si="4"/>
        <v>3104479.6849315064</v>
      </c>
      <c r="K18" s="1"/>
      <c r="L18" s="6" t="s">
        <v>919</v>
      </c>
      <c r="M18" s="6" t="s">
        <v>918</v>
      </c>
      <c r="N18" s="6" t="s">
        <v>922</v>
      </c>
    </row>
    <row r="19" spans="1:14" ht="18.75" x14ac:dyDescent="0.3">
      <c r="A19" s="10"/>
      <c r="B19" s="10"/>
      <c r="C19" s="10" t="s">
        <v>899</v>
      </c>
      <c r="D19" s="8">
        <f t="shared" ref="D19:J19" si="7">SUM(D7:D18)</f>
        <v>553227</v>
      </c>
      <c r="E19" s="8">
        <f t="shared" si="7"/>
        <v>553227000</v>
      </c>
      <c r="F19" s="8">
        <f t="shared" si="7"/>
        <v>47024295</v>
      </c>
      <c r="G19" s="8">
        <f t="shared" si="7"/>
        <v>128833.68493150684</v>
      </c>
      <c r="H19" s="8">
        <f t="shared" si="7"/>
        <v>23576564.342465751</v>
      </c>
      <c r="I19" s="8">
        <f t="shared" si="7"/>
        <v>0</v>
      </c>
      <c r="J19" s="8">
        <f t="shared" si="7"/>
        <v>23576564.342465751</v>
      </c>
      <c r="L19" s="7"/>
      <c r="M19" s="7"/>
      <c r="N19" s="7"/>
    </row>
  </sheetData>
  <mergeCells count="4">
    <mergeCell ref="C1:F1"/>
    <mergeCell ref="C2:F2"/>
    <mergeCell ref="C3:F3"/>
    <mergeCell ref="C4:F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5F15-4879-4D9C-9123-4EAADE3085BA}">
  <dimension ref="A1:H5"/>
  <sheetViews>
    <sheetView workbookViewId="0"/>
  </sheetViews>
  <sheetFormatPr defaultRowHeight="15" x14ac:dyDescent="0.25"/>
  <cols>
    <col min="1" max="1" width="24.5703125" customWidth="1"/>
    <col min="2" max="2" width="18.28515625" bestFit="1" customWidth="1"/>
    <col min="3" max="3" width="23.42578125" bestFit="1" customWidth="1"/>
    <col min="4" max="4" width="21.140625" bestFit="1" customWidth="1"/>
    <col min="5" max="5" width="16" bestFit="1" customWidth="1"/>
    <col min="6" max="6" width="21.140625" bestFit="1" customWidth="1"/>
    <col min="7" max="8" width="19.7109375" bestFit="1" customWidth="1"/>
  </cols>
  <sheetData>
    <row r="1" spans="1:8" ht="30" x14ac:dyDescent="0.25">
      <c r="A1" s="3" t="s">
        <v>16</v>
      </c>
      <c r="B1" s="3" t="s">
        <v>22</v>
      </c>
      <c r="C1" s="3" t="s">
        <v>889</v>
      </c>
      <c r="D1" s="3" t="s">
        <v>890</v>
      </c>
      <c r="E1" s="3" t="s">
        <v>891</v>
      </c>
      <c r="F1" s="3" t="s">
        <v>892</v>
      </c>
      <c r="G1" s="3" t="s">
        <v>902</v>
      </c>
      <c r="H1" s="3" t="s">
        <v>894</v>
      </c>
    </row>
    <row r="2" spans="1:8" x14ac:dyDescent="0.25">
      <c r="A2" s="7" t="s">
        <v>903</v>
      </c>
      <c r="B2" s="11">
        <v>72275</v>
      </c>
      <c r="C2" s="11">
        <v>72275000</v>
      </c>
      <c r="D2" s="11">
        <v>6143375</v>
      </c>
      <c r="E2" s="11">
        <v>16831.164383561772</v>
      </c>
      <c r="F2" s="11">
        <v>3080103.0821917998</v>
      </c>
      <c r="G2" s="11">
        <v>184806.18493150675</v>
      </c>
      <c r="H2" s="11">
        <v>2895296.8972603022</v>
      </c>
    </row>
    <row r="3" spans="1:8" x14ac:dyDescent="0.25">
      <c r="A3" s="7" t="s">
        <v>904</v>
      </c>
      <c r="B3" s="11">
        <v>1874498</v>
      </c>
      <c r="C3" s="11">
        <v>1874498000</v>
      </c>
      <c r="D3" s="11">
        <v>159332330</v>
      </c>
      <c r="E3" s="11">
        <v>436526.93150684942</v>
      </c>
      <c r="F3" s="11">
        <v>79884428.465753451</v>
      </c>
      <c r="G3" s="11">
        <v>11982664.269863015</v>
      </c>
      <c r="H3" s="11">
        <v>67901764.195890442</v>
      </c>
    </row>
    <row r="4" spans="1:8" x14ac:dyDescent="0.25">
      <c r="A4" s="7" t="s">
        <v>905</v>
      </c>
      <c r="B4" s="11">
        <v>553227</v>
      </c>
      <c r="C4" s="11">
        <v>553227000</v>
      </c>
      <c r="D4" s="11">
        <v>47024295</v>
      </c>
      <c r="E4" s="11">
        <v>128833.68493150684</v>
      </c>
      <c r="F4" s="11">
        <v>23576564.342465751</v>
      </c>
      <c r="G4" s="11">
        <v>0</v>
      </c>
      <c r="H4" s="11">
        <v>23576564.342465751</v>
      </c>
    </row>
    <row r="5" spans="1:8" ht="18.75" x14ac:dyDescent="0.3">
      <c r="A5" s="10" t="s">
        <v>899</v>
      </c>
      <c r="B5" s="12">
        <f>SUM(B2:B4)</f>
        <v>2500000</v>
      </c>
      <c r="C5" s="12">
        <f t="shared" ref="C5:H5" si="0">SUM(C2:C4)</f>
        <v>2500000000</v>
      </c>
      <c r="D5" s="12">
        <f t="shared" si="0"/>
        <v>212500000</v>
      </c>
      <c r="E5" s="12">
        <f t="shared" si="0"/>
        <v>582191.78082191804</v>
      </c>
      <c r="F5" s="12">
        <f t="shared" si="0"/>
        <v>106541095.89041099</v>
      </c>
      <c r="G5" s="12">
        <f t="shared" si="0"/>
        <v>12167470.454794522</v>
      </c>
      <c r="H5" s="12">
        <f t="shared" si="0"/>
        <v>94373625.435616493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RBB DEB ORIGINAL</vt:lpstr>
      <vt:lpstr>PUBLIC CALCULATION</vt:lpstr>
      <vt:lpstr>PRIVATE CALCULATION</vt:lpstr>
      <vt:lpstr>MUTUAL FUND CALCULATION</vt:lpstr>
      <vt:lpstr>SUMMARY</vt:lpstr>
      <vt:lpstr>'PRIVATE CALCULATION'!_08RT02UX.13012025.12</vt:lpstr>
      <vt:lpstr>'PUBLIC CALCULATION'!_08RT02UX.13012025.12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2026-07-17T05:41:35Z</dcterms:modified>
</cp:coreProperties>
</file>